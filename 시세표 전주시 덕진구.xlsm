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 activeTab="2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고랑동" sheetId="6" r:id="rId6"/>
    <sheet name="금암동" sheetId="7" r:id="rId7"/>
    <sheet name="덕진동1가" sheetId="8" r:id="rId8"/>
    <sheet name="덕진동2가" sheetId="9" r:id="rId9"/>
    <sheet name="만성동" sheetId="10" r:id="rId10"/>
    <sheet name="반월동" sheetId="11" r:id="rId11"/>
    <sheet name="송천동1가" sheetId="12" r:id="rId12"/>
    <sheet name="송천동2가" sheetId="13" r:id="rId13"/>
    <sheet name="여의동" sheetId="14" r:id="rId14"/>
    <sheet name="여의동2가" sheetId="15" r:id="rId15"/>
    <sheet name="우아동2가" sheetId="16" r:id="rId16"/>
    <sheet name="우아동3가" sheetId="17" r:id="rId17"/>
    <sheet name="인후동1가" sheetId="18" r:id="rId18"/>
    <sheet name="인후동2가" sheetId="19" r:id="rId19"/>
    <sheet name="장동" sheetId="20" r:id="rId20"/>
    <sheet name="중동" sheetId="21" r:id="rId21"/>
    <sheet name="진북동" sheetId="22" r:id="rId22"/>
    <sheet name="팔복동2가" sheetId="23" r:id="rId23"/>
    <sheet name="호성동1가" sheetId="24" r:id="rId24"/>
    <sheet name="호성동2가" sheetId="25" r:id="rId25"/>
    <sheet name="양식" sheetId="26" r:id="rId26"/>
  </sheets>
  <definedNames>
    <definedName name="_xlnm._FilterDatabase" localSheetId="1" hidden="1">단지추출_가격표용!$A$3:$U$311</definedName>
    <definedName name="_xlnm.Print_Area" localSheetId="5">고랑동!$A$1:$U$6</definedName>
    <definedName name="_xlnm.Print_Area" localSheetId="6">금암동!$A$1:$U$6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7">덕진동1가!$A$1:$U$6</definedName>
    <definedName name="_xlnm.Print_Area" localSheetId="8">덕진동2가!$A$1:$U$6</definedName>
    <definedName name="_xlnm.Print_Area" localSheetId="9">만성동!$A$1:$U$6</definedName>
    <definedName name="_xlnm.Print_Area" localSheetId="10">반월동!$A$1:$U$6</definedName>
    <definedName name="_xlnm.Print_Area" localSheetId="11">송천동1가!$A$1:$U$6</definedName>
    <definedName name="_xlnm.Print_Area" localSheetId="12">송천동2가!$A$1:$U$6</definedName>
    <definedName name="_xlnm.Print_Area" localSheetId="25">양식!$A$1:$U$6</definedName>
    <definedName name="_xlnm.Print_Area" localSheetId="13">여의동!$A$1:$U$6</definedName>
    <definedName name="_xlnm.Print_Area" localSheetId="14">여의동2가!$A$1:$U$6</definedName>
    <definedName name="_xlnm.Print_Area" localSheetId="15">우아동2가!$A$1:$U$6</definedName>
    <definedName name="_xlnm.Print_Area" localSheetId="16">우아동3가!$A$1:$U$6</definedName>
    <definedName name="_xlnm.Print_Area" localSheetId="17">인후동1가!$A$1:$U$6</definedName>
    <definedName name="_xlnm.Print_Area" localSheetId="18">인후동2가!$A$1:$U$6</definedName>
    <definedName name="_xlnm.Print_Area" localSheetId="19">장동!$A$1:$U$6</definedName>
    <definedName name="_xlnm.Print_Area" localSheetId="20">중동!$A$1:$U$6</definedName>
    <definedName name="_xlnm.Print_Area" localSheetId="21">진북동!$A$1:$U$6</definedName>
    <definedName name="_xlnm.Print_Area" localSheetId="22">팔복동2가!$A$1:$U$6</definedName>
    <definedName name="_xlnm.Print_Area" localSheetId="23">호성동1가!$A$1:$U$6</definedName>
    <definedName name="_xlnm.Print_Area" localSheetId="24">호성동2가!$A$1:$U$6</definedName>
    <definedName name="_xlnm.Print_Titles" localSheetId="5">고랑동!$1:$3</definedName>
    <definedName name="_xlnm.Print_Titles" localSheetId="6">금암동!$1:$3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7">덕진동1가!$1:$3</definedName>
    <definedName name="_xlnm.Print_Titles" localSheetId="8">덕진동2가!$1:$3</definedName>
    <definedName name="_xlnm.Print_Titles" localSheetId="9">만성동!$1:$3</definedName>
    <definedName name="_xlnm.Print_Titles" localSheetId="10">반월동!$1:$3</definedName>
    <definedName name="_xlnm.Print_Titles" localSheetId="11">송천동1가!$1:$3</definedName>
    <definedName name="_xlnm.Print_Titles" localSheetId="12">송천동2가!$1:$3</definedName>
    <definedName name="_xlnm.Print_Titles" localSheetId="25">양식!$1:$3</definedName>
    <definedName name="_xlnm.Print_Titles" localSheetId="13">여의동!$1:$3</definedName>
    <definedName name="_xlnm.Print_Titles" localSheetId="14">여의동2가!$1:$3</definedName>
    <definedName name="_xlnm.Print_Titles" localSheetId="15">우아동2가!$1:$3</definedName>
    <definedName name="_xlnm.Print_Titles" localSheetId="16">우아동3가!$1:$3</definedName>
    <definedName name="_xlnm.Print_Titles" localSheetId="17">인후동1가!$1:$3</definedName>
    <definedName name="_xlnm.Print_Titles" localSheetId="18">인후동2가!$1:$3</definedName>
    <definedName name="_xlnm.Print_Titles" localSheetId="19">장동!$1:$3</definedName>
    <definedName name="_xlnm.Print_Titles" localSheetId="20">중동!$1:$3</definedName>
    <definedName name="_xlnm.Print_Titles" localSheetId="21">진북동!$1:$3</definedName>
    <definedName name="_xlnm.Print_Titles" localSheetId="22">팔복동2가!$1:$3</definedName>
    <definedName name="_xlnm.Print_Titles" localSheetId="23">호성동1가!$1:$3</definedName>
    <definedName name="_xlnm.Print_Titles" localSheetId="24">호성동2가!$1:$3</definedName>
  </definedNames>
  <calcPr calcId="162913"/>
</workbook>
</file>

<file path=xl/calcChain.xml><?xml version="1.0" encoding="utf-8"?>
<calcChain xmlns="http://schemas.openxmlformats.org/spreadsheetml/2006/main">
  <c r="P30" i="2" l="1"/>
  <c r="O30" i="2"/>
  <c r="N30" i="2"/>
  <c r="M30" i="2"/>
  <c r="P311" i="2"/>
  <c r="O311" i="2"/>
  <c r="N311" i="2"/>
  <c r="M311" i="2"/>
  <c r="P87" i="2"/>
  <c r="O87" i="2"/>
  <c r="N87" i="2"/>
  <c r="M87" i="2"/>
  <c r="P96" i="2"/>
  <c r="O96" i="2"/>
  <c r="N96" i="2"/>
  <c r="M96" i="2"/>
  <c r="P149" i="2"/>
  <c r="O149" i="2"/>
  <c r="N149" i="2"/>
  <c r="M149" i="2"/>
  <c r="P310" i="2"/>
  <c r="O310" i="2"/>
  <c r="N310" i="2"/>
  <c r="M310" i="2"/>
  <c r="P183" i="2"/>
  <c r="O183" i="2"/>
  <c r="N183" i="2"/>
  <c r="M183" i="2"/>
  <c r="P143" i="2"/>
  <c r="O143" i="2"/>
  <c r="N143" i="2"/>
  <c r="M143" i="2"/>
  <c r="P159" i="2"/>
  <c r="O159" i="2"/>
  <c r="N159" i="2"/>
  <c r="M159" i="2"/>
  <c r="P173" i="2"/>
  <c r="O173" i="2"/>
  <c r="N173" i="2"/>
  <c r="M173" i="2"/>
  <c r="P309" i="2"/>
  <c r="O309" i="2"/>
  <c r="N309" i="2"/>
  <c r="M309" i="2"/>
  <c r="P308" i="2"/>
  <c r="O308" i="2"/>
  <c r="N308" i="2"/>
  <c r="M308" i="2"/>
  <c r="P307" i="2"/>
  <c r="O307" i="2"/>
  <c r="N307" i="2"/>
  <c r="M307" i="2"/>
  <c r="P306" i="2"/>
  <c r="O306" i="2"/>
  <c r="N306" i="2"/>
  <c r="M306" i="2"/>
  <c r="P305" i="2"/>
  <c r="O305" i="2"/>
  <c r="N305" i="2"/>
  <c r="M305" i="2"/>
  <c r="P51" i="2"/>
  <c r="O51" i="2"/>
  <c r="N51" i="2"/>
  <c r="M51" i="2"/>
  <c r="P304" i="2"/>
  <c r="O304" i="2"/>
  <c r="N304" i="2"/>
  <c r="M304" i="2"/>
  <c r="P60" i="2"/>
  <c r="O60" i="2"/>
  <c r="N60" i="2"/>
  <c r="M60" i="2"/>
  <c r="P303" i="2"/>
  <c r="O303" i="2"/>
  <c r="N303" i="2"/>
  <c r="M303" i="2"/>
  <c r="P110" i="2"/>
  <c r="O110" i="2"/>
  <c r="N110" i="2"/>
  <c r="M110" i="2"/>
  <c r="P138" i="2"/>
  <c r="O138" i="2"/>
  <c r="N138" i="2"/>
  <c r="M138" i="2"/>
  <c r="P148" i="2"/>
  <c r="O148" i="2"/>
  <c r="N148" i="2"/>
  <c r="M148" i="2"/>
  <c r="P302" i="2"/>
  <c r="O302" i="2"/>
  <c r="N302" i="2"/>
  <c r="M302" i="2"/>
  <c r="P301" i="2"/>
  <c r="O301" i="2"/>
  <c r="N301" i="2"/>
  <c r="M301" i="2"/>
  <c r="P300" i="2"/>
  <c r="O300" i="2"/>
  <c r="N300" i="2"/>
  <c r="M300" i="2"/>
  <c r="P299" i="2"/>
  <c r="O299" i="2"/>
  <c r="N299" i="2"/>
  <c r="M299" i="2"/>
  <c r="P123" i="2"/>
  <c r="O123" i="2"/>
  <c r="N123" i="2"/>
  <c r="M123" i="2"/>
  <c r="P140" i="2"/>
  <c r="O140" i="2"/>
  <c r="N140" i="2"/>
  <c r="M140" i="2"/>
  <c r="P177" i="2"/>
  <c r="O177" i="2"/>
  <c r="N177" i="2"/>
  <c r="M177" i="2"/>
  <c r="P165" i="2"/>
  <c r="O165" i="2"/>
  <c r="N165" i="2"/>
  <c r="M165" i="2"/>
  <c r="P178" i="2"/>
  <c r="O178" i="2"/>
  <c r="N178" i="2"/>
  <c r="M178" i="2"/>
  <c r="P186" i="2"/>
  <c r="O186" i="2"/>
  <c r="N186" i="2"/>
  <c r="M186" i="2"/>
  <c r="P187" i="2"/>
  <c r="O187" i="2"/>
  <c r="N187" i="2"/>
  <c r="M187" i="2"/>
  <c r="P298" i="2"/>
  <c r="O298" i="2"/>
  <c r="N298" i="2"/>
  <c r="M298" i="2"/>
  <c r="P115" i="2"/>
  <c r="O115" i="2"/>
  <c r="N115" i="2"/>
  <c r="M115" i="2"/>
  <c r="P297" i="2"/>
  <c r="O297" i="2"/>
  <c r="N297" i="2"/>
  <c r="M297" i="2"/>
  <c r="P296" i="2"/>
  <c r="O296" i="2"/>
  <c r="N296" i="2"/>
  <c r="M296" i="2"/>
  <c r="P127" i="2"/>
  <c r="O127" i="2"/>
  <c r="N127" i="2"/>
  <c r="M127" i="2"/>
  <c r="P170" i="2"/>
  <c r="O170" i="2"/>
  <c r="N170" i="2"/>
  <c r="M170" i="2"/>
  <c r="P109" i="2"/>
  <c r="O109" i="2"/>
  <c r="N109" i="2"/>
  <c r="M109" i="2"/>
  <c r="P295" i="2"/>
  <c r="O295" i="2"/>
  <c r="N295" i="2"/>
  <c r="M295" i="2"/>
  <c r="P294" i="2"/>
  <c r="O294" i="2"/>
  <c r="N294" i="2"/>
  <c r="M294" i="2"/>
  <c r="P167" i="2"/>
  <c r="O167" i="2"/>
  <c r="N167" i="2"/>
  <c r="M167" i="2"/>
  <c r="P9" i="2"/>
  <c r="O9" i="2"/>
  <c r="N9" i="2"/>
  <c r="M9" i="2"/>
  <c r="P21" i="2"/>
  <c r="O21" i="2"/>
  <c r="N21" i="2"/>
  <c r="M21" i="2"/>
  <c r="P56" i="2"/>
  <c r="O56" i="2"/>
  <c r="N56" i="2"/>
  <c r="M56" i="2"/>
  <c r="P47" i="2"/>
  <c r="O47" i="2"/>
  <c r="N47" i="2"/>
  <c r="M47" i="2"/>
  <c r="P293" i="2"/>
  <c r="O293" i="2"/>
  <c r="N293" i="2"/>
  <c r="M293" i="2"/>
  <c r="P292" i="2"/>
  <c r="O292" i="2"/>
  <c r="N292" i="2"/>
  <c r="M292" i="2"/>
  <c r="P18" i="2"/>
  <c r="O18" i="2"/>
  <c r="N18" i="2"/>
  <c r="M18" i="2"/>
  <c r="P24" i="2"/>
  <c r="O24" i="2"/>
  <c r="N24" i="2"/>
  <c r="M24" i="2"/>
  <c r="P49" i="2"/>
  <c r="O49" i="2"/>
  <c r="N49" i="2"/>
  <c r="M49" i="2"/>
  <c r="P55" i="2"/>
  <c r="O55" i="2"/>
  <c r="N55" i="2"/>
  <c r="M55" i="2"/>
  <c r="P22" i="2"/>
  <c r="O22" i="2"/>
  <c r="N22" i="2"/>
  <c r="M22" i="2"/>
  <c r="P26" i="2"/>
  <c r="O26" i="2"/>
  <c r="N26" i="2"/>
  <c r="M26" i="2"/>
  <c r="P16" i="2"/>
  <c r="O16" i="2"/>
  <c r="N16" i="2"/>
  <c r="M16" i="2"/>
  <c r="P291" i="2"/>
  <c r="O291" i="2"/>
  <c r="N291" i="2"/>
  <c r="M291" i="2"/>
  <c r="P83" i="2"/>
  <c r="O83" i="2"/>
  <c r="N83" i="2"/>
  <c r="M83" i="2"/>
  <c r="P75" i="2"/>
  <c r="O75" i="2"/>
  <c r="N75" i="2"/>
  <c r="M75" i="2"/>
  <c r="P13" i="2"/>
  <c r="O13" i="2"/>
  <c r="N13" i="2"/>
  <c r="M13" i="2"/>
  <c r="P25" i="2"/>
  <c r="O25" i="2"/>
  <c r="N25" i="2"/>
  <c r="M25" i="2"/>
  <c r="P35" i="2"/>
  <c r="O35" i="2"/>
  <c r="N35" i="2"/>
  <c r="M35" i="2"/>
  <c r="P290" i="2"/>
  <c r="O290" i="2"/>
  <c r="N290" i="2"/>
  <c r="M290" i="2"/>
  <c r="P102" i="2"/>
  <c r="O102" i="2"/>
  <c r="N102" i="2"/>
  <c r="M102" i="2"/>
  <c r="P289" i="2"/>
  <c r="O289" i="2"/>
  <c r="N289" i="2"/>
  <c r="M289" i="2"/>
  <c r="P288" i="2"/>
  <c r="O288" i="2"/>
  <c r="N288" i="2"/>
  <c r="M288" i="2"/>
  <c r="P287" i="2"/>
  <c r="O287" i="2"/>
  <c r="N287" i="2"/>
  <c r="M287" i="2"/>
  <c r="P286" i="2"/>
  <c r="O286" i="2"/>
  <c r="N286" i="2"/>
  <c r="M286" i="2"/>
  <c r="P285" i="2"/>
  <c r="O285" i="2"/>
  <c r="N285" i="2"/>
  <c r="M285" i="2"/>
  <c r="P284" i="2"/>
  <c r="O284" i="2"/>
  <c r="N284" i="2"/>
  <c r="M284" i="2"/>
  <c r="P283" i="2"/>
  <c r="O283" i="2"/>
  <c r="N283" i="2"/>
  <c r="M283" i="2"/>
  <c r="P282" i="2"/>
  <c r="O282" i="2"/>
  <c r="N282" i="2"/>
  <c r="M282" i="2"/>
  <c r="P157" i="2"/>
  <c r="O157" i="2"/>
  <c r="N157" i="2"/>
  <c r="M157" i="2"/>
  <c r="P169" i="2"/>
  <c r="O169" i="2"/>
  <c r="N169" i="2"/>
  <c r="M169" i="2"/>
  <c r="P281" i="2"/>
  <c r="O281" i="2"/>
  <c r="N281" i="2"/>
  <c r="M281" i="2"/>
  <c r="P280" i="2"/>
  <c r="O280" i="2"/>
  <c r="N280" i="2"/>
  <c r="M280" i="2"/>
  <c r="P279" i="2"/>
  <c r="O279" i="2"/>
  <c r="N279" i="2"/>
  <c r="M279" i="2"/>
  <c r="P278" i="2"/>
  <c r="O278" i="2"/>
  <c r="N278" i="2"/>
  <c r="M278" i="2"/>
  <c r="P164" i="2"/>
  <c r="O164" i="2"/>
  <c r="N164" i="2"/>
  <c r="M164" i="2"/>
  <c r="P166" i="2"/>
  <c r="O166" i="2"/>
  <c r="N166" i="2"/>
  <c r="M166" i="2"/>
  <c r="P277" i="2"/>
  <c r="O277" i="2"/>
  <c r="N277" i="2"/>
  <c r="M277" i="2"/>
  <c r="P276" i="2"/>
  <c r="O276" i="2"/>
  <c r="N276" i="2"/>
  <c r="M276" i="2"/>
  <c r="P275" i="2"/>
  <c r="O275" i="2"/>
  <c r="N275" i="2"/>
  <c r="M275" i="2"/>
  <c r="P124" i="2"/>
  <c r="O124" i="2"/>
  <c r="N124" i="2"/>
  <c r="M124" i="2"/>
  <c r="P126" i="2"/>
  <c r="O126" i="2"/>
  <c r="N126" i="2"/>
  <c r="M126" i="2"/>
  <c r="P274" i="2"/>
  <c r="O274" i="2"/>
  <c r="N274" i="2"/>
  <c r="M274" i="2"/>
  <c r="P86" i="2"/>
  <c r="O86" i="2"/>
  <c r="N86" i="2"/>
  <c r="M86" i="2"/>
  <c r="P273" i="2"/>
  <c r="O273" i="2"/>
  <c r="N273" i="2"/>
  <c r="M273" i="2"/>
  <c r="P114" i="2"/>
  <c r="O114" i="2"/>
  <c r="N114" i="2"/>
  <c r="M114" i="2"/>
  <c r="P48" i="2"/>
  <c r="O48" i="2"/>
  <c r="N48" i="2"/>
  <c r="M48" i="2"/>
  <c r="P67" i="2"/>
  <c r="O67" i="2"/>
  <c r="N67" i="2"/>
  <c r="M67" i="2"/>
  <c r="P99" i="2"/>
  <c r="O99" i="2"/>
  <c r="N99" i="2"/>
  <c r="M99" i="2"/>
  <c r="P113" i="2"/>
  <c r="O113" i="2"/>
  <c r="N113" i="2"/>
  <c r="M113" i="2"/>
  <c r="P272" i="2"/>
  <c r="O272" i="2"/>
  <c r="N272" i="2"/>
  <c r="M272" i="2"/>
  <c r="P168" i="2"/>
  <c r="O168" i="2"/>
  <c r="N168" i="2"/>
  <c r="M168" i="2"/>
  <c r="P171" i="2"/>
  <c r="O171" i="2"/>
  <c r="N171" i="2"/>
  <c r="M171" i="2"/>
  <c r="P147" i="2"/>
  <c r="O147" i="2"/>
  <c r="N147" i="2"/>
  <c r="M147" i="2"/>
  <c r="P66" i="2"/>
  <c r="O66" i="2"/>
  <c r="N66" i="2"/>
  <c r="M66" i="2"/>
  <c r="P105" i="2"/>
  <c r="O105" i="2"/>
  <c r="N105" i="2"/>
  <c r="M105" i="2"/>
  <c r="P271" i="2"/>
  <c r="O271" i="2"/>
  <c r="N271" i="2"/>
  <c r="M271" i="2"/>
  <c r="P117" i="2"/>
  <c r="O117" i="2"/>
  <c r="N117" i="2"/>
  <c r="M117" i="2"/>
  <c r="P270" i="2"/>
  <c r="O270" i="2"/>
  <c r="N270" i="2"/>
  <c r="M270" i="2"/>
  <c r="P158" i="2"/>
  <c r="O158" i="2"/>
  <c r="N158" i="2"/>
  <c r="M158" i="2"/>
  <c r="P269" i="2"/>
  <c r="O269" i="2"/>
  <c r="N269" i="2"/>
  <c r="M269" i="2"/>
  <c r="P268" i="2"/>
  <c r="O268" i="2"/>
  <c r="N268" i="2"/>
  <c r="M268" i="2"/>
  <c r="P118" i="2"/>
  <c r="O118" i="2"/>
  <c r="N118" i="2"/>
  <c r="M118" i="2"/>
  <c r="P130" i="2"/>
  <c r="O130" i="2"/>
  <c r="N130" i="2"/>
  <c r="M130" i="2"/>
  <c r="P156" i="2"/>
  <c r="O156" i="2"/>
  <c r="N156" i="2"/>
  <c r="M156" i="2"/>
  <c r="P163" i="2"/>
  <c r="O163" i="2"/>
  <c r="N163" i="2"/>
  <c r="M163" i="2"/>
  <c r="P121" i="2"/>
  <c r="O121" i="2"/>
  <c r="N121" i="2"/>
  <c r="M121" i="2"/>
  <c r="P267" i="2"/>
  <c r="O267" i="2"/>
  <c r="N267" i="2"/>
  <c r="M267" i="2"/>
  <c r="P266" i="2"/>
  <c r="O266" i="2"/>
  <c r="N266" i="2"/>
  <c r="M266" i="2"/>
  <c r="P265" i="2"/>
  <c r="O265" i="2"/>
  <c r="N265" i="2"/>
  <c r="M265" i="2"/>
  <c r="P185" i="2"/>
  <c r="O185" i="2"/>
  <c r="N185" i="2"/>
  <c r="M185" i="2"/>
  <c r="P264" i="2"/>
  <c r="O264" i="2"/>
  <c r="N264" i="2"/>
  <c r="M264" i="2"/>
  <c r="P65" i="2"/>
  <c r="O65" i="2"/>
  <c r="N65" i="2"/>
  <c r="M65" i="2"/>
  <c r="P263" i="2"/>
  <c r="O263" i="2"/>
  <c r="N263" i="2"/>
  <c r="M263" i="2"/>
  <c r="P262" i="2"/>
  <c r="O262" i="2"/>
  <c r="N262" i="2"/>
  <c r="M262" i="2"/>
  <c r="P155" i="2"/>
  <c r="O155" i="2"/>
  <c r="N155" i="2"/>
  <c r="M155" i="2"/>
  <c r="P172" i="2"/>
  <c r="O172" i="2"/>
  <c r="N172" i="2"/>
  <c r="M172" i="2"/>
  <c r="P58" i="2"/>
  <c r="O58" i="2"/>
  <c r="N58" i="2"/>
  <c r="M58" i="2"/>
  <c r="P64" i="2"/>
  <c r="O64" i="2"/>
  <c r="N64" i="2"/>
  <c r="M64" i="2"/>
  <c r="P95" i="2"/>
  <c r="O95" i="2"/>
  <c r="N95" i="2"/>
  <c r="M95" i="2"/>
  <c r="P261" i="2"/>
  <c r="O261" i="2"/>
  <c r="N261" i="2"/>
  <c r="M261" i="2"/>
  <c r="P260" i="2"/>
  <c r="O260" i="2"/>
  <c r="N260" i="2"/>
  <c r="M260" i="2"/>
  <c r="P259" i="2"/>
  <c r="O259" i="2"/>
  <c r="N259" i="2"/>
  <c r="M259" i="2"/>
  <c r="P258" i="2"/>
  <c r="O258" i="2"/>
  <c r="N258" i="2"/>
  <c r="M258" i="2"/>
  <c r="P46" i="2"/>
  <c r="O46" i="2"/>
  <c r="N46" i="2"/>
  <c r="M46" i="2"/>
  <c r="P78" i="2"/>
  <c r="O78" i="2"/>
  <c r="N78" i="2"/>
  <c r="M78" i="2"/>
  <c r="P92" i="2"/>
  <c r="O92" i="2"/>
  <c r="N92" i="2"/>
  <c r="M92" i="2"/>
  <c r="P257" i="2"/>
  <c r="O257" i="2"/>
  <c r="N257" i="2"/>
  <c r="M257" i="2"/>
  <c r="P256" i="2"/>
  <c r="O256" i="2"/>
  <c r="N256" i="2"/>
  <c r="M256" i="2"/>
  <c r="P112" i="2"/>
  <c r="O112" i="2"/>
  <c r="N112" i="2"/>
  <c r="M112" i="2"/>
  <c r="P255" i="2"/>
  <c r="O255" i="2"/>
  <c r="N255" i="2"/>
  <c r="M255" i="2"/>
  <c r="P254" i="2"/>
  <c r="O254" i="2"/>
  <c r="N254" i="2"/>
  <c r="M254" i="2"/>
  <c r="P253" i="2"/>
  <c r="O253" i="2"/>
  <c r="N253" i="2"/>
  <c r="M253" i="2"/>
  <c r="P252" i="2"/>
  <c r="O252" i="2"/>
  <c r="N252" i="2"/>
  <c r="M252" i="2"/>
  <c r="P251" i="2"/>
  <c r="O251" i="2"/>
  <c r="N251" i="2"/>
  <c r="M251" i="2"/>
  <c r="P106" i="2"/>
  <c r="O106" i="2"/>
  <c r="N106" i="2"/>
  <c r="M106" i="2"/>
  <c r="P134" i="2"/>
  <c r="O134" i="2"/>
  <c r="N134" i="2"/>
  <c r="M134" i="2"/>
  <c r="P154" i="2"/>
  <c r="O154" i="2"/>
  <c r="N154" i="2"/>
  <c r="M154" i="2"/>
  <c r="P250" i="2"/>
  <c r="O250" i="2"/>
  <c r="N250" i="2"/>
  <c r="M250" i="2"/>
  <c r="P145" i="2"/>
  <c r="O145" i="2"/>
  <c r="N145" i="2"/>
  <c r="M145" i="2"/>
  <c r="P249" i="2"/>
  <c r="O249" i="2"/>
  <c r="N249" i="2"/>
  <c r="M249" i="2"/>
  <c r="P248" i="2"/>
  <c r="O248" i="2"/>
  <c r="N248" i="2"/>
  <c r="M248" i="2"/>
  <c r="P184" i="2"/>
  <c r="O184" i="2"/>
  <c r="N184" i="2"/>
  <c r="M184" i="2"/>
  <c r="P247" i="2"/>
  <c r="O247" i="2"/>
  <c r="N247" i="2"/>
  <c r="M247" i="2"/>
  <c r="P182" i="2"/>
  <c r="O182" i="2"/>
  <c r="N182" i="2"/>
  <c r="M182" i="2"/>
  <c r="P68" i="2"/>
  <c r="O68" i="2"/>
  <c r="N68" i="2"/>
  <c r="M68" i="2"/>
  <c r="P7" i="2"/>
  <c r="O7" i="2"/>
  <c r="N7" i="2"/>
  <c r="M7" i="2"/>
  <c r="P11" i="2"/>
  <c r="O11" i="2"/>
  <c r="N11" i="2"/>
  <c r="M11" i="2"/>
  <c r="P28" i="2"/>
  <c r="O28" i="2"/>
  <c r="N28" i="2"/>
  <c r="M28" i="2"/>
  <c r="P181" i="2"/>
  <c r="O181" i="2"/>
  <c r="N181" i="2"/>
  <c r="M181" i="2"/>
  <c r="P8" i="2"/>
  <c r="O8" i="2"/>
  <c r="N8" i="2"/>
  <c r="M8" i="2"/>
  <c r="P38" i="2"/>
  <c r="O38" i="2"/>
  <c r="N38" i="2"/>
  <c r="M38" i="2"/>
  <c r="P17" i="2"/>
  <c r="O17" i="2"/>
  <c r="N17" i="2"/>
  <c r="M17" i="2"/>
  <c r="P37" i="2"/>
  <c r="O37" i="2"/>
  <c r="N37" i="2"/>
  <c r="M37" i="2"/>
  <c r="P74" i="2"/>
  <c r="O74" i="2"/>
  <c r="N74" i="2"/>
  <c r="M74" i="2"/>
  <c r="P39" i="2"/>
  <c r="O39" i="2"/>
  <c r="N39" i="2"/>
  <c r="M39" i="2"/>
  <c r="P77" i="2"/>
  <c r="O77" i="2"/>
  <c r="N77" i="2"/>
  <c r="M77" i="2"/>
  <c r="P133" i="2"/>
  <c r="O133" i="2"/>
  <c r="N133" i="2"/>
  <c r="M133" i="2"/>
  <c r="P142" i="2"/>
  <c r="O142" i="2"/>
  <c r="N142" i="2"/>
  <c r="M142" i="2"/>
  <c r="P246" i="2"/>
  <c r="O246" i="2"/>
  <c r="N246" i="2"/>
  <c r="M246" i="2"/>
  <c r="P245" i="2"/>
  <c r="O245" i="2"/>
  <c r="N245" i="2"/>
  <c r="M245" i="2"/>
  <c r="P244" i="2"/>
  <c r="O244" i="2"/>
  <c r="N244" i="2"/>
  <c r="M244" i="2"/>
  <c r="P243" i="2"/>
  <c r="O243" i="2"/>
  <c r="N243" i="2"/>
  <c r="M243" i="2"/>
  <c r="P242" i="2"/>
  <c r="O242" i="2"/>
  <c r="N242" i="2"/>
  <c r="M242" i="2"/>
  <c r="P136" i="2"/>
  <c r="O136" i="2"/>
  <c r="N136" i="2"/>
  <c r="M136" i="2"/>
  <c r="P4" i="2"/>
  <c r="O4" i="2"/>
  <c r="N4" i="2"/>
  <c r="M4" i="2"/>
  <c r="P241" i="2"/>
  <c r="O241" i="2"/>
  <c r="N241" i="2"/>
  <c r="M241" i="2"/>
  <c r="P240" i="2"/>
  <c r="O240" i="2"/>
  <c r="N240" i="2"/>
  <c r="M240" i="2"/>
  <c r="P239" i="2"/>
  <c r="O239" i="2"/>
  <c r="N239" i="2"/>
  <c r="M239" i="2"/>
  <c r="P238" i="2"/>
  <c r="O238" i="2"/>
  <c r="N238" i="2"/>
  <c r="M238" i="2"/>
  <c r="P237" i="2"/>
  <c r="O237" i="2"/>
  <c r="N237" i="2"/>
  <c r="M237" i="2"/>
  <c r="P6" i="2"/>
  <c r="O6" i="2"/>
  <c r="N6" i="2"/>
  <c r="M6" i="2"/>
  <c r="P10" i="2"/>
  <c r="O10" i="2"/>
  <c r="N10" i="2"/>
  <c r="M10" i="2"/>
  <c r="P29" i="2"/>
  <c r="O29" i="2"/>
  <c r="N29" i="2"/>
  <c r="M29" i="2"/>
  <c r="P73" i="2"/>
  <c r="O73" i="2"/>
  <c r="N73" i="2"/>
  <c r="M73" i="2"/>
  <c r="P236" i="2"/>
  <c r="O236" i="2"/>
  <c r="N236" i="2"/>
  <c r="M236" i="2"/>
  <c r="P34" i="2"/>
  <c r="O34" i="2"/>
  <c r="N34" i="2"/>
  <c r="M34" i="2"/>
  <c r="P72" i="2"/>
  <c r="O72" i="2"/>
  <c r="N72" i="2"/>
  <c r="M72" i="2"/>
  <c r="P235" i="2"/>
  <c r="O235" i="2"/>
  <c r="N235" i="2"/>
  <c r="M235" i="2"/>
  <c r="P234" i="2"/>
  <c r="O234" i="2"/>
  <c r="N234" i="2"/>
  <c r="M234" i="2"/>
  <c r="P233" i="2"/>
  <c r="O233" i="2"/>
  <c r="N233" i="2"/>
  <c r="M233" i="2"/>
  <c r="P141" i="2"/>
  <c r="O141" i="2"/>
  <c r="N141" i="2"/>
  <c r="M141" i="2"/>
  <c r="P31" i="2"/>
  <c r="O31" i="2"/>
  <c r="N31" i="2"/>
  <c r="M31" i="2"/>
  <c r="P82" i="2"/>
  <c r="O82" i="2"/>
  <c r="N82" i="2"/>
  <c r="M82" i="2"/>
  <c r="P71" i="2"/>
  <c r="O71" i="2"/>
  <c r="N71" i="2"/>
  <c r="M71" i="2"/>
  <c r="P176" i="2"/>
  <c r="O176" i="2"/>
  <c r="N176" i="2"/>
  <c r="M176" i="2"/>
  <c r="P180" i="2"/>
  <c r="O180" i="2"/>
  <c r="N180" i="2"/>
  <c r="M180" i="2"/>
  <c r="P85" i="2"/>
  <c r="O85" i="2"/>
  <c r="N85" i="2"/>
  <c r="M85" i="2"/>
  <c r="P104" i="2"/>
  <c r="O104" i="2"/>
  <c r="N104" i="2"/>
  <c r="M104" i="2"/>
  <c r="P132" i="2"/>
  <c r="O132" i="2"/>
  <c r="N132" i="2"/>
  <c r="M132" i="2"/>
  <c r="P14" i="2"/>
  <c r="O14" i="2"/>
  <c r="N14" i="2"/>
  <c r="M14" i="2"/>
  <c r="P32" i="2"/>
  <c r="O32" i="2"/>
  <c r="N32" i="2"/>
  <c r="M32" i="2"/>
  <c r="P70" i="2"/>
  <c r="O70" i="2"/>
  <c r="N70" i="2"/>
  <c r="M70" i="2"/>
  <c r="P108" i="2"/>
  <c r="O108" i="2"/>
  <c r="N108" i="2"/>
  <c r="M108" i="2"/>
  <c r="P139" i="2"/>
  <c r="O139" i="2"/>
  <c r="N139" i="2"/>
  <c r="M139" i="2"/>
  <c r="P146" i="2"/>
  <c r="O146" i="2"/>
  <c r="N146" i="2"/>
  <c r="M146" i="2"/>
  <c r="P36" i="2"/>
  <c r="O36" i="2"/>
  <c r="N36" i="2"/>
  <c r="M36" i="2"/>
  <c r="P69" i="2"/>
  <c r="O69" i="2"/>
  <c r="N69" i="2"/>
  <c r="M69" i="2"/>
  <c r="P232" i="2"/>
  <c r="O232" i="2"/>
  <c r="N232" i="2"/>
  <c r="M232" i="2"/>
  <c r="P40" i="2"/>
  <c r="O40" i="2"/>
  <c r="N40" i="2"/>
  <c r="M40" i="2"/>
  <c r="P76" i="2"/>
  <c r="O76" i="2"/>
  <c r="N76" i="2"/>
  <c r="M76" i="2"/>
  <c r="P15" i="2"/>
  <c r="O15" i="2"/>
  <c r="N15" i="2"/>
  <c r="M15" i="2"/>
  <c r="P45" i="2"/>
  <c r="O45" i="2"/>
  <c r="N45" i="2"/>
  <c r="M45" i="2"/>
  <c r="P81" i="2"/>
  <c r="O81" i="2"/>
  <c r="N81" i="2"/>
  <c r="M81" i="2"/>
  <c r="P231" i="2"/>
  <c r="O231" i="2"/>
  <c r="N231" i="2"/>
  <c r="M231" i="2"/>
  <c r="P230" i="2"/>
  <c r="O230" i="2"/>
  <c r="N230" i="2"/>
  <c r="M230" i="2"/>
  <c r="P229" i="2"/>
  <c r="O229" i="2"/>
  <c r="N229" i="2"/>
  <c r="M229" i="2"/>
  <c r="P228" i="2"/>
  <c r="O228" i="2"/>
  <c r="N228" i="2"/>
  <c r="M228" i="2"/>
  <c r="P227" i="2"/>
  <c r="O227" i="2"/>
  <c r="N227" i="2"/>
  <c r="M227" i="2"/>
  <c r="P226" i="2"/>
  <c r="O226" i="2"/>
  <c r="N226" i="2"/>
  <c r="M226" i="2"/>
  <c r="P103" i="2"/>
  <c r="O103" i="2"/>
  <c r="N103" i="2"/>
  <c r="M103" i="2"/>
  <c r="P131" i="2"/>
  <c r="O131" i="2"/>
  <c r="N131" i="2"/>
  <c r="M131" i="2"/>
  <c r="P161" i="2"/>
  <c r="O161" i="2"/>
  <c r="N161" i="2"/>
  <c r="M161" i="2"/>
  <c r="P225" i="2"/>
  <c r="O225" i="2"/>
  <c r="N225" i="2"/>
  <c r="M225" i="2"/>
  <c r="P116" i="2"/>
  <c r="O116" i="2"/>
  <c r="N116" i="2"/>
  <c r="M116" i="2"/>
  <c r="P224" i="2"/>
  <c r="O224" i="2"/>
  <c r="N224" i="2"/>
  <c r="M224" i="2"/>
  <c r="P119" i="2"/>
  <c r="O119" i="2"/>
  <c r="N119" i="2"/>
  <c r="M119" i="2"/>
  <c r="P125" i="2"/>
  <c r="O125" i="2"/>
  <c r="N125" i="2"/>
  <c r="M125" i="2"/>
  <c r="P135" i="2"/>
  <c r="O135" i="2"/>
  <c r="N135" i="2"/>
  <c r="M135" i="2"/>
  <c r="P63" i="2"/>
  <c r="O63" i="2"/>
  <c r="N63" i="2"/>
  <c r="M63" i="2"/>
  <c r="P50" i="2"/>
  <c r="O50" i="2"/>
  <c r="N50" i="2"/>
  <c r="M50" i="2"/>
  <c r="P43" i="2"/>
  <c r="O43" i="2"/>
  <c r="N43" i="2"/>
  <c r="M43" i="2"/>
  <c r="P88" i="2"/>
  <c r="O88" i="2"/>
  <c r="N88" i="2"/>
  <c r="M88" i="2"/>
  <c r="P223" i="2"/>
  <c r="O223" i="2"/>
  <c r="N223" i="2"/>
  <c r="M223" i="2"/>
  <c r="P222" i="2"/>
  <c r="O222" i="2"/>
  <c r="N222" i="2"/>
  <c r="M222" i="2"/>
  <c r="P221" i="2"/>
  <c r="O221" i="2"/>
  <c r="N221" i="2"/>
  <c r="M221" i="2"/>
  <c r="P54" i="2"/>
  <c r="O54" i="2"/>
  <c r="N54" i="2"/>
  <c r="M54" i="2"/>
  <c r="P80" i="2"/>
  <c r="O80" i="2"/>
  <c r="N80" i="2"/>
  <c r="M80" i="2"/>
  <c r="P220" i="2"/>
  <c r="O220" i="2"/>
  <c r="N220" i="2"/>
  <c r="M220" i="2"/>
  <c r="P219" i="2"/>
  <c r="O219" i="2"/>
  <c r="N219" i="2"/>
  <c r="M219" i="2"/>
  <c r="P218" i="2"/>
  <c r="O218" i="2"/>
  <c r="N218" i="2"/>
  <c r="M218" i="2"/>
  <c r="P152" i="2"/>
  <c r="O152" i="2"/>
  <c r="N152" i="2"/>
  <c r="M152" i="2"/>
  <c r="P33" i="2"/>
  <c r="O33" i="2"/>
  <c r="N33" i="2"/>
  <c r="M33" i="2"/>
  <c r="P42" i="2"/>
  <c r="O42" i="2"/>
  <c r="N42" i="2"/>
  <c r="M42" i="2"/>
  <c r="P62" i="2"/>
  <c r="O62" i="2"/>
  <c r="N62" i="2"/>
  <c r="M62" i="2"/>
  <c r="P98" i="2"/>
  <c r="O98" i="2"/>
  <c r="N98" i="2"/>
  <c r="M98" i="2"/>
  <c r="P122" i="2"/>
  <c r="O122" i="2"/>
  <c r="N122" i="2"/>
  <c r="M122" i="2"/>
  <c r="P144" i="2"/>
  <c r="O144" i="2"/>
  <c r="N144" i="2"/>
  <c r="M144" i="2"/>
  <c r="P151" i="2"/>
  <c r="O151" i="2"/>
  <c r="N151" i="2"/>
  <c r="M151" i="2"/>
  <c r="P93" i="2"/>
  <c r="O93" i="2"/>
  <c r="N93" i="2"/>
  <c r="M93" i="2"/>
  <c r="P217" i="2"/>
  <c r="O217" i="2"/>
  <c r="N217" i="2"/>
  <c r="M217" i="2"/>
  <c r="P19" i="2"/>
  <c r="O19" i="2"/>
  <c r="N19" i="2"/>
  <c r="M19" i="2"/>
  <c r="P27" i="2"/>
  <c r="O27" i="2"/>
  <c r="N27" i="2"/>
  <c r="M27" i="2"/>
  <c r="P216" i="2"/>
  <c r="O216" i="2"/>
  <c r="N216" i="2"/>
  <c r="M216" i="2"/>
  <c r="P41" i="2"/>
  <c r="O41" i="2"/>
  <c r="N41" i="2"/>
  <c r="M41" i="2"/>
  <c r="P59" i="2"/>
  <c r="O59" i="2"/>
  <c r="N59" i="2"/>
  <c r="M59" i="2"/>
  <c r="P215" i="2"/>
  <c r="O215" i="2"/>
  <c r="N215" i="2"/>
  <c r="M215" i="2"/>
  <c r="P214" i="2"/>
  <c r="O214" i="2"/>
  <c r="N214" i="2"/>
  <c r="M214" i="2"/>
  <c r="P213" i="2"/>
  <c r="O213" i="2"/>
  <c r="N213" i="2"/>
  <c r="M213" i="2"/>
  <c r="P162" i="2"/>
  <c r="O162" i="2"/>
  <c r="N162" i="2"/>
  <c r="M162" i="2"/>
  <c r="P212" i="2"/>
  <c r="O212" i="2"/>
  <c r="N212" i="2"/>
  <c r="M212" i="2"/>
  <c r="P128" i="2"/>
  <c r="O128" i="2"/>
  <c r="N128" i="2"/>
  <c r="M128" i="2"/>
  <c r="P153" i="2"/>
  <c r="O153" i="2"/>
  <c r="N153" i="2"/>
  <c r="M153" i="2"/>
  <c r="P160" i="2"/>
  <c r="O160" i="2"/>
  <c r="N160" i="2"/>
  <c r="M160" i="2"/>
  <c r="P175" i="2"/>
  <c r="O175" i="2"/>
  <c r="N175" i="2"/>
  <c r="M175" i="2"/>
  <c r="P211" i="2"/>
  <c r="O211" i="2"/>
  <c r="N211" i="2"/>
  <c r="M211" i="2"/>
  <c r="P91" i="2"/>
  <c r="O91" i="2"/>
  <c r="N91" i="2"/>
  <c r="M91" i="2"/>
  <c r="P150" i="2"/>
  <c r="O150" i="2"/>
  <c r="N150" i="2"/>
  <c r="M150" i="2"/>
  <c r="P174" i="2"/>
  <c r="O174" i="2"/>
  <c r="N174" i="2"/>
  <c r="M174" i="2"/>
  <c r="P210" i="2"/>
  <c r="O210" i="2"/>
  <c r="N210" i="2"/>
  <c r="M210" i="2"/>
  <c r="P179" i="2"/>
  <c r="O179" i="2"/>
  <c r="N179" i="2"/>
  <c r="M179" i="2"/>
  <c r="P90" i="2"/>
  <c r="O90" i="2"/>
  <c r="N90" i="2"/>
  <c r="M90" i="2"/>
  <c r="P107" i="2"/>
  <c r="O107" i="2"/>
  <c r="N107" i="2"/>
  <c r="M107" i="2"/>
  <c r="P120" i="2"/>
  <c r="O120" i="2"/>
  <c r="N120" i="2"/>
  <c r="M120" i="2"/>
  <c r="P209" i="2"/>
  <c r="O209" i="2"/>
  <c r="N209" i="2"/>
  <c r="M209" i="2"/>
  <c r="P208" i="2"/>
  <c r="O208" i="2"/>
  <c r="N208" i="2"/>
  <c r="M208" i="2"/>
  <c r="P188" i="2"/>
  <c r="O188" i="2"/>
  <c r="N188" i="2"/>
  <c r="M188" i="2"/>
  <c r="P207" i="2"/>
  <c r="O207" i="2"/>
  <c r="N207" i="2"/>
  <c r="M207" i="2"/>
  <c r="P129" i="2"/>
  <c r="O129" i="2"/>
  <c r="N129" i="2"/>
  <c r="M129" i="2"/>
  <c r="P44" i="2"/>
  <c r="O44" i="2"/>
  <c r="N44" i="2"/>
  <c r="M44" i="2"/>
  <c r="P57" i="2"/>
  <c r="O57" i="2"/>
  <c r="N57" i="2"/>
  <c r="M57" i="2"/>
  <c r="P23" i="2"/>
  <c r="O23" i="2"/>
  <c r="N23" i="2"/>
  <c r="M23" i="2"/>
  <c r="P53" i="2"/>
  <c r="O53" i="2"/>
  <c r="N53" i="2"/>
  <c r="M53" i="2"/>
  <c r="P5" i="2"/>
  <c r="O5" i="2"/>
  <c r="N5" i="2"/>
  <c r="M5" i="2"/>
  <c r="P12" i="2"/>
  <c r="O12" i="2"/>
  <c r="N12" i="2"/>
  <c r="M12" i="2"/>
  <c r="P20" i="2"/>
  <c r="O20" i="2"/>
  <c r="N20" i="2"/>
  <c r="M20" i="2"/>
  <c r="P97" i="2"/>
  <c r="O97" i="2"/>
  <c r="N97" i="2"/>
  <c r="M97" i="2"/>
  <c r="P52" i="2"/>
  <c r="O52" i="2"/>
  <c r="N52" i="2"/>
  <c r="M52" i="2"/>
  <c r="P61" i="2"/>
  <c r="O61" i="2"/>
  <c r="N61" i="2"/>
  <c r="M61" i="2"/>
  <c r="P101" i="2"/>
  <c r="O101" i="2"/>
  <c r="N101" i="2"/>
  <c r="M101" i="2"/>
  <c r="P206" i="2"/>
  <c r="O206" i="2"/>
  <c r="N206" i="2"/>
  <c r="M206" i="2"/>
  <c r="P205" i="2"/>
  <c r="O205" i="2"/>
  <c r="N205" i="2"/>
  <c r="M205" i="2"/>
  <c r="P94" i="2"/>
  <c r="O94" i="2"/>
  <c r="N94" i="2"/>
  <c r="M94" i="2"/>
  <c r="P79" i="2"/>
  <c r="O79" i="2"/>
  <c r="N79" i="2"/>
  <c r="M79" i="2"/>
  <c r="P89" i="2"/>
  <c r="O89" i="2"/>
  <c r="N89" i="2"/>
  <c r="M89" i="2"/>
  <c r="P84" i="2"/>
  <c r="O84" i="2"/>
  <c r="N84" i="2"/>
  <c r="M84" i="2"/>
  <c r="P204" i="2"/>
  <c r="O204" i="2"/>
  <c r="N204" i="2"/>
  <c r="M204" i="2"/>
  <c r="P203" i="2"/>
  <c r="O203" i="2"/>
  <c r="N203" i="2"/>
  <c r="M203" i="2"/>
  <c r="P202" i="2"/>
  <c r="O202" i="2"/>
  <c r="N202" i="2"/>
  <c r="M202" i="2"/>
  <c r="P201" i="2"/>
  <c r="O201" i="2"/>
  <c r="N201" i="2"/>
  <c r="M201" i="2"/>
  <c r="P200" i="2"/>
  <c r="O200" i="2"/>
  <c r="N200" i="2"/>
  <c r="M200" i="2"/>
  <c r="P199" i="2"/>
  <c r="O199" i="2"/>
  <c r="N199" i="2"/>
  <c r="M199" i="2"/>
  <c r="P198" i="2"/>
  <c r="O198" i="2"/>
  <c r="N198" i="2"/>
  <c r="M198" i="2"/>
  <c r="P197" i="2"/>
  <c r="O197" i="2"/>
  <c r="N197" i="2"/>
  <c r="M197" i="2"/>
  <c r="P196" i="2"/>
  <c r="O196" i="2"/>
  <c r="N196" i="2"/>
  <c r="M196" i="2"/>
  <c r="P195" i="2"/>
  <c r="O195" i="2"/>
  <c r="N195" i="2"/>
  <c r="M195" i="2"/>
  <c r="P194" i="2"/>
  <c r="O194" i="2"/>
  <c r="N194" i="2"/>
  <c r="M194" i="2"/>
  <c r="P100" i="2"/>
  <c r="O100" i="2"/>
  <c r="N100" i="2"/>
  <c r="M100" i="2"/>
  <c r="P193" i="2"/>
  <c r="O193" i="2"/>
  <c r="N193" i="2"/>
  <c r="M193" i="2"/>
  <c r="P111" i="2"/>
  <c r="O111" i="2"/>
  <c r="N111" i="2"/>
  <c r="M111" i="2"/>
  <c r="P137" i="2"/>
  <c r="O137" i="2"/>
  <c r="N137" i="2"/>
  <c r="M137" i="2"/>
  <c r="P192" i="2"/>
  <c r="O192" i="2"/>
  <c r="N192" i="2"/>
  <c r="M192" i="2"/>
  <c r="P191" i="2"/>
  <c r="O191" i="2"/>
  <c r="N191" i="2"/>
  <c r="M191" i="2"/>
  <c r="P190" i="2"/>
  <c r="O190" i="2"/>
  <c r="N190" i="2"/>
  <c r="M190" i="2"/>
  <c r="P189" i="2"/>
  <c r="O189" i="2"/>
  <c r="N189" i="2"/>
  <c r="M189" i="2"/>
  <c r="AU50" i="1"/>
  <c r="AR50" i="1"/>
  <c r="AP50" i="1"/>
  <c r="AI50" i="1"/>
  <c r="AN50" i="1" s="1"/>
  <c r="AH50" i="1"/>
  <c r="AF50" i="1"/>
  <c r="AE50" i="1"/>
  <c r="AB50" i="1"/>
  <c r="AA50" i="1"/>
  <c r="Z50" i="1"/>
  <c r="Y50" i="1"/>
  <c r="X50" i="1"/>
  <c r="W50" i="1"/>
  <c r="P50" i="1"/>
  <c r="O50" i="1"/>
  <c r="AD50" i="1" s="1"/>
  <c r="N50" i="1"/>
  <c r="AO50" i="1" s="1"/>
  <c r="M50" i="1"/>
  <c r="AU49" i="1"/>
  <c r="AT49" i="1"/>
  <c r="AR49" i="1"/>
  <c r="AP49" i="1"/>
  <c r="AJ49" i="1"/>
  <c r="AI49" i="1"/>
  <c r="AN49" i="1" s="1"/>
  <c r="AH49" i="1"/>
  <c r="AF49" i="1"/>
  <c r="AE49" i="1"/>
  <c r="AC49" i="1"/>
  <c r="AB49" i="1"/>
  <c r="AA49" i="1"/>
  <c r="Z49" i="1"/>
  <c r="Y49" i="1"/>
  <c r="X49" i="1"/>
  <c r="W49" i="1"/>
  <c r="P49" i="1"/>
  <c r="O49" i="1"/>
  <c r="AD49" i="1" s="1"/>
  <c r="N49" i="1"/>
  <c r="AO49" i="1" s="1"/>
  <c r="AV49" i="1" s="1"/>
  <c r="M49" i="1"/>
  <c r="AU48" i="1"/>
  <c r="AR48" i="1"/>
  <c r="AP48" i="1"/>
  <c r="AN48" i="1"/>
  <c r="AI48" i="1"/>
  <c r="AT48" i="1" s="1"/>
  <c r="AH48" i="1"/>
  <c r="AF48" i="1"/>
  <c r="AE48" i="1"/>
  <c r="AD48" i="1"/>
  <c r="AC48" i="1"/>
  <c r="AB48" i="1"/>
  <c r="AA48" i="1"/>
  <c r="Z48" i="1"/>
  <c r="Y48" i="1"/>
  <c r="X48" i="1"/>
  <c r="W48" i="1"/>
  <c r="P48" i="1"/>
  <c r="O48" i="1"/>
  <c r="AQ48" i="1" s="1"/>
  <c r="N48" i="1"/>
  <c r="AO48" i="1" s="1"/>
  <c r="M48" i="1"/>
  <c r="AU47" i="1"/>
  <c r="AT47" i="1"/>
  <c r="AP47" i="1"/>
  <c r="AO47" i="1"/>
  <c r="AN47" i="1"/>
  <c r="AJ47" i="1"/>
  <c r="AI47" i="1"/>
  <c r="AH47" i="1"/>
  <c r="AF47" i="1"/>
  <c r="AE47" i="1"/>
  <c r="AD47" i="1"/>
  <c r="AC47" i="1"/>
  <c r="AA47" i="1"/>
  <c r="Z47" i="1"/>
  <c r="Y47" i="1"/>
  <c r="X47" i="1"/>
  <c r="W47" i="1"/>
  <c r="P47" i="1"/>
  <c r="O47" i="1"/>
  <c r="AQ47" i="1" s="1"/>
  <c r="N47" i="1"/>
  <c r="M47" i="1"/>
  <c r="AR47" i="1" s="1"/>
  <c r="AU46" i="1"/>
  <c r="AP46" i="1"/>
  <c r="AN46" i="1"/>
  <c r="AI46" i="1"/>
  <c r="AT46" i="1" s="1"/>
  <c r="AH46" i="1"/>
  <c r="AF46" i="1"/>
  <c r="AE46" i="1"/>
  <c r="AD46" i="1"/>
  <c r="AA46" i="1"/>
  <c r="Z46" i="1"/>
  <c r="Y46" i="1"/>
  <c r="X46" i="1"/>
  <c r="W46" i="1"/>
  <c r="P46" i="1"/>
  <c r="O46" i="1"/>
  <c r="AQ46" i="1" s="1"/>
  <c r="N46" i="1"/>
  <c r="AC46" i="1" s="1"/>
  <c r="M46" i="1"/>
  <c r="AR46" i="1" s="1"/>
  <c r="AU45" i="1"/>
  <c r="AP45" i="1"/>
  <c r="AO45" i="1"/>
  <c r="AI45" i="1"/>
  <c r="AN45" i="1" s="1"/>
  <c r="AH45" i="1"/>
  <c r="AF45" i="1"/>
  <c r="AE45" i="1"/>
  <c r="AA45" i="1"/>
  <c r="Z45" i="1"/>
  <c r="Y45" i="1"/>
  <c r="X45" i="1"/>
  <c r="W45" i="1"/>
  <c r="P45" i="1"/>
  <c r="O45" i="1"/>
  <c r="AD45" i="1" s="1"/>
  <c r="N45" i="1"/>
  <c r="AC45" i="1" s="1"/>
  <c r="M45" i="1"/>
  <c r="AR45" i="1" s="1"/>
  <c r="AU44" i="1"/>
  <c r="AR44" i="1"/>
  <c r="AP44" i="1"/>
  <c r="AI44" i="1"/>
  <c r="AN44" i="1" s="1"/>
  <c r="AH44" i="1"/>
  <c r="AF44" i="1"/>
  <c r="AE44" i="1"/>
  <c r="AB44" i="1"/>
  <c r="AA44" i="1"/>
  <c r="Z44" i="1"/>
  <c r="Y44" i="1"/>
  <c r="X44" i="1"/>
  <c r="W44" i="1"/>
  <c r="P44" i="1"/>
  <c r="O44" i="1"/>
  <c r="AD44" i="1" s="1"/>
  <c r="N44" i="1"/>
  <c r="AO44" i="1" s="1"/>
  <c r="M44" i="1"/>
  <c r="AU43" i="1"/>
  <c r="AT43" i="1"/>
  <c r="AR43" i="1"/>
  <c r="AP43" i="1"/>
  <c r="AJ43" i="1"/>
  <c r="AI43" i="1"/>
  <c r="AN43" i="1" s="1"/>
  <c r="AH43" i="1"/>
  <c r="AF43" i="1"/>
  <c r="AE43" i="1"/>
  <c r="AC43" i="1"/>
  <c r="AB43" i="1"/>
  <c r="AA43" i="1"/>
  <c r="Z43" i="1"/>
  <c r="Y43" i="1"/>
  <c r="X43" i="1"/>
  <c r="W43" i="1"/>
  <c r="P43" i="1"/>
  <c r="O43" i="1"/>
  <c r="AD43" i="1" s="1"/>
  <c r="N43" i="1"/>
  <c r="AO43" i="1" s="1"/>
  <c r="AV43" i="1" s="1"/>
  <c r="M43" i="1"/>
  <c r="AU42" i="1"/>
  <c r="AR42" i="1"/>
  <c r="AP42" i="1"/>
  <c r="AN42" i="1"/>
  <c r="AI42" i="1"/>
  <c r="AT42" i="1" s="1"/>
  <c r="AH42" i="1"/>
  <c r="AF42" i="1"/>
  <c r="AE42" i="1"/>
  <c r="AD42" i="1"/>
  <c r="AC42" i="1"/>
  <c r="AB42" i="1"/>
  <c r="AA42" i="1"/>
  <c r="Z42" i="1"/>
  <c r="Y42" i="1"/>
  <c r="X42" i="1"/>
  <c r="W42" i="1"/>
  <c r="P42" i="1"/>
  <c r="O42" i="1"/>
  <c r="AQ42" i="1" s="1"/>
  <c r="N42" i="1"/>
  <c r="AO42" i="1" s="1"/>
  <c r="M42" i="1"/>
  <c r="AU41" i="1"/>
  <c r="AT41" i="1"/>
  <c r="AP41" i="1"/>
  <c r="AO41" i="1"/>
  <c r="AN41" i="1"/>
  <c r="AJ41" i="1"/>
  <c r="AI41" i="1"/>
  <c r="AH41" i="1"/>
  <c r="AF41" i="1"/>
  <c r="AE41" i="1"/>
  <c r="AD41" i="1"/>
  <c r="AC41" i="1"/>
  <c r="AA41" i="1"/>
  <c r="Z41" i="1"/>
  <c r="Y41" i="1"/>
  <c r="X41" i="1"/>
  <c r="W41" i="1"/>
  <c r="P41" i="1"/>
  <c r="O41" i="1"/>
  <c r="AQ41" i="1" s="1"/>
  <c r="N41" i="1"/>
  <c r="M41" i="1"/>
  <c r="AR41" i="1" s="1"/>
  <c r="AU40" i="1"/>
  <c r="AP40" i="1"/>
  <c r="AN40" i="1"/>
  <c r="AJ40" i="1"/>
  <c r="AI40" i="1"/>
  <c r="AT40" i="1" s="1"/>
  <c r="AH40" i="1"/>
  <c r="AF40" i="1"/>
  <c r="AE40" i="1"/>
  <c r="AD40" i="1"/>
  <c r="AA40" i="1"/>
  <c r="Z40" i="1"/>
  <c r="Y40" i="1"/>
  <c r="X40" i="1"/>
  <c r="W40" i="1"/>
  <c r="P40" i="1"/>
  <c r="O40" i="1"/>
  <c r="AQ40" i="1" s="1"/>
  <c r="N40" i="1"/>
  <c r="AC40" i="1" s="1"/>
  <c r="M40" i="1"/>
  <c r="AR40" i="1" s="1"/>
  <c r="AU39" i="1"/>
  <c r="AP39" i="1"/>
  <c r="AO39" i="1"/>
  <c r="AI39" i="1"/>
  <c r="AN39" i="1" s="1"/>
  <c r="AH39" i="1"/>
  <c r="AF39" i="1"/>
  <c r="AE39" i="1"/>
  <c r="AA39" i="1"/>
  <c r="Z39" i="1"/>
  <c r="Y39" i="1"/>
  <c r="X39" i="1"/>
  <c r="W39" i="1"/>
  <c r="P39" i="1"/>
  <c r="O39" i="1"/>
  <c r="AD39" i="1" s="1"/>
  <c r="N39" i="1"/>
  <c r="AC39" i="1" s="1"/>
  <c r="M39" i="1"/>
  <c r="AR39" i="1" s="1"/>
  <c r="AU38" i="1"/>
  <c r="AR38" i="1"/>
  <c r="AP38" i="1"/>
  <c r="AI38" i="1"/>
  <c r="AN38" i="1" s="1"/>
  <c r="AH38" i="1"/>
  <c r="AF38" i="1"/>
  <c r="AE38" i="1"/>
  <c r="AB38" i="1"/>
  <c r="AA38" i="1"/>
  <c r="Z38" i="1"/>
  <c r="Y38" i="1"/>
  <c r="X38" i="1"/>
  <c r="W38" i="1"/>
  <c r="P38" i="1"/>
  <c r="O38" i="1"/>
  <c r="AD38" i="1" s="1"/>
  <c r="N38" i="1"/>
  <c r="AO38" i="1" s="1"/>
  <c r="M38" i="1"/>
  <c r="AU37" i="1"/>
  <c r="AT37" i="1"/>
  <c r="AR37" i="1"/>
  <c r="AP37" i="1"/>
  <c r="AJ37" i="1"/>
  <c r="AI37" i="1"/>
  <c r="AN37" i="1" s="1"/>
  <c r="AH37" i="1"/>
  <c r="AF37" i="1"/>
  <c r="AE37" i="1"/>
  <c r="AC37" i="1"/>
  <c r="AB37" i="1"/>
  <c r="AA37" i="1"/>
  <c r="Z37" i="1"/>
  <c r="Y37" i="1"/>
  <c r="X37" i="1"/>
  <c r="W37" i="1"/>
  <c r="P37" i="1"/>
  <c r="O37" i="1"/>
  <c r="AD37" i="1" s="1"/>
  <c r="N37" i="1"/>
  <c r="AO37" i="1" s="1"/>
  <c r="AV37" i="1" s="1"/>
  <c r="M37" i="1"/>
  <c r="AU36" i="1"/>
  <c r="AR36" i="1"/>
  <c r="AP36" i="1"/>
  <c r="AN36" i="1"/>
  <c r="AI36" i="1"/>
  <c r="AT36" i="1" s="1"/>
  <c r="AH36" i="1"/>
  <c r="AF36" i="1"/>
  <c r="AE36" i="1"/>
  <c r="AD36" i="1"/>
  <c r="AC36" i="1"/>
  <c r="AB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U35" i="1"/>
  <c r="AT35" i="1"/>
  <c r="AP35" i="1"/>
  <c r="AO35" i="1"/>
  <c r="AN35" i="1"/>
  <c r="AJ35" i="1"/>
  <c r="AI35" i="1"/>
  <c r="AH35" i="1"/>
  <c r="AF35" i="1"/>
  <c r="AE35" i="1"/>
  <c r="AD35" i="1"/>
  <c r="AC35" i="1"/>
  <c r="AA35" i="1"/>
  <c r="Z35" i="1"/>
  <c r="Y35" i="1"/>
  <c r="X35" i="1"/>
  <c r="W35" i="1"/>
  <c r="P35" i="1"/>
  <c r="O35" i="1"/>
  <c r="AQ35" i="1" s="1"/>
  <c r="N35" i="1"/>
  <c r="M35" i="1"/>
  <c r="AR35" i="1" s="1"/>
  <c r="AU34" i="1"/>
  <c r="AP34" i="1"/>
  <c r="AN34" i="1"/>
  <c r="AI34" i="1"/>
  <c r="AT34" i="1" s="1"/>
  <c r="AH34" i="1"/>
  <c r="AF34" i="1"/>
  <c r="AE34" i="1"/>
  <c r="AD34" i="1"/>
  <c r="AA34" i="1"/>
  <c r="Z34" i="1"/>
  <c r="Y34" i="1"/>
  <c r="X34" i="1"/>
  <c r="W34" i="1"/>
  <c r="P34" i="1"/>
  <c r="O34" i="1"/>
  <c r="AQ34" i="1" s="1"/>
  <c r="N34" i="1"/>
  <c r="AC34" i="1" s="1"/>
  <c r="M34" i="1"/>
  <c r="AR34" i="1" s="1"/>
  <c r="AU33" i="1"/>
  <c r="AP33" i="1"/>
  <c r="AO33" i="1"/>
  <c r="AV33" i="1" s="1"/>
  <c r="AN33" i="1"/>
  <c r="AI33" i="1"/>
  <c r="AT33" i="1" s="1"/>
  <c r="AH33" i="1"/>
  <c r="AF33" i="1"/>
  <c r="AE33" i="1"/>
  <c r="AA33" i="1"/>
  <c r="Z33" i="1"/>
  <c r="Y33" i="1"/>
  <c r="X33" i="1"/>
  <c r="W33" i="1"/>
  <c r="P33" i="1"/>
  <c r="O33" i="1"/>
  <c r="AD33" i="1" s="1"/>
  <c r="N33" i="1"/>
  <c r="AC33" i="1" s="1"/>
  <c r="M33" i="1"/>
  <c r="AR33" i="1" s="1"/>
  <c r="AU32" i="1"/>
  <c r="AR32" i="1"/>
  <c r="AP32" i="1"/>
  <c r="AI32" i="1"/>
  <c r="AN32" i="1" s="1"/>
  <c r="AH32" i="1"/>
  <c r="AF32" i="1"/>
  <c r="AE32" i="1"/>
  <c r="AB32" i="1"/>
  <c r="AA32" i="1"/>
  <c r="Z32" i="1"/>
  <c r="Y32" i="1"/>
  <c r="X32" i="1"/>
  <c r="W32" i="1"/>
  <c r="P32" i="1"/>
  <c r="O32" i="1"/>
  <c r="AD32" i="1" s="1"/>
  <c r="N32" i="1"/>
  <c r="AO32" i="1" s="1"/>
  <c r="M32" i="1"/>
  <c r="AU31" i="1"/>
  <c r="AT31" i="1"/>
  <c r="AR31" i="1"/>
  <c r="AP31" i="1"/>
  <c r="AJ31" i="1"/>
  <c r="AI31" i="1"/>
  <c r="AN31" i="1" s="1"/>
  <c r="AH31" i="1"/>
  <c r="AF31" i="1"/>
  <c r="AE31" i="1"/>
  <c r="AC31" i="1"/>
  <c r="AB31" i="1"/>
  <c r="AA31" i="1"/>
  <c r="Z31" i="1"/>
  <c r="Y31" i="1"/>
  <c r="X31" i="1"/>
  <c r="W31" i="1"/>
  <c r="P31" i="1"/>
  <c r="O31" i="1"/>
  <c r="AD31" i="1" s="1"/>
  <c r="N31" i="1"/>
  <c r="AO31" i="1" s="1"/>
  <c r="AV31" i="1" s="1"/>
  <c r="M31" i="1"/>
  <c r="AU30" i="1"/>
  <c r="AR30" i="1"/>
  <c r="AP30" i="1"/>
  <c r="AN30" i="1"/>
  <c r="AI30" i="1"/>
  <c r="AT30" i="1" s="1"/>
  <c r="AH30" i="1"/>
  <c r="AF30" i="1"/>
  <c r="AE30" i="1"/>
  <c r="AD30" i="1"/>
  <c r="AC30" i="1"/>
  <c r="AB30" i="1"/>
  <c r="AA30" i="1"/>
  <c r="Z30" i="1"/>
  <c r="Y30" i="1"/>
  <c r="X30" i="1"/>
  <c r="W30" i="1"/>
  <c r="P30" i="1"/>
  <c r="O30" i="1"/>
  <c r="AQ30" i="1" s="1"/>
  <c r="N30" i="1"/>
  <c r="AO30" i="1" s="1"/>
  <c r="M30" i="1"/>
  <c r="AU29" i="1"/>
  <c r="AT29" i="1"/>
  <c r="AP29" i="1"/>
  <c r="AO29" i="1"/>
  <c r="AN29" i="1"/>
  <c r="AJ29" i="1"/>
  <c r="AI29" i="1"/>
  <c r="AH29" i="1"/>
  <c r="AF29" i="1"/>
  <c r="AE29" i="1"/>
  <c r="AD29" i="1"/>
  <c r="AC29" i="1"/>
  <c r="AA29" i="1"/>
  <c r="Z29" i="1"/>
  <c r="Y29" i="1"/>
  <c r="X29" i="1"/>
  <c r="W29" i="1"/>
  <c r="P29" i="1"/>
  <c r="O29" i="1"/>
  <c r="AQ29" i="1" s="1"/>
  <c r="N29" i="1"/>
  <c r="M29" i="1"/>
  <c r="AR29" i="1" s="1"/>
  <c r="AU28" i="1"/>
  <c r="AP28" i="1"/>
  <c r="AN28" i="1"/>
  <c r="AI28" i="1"/>
  <c r="AT28" i="1" s="1"/>
  <c r="AH28" i="1"/>
  <c r="AF28" i="1"/>
  <c r="AE28" i="1"/>
  <c r="AD28" i="1"/>
  <c r="AA28" i="1"/>
  <c r="Z28" i="1"/>
  <c r="Y28" i="1"/>
  <c r="X28" i="1"/>
  <c r="W28" i="1"/>
  <c r="P28" i="1"/>
  <c r="O28" i="1"/>
  <c r="AQ28" i="1" s="1"/>
  <c r="N28" i="1"/>
  <c r="AC28" i="1" s="1"/>
  <c r="M28" i="1"/>
  <c r="AR28" i="1" s="1"/>
  <c r="AU27" i="1"/>
  <c r="AP27" i="1"/>
  <c r="AO27" i="1"/>
  <c r="AV27" i="1" s="1"/>
  <c r="AN27" i="1"/>
  <c r="AJ27" i="1"/>
  <c r="AI27" i="1"/>
  <c r="AT27" i="1" s="1"/>
  <c r="AH27" i="1"/>
  <c r="AF27" i="1"/>
  <c r="AE27" i="1"/>
  <c r="AA27" i="1"/>
  <c r="Z27" i="1"/>
  <c r="Y27" i="1"/>
  <c r="X27" i="1"/>
  <c r="W27" i="1"/>
  <c r="P27" i="1"/>
  <c r="O27" i="1"/>
  <c r="AD27" i="1" s="1"/>
  <c r="N27" i="1"/>
  <c r="AC27" i="1" s="1"/>
  <c r="M27" i="1"/>
  <c r="AR27" i="1" s="1"/>
  <c r="AU26" i="1"/>
  <c r="AR26" i="1"/>
  <c r="AP26" i="1"/>
  <c r="AI26" i="1"/>
  <c r="AN26" i="1" s="1"/>
  <c r="AH26" i="1"/>
  <c r="AF26" i="1"/>
  <c r="AE26" i="1"/>
  <c r="AB26" i="1"/>
  <c r="AA26" i="1"/>
  <c r="Z26" i="1"/>
  <c r="Y26" i="1"/>
  <c r="X26" i="1"/>
  <c r="W26" i="1"/>
  <c r="P26" i="1"/>
  <c r="O26" i="1"/>
  <c r="AD26" i="1" s="1"/>
  <c r="N26" i="1"/>
  <c r="AO26" i="1" s="1"/>
  <c r="M26" i="1"/>
  <c r="AU25" i="1"/>
  <c r="AT25" i="1"/>
  <c r="AR25" i="1"/>
  <c r="AP25" i="1"/>
  <c r="AJ25" i="1"/>
  <c r="AI25" i="1"/>
  <c r="AN25" i="1" s="1"/>
  <c r="AH25" i="1"/>
  <c r="AF25" i="1"/>
  <c r="AE25" i="1"/>
  <c r="AC25" i="1"/>
  <c r="AB25" i="1"/>
  <c r="AA25" i="1"/>
  <c r="Z25" i="1"/>
  <c r="Y25" i="1"/>
  <c r="X25" i="1"/>
  <c r="W25" i="1"/>
  <c r="P25" i="1"/>
  <c r="O25" i="1"/>
  <c r="AD25" i="1" s="1"/>
  <c r="N25" i="1"/>
  <c r="AO25" i="1" s="1"/>
  <c r="AV25" i="1" s="1"/>
  <c r="M25" i="1"/>
  <c r="AU24" i="1"/>
  <c r="AR24" i="1"/>
  <c r="AP24" i="1"/>
  <c r="AN24" i="1"/>
  <c r="AI24" i="1"/>
  <c r="AT24" i="1" s="1"/>
  <c r="AH24" i="1"/>
  <c r="AF24" i="1"/>
  <c r="AE24" i="1"/>
  <c r="AD24" i="1"/>
  <c r="AC24" i="1"/>
  <c r="AB24" i="1"/>
  <c r="AA24" i="1"/>
  <c r="Z24" i="1"/>
  <c r="Y24" i="1"/>
  <c r="X24" i="1"/>
  <c r="W24" i="1"/>
  <c r="P24" i="1"/>
  <c r="O24" i="1"/>
  <c r="AQ24" i="1" s="1"/>
  <c r="N24" i="1"/>
  <c r="AO24" i="1" s="1"/>
  <c r="M24" i="1"/>
  <c r="AU23" i="1"/>
  <c r="AT23" i="1"/>
  <c r="AP23" i="1"/>
  <c r="AO23" i="1"/>
  <c r="AV23" i="1" s="1"/>
  <c r="AN23" i="1"/>
  <c r="AJ23" i="1"/>
  <c r="AI23" i="1"/>
  <c r="AH23" i="1"/>
  <c r="AF23" i="1"/>
  <c r="AE23" i="1"/>
  <c r="AD23" i="1"/>
  <c r="AC23" i="1"/>
  <c r="AA23" i="1"/>
  <c r="Z23" i="1"/>
  <c r="Y23" i="1"/>
  <c r="X23" i="1"/>
  <c r="W23" i="1"/>
  <c r="P23" i="1"/>
  <c r="O23" i="1"/>
  <c r="AQ23" i="1" s="1"/>
  <c r="N23" i="1"/>
  <c r="M23" i="1"/>
  <c r="AR23" i="1" s="1"/>
  <c r="AU22" i="1"/>
  <c r="AP22" i="1"/>
  <c r="AN22" i="1"/>
  <c r="AJ22" i="1"/>
  <c r="AI22" i="1"/>
  <c r="AT22" i="1" s="1"/>
  <c r="AH22" i="1"/>
  <c r="AF22" i="1"/>
  <c r="AE22" i="1"/>
  <c r="AD22" i="1"/>
  <c r="AA22" i="1"/>
  <c r="Z22" i="1"/>
  <c r="Y22" i="1"/>
  <c r="X22" i="1"/>
  <c r="W22" i="1"/>
  <c r="P22" i="1"/>
  <c r="O22" i="1"/>
  <c r="AQ22" i="1" s="1"/>
  <c r="N22" i="1"/>
  <c r="AC22" i="1" s="1"/>
  <c r="M22" i="1"/>
  <c r="AR22" i="1" s="1"/>
  <c r="AU21" i="1"/>
  <c r="AP21" i="1"/>
  <c r="AO21" i="1"/>
  <c r="AN21" i="1"/>
  <c r="AI21" i="1"/>
  <c r="AT21" i="1" s="1"/>
  <c r="AH21" i="1"/>
  <c r="AF21" i="1"/>
  <c r="AE21" i="1"/>
  <c r="AA21" i="1"/>
  <c r="Z21" i="1"/>
  <c r="Y21" i="1"/>
  <c r="X21" i="1"/>
  <c r="W21" i="1"/>
  <c r="P21" i="1"/>
  <c r="O21" i="1"/>
  <c r="AD21" i="1" s="1"/>
  <c r="N21" i="1"/>
  <c r="AC21" i="1" s="1"/>
  <c r="M21" i="1"/>
  <c r="AR21" i="1" s="1"/>
  <c r="AU20" i="1"/>
  <c r="AR20" i="1"/>
  <c r="AP20" i="1"/>
  <c r="AI20" i="1"/>
  <c r="AN20" i="1" s="1"/>
  <c r="AH20" i="1"/>
  <c r="AF20" i="1"/>
  <c r="AE20" i="1"/>
  <c r="AB20" i="1"/>
  <c r="AA20" i="1"/>
  <c r="Z20" i="1"/>
  <c r="Y20" i="1"/>
  <c r="X20" i="1"/>
  <c r="W20" i="1"/>
  <c r="P20" i="1"/>
  <c r="O20" i="1"/>
  <c r="AD20" i="1" s="1"/>
  <c r="N20" i="1"/>
  <c r="AO20" i="1" s="1"/>
  <c r="M20" i="1"/>
  <c r="AU19" i="1"/>
  <c r="AT19" i="1"/>
  <c r="AR19" i="1"/>
  <c r="AP19" i="1"/>
  <c r="AJ19" i="1"/>
  <c r="AI19" i="1"/>
  <c r="AN19" i="1" s="1"/>
  <c r="AH19" i="1"/>
  <c r="AF19" i="1"/>
  <c r="AE19" i="1"/>
  <c r="AC19" i="1"/>
  <c r="AB19" i="1"/>
  <c r="AA19" i="1"/>
  <c r="Z19" i="1"/>
  <c r="Y19" i="1"/>
  <c r="X19" i="1"/>
  <c r="W19" i="1"/>
  <c r="P19" i="1"/>
  <c r="O19" i="1"/>
  <c r="AD19" i="1" s="1"/>
  <c r="N19" i="1"/>
  <c r="AO19" i="1" s="1"/>
  <c r="AV19" i="1" s="1"/>
  <c r="M19" i="1"/>
  <c r="AU18" i="1"/>
  <c r="AT18" i="1"/>
  <c r="AR18" i="1"/>
  <c r="AP18" i="1"/>
  <c r="AN18" i="1"/>
  <c r="AJ18" i="1"/>
  <c r="AI18" i="1"/>
  <c r="AH18" i="1"/>
  <c r="AF18" i="1"/>
  <c r="AE18" i="1"/>
  <c r="AD18" i="1"/>
  <c r="AC18" i="1"/>
  <c r="AB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U17" i="1"/>
  <c r="AT17" i="1"/>
  <c r="AP17" i="1"/>
  <c r="AO17" i="1"/>
  <c r="AN17" i="1"/>
  <c r="AJ17" i="1"/>
  <c r="AI17" i="1"/>
  <c r="AH17" i="1"/>
  <c r="AF17" i="1"/>
  <c r="AE17" i="1"/>
  <c r="AD17" i="1"/>
  <c r="AC17" i="1"/>
  <c r="AA17" i="1"/>
  <c r="Z17" i="1"/>
  <c r="Y17" i="1"/>
  <c r="X17" i="1"/>
  <c r="W17" i="1"/>
  <c r="P17" i="1"/>
  <c r="O17" i="1"/>
  <c r="AQ17" i="1" s="1"/>
  <c r="N17" i="1"/>
  <c r="M17" i="1"/>
  <c r="AR17" i="1" s="1"/>
  <c r="AU16" i="1"/>
  <c r="AP16" i="1"/>
  <c r="AN16" i="1"/>
  <c r="AJ16" i="1"/>
  <c r="AI16" i="1"/>
  <c r="AT16" i="1" s="1"/>
  <c r="AH16" i="1"/>
  <c r="AF16" i="1"/>
  <c r="AE16" i="1"/>
  <c r="AD16" i="1"/>
  <c r="AA16" i="1"/>
  <c r="Z16" i="1"/>
  <c r="Y16" i="1"/>
  <c r="X16" i="1"/>
  <c r="W16" i="1"/>
  <c r="P16" i="1"/>
  <c r="O16" i="1"/>
  <c r="AQ16" i="1" s="1"/>
  <c r="N16" i="1"/>
  <c r="AC16" i="1" s="1"/>
  <c r="M16" i="1"/>
  <c r="AR16" i="1" s="1"/>
  <c r="AU15" i="1"/>
  <c r="AP15" i="1"/>
  <c r="AN15" i="1"/>
  <c r="AI15" i="1"/>
  <c r="AT15" i="1" s="1"/>
  <c r="AH15" i="1"/>
  <c r="AF15" i="1"/>
  <c r="AE15" i="1"/>
  <c r="AA15" i="1"/>
  <c r="Z15" i="1"/>
  <c r="Y15" i="1"/>
  <c r="X15" i="1"/>
  <c r="W15" i="1"/>
  <c r="P15" i="1"/>
  <c r="O15" i="1"/>
  <c r="AD15" i="1" s="1"/>
  <c r="N15" i="1"/>
  <c r="AC15" i="1" s="1"/>
  <c r="M15" i="1"/>
  <c r="AR15" i="1" s="1"/>
  <c r="AU14" i="1"/>
  <c r="AR14" i="1"/>
  <c r="AP14" i="1"/>
  <c r="AI14" i="1"/>
  <c r="AN14" i="1" s="1"/>
  <c r="AH14" i="1"/>
  <c r="AF14" i="1"/>
  <c r="AE14" i="1"/>
  <c r="AB14" i="1"/>
  <c r="AA14" i="1"/>
  <c r="Z14" i="1"/>
  <c r="Y14" i="1"/>
  <c r="X14" i="1"/>
  <c r="W14" i="1"/>
  <c r="P14" i="1"/>
  <c r="O14" i="1"/>
  <c r="AD14" i="1" s="1"/>
  <c r="N14" i="1"/>
  <c r="AO14" i="1" s="1"/>
  <c r="M14" i="1"/>
  <c r="AU13" i="1"/>
  <c r="AT13" i="1"/>
  <c r="AR13" i="1"/>
  <c r="AP13" i="1"/>
  <c r="AJ13" i="1"/>
  <c r="AI13" i="1"/>
  <c r="AN13" i="1" s="1"/>
  <c r="AH13" i="1"/>
  <c r="AF13" i="1"/>
  <c r="AE13" i="1"/>
  <c r="AC13" i="1"/>
  <c r="AB13" i="1"/>
  <c r="AA13" i="1"/>
  <c r="Z13" i="1"/>
  <c r="Y13" i="1"/>
  <c r="X13" i="1"/>
  <c r="W13" i="1"/>
  <c r="P13" i="1"/>
  <c r="O13" i="1"/>
  <c r="AD13" i="1" s="1"/>
  <c r="N13" i="1"/>
  <c r="AO13" i="1" s="1"/>
  <c r="AV13" i="1" s="1"/>
  <c r="M13" i="1"/>
  <c r="AU12" i="1"/>
  <c r="AT12" i="1"/>
  <c r="AR12" i="1"/>
  <c r="AP12" i="1"/>
  <c r="AN12" i="1"/>
  <c r="AJ12" i="1"/>
  <c r="AI12" i="1"/>
  <c r="AH12" i="1"/>
  <c r="AF12" i="1"/>
  <c r="AE12" i="1"/>
  <c r="AD12" i="1"/>
  <c r="AC12" i="1"/>
  <c r="AB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U11" i="1"/>
  <c r="AT11" i="1"/>
  <c r="AP11" i="1"/>
  <c r="AO11" i="1"/>
  <c r="AN11" i="1"/>
  <c r="AJ11" i="1"/>
  <c r="AI11" i="1"/>
  <c r="AH11" i="1"/>
  <c r="AF11" i="1"/>
  <c r="AE11" i="1"/>
  <c r="AD11" i="1"/>
  <c r="AC11" i="1"/>
  <c r="AA11" i="1"/>
  <c r="Z11" i="1"/>
  <c r="Y11" i="1"/>
  <c r="X11" i="1"/>
  <c r="W11" i="1"/>
  <c r="P11" i="1"/>
  <c r="O11" i="1"/>
  <c r="AQ11" i="1" s="1"/>
  <c r="N11" i="1"/>
  <c r="M11" i="1"/>
  <c r="AR11" i="1" s="1"/>
  <c r="AU10" i="1"/>
  <c r="AT10" i="1"/>
  <c r="AP10" i="1"/>
  <c r="AN10" i="1"/>
  <c r="AJ10" i="1"/>
  <c r="AI10" i="1"/>
  <c r="AH10" i="1"/>
  <c r="AF10" i="1"/>
  <c r="AE10" i="1"/>
  <c r="AD10" i="1"/>
  <c r="AA10" i="1"/>
  <c r="Z10" i="1"/>
  <c r="Y10" i="1"/>
  <c r="X10" i="1"/>
  <c r="W10" i="1"/>
  <c r="P10" i="1"/>
  <c r="O10" i="1"/>
  <c r="AQ10" i="1" s="1"/>
  <c r="N10" i="1"/>
  <c r="AC10" i="1" s="1"/>
  <c r="M10" i="1"/>
  <c r="AR10" i="1" s="1"/>
  <c r="AU9" i="1"/>
  <c r="AP9" i="1"/>
  <c r="AN9" i="1"/>
  <c r="AI9" i="1"/>
  <c r="AT9" i="1" s="1"/>
  <c r="AH9" i="1"/>
  <c r="AF9" i="1"/>
  <c r="AE9" i="1"/>
  <c r="AA9" i="1"/>
  <c r="Z9" i="1"/>
  <c r="Y9" i="1"/>
  <c r="X9" i="1"/>
  <c r="W9" i="1"/>
  <c r="P9" i="1"/>
  <c r="O9" i="1"/>
  <c r="AD9" i="1" s="1"/>
  <c r="N9" i="1"/>
  <c r="AC9" i="1" s="1"/>
  <c r="M9" i="1"/>
  <c r="AR9" i="1" s="1"/>
  <c r="AU8" i="1"/>
  <c r="AR8" i="1"/>
  <c r="AP8" i="1"/>
  <c r="AI8" i="1"/>
  <c r="AN8" i="1" s="1"/>
  <c r="AH8" i="1"/>
  <c r="AF8" i="1"/>
  <c r="AE8" i="1"/>
  <c r="AB8" i="1"/>
  <c r="AA8" i="1"/>
  <c r="Z8" i="1"/>
  <c r="Y8" i="1"/>
  <c r="X8" i="1"/>
  <c r="W8" i="1"/>
  <c r="P8" i="1"/>
  <c r="O8" i="1"/>
  <c r="AD8" i="1" s="1"/>
  <c r="N8" i="1"/>
  <c r="AO8" i="1" s="1"/>
  <c r="M8" i="1"/>
  <c r="AU7" i="1"/>
  <c r="AT7" i="1"/>
  <c r="AR7" i="1"/>
  <c r="AP7" i="1"/>
  <c r="AJ7" i="1"/>
  <c r="AI7" i="1"/>
  <c r="AN7" i="1" s="1"/>
  <c r="AH7" i="1"/>
  <c r="AF7" i="1"/>
  <c r="AE7" i="1"/>
  <c r="AC7" i="1"/>
  <c r="AB7" i="1"/>
  <c r="AA7" i="1"/>
  <c r="Z7" i="1"/>
  <c r="Y7" i="1"/>
  <c r="X7" i="1"/>
  <c r="W7" i="1"/>
  <c r="P7" i="1"/>
  <c r="O7" i="1"/>
  <c r="AD7" i="1" s="1"/>
  <c r="N7" i="1"/>
  <c r="AO7" i="1" s="1"/>
  <c r="AV7" i="1" s="1"/>
  <c r="M7" i="1"/>
  <c r="AU6" i="1"/>
  <c r="AT6" i="1"/>
  <c r="AR6" i="1"/>
  <c r="AP6" i="1"/>
  <c r="AN6" i="1"/>
  <c r="AJ6" i="1"/>
  <c r="AI6" i="1"/>
  <c r="AH6" i="1"/>
  <c r="AF6" i="1"/>
  <c r="AE6" i="1"/>
  <c r="AD6" i="1"/>
  <c r="AC6" i="1"/>
  <c r="AB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U5" i="1"/>
  <c r="AT5" i="1"/>
  <c r="AP5" i="1"/>
  <c r="AO5" i="1"/>
  <c r="AV5" i="1" s="1"/>
  <c r="AN5" i="1"/>
  <c r="AJ5" i="1"/>
  <c r="AI5" i="1"/>
  <c r="AH5" i="1"/>
  <c r="AF5" i="1"/>
  <c r="AE5" i="1"/>
  <c r="AD5" i="1"/>
  <c r="AC5" i="1"/>
  <c r="AA5" i="1"/>
  <c r="Z5" i="1"/>
  <c r="Y5" i="1"/>
  <c r="X5" i="1"/>
  <c r="W5" i="1"/>
  <c r="P5" i="1"/>
  <c r="O5" i="1"/>
  <c r="AQ5" i="1" s="1"/>
  <c r="N5" i="1"/>
  <c r="M5" i="1"/>
  <c r="AR5" i="1" s="1"/>
  <c r="AU4" i="1"/>
  <c r="AT4" i="1"/>
  <c r="AP4" i="1"/>
  <c r="AN4" i="1"/>
  <c r="AJ4" i="1"/>
  <c r="AI4" i="1"/>
  <c r="AH4" i="1"/>
  <c r="AF4" i="1"/>
  <c r="AE4" i="1"/>
  <c r="AD4" i="1"/>
  <c r="AA4" i="1"/>
  <c r="Z4" i="1"/>
  <c r="Y4" i="1"/>
  <c r="X4" i="1"/>
  <c r="W4" i="1"/>
  <c r="P4" i="1"/>
  <c r="O4" i="1"/>
  <c r="AQ4" i="1" s="1"/>
  <c r="N4" i="1"/>
  <c r="AC4" i="1" s="1"/>
  <c r="M4" i="1"/>
  <c r="AR4" i="1" s="1"/>
  <c r="AR6" i="26"/>
  <c r="AP6" i="26"/>
  <c r="AI6" i="26"/>
  <c r="AH6" i="26"/>
  <c r="AF6" i="26"/>
  <c r="AE6" i="26"/>
  <c r="AB6" i="26"/>
  <c r="AA6" i="26"/>
  <c r="Z6" i="26"/>
  <c r="Y6" i="26"/>
  <c r="X6" i="26"/>
  <c r="W6" i="26"/>
  <c r="P6" i="26"/>
  <c r="O6" i="26"/>
  <c r="AD6" i="26" s="1"/>
  <c r="N6" i="26"/>
  <c r="AO6" i="26" s="1"/>
  <c r="AV6" i="26" s="1"/>
  <c r="M6" i="26"/>
  <c r="AI5" i="26"/>
  <c r="AH5" i="26"/>
  <c r="W5" i="26"/>
  <c r="AI4" i="26"/>
  <c r="AU3" i="26"/>
  <c r="AO3" i="26"/>
  <c r="AI3" i="26"/>
  <c r="AH3" i="26"/>
  <c r="AN2" i="26"/>
  <c r="AM2" i="26"/>
  <c r="AL2" i="26"/>
  <c r="AK2" i="26"/>
  <c r="AJ2" i="26"/>
  <c r="AH2" i="26"/>
  <c r="AA2" i="26"/>
  <c r="A2" i="26"/>
  <c r="AU1" i="26"/>
  <c r="AU6" i="26" s="1"/>
  <c r="AR1" i="26"/>
  <c r="AR3" i="26" s="1"/>
  <c r="AQ1" i="26"/>
  <c r="AQ3" i="26" s="1"/>
  <c r="AP1" i="26"/>
  <c r="AP3" i="26" s="1"/>
  <c r="AO1" i="26"/>
  <c r="AH1" i="26"/>
  <c r="AA1" i="26"/>
  <c r="A1" i="26"/>
  <c r="AJ1" i="26" s="1"/>
  <c r="AI10" i="25"/>
  <c r="AT10" i="25" s="1"/>
  <c r="AH10" i="25"/>
  <c r="AF10" i="25"/>
  <c r="AE10" i="25"/>
  <c r="AA10" i="25"/>
  <c r="Z10" i="25"/>
  <c r="Y10" i="25"/>
  <c r="X10" i="25"/>
  <c r="W10" i="25"/>
  <c r="P10" i="25"/>
  <c r="O10" i="25"/>
  <c r="AD10" i="25" s="1"/>
  <c r="N10" i="25"/>
  <c r="AC10" i="25" s="1"/>
  <c r="M10" i="25"/>
  <c r="AR10" i="25" s="1"/>
  <c r="AR9" i="25"/>
  <c r="AP9" i="25"/>
  <c r="AI9" i="25"/>
  <c r="AH9" i="25"/>
  <c r="AF9" i="25"/>
  <c r="AE9" i="25"/>
  <c r="AB9" i="25"/>
  <c r="AA9" i="25"/>
  <c r="Z9" i="25"/>
  <c r="Y9" i="25"/>
  <c r="X9" i="25"/>
  <c r="W9" i="25"/>
  <c r="P9" i="25"/>
  <c r="O9" i="25"/>
  <c r="AD9" i="25" s="1"/>
  <c r="N9" i="25"/>
  <c r="AO9" i="25" s="1"/>
  <c r="AV9" i="25" s="1"/>
  <c r="M9" i="25"/>
  <c r="AT8" i="25"/>
  <c r="AJ8" i="25"/>
  <c r="AI8" i="25"/>
  <c r="AN8" i="25" s="1"/>
  <c r="AH8" i="25"/>
  <c r="AF8" i="25"/>
  <c r="AE8" i="25"/>
  <c r="AC8" i="25"/>
  <c r="AB8" i="25"/>
  <c r="AA8" i="25"/>
  <c r="Z8" i="25"/>
  <c r="Y8" i="25"/>
  <c r="X8" i="25"/>
  <c r="W8" i="25"/>
  <c r="P8" i="25"/>
  <c r="O8" i="25"/>
  <c r="AD8" i="25" s="1"/>
  <c r="N8" i="25"/>
  <c r="M8" i="25"/>
  <c r="AU7" i="25"/>
  <c r="AR7" i="25"/>
  <c r="AN7" i="25"/>
  <c r="AI7" i="25"/>
  <c r="AT7" i="25" s="1"/>
  <c r="AH7" i="25"/>
  <c r="AF7" i="25"/>
  <c r="AE7" i="25"/>
  <c r="AD7" i="25"/>
  <c r="AC7" i="25"/>
  <c r="AB7" i="25"/>
  <c r="AA7" i="25"/>
  <c r="Z7" i="25"/>
  <c r="Y7" i="25"/>
  <c r="X7" i="25"/>
  <c r="W7" i="25"/>
  <c r="P7" i="25"/>
  <c r="O7" i="25"/>
  <c r="AQ7" i="25" s="1"/>
  <c r="N7" i="25"/>
  <c r="M7" i="25"/>
  <c r="AT6" i="25"/>
  <c r="AJ6" i="25"/>
  <c r="AI6" i="25"/>
  <c r="AH6" i="25"/>
  <c r="AF6" i="25"/>
  <c r="AE6" i="25"/>
  <c r="AD6" i="25"/>
  <c r="AC6" i="25"/>
  <c r="AA6" i="25"/>
  <c r="Z6" i="25"/>
  <c r="Y6" i="25"/>
  <c r="X6" i="25"/>
  <c r="W6" i="25"/>
  <c r="P6" i="25"/>
  <c r="O6" i="25"/>
  <c r="AQ6" i="25" s="1"/>
  <c r="N6" i="25"/>
  <c r="M6" i="25"/>
  <c r="AI5" i="25"/>
  <c r="AH5" i="25"/>
  <c r="W5" i="25"/>
  <c r="AI4" i="25"/>
  <c r="AR3" i="25"/>
  <c r="AQ3" i="25"/>
  <c r="AP3" i="25"/>
  <c r="AI3" i="25"/>
  <c r="AH3" i="25"/>
  <c r="AN2" i="25"/>
  <c r="AN10" i="25" s="1"/>
  <c r="AM2" i="25"/>
  <c r="AL2" i="25"/>
  <c r="AK2" i="25"/>
  <c r="AJ2" i="25"/>
  <c r="AA2" i="25"/>
  <c r="A2" i="25"/>
  <c r="AU1" i="25"/>
  <c r="AU10" i="25" s="1"/>
  <c r="AR1" i="25"/>
  <c r="AR8" i="25" s="1"/>
  <c r="AQ1" i="25"/>
  <c r="AP1" i="25"/>
  <c r="AP8" i="25" s="1"/>
  <c r="AO1" i="25"/>
  <c r="AJ1" i="25"/>
  <c r="AH1" i="25"/>
  <c r="AH2" i="25" s="1"/>
  <c r="AA1" i="25"/>
  <c r="A1" i="25"/>
  <c r="AI48" i="24"/>
  <c r="AT48" i="24" s="1"/>
  <c r="AH48" i="24"/>
  <c r="AF48" i="24"/>
  <c r="AE48" i="24"/>
  <c r="AD48" i="24"/>
  <c r="AC48" i="24"/>
  <c r="AB48" i="24"/>
  <c r="AA48" i="24"/>
  <c r="Z48" i="24"/>
  <c r="Y48" i="24"/>
  <c r="X48" i="24"/>
  <c r="W48" i="24"/>
  <c r="P48" i="24"/>
  <c r="O48" i="24"/>
  <c r="N48" i="24"/>
  <c r="M48" i="24"/>
  <c r="AT47" i="24"/>
  <c r="AI47" i="24"/>
  <c r="AH47" i="24"/>
  <c r="AF47" i="24"/>
  <c r="AE47" i="24"/>
  <c r="AD47" i="24"/>
  <c r="AC47" i="24"/>
  <c r="AA47" i="24"/>
  <c r="Z47" i="24"/>
  <c r="Y47" i="24"/>
  <c r="X47" i="24"/>
  <c r="W47" i="24"/>
  <c r="P47" i="24"/>
  <c r="O47" i="24"/>
  <c r="N47" i="24"/>
  <c r="M47" i="24"/>
  <c r="AT46" i="24"/>
  <c r="AP46" i="24"/>
  <c r="AI46" i="24"/>
  <c r="AH46" i="24"/>
  <c r="AF46" i="24"/>
  <c r="AE46" i="24"/>
  <c r="AD46" i="24"/>
  <c r="AA46" i="24"/>
  <c r="Z46" i="24"/>
  <c r="Y46" i="24"/>
  <c r="X46" i="24"/>
  <c r="W46" i="24"/>
  <c r="P46" i="24"/>
  <c r="O46" i="24"/>
  <c r="N46" i="24"/>
  <c r="M46" i="24"/>
  <c r="AI45" i="24"/>
  <c r="AT45" i="24" s="1"/>
  <c r="AH45" i="24"/>
  <c r="AF45" i="24"/>
  <c r="AE45" i="24"/>
  <c r="AA45" i="24"/>
  <c r="Z45" i="24"/>
  <c r="Y45" i="24"/>
  <c r="X45" i="24"/>
  <c r="W45" i="24"/>
  <c r="P45" i="24"/>
  <c r="O45" i="24"/>
  <c r="AD45" i="24" s="1"/>
  <c r="N45" i="24"/>
  <c r="AC45" i="24" s="1"/>
  <c r="M45" i="24"/>
  <c r="AR45" i="24" s="1"/>
  <c r="AI44" i="24"/>
  <c r="AH44" i="24"/>
  <c r="W44" i="24"/>
  <c r="AT43" i="24"/>
  <c r="AO43" i="24"/>
  <c r="AI43" i="24"/>
  <c r="AH43" i="24"/>
  <c r="AF43" i="24"/>
  <c r="AE43" i="24"/>
  <c r="AD43" i="24"/>
  <c r="AC43" i="24"/>
  <c r="AA43" i="24"/>
  <c r="Z43" i="24"/>
  <c r="Y43" i="24"/>
  <c r="X43" i="24"/>
  <c r="W43" i="24"/>
  <c r="P43" i="24"/>
  <c r="O43" i="24"/>
  <c r="N43" i="24"/>
  <c r="M43" i="24"/>
  <c r="AT42" i="24"/>
  <c r="AI42" i="24"/>
  <c r="AH42" i="24"/>
  <c r="AF42" i="24"/>
  <c r="AE42" i="24"/>
  <c r="AD42" i="24"/>
  <c r="AA42" i="24"/>
  <c r="Z42" i="24"/>
  <c r="Y42" i="24"/>
  <c r="X42" i="24"/>
  <c r="W42" i="24"/>
  <c r="P42" i="24"/>
  <c r="O42" i="24"/>
  <c r="N42" i="24"/>
  <c r="M42" i="24"/>
  <c r="AI41" i="24"/>
  <c r="AT41" i="24" s="1"/>
  <c r="AH41" i="24"/>
  <c r="AF41" i="24"/>
  <c r="AE41" i="24"/>
  <c r="AA41" i="24"/>
  <c r="Z41" i="24"/>
  <c r="Y41" i="24"/>
  <c r="X41" i="24"/>
  <c r="W41" i="24"/>
  <c r="P41" i="24"/>
  <c r="O41" i="24"/>
  <c r="AD41" i="24" s="1"/>
  <c r="N41" i="24"/>
  <c r="AC41" i="24" s="1"/>
  <c r="M41" i="24"/>
  <c r="AI40" i="24"/>
  <c r="AH40" i="24"/>
  <c r="W40" i="24"/>
  <c r="AV39" i="24"/>
  <c r="AT39" i="24"/>
  <c r="AP39" i="24"/>
  <c r="AO39" i="24"/>
  <c r="AI39" i="24"/>
  <c r="AH39" i="24"/>
  <c r="AF39" i="24"/>
  <c r="AE39" i="24"/>
  <c r="AD39" i="24"/>
  <c r="AC39" i="24"/>
  <c r="AA39" i="24"/>
  <c r="Z39" i="24"/>
  <c r="Y39" i="24"/>
  <c r="X39" i="24"/>
  <c r="W39" i="24"/>
  <c r="P39" i="24"/>
  <c r="O39" i="24"/>
  <c r="N39" i="24"/>
  <c r="M39" i="24"/>
  <c r="AT38" i="24"/>
  <c r="AP38" i="24"/>
  <c r="AI38" i="24"/>
  <c r="AH38" i="24"/>
  <c r="AF38" i="24"/>
  <c r="AE38" i="24"/>
  <c r="AD38" i="24"/>
  <c r="AA38" i="24"/>
  <c r="Z38" i="24"/>
  <c r="Y38" i="24"/>
  <c r="X38" i="24"/>
  <c r="W38" i="24"/>
  <c r="P38" i="24"/>
  <c r="O38" i="24"/>
  <c r="N38" i="24"/>
  <c r="M38" i="24"/>
  <c r="AQ37" i="24"/>
  <c r="AP37" i="24"/>
  <c r="AO37" i="24"/>
  <c r="AV37" i="24" s="1"/>
  <c r="AI37" i="24"/>
  <c r="AT37" i="24" s="1"/>
  <c r="AH37" i="24"/>
  <c r="AF37" i="24"/>
  <c r="AE37" i="24"/>
  <c r="AA37" i="24"/>
  <c r="Z37" i="24"/>
  <c r="Y37" i="24"/>
  <c r="X37" i="24"/>
  <c r="W37" i="24"/>
  <c r="P37" i="24"/>
  <c r="O37" i="24"/>
  <c r="AD37" i="24" s="1"/>
  <c r="N37" i="24"/>
  <c r="AC37" i="24" s="1"/>
  <c r="M37" i="24"/>
  <c r="AP36" i="24"/>
  <c r="AI36" i="24"/>
  <c r="AH36" i="24"/>
  <c r="AF36" i="24"/>
  <c r="AE36" i="24"/>
  <c r="AB36" i="24"/>
  <c r="AA36" i="24"/>
  <c r="Z36" i="24"/>
  <c r="Y36" i="24"/>
  <c r="X36" i="24"/>
  <c r="W36" i="24"/>
  <c r="P36" i="24"/>
  <c r="O36" i="24"/>
  <c r="AD36" i="24" s="1"/>
  <c r="N36" i="24"/>
  <c r="M36" i="24"/>
  <c r="AT35" i="24"/>
  <c r="AP35" i="24"/>
  <c r="AI35" i="24"/>
  <c r="AN35" i="24" s="1"/>
  <c r="AH35" i="24"/>
  <c r="AF35" i="24"/>
  <c r="AE35" i="24"/>
  <c r="AC35" i="24"/>
  <c r="AB35" i="24"/>
  <c r="AA35" i="24"/>
  <c r="Z35" i="24"/>
  <c r="Y35" i="24"/>
  <c r="X35" i="24"/>
  <c r="W35" i="24"/>
  <c r="P35" i="24"/>
  <c r="O35" i="24"/>
  <c r="N35" i="24"/>
  <c r="AO35" i="24" s="1"/>
  <c r="AV35" i="24" s="1"/>
  <c r="M35" i="24"/>
  <c r="AI34" i="24"/>
  <c r="AH34" i="24"/>
  <c r="W34" i="24"/>
  <c r="AI33" i="24"/>
  <c r="AT33" i="24" s="1"/>
  <c r="AH33" i="24"/>
  <c r="AF33" i="24"/>
  <c r="AE33" i="24"/>
  <c r="AA33" i="24"/>
  <c r="Z33" i="24"/>
  <c r="Y33" i="24"/>
  <c r="X33" i="24"/>
  <c r="W33" i="24"/>
  <c r="P33" i="24"/>
  <c r="O33" i="24"/>
  <c r="AD33" i="24" s="1"/>
  <c r="N33" i="24"/>
  <c r="AC33" i="24" s="1"/>
  <c r="M33" i="24"/>
  <c r="AI32" i="24"/>
  <c r="AH32" i="24"/>
  <c r="AF32" i="24"/>
  <c r="AE32" i="24"/>
  <c r="AB32" i="24"/>
  <c r="AA32" i="24"/>
  <c r="Z32" i="24"/>
  <c r="Y32" i="24"/>
  <c r="X32" i="24"/>
  <c r="W32" i="24"/>
  <c r="P32" i="24"/>
  <c r="O32" i="24"/>
  <c r="AD32" i="24" s="1"/>
  <c r="N32" i="24"/>
  <c r="M32" i="24"/>
  <c r="AT31" i="24"/>
  <c r="AP31" i="24"/>
  <c r="AI31" i="24"/>
  <c r="AN31" i="24" s="1"/>
  <c r="AH31" i="24"/>
  <c r="AF31" i="24"/>
  <c r="AE31" i="24"/>
  <c r="AC31" i="24"/>
  <c r="AB31" i="24"/>
  <c r="AA31" i="24"/>
  <c r="Z31" i="24"/>
  <c r="Y31" i="24"/>
  <c r="X31" i="24"/>
  <c r="W31" i="24"/>
  <c r="P31" i="24"/>
  <c r="O31" i="24"/>
  <c r="N31" i="24"/>
  <c r="AO31" i="24" s="1"/>
  <c r="AV31" i="24" s="1"/>
  <c r="M31" i="24"/>
  <c r="AI30" i="24"/>
  <c r="AH30" i="24"/>
  <c r="AF30" i="24"/>
  <c r="AE30" i="24"/>
  <c r="AD30" i="24"/>
  <c r="AC30" i="24"/>
  <c r="AB30" i="24"/>
  <c r="AA30" i="24"/>
  <c r="Z30" i="24"/>
  <c r="Y30" i="24"/>
  <c r="X30" i="24"/>
  <c r="W30" i="24"/>
  <c r="P30" i="24"/>
  <c r="O30" i="24"/>
  <c r="N30" i="24"/>
  <c r="M30" i="24"/>
  <c r="AI29" i="24"/>
  <c r="AH29" i="24"/>
  <c r="W29" i="24"/>
  <c r="AP28" i="24"/>
  <c r="AI28" i="24"/>
  <c r="AH28" i="24"/>
  <c r="AF28" i="24"/>
  <c r="AE28" i="24"/>
  <c r="AB28" i="24"/>
  <c r="AA28" i="24"/>
  <c r="Z28" i="24"/>
  <c r="Y28" i="24"/>
  <c r="X28" i="24"/>
  <c r="W28" i="24"/>
  <c r="P28" i="24"/>
  <c r="O28" i="24"/>
  <c r="AD28" i="24" s="1"/>
  <c r="N28" i="24"/>
  <c r="AC28" i="24" s="1"/>
  <c r="M28" i="24"/>
  <c r="AT27" i="24"/>
  <c r="AP27" i="24"/>
  <c r="AI27" i="24"/>
  <c r="AH27" i="24"/>
  <c r="AF27" i="24"/>
  <c r="AE27" i="24"/>
  <c r="AC27" i="24"/>
  <c r="AB27" i="24"/>
  <c r="AA27" i="24"/>
  <c r="Z27" i="24"/>
  <c r="Y27" i="24"/>
  <c r="X27" i="24"/>
  <c r="W27" i="24"/>
  <c r="P27" i="24"/>
  <c r="O27" i="24"/>
  <c r="AD27" i="24" s="1"/>
  <c r="N27" i="24"/>
  <c r="AO27" i="24" s="1"/>
  <c r="AV27" i="24" s="1"/>
  <c r="M27" i="24"/>
  <c r="AI26" i="24"/>
  <c r="AH26" i="24"/>
  <c r="W26" i="24"/>
  <c r="AQ25" i="24"/>
  <c r="AN25" i="24"/>
  <c r="AI25" i="24"/>
  <c r="AT25" i="24" s="1"/>
  <c r="AH25" i="24"/>
  <c r="AF25" i="24"/>
  <c r="AE25" i="24"/>
  <c r="AA25" i="24"/>
  <c r="Z25" i="24"/>
  <c r="Y25" i="24"/>
  <c r="X25" i="24"/>
  <c r="W25" i="24"/>
  <c r="P25" i="24"/>
  <c r="O25" i="24"/>
  <c r="AD25" i="24" s="1"/>
  <c r="N25" i="24"/>
  <c r="AC25" i="24" s="1"/>
  <c r="M25" i="24"/>
  <c r="AR24" i="24"/>
  <c r="AI24" i="24"/>
  <c r="AH24" i="24"/>
  <c r="AF24" i="24"/>
  <c r="AE24" i="24"/>
  <c r="AB24" i="24"/>
  <c r="AA24" i="24"/>
  <c r="Z24" i="24"/>
  <c r="Y24" i="24"/>
  <c r="X24" i="24"/>
  <c r="W24" i="24"/>
  <c r="P24" i="24"/>
  <c r="O24" i="24"/>
  <c r="AD24" i="24" s="1"/>
  <c r="N24" i="24"/>
  <c r="AC24" i="24" s="1"/>
  <c r="M24" i="24"/>
  <c r="AT23" i="24"/>
  <c r="AQ23" i="24"/>
  <c r="AI23" i="24"/>
  <c r="AH23" i="24"/>
  <c r="AF23" i="24"/>
  <c r="AE23" i="24"/>
  <c r="AB23" i="24"/>
  <c r="AA23" i="24"/>
  <c r="Z23" i="24"/>
  <c r="Y23" i="24"/>
  <c r="X23" i="24"/>
  <c r="W23" i="24"/>
  <c r="P23" i="24"/>
  <c r="O23" i="24"/>
  <c r="AD23" i="24" s="1"/>
  <c r="N23" i="24"/>
  <c r="M23" i="24"/>
  <c r="AI22" i="24"/>
  <c r="AH22" i="24"/>
  <c r="W22" i="24"/>
  <c r="AU21" i="24"/>
  <c r="AP21" i="24"/>
  <c r="AI21" i="24"/>
  <c r="AT21" i="24" s="1"/>
  <c r="AH21" i="24"/>
  <c r="AF21" i="24"/>
  <c r="AE21" i="24"/>
  <c r="AA21" i="24"/>
  <c r="Z21" i="24"/>
  <c r="Y21" i="24"/>
  <c r="X21" i="24"/>
  <c r="W21" i="24"/>
  <c r="P21" i="24"/>
  <c r="O21" i="24"/>
  <c r="AD21" i="24" s="1"/>
  <c r="N21" i="24"/>
  <c r="AC21" i="24" s="1"/>
  <c r="M21" i="24"/>
  <c r="AP20" i="24"/>
  <c r="AI20" i="24"/>
  <c r="AH20" i="24"/>
  <c r="AF20" i="24"/>
  <c r="AE20" i="24"/>
  <c r="AA20" i="24"/>
  <c r="Z20" i="24"/>
  <c r="Y20" i="24"/>
  <c r="X20" i="24"/>
  <c r="W20" i="24"/>
  <c r="P20" i="24"/>
  <c r="O20" i="24"/>
  <c r="AD20" i="24" s="1"/>
  <c r="N20" i="24"/>
  <c r="M20" i="24"/>
  <c r="AB20" i="24" s="1"/>
  <c r="AT19" i="24"/>
  <c r="AP19" i="24"/>
  <c r="AJ19" i="24"/>
  <c r="AI19" i="24"/>
  <c r="AH19" i="24"/>
  <c r="AF19" i="24"/>
  <c r="AE19" i="24"/>
  <c r="AB19" i="24"/>
  <c r="AA19" i="24"/>
  <c r="Z19" i="24"/>
  <c r="Y19" i="24"/>
  <c r="X19" i="24"/>
  <c r="W19" i="24"/>
  <c r="P19" i="24"/>
  <c r="O19" i="24"/>
  <c r="AD19" i="24" s="1"/>
  <c r="N19" i="24"/>
  <c r="AO19" i="24" s="1"/>
  <c r="AV19" i="24" s="1"/>
  <c r="M19" i="24"/>
  <c r="AI18" i="24"/>
  <c r="AH18" i="24"/>
  <c r="W18" i="24"/>
  <c r="AP17" i="24"/>
  <c r="AN17" i="24"/>
  <c r="AI17" i="24"/>
  <c r="AT17" i="24" s="1"/>
  <c r="AH17" i="24"/>
  <c r="AF17" i="24"/>
  <c r="AE17" i="24"/>
  <c r="AA17" i="24"/>
  <c r="Z17" i="24"/>
  <c r="Y17" i="24"/>
  <c r="X17" i="24"/>
  <c r="W17" i="24"/>
  <c r="P17" i="24"/>
  <c r="O17" i="24"/>
  <c r="N17" i="24"/>
  <c r="AC17" i="24" s="1"/>
  <c r="M17" i="24"/>
  <c r="AP16" i="24"/>
  <c r="AI16" i="24"/>
  <c r="AH16" i="24"/>
  <c r="AF16" i="24"/>
  <c r="AE16" i="24"/>
  <c r="AB16" i="24"/>
  <c r="AA16" i="24"/>
  <c r="Z16" i="24"/>
  <c r="Y16" i="24"/>
  <c r="X16" i="24"/>
  <c r="W16" i="24"/>
  <c r="P16" i="24"/>
  <c r="O16" i="24"/>
  <c r="AD16" i="24" s="1"/>
  <c r="N16" i="24"/>
  <c r="AC16" i="24" s="1"/>
  <c r="M16" i="24"/>
  <c r="AT15" i="24"/>
  <c r="AQ15" i="24"/>
  <c r="AP15" i="24"/>
  <c r="AJ15" i="24"/>
  <c r="AI15" i="24"/>
  <c r="AH15" i="24"/>
  <c r="AF15" i="24"/>
  <c r="AE15" i="24"/>
  <c r="AC15" i="24"/>
  <c r="AB15" i="24"/>
  <c r="AA15" i="24"/>
  <c r="Z15" i="24"/>
  <c r="Y15" i="24"/>
  <c r="X15" i="24"/>
  <c r="W15" i="24"/>
  <c r="P15" i="24"/>
  <c r="O15" i="24"/>
  <c r="AD15" i="24" s="1"/>
  <c r="N15" i="24"/>
  <c r="AO15" i="24" s="1"/>
  <c r="AV15" i="24" s="1"/>
  <c r="M15" i="24"/>
  <c r="AI14" i="24"/>
  <c r="AH14" i="24"/>
  <c r="W14" i="24"/>
  <c r="AP13" i="24"/>
  <c r="AO13" i="24"/>
  <c r="AN13" i="24"/>
  <c r="AI13" i="24"/>
  <c r="AT13" i="24" s="1"/>
  <c r="AH13" i="24"/>
  <c r="AF13" i="24"/>
  <c r="AE13" i="24"/>
  <c r="AA13" i="24"/>
  <c r="Z13" i="24"/>
  <c r="Y13" i="24"/>
  <c r="X13" i="24"/>
  <c r="W13" i="24"/>
  <c r="P13" i="24"/>
  <c r="O13" i="24"/>
  <c r="AD13" i="24" s="1"/>
  <c r="N13" i="24"/>
  <c r="AC13" i="24" s="1"/>
  <c r="M13" i="24"/>
  <c r="AR12" i="24"/>
  <c r="AQ12" i="24"/>
  <c r="AP12" i="24"/>
  <c r="AI12" i="24"/>
  <c r="AH12" i="24"/>
  <c r="AF12" i="24"/>
  <c r="AE12" i="24"/>
  <c r="AB12" i="24"/>
  <c r="AA12" i="24"/>
  <c r="Z12" i="24"/>
  <c r="Y12" i="24"/>
  <c r="X12" i="24"/>
  <c r="W12" i="24"/>
  <c r="P12" i="24"/>
  <c r="O12" i="24"/>
  <c r="AD12" i="24" s="1"/>
  <c r="N12" i="24"/>
  <c r="AC12" i="24" s="1"/>
  <c r="M12" i="24"/>
  <c r="AU11" i="24"/>
  <c r="AP11" i="24"/>
  <c r="AJ11" i="24"/>
  <c r="AI11" i="24"/>
  <c r="AT11" i="24" s="1"/>
  <c r="AH11" i="24"/>
  <c r="AF11" i="24"/>
  <c r="AE11" i="24"/>
  <c r="AC11" i="24"/>
  <c r="AB11" i="24"/>
  <c r="AA11" i="24"/>
  <c r="Z11" i="24"/>
  <c r="Y11" i="24"/>
  <c r="X11" i="24"/>
  <c r="W11" i="24"/>
  <c r="P11" i="24"/>
  <c r="O11" i="24"/>
  <c r="AQ11" i="24" s="1"/>
  <c r="N11" i="24"/>
  <c r="AO11" i="24" s="1"/>
  <c r="AV11" i="24" s="1"/>
  <c r="M11" i="24"/>
  <c r="AU10" i="24"/>
  <c r="AN10" i="24"/>
  <c r="AI10" i="24"/>
  <c r="AT10" i="24" s="1"/>
  <c r="AH10" i="24"/>
  <c r="AF10" i="24"/>
  <c r="AE10" i="24"/>
  <c r="AD10" i="24"/>
  <c r="AC10" i="24"/>
  <c r="AB10" i="24"/>
  <c r="AA10" i="24"/>
  <c r="Z10" i="24"/>
  <c r="Y10" i="24"/>
  <c r="X10" i="24"/>
  <c r="W10" i="24"/>
  <c r="P10" i="24"/>
  <c r="O10" i="24"/>
  <c r="AQ10" i="24" s="1"/>
  <c r="N10" i="24"/>
  <c r="AO10" i="24" s="1"/>
  <c r="M10" i="24"/>
  <c r="AI9" i="24"/>
  <c r="AH9" i="24"/>
  <c r="W9" i="24"/>
  <c r="AR8" i="24"/>
  <c r="AP8" i="24"/>
  <c r="AI8" i="24"/>
  <c r="AH8" i="24"/>
  <c r="AF8" i="24"/>
  <c r="AE8" i="24"/>
  <c r="AB8" i="24"/>
  <c r="AA8" i="24"/>
  <c r="Z8" i="24"/>
  <c r="Y8" i="24"/>
  <c r="X8" i="24"/>
  <c r="W8" i="24"/>
  <c r="P8" i="24"/>
  <c r="O8" i="24"/>
  <c r="AQ8" i="24" s="1"/>
  <c r="N8" i="24"/>
  <c r="AO8" i="24" s="1"/>
  <c r="M8" i="24"/>
  <c r="AT7" i="24"/>
  <c r="AO7" i="24"/>
  <c r="AJ7" i="24"/>
  <c r="AI7" i="24"/>
  <c r="AN7" i="24" s="1"/>
  <c r="AH7" i="24"/>
  <c r="AF7" i="24"/>
  <c r="AE7" i="24"/>
  <c r="AC7" i="24"/>
  <c r="AB7" i="24"/>
  <c r="AA7" i="24"/>
  <c r="Z7" i="24"/>
  <c r="Y7" i="24"/>
  <c r="X7" i="24"/>
  <c r="W7" i="24"/>
  <c r="P7" i="24"/>
  <c r="O7" i="24"/>
  <c r="AQ7" i="24" s="1"/>
  <c r="N7" i="24"/>
  <c r="M7" i="24"/>
  <c r="AU6" i="24"/>
  <c r="AP6" i="24"/>
  <c r="AN6" i="24"/>
  <c r="AI6" i="24"/>
  <c r="AT6" i="24" s="1"/>
  <c r="AH6" i="24"/>
  <c r="AF6" i="24"/>
  <c r="AE6" i="24"/>
  <c r="AD6" i="24"/>
  <c r="AC6" i="24"/>
  <c r="AB6" i="24"/>
  <c r="AA6" i="24"/>
  <c r="Z6" i="24"/>
  <c r="Y6" i="24"/>
  <c r="X6" i="24"/>
  <c r="W6" i="24"/>
  <c r="P6" i="24"/>
  <c r="O6" i="24"/>
  <c r="AQ6" i="24" s="1"/>
  <c r="N6" i="24"/>
  <c r="AO6" i="24" s="1"/>
  <c r="AV6" i="24" s="1"/>
  <c r="M6" i="24"/>
  <c r="AI5" i="24"/>
  <c r="AH5" i="24"/>
  <c r="W5" i="24"/>
  <c r="AI4" i="24"/>
  <c r="AQ3" i="24"/>
  <c r="AP3" i="24"/>
  <c r="AO3" i="24"/>
  <c r="AI3" i="24"/>
  <c r="AH3" i="24"/>
  <c r="AN2" i="24"/>
  <c r="AM2" i="24"/>
  <c r="AL2" i="24"/>
  <c r="AK2" i="24"/>
  <c r="AJ2" i="24"/>
  <c r="AJ23" i="24" s="1"/>
  <c r="AA2" i="24"/>
  <c r="A2" i="24"/>
  <c r="AU1" i="24"/>
  <c r="AU17" i="24" s="1"/>
  <c r="AR1" i="24"/>
  <c r="AR19" i="24" s="1"/>
  <c r="AQ1" i="24"/>
  <c r="AQ27" i="24" s="1"/>
  <c r="AP1" i="24"/>
  <c r="AP42" i="24" s="1"/>
  <c r="AO1" i="24"/>
  <c r="AJ1" i="24"/>
  <c r="AH1" i="24"/>
  <c r="AH2" i="24" s="1"/>
  <c r="AA1" i="24"/>
  <c r="A1" i="24"/>
  <c r="AT8" i="23"/>
  <c r="AR8" i="23"/>
  <c r="AJ8" i="23"/>
  <c r="AI8" i="23"/>
  <c r="AH8" i="23"/>
  <c r="AF8" i="23"/>
  <c r="AE8" i="23"/>
  <c r="AC8" i="23"/>
  <c r="AB8" i="23"/>
  <c r="AA8" i="23"/>
  <c r="Z8" i="23"/>
  <c r="Y8" i="23"/>
  <c r="X8" i="23"/>
  <c r="W8" i="23"/>
  <c r="P8" i="23"/>
  <c r="O8" i="23"/>
  <c r="AQ8" i="23" s="1"/>
  <c r="N8" i="23"/>
  <c r="M8" i="23"/>
  <c r="AU7" i="23"/>
  <c r="AR7" i="23"/>
  <c r="AP7" i="23"/>
  <c r="AI7" i="23"/>
  <c r="AT7" i="23" s="1"/>
  <c r="AH7" i="23"/>
  <c r="AF7" i="23"/>
  <c r="AE7" i="23"/>
  <c r="AD7" i="23"/>
  <c r="AC7" i="23"/>
  <c r="AB7" i="23"/>
  <c r="AA7" i="23"/>
  <c r="Z7" i="23"/>
  <c r="Y7" i="23"/>
  <c r="X7" i="23"/>
  <c r="W7" i="23"/>
  <c r="P7" i="23"/>
  <c r="O7" i="23"/>
  <c r="AQ7" i="23" s="1"/>
  <c r="N7" i="23"/>
  <c r="M7" i="23"/>
  <c r="AT6" i="23"/>
  <c r="AJ6" i="23"/>
  <c r="AI6" i="23"/>
  <c r="AH6" i="23"/>
  <c r="AF6" i="23"/>
  <c r="AE6" i="23"/>
  <c r="AD6" i="23"/>
  <c r="AC6" i="23"/>
  <c r="AA6" i="23"/>
  <c r="Z6" i="23"/>
  <c r="Y6" i="23"/>
  <c r="X6" i="23"/>
  <c r="W6" i="23"/>
  <c r="P6" i="23"/>
  <c r="O6" i="23"/>
  <c r="AQ6" i="23" s="1"/>
  <c r="N6" i="23"/>
  <c r="M6" i="23"/>
  <c r="AI5" i="23"/>
  <c r="AH5" i="23"/>
  <c r="W5" i="23"/>
  <c r="AI4" i="23"/>
  <c r="AR3" i="23"/>
  <c r="AQ3" i="23"/>
  <c r="AP3" i="23"/>
  <c r="AI3" i="23"/>
  <c r="AH3" i="23"/>
  <c r="AN2" i="23"/>
  <c r="AN6" i="23" s="1"/>
  <c r="AM2" i="23"/>
  <c r="AL2" i="23"/>
  <c r="AK2" i="23"/>
  <c r="AJ2" i="23"/>
  <c r="AA2" i="23"/>
  <c r="A2" i="23"/>
  <c r="AU1" i="23"/>
  <c r="AR1" i="23"/>
  <c r="AQ1" i="23"/>
  <c r="AP1" i="23"/>
  <c r="AP8" i="23" s="1"/>
  <c r="AO1" i="23"/>
  <c r="AJ1" i="23"/>
  <c r="AH1" i="23"/>
  <c r="AH2" i="23" s="1"/>
  <c r="AA1" i="23"/>
  <c r="A1" i="23"/>
  <c r="AU18" i="22"/>
  <c r="AR18" i="22"/>
  <c r="AP18" i="22"/>
  <c r="AI18" i="22"/>
  <c r="AH18" i="22"/>
  <c r="AF18" i="22"/>
  <c r="AE18" i="22"/>
  <c r="AD18" i="22"/>
  <c r="AC18" i="22"/>
  <c r="AB18" i="22"/>
  <c r="AA18" i="22"/>
  <c r="Z18" i="22"/>
  <c r="Y18" i="22"/>
  <c r="X18" i="22"/>
  <c r="W18" i="22"/>
  <c r="P18" i="22"/>
  <c r="O18" i="22"/>
  <c r="AQ18" i="22" s="1"/>
  <c r="N18" i="22"/>
  <c r="AO18" i="22" s="1"/>
  <c r="AV18" i="22" s="1"/>
  <c r="M18" i="22"/>
  <c r="AT17" i="22"/>
  <c r="AJ17" i="22"/>
  <c r="AI17" i="22"/>
  <c r="AH17" i="22"/>
  <c r="AF17" i="22"/>
  <c r="AE17" i="22"/>
  <c r="AD17" i="22"/>
  <c r="AC17" i="22"/>
  <c r="AA17" i="22"/>
  <c r="Z17" i="22"/>
  <c r="Y17" i="22"/>
  <c r="X17" i="22"/>
  <c r="W17" i="22"/>
  <c r="P17" i="22"/>
  <c r="O17" i="22"/>
  <c r="AQ17" i="22" s="1"/>
  <c r="N17" i="22"/>
  <c r="M17" i="22"/>
  <c r="AU16" i="22"/>
  <c r="AP16" i="22"/>
  <c r="AI16" i="22"/>
  <c r="AT16" i="22" s="1"/>
  <c r="AH16" i="22"/>
  <c r="AF16" i="22"/>
  <c r="AE16" i="22"/>
  <c r="AD16" i="22"/>
  <c r="AA16" i="22"/>
  <c r="Z16" i="22"/>
  <c r="Y16" i="22"/>
  <c r="X16" i="22"/>
  <c r="W16" i="22"/>
  <c r="P16" i="22"/>
  <c r="O16" i="22"/>
  <c r="AQ16" i="22" s="1"/>
  <c r="N16" i="22"/>
  <c r="M16" i="22"/>
  <c r="AR16" i="22" s="1"/>
  <c r="AV15" i="22"/>
  <c r="AT15" i="22"/>
  <c r="AP15" i="22"/>
  <c r="AO15" i="22"/>
  <c r="AI15" i="22"/>
  <c r="AH15" i="22"/>
  <c r="AF15" i="22"/>
  <c r="AE15" i="22"/>
  <c r="AA15" i="22"/>
  <c r="Z15" i="22"/>
  <c r="Y15" i="22"/>
  <c r="X15" i="22"/>
  <c r="W15" i="22"/>
  <c r="P15" i="22"/>
  <c r="O15" i="22"/>
  <c r="AD15" i="22" s="1"/>
  <c r="N15" i="22"/>
  <c r="AC15" i="22" s="1"/>
  <c r="M15" i="22"/>
  <c r="AR14" i="22"/>
  <c r="AI14" i="22"/>
  <c r="AH14" i="22"/>
  <c r="AF14" i="22"/>
  <c r="AE14" i="22"/>
  <c r="AB14" i="22"/>
  <c r="AA14" i="22"/>
  <c r="Z14" i="22"/>
  <c r="Y14" i="22"/>
  <c r="X14" i="22"/>
  <c r="W14" i="22"/>
  <c r="P14" i="22"/>
  <c r="O14" i="22"/>
  <c r="AQ14" i="22" s="1"/>
  <c r="N14" i="22"/>
  <c r="M14" i="22"/>
  <c r="AT13" i="22"/>
  <c r="AQ13" i="22"/>
  <c r="AJ13" i="22"/>
  <c r="AI13" i="22"/>
  <c r="AH13" i="22"/>
  <c r="AF13" i="22"/>
  <c r="AE13" i="22"/>
  <c r="AC13" i="22"/>
  <c r="AB13" i="22"/>
  <c r="AA13" i="22"/>
  <c r="Z13" i="22"/>
  <c r="Y13" i="22"/>
  <c r="X13" i="22"/>
  <c r="W13" i="22"/>
  <c r="P13" i="22"/>
  <c r="O13" i="22"/>
  <c r="AD13" i="22" s="1"/>
  <c r="N13" i="22"/>
  <c r="M13" i="22"/>
  <c r="AI12" i="22"/>
  <c r="AH12" i="22"/>
  <c r="W12" i="22"/>
  <c r="AT11" i="22"/>
  <c r="AI11" i="22"/>
  <c r="AH11" i="22"/>
  <c r="AF11" i="22"/>
  <c r="AE11" i="22"/>
  <c r="AA11" i="22"/>
  <c r="Z11" i="22"/>
  <c r="Y11" i="22"/>
  <c r="X11" i="22"/>
  <c r="W11" i="22"/>
  <c r="P11" i="22"/>
  <c r="O11" i="22"/>
  <c r="AD11" i="22" s="1"/>
  <c r="N11" i="22"/>
  <c r="AC11" i="22" s="1"/>
  <c r="M11" i="22"/>
  <c r="AR10" i="22"/>
  <c r="AP10" i="22"/>
  <c r="AI10" i="22"/>
  <c r="AH10" i="22"/>
  <c r="AF10" i="22"/>
  <c r="AE10" i="22"/>
  <c r="AB10" i="22"/>
  <c r="AA10" i="22"/>
  <c r="Z10" i="22"/>
  <c r="Y10" i="22"/>
  <c r="X10" i="22"/>
  <c r="W10" i="22"/>
  <c r="P10" i="22"/>
  <c r="O10" i="22"/>
  <c r="AQ10" i="22" s="1"/>
  <c r="N10" i="22"/>
  <c r="M10" i="22"/>
  <c r="AT9" i="22"/>
  <c r="AQ9" i="22"/>
  <c r="AP9" i="22"/>
  <c r="AO9" i="22"/>
  <c r="AV9" i="22" s="1"/>
  <c r="AJ9" i="22"/>
  <c r="AI9" i="22"/>
  <c r="AH9" i="22"/>
  <c r="AF9" i="22"/>
  <c r="AE9" i="22"/>
  <c r="AC9" i="22"/>
  <c r="AB9" i="22"/>
  <c r="AA9" i="22"/>
  <c r="Z9" i="22"/>
  <c r="Y9" i="22"/>
  <c r="X9" i="22"/>
  <c r="W9" i="22"/>
  <c r="P9" i="22"/>
  <c r="O9" i="22"/>
  <c r="AD9" i="22" s="1"/>
  <c r="N9" i="22"/>
  <c r="M9" i="22"/>
  <c r="AU8" i="22"/>
  <c r="AR8" i="22"/>
  <c r="AP8" i="22"/>
  <c r="AI8" i="22"/>
  <c r="AH8" i="22"/>
  <c r="AF8" i="22"/>
  <c r="AE8" i="22"/>
  <c r="AD8" i="22"/>
  <c r="AC8" i="22"/>
  <c r="AB8" i="22"/>
  <c r="AA8" i="22"/>
  <c r="Z8" i="22"/>
  <c r="Y8" i="22"/>
  <c r="X8" i="22"/>
  <c r="W8" i="22"/>
  <c r="P8" i="22"/>
  <c r="O8" i="22"/>
  <c r="AQ8" i="22" s="1"/>
  <c r="N8" i="22"/>
  <c r="AO8" i="22" s="1"/>
  <c r="AV8" i="22" s="1"/>
  <c r="M8" i="22"/>
  <c r="AU7" i="22"/>
  <c r="AT7" i="22"/>
  <c r="AP7" i="22"/>
  <c r="AO7" i="22"/>
  <c r="AV7" i="22" s="1"/>
  <c r="AJ7" i="22"/>
  <c r="AI7" i="22"/>
  <c r="AH7" i="22"/>
  <c r="AF7" i="22"/>
  <c r="AE7" i="22"/>
  <c r="AD7" i="22"/>
  <c r="AC7" i="22"/>
  <c r="AA7" i="22"/>
  <c r="Z7" i="22"/>
  <c r="Y7" i="22"/>
  <c r="X7" i="22"/>
  <c r="W7" i="22"/>
  <c r="P7" i="22"/>
  <c r="O7" i="22"/>
  <c r="AQ7" i="22" s="1"/>
  <c r="N7" i="22"/>
  <c r="M7" i="22"/>
  <c r="AU6" i="22"/>
  <c r="AI6" i="22"/>
  <c r="AT6" i="22" s="1"/>
  <c r="AH6" i="22"/>
  <c r="AF6" i="22"/>
  <c r="AE6" i="22"/>
  <c r="AD6" i="22"/>
  <c r="AA6" i="22"/>
  <c r="Z6" i="22"/>
  <c r="Y6" i="22"/>
  <c r="X6" i="22"/>
  <c r="W6" i="22"/>
  <c r="P6" i="22"/>
  <c r="O6" i="22"/>
  <c r="AQ6" i="22" s="1"/>
  <c r="N6" i="22"/>
  <c r="M6" i="22"/>
  <c r="AR6" i="22" s="1"/>
  <c r="AI5" i="22"/>
  <c r="AH5" i="22"/>
  <c r="W5" i="22"/>
  <c r="AI4" i="22"/>
  <c r="AU3" i="22"/>
  <c r="AR3" i="22"/>
  <c r="AQ3" i="22"/>
  <c r="AI3" i="22"/>
  <c r="AH3" i="22"/>
  <c r="AN2" i="22"/>
  <c r="AN16" i="22" s="1"/>
  <c r="AM2" i="22"/>
  <c r="AL2" i="22"/>
  <c r="AK2" i="22"/>
  <c r="AJ2" i="22"/>
  <c r="AJ15" i="22" s="1"/>
  <c r="AH2" i="22"/>
  <c r="AA2" i="22"/>
  <c r="A2" i="22"/>
  <c r="AU1" i="22"/>
  <c r="AU17" i="22" s="1"/>
  <c r="AR1" i="22"/>
  <c r="AR13" i="22" s="1"/>
  <c r="AQ1" i="22"/>
  <c r="AP1" i="22"/>
  <c r="AP14" i="22" s="1"/>
  <c r="AO1" i="22"/>
  <c r="AO17" i="22" s="1"/>
  <c r="AJ1" i="22"/>
  <c r="AH1" i="22"/>
  <c r="AA1" i="22"/>
  <c r="A1" i="22"/>
  <c r="AT19" i="21"/>
  <c r="AI19" i="21"/>
  <c r="AH19" i="21"/>
  <c r="AF19" i="21"/>
  <c r="AE19" i="21"/>
  <c r="AD19" i="21"/>
  <c r="AC19" i="21"/>
  <c r="AA19" i="21"/>
  <c r="Z19" i="21"/>
  <c r="Y19" i="21"/>
  <c r="X19" i="21"/>
  <c r="W19" i="21"/>
  <c r="P19" i="21"/>
  <c r="O19" i="21"/>
  <c r="N19" i="21"/>
  <c r="M19" i="21"/>
  <c r="AP18" i="21"/>
  <c r="AO18" i="21"/>
  <c r="AI18" i="21"/>
  <c r="AT18" i="21" s="1"/>
  <c r="AH18" i="21"/>
  <c r="AF18" i="21"/>
  <c r="AE18" i="21"/>
  <c r="AD18" i="21"/>
  <c r="AA18" i="21"/>
  <c r="Z18" i="21"/>
  <c r="Y18" i="21"/>
  <c r="X18" i="21"/>
  <c r="W18" i="21"/>
  <c r="P18" i="21"/>
  <c r="O18" i="21"/>
  <c r="N18" i="21"/>
  <c r="AC18" i="21" s="1"/>
  <c r="M18" i="21"/>
  <c r="AT17" i="21"/>
  <c r="AI17" i="21"/>
  <c r="AH17" i="21"/>
  <c r="AF17" i="21"/>
  <c r="AE17" i="21"/>
  <c r="AA17" i="21"/>
  <c r="Z17" i="21"/>
  <c r="Y17" i="21"/>
  <c r="X17" i="21"/>
  <c r="W17" i="21"/>
  <c r="P17" i="21"/>
  <c r="O17" i="21"/>
  <c r="AD17" i="21" s="1"/>
  <c r="N17" i="21"/>
  <c r="AC17" i="21" s="1"/>
  <c r="M17" i="21"/>
  <c r="AI16" i="21"/>
  <c r="AH16" i="21"/>
  <c r="W16" i="21"/>
  <c r="AT15" i="21"/>
  <c r="AO15" i="21"/>
  <c r="AN15" i="21"/>
  <c r="AI15" i="21"/>
  <c r="AH15" i="21"/>
  <c r="AF15" i="21"/>
  <c r="AE15" i="21"/>
  <c r="AD15" i="21"/>
  <c r="AC15" i="21"/>
  <c r="AA15" i="21"/>
  <c r="Z15" i="21"/>
  <c r="Y15" i="21"/>
  <c r="X15" i="21"/>
  <c r="W15" i="21"/>
  <c r="P15" i="21"/>
  <c r="O15" i="21"/>
  <c r="N15" i="21"/>
  <c r="M15" i="21"/>
  <c r="AU14" i="21"/>
  <c r="AI14" i="21"/>
  <c r="AH14" i="21"/>
  <c r="AF14" i="21"/>
  <c r="AE14" i="21"/>
  <c r="AD14" i="21"/>
  <c r="AB14" i="21"/>
  <c r="AA14" i="21"/>
  <c r="Z14" i="21"/>
  <c r="Y14" i="21"/>
  <c r="X14" i="21"/>
  <c r="W14" i="21"/>
  <c r="P14" i="21"/>
  <c r="O14" i="21"/>
  <c r="AQ14" i="21" s="1"/>
  <c r="N14" i="21"/>
  <c r="AC14" i="21" s="1"/>
  <c r="M14" i="21"/>
  <c r="AT13" i="21"/>
  <c r="AP13" i="21"/>
  <c r="AO13" i="21"/>
  <c r="AI13" i="21"/>
  <c r="AH13" i="21"/>
  <c r="AF13" i="21"/>
  <c r="AE13" i="21"/>
  <c r="AC13" i="21"/>
  <c r="AA13" i="21"/>
  <c r="Z13" i="21"/>
  <c r="Y13" i="21"/>
  <c r="X13" i="21"/>
  <c r="W13" i="21"/>
  <c r="P13" i="21"/>
  <c r="O13" i="21"/>
  <c r="AD13" i="21" s="1"/>
  <c r="N13" i="21"/>
  <c r="M13" i="21"/>
  <c r="AI12" i="21"/>
  <c r="AH12" i="21"/>
  <c r="AF12" i="21"/>
  <c r="AE12" i="21"/>
  <c r="AB12" i="21"/>
  <c r="AA12" i="21"/>
  <c r="Z12" i="21"/>
  <c r="Y12" i="21"/>
  <c r="X12" i="21"/>
  <c r="W12" i="21"/>
  <c r="P12" i="21"/>
  <c r="O12" i="21"/>
  <c r="AD12" i="21" s="1"/>
  <c r="N12" i="21"/>
  <c r="M12" i="21"/>
  <c r="AJ11" i="21"/>
  <c r="AI11" i="21"/>
  <c r="AN11" i="21" s="1"/>
  <c r="AH11" i="21"/>
  <c r="AF11" i="21"/>
  <c r="AE11" i="21"/>
  <c r="AC11" i="21"/>
  <c r="AB11" i="21"/>
  <c r="AA11" i="21"/>
  <c r="Z11" i="21"/>
  <c r="Y11" i="21"/>
  <c r="X11" i="21"/>
  <c r="W11" i="21"/>
  <c r="P11" i="21"/>
  <c r="O11" i="21"/>
  <c r="AD11" i="21" s="1"/>
  <c r="N11" i="21"/>
  <c r="M11" i="21"/>
  <c r="AI10" i="21"/>
  <c r="AH10" i="21"/>
  <c r="AF10" i="21"/>
  <c r="AE10" i="21"/>
  <c r="AC10" i="21"/>
  <c r="AB10" i="21"/>
  <c r="AA10" i="21"/>
  <c r="Z10" i="21"/>
  <c r="Y10" i="21"/>
  <c r="X10" i="21"/>
  <c r="W10" i="21"/>
  <c r="P10" i="21"/>
  <c r="O10" i="21"/>
  <c r="N10" i="21"/>
  <c r="M10" i="21"/>
  <c r="AI9" i="21"/>
  <c r="AH9" i="21"/>
  <c r="W9" i="21"/>
  <c r="AT8" i="21"/>
  <c r="AP8" i="21"/>
  <c r="AI8" i="21"/>
  <c r="AH8" i="21"/>
  <c r="AF8" i="21"/>
  <c r="AE8" i="21"/>
  <c r="AA8" i="21"/>
  <c r="Z8" i="21"/>
  <c r="Y8" i="21"/>
  <c r="X8" i="21"/>
  <c r="W8" i="21"/>
  <c r="P8" i="21"/>
  <c r="O8" i="21"/>
  <c r="AD8" i="21" s="1"/>
  <c r="N8" i="21"/>
  <c r="M8" i="21"/>
  <c r="AR8" i="21" s="1"/>
  <c r="AP7" i="21"/>
  <c r="AI7" i="21"/>
  <c r="AN7" i="21" s="1"/>
  <c r="AH7" i="21"/>
  <c r="AF7" i="21"/>
  <c r="AE7" i="21"/>
  <c r="AB7" i="21"/>
  <c r="AA7" i="21"/>
  <c r="Z7" i="21"/>
  <c r="Y7" i="21"/>
  <c r="X7" i="21"/>
  <c r="W7" i="21"/>
  <c r="P7" i="21"/>
  <c r="O7" i="21"/>
  <c r="AD7" i="21" s="1"/>
  <c r="N7" i="21"/>
  <c r="M7" i="21"/>
  <c r="AQ6" i="21"/>
  <c r="AI6" i="21"/>
  <c r="AH6" i="21"/>
  <c r="AF6" i="21"/>
  <c r="AE6" i="21"/>
  <c r="AC6" i="21"/>
  <c r="AB6" i="21"/>
  <c r="AA6" i="21"/>
  <c r="Z6" i="21"/>
  <c r="Y6" i="21"/>
  <c r="X6" i="21"/>
  <c r="W6" i="21"/>
  <c r="P6" i="21"/>
  <c r="O6" i="21"/>
  <c r="AD6" i="21" s="1"/>
  <c r="N6" i="21"/>
  <c r="AO6" i="21" s="1"/>
  <c r="M6" i="21"/>
  <c r="AI5" i="21"/>
  <c r="AH5" i="21"/>
  <c r="W5" i="21"/>
  <c r="AI4" i="21"/>
  <c r="AP3" i="21"/>
  <c r="AO3" i="21"/>
  <c r="AI3" i="21"/>
  <c r="AH3" i="21"/>
  <c r="AN2" i="21"/>
  <c r="AN18" i="21" s="1"/>
  <c r="AM2" i="21"/>
  <c r="AL2" i="21"/>
  <c r="AK2" i="21"/>
  <c r="AJ2" i="21"/>
  <c r="AA2" i="21"/>
  <c r="A2" i="21"/>
  <c r="AU1" i="21"/>
  <c r="AR1" i="21"/>
  <c r="AR10" i="21" s="1"/>
  <c r="AQ1" i="21"/>
  <c r="AP1" i="21"/>
  <c r="AP14" i="21" s="1"/>
  <c r="AO1" i="21"/>
  <c r="AO10" i="21" s="1"/>
  <c r="AA1" i="21"/>
  <c r="A1" i="21"/>
  <c r="AQ36" i="20"/>
  <c r="AP36" i="20"/>
  <c r="AI36" i="20"/>
  <c r="AH36" i="20"/>
  <c r="AF36" i="20"/>
  <c r="AE36" i="20"/>
  <c r="AB36" i="20"/>
  <c r="AA36" i="20"/>
  <c r="Z36" i="20"/>
  <c r="Y36" i="20"/>
  <c r="X36" i="20"/>
  <c r="W36" i="20"/>
  <c r="P36" i="20"/>
  <c r="O36" i="20"/>
  <c r="AD36" i="20" s="1"/>
  <c r="N36" i="20"/>
  <c r="M36" i="20"/>
  <c r="AR35" i="20"/>
  <c r="AP35" i="20"/>
  <c r="AI35" i="20"/>
  <c r="AH35" i="20"/>
  <c r="AF35" i="20"/>
  <c r="AE35" i="20"/>
  <c r="AC35" i="20"/>
  <c r="AB35" i="20"/>
  <c r="AA35" i="20"/>
  <c r="Z35" i="20"/>
  <c r="Y35" i="20"/>
  <c r="X35" i="20"/>
  <c r="W35" i="20"/>
  <c r="P35" i="20"/>
  <c r="O35" i="20"/>
  <c r="AD35" i="20" s="1"/>
  <c r="N35" i="20"/>
  <c r="AO35" i="20" s="1"/>
  <c r="AV35" i="20" s="1"/>
  <c r="M35" i="20"/>
  <c r="AT34" i="20"/>
  <c r="AP34" i="20"/>
  <c r="AI34" i="20"/>
  <c r="AH34" i="20"/>
  <c r="AF34" i="20"/>
  <c r="AE34" i="20"/>
  <c r="AD34" i="20"/>
  <c r="AC34" i="20"/>
  <c r="AB34" i="20"/>
  <c r="AA34" i="20"/>
  <c r="Z34" i="20"/>
  <c r="Y34" i="20"/>
  <c r="X34" i="20"/>
  <c r="W34" i="20"/>
  <c r="P34" i="20"/>
  <c r="O34" i="20"/>
  <c r="N34" i="20"/>
  <c r="AO34" i="20" s="1"/>
  <c r="AV34" i="20" s="1"/>
  <c r="M34" i="20"/>
  <c r="AT33" i="20"/>
  <c r="AP33" i="20"/>
  <c r="AO33" i="20"/>
  <c r="AV33" i="20" s="1"/>
  <c r="AN33" i="20"/>
  <c r="AI33" i="20"/>
  <c r="AH33" i="20"/>
  <c r="AF33" i="20"/>
  <c r="AE33" i="20"/>
  <c r="AD33" i="20"/>
  <c r="AC33" i="20"/>
  <c r="AA33" i="20"/>
  <c r="Z33" i="20"/>
  <c r="Y33" i="20"/>
  <c r="X33" i="20"/>
  <c r="W33" i="20"/>
  <c r="P33" i="20"/>
  <c r="O33" i="20"/>
  <c r="AQ33" i="20" s="1"/>
  <c r="N33" i="20"/>
  <c r="M33" i="20"/>
  <c r="AI32" i="20"/>
  <c r="AH32" i="20"/>
  <c r="W32" i="20"/>
  <c r="AI31" i="20"/>
  <c r="AH31" i="20"/>
  <c r="AF31" i="20"/>
  <c r="AE31" i="20"/>
  <c r="AC31" i="20"/>
  <c r="AB31" i="20"/>
  <c r="AA31" i="20"/>
  <c r="Z31" i="20"/>
  <c r="Y31" i="20"/>
  <c r="X31" i="20"/>
  <c r="W31" i="20"/>
  <c r="P31" i="20"/>
  <c r="O31" i="20"/>
  <c r="AD31" i="20" s="1"/>
  <c r="N31" i="20"/>
  <c r="M31" i="20"/>
  <c r="AT30" i="20"/>
  <c r="AI30" i="20"/>
  <c r="AH30" i="20"/>
  <c r="AF30" i="20"/>
  <c r="AE30" i="20"/>
  <c r="AD30" i="20"/>
  <c r="AC30" i="20"/>
  <c r="AB30" i="20"/>
  <c r="AA30" i="20"/>
  <c r="Z30" i="20"/>
  <c r="Y30" i="20"/>
  <c r="X30" i="20"/>
  <c r="W30" i="20"/>
  <c r="P30" i="20"/>
  <c r="O30" i="20"/>
  <c r="N30" i="20"/>
  <c r="AO30" i="20" s="1"/>
  <c r="M30" i="20"/>
  <c r="AT29" i="20"/>
  <c r="AI29" i="20"/>
  <c r="AH29" i="20"/>
  <c r="AF29" i="20"/>
  <c r="AE29" i="20"/>
  <c r="AD29" i="20"/>
  <c r="AC29" i="20"/>
  <c r="AA29" i="20"/>
  <c r="Z29" i="20"/>
  <c r="Y29" i="20"/>
  <c r="X29" i="20"/>
  <c r="W29" i="20"/>
  <c r="P29" i="20"/>
  <c r="O29" i="20"/>
  <c r="AQ29" i="20" s="1"/>
  <c r="N29" i="20"/>
  <c r="M29" i="20"/>
  <c r="AT28" i="20"/>
  <c r="AO28" i="20"/>
  <c r="AI28" i="20"/>
  <c r="AH28" i="20"/>
  <c r="AF28" i="20"/>
  <c r="AE28" i="20"/>
  <c r="AD28" i="20"/>
  <c r="AA28" i="20"/>
  <c r="Z28" i="20"/>
  <c r="Y28" i="20"/>
  <c r="X28" i="20"/>
  <c r="W28" i="20"/>
  <c r="P28" i="20"/>
  <c r="O28" i="20"/>
  <c r="N28" i="20"/>
  <c r="AC28" i="20" s="1"/>
  <c r="M28" i="20"/>
  <c r="AI27" i="20"/>
  <c r="AH27" i="20"/>
  <c r="W27" i="20"/>
  <c r="AT26" i="20"/>
  <c r="AI26" i="20"/>
  <c r="AH26" i="20"/>
  <c r="AF26" i="20"/>
  <c r="AE26" i="20"/>
  <c r="AD26" i="20"/>
  <c r="AC26" i="20"/>
  <c r="AB26" i="20"/>
  <c r="AA26" i="20"/>
  <c r="Z26" i="20"/>
  <c r="Y26" i="20"/>
  <c r="X26" i="20"/>
  <c r="W26" i="20"/>
  <c r="P26" i="20"/>
  <c r="O26" i="20"/>
  <c r="N26" i="20"/>
  <c r="AO26" i="20" s="1"/>
  <c r="M26" i="20"/>
  <c r="AI25" i="20"/>
  <c r="AH25" i="20"/>
  <c r="W25" i="20"/>
  <c r="AP24" i="20"/>
  <c r="AI24" i="20"/>
  <c r="AH24" i="20"/>
  <c r="AF24" i="20"/>
  <c r="AE24" i="20"/>
  <c r="AB24" i="20"/>
  <c r="AA24" i="20"/>
  <c r="Z24" i="20"/>
  <c r="Y24" i="20"/>
  <c r="X24" i="20"/>
  <c r="W24" i="20"/>
  <c r="P24" i="20"/>
  <c r="O24" i="20"/>
  <c r="N24" i="20"/>
  <c r="M24" i="20"/>
  <c r="AI23" i="20"/>
  <c r="AH23" i="20"/>
  <c r="AF23" i="20"/>
  <c r="AE23" i="20"/>
  <c r="AB23" i="20"/>
  <c r="AA23" i="20"/>
  <c r="Z23" i="20"/>
  <c r="Y23" i="20"/>
  <c r="X23" i="20"/>
  <c r="W23" i="20"/>
  <c r="P23" i="20"/>
  <c r="O23" i="20"/>
  <c r="AD23" i="20" s="1"/>
  <c r="N23" i="20"/>
  <c r="M23" i="20"/>
  <c r="AT22" i="20"/>
  <c r="AI22" i="20"/>
  <c r="AH22" i="20"/>
  <c r="AF22" i="20"/>
  <c r="AE22" i="20"/>
  <c r="AC22" i="20"/>
  <c r="AB22" i="20"/>
  <c r="AA22" i="20"/>
  <c r="Z22" i="20"/>
  <c r="Y22" i="20"/>
  <c r="X22" i="20"/>
  <c r="W22" i="20"/>
  <c r="P22" i="20"/>
  <c r="O22" i="20"/>
  <c r="N22" i="20"/>
  <c r="M22" i="20"/>
  <c r="AI21" i="20"/>
  <c r="AH21" i="20"/>
  <c r="W21" i="20"/>
  <c r="AI20" i="20"/>
  <c r="AN20" i="20" s="1"/>
  <c r="AH20" i="20"/>
  <c r="AF20" i="20"/>
  <c r="AE20" i="20"/>
  <c r="AA20" i="20"/>
  <c r="Z20" i="20"/>
  <c r="Y20" i="20"/>
  <c r="X20" i="20"/>
  <c r="W20" i="20"/>
  <c r="P20" i="20"/>
  <c r="O20" i="20"/>
  <c r="AD20" i="20" s="1"/>
  <c r="N20" i="20"/>
  <c r="M20" i="20"/>
  <c r="AR20" i="20" s="1"/>
  <c r="AQ19" i="20"/>
  <c r="AP19" i="20"/>
  <c r="AI19" i="20"/>
  <c r="AH19" i="20"/>
  <c r="AF19" i="20"/>
  <c r="AE19" i="20"/>
  <c r="AB19" i="20"/>
  <c r="AA19" i="20"/>
  <c r="Z19" i="20"/>
  <c r="Y19" i="20"/>
  <c r="X19" i="20"/>
  <c r="W19" i="20"/>
  <c r="P19" i="20"/>
  <c r="O19" i="20"/>
  <c r="AD19" i="20" s="1"/>
  <c r="N19" i="20"/>
  <c r="AO19" i="20" s="1"/>
  <c r="AV19" i="20" s="1"/>
  <c r="M19" i="20"/>
  <c r="AI18" i="20"/>
  <c r="AH18" i="20"/>
  <c r="W18" i="20"/>
  <c r="AT17" i="20"/>
  <c r="AI17" i="20"/>
  <c r="AH17" i="20"/>
  <c r="AF17" i="20"/>
  <c r="AE17" i="20"/>
  <c r="AA17" i="20"/>
  <c r="Z17" i="20"/>
  <c r="Y17" i="20"/>
  <c r="X17" i="20"/>
  <c r="W17" i="20"/>
  <c r="P17" i="20"/>
  <c r="O17" i="20"/>
  <c r="AD17" i="20" s="1"/>
  <c r="N17" i="20"/>
  <c r="AC17" i="20" s="1"/>
  <c r="M17" i="20"/>
  <c r="AQ16" i="20"/>
  <c r="AI16" i="20"/>
  <c r="AH16" i="20"/>
  <c r="AF16" i="20"/>
  <c r="AE16" i="20"/>
  <c r="AB16" i="20"/>
  <c r="AA16" i="20"/>
  <c r="Z16" i="20"/>
  <c r="Y16" i="20"/>
  <c r="X16" i="20"/>
  <c r="W16" i="20"/>
  <c r="P16" i="20"/>
  <c r="O16" i="20"/>
  <c r="AD16" i="20" s="1"/>
  <c r="N16" i="20"/>
  <c r="M16" i="20"/>
  <c r="AR15" i="20"/>
  <c r="AQ15" i="20"/>
  <c r="AJ15" i="20"/>
  <c r="AI15" i="20"/>
  <c r="AH15" i="20"/>
  <c r="AF15" i="20"/>
  <c r="AE15" i="20"/>
  <c r="AC15" i="20"/>
  <c r="AB15" i="20"/>
  <c r="AA15" i="20"/>
  <c r="Z15" i="20"/>
  <c r="Y15" i="20"/>
  <c r="X15" i="20"/>
  <c r="W15" i="20"/>
  <c r="P15" i="20"/>
  <c r="O15" i="20"/>
  <c r="AD15" i="20" s="1"/>
  <c r="N15" i="20"/>
  <c r="M15" i="20"/>
  <c r="AI14" i="20"/>
  <c r="AH14" i="20"/>
  <c r="W14" i="20"/>
  <c r="AT13" i="20"/>
  <c r="AQ13" i="20"/>
  <c r="AP13" i="20"/>
  <c r="AI13" i="20"/>
  <c r="AH13" i="20"/>
  <c r="AF13" i="20"/>
  <c r="AE13" i="20"/>
  <c r="AD13" i="20"/>
  <c r="AA13" i="20"/>
  <c r="Z13" i="20"/>
  <c r="Y13" i="20"/>
  <c r="X13" i="20"/>
  <c r="W13" i="20"/>
  <c r="P13" i="20"/>
  <c r="O13" i="20"/>
  <c r="N13" i="20"/>
  <c r="M13" i="20"/>
  <c r="AP12" i="20"/>
  <c r="AO12" i="20"/>
  <c r="AN12" i="20"/>
  <c r="AI12" i="20"/>
  <c r="AH12" i="20"/>
  <c r="AF12" i="20"/>
  <c r="AE12" i="20"/>
  <c r="AD12" i="20"/>
  <c r="AB12" i="20"/>
  <c r="AA12" i="20"/>
  <c r="Z12" i="20"/>
  <c r="Y12" i="20"/>
  <c r="X12" i="20"/>
  <c r="W12" i="20"/>
  <c r="P12" i="20"/>
  <c r="O12" i="20"/>
  <c r="AQ12" i="20" s="1"/>
  <c r="N12" i="20"/>
  <c r="AC12" i="20" s="1"/>
  <c r="M12" i="20"/>
  <c r="AR12" i="20" s="1"/>
  <c r="AJ11" i="20"/>
  <c r="AI11" i="20"/>
  <c r="AN11" i="20" s="1"/>
  <c r="AH11" i="20"/>
  <c r="AF11" i="20"/>
  <c r="AE11" i="20"/>
  <c r="AB11" i="20"/>
  <c r="AA11" i="20"/>
  <c r="Z11" i="20"/>
  <c r="Y11" i="20"/>
  <c r="X11" i="20"/>
  <c r="W11" i="20"/>
  <c r="P11" i="20"/>
  <c r="O11" i="20"/>
  <c r="AD11" i="20" s="1"/>
  <c r="N11" i="20"/>
  <c r="AO11" i="20" s="1"/>
  <c r="M11" i="20"/>
  <c r="AI10" i="20"/>
  <c r="AH10" i="20"/>
  <c r="W10" i="20"/>
  <c r="AU9" i="20"/>
  <c r="AT9" i="20"/>
  <c r="AP9" i="20"/>
  <c r="AO9" i="20"/>
  <c r="AV9" i="20" s="1"/>
  <c r="AN9" i="20"/>
  <c r="AJ9" i="20"/>
  <c r="AI9" i="20"/>
  <c r="AH9" i="20"/>
  <c r="AF9" i="20"/>
  <c r="AE9" i="20"/>
  <c r="AD9" i="20"/>
  <c r="AC9" i="20"/>
  <c r="AA9" i="20"/>
  <c r="Z9" i="20"/>
  <c r="Y9" i="20"/>
  <c r="X9" i="20"/>
  <c r="W9" i="20"/>
  <c r="P9" i="20"/>
  <c r="O9" i="20"/>
  <c r="AQ9" i="20" s="1"/>
  <c r="N9" i="20"/>
  <c r="M9" i="20"/>
  <c r="AP8" i="20"/>
  <c r="AN8" i="20"/>
  <c r="AI8" i="20"/>
  <c r="AH8" i="20"/>
  <c r="AF8" i="20"/>
  <c r="AE8" i="20"/>
  <c r="AB8" i="20"/>
  <c r="AA8" i="20"/>
  <c r="Z8" i="20"/>
  <c r="Y8" i="20"/>
  <c r="X8" i="20"/>
  <c r="W8" i="20"/>
  <c r="P8" i="20"/>
  <c r="O8" i="20"/>
  <c r="AQ8" i="20" s="1"/>
  <c r="N8" i="20"/>
  <c r="AC8" i="20" s="1"/>
  <c r="M8" i="20"/>
  <c r="AR7" i="20"/>
  <c r="AQ7" i="20"/>
  <c r="AP7" i="20"/>
  <c r="AI7" i="20"/>
  <c r="AH7" i="20"/>
  <c r="AF7" i="20"/>
  <c r="AE7" i="20"/>
  <c r="AA7" i="20"/>
  <c r="Z7" i="20"/>
  <c r="Y7" i="20"/>
  <c r="X7" i="20"/>
  <c r="W7" i="20"/>
  <c r="P7" i="20"/>
  <c r="O7" i="20"/>
  <c r="AD7" i="20" s="1"/>
  <c r="N7" i="20"/>
  <c r="M7" i="20"/>
  <c r="AB7" i="20" s="1"/>
  <c r="AU6" i="20"/>
  <c r="AP6" i="20"/>
  <c r="AN6" i="20"/>
  <c r="AJ6" i="20"/>
  <c r="AI6" i="20"/>
  <c r="AT6" i="20" s="1"/>
  <c r="AH6" i="20"/>
  <c r="AF6" i="20"/>
  <c r="AE6" i="20"/>
  <c r="AD6" i="20"/>
  <c r="AC6" i="20"/>
  <c r="AB6" i="20"/>
  <c r="AA6" i="20"/>
  <c r="Z6" i="20"/>
  <c r="Y6" i="20"/>
  <c r="X6" i="20"/>
  <c r="W6" i="20"/>
  <c r="P6" i="20"/>
  <c r="O6" i="20"/>
  <c r="N6" i="20"/>
  <c r="M6" i="20"/>
  <c r="AI5" i="20"/>
  <c r="AH5" i="20"/>
  <c r="W5" i="20"/>
  <c r="AI4" i="20"/>
  <c r="AQ3" i="20"/>
  <c r="AP3" i="20"/>
  <c r="AO3" i="20"/>
  <c r="AI3" i="20"/>
  <c r="AH3" i="20"/>
  <c r="AN2" i="20"/>
  <c r="AN17" i="20" s="1"/>
  <c r="AM2" i="20"/>
  <c r="AL2" i="20"/>
  <c r="AK2" i="20"/>
  <c r="AJ2" i="20"/>
  <c r="AJ13" i="20" s="1"/>
  <c r="AA2" i="20"/>
  <c r="A2" i="20"/>
  <c r="AU1" i="20"/>
  <c r="AU33" i="20" s="1"/>
  <c r="AR1" i="20"/>
  <c r="AR23" i="20" s="1"/>
  <c r="AQ1" i="20"/>
  <c r="AQ35" i="20" s="1"/>
  <c r="AP1" i="20"/>
  <c r="AP20" i="20" s="1"/>
  <c r="AO1" i="20"/>
  <c r="AO29" i="20" s="1"/>
  <c r="AJ1" i="20"/>
  <c r="AH1" i="20"/>
  <c r="AH2" i="20" s="1"/>
  <c r="AA1" i="20"/>
  <c r="A1" i="20"/>
  <c r="AT16" i="19"/>
  <c r="AP16" i="19"/>
  <c r="AJ16" i="19"/>
  <c r="AI16" i="19"/>
  <c r="AN16" i="19" s="1"/>
  <c r="AH16" i="19"/>
  <c r="AF16" i="19"/>
  <c r="AE16" i="19"/>
  <c r="AC16" i="19"/>
  <c r="AB16" i="19"/>
  <c r="AA16" i="19"/>
  <c r="Z16" i="19"/>
  <c r="Y16" i="19"/>
  <c r="X16" i="19"/>
  <c r="W16" i="19"/>
  <c r="P16" i="19"/>
  <c r="O16" i="19"/>
  <c r="AQ16" i="19" s="1"/>
  <c r="N16" i="19"/>
  <c r="AO16" i="19" s="1"/>
  <c r="AV16" i="19" s="1"/>
  <c r="M16" i="19"/>
  <c r="AR15" i="19"/>
  <c r="AN15" i="19"/>
  <c r="AI15" i="19"/>
  <c r="AT15" i="19" s="1"/>
  <c r="AH15" i="19"/>
  <c r="AF15" i="19"/>
  <c r="AE15" i="19"/>
  <c r="AD15" i="19"/>
  <c r="AC15" i="19"/>
  <c r="AB15" i="19"/>
  <c r="AA15" i="19"/>
  <c r="Z15" i="19"/>
  <c r="Y15" i="19"/>
  <c r="X15" i="19"/>
  <c r="W15" i="19"/>
  <c r="P15" i="19"/>
  <c r="O15" i="19"/>
  <c r="AQ15" i="19" s="1"/>
  <c r="N15" i="19"/>
  <c r="M15" i="19"/>
  <c r="AT14" i="19"/>
  <c r="AO14" i="19"/>
  <c r="AN14" i="19"/>
  <c r="AI14" i="19"/>
  <c r="AH14" i="19"/>
  <c r="AF14" i="19"/>
  <c r="AE14" i="19"/>
  <c r="AD14" i="19"/>
  <c r="AC14" i="19"/>
  <c r="AA14" i="19"/>
  <c r="Z14" i="19"/>
  <c r="Y14" i="19"/>
  <c r="X14" i="19"/>
  <c r="W14" i="19"/>
  <c r="P14" i="19"/>
  <c r="O14" i="19"/>
  <c r="AQ14" i="19" s="1"/>
  <c r="N14" i="19"/>
  <c r="M14" i="19"/>
  <c r="AT13" i="19"/>
  <c r="AP13" i="19"/>
  <c r="AN13" i="19"/>
  <c r="AI13" i="19"/>
  <c r="AH13" i="19"/>
  <c r="AF13" i="19"/>
  <c r="AE13" i="19"/>
  <c r="AD13" i="19"/>
  <c r="AA13" i="19"/>
  <c r="Z13" i="19"/>
  <c r="Y13" i="19"/>
  <c r="X13" i="19"/>
  <c r="W13" i="19"/>
  <c r="P13" i="19"/>
  <c r="O13" i="19"/>
  <c r="AQ13" i="19" s="1"/>
  <c r="N13" i="19"/>
  <c r="M13" i="19"/>
  <c r="AR13" i="19" s="1"/>
  <c r="AP12" i="19"/>
  <c r="AO12" i="19"/>
  <c r="AI12" i="19"/>
  <c r="AT12" i="19" s="1"/>
  <c r="AH12" i="19"/>
  <c r="AF12" i="19"/>
  <c r="AE12" i="19"/>
  <c r="AA12" i="19"/>
  <c r="Z12" i="19"/>
  <c r="Y12" i="19"/>
  <c r="X12" i="19"/>
  <c r="W12" i="19"/>
  <c r="P12" i="19"/>
  <c r="O12" i="19"/>
  <c r="AD12" i="19" s="1"/>
  <c r="N12" i="19"/>
  <c r="AC12" i="19" s="1"/>
  <c r="M12" i="19"/>
  <c r="AR12" i="19" s="1"/>
  <c r="AI11" i="19"/>
  <c r="AH11" i="19"/>
  <c r="W11" i="19"/>
  <c r="AT10" i="19"/>
  <c r="AP10" i="19"/>
  <c r="AO10" i="19"/>
  <c r="AV10" i="19" s="1"/>
  <c r="AN10" i="19"/>
  <c r="AI10" i="19"/>
  <c r="AH10" i="19"/>
  <c r="AF10" i="19"/>
  <c r="AE10" i="19"/>
  <c r="AD10" i="19"/>
  <c r="AC10" i="19"/>
  <c r="AA10" i="19"/>
  <c r="Z10" i="19"/>
  <c r="Y10" i="19"/>
  <c r="X10" i="19"/>
  <c r="W10" i="19"/>
  <c r="P10" i="19"/>
  <c r="O10" i="19"/>
  <c r="AQ10" i="19" s="1"/>
  <c r="N10" i="19"/>
  <c r="M10" i="19"/>
  <c r="AT9" i="19"/>
  <c r="AP9" i="19"/>
  <c r="AN9" i="19"/>
  <c r="AI9" i="19"/>
  <c r="AH9" i="19"/>
  <c r="AF9" i="19"/>
  <c r="AE9" i="19"/>
  <c r="AD9" i="19"/>
  <c r="AA9" i="19"/>
  <c r="Z9" i="19"/>
  <c r="Y9" i="19"/>
  <c r="X9" i="19"/>
  <c r="W9" i="19"/>
  <c r="P9" i="19"/>
  <c r="O9" i="19"/>
  <c r="AQ9" i="19" s="1"/>
  <c r="N9" i="19"/>
  <c r="M9" i="19"/>
  <c r="AR9" i="19" s="1"/>
  <c r="AP8" i="19"/>
  <c r="AO8" i="19"/>
  <c r="AV8" i="19" s="1"/>
  <c r="AN8" i="19"/>
  <c r="AI8" i="19"/>
  <c r="AT8" i="19" s="1"/>
  <c r="AH8" i="19"/>
  <c r="AF8" i="19"/>
  <c r="AE8" i="19"/>
  <c r="AA8" i="19"/>
  <c r="Z8" i="19"/>
  <c r="Y8" i="19"/>
  <c r="X8" i="19"/>
  <c r="W8" i="19"/>
  <c r="P8" i="19"/>
  <c r="O8" i="19"/>
  <c r="AD8" i="19" s="1"/>
  <c r="N8" i="19"/>
  <c r="AC8" i="19" s="1"/>
  <c r="M8" i="19"/>
  <c r="AR8" i="19" s="1"/>
  <c r="AR7" i="19"/>
  <c r="AP7" i="19"/>
  <c r="AI7" i="19"/>
  <c r="AH7" i="19"/>
  <c r="AF7" i="19"/>
  <c r="AE7" i="19"/>
  <c r="AB7" i="19"/>
  <c r="AA7" i="19"/>
  <c r="Z7" i="19"/>
  <c r="Y7" i="19"/>
  <c r="X7" i="19"/>
  <c r="W7" i="19"/>
  <c r="P7" i="19"/>
  <c r="O7" i="19"/>
  <c r="AQ7" i="19" s="1"/>
  <c r="N7" i="19"/>
  <c r="AO7" i="19" s="1"/>
  <c r="AV7" i="19" s="1"/>
  <c r="M7" i="19"/>
  <c r="AT6" i="19"/>
  <c r="AP6" i="19"/>
  <c r="AJ6" i="19"/>
  <c r="AI6" i="19"/>
  <c r="AN6" i="19" s="1"/>
  <c r="AH6" i="19"/>
  <c r="AF6" i="19"/>
  <c r="AE6" i="19"/>
  <c r="AC6" i="19"/>
  <c r="AB6" i="19"/>
  <c r="AA6" i="19"/>
  <c r="Z6" i="19"/>
  <c r="Y6" i="19"/>
  <c r="X6" i="19"/>
  <c r="W6" i="19"/>
  <c r="P6" i="19"/>
  <c r="O6" i="19"/>
  <c r="AQ6" i="19" s="1"/>
  <c r="N6" i="19"/>
  <c r="AO6" i="19" s="1"/>
  <c r="AV6" i="19" s="1"/>
  <c r="M6" i="19"/>
  <c r="AI5" i="19"/>
  <c r="AH5" i="19"/>
  <c r="W5" i="19"/>
  <c r="AI4" i="19"/>
  <c r="AP3" i="19"/>
  <c r="AO3" i="19"/>
  <c r="AI3" i="19"/>
  <c r="AH3" i="19"/>
  <c r="AN2" i="19"/>
  <c r="AN12" i="19" s="1"/>
  <c r="AM2" i="19"/>
  <c r="AL2" i="19"/>
  <c r="AK2" i="19"/>
  <c r="AJ2" i="19"/>
  <c r="AJ14" i="19" s="1"/>
  <c r="AA2" i="19"/>
  <c r="A2" i="19"/>
  <c r="AU1" i="19"/>
  <c r="AR1" i="19"/>
  <c r="AR16" i="19" s="1"/>
  <c r="AQ1" i="19"/>
  <c r="AQ3" i="19" s="1"/>
  <c r="AP1" i="19"/>
  <c r="AP15" i="19" s="1"/>
  <c r="AO1" i="19"/>
  <c r="AO15" i="19" s="1"/>
  <c r="AH1" i="19"/>
  <c r="AH2" i="19" s="1"/>
  <c r="AA1" i="19"/>
  <c r="A1" i="19"/>
  <c r="AJ1" i="19" s="1"/>
  <c r="AP99" i="18"/>
  <c r="AI99" i="18"/>
  <c r="AH99" i="18"/>
  <c r="AF99" i="18"/>
  <c r="AE99" i="18"/>
  <c r="AB99" i="18"/>
  <c r="AA99" i="18"/>
  <c r="Z99" i="18"/>
  <c r="Y99" i="18"/>
  <c r="X99" i="18"/>
  <c r="W99" i="18"/>
  <c r="P99" i="18"/>
  <c r="O99" i="18"/>
  <c r="N99" i="18"/>
  <c r="AO99" i="18" s="1"/>
  <c r="AV99" i="18" s="1"/>
  <c r="M99" i="18"/>
  <c r="AT98" i="18"/>
  <c r="AP98" i="18"/>
  <c r="AI98" i="18"/>
  <c r="AH98" i="18"/>
  <c r="AF98" i="18"/>
  <c r="AE98" i="18"/>
  <c r="AC98" i="18"/>
  <c r="AB98" i="18"/>
  <c r="AA98" i="18"/>
  <c r="Z98" i="18"/>
  <c r="Y98" i="18"/>
  <c r="X98" i="18"/>
  <c r="W98" i="18"/>
  <c r="P98" i="18"/>
  <c r="O98" i="18"/>
  <c r="N98" i="18"/>
  <c r="AO98" i="18" s="1"/>
  <c r="AV98" i="18" s="1"/>
  <c r="M98" i="18"/>
  <c r="AP97" i="18"/>
  <c r="AO97" i="18"/>
  <c r="AV97" i="18" s="1"/>
  <c r="AI97" i="18"/>
  <c r="AT97" i="18" s="1"/>
  <c r="AH97" i="18"/>
  <c r="AF97" i="18"/>
  <c r="AE97" i="18"/>
  <c r="AD97" i="18"/>
  <c r="AC97" i="18"/>
  <c r="AB97" i="18"/>
  <c r="AA97" i="18"/>
  <c r="Z97" i="18"/>
  <c r="Y97" i="18"/>
  <c r="X97" i="18"/>
  <c r="W97" i="18"/>
  <c r="P97" i="18"/>
  <c r="O97" i="18"/>
  <c r="N97" i="18"/>
  <c r="M97" i="18"/>
  <c r="AI96" i="18"/>
  <c r="AH96" i="18"/>
  <c r="W96" i="18"/>
  <c r="AP95" i="18"/>
  <c r="AI95" i="18"/>
  <c r="AH95" i="18"/>
  <c r="AF95" i="18"/>
  <c r="AE95" i="18"/>
  <c r="AB95" i="18"/>
  <c r="AA95" i="18"/>
  <c r="Z95" i="18"/>
  <c r="Y95" i="18"/>
  <c r="X95" i="18"/>
  <c r="W95" i="18"/>
  <c r="P95" i="18"/>
  <c r="O95" i="18"/>
  <c r="N95" i="18"/>
  <c r="AO95" i="18" s="1"/>
  <c r="AV95" i="18" s="1"/>
  <c r="M95" i="18"/>
  <c r="AT94" i="18"/>
  <c r="AP94" i="18"/>
  <c r="AI94" i="18"/>
  <c r="AH94" i="18"/>
  <c r="AF94" i="18"/>
  <c r="AE94" i="18"/>
  <c r="AC94" i="18"/>
  <c r="AB94" i="18"/>
  <c r="AA94" i="18"/>
  <c r="Z94" i="18"/>
  <c r="Y94" i="18"/>
  <c r="X94" i="18"/>
  <c r="W94" i="18"/>
  <c r="P94" i="18"/>
  <c r="O94" i="18"/>
  <c r="N94" i="18"/>
  <c r="AO94" i="18" s="1"/>
  <c r="AV94" i="18" s="1"/>
  <c r="M94" i="18"/>
  <c r="AP93" i="18"/>
  <c r="AO93" i="18"/>
  <c r="AV93" i="18" s="1"/>
  <c r="AI93" i="18"/>
  <c r="AT93" i="18" s="1"/>
  <c r="AH93" i="18"/>
  <c r="AF93" i="18"/>
  <c r="AE93" i="18"/>
  <c r="AD93" i="18"/>
  <c r="AC93" i="18"/>
  <c r="AB93" i="18"/>
  <c r="AA93" i="18"/>
  <c r="Z93" i="18"/>
  <c r="Y93" i="18"/>
  <c r="X93" i="18"/>
  <c r="W93" i="18"/>
  <c r="P93" i="18"/>
  <c r="O93" i="18"/>
  <c r="N93" i="18"/>
  <c r="M93" i="18"/>
  <c r="AI92" i="18"/>
  <c r="AH92" i="18"/>
  <c r="W92" i="18"/>
  <c r="AI91" i="18"/>
  <c r="AH91" i="18"/>
  <c r="AF91" i="18"/>
  <c r="AE91" i="18"/>
  <c r="AB91" i="18"/>
  <c r="AA91" i="18"/>
  <c r="Z91" i="18"/>
  <c r="Y91" i="18"/>
  <c r="X91" i="18"/>
  <c r="W91" i="18"/>
  <c r="P91" i="18"/>
  <c r="O91" i="18"/>
  <c r="N91" i="18"/>
  <c r="M91" i="18"/>
  <c r="AT90" i="18"/>
  <c r="AI90" i="18"/>
  <c r="AH90" i="18"/>
  <c r="AF90" i="18"/>
  <c r="AE90" i="18"/>
  <c r="AC90" i="18"/>
  <c r="AB90" i="18"/>
  <c r="AA90" i="18"/>
  <c r="Z90" i="18"/>
  <c r="Y90" i="18"/>
  <c r="X90" i="18"/>
  <c r="W90" i="18"/>
  <c r="P90" i="18"/>
  <c r="O90" i="18"/>
  <c r="N90" i="18"/>
  <c r="M90" i="18"/>
  <c r="AI89" i="18"/>
  <c r="AH89" i="18"/>
  <c r="W89" i="18"/>
  <c r="AP88" i="18"/>
  <c r="AO88" i="18"/>
  <c r="AV88" i="18" s="1"/>
  <c r="AI88" i="18"/>
  <c r="AT88" i="18" s="1"/>
  <c r="AH88" i="18"/>
  <c r="AF88" i="18"/>
  <c r="AE88" i="18"/>
  <c r="AA88" i="18"/>
  <c r="Z88" i="18"/>
  <c r="Y88" i="18"/>
  <c r="X88" i="18"/>
  <c r="W88" i="18"/>
  <c r="P88" i="18"/>
  <c r="O88" i="18"/>
  <c r="AD88" i="18" s="1"/>
  <c r="N88" i="18"/>
  <c r="AC88" i="18" s="1"/>
  <c r="M88" i="18"/>
  <c r="AP87" i="18"/>
  <c r="AI87" i="18"/>
  <c r="AH87" i="18"/>
  <c r="AF87" i="18"/>
  <c r="AE87" i="18"/>
  <c r="AB87" i="18"/>
  <c r="AA87" i="18"/>
  <c r="Z87" i="18"/>
  <c r="Y87" i="18"/>
  <c r="X87" i="18"/>
  <c r="W87" i="18"/>
  <c r="P87" i="18"/>
  <c r="O87" i="18"/>
  <c r="N87" i="18"/>
  <c r="M87" i="18"/>
  <c r="AI86" i="18"/>
  <c r="AH86" i="18"/>
  <c r="W86" i="18"/>
  <c r="AT85" i="18"/>
  <c r="AP85" i="18"/>
  <c r="AI85" i="18"/>
  <c r="AH85" i="18"/>
  <c r="AF85" i="18"/>
  <c r="AE85" i="18"/>
  <c r="AD85" i="18"/>
  <c r="AA85" i="18"/>
  <c r="Z85" i="18"/>
  <c r="Y85" i="18"/>
  <c r="X85" i="18"/>
  <c r="W85" i="18"/>
  <c r="P85" i="18"/>
  <c r="O85" i="18"/>
  <c r="N85" i="18"/>
  <c r="M85" i="18"/>
  <c r="AV84" i="18"/>
  <c r="AP84" i="18"/>
  <c r="AO84" i="18"/>
  <c r="AI84" i="18"/>
  <c r="AT84" i="18" s="1"/>
  <c r="AH84" i="18"/>
  <c r="AF84" i="18"/>
  <c r="AE84" i="18"/>
  <c r="AA84" i="18"/>
  <c r="Z84" i="18"/>
  <c r="Y84" i="18"/>
  <c r="X84" i="18"/>
  <c r="W84" i="18"/>
  <c r="P84" i="18"/>
  <c r="O84" i="18"/>
  <c r="AD84" i="18" s="1"/>
  <c r="N84" i="18"/>
  <c r="AC84" i="18" s="1"/>
  <c r="M84" i="18"/>
  <c r="AP83" i="18"/>
  <c r="AI83" i="18"/>
  <c r="AH83" i="18"/>
  <c r="AF83" i="18"/>
  <c r="AE83" i="18"/>
  <c r="AB83" i="18"/>
  <c r="AA83" i="18"/>
  <c r="Z83" i="18"/>
  <c r="Y83" i="18"/>
  <c r="X83" i="18"/>
  <c r="W83" i="18"/>
  <c r="P83" i="18"/>
  <c r="O83" i="18"/>
  <c r="N83" i="18"/>
  <c r="M83" i="18"/>
  <c r="AI82" i="18"/>
  <c r="AH82" i="18"/>
  <c r="W82" i="18"/>
  <c r="AT81" i="18"/>
  <c r="AP81" i="18"/>
  <c r="AI81" i="18"/>
  <c r="AH81" i="18"/>
  <c r="AF81" i="18"/>
  <c r="AE81" i="18"/>
  <c r="AD81" i="18"/>
  <c r="AA81" i="18"/>
  <c r="Z81" i="18"/>
  <c r="Y81" i="18"/>
  <c r="X81" i="18"/>
  <c r="W81" i="18"/>
  <c r="P81" i="18"/>
  <c r="O81" i="18"/>
  <c r="N81" i="18"/>
  <c r="M81" i="18"/>
  <c r="AI80" i="18"/>
  <c r="AH80" i="18"/>
  <c r="W80" i="18"/>
  <c r="AI79" i="18"/>
  <c r="AH79" i="18"/>
  <c r="AF79" i="18"/>
  <c r="AE79" i="18"/>
  <c r="AD79" i="18"/>
  <c r="AC79" i="18"/>
  <c r="AB79" i="18"/>
  <c r="AA79" i="18"/>
  <c r="Z79" i="18"/>
  <c r="Y79" i="18"/>
  <c r="X79" i="18"/>
  <c r="W79" i="18"/>
  <c r="P79" i="18"/>
  <c r="O79" i="18"/>
  <c r="N79" i="18"/>
  <c r="M79" i="18"/>
  <c r="AT78" i="18"/>
  <c r="AI78" i="18"/>
  <c r="AH78" i="18"/>
  <c r="AF78" i="18"/>
  <c r="AE78" i="18"/>
  <c r="AD78" i="18"/>
  <c r="AC78" i="18"/>
  <c r="AA78" i="18"/>
  <c r="Z78" i="18"/>
  <c r="Y78" i="18"/>
  <c r="X78" i="18"/>
  <c r="W78" i="18"/>
  <c r="P78" i="18"/>
  <c r="O78" i="18"/>
  <c r="N78" i="18"/>
  <c r="M78" i="18"/>
  <c r="AI77" i="18"/>
  <c r="AH77" i="18"/>
  <c r="W77" i="18"/>
  <c r="AT76" i="18"/>
  <c r="AP76" i="18"/>
  <c r="AI76" i="18"/>
  <c r="AH76" i="18"/>
  <c r="AF76" i="18"/>
  <c r="AE76" i="18"/>
  <c r="AC76" i="18"/>
  <c r="AB76" i="18"/>
  <c r="AA76" i="18"/>
  <c r="Z76" i="18"/>
  <c r="Y76" i="18"/>
  <c r="X76" i="18"/>
  <c r="W76" i="18"/>
  <c r="P76" i="18"/>
  <c r="O76" i="18"/>
  <c r="AD76" i="18" s="1"/>
  <c r="N76" i="18"/>
  <c r="AO76" i="18" s="1"/>
  <c r="AV76" i="18" s="1"/>
  <c r="M76" i="18"/>
  <c r="AP75" i="18"/>
  <c r="AI75" i="18"/>
  <c r="AH75" i="18"/>
  <c r="AF75" i="18"/>
  <c r="AE75" i="18"/>
  <c r="AD75" i="18"/>
  <c r="AC75" i="18"/>
  <c r="AB75" i="18"/>
  <c r="AA75" i="18"/>
  <c r="Z75" i="18"/>
  <c r="Y75" i="18"/>
  <c r="X75" i="18"/>
  <c r="W75" i="18"/>
  <c r="P75" i="18"/>
  <c r="O75" i="18"/>
  <c r="N75" i="18"/>
  <c r="AO75" i="18" s="1"/>
  <c r="AV75" i="18" s="1"/>
  <c r="M75" i="18"/>
  <c r="AT74" i="18"/>
  <c r="AP74" i="18"/>
  <c r="AO74" i="18"/>
  <c r="AV74" i="18" s="1"/>
  <c r="AI74" i="18"/>
  <c r="AH74" i="18"/>
  <c r="AF74" i="18"/>
  <c r="AE74" i="18"/>
  <c r="AD74" i="18"/>
  <c r="AC74" i="18"/>
  <c r="AA74" i="18"/>
  <c r="Z74" i="18"/>
  <c r="Y74" i="18"/>
  <c r="X74" i="18"/>
  <c r="W74" i="18"/>
  <c r="P74" i="18"/>
  <c r="O74" i="18"/>
  <c r="N74" i="18"/>
  <c r="M74" i="18"/>
  <c r="AT73" i="18"/>
  <c r="AP73" i="18"/>
  <c r="AI73" i="18"/>
  <c r="AH73" i="18"/>
  <c r="AF73" i="18"/>
  <c r="AE73" i="18"/>
  <c r="AD73" i="18"/>
  <c r="AA73" i="18"/>
  <c r="Z73" i="18"/>
  <c r="Y73" i="18"/>
  <c r="X73" i="18"/>
  <c r="W73" i="18"/>
  <c r="P73" i="18"/>
  <c r="O73" i="18"/>
  <c r="N73" i="18"/>
  <c r="M73" i="18"/>
  <c r="AP72" i="18"/>
  <c r="AI72" i="18"/>
  <c r="AT72" i="18" s="1"/>
  <c r="AH72" i="18"/>
  <c r="AF72" i="18"/>
  <c r="AE72" i="18"/>
  <c r="AA72" i="18"/>
  <c r="Z72" i="18"/>
  <c r="Y72" i="18"/>
  <c r="X72" i="18"/>
  <c r="W72" i="18"/>
  <c r="P72" i="18"/>
  <c r="O72" i="18"/>
  <c r="AD72" i="18" s="1"/>
  <c r="N72" i="18"/>
  <c r="AC72" i="18" s="1"/>
  <c r="M72" i="18"/>
  <c r="AP71" i="18"/>
  <c r="AI71" i="18"/>
  <c r="AH71" i="18"/>
  <c r="AF71" i="18"/>
  <c r="AE71" i="18"/>
  <c r="AB71" i="18"/>
  <c r="AA71" i="18"/>
  <c r="Z71" i="18"/>
  <c r="Y71" i="18"/>
  <c r="X71" i="18"/>
  <c r="W71" i="18"/>
  <c r="P71" i="18"/>
  <c r="O71" i="18"/>
  <c r="AD71" i="18" s="1"/>
  <c r="N71" i="18"/>
  <c r="M71" i="18"/>
  <c r="AT70" i="18"/>
  <c r="AP70" i="18"/>
  <c r="AI70" i="18"/>
  <c r="AH70" i="18"/>
  <c r="AF70" i="18"/>
  <c r="AE70" i="18"/>
  <c r="AC70" i="18"/>
  <c r="AB70" i="18"/>
  <c r="AA70" i="18"/>
  <c r="Z70" i="18"/>
  <c r="Y70" i="18"/>
  <c r="X70" i="18"/>
  <c r="W70" i="18"/>
  <c r="P70" i="18"/>
  <c r="O70" i="18"/>
  <c r="AD70" i="18" s="1"/>
  <c r="N70" i="18"/>
  <c r="AO70" i="18" s="1"/>
  <c r="AV70" i="18" s="1"/>
  <c r="M70" i="18"/>
  <c r="AP69" i="18"/>
  <c r="AI69" i="18"/>
  <c r="AT69" i="18" s="1"/>
  <c r="AH69" i="18"/>
  <c r="AF69" i="18"/>
  <c r="AE69" i="18"/>
  <c r="AD69" i="18"/>
  <c r="AC69" i="18"/>
  <c r="AB69" i="18"/>
  <c r="AA69" i="18"/>
  <c r="Z69" i="18"/>
  <c r="Y69" i="18"/>
  <c r="X69" i="18"/>
  <c r="W69" i="18"/>
  <c r="P69" i="18"/>
  <c r="O69" i="18"/>
  <c r="N69" i="18"/>
  <c r="AO69" i="18" s="1"/>
  <c r="AV69" i="18" s="1"/>
  <c r="M69" i="18"/>
  <c r="AI68" i="18"/>
  <c r="AH68" i="18"/>
  <c r="W68" i="18"/>
  <c r="AI67" i="18"/>
  <c r="AH67" i="18"/>
  <c r="AF67" i="18"/>
  <c r="AE67" i="18"/>
  <c r="AB67" i="18"/>
  <c r="AA67" i="18"/>
  <c r="Z67" i="18"/>
  <c r="Y67" i="18"/>
  <c r="X67" i="18"/>
  <c r="W67" i="18"/>
  <c r="P67" i="18"/>
  <c r="O67" i="18"/>
  <c r="AD67" i="18" s="1"/>
  <c r="N67" i="18"/>
  <c r="M67" i="18"/>
  <c r="AT66" i="18"/>
  <c r="AI66" i="18"/>
  <c r="AH66" i="18"/>
  <c r="AF66" i="18"/>
  <c r="AE66" i="18"/>
  <c r="AC66" i="18"/>
  <c r="AB66" i="18"/>
  <c r="AA66" i="18"/>
  <c r="Z66" i="18"/>
  <c r="Y66" i="18"/>
  <c r="X66" i="18"/>
  <c r="W66" i="18"/>
  <c r="P66" i="18"/>
  <c r="O66" i="18"/>
  <c r="AD66" i="18" s="1"/>
  <c r="N66" i="18"/>
  <c r="M66" i="18"/>
  <c r="AI65" i="18"/>
  <c r="AH65" i="18"/>
  <c r="W65" i="18"/>
  <c r="AP64" i="18"/>
  <c r="AI64" i="18"/>
  <c r="AT64" i="18" s="1"/>
  <c r="AH64" i="18"/>
  <c r="AF64" i="18"/>
  <c r="AE64" i="18"/>
  <c r="AA64" i="18"/>
  <c r="Z64" i="18"/>
  <c r="Y64" i="18"/>
  <c r="X64" i="18"/>
  <c r="W64" i="18"/>
  <c r="P64" i="18"/>
  <c r="O64" i="18"/>
  <c r="AD64" i="18" s="1"/>
  <c r="N64" i="18"/>
  <c r="AC64" i="18" s="1"/>
  <c r="M64" i="18"/>
  <c r="AI63" i="18"/>
  <c r="AH63" i="18"/>
  <c r="AF63" i="18"/>
  <c r="AE63" i="18"/>
  <c r="AB63" i="18"/>
  <c r="AA63" i="18"/>
  <c r="Z63" i="18"/>
  <c r="Y63" i="18"/>
  <c r="X63" i="18"/>
  <c r="W63" i="18"/>
  <c r="P63" i="18"/>
  <c r="O63" i="18"/>
  <c r="AD63" i="18" s="1"/>
  <c r="N63" i="18"/>
  <c r="AC63" i="18" s="1"/>
  <c r="M63" i="18"/>
  <c r="AT62" i="18"/>
  <c r="AI62" i="18"/>
  <c r="AH62" i="18"/>
  <c r="AF62" i="18"/>
  <c r="AE62" i="18"/>
  <c r="AC62" i="18"/>
  <c r="AB62" i="18"/>
  <c r="AA62" i="18"/>
  <c r="Z62" i="18"/>
  <c r="Y62" i="18"/>
  <c r="X62" i="18"/>
  <c r="W62" i="18"/>
  <c r="P62" i="18"/>
  <c r="O62" i="18"/>
  <c r="AD62" i="18" s="1"/>
  <c r="N62" i="18"/>
  <c r="M62" i="18"/>
  <c r="AI61" i="18"/>
  <c r="AH61" i="18"/>
  <c r="W61" i="18"/>
  <c r="AP60" i="18"/>
  <c r="AO60" i="18"/>
  <c r="AV60" i="18" s="1"/>
  <c r="AI60" i="18"/>
  <c r="AT60" i="18" s="1"/>
  <c r="AH60" i="18"/>
  <c r="AF60" i="18"/>
  <c r="AE60" i="18"/>
  <c r="AD60" i="18"/>
  <c r="AA60" i="18"/>
  <c r="Z60" i="18"/>
  <c r="Y60" i="18"/>
  <c r="X60" i="18"/>
  <c r="W60" i="18"/>
  <c r="P60" i="18"/>
  <c r="O60" i="18"/>
  <c r="N60" i="18"/>
  <c r="AC60" i="18" s="1"/>
  <c r="M60" i="18"/>
  <c r="AP59" i="18"/>
  <c r="AI59" i="18"/>
  <c r="AH59" i="18"/>
  <c r="AF59" i="18"/>
  <c r="AE59" i="18"/>
  <c r="AB59" i="18"/>
  <c r="AA59" i="18"/>
  <c r="Z59" i="18"/>
  <c r="Y59" i="18"/>
  <c r="X59" i="18"/>
  <c r="W59" i="18"/>
  <c r="P59" i="18"/>
  <c r="O59" i="18"/>
  <c r="AD59" i="18" s="1"/>
  <c r="N59" i="18"/>
  <c r="AC59" i="18" s="1"/>
  <c r="M59" i="18"/>
  <c r="AP58" i="18"/>
  <c r="AI58" i="18"/>
  <c r="AT58" i="18" s="1"/>
  <c r="AH58" i="18"/>
  <c r="AF58" i="18"/>
  <c r="AE58" i="18"/>
  <c r="AB58" i="18"/>
  <c r="AA58" i="18"/>
  <c r="Z58" i="18"/>
  <c r="Y58" i="18"/>
  <c r="X58" i="18"/>
  <c r="W58" i="18"/>
  <c r="P58" i="18"/>
  <c r="O58" i="18"/>
  <c r="AD58" i="18" s="1"/>
  <c r="N58" i="18"/>
  <c r="AO58" i="18" s="1"/>
  <c r="AV58" i="18" s="1"/>
  <c r="M58" i="18"/>
  <c r="AI57" i="18"/>
  <c r="AT57" i="18" s="1"/>
  <c r="AH57" i="18"/>
  <c r="AF57" i="18"/>
  <c r="AE57" i="18"/>
  <c r="AD57" i="18"/>
  <c r="AC57" i="18"/>
  <c r="AB57" i="18"/>
  <c r="AA57" i="18"/>
  <c r="Z57" i="18"/>
  <c r="Y57" i="18"/>
  <c r="X57" i="18"/>
  <c r="W57" i="18"/>
  <c r="P57" i="18"/>
  <c r="O57" i="18"/>
  <c r="N57" i="18"/>
  <c r="M57" i="18"/>
  <c r="AI56" i="18"/>
  <c r="AT56" i="18" s="1"/>
  <c r="AH56" i="18"/>
  <c r="AF56" i="18"/>
  <c r="AE56" i="18"/>
  <c r="AD56" i="18"/>
  <c r="AC56" i="18"/>
  <c r="AB56" i="18"/>
  <c r="AA56" i="18"/>
  <c r="Z56" i="18"/>
  <c r="Y56" i="18"/>
  <c r="X56" i="18"/>
  <c r="W56" i="18"/>
  <c r="P56" i="18"/>
  <c r="O56" i="18"/>
  <c r="N56" i="18"/>
  <c r="M56" i="18"/>
  <c r="AR56" i="18" s="1"/>
  <c r="AT55" i="18"/>
  <c r="AI55" i="18"/>
  <c r="AH55" i="18"/>
  <c r="AF55" i="18"/>
  <c r="AE55" i="18"/>
  <c r="AD55" i="18"/>
  <c r="AA55" i="18"/>
  <c r="Z55" i="18"/>
  <c r="Y55" i="18"/>
  <c r="X55" i="18"/>
  <c r="W55" i="18"/>
  <c r="P55" i="18"/>
  <c r="O55" i="18"/>
  <c r="N55" i="18"/>
  <c r="AO55" i="18" s="1"/>
  <c r="M55" i="18"/>
  <c r="AT54" i="18"/>
  <c r="AP54" i="18"/>
  <c r="AI54" i="18"/>
  <c r="AH54" i="18"/>
  <c r="AF54" i="18"/>
  <c r="AE54" i="18"/>
  <c r="AD54" i="18"/>
  <c r="AA54" i="18"/>
  <c r="Z54" i="18"/>
  <c r="Y54" i="18"/>
  <c r="X54" i="18"/>
  <c r="W54" i="18"/>
  <c r="P54" i="18"/>
  <c r="O54" i="18"/>
  <c r="N54" i="18"/>
  <c r="AC54" i="18" s="1"/>
  <c r="M54" i="18"/>
  <c r="AP53" i="18"/>
  <c r="AI53" i="18"/>
  <c r="AH53" i="18"/>
  <c r="AF53" i="18"/>
  <c r="AE53" i="18"/>
  <c r="AA53" i="18"/>
  <c r="Z53" i="18"/>
  <c r="Y53" i="18"/>
  <c r="X53" i="18"/>
  <c r="W53" i="18"/>
  <c r="P53" i="18"/>
  <c r="O53" i="18"/>
  <c r="AD53" i="18" s="1"/>
  <c r="N53" i="18"/>
  <c r="AC53" i="18" s="1"/>
  <c r="M53" i="18"/>
  <c r="AB53" i="18" s="1"/>
  <c r="AT52" i="18"/>
  <c r="AP52" i="18"/>
  <c r="AI52" i="18"/>
  <c r="AH52" i="18"/>
  <c r="AF52" i="18"/>
  <c r="AE52" i="18"/>
  <c r="AA52" i="18"/>
  <c r="Z52" i="18"/>
  <c r="Y52" i="18"/>
  <c r="X52" i="18"/>
  <c r="W52" i="18"/>
  <c r="P52" i="18"/>
  <c r="O52" i="18"/>
  <c r="AD52" i="18" s="1"/>
  <c r="N52" i="18"/>
  <c r="AO52" i="18" s="1"/>
  <c r="AV52" i="18" s="1"/>
  <c r="M52" i="18"/>
  <c r="AR52" i="18" s="1"/>
  <c r="AP51" i="18"/>
  <c r="AI51" i="18"/>
  <c r="AH51" i="18"/>
  <c r="AF51" i="18"/>
  <c r="AE51" i="18"/>
  <c r="AD51" i="18"/>
  <c r="AA51" i="18"/>
  <c r="Z51" i="18"/>
  <c r="Y51" i="18"/>
  <c r="X51" i="18"/>
  <c r="W51" i="18"/>
  <c r="P51" i="18"/>
  <c r="O51" i="18"/>
  <c r="N51" i="18"/>
  <c r="AO51" i="18" s="1"/>
  <c r="AV51" i="18" s="1"/>
  <c r="M51" i="18"/>
  <c r="AB51" i="18" s="1"/>
  <c r="AP50" i="18"/>
  <c r="AI50" i="18"/>
  <c r="AN50" i="18" s="1"/>
  <c r="AH50" i="18"/>
  <c r="AF50" i="18"/>
  <c r="AE50" i="18"/>
  <c r="AA50" i="18"/>
  <c r="Z50" i="18"/>
  <c r="Y50" i="18"/>
  <c r="X50" i="18"/>
  <c r="W50" i="18"/>
  <c r="P50" i="18"/>
  <c r="O50" i="18"/>
  <c r="AD50" i="18" s="1"/>
  <c r="N50" i="18"/>
  <c r="AO50" i="18" s="1"/>
  <c r="AV50" i="18" s="1"/>
  <c r="M50" i="18"/>
  <c r="AR50" i="18" s="1"/>
  <c r="AT49" i="18"/>
  <c r="AI49" i="18"/>
  <c r="AH49" i="18"/>
  <c r="AF49" i="18"/>
  <c r="AE49" i="18"/>
  <c r="AB49" i="18"/>
  <c r="AA49" i="18"/>
  <c r="Z49" i="18"/>
  <c r="Y49" i="18"/>
  <c r="X49" i="18"/>
  <c r="W49" i="18"/>
  <c r="P49" i="18"/>
  <c r="O49" i="18"/>
  <c r="AD49" i="18" s="1"/>
  <c r="N49" i="18"/>
  <c r="AO49" i="18" s="1"/>
  <c r="M49" i="18"/>
  <c r="AI48" i="18"/>
  <c r="AN48" i="18" s="1"/>
  <c r="AH48" i="18"/>
  <c r="AF48" i="18"/>
  <c r="AE48" i="18"/>
  <c r="AC48" i="18"/>
  <c r="AB48" i="18"/>
  <c r="AA48" i="18"/>
  <c r="Z48" i="18"/>
  <c r="Y48" i="18"/>
  <c r="X48" i="18"/>
  <c r="W48" i="18"/>
  <c r="P48" i="18"/>
  <c r="O48" i="18"/>
  <c r="N48" i="18"/>
  <c r="M48" i="18"/>
  <c r="AT47" i="18"/>
  <c r="AI47" i="18"/>
  <c r="AN47" i="18" s="1"/>
  <c r="AH47" i="18"/>
  <c r="AF47" i="18"/>
  <c r="AE47" i="18"/>
  <c r="AD47" i="18"/>
  <c r="AC47" i="18"/>
  <c r="AB47" i="18"/>
  <c r="AA47" i="18"/>
  <c r="Z47" i="18"/>
  <c r="Y47" i="18"/>
  <c r="X47" i="18"/>
  <c r="W47" i="18"/>
  <c r="P47" i="18"/>
  <c r="O47" i="18"/>
  <c r="N47" i="18"/>
  <c r="M47" i="18"/>
  <c r="AI46" i="18"/>
  <c r="AH46" i="18"/>
  <c r="W46" i="18"/>
  <c r="AT45" i="18"/>
  <c r="AI45" i="18"/>
  <c r="AH45" i="18"/>
  <c r="AF45" i="18"/>
  <c r="AE45" i="18"/>
  <c r="AB45" i="18"/>
  <c r="AA45" i="18"/>
  <c r="Z45" i="18"/>
  <c r="Y45" i="18"/>
  <c r="X45" i="18"/>
  <c r="W45" i="18"/>
  <c r="P45" i="18"/>
  <c r="O45" i="18"/>
  <c r="AD45" i="18" s="1"/>
  <c r="N45" i="18"/>
  <c r="AO45" i="18" s="1"/>
  <c r="M45" i="18"/>
  <c r="AI44" i="18"/>
  <c r="AN44" i="18" s="1"/>
  <c r="AH44" i="18"/>
  <c r="AF44" i="18"/>
  <c r="AE44" i="18"/>
  <c r="AC44" i="18"/>
  <c r="AB44" i="18"/>
  <c r="AA44" i="18"/>
  <c r="Z44" i="18"/>
  <c r="Y44" i="18"/>
  <c r="X44" i="18"/>
  <c r="W44" i="18"/>
  <c r="P44" i="18"/>
  <c r="O44" i="18"/>
  <c r="AQ44" i="18" s="1"/>
  <c r="N44" i="18"/>
  <c r="M44" i="18"/>
  <c r="AT43" i="18"/>
  <c r="AI43" i="18"/>
  <c r="AN43" i="18" s="1"/>
  <c r="AH43" i="18"/>
  <c r="AF43" i="18"/>
  <c r="AE43" i="18"/>
  <c r="AD43" i="18"/>
  <c r="AC43" i="18"/>
  <c r="AB43" i="18"/>
  <c r="AA43" i="18"/>
  <c r="Z43" i="18"/>
  <c r="Y43" i="18"/>
  <c r="X43" i="18"/>
  <c r="W43" i="18"/>
  <c r="P43" i="18"/>
  <c r="O43" i="18"/>
  <c r="N43" i="18"/>
  <c r="M43" i="18"/>
  <c r="AU42" i="18"/>
  <c r="AT42" i="18"/>
  <c r="AP42" i="18"/>
  <c r="AN42" i="18"/>
  <c r="AI42" i="18"/>
  <c r="AH42" i="18"/>
  <c r="AF42" i="18"/>
  <c r="AE42" i="18"/>
  <c r="AD42" i="18"/>
  <c r="AC42" i="18"/>
  <c r="AA42" i="18"/>
  <c r="Z42" i="18"/>
  <c r="Y42" i="18"/>
  <c r="X42" i="18"/>
  <c r="W42" i="18"/>
  <c r="P42" i="18"/>
  <c r="O42" i="18"/>
  <c r="AQ42" i="18" s="1"/>
  <c r="N42" i="18"/>
  <c r="AO42" i="18" s="1"/>
  <c r="AV42" i="18" s="1"/>
  <c r="M42" i="18"/>
  <c r="AO41" i="18"/>
  <c r="AI41" i="18"/>
  <c r="AT41" i="18" s="1"/>
  <c r="AH41" i="18"/>
  <c r="AF41" i="18"/>
  <c r="AE41" i="18"/>
  <c r="AD41" i="18"/>
  <c r="AA41" i="18"/>
  <c r="Z41" i="18"/>
  <c r="Y41" i="18"/>
  <c r="X41" i="18"/>
  <c r="W41" i="18"/>
  <c r="P41" i="18"/>
  <c r="O41" i="18"/>
  <c r="N41" i="18"/>
  <c r="AC41" i="18" s="1"/>
  <c r="M41" i="18"/>
  <c r="AP40" i="18"/>
  <c r="AI40" i="18"/>
  <c r="AN40" i="18" s="1"/>
  <c r="AH40" i="18"/>
  <c r="AF40" i="18"/>
  <c r="AE40" i="18"/>
  <c r="AA40" i="18"/>
  <c r="Z40" i="18"/>
  <c r="Y40" i="18"/>
  <c r="X40" i="18"/>
  <c r="W40" i="18"/>
  <c r="P40" i="18"/>
  <c r="O40" i="18"/>
  <c r="AD40" i="18" s="1"/>
  <c r="N40" i="18"/>
  <c r="AO40" i="18" s="1"/>
  <c r="M40" i="18"/>
  <c r="AR40" i="18" s="1"/>
  <c r="AT39" i="18"/>
  <c r="AP39" i="18"/>
  <c r="AI39" i="18"/>
  <c r="AH39" i="18"/>
  <c r="AF39" i="18"/>
  <c r="AE39" i="18"/>
  <c r="AB39" i="18"/>
  <c r="AA39" i="18"/>
  <c r="Z39" i="18"/>
  <c r="Y39" i="18"/>
  <c r="X39" i="18"/>
  <c r="W39" i="18"/>
  <c r="P39" i="18"/>
  <c r="O39" i="18"/>
  <c r="AD39" i="18" s="1"/>
  <c r="N39" i="18"/>
  <c r="AO39" i="18" s="1"/>
  <c r="AV39" i="18" s="1"/>
  <c r="M39" i="18"/>
  <c r="AI38" i="18"/>
  <c r="AH38" i="18"/>
  <c r="W38" i="18"/>
  <c r="AP37" i="18"/>
  <c r="AO37" i="18"/>
  <c r="AV37" i="18" s="1"/>
  <c r="AI37" i="18"/>
  <c r="AT37" i="18" s="1"/>
  <c r="AH37" i="18"/>
  <c r="AF37" i="18"/>
  <c r="AE37" i="18"/>
  <c r="AD37" i="18"/>
  <c r="AA37" i="18"/>
  <c r="Z37" i="18"/>
  <c r="Y37" i="18"/>
  <c r="X37" i="18"/>
  <c r="W37" i="18"/>
  <c r="P37" i="18"/>
  <c r="O37" i="18"/>
  <c r="N37" i="18"/>
  <c r="AC37" i="18" s="1"/>
  <c r="M37" i="18"/>
  <c r="AR37" i="18" s="1"/>
  <c r="AP36" i="18"/>
  <c r="AI36" i="18"/>
  <c r="AN36" i="18" s="1"/>
  <c r="AH36" i="18"/>
  <c r="AF36" i="18"/>
  <c r="AE36" i="18"/>
  <c r="AA36" i="18"/>
  <c r="Z36" i="18"/>
  <c r="Y36" i="18"/>
  <c r="X36" i="18"/>
  <c r="W36" i="18"/>
  <c r="P36" i="18"/>
  <c r="O36" i="18"/>
  <c r="AD36" i="18" s="1"/>
  <c r="N36" i="18"/>
  <c r="AO36" i="18" s="1"/>
  <c r="M36" i="18"/>
  <c r="AT35" i="18"/>
  <c r="AI35" i="18"/>
  <c r="AN35" i="18" s="1"/>
  <c r="AH35" i="18"/>
  <c r="AF35" i="18"/>
  <c r="AE35" i="18"/>
  <c r="AB35" i="18"/>
  <c r="AA35" i="18"/>
  <c r="Z35" i="18"/>
  <c r="Y35" i="18"/>
  <c r="X35" i="18"/>
  <c r="W35" i="18"/>
  <c r="P35" i="18"/>
  <c r="O35" i="18"/>
  <c r="AD35" i="18" s="1"/>
  <c r="N35" i="18"/>
  <c r="AO35" i="18" s="1"/>
  <c r="M35" i="18"/>
  <c r="AI34" i="18"/>
  <c r="AN34" i="18" s="1"/>
  <c r="AH34" i="18"/>
  <c r="AF34" i="18"/>
  <c r="AE34" i="18"/>
  <c r="AC34" i="18"/>
  <c r="AB34" i="18"/>
  <c r="AA34" i="18"/>
  <c r="Z34" i="18"/>
  <c r="Y34" i="18"/>
  <c r="X34" i="18"/>
  <c r="W34" i="18"/>
  <c r="P34" i="18"/>
  <c r="O34" i="18"/>
  <c r="AQ34" i="18" s="1"/>
  <c r="N34" i="18"/>
  <c r="M34" i="18"/>
  <c r="AI33" i="18"/>
  <c r="AH33" i="18"/>
  <c r="W33" i="18"/>
  <c r="AP32" i="18"/>
  <c r="AI32" i="18"/>
  <c r="AN32" i="18" s="1"/>
  <c r="AH32" i="18"/>
  <c r="AF32" i="18"/>
  <c r="AE32" i="18"/>
  <c r="AA32" i="18"/>
  <c r="Z32" i="18"/>
  <c r="Y32" i="18"/>
  <c r="X32" i="18"/>
  <c r="W32" i="18"/>
  <c r="P32" i="18"/>
  <c r="O32" i="18"/>
  <c r="AD32" i="18" s="1"/>
  <c r="N32" i="18"/>
  <c r="AO32" i="18" s="1"/>
  <c r="M32" i="18"/>
  <c r="AR32" i="18" s="1"/>
  <c r="AI31" i="18"/>
  <c r="AH31" i="18"/>
  <c r="W31" i="18"/>
  <c r="AU30" i="18"/>
  <c r="AT30" i="18"/>
  <c r="AN30" i="18"/>
  <c r="AI30" i="18"/>
  <c r="AH30" i="18"/>
  <c r="AF30" i="18"/>
  <c r="AE30" i="18"/>
  <c r="AD30" i="18"/>
  <c r="AC30" i="18"/>
  <c r="AA30" i="18"/>
  <c r="Z30" i="18"/>
  <c r="Y30" i="18"/>
  <c r="X30" i="18"/>
  <c r="W30" i="18"/>
  <c r="P30" i="18"/>
  <c r="O30" i="18"/>
  <c r="N30" i="18"/>
  <c r="AO30" i="18" s="1"/>
  <c r="M30" i="18"/>
  <c r="AO29" i="18"/>
  <c r="AI29" i="18"/>
  <c r="AT29" i="18" s="1"/>
  <c r="AH29" i="18"/>
  <c r="AF29" i="18"/>
  <c r="AE29" i="18"/>
  <c r="AD29" i="18"/>
  <c r="AA29" i="18"/>
  <c r="Z29" i="18"/>
  <c r="Y29" i="18"/>
  <c r="X29" i="18"/>
  <c r="W29" i="18"/>
  <c r="P29" i="18"/>
  <c r="O29" i="18"/>
  <c r="AQ29" i="18" s="1"/>
  <c r="N29" i="18"/>
  <c r="AC29" i="18" s="1"/>
  <c r="M29" i="18"/>
  <c r="AP28" i="18"/>
  <c r="AI28" i="18"/>
  <c r="AN28" i="18" s="1"/>
  <c r="AH28" i="18"/>
  <c r="AF28" i="18"/>
  <c r="AE28" i="18"/>
  <c r="AA28" i="18"/>
  <c r="Z28" i="18"/>
  <c r="Y28" i="18"/>
  <c r="X28" i="18"/>
  <c r="W28" i="18"/>
  <c r="P28" i="18"/>
  <c r="O28" i="18"/>
  <c r="AD28" i="18" s="1"/>
  <c r="N28" i="18"/>
  <c r="M28" i="18"/>
  <c r="AT27" i="18"/>
  <c r="AP27" i="18"/>
  <c r="AI27" i="18"/>
  <c r="AN27" i="18" s="1"/>
  <c r="AH27" i="18"/>
  <c r="AF27" i="18"/>
  <c r="AE27" i="18"/>
  <c r="AB27" i="18"/>
  <c r="AA27" i="18"/>
  <c r="Z27" i="18"/>
  <c r="Y27" i="18"/>
  <c r="X27" i="18"/>
  <c r="W27" i="18"/>
  <c r="P27" i="18"/>
  <c r="O27" i="18"/>
  <c r="AD27" i="18" s="1"/>
  <c r="N27" i="18"/>
  <c r="AO27" i="18" s="1"/>
  <c r="AV27" i="18" s="1"/>
  <c r="M27" i="18"/>
  <c r="AI26" i="18"/>
  <c r="AH26" i="18"/>
  <c r="AF26" i="18"/>
  <c r="AE26" i="18"/>
  <c r="AC26" i="18"/>
  <c r="AB26" i="18"/>
  <c r="AA26" i="18"/>
  <c r="Z26" i="18"/>
  <c r="Y26" i="18"/>
  <c r="X26" i="18"/>
  <c r="W26" i="18"/>
  <c r="P26" i="18"/>
  <c r="O26" i="18"/>
  <c r="N26" i="18"/>
  <c r="M26" i="18"/>
  <c r="AI25" i="18"/>
  <c r="AH25" i="18"/>
  <c r="W25" i="18"/>
  <c r="AP24" i="18"/>
  <c r="AI24" i="18"/>
  <c r="AN24" i="18" s="1"/>
  <c r="AH24" i="18"/>
  <c r="AF24" i="18"/>
  <c r="AE24" i="18"/>
  <c r="AA24" i="18"/>
  <c r="Z24" i="18"/>
  <c r="Y24" i="18"/>
  <c r="X24" i="18"/>
  <c r="W24" i="18"/>
  <c r="P24" i="18"/>
  <c r="O24" i="18"/>
  <c r="AD24" i="18" s="1"/>
  <c r="N24" i="18"/>
  <c r="M24" i="18"/>
  <c r="AR24" i="18" s="1"/>
  <c r="AT23" i="18"/>
  <c r="AP23" i="18"/>
  <c r="AI23" i="18"/>
  <c r="AN23" i="18" s="1"/>
  <c r="AH23" i="18"/>
  <c r="AF23" i="18"/>
  <c r="AE23" i="18"/>
  <c r="AB23" i="18"/>
  <c r="AA23" i="18"/>
  <c r="Z23" i="18"/>
  <c r="Y23" i="18"/>
  <c r="X23" i="18"/>
  <c r="W23" i="18"/>
  <c r="P23" i="18"/>
  <c r="O23" i="18"/>
  <c r="AD23" i="18" s="1"/>
  <c r="N23" i="18"/>
  <c r="AO23" i="18" s="1"/>
  <c r="M23" i="18"/>
  <c r="AR22" i="18"/>
  <c r="AP22" i="18"/>
  <c r="AO22" i="18"/>
  <c r="AV22" i="18" s="1"/>
  <c r="AI22" i="18"/>
  <c r="AH22" i="18"/>
  <c r="AF22" i="18"/>
  <c r="AE22" i="18"/>
  <c r="AC22" i="18"/>
  <c r="AB22" i="18"/>
  <c r="AA22" i="18"/>
  <c r="Z22" i="18"/>
  <c r="Y22" i="18"/>
  <c r="X22" i="18"/>
  <c r="W22" i="18"/>
  <c r="P22" i="18"/>
  <c r="O22" i="18"/>
  <c r="N22" i="18"/>
  <c r="M22" i="18"/>
  <c r="AT21" i="18"/>
  <c r="AP21" i="18"/>
  <c r="AO21" i="18"/>
  <c r="AV21" i="18" s="1"/>
  <c r="AI21" i="18"/>
  <c r="AN21" i="18" s="1"/>
  <c r="AH21" i="18"/>
  <c r="AF21" i="18"/>
  <c r="AE21" i="18"/>
  <c r="AD21" i="18"/>
  <c r="AC21" i="18"/>
  <c r="AB21" i="18"/>
  <c r="AA21" i="18"/>
  <c r="Z21" i="18"/>
  <c r="Y21" i="18"/>
  <c r="X21" i="18"/>
  <c r="W21" i="18"/>
  <c r="P21" i="18"/>
  <c r="O21" i="18"/>
  <c r="N21" i="18"/>
  <c r="M21" i="18"/>
  <c r="AU20" i="18"/>
  <c r="AT20" i="18"/>
  <c r="AP20" i="18"/>
  <c r="AN20" i="18"/>
  <c r="AI20" i="18"/>
  <c r="AH20" i="18"/>
  <c r="AF20" i="18"/>
  <c r="AE20" i="18"/>
  <c r="AD20" i="18"/>
  <c r="AC20" i="18"/>
  <c r="AA20" i="18"/>
  <c r="Z20" i="18"/>
  <c r="Y20" i="18"/>
  <c r="X20" i="18"/>
  <c r="W20" i="18"/>
  <c r="P20" i="18"/>
  <c r="O20" i="18"/>
  <c r="AQ20" i="18" s="1"/>
  <c r="N20" i="18"/>
  <c r="AO20" i="18" s="1"/>
  <c r="AV20" i="18" s="1"/>
  <c r="M20" i="18"/>
  <c r="AU19" i="18"/>
  <c r="AP19" i="18"/>
  <c r="AO19" i="18"/>
  <c r="AV19" i="18" s="1"/>
  <c r="AN19" i="18"/>
  <c r="AI19" i="18"/>
  <c r="AT19" i="18" s="1"/>
  <c r="AH19" i="18"/>
  <c r="AF19" i="18"/>
  <c r="AE19" i="18"/>
  <c r="AD19" i="18"/>
  <c r="AA19" i="18"/>
  <c r="Z19" i="18"/>
  <c r="Y19" i="18"/>
  <c r="X19" i="18"/>
  <c r="W19" i="18"/>
  <c r="P19" i="18"/>
  <c r="O19" i="18"/>
  <c r="AQ19" i="18" s="1"/>
  <c r="N19" i="18"/>
  <c r="AC19" i="18" s="1"/>
  <c r="M19" i="18"/>
  <c r="AI18" i="18"/>
  <c r="AH18" i="18"/>
  <c r="W18" i="18"/>
  <c r="AT17" i="18"/>
  <c r="AP17" i="18"/>
  <c r="AO17" i="18"/>
  <c r="AV17" i="18" s="1"/>
  <c r="AJ17" i="18"/>
  <c r="AI17" i="18"/>
  <c r="AN17" i="18" s="1"/>
  <c r="AH17" i="18"/>
  <c r="AF17" i="18"/>
  <c r="AE17" i="18"/>
  <c r="AD17" i="18"/>
  <c r="AC17" i="18"/>
  <c r="AB17" i="18"/>
  <c r="AA17" i="18"/>
  <c r="Z17" i="18"/>
  <c r="Y17" i="18"/>
  <c r="X17" i="18"/>
  <c r="W17" i="18"/>
  <c r="P17" i="18"/>
  <c r="O17" i="18"/>
  <c r="AQ17" i="18" s="1"/>
  <c r="N17" i="18"/>
  <c r="M17" i="18"/>
  <c r="AU16" i="18"/>
  <c r="AT16" i="18"/>
  <c r="AP16" i="18"/>
  <c r="AN16" i="18"/>
  <c r="AI16" i="18"/>
  <c r="AH16" i="18"/>
  <c r="AF16" i="18"/>
  <c r="AE16" i="18"/>
  <c r="AD16" i="18"/>
  <c r="AC16" i="18"/>
  <c r="AA16" i="18"/>
  <c r="Z16" i="18"/>
  <c r="Y16" i="18"/>
  <c r="X16" i="18"/>
  <c r="W16" i="18"/>
  <c r="P16" i="18"/>
  <c r="O16" i="18"/>
  <c r="AQ16" i="18" s="1"/>
  <c r="N16" i="18"/>
  <c r="AO16" i="18" s="1"/>
  <c r="M16" i="18"/>
  <c r="AU15" i="18"/>
  <c r="AP15" i="18"/>
  <c r="AO15" i="18"/>
  <c r="AN15" i="18"/>
  <c r="AI15" i="18"/>
  <c r="AT15" i="18" s="1"/>
  <c r="AH15" i="18"/>
  <c r="AF15" i="18"/>
  <c r="AE15" i="18"/>
  <c r="AD15" i="18"/>
  <c r="AA15" i="18"/>
  <c r="Z15" i="18"/>
  <c r="Y15" i="18"/>
  <c r="X15" i="18"/>
  <c r="W15" i="18"/>
  <c r="P15" i="18"/>
  <c r="O15" i="18"/>
  <c r="N15" i="18"/>
  <c r="AC15" i="18" s="1"/>
  <c r="M15" i="18"/>
  <c r="AI14" i="18"/>
  <c r="AH14" i="18"/>
  <c r="W14" i="18"/>
  <c r="AT13" i="18"/>
  <c r="AI13" i="18"/>
  <c r="AN13" i="18" s="1"/>
  <c r="AH13" i="18"/>
  <c r="AF13" i="18"/>
  <c r="AE13" i="18"/>
  <c r="AD13" i="18"/>
  <c r="AC13" i="18"/>
  <c r="AB13" i="18"/>
  <c r="AA13" i="18"/>
  <c r="Z13" i="18"/>
  <c r="Y13" i="18"/>
  <c r="X13" i="18"/>
  <c r="W13" i="18"/>
  <c r="P13" i="18"/>
  <c r="O13" i="18"/>
  <c r="N13" i="18"/>
  <c r="M13" i="18"/>
  <c r="AU12" i="18"/>
  <c r="AT12" i="18"/>
  <c r="AP12" i="18"/>
  <c r="AN12" i="18"/>
  <c r="AI12" i="18"/>
  <c r="AH12" i="18"/>
  <c r="AF12" i="18"/>
  <c r="AE12" i="18"/>
  <c r="AD12" i="18"/>
  <c r="AC12" i="18"/>
  <c r="AA12" i="18"/>
  <c r="Z12" i="18"/>
  <c r="Y12" i="18"/>
  <c r="X12" i="18"/>
  <c r="W12" i="18"/>
  <c r="P12" i="18"/>
  <c r="O12" i="18"/>
  <c r="AQ12" i="18" s="1"/>
  <c r="N12" i="18"/>
  <c r="AO12" i="18" s="1"/>
  <c r="M12" i="18"/>
  <c r="AI11" i="18"/>
  <c r="AH11" i="18"/>
  <c r="W11" i="18"/>
  <c r="AU10" i="18"/>
  <c r="AR10" i="18"/>
  <c r="AI10" i="18"/>
  <c r="AH10" i="18"/>
  <c r="AF10" i="18"/>
  <c r="AE10" i="18"/>
  <c r="AC10" i="18"/>
  <c r="AB10" i="18"/>
  <c r="AA10" i="18"/>
  <c r="Z10" i="18"/>
  <c r="Y10" i="18"/>
  <c r="X10" i="18"/>
  <c r="W10" i="18"/>
  <c r="P10" i="18"/>
  <c r="O10" i="18"/>
  <c r="N10" i="18"/>
  <c r="M10" i="18"/>
  <c r="AT9" i="18"/>
  <c r="AP9" i="18"/>
  <c r="AO9" i="18"/>
  <c r="AV9" i="18" s="1"/>
  <c r="AJ9" i="18"/>
  <c r="AI9" i="18"/>
  <c r="AN9" i="18" s="1"/>
  <c r="AH9" i="18"/>
  <c r="AF9" i="18"/>
  <c r="AE9" i="18"/>
  <c r="AD9" i="18"/>
  <c r="AC9" i="18"/>
  <c r="AB9" i="18"/>
  <c r="AA9" i="18"/>
  <c r="Z9" i="18"/>
  <c r="Y9" i="18"/>
  <c r="X9" i="18"/>
  <c r="W9" i="18"/>
  <c r="P9" i="18"/>
  <c r="O9" i="18"/>
  <c r="N9" i="18"/>
  <c r="M9" i="18"/>
  <c r="AI8" i="18"/>
  <c r="AH8" i="18"/>
  <c r="W8" i="18"/>
  <c r="AT7" i="18"/>
  <c r="AP7" i="18"/>
  <c r="AI7" i="18"/>
  <c r="AN7" i="18" s="1"/>
  <c r="AH7" i="18"/>
  <c r="AF7" i="18"/>
  <c r="AE7" i="18"/>
  <c r="AB7" i="18"/>
  <c r="AA7" i="18"/>
  <c r="Z7" i="18"/>
  <c r="Y7" i="18"/>
  <c r="X7" i="18"/>
  <c r="W7" i="18"/>
  <c r="P7" i="18"/>
  <c r="O7" i="18"/>
  <c r="AD7" i="18" s="1"/>
  <c r="N7" i="18"/>
  <c r="M7" i="18"/>
  <c r="AU6" i="18"/>
  <c r="AR6" i="18"/>
  <c r="AP6" i="18"/>
  <c r="AO6" i="18"/>
  <c r="AV6" i="18" s="1"/>
  <c r="AI6" i="18"/>
  <c r="AH6" i="18"/>
  <c r="AF6" i="18"/>
  <c r="AE6" i="18"/>
  <c r="AC6" i="18"/>
  <c r="AB6" i="18"/>
  <c r="AA6" i="18"/>
  <c r="Z6" i="18"/>
  <c r="Y6" i="18"/>
  <c r="X6" i="18"/>
  <c r="W6" i="18"/>
  <c r="P6" i="18"/>
  <c r="O6" i="18"/>
  <c r="AD6" i="18" s="1"/>
  <c r="N6" i="18"/>
  <c r="M6" i="18"/>
  <c r="AI5" i="18"/>
  <c r="AH5" i="18"/>
  <c r="W5" i="18"/>
  <c r="AI4" i="18"/>
  <c r="AP3" i="18"/>
  <c r="AO3" i="18"/>
  <c r="AI3" i="18"/>
  <c r="AH3" i="18"/>
  <c r="AN2" i="18"/>
  <c r="AN79" i="18" s="1"/>
  <c r="AM2" i="18"/>
  <c r="AL2" i="18"/>
  <c r="AK2" i="18"/>
  <c r="AJ2" i="18"/>
  <c r="AA2" i="18"/>
  <c r="A2" i="18"/>
  <c r="AU1" i="18"/>
  <c r="AU73" i="18" s="1"/>
  <c r="AR1" i="18"/>
  <c r="AR26" i="18" s="1"/>
  <c r="AQ1" i="18"/>
  <c r="AP1" i="18"/>
  <c r="AP67" i="18" s="1"/>
  <c r="AO1" i="18"/>
  <c r="AO79" i="18" s="1"/>
  <c r="AA1" i="18"/>
  <c r="A1" i="18"/>
  <c r="AT38" i="17"/>
  <c r="AQ38" i="17"/>
  <c r="AI38" i="17"/>
  <c r="AH38" i="17"/>
  <c r="AF38" i="17"/>
  <c r="AE38" i="17"/>
  <c r="AB38" i="17"/>
  <c r="AA38" i="17"/>
  <c r="Z38" i="17"/>
  <c r="Y38" i="17"/>
  <c r="X38" i="17"/>
  <c r="W38" i="17"/>
  <c r="P38" i="17"/>
  <c r="O38" i="17"/>
  <c r="AD38" i="17" s="1"/>
  <c r="N38" i="17"/>
  <c r="M38" i="17"/>
  <c r="AI37" i="17"/>
  <c r="AH37" i="17"/>
  <c r="W37" i="17"/>
  <c r="AI36" i="17"/>
  <c r="AT36" i="17" s="1"/>
  <c r="AH36" i="17"/>
  <c r="AF36" i="17"/>
  <c r="AE36" i="17"/>
  <c r="AD36" i="17"/>
  <c r="AA36" i="17"/>
  <c r="Z36" i="17"/>
  <c r="Y36" i="17"/>
  <c r="X36" i="17"/>
  <c r="W36" i="17"/>
  <c r="P36" i="17"/>
  <c r="O36" i="17"/>
  <c r="AQ36" i="17" s="1"/>
  <c r="N36" i="17"/>
  <c r="AC36" i="17" s="1"/>
  <c r="M36" i="17"/>
  <c r="AP35" i="17"/>
  <c r="AI35" i="17"/>
  <c r="AH35" i="17"/>
  <c r="AF35" i="17"/>
  <c r="AE35" i="17"/>
  <c r="AA35" i="17"/>
  <c r="Z35" i="17"/>
  <c r="Y35" i="17"/>
  <c r="X35" i="17"/>
  <c r="W35" i="17"/>
  <c r="P35" i="17"/>
  <c r="O35" i="17"/>
  <c r="AD35" i="17" s="1"/>
  <c r="N35" i="17"/>
  <c r="AC35" i="17" s="1"/>
  <c r="M35" i="17"/>
  <c r="AT34" i="17"/>
  <c r="AQ34" i="17"/>
  <c r="AP34" i="17"/>
  <c r="AI34" i="17"/>
  <c r="AH34" i="17"/>
  <c r="AF34" i="17"/>
  <c r="AE34" i="17"/>
  <c r="AB34" i="17"/>
  <c r="AA34" i="17"/>
  <c r="Z34" i="17"/>
  <c r="Y34" i="17"/>
  <c r="X34" i="17"/>
  <c r="W34" i="17"/>
  <c r="P34" i="17"/>
  <c r="O34" i="17"/>
  <c r="AD34" i="17" s="1"/>
  <c r="N34" i="17"/>
  <c r="M34" i="17"/>
  <c r="AI33" i="17"/>
  <c r="AH33" i="17"/>
  <c r="AF33" i="17"/>
  <c r="AE33" i="17"/>
  <c r="AC33" i="17"/>
  <c r="AB33" i="17"/>
  <c r="AA33" i="17"/>
  <c r="Z33" i="17"/>
  <c r="Y33" i="17"/>
  <c r="X33" i="17"/>
  <c r="W33" i="17"/>
  <c r="P33" i="17"/>
  <c r="O33" i="17"/>
  <c r="AD33" i="17" s="1"/>
  <c r="N33" i="17"/>
  <c r="M33" i="17"/>
  <c r="AT32" i="17"/>
  <c r="AP32" i="17"/>
  <c r="AO32" i="17"/>
  <c r="AV32" i="17" s="1"/>
  <c r="AI32" i="17"/>
  <c r="AJ32" i="17" s="1"/>
  <c r="AH32" i="17"/>
  <c r="AF32" i="17"/>
  <c r="AE32" i="17"/>
  <c r="AD32" i="17"/>
  <c r="AC32" i="17"/>
  <c r="AB32" i="17"/>
  <c r="AA32" i="17"/>
  <c r="Z32" i="17"/>
  <c r="Y32" i="17"/>
  <c r="X32" i="17"/>
  <c r="W32" i="17"/>
  <c r="P32" i="17"/>
  <c r="O32" i="17"/>
  <c r="AQ32" i="17" s="1"/>
  <c r="N32" i="17"/>
  <c r="M32" i="17"/>
  <c r="AT31" i="17"/>
  <c r="AJ31" i="17"/>
  <c r="AI31" i="17"/>
  <c r="AH31" i="17"/>
  <c r="AF31" i="17"/>
  <c r="AE31" i="17"/>
  <c r="AD31" i="17"/>
  <c r="AC31" i="17"/>
  <c r="AA31" i="17"/>
  <c r="Z31" i="17"/>
  <c r="Y31" i="17"/>
  <c r="X31" i="17"/>
  <c r="W31" i="17"/>
  <c r="P31" i="17"/>
  <c r="O31" i="17"/>
  <c r="AQ31" i="17" s="1"/>
  <c r="N31" i="17"/>
  <c r="M31" i="17"/>
  <c r="AP30" i="17"/>
  <c r="AO30" i="17"/>
  <c r="AV30" i="17" s="1"/>
  <c r="AI30" i="17"/>
  <c r="AT30" i="17" s="1"/>
  <c r="AH30" i="17"/>
  <c r="AF30" i="17"/>
  <c r="AE30" i="17"/>
  <c r="AD30" i="17"/>
  <c r="AA30" i="17"/>
  <c r="Z30" i="17"/>
  <c r="Y30" i="17"/>
  <c r="X30" i="17"/>
  <c r="W30" i="17"/>
  <c r="P30" i="17"/>
  <c r="O30" i="17"/>
  <c r="AQ30" i="17" s="1"/>
  <c r="N30" i="17"/>
  <c r="AC30" i="17" s="1"/>
  <c r="M30" i="17"/>
  <c r="AP29" i="17"/>
  <c r="AI29" i="17"/>
  <c r="AH29" i="17"/>
  <c r="AF29" i="17"/>
  <c r="AE29" i="17"/>
  <c r="AA29" i="17"/>
  <c r="Z29" i="17"/>
  <c r="Y29" i="17"/>
  <c r="X29" i="17"/>
  <c r="W29" i="17"/>
  <c r="P29" i="17"/>
  <c r="O29" i="17"/>
  <c r="AD29" i="17" s="1"/>
  <c r="N29" i="17"/>
  <c r="AC29" i="17" s="1"/>
  <c r="M29" i="17"/>
  <c r="AI28" i="17"/>
  <c r="AH28" i="17"/>
  <c r="W28" i="17"/>
  <c r="AU27" i="17"/>
  <c r="AT27" i="17"/>
  <c r="AP27" i="17"/>
  <c r="AJ27" i="17"/>
  <c r="AI27" i="17"/>
  <c r="AH27" i="17"/>
  <c r="AF27" i="17"/>
  <c r="AE27" i="17"/>
  <c r="AD27" i="17"/>
  <c r="AA27" i="17"/>
  <c r="Z27" i="17"/>
  <c r="Y27" i="17"/>
  <c r="X27" i="17"/>
  <c r="W27" i="17"/>
  <c r="P27" i="17"/>
  <c r="O27" i="17"/>
  <c r="AQ27" i="17" s="1"/>
  <c r="N27" i="17"/>
  <c r="AO27" i="17" s="1"/>
  <c r="AV27" i="17" s="1"/>
  <c r="M27" i="17"/>
  <c r="AP26" i="17"/>
  <c r="AO26" i="17"/>
  <c r="AV26" i="17" s="1"/>
  <c r="AI26" i="17"/>
  <c r="AT26" i="17" s="1"/>
  <c r="AH26" i="17"/>
  <c r="AF26" i="17"/>
  <c r="AE26" i="17"/>
  <c r="AD26" i="17"/>
  <c r="AA26" i="17"/>
  <c r="Z26" i="17"/>
  <c r="Y26" i="17"/>
  <c r="X26" i="17"/>
  <c r="W26" i="17"/>
  <c r="P26" i="17"/>
  <c r="O26" i="17"/>
  <c r="AQ26" i="17" s="1"/>
  <c r="N26" i="17"/>
  <c r="AC26" i="17" s="1"/>
  <c r="M26" i="17"/>
  <c r="AI25" i="17"/>
  <c r="AH25" i="17"/>
  <c r="W25" i="17"/>
  <c r="AI24" i="17"/>
  <c r="AT24" i="17" s="1"/>
  <c r="AH24" i="17"/>
  <c r="AF24" i="17"/>
  <c r="AE24" i="17"/>
  <c r="AD24" i="17"/>
  <c r="AC24" i="17"/>
  <c r="AB24" i="17"/>
  <c r="AA24" i="17"/>
  <c r="Z24" i="17"/>
  <c r="Y24" i="17"/>
  <c r="X24" i="17"/>
  <c r="W24" i="17"/>
  <c r="P24" i="17"/>
  <c r="O24" i="17"/>
  <c r="AQ24" i="17" s="1"/>
  <c r="N24" i="17"/>
  <c r="M24" i="17"/>
  <c r="AR24" i="17" s="1"/>
  <c r="AT23" i="17"/>
  <c r="AP23" i="17"/>
  <c r="AJ23" i="17"/>
  <c r="AI23" i="17"/>
  <c r="AH23" i="17"/>
  <c r="AF23" i="17"/>
  <c r="AE23" i="17"/>
  <c r="AD23" i="17"/>
  <c r="AA23" i="17"/>
  <c r="Z23" i="17"/>
  <c r="Y23" i="17"/>
  <c r="X23" i="17"/>
  <c r="W23" i="17"/>
  <c r="P23" i="17"/>
  <c r="O23" i="17"/>
  <c r="AQ23" i="17" s="1"/>
  <c r="N23" i="17"/>
  <c r="M23" i="17"/>
  <c r="AR23" i="17" s="1"/>
  <c r="AI22" i="17"/>
  <c r="AT22" i="17" s="1"/>
  <c r="AH22" i="17"/>
  <c r="AF22" i="17"/>
  <c r="AE22" i="17"/>
  <c r="AA22" i="17"/>
  <c r="Z22" i="17"/>
  <c r="Y22" i="17"/>
  <c r="X22" i="17"/>
  <c r="W22" i="17"/>
  <c r="P22" i="17"/>
  <c r="O22" i="17"/>
  <c r="AQ22" i="17" s="1"/>
  <c r="N22" i="17"/>
  <c r="AC22" i="17" s="1"/>
  <c r="M22" i="17"/>
  <c r="AI21" i="17"/>
  <c r="AH21" i="17"/>
  <c r="W21" i="17"/>
  <c r="AU20" i="17"/>
  <c r="AI20" i="17"/>
  <c r="AJ20" i="17" s="1"/>
  <c r="AH20" i="17"/>
  <c r="AF20" i="17"/>
  <c r="AE20" i="17"/>
  <c r="AD20" i="17"/>
  <c r="AC20" i="17"/>
  <c r="AB20" i="17"/>
  <c r="AA20" i="17"/>
  <c r="Z20" i="17"/>
  <c r="Y20" i="17"/>
  <c r="X20" i="17"/>
  <c r="W20" i="17"/>
  <c r="P20" i="17"/>
  <c r="O20" i="17"/>
  <c r="AQ20" i="17" s="1"/>
  <c r="N20" i="17"/>
  <c r="M20" i="17"/>
  <c r="AR20" i="17" s="1"/>
  <c r="AT19" i="17"/>
  <c r="AJ19" i="17"/>
  <c r="AI19" i="17"/>
  <c r="AH19" i="17"/>
  <c r="AF19" i="17"/>
  <c r="AE19" i="17"/>
  <c r="AC19" i="17"/>
  <c r="AA19" i="17"/>
  <c r="Z19" i="17"/>
  <c r="Y19" i="17"/>
  <c r="X19" i="17"/>
  <c r="W19" i="17"/>
  <c r="P19" i="17"/>
  <c r="O19" i="17"/>
  <c r="N19" i="17"/>
  <c r="AO19" i="17" s="1"/>
  <c r="M19" i="17"/>
  <c r="AQ18" i="17"/>
  <c r="AI18" i="17"/>
  <c r="AH18" i="17"/>
  <c r="AF18" i="17"/>
  <c r="AE18" i="17"/>
  <c r="AA18" i="17"/>
  <c r="Z18" i="17"/>
  <c r="Y18" i="17"/>
  <c r="X18" i="17"/>
  <c r="W18" i="17"/>
  <c r="P18" i="17"/>
  <c r="O18" i="17"/>
  <c r="AD18" i="17" s="1"/>
  <c r="N18" i="17"/>
  <c r="AC18" i="17" s="1"/>
  <c r="M18" i="17"/>
  <c r="AR17" i="17"/>
  <c r="AQ17" i="17"/>
  <c r="AP17" i="17"/>
  <c r="AO17" i="17"/>
  <c r="AJ17" i="17"/>
  <c r="AI17" i="17"/>
  <c r="AH17" i="17"/>
  <c r="AF17" i="17"/>
  <c r="AE17" i="17"/>
  <c r="AC17" i="17"/>
  <c r="AB17" i="17"/>
  <c r="AA17" i="17"/>
  <c r="Z17" i="17"/>
  <c r="Y17" i="17"/>
  <c r="X17" i="17"/>
  <c r="W17" i="17"/>
  <c r="P17" i="17"/>
  <c r="O17" i="17"/>
  <c r="AD17" i="17" s="1"/>
  <c r="N17" i="17"/>
  <c r="M17" i="17"/>
  <c r="AI16" i="17"/>
  <c r="AH16" i="17"/>
  <c r="W16" i="17"/>
  <c r="AT15" i="17"/>
  <c r="AQ15" i="17"/>
  <c r="AP15" i="17"/>
  <c r="AJ15" i="17"/>
  <c r="AI15" i="17"/>
  <c r="AH15" i="17"/>
  <c r="AF15" i="17"/>
  <c r="AE15" i="17"/>
  <c r="AA15" i="17"/>
  <c r="Z15" i="17"/>
  <c r="Y15" i="17"/>
  <c r="X15" i="17"/>
  <c r="W15" i="17"/>
  <c r="P15" i="17"/>
  <c r="O15" i="17"/>
  <c r="AD15" i="17" s="1"/>
  <c r="N15" i="17"/>
  <c r="AO15" i="17" s="1"/>
  <c r="AV15" i="17" s="1"/>
  <c r="M15" i="17"/>
  <c r="AR14" i="17"/>
  <c r="AQ14" i="17"/>
  <c r="AP14" i="17"/>
  <c r="AO14" i="17"/>
  <c r="AV14" i="17" s="1"/>
  <c r="AI14" i="17"/>
  <c r="AH14" i="17"/>
  <c r="AF14" i="17"/>
  <c r="AE14" i="17"/>
  <c r="AD14" i="17"/>
  <c r="AB14" i="17"/>
  <c r="AA14" i="17"/>
  <c r="Z14" i="17"/>
  <c r="Y14" i="17"/>
  <c r="X14" i="17"/>
  <c r="W14" i="17"/>
  <c r="P14" i="17"/>
  <c r="O14" i="17"/>
  <c r="N14" i="17"/>
  <c r="AC14" i="17" s="1"/>
  <c r="M14" i="17"/>
  <c r="AR13" i="17"/>
  <c r="AP13" i="17"/>
  <c r="AI13" i="17"/>
  <c r="AT13" i="17" s="1"/>
  <c r="AH13" i="17"/>
  <c r="AF13" i="17"/>
  <c r="AE13" i="17"/>
  <c r="AB13" i="17"/>
  <c r="AA13" i="17"/>
  <c r="Z13" i="17"/>
  <c r="Y13" i="17"/>
  <c r="X13" i="17"/>
  <c r="W13" i="17"/>
  <c r="P13" i="17"/>
  <c r="O13" i="17"/>
  <c r="N13" i="17"/>
  <c r="AO13" i="17" s="1"/>
  <c r="AV13" i="17" s="1"/>
  <c r="M13" i="17"/>
  <c r="AR12" i="17"/>
  <c r="AQ12" i="17"/>
  <c r="AP12" i="17"/>
  <c r="AJ12" i="17"/>
  <c r="AI12" i="17"/>
  <c r="AN12" i="17" s="1"/>
  <c r="AH12" i="17"/>
  <c r="AF12" i="17"/>
  <c r="AE12" i="17"/>
  <c r="AB12" i="17"/>
  <c r="AA12" i="17"/>
  <c r="Z12" i="17"/>
  <c r="Y12" i="17"/>
  <c r="X12" i="17"/>
  <c r="W12" i="17"/>
  <c r="P12" i="17"/>
  <c r="O12" i="17"/>
  <c r="AD12" i="17" s="1"/>
  <c r="N12" i="17"/>
  <c r="M12" i="17"/>
  <c r="AI11" i="17"/>
  <c r="AH11" i="17"/>
  <c r="W11" i="17"/>
  <c r="AU10" i="17"/>
  <c r="AR10" i="17"/>
  <c r="AP10" i="17"/>
  <c r="AI10" i="17"/>
  <c r="AH10" i="17"/>
  <c r="AF10" i="17"/>
  <c r="AE10" i="17"/>
  <c r="AB10" i="17"/>
  <c r="AA10" i="17"/>
  <c r="Z10" i="17"/>
  <c r="Y10" i="17"/>
  <c r="X10" i="17"/>
  <c r="W10" i="17"/>
  <c r="P10" i="17"/>
  <c r="O10" i="17"/>
  <c r="N10" i="17"/>
  <c r="AC10" i="17" s="1"/>
  <c r="M10" i="17"/>
  <c r="AQ9" i="17"/>
  <c r="AP9" i="17"/>
  <c r="AJ9" i="17"/>
  <c r="AI9" i="17"/>
  <c r="AH9" i="17"/>
  <c r="AF9" i="17"/>
  <c r="AE9" i="17"/>
  <c r="AA9" i="17"/>
  <c r="Z9" i="17"/>
  <c r="Y9" i="17"/>
  <c r="X9" i="17"/>
  <c r="W9" i="17"/>
  <c r="P9" i="17"/>
  <c r="O9" i="17"/>
  <c r="AD9" i="17" s="1"/>
  <c r="N9" i="17"/>
  <c r="M9" i="17"/>
  <c r="AR8" i="17"/>
  <c r="AP8" i="17"/>
  <c r="AJ8" i="17"/>
  <c r="AI8" i="17"/>
  <c r="AT8" i="17" s="1"/>
  <c r="AH8" i="17"/>
  <c r="AF8" i="17"/>
  <c r="AE8" i="17"/>
  <c r="AD8" i="17"/>
  <c r="AC8" i="17"/>
  <c r="AB8" i="17"/>
  <c r="AA8" i="17"/>
  <c r="Z8" i="17"/>
  <c r="Y8" i="17"/>
  <c r="X8" i="17"/>
  <c r="W8" i="17"/>
  <c r="P8" i="17"/>
  <c r="O8" i="17"/>
  <c r="AQ8" i="17" s="1"/>
  <c r="N8" i="17"/>
  <c r="M8" i="17"/>
  <c r="AO7" i="17"/>
  <c r="AN7" i="17"/>
  <c r="AJ7" i="17"/>
  <c r="AI7" i="17"/>
  <c r="AT7" i="17" s="1"/>
  <c r="AH7" i="17"/>
  <c r="AF7" i="17"/>
  <c r="AE7" i="17"/>
  <c r="AD7" i="17"/>
  <c r="AC7" i="17"/>
  <c r="AA7" i="17"/>
  <c r="Z7" i="17"/>
  <c r="Y7" i="17"/>
  <c r="X7" i="17"/>
  <c r="W7" i="17"/>
  <c r="P7" i="17"/>
  <c r="O7" i="17"/>
  <c r="AQ7" i="17" s="1"/>
  <c r="N7" i="17"/>
  <c r="M7" i="17"/>
  <c r="AP6" i="17"/>
  <c r="AO6" i="17"/>
  <c r="AV6" i="17" s="1"/>
  <c r="AN6" i="17"/>
  <c r="AJ6" i="17"/>
  <c r="AI6" i="17"/>
  <c r="AT6" i="17" s="1"/>
  <c r="AH6" i="17"/>
  <c r="AF6" i="17"/>
  <c r="AE6" i="17"/>
  <c r="AD6" i="17"/>
  <c r="AC6" i="17"/>
  <c r="AA6" i="17"/>
  <c r="Z6" i="17"/>
  <c r="Y6" i="17"/>
  <c r="X6" i="17"/>
  <c r="W6" i="17"/>
  <c r="P6" i="17"/>
  <c r="O6" i="17"/>
  <c r="AQ6" i="17" s="1"/>
  <c r="N6" i="17"/>
  <c r="M6" i="17"/>
  <c r="AI5" i="17"/>
  <c r="AH5" i="17"/>
  <c r="W5" i="17"/>
  <c r="AI4" i="17"/>
  <c r="AR3" i="17"/>
  <c r="AQ3" i="17"/>
  <c r="AP3" i="17"/>
  <c r="AI3" i="17"/>
  <c r="AH3" i="17"/>
  <c r="AN2" i="17"/>
  <c r="AM2" i="17"/>
  <c r="AL2" i="17"/>
  <c r="AK2" i="17"/>
  <c r="AJ2" i="17"/>
  <c r="AJ38" i="17" s="1"/>
  <c r="AA2" i="17"/>
  <c r="A2" i="17"/>
  <c r="AU1" i="17"/>
  <c r="AU14" i="17" s="1"/>
  <c r="AR1" i="17"/>
  <c r="AQ1" i="17"/>
  <c r="AP1" i="17"/>
  <c r="AO1" i="17"/>
  <c r="AJ1" i="17"/>
  <c r="AH1" i="17"/>
  <c r="AH2" i="17" s="1"/>
  <c r="AA1" i="17"/>
  <c r="A1" i="17"/>
  <c r="AU17" i="16"/>
  <c r="AT17" i="16"/>
  <c r="AP17" i="16"/>
  <c r="AO17" i="16"/>
  <c r="AV17" i="16" s="1"/>
  <c r="AN17" i="16"/>
  <c r="AI17" i="16"/>
  <c r="AH17" i="16"/>
  <c r="AF17" i="16"/>
  <c r="AE17" i="16"/>
  <c r="AD17" i="16"/>
  <c r="AC17" i="16"/>
  <c r="AB17" i="16"/>
  <c r="AA17" i="16"/>
  <c r="Z17" i="16"/>
  <c r="Y17" i="16"/>
  <c r="X17" i="16"/>
  <c r="W17" i="16"/>
  <c r="P17" i="16"/>
  <c r="O17" i="16"/>
  <c r="N17" i="16"/>
  <c r="M17" i="16"/>
  <c r="AV16" i="16"/>
  <c r="AU16" i="16"/>
  <c r="AP16" i="16"/>
  <c r="AN16" i="16"/>
  <c r="AI16" i="16"/>
  <c r="AT16" i="16" s="1"/>
  <c r="AH16" i="16"/>
  <c r="AF16" i="16"/>
  <c r="AE16" i="16"/>
  <c r="AD16" i="16"/>
  <c r="AC16" i="16"/>
  <c r="AB16" i="16"/>
  <c r="AA16" i="16"/>
  <c r="Z16" i="16"/>
  <c r="Y16" i="16"/>
  <c r="X16" i="16"/>
  <c r="W16" i="16"/>
  <c r="P16" i="16"/>
  <c r="O16" i="16"/>
  <c r="N16" i="16"/>
  <c r="AO16" i="16" s="1"/>
  <c r="M16" i="16"/>
  <c r="AR16" i="16" s="1"/>
  <c r="AV15" i="16"/>
  <c r="AT15" i="16"/>
  <c r="AP15" i="16"/>
  <c r="AO15" i="16"/>
  <c r="AN15" i="16"/>
  <c r="AI15" i="16"/>
  <c r="AH15" i="16"/>
  <c r="AF15" i="16"/>
  <c r="AE15" i="16"/>
  <c r="AD15" i="16"/>
  <c r="AC15" i="16"/>
  <c r="AA15" i="16"/>
  <c r="Z15" i="16"/>
  <c r="Y15" i="16"/>
  <c r="X15" i="16"/>
  <c r="W15" i="16"/>
  <c r="P15" i="16"/>
  <c r="O15" i="16"/>
  <c r="N15" i="16"/>
  <c r="M15" i="16"/>
  <c r="AU14" i="16"/>
  <c r="AR14" i="16"/>
  <c r="AP14" i="16"/>
  <c r="AO14" i="16"/>
  <c r="AV14" i="16" s="1"/>
  <c r="AI14" i="16"/>
  <c r="AJ14" i="16" s="1"/>
  <c r="AH14" i="16"/>
  <c r="AF14" i="16"/>
  <c r="AE14" i="16"/>
  <c r="AC14" i="16"/>
  <c r="AB14" i="16"/>
  <c r="AA14" i="16"/>
  <c r="Z14" i="16"/>
  <c r="Y14" i="16"/>
  <c r="X14" i="16"/>
  <c r="W14" i="16"/>
  <c r="P14" i="16"/>
  <c r="O14" i="16"/>
  <c r="N14" i="16"/>
  <c r="M14" i="16"/>
  <c r="AI13" i="16"/>
  <c r="AH13" i="16"/>
  <c r="W13" i="16"/>
  <c r="AT12" i="16"/>
  <c r="AP12" i="16"/>
  <c r="AI12" i="16"/>
  <c r="AN12" i="16" s="1"/>
  <c r="AH12" i="16"/>
  <c r="AF12" i="16"/>
  <c r="AE12" i="16"/>
  <c r="AA12" i="16"/>
  <c r="Z12" i="16"/>
  <c r="Y12" i="16"/>
  <c r="X12" i="16"/>
  <c r="W12" i="16"/>
  <c r="P12" i="16"/>
  <c r="O12" i="16"/>
  <c r="AD12" i="16" s="1"/>
  <c r="N12" i="16"/>
  <c r="M12" i="16"/>
  <c r="AP11" i="16"/>
  <c r="AI11" i="16"/>
  <c r="AH11" i="16"/>
  <c r="AF11" i="16"/>
  <c r="AE11" i="16"/>
  <c r="AB11" i="16"/>
  <c r="AA11" i="16"/>
  <c r="Z11" i="16"/>
  <c r="Y11" i="16"/>
  <c r="X11" i="16"/>
  <c r="W11" i="16"/>
  <c r="P11" i="16"/>
  <c r="O11" i="16"/>
  <c r="AD11" i="16" s="1"/>
  <c r="N11" i="16"/>
  <c r="AO11" i="16" s="1"/>
  <c r="M11" i="16"/>
  <c r="AP10" i="16"/>
  <c r="AO10" i="16"/>
  <c r="AV10" i="16" s="1"/>
  <c r="AI10" i="16"/>
  <c r="AN10" i="16" s="1"/>
  <c r="AH10" i="16"/>
  <c r="AF10" i="16"/>
  <c r="AE10" i="16"/>
  <c r="AC10" i="16"/>
  <c r="AB10" i="16"/>
  <c r="AA10" i="16"/>
  <c r="Z10" i="16"/>
  <c r="Y10" i="16"/>
  <c r="X10" i="16"/>
  <c r="W10" i="16"/>
  <c r="P10" i="16"/>
  <c r="O10" i="16"/>
  <c r="N10" i="16"/>
  <c r="M10" i="16"/>
  <c r="AI9" i="16"/>
  <c r="AH9" i="16"/>
  <c r="W9" i="16"/>
  <c r="AT8" i="16"/>
  <c r="AP8" i="16"/>
  <c r="AI8" i="16"/>
  <c r="AN8" i="16" s="1"/>
  <c r="AH8" i="16"/>
  <c r="AF8" i="16"/>
  <c r="AE8" i="16"/>
  <c r="AA8" i="16"/>
  <c r="Z8" i="16"/>
  <c r="Y8" i="16"/>
  <c r="X8" i="16"/>
  <c r="W8" i="16"/>
  <c r="P8" i="16"/>
  <c r="O8" i="16"/>
  <c r="AD8" i="16" s="1"/>
  <c r="N8" i="16"/>
  <c r="M8" i="16"/>
  <c r="AR7" i="16"/>
  <c r="AP7" i="16"/>
  <c r="AI7" i="16"/>
  <c r="AH7" i="16"/>
  <c r="AF7" i="16"/>
  <c r="AE7" i="16"/>
  <c r="AB7" i="16"/>
  <c r="AA7" i="16"/>
  <c r="Z7" i="16"/>
  <c r="Y7" i="16"/>
  <c r="X7" i="16"/>
  <c r="W7" i="16"/>
  <c r="P7" i="16"/>
  <c r="O7" i="16"/>
  <c r="AD7" i="16" s="1"/>
  <c r="N7" i="16"/>
  <c r="AO7" i="16" s="1"/>
  <c r="M7" i="16"/>
  <c r="AR6" i="16"/>
  <c r="AP6" i="16"/>
  <c r="AO6" i="16"/>
  <c r="AV6" i="16" s="1"/>
  <c r="AI6" i="16"/>
  <c r="AN6" i="16" s="1"/>
  <c r="AH6" i="16"/>
  <c r="AF6" i="16"/>
  <c r="AE6" i="16"/>
  <c r="AC6" i="16"/>
  <c r="AB6" i="16"/>
  <c r="AA6" i="16"/>
  <c r="Z6" i="16"/>
  <c r="Y6" i="16"/>
  <c r="X6" i="16"/>
  <c r="W6" i="16"/>
  <c r="P6" i="16"/>
  <c r="O6" i="16"/>
  <c r="N6" i="16"/>
  <c r="M6" i="16"/>
  <c r="AI5" i="16"/>
  <c r="AH5" i="16"/>
  <c r="W5" i="16"/>
  <c r="AI4" i="16"/>
  <c r="AP3" i="16"/>
  <c r="AO3" i="16"/>
  <c r="AI3" i="16"/>
  <c r="AH3" i="16"/>
  <c r="AN2" i="16"/>
  <c r="AM2" i="16"/>
  <c r="AL2" i="16"/>
  <c r="AK2" i="16"/>
  <c r="AJ2" i="16"/>
  <c r="AJ15" i="16" s="1"/>
  <c r="AA2" i="16"/>
  <c r="A2" i="16"/>
  <c r="AU1" i="16"/>
  <c r="AR1" i="16"/>
  <c r="AQ1" i="16"/>
  <c r="AQ3" i="16" s="1"/>
  <c r="AP1" i="16"/>
  <c r="AO1" i="16"/>
  <c r="AA1" i="16"/>
  <c r="A1" i="16"/>
  <c r="AJ1" i="16" s="1"/>
  <c r="AR13" i="15"/>
  <c r="AQ13" i="15"/>
  <c r="AP13" i="15"/>
  <c r="AI13" i="15"/>
  <c r="AH13" i="15"/>
  <c r="AF13" i="15"/>
  <c r="AE13" i="15"/>
  <c r="AB13" i="15"/>
  <c r="AA13" i="15"/>
  <c r="Z13" i="15"/>
  <c r="Y13" i="15"/>
  <c r="X13" i="15"/>
  <c r="W13" i="15"/>
  <c r="P13" i="15"/>
  <c r="O13" i="15"/>
  <c r="AD13" i="15" s="1"/>
  <c r="N13" i="15"/>
  <c r="M13" i="15"/>
  <c r="AR12" i="15"/>
  <c r="AQ12" i="15"/>
  <c r="AP12" i="15"/>
  <c r="AO12" i="15"/>
  <c r="AV12" i="15" s="1"/>
  <c r="AI12" i="15"/>
  <c r="AH12" i="15"/>
  <c r="AF12" i="15"/>
  <c r="AE12" i="15"/>
  <c r="AC12" i="15"/>
  <c r="AA12" i="15"/>
  <c r="Z12" i="15"/>
  <c r="Y12" i="15"/>
  <c r="X12" i="15"/>
  <c r="W12" i="15"/>
  <c r="P12" i="15"/>
  <c r="O12" i="15"/>
  <c r="AD12" i="15" s="1"/>
  <c r="N12" i="15"/>
  <c r="M12" i="15"/>
  <c r="AB12" i="15" s="1"/>
  <c r="AI11" i="15"/>
  <c r="AH11" i="15"/>
  <c r="W11" i="15"/>
  <c r="AT10" i="15"/>
  <c r="AQ10" i="15"/>
  <c r="AP10" i="15"/>
  <c r="AI10" i="15"/>
  <c r="AH10" i="15"/>
  <c r="AF10" i="15"/>
  <c r="AE10" i="15"/>
  <c r="AA10" i="15"/>
  <c r="Z10" i="15"/>
  <c r="Y10" i="15"/>
  <c r="X10" i="15"/>
  <c r="W10" i="15"/>
  <c r="P10" i="15"/>
  <c r="O10" i="15"/>
  <c r="AD10" i="15" s="1"/>
  <c r="N10" i="15"/>
  <c r="AO10" i="15" s="1"/>
  <c r="AV10" i="15" s="1"/>
  <c r="M10" i="15"/>
  <c r="AI9" i="15"/>
  <c r="AH9" i="15"/>
  <c r="W9" i="15"/>
  <c r="AV8" i="15"/>
  <c r="AT8" i="15"/>
  <c r="AP8" i="15"/>
  <c r="AO8" i="15"/>
  <c r="AI8" i="15"/>
  <c r="AH8" i="15"/>
  <c r="AF8" i="15"/>
  <c r="AE8" i="15"/>
  <c r="AC8" i="15"/>
  <c r="AA8" i="15"/>
  <c r="Z8" i="15"/>
  <c r="Y8" i="15"/>
  <c r="X8" i="15"/>
  <c r="W8" i="15"/>
  <c r="P8" i="15"/>
  <c r="O8" i="15"/>
  <c r="AQ8" i="15" s="1"/>
  <c r="N8" i="15"/>
  <c r="M8" i="15"/>
  <c r="AI7" i="15"/>
  <c r="AH7" i="15"/>
  <c r="W7" i="15"/>
  <c r="AI6" i="15"/>
  <c r="AT6" i="15" s="1"/>
  <c r="AH6" i="15"/>
  <c r="AF6" i="15"/>
  <c r="AE6" i="15"/>
  <c r="AC6" i="15"/>
  <c r="AA6" i="15"/>
  <c r="Z6" i="15"/>
  <c r="Y6" i="15"/>
  <c r="X6" i="15"/>
  <c r="W6" i="15"/>
  <c r="P6" i="15"/>
  <c r="O6" i="15"/>
  <c r="AD6" i="15" s="1"/>
  <c r="N6" i="15"/>
  <c r="M6" i="15"/>
  <c r="AR6" i="15" s="1"/>
  <c r="AI5" i="15"/>
  <c r="AH5" i="15"/>
  <c r="W5" i="15"/>
  <c r="AI4" i="15"/>
  <c r="AR3" i="15"/>
  <c r="AP3" i="15"/>
  <c r="AI3" i="15"/>
  <c r="AH3" i="15"/>
  <c r="AN2" i="15"/>
  <c r="AN8" i="15" s="1"/>
  <c r="AM2" i="15"/>
  <c r="AL2" i="15"/>
  <c r="AK2" i="15"/>
  <c r="AJ2" i="15"/>
  <c r="AJ12" i="15" s="1"/>
  <c r="AA2" i="15"/>
  <c r="A2" i="15"/>
  <c r="AU1" i="15"/>
  <c r="AU8" i="15" s="1"/>
  <c r="AR1" i="15"/>
  <c r="AQ1" i="15"/>
  <c r="AQ3" i="15" s="1"/>
  <c r="AP1" i="15"/>
  <c r="AP6" i="15" s="1"/>
  <c r="AO1" i="15"/>
  <c r="AO3" i="15" s="1"/>
  <c r="AH1" i="15"/>
  <c r="AH2" i="15" s="1"/>
  <c r="AA1" i="15"/>
  <c r="A1" i="15"/>
  <c r="AJ1" i="15" s="1"/>
  <c r="AP22" i="14"/>
  <c r="AI22" i="14"/>
  <c r="AH22" i="14"/>
  <c r="AF22" i="14"/>
  <c r="AE22" i="14"/>
  <c r="AD22" i="14"/>
  <c r="AB22" i="14"/>
  <c r="AA22" i="14"/>
  <c r="Z22" i="14"/>
  <c r="Y22" i="14"/>
  <c r="X22" i="14"/>
  <c r="W22" i="14"/>
  <c r="P22" i="14"/>
  <c r="O22" i="14"/>
  <c r="AQ22" i="14" s="1"/>
  <c r="N22" i="14"/>
  <c r="M22" i="14"/>
  <c r="AP21" i="14"/>
  <c r="AO21" i="14"/>
  <c r="AV21" i="14" s="1"/>
  <c r="AI21" i="14"/>
  <c r="AJ21" i="14" s="1"/>
  <c r="AH21" i="14"/>
  <c r="AF21" i="14"/>
  <c r="AE21" i="14"/>
  <c r="AC21" i="14"/>
  <c r="AA21" i="14"/>
  <c r="Z21" i="14"/>
  <c r="Y21" i="14"/>
  <c r="X21" i="14"/>
  <c r="W21" i="14"/>
  <c r="P21" i="14"/>
  <c r="O21" i="14"/>
  <c r="AD21" i="14" s="1"/>
  <c r="N21" i="14"/>
  <c r="M21" i="14"/>
  <c r="AB21" i="14" s="1"/>
  <c r="AT20" i="14"/>
  <c r="AI20" i="14"/>
  <c r="AH20" i="14"/>
  <c r="AF20" i="14"/>
  <c r="AE20" i="14"/>
  <c r="AD20" i="14"/>
  <c r="AC20" i="14"/>
  <c r="AB20" i="14"/>
  <c r="AA20" i="14"/>
  <c r="Z20" i="14"/>
  <c r="Y20" i="14"/>
  <c r="X20" i="14"/>
  <c r="W20" i="14"/>
  <c r="P20" i="14"/>
  <c r="O20" i="14"/>
  <c r="N20" i="14"/>
  <c r="M20" i="14"/>
  <c r="AU19" i="14"/>
  <c r="AP19" i="14"/>
  <c r="AO19" i="14"/>
  <c r="AV19" i="14" s="1"/>
  <c r="AI19" i="14"/>
  <c r="AT19" i="14" s="1"/>
  <c r="AH19" i="14"/>
  <c r="AF19" i="14"/>
  <c r="AE19" i="14"/>
  <c r="AD19" i="14"/>
  <c r="AC19" i="14"/>
  <c r="AA19" i="14"/>
  <c r="Z19" i="14"/>
  <c r="Y19" i="14"/>
  <c r="X19" i="14"/>
  <c r="W19" i="14"/>
  <c r="P19" i="14"/>
  <c r="O19" i="14"/>
  <c r="AQ19" i="14" s="1"/>
  <c r="N19" i="14"/>
  <c r="M19" i="14"/>
  <c r="AR19" i="14" s="1"/>
  <c r="AI18" i="14"/>
  <c r="AJ18" i="14" s="1"/>
  <c r="AH18" i="14"/>
  <c r="AF18" i="14"/>
  <c r="AE18" i="14"/>
  <c r="AD18" i="14"/>
  <c r="AA18" i="14"/>
  <c r="Z18" i="14"/>
  <c r="Y18" i="14"/>
  <c r="X18" i="14"/>
  <c r="W18" i="14"/>
  <c r="P18" i="14"/>
  <c r="O18" i="14"/>
  <c r="N18" i="14"/>
  <c r="AO18" i="14" s="1"/>
  <c r="M18" i="14"/>
  <c r="AB18" i="14" s="1"/>
  <c r="AI17" i="14"/>
  <c r="AH17" i="14"/>
  <c r="W17" i="14"/>
  <c r="AU16" i="14"/>
  <c r="AT16" i="14"/>
  <c r="AP16" i="14"/>
  <c r="AJ16" i="14"/>
  <c r="AI16" i="14"/>
  <c r="AH16" i="14"/>
  <c r="AF16" i="14"/>
  <c r="AE16" i="14"/>
  <c r="AD16" i="14"/>
  <c r="AC16" i="14"/>
  <c r="AB16" i="14"/>
  <c r="AA16" i="14"/>
  <c r="Z16" i="14"/>
  <c r="Y16" i="14"/>
  <c r="X16" i="14"/>
  <c r="W16" i="14"/>
  <c r="P16" i="14"/>
  <c r="O16" i="14"/>
  <c r="AQ16" i="14" s="1"/>
  <c r="N16" i="14"/>
  <c r="AO16" i="14" s="1"/>
  <c r="AV16" i="14" s="1"/>
  <c r="M16" i="14"/>
  <c r="AU15" i="14"/>
  <c r="AT15" i="14"/>
  <c r="AP15" i="14"/>
  <c r="AO15" i="14"/>
  <c r="AV15" i="14" s="1"/>
  <c r="AJ15" i="14"/>
  <c r="AI15" i="14"/>
  <c r="AH15" i="14"/>
  <c r="AF15" i="14"/>
  <c r="AE15" i="14"/>
  <c r="AD15" i="14"/>
  <c r="AC15" i="14"/>
  <c r="AA15" i="14"/>
  <c r="Z15" i="14"/>
  <c r="Y15" i="14"/>
  <c r="X15" i="14"/>
  <c r="W15" i="14"/>
  <c r="P15" i="14"/>
  <c r="O15" i="14"/>
  <c r="AQ15" i="14" s="1"/>
  <c r="N15" i="14"/>
  <c r="M15" i="14"/>
  <c r="AR15" i="14" s="1"/>
  <c r="AU14" i="14"/>
  <c r="AI14" i="14"/>
  <c r="AT14" i="14" s="1"/>
  <c r="AH14" i="14"/>
  <c r="AF14" i="14"/>
  <c r="AE14" i="14"/>
  <c r="AD14" i="14"/>
  <c r="AA14" i="14"/>
  <c r="Z14" i="14"/>
  <c r="Y14" i="14"/>
  <c r="X14" i="14"/>
  <c r="W14" i="14"/>
  <c r="P14" i="14"/>
  <c r="O14" i="14"/>
  <c r="AQ14" i="14" s="1"/>
  <c r="N14" i="14"/>
  <c r="AO14" i="14" s="1"/>
  <c r="M14" i="14"/>
  <c r="AR14" i="14" s="1"/>
  <c r="AI13" i="14"/>
  <c r="AH13" i="14"/>
  <c r="W13" i="14"/>
  <c r="AU12" i="14"/>
  <c r="AT12" i="14"/>
  <c r="AP12" i="14"/>
  <c r="AJ12" i="14"/>
  <c r="AI12" i="14"/>
  <c r="AH12" i="14"/>
  <c r="AF12" i="14"/>
  <c r="AE12" i="14"/>
  <c r="AD12" i="14"/>
  <c r="AC12" i="14"/>
  <c r="AB12" i="14"/>
  <c r="AA12" i="14"/>
  <c r="Z12" i="14"/>
  <c r="Y12" i="14"/>
  <c r="X12" i="14"/>
  <c r="W12" i="14"/>
  <c r="P12" i="14"/>
  <c r="O12" i="14"/>
  <c r="AQ12" i="14" s="1"/>
  <c r="N12" i="14"/>
  <c r="AO12" i="14" s="1"/>
  <c r="AV12" i="14" s="1"/>
  <c r="M12" i="14"/>
  <c r="AU11" i="14"/>
  <c r="AT11" i="14"/>
  <c r="AP11" i="14"/>
  <c r="AO11" i="14"/>
  <c r="AV11" i="14" s="1"/>
  <c r="AJ11" i="14"/>
  <c r="AI11" i="14"/>
  <c r="AH11" i="14"/>
  <c r="AF11" i="14"/>
  <c r="AE11" i="14"/>
  <c r="AD11" i="14"/>
  <c r="AC11" i="14"/>
  <c r="AA11" i="14"/>
  <c r="Z11" i="14"/>
  <c r="Y11" i="14"/>
  <c r="X11" i="14"/>
  <c r="W11" i="14"/>
  <c r="P11" i="14"/>
  <c r="O11" i="14"/>
  <c r="AQ11" i="14" s="1"/>
  <c r="N11" i="14"/>
  <c r="M11" i="14"/>
  <c r="AR11" i="14" s="1"/>
  <c r="AU10" i="14"/>
  <c r="AP10" i="14"/>
  <c r="AI10" i="14"/>
  <c r="AT10" i="14" s="1"/>
  <c r="AH10" i="14"/>
  <c r="AF10" i="14"/>
  <c r="AE10" i="14"/>
  <c r="AD10" i="14"/>
  <c r="AA10" i="14"/>
  <c r="Z10" i="14"/>
  <c r="Y10" i="14"/>
  <c r="X10" i="14"/>
  <c r="W10" i="14"/>
  <c r="P10" i="14"/>
  <c r="O10" i="14"/>
  <c r="AQ10" i="14" s="1"/>
  <c r="N10" i="14"/>
  <c r="AO10" i="14" s="1"/>
  <c r="AV10" i="14" s="1"/>
  <c r="M10" i="14"/>
  <c r="AR10" i="14" s="1"/>
  <c r="AI9" i="14"/>
  <c r="AH9" i="14"/>
  <c r="W9" i="14"/>
  <c r="AU8" i="14"/>
  <c r="AT8" i="14"/>
  <c r="AR8" i="14"/>
  <c r="AN8" i="14"/>
  <c r="AJ8" i="14"/>
  <c r="AI8" i="14"/>
  <c r="AH8" i="14"/>
  <c r="AF8" i="14"/>
  <c r="AE8" i="14"/>
  <c r="AD8" i="14"/>
  <c r="AC8" i="14"/>
  <c r="AB8" i="14"/>
  <c r="AA8" i="14"/>
  <c r="Z8" i="14"/>
  <c r="Y8" i="14"/>
  <c r="X8" i="14"/>
  <c r="W8" i="14"/>
  <c r="P8" i="14"/>
  <c r="O8" i="14"/>
  <c r="AQ8" i="14" s="1"/>
  <c r="N8" i="14"/>
  <c r="AO8" i="14" s="1"/>
  <c r="M8" i="14"/>
  <c r="AU7" i="14"/>
  <c r="AT7" i="14"/>
  <c r="AO7" i="14"/>
  <c r="AJ7" i="14"/>
  <c r="AI7" i="14"/>
  <c r="AH7" i="14"/>
  <c r="AF7" i="14"/>
  <c r="AE7" i="14"/>
  <c r="AD7" i="14"/>
  <c r="AC7" i="14"/>
  <c r="AA7" i="14"/>
  <c r="Z7" i="14"/>
  <c r="Y7" i="14"/>
  <c r="X7" i="14"/>
  <c r="W7" i="14"/>
  <c r="P7" i="14"/>
  <c r="O7" i="14"/>
  <c r="AQ7" i="14" s="1"/>
  <c r="N7" i="14"/>
  <c r="M7" i="14"/>
  <c r="AR7" i="14" s="1"/>
  <c r="AU6" i="14"/>
  <c r="AP6" i="14"/>
  <c r="AI6" i="14"/>
  <c r="AT6" i="14" s="1"/>
  <c r="AH6" i="14"/>
  <c r="AF6" i="14"/>
  <c r="AE6" i="14"/>
  <c r="AD6" i="14"/>
  <c r="AA6" i="14"/>
  <c r="Z6" i="14"/>
  <c r="Y6" i="14"/>
  <c r="X6" i="14"/>
  <c r="W6" i="14"/>
  <c r="P6" i="14"/>
  <c r="O6" i="14"/>
  <c r="AQ6" i="14" s="1"/>
  <c r="N6" i="14"/>
  <c r="AO6" i="14" s="1"/>
  <c r="AV6" i="14" s="1"/>
  <c r="M6" i="14"/>
  <c r="AR6" i="14" s="1"/>
  <c r="AI5" i="14"/>
  <c r="AH5" i="14"/>
  <c r="W5" i="14"/>
  <c r="AI4" i="14"/>
  <c r="AU3" i="14"/>
  <c r="AR3" i="14"/>
  <c r="AQ3" i="14"/>
  <c r="AI3" i="14"/>
  <c r="AH3" i="14"/>
  <c r="AN2" i="14"/>
  <c r="AN16" i="14" s="1"/>
  <c r="AM2" i="14"/>
  <c r="AL2" i="14"/>
  <c r="AK2" i="14"/>
  <c r="AJ2" i="14"/>
  <c r="AJ20" i="14" s="1"/>
  <c r="AA2" i="14"/>
  <c r="A2" i="14"/>
  <c r="AU1" i="14"/>
  <c r="AU21" i="14" s="1"/>
  <c r="AR1" i="14"/>
  <c r="AR21" i="14" s="1"/>
  <c r="AQ1" i="14"/>
  <c r="AP1" i="14"/>
  <c r="AP20" i="14" s="1"/>
  <c r="AO1" i="14"/>
  <c r="AO3" i="14" s="1"/>
  <c r="AJ1" i="14"/>
  <c r="AA1" i="14"/>
  <c r="A1" i="14"/>
  <c r="AH1" i="14" s="1"/>
  <c r="AH2" i="14" s="1"/>
  <c r="AT138" i="13"/>
  <c r="AI138" i="13"/>
  <c r="AH138" i="13"/>
  <c r="AF138" i="13"/>
  <c r="AE138" i="13"/>
  <c r="AD138" i="13"/>
  <c r="AC138" i="13"/>
  <c r="AA138" i="13"/>
  <c r="Z138" i="13"/>
  <c r="Y138" i="13"/>
  <c r="X138" i="13"/>
  <c r="W138" i="13"/>
  <c r="P138" i="13"/>
  <c r="O138" i="13"/>
  <c r="N138" i="13"/>
  <c r="M138" i="13"/>
  <c r="AI137" i="13"/>
  <c r="AH137" i="13"/>
  <c r="W137" i="13"/>
  <c r="AT136" i="13"/>
  <c r="AI136" i="13"/>
  <c r="AH136" i="13"/>
  <c r="AF136" i="13"/>
  <c r="AE136" i="13"/>
  <c r="AC136" i="13"/>
  <c r="AB136" i="13"/>
  <c r="AA136" i="13"/>
  <c r="Z136" i="13"/>
  <c r="Y136" i="13"/>
  <c r="X136" i="13"/>
  <c r="W136" i="13"/>
  <c r="P136" i="13"/>
  <c r="O136" i="13"/>
  <c r="N136" i="13"/>
  <c r="M136" i="13"/>
  <c r="AT135" i="13"/>
  <c r="AI135" i="13"/>
  <c r="AH135" i="13"/>
  <c r="AF135" i="13"/>
  <c r="AE135" i="13"/>
  <c r="AD135" i="13"/>
  <c r="AC135" i="13"/>
  <c r="AB135" i="13"/>
  <c r="AA135" i="13"/>
  <c r="Z135" i="13"/>
  <c r="Y135" i="13"/>
  <c r="X135" i="13"/>
  <c r="W135" i="13"/>
  <c r="P135" i="13"/>
  <c r="O135" i="13"/>
  <c r="N135" i="13"/>
  <c r="M135" i="13"/>
  <c r="AI134" i="13"/>
  <c r="AH134" i="13"/>
  <c r="W134" i="13"/>
  <c r="AP133" i="13"/>
  <c r="AI133" i="13"/>
  <c r="AH133" i="13"/>
  <c r="AF133" i="13"/>
  <c r="AE133" i="13"/>
  <c r="AB133" i="13"/>
  <c r="AA133" i="13"/>
  <c r="Z133" i="13"/>
  <c r="Y133" i="13"/>
  <c r="X133" i="13"/>
  <c r="W133" i="13"/>
  <c r="P133" i="13"/>
  <c r="O133" i="13"/>
  <c r="N133" i="13"/>
  <c r="AO133" i="13" s="1"/>
  <c r="AV133" i="13" s="1"/>
  <c r="M133" i="13"/>
  <c r="AT132" i="13"/>
  <c r="AI132" i="13"/>
  <c r="AH132" i="13"/>
  <c r="AF132" i="13"/>
  <c r="AE132" i="13"/>
  <c r="AC132" i="13"/>
  <c r="AB132" i="13"/>
  <c r="AA132" i="13"/>
  <c r="Z132" i="13"/>
  <c r="Y132" i="13"/>
  <c r="X132" i="13"/>
  <c r="W132" i="13"/>
  <c r="P132" i="13"/>
  <c r="O132" i="13"/>
  <c r="N132" i="13"/>
  <c r="M132" i="13"/>
  <c r="AT131" i="13"/>
  <c r="AI131" i="13"/>
  <c r="AH131" i="13"/>
  <c r="AF131" i="13"/>
  <c r="AE131" i="13"/>
  <c r="AD131" i="13"/>
  <c r="AC131" i="13"/>
  <c r="AB131" i="13"/>
  <c r="AA131" i="13"/>
  <c r="Z131" i="13"/>
  <c r="Y131" i="13"/>
  <c r="X131" i="13"/>
  <c r="W131" i="13"/>
  <c r="P131" i="13"/>
  <c r="O131" i="13"/>
  <c r="N131" i="13"/>
  <c r="M131" i="13"/>
  <c r="AT130" i="13"/>
  <c r="AI130" i="13"/>
  <c r="AH130" i="13"/>
  <c r="AF130" i="13"/>
  <c r="AE130" i="13"/>
  <c r="AD130" i="13"/>
  <c r="AC130" i="13"/>
  <c r="AA130" i="13"/>
  <c r="Z130" i="13"/>
  <c r="Y130" i="13"/>
  <c r="X130" i="13"/>
  <c r="W130" i="13"/>
  <c r="P130" i="13"/>
  <c r="O130" i="13"/>
  <c r="N130" i="13"/>
  <c r="M130" i="13"/>
  <c r="AI129" i="13"/>
  <c r="AT129" i="13" s="1"/>
  <c r="AH129" i="13"/>
  <c r="AF129" i="13"/>
  <c r="AE129" i="13"/>
  <c r="AD129" i="13"/>
  <c r="AA129" i="13"/>
  <c r="Z129" i="13"/>
  <c r="Y129" i="13"/>
  <c r="X129" i="13"/>
  <c r="W129" i="13"/>
  <c r="P129" i="13"/>
  <c r="O129" i="13"/>
  <c r="N129" i="13"/>
  <c r="M129" i="13"/>
  <c r="AT128" i="13"/>
  <c r="AI128" i="13"/>
  <c r="AH128" i="13"/>
  <c r="AF128" i="13"/>
  <c r="AE128" i="13"/>
  <c r="AA128" i="13"/>
  <c r="Z128" i="13"/>
  <c r="Y128" i="13"/>
  <c r="X128" i="13"/>
  <c r="W128" i="13"/>
  <c r="P128" i="13"/>
  <c r="O128" i="13"/>
  <c r="N128" i="13"/>
  <c r="M128" i="13"/>
  <c r="AI127" i="13"/>
  <c r="AH127" i="13"/>
  <c r="AF127" i="13"/>
  <c r="AE127" i="13"/>
  <c r="AB127" i="13"/>
  <c r="AA127" i="13"/>
  <c r="Z127" i="13"/>
  <c r="Y127" i="13"/>
  <c r="X127" i="13"/>
  <c r="W127" i="13"/>
  <c r="P127" i="13"/>
  <c r="O127" i="13"/>
  <c r="N127" i="13"/>
  <c r="M127" i="13"/>
  <c r="AT126" i="13"/>
  <c r="AI126" i="13"/>
  <c r="AH126" i="13"/>
  <c r="AF126" i="13"/>
  <c r="AE126" i="13"/>
  <c r="AC126" i="13"/>
  <c r="AB126" i="13"/>
  <c r="AA126" i="13"/>
  <c r="Z126" i="13"/>
  <c r="Y126" i="13"/>
  <c r="X126" i="13"/>
  <c r="W126" i="13"/>
  <c r="P126" i="13"/>
  <c r="O126" i="13"/>
  <c r="N126" i="13"/>
  <c r="M126" i="13"/>
  <c r="AT125" i="13"/>
  <c r="AI125" i="13"/>
  <c r="AH125" i="13"/>
  <c r="AF125" i="13"/>
  <c r="AE125" i="13"/>
  <c r="AD125" i="13"/>
  <c r="AC125" i="13"/>
  <c r="AB125" i="13"/>
  <c r="AA125" i="13"/>
  <c r="Z125" i="13"/>
  <c r="Y125" i="13"/>
  <c r="X125" i="13"/>
  <c r="W125" i="13"/>
  <c r="P125" i="13"/>
  <c r="O125" i="13"/>
  <c r="N125" i="13"/>
  <c r="M125" i="13"/>
  <c r="AI124" i="13"/>
  <c r="AH124" i="13"/>
  <c r="W124" i="13"/>
  <c r="AI123" i="13"/>
  <c r="AH123" i="13"/>
  <c r="AF123" i="13"/>
  <c r="AE123" i="13"/>
  <c r="AB123" i="13"/>
  <c r="AA123" i="13"/>
  <c r="Z123" i="13"/>
  <c r="Y123" i="13"/>
  <c r="X123" i="13"/>
  <c r="W123" i="13"/>
  <c r="P123" i="13"/>
  <c r="O123" i="13"/>
  <c r="N123" i="13"/>
  <c r="M123" i="13"/>
  <c r="AI122" i="13"/>
  <c r="AH122" i="13"/>
  <c r="W122" i="13"/>
  <c r="AI121" i="13"/>
  <c r="AT121" i="13" s="1"/>
  <c r="AH121" i="13"/>
  <c r="AF121" i="13"/>
  <c r="AE121" i="13"/>
  <c r="AD121" i="13"/>
  <c r="AA121" i="13"/>
  <c r="Z121" i="13"/>
  <c r="Y121" i="13"/>
  <c r="X121" i="13"/>
  <c r="W121" i="13"/>
  <c r="P121" i="13"/>
  <c r="O121" i="13"/>
  <c r="N121" i="13"/>
  <c r="AO121" i="13" s="1"/>
  <c r="M121" i="13"/>
  <c r="AT120" i="13"/>
  <c r="AI120" i="13"/>
  <c r="AH120" i="13"/>
  <c r="AF120" i="13"/>
  <c r="AE120" i="13"/>
  <c r="AA120" i="13"/>
  <c r="Z120" i="13"/>
  <c r="Y120" i="13"/>
  <c r="X120" i="13"/>
  <c r="W120" i="13"/>
  <c r="P120" i="13"/>
  <c r="O120" i="13"/>
  <c r="N120" i="13"/>
  <c r="M120" i="13"/>
  <c r="AI119" i="13"/>
  <c r="AH119" i="13"/>
  <c r="AF119" i="13"/>
  <c r="AE119" i="13"/>
  <c r="AB119" i="13"/>
  <c r="AA119" i="13"/>
  <c r="Z119" i="13"/>
  <c r="Y119" i="13"/>
  <c r="X119" i="13"/>
  <c r="W119" i="13"/>
  <c r="P119" i="13"/>
  <c r="O119" i="13"/>
  <c r="N119" i="13"/>
  <c r="M119" i="13"/>
  <c r="AT118" i="13"/>
  <c r="AI118" i="13"/>
  <c r="AH118" i="13"/>
  <c r="AF118" i="13"/>
  <c r="AE118" i="13"/>
  <c r="AC118" i="13"/>
  <c r="AB118" i="13"/>
  <c r="AA118" i="13"/>
  <c r="Z118" i="13"/>
  <c r="Y118" i="13"/>
  <c r="X118" i="13"/>
  <c r="W118" i="13"/>
  <c r="P118" i="13"/>
  <c r="O118" i="13"/>
  <c r="N118" i="13"/>
  <c r="M118" i="13"/>
  <c r="AI117" i="13"/>
  <c r="AH117" i="13"/>
  <c r="W117" i="13"/>
  <c r="AT116" i="13"/>
  <c r="AI116" i="13"/>
  <c r="AH116" i="13"/>
  <c r="AF116" i="13"/>
  <c r="AE116" i="13"/>
  <c r="AA116" i="13"/>
  <c r="Z116" i="13"/>
  <c r="Y116" i="13"/>
  <c r="X116" i="13"/>
  <c r="W116" i="13"/>
  <c r="P116" i="13"/>
  <c r="O116" i="13"/>
  <c r="N116" i="13"/>
  <c r="M116" i="13"/>
  <c r="AI115" i="13"/>
  <c r="AH115" i="13"/>
  <c r="AF115" i="13"/>
  <c r="AE115" i="13"/>
  <c r="AB115" i="13"/>
  <c r="AA115" i="13"/>
  <c r="Z115" i="13"/>
  <c r="Y115" i="13"/>
  <c r="X115" i="13"/>
  <c r="W115" i="13"/>
  <c r="P115" i="13"/>
  <c r="O115" i="13"/>
  <c r="N115" i="13"/>
  <c r="M115" i="13"/>
  <c r="AT114" i="13"/>
  <c r="AI114" i="13"/>
  <c r="AN114" i="13" s="1"/>
  <c r="AH114" i="13"/>
  <c r="AF114" i="13"/>
  <c r="AE114" i="13"/>
  <c r="AC114" i="13"/>
  <c r="AB114" i="13"/>
  <c r="AA114" i="13"/>
  <c r="Z114" i="13"/>
  <c r="Y114" i="13"/>
  <c r="X114" i="13"/>
  <c r="W114" i="13"/>
  <c r="P114" i="13"/>
  <c r="O114" i="13"/>
  <c r="N114" i="13"/>
  <c r="M114" i="13"/>
  <c r="AT113" i="13"/>
  <c r="AI113" i="13"/>
  <c r="AH113" i="13"/>
  <c r="AF113" i="13"/>
  <c r="AE113" i="13"/>
  <c r="AD113" i="13"/>
  <c r="AC113" i="13"/>
  <c r="AB113" i="13"/>
  <c r="AA113" i="13"/>
  <c r="Z113" i="13"/>
  <c r="Y113" i="13"/>
  <c r="X113" i="13"/>
  <c r="W113" i="13"/>
  <c r="P113" i="13"/>
  <c r="O113" i="13"/>
  <c r="N113" i="13"/>
  <c r="AO113" i="13" s="1"/>
  <c r="M113" i="13"/>
  <c r="AI112" i="13"/>
  <c r="AH112" i="13"/>
  <c r="W112" i="13"/>
  <c r="AP111" i="13"/>
  <c r="AI111" i="13"/>
  <c r="AN111" i="13" s="1"/>
  <c r="AH111" i="13"/>
  <c r="AF111" i="13"/>
  <c r="AE111" i="13"/>
  <c r="AB111" i="13"/>
  <c r="AA111" i="13"/>
  <c r="Z111" i="13"/>
  <c r="Y111" i="13"/>
  <c r="X111" i="13"/>
  <c r="W111" i="13"/>
  <c r="P111" i="13"/>
  <c r="O111" i="13"/>
  <c r="N111" i="13"/>
  <c r="AO111" i="13" s="1"/>
  <c r="AV111" i="13" s="1"/>
  <c r="M111" i="13"/>
  <c r="AT110" i="13"/>
  <c r="AI110" i="13"/>
  <c r="AH110" i="13"/>
  <c r="AF110" i="13"/>
  <c r="AE110" i="13"/>
  <c r="AC110" i="13"/>
  <c r="AB110" i="13"/>
  <c r="AA110" i="13"/>
  <c r="Z110" i="13"/>
  <c r="Y110" i="13"/>
  <c r="X110" i="13"/>
  <c r="W110" i="13"/>
  <c r="P110" i="13"/>
  <c r="O110" i="13"/>
  <c r="N110" i="13"/>
  <c r="M110" i="13"/>
  <c r="AT109" i="13"/>
  <c r="AI109" i="13"/>
  <c r="AH109" i="13"/>
  <c r="AF109" i="13"/>
  <c r="AE109" i="13"/>
  <c r="AD109" i="13"/>
  <c r="AC109" i="13"/>
  <c r="AB109" i="13"/>
  <c r="AA109" i="13"/>
  <c r="Z109" i="13"/>
  <c r="Y109" i="13"/>
  <c r="X109" i="13"/>
  <c r="W109" i="13"/>
  <c r="P109" i="13"/>
  <c r="O109" i="13"/>
  <c r="N109" i="13"/>
  <c r="M109" i="13"/>
  <c r="AT108" i="13"/>
  <c r="AI108" i="13"/>
  <c r="AH108" i="13"/>
  <c r="AF108" i="13"/>
  <c r="AE108" i="13"/>
  <c r="AD108" i="13"/>
  <c r="AC108" i="13"/>
  <c r="AA108" i="13"/>
  <c r="Z108" i="13"/>
  <c r="Y108" i="13"/>
  <c r="X108" i="13"/>
  <c r="W108" i="13"/>
  <c r="P108" i="13"/>
  <c r="O108" i="13"/>
  <c r="N108" i="13"/>
  <c r="M108" i="13"/>
  <c r="AI107" i="13"/>
  <c r="AT107" i="13" s="1"/>
  <c r="AH107" i="13"/>
  <c r="AF107" i="13"/>
  <c r="AE107" i="13"/>
  <c r="AD107" i="13"/>
  <c r="AA107" i="13"/>
  <c r="Z107" i="13"/>
  <c r="Y107" i="13"/>
  <c r="X107" i="13"/>
  <c r="W107" i="13"/>
  <c r="P107" i="13"/>
  <c r="O107" i="13"/>
  <c r="N107" i="13"/>
  <c r="M107" i="13"/>
  <c r="AT106" i="13"/>
  <c r="AI106" i="13"/>
  <c r="AH106" i="13"/>
  <c r="AF106" i="13"/>
  <c r="AE106" i="13"/>
  <c r="AA106" i="13"/>
  <c r="Z106" i="13"/>
  <c r="Y106" i="13"/>
  <c r="X106" i="13"/>
  <c r="W106" i="13"/>
  <c r="P106" i="13"/>
  <c r="O106" i="13"/>
  <c r="N106" i="13"/>
  <c r="M106" i="13"/>
  <c r="AI105" i="13"/>
  <c r="AH105" i="13"/>
  <c r="W105" i="13"/>
  <c r="AT104" i="13"/>
  <c r="AI104" i="13"/>
  <c r="AH104" i="13"/>
  <c r="AF104" i="13"/>
  <c r="AE104" i="13"/>
  <c r="AD104" i="13"/>
  <c r="AC104" i="13"/>
  <c r="AA104" i="13"/>
  <c r="Z104" i="13"/>
  <c r="Y104" i="13"/>
  <c r="X104" i="13"/>
  <c r="W104" i="13"/>
  <c r="P104" i="13"/>
  <c r="O104" i="13"/>
  <c r="N104" i="13"/>
  <c r="M104" i="13"/>
  <c r="AP103" i="13"/>
  <c r="AI103" i="13"/>
  <c r="AT103" i="13" s="1"/>
  <c r="AH103" i="13"/>
  <c r="AF103" i="13"/>
  <c r="AE103" i="13"/>
  <c r="AD103" i="13"/>
  <c r="AA103" i="13"/>
  <c r="Z103" i="13"/>
  <c r="Y103" i="13"/>
  <c r="X103" i="13"/>
  <c r="W103" i="13"/>
  <c r="P103" i="13"/>
  <c r="O103" i="13"/>
  <c r="AQ103" i="13" s="1"/>
  <c r="N103" i="13"/>
  <c r="M103" i="13"/>
  <c r="AI102" i="13"/>
  <c r="AH102" i="13"/>
  <c r="W102" i="13"/>
  <c r="AU101" i="13"/>
  <c r="AT101" i="13"/>
  <c r="AP101" i="13"/>
  <c r="AI101" i="13"/>
  <c r="AH101" i="13"/>
  <c r="AF101" i="13"/>
  <c r="AE101" i="13"/>
  <c r="AD101" i="13"/>
  <c r="AC101" i="13"/>
  <c r="AB101" i="13"/>
  <c r="AA101" i="13"/>
  <c r="Z101" i="13"/>
  <c r="Y101" i="13"/>
  <c r="X101" i="13"/>
  <c r="W101" i="13"/>
  <c r="P101" i="13"/>
  <c r="O101" i="13"/>
  <c r="N101" i="13"/>
  <c r="AO101" i="13" s="1"/>
  <c r="AV101" i="13" s="1"/>
  <c r="M101" i="13"/>
  <c r="AT100" i="13"/>
  <c r="AP100" i="13"/>
  <c r="AO100" i="13"/>
  <c r="AV100" i="13" s="1"/>
  <c r="AI100" i="13"/>
  <c r="AH100" i="13"/>
  <c r="AF100" i="13"/>
  <c r="AE100" i="13"/>
  <c r="AD100" i="13"/>
  <c r="AC100" i="13"/>
  <c r="AA100" i="13"/>
  <c r="Z100" i="13"/>
  <c r="Y100" i="13"/>
  <c r="X100" i="13"/>
  <c r="W100" i="13"/>
  <c r="P100" i="13"/>
  <c r="O100" i="13"/>
  <c r="N100" i="13"/>
  <c r="M100" i="13"/>
  <c r="AP99" i="13"/>
  <c r="AI99" i="13"/>
  <c r="AT99" i="13" s="1"/>
  <c r="AH99" i="13"/>
  <c r="AF99" i="13"/>
  <c r="AE99" i="13"/>
  <c r="AD99" i="13"/>
  <c r="AA99" i="13"/>
  <c r="Z99" i="13"/>
  <c r="Y99" i="13"/>
  <c r="X99" i="13"/>
  <c r="W99" i="13"/>
  <c r="P99" i="13"/>
  <c r="O99" i="13"/>
  <c r="N99" i="13"/>
  <c r="AC99" i="13" s="1"/>
  <c r="M99" i="13"/>
  <c r="AT98" i="13"/>
  <c r="AP98" i="13"/>
  <c r="AI98" i="13"/>
  <c r="AH98" i="13"/>
  <c r="AF98" i="13"/>
  <c r="AE98" i="13"/>
  <c r="AA98" i="13"/>
  <c r="Z98" i="13"/>
  <c r="Y98" i="13"/>
  <c r="X98" i="13"/>
  <c r="W98" i="13"/>
  <c r="P98" i="13"/>
  <c r="O98" i="13"/>
  <c r="AD98" i="13" s="1"/>
  <c r="N98" i="13"/>
  <c r="M98" i="13"/>
  <c r="AP97" i="13"/>
  <c r="AI97" i="13"/>
  <c r="AH97" i="13"/>
  <c r="AF97" i="13"/>
  <c r="AE97" i="13"/>
  <c r="AB97" i="13"/>
  <c r="AA97" i="13"/>
  <c r="Z97" i="13"/>
  <c r="Y97" i="13"/>
  <c r="X97" i="13"/>
  <c r="W97" i="13"/>
  <c r="P97" i="13"/>
  <c r="O97" i="13"/>
  <c r="AD97" i="13" s="1"/>
  <c r="N97" i="13"/>
  <c r="AO97" i="13" s="1"/>
  <c r="AV97" i="13" s="1"/>
  <c r="M97" i="13"/>
  <c r="AP96" i="13"/>
  <c r="AO96" i="13"/>
  <c r="AV96" i="13" s="1"/>
  <c r="AJ96" i="13"/>
  <c r="AI96" i="13"/>
  <c r="AH96" i="13"/>
  <c r="AF96" i="13"/>
  <c r="AE96" i="13"/>
  <c r="AC96" i="13"/>
  <c r="AB96" i="13"/>
  <c r="AA96" i="13"/>
  <c r="Z96" i="13"/>
  <c r="Y96" i="13"/>
  <c r="X96" i="13"/>
  <c r="W96" i="13"/>
  <c r="P96" i="13"/>
  <c r="O96" i="13"/>
  <c r="AD96" i="13" s="1"/>
  <c r="N96" i="13"/>
  <c r="M96" i="13"/>
  <c r="AT95" i="13"/>
  <c r="AP95" i="13"/>
  <c r="AI95" i="13"/>
  <c r="AN95" i="13" s="1"/>
  <c r="AH95" i="13"/>
  <c r="AF95" i="13"/>
  <c r="AE95" i="13"/>
  <c r="AD95" i="13"/>
  <c r="AC95" i="13"/>
  <c r="AB95" i="13"/>
  <c r="AA95" i="13"/>
  <c r="Z95" i="13"/>
  <c r="Y95" i="13"/>
  <c r="X95" i="13"/>
  <c r="W95" i="13"/>
  <c r="P95" i="13"/>
  <c r="O95" i="13"/>
  <c r="N95" i="13"/>
  <c r="AO95" i="13" s="1"/>
  <c r="AV95" i="13" s="1"/>
  <c r="M95" i="13"/>
  <c r="AT94" i="13"/>
  <c r="AP94" i="13"/>
  <c r="AO94" i="13"/>
  <c r="AV94" i="13" s="1"/>
  <c r="AI94" i="13"/>
  <c r="AH94" i="13"/>
  <c r="AF94" i="13"/>
  <c r="AE94" i="13"/>
  <c r="AD94" i="13"/>
  <c r="AC94" i="13"/>
  <c r="AA94" i="13"/>
  <c r="Z94" i="13"/>
  <c r="Y94" i="13"/>
  <c r="X94" i="13"/>
  <c r="W94" i="13"/>
  <c r="P94" i="13"/>
  <c r="O94" i="13"/>
  <c r="N94" i="13"/>
  <c r="M94" i="13"/>
  <c r="AI93" i="13"/>
  <c r="AH93" i="13"/>
  <c r="W93" i="13"/>
  <c r="AP92" i="13"/>
  <c r="AO92" i="13"/>
  <c r="AV92" i="13" s="1"/>
  <c r="AI92" i="13"/>
  <c r="AH92" i="13"/>
  <c r="AF92" i="13"/>
  <c r="AE92" i="13"/>
  <c r="AC92" i="13"/>
  <c r="AB92" i="13"/>
  <c r="AA92" i="13"/>
  <c r="Z92" i="13"/>
  <c r="Y92" i="13"/>
  <c r="X92" i="13"/>
  <c r="W92" i="13"/>
  <c r="P92" i="13"/>
  <c r="O92" i="13"/>
  <c r="AD92" i="13" s="1"/>
  <c r="N92" i="13"/>
  <c r="M92" i="13"/>
  <c r="AP91" i="13"/>
  <c r="AI91" i="13"/>
  <c r="AH91" i="13"/>
  <c r="AF91" i="13"/>
  <c r="AE91" i="13"/>
  <c r="AD91" i="13"/>
  <c r="AC91" i="13"/>
  <c r="AB91" i="13"/>
  <c r="AA91" i="13"/>
  <c r="Z91" i="13"/>
  <c r="Y91" i="13"/>
  <c r="X91" i="13"/>
  <c r="W91" i="13"/>
  <c r="P91" i="13"/>
  <c r="O91" i="13"/>
  <c r="N91" i="13"/>
  <c r="AO91" i="13" s="1"/>
  <c r="AV91" i="13" s="1"/>
  <c r="M91" i="13"/>
  <c r="AT90" i="13"/>
  <c r="AI90" i="13"/>
  <c r="AH90" i="13"/>
  <c r="AF90" i="13"/>
  <c r="AE90" i="13"/>
  <c r="AD90" i="13"/>
  <c r="AC90" i="13"/>
  <c r="AA90" i="13"/>
  <c r="Z90" i="13"/>
  <c r="Y90" i="13"/>
  <c r="X90" i="13"/>
  <c r="W90" i="13"/>
  <c r="P90" i="13"/>
  <c r="O90" i="13"/>
  <c r="N90" i="13"/>
  <c r="M90" i="13"/>
  <c r="AI89" i="13"/>
  <c r="AT89" i="13" s="1"/>
  <c r="AH89" i="13"/>
  <c r="AF89" i="13"/>
  <c r="AE89" i="13"/>
  <c r="AD89" i="13"/>
  <c r="AA89" i="13"/>
  <c r="Z89" i="13"/>
  <c r="Y89" i="13"/>
  <c r="X89" i="13"/>
  <c r="W89" i="13"/>
  <c r="P89" i="13"/>
  <c r="O89" i="13"/>
  <c r="N89" i="13"/>
  <c r="M89" i="13"/>
  <c r="AI88" i="13"/>
  <c r="AH88" i="13"/>
  <c r="W88" i="13"/>
  <c r="AT87" i="13"/>
  <c r="AI87" i="13"/>
  <c r="AN87" i="13" s="1"/>
  <c r="AH87" i="13"/>
  <c r="AF87" i="13"/>
  <c r="AE87" i="13"/>
  <c r="AD87" i="13"/>
  <c r="AC87" i="13"/>
  <c r="AB87" i="13"/>
  <c r="AA87" i="13"/>
  <c r="Z87" i="13"/>
  <c r="Y87" i="13"/>
  <c r="X87" i="13"/>
  <c r="W87" i="13"/>
  <c r="P87" i="13"/>
  <c r="O87" i="13"/>
  <c r="N87" i="13"/>
  <c r="AO87" i="13" s="1"/>
  <c r="M87" i="13"/>
  <c r="AT86" i="13"/>
  <c r="AP86" i="13"/>
  <c r="AO86" i="13"/>
  <c r="AV86" i="13" s="1"/>
  <c r="AI86" i="13"/>
  <c r="AH86" i="13"/>
  <c r="AF86" i="13"/>
  <c r="AE86" i="13"/>
  <c r="AD86" i="13"/>
  <c r="AC86" i="13"/>
  <c r="AA86" i="13"/>
  <c r="Z86" i="13"/>
  <c r="Y86" i="13"/>
  <c r="X86" i="13"/>
  <c r="W86" i="13"/>
  <c r="P86" i="13"/>
  <c r="O86" i="13"/>
  <c r="N86" i="13"/>
  <c r="M86" i="13"/>
  <c r="AP85" i="13"/>
  <c r="AI85" i="13"/>
  <c r="AT85" i="13" s="1"/>
  <c r="AH85" i="13"/>
  <c r="AF85" i="13"/>
  <c r="AE85" i="13"/>
  <c r="AD85" i="13"/>
  <c r="AA85" i="13"/>
  <c r="Z85" i="13"/>
  <c r="Y85" i="13"/>
  <c r="X85" i="13"/>
  <c r="W85" i="13"/>
  <c r="P85" i="13"/>
  <c r="O85" i="13"/>
  <c r="N85" i="13"/>
  <c r="AC85" i="13" s="1"/>
  <c r="M85" i="13"/>
  <c r="AT84" i="13"/>
  <c r="AP84" i="13"/>
  <c r="AI84" i="13"/>
  <c r="AN84" i="13" s="1"/>
  <c r="AH84" i="13"/>
  <c r="AF84" i="13"/>
  <c r="AE84" i="13"/>
  <c r="AA84" i="13"/>
  <c r="Z84" i="13"/>
  <c r="Y84" i="13"/>
  <c r="X84" i="13"/>
  <c r="W84" i="13"/>
  <c r="P84" i="13"/>
  <c r="O84" i="13"/>
  <c r="AD84" i="13" s="1"/>
  <c r="N84" i="13"/>
  <c r="AC84" i="13" s="1"/>
  <c r="M84" i="13"/>
  <c r="AP83" i="13"/>
  <c r="AI83" i="13"/>
  <c r="AH83" i="13"/>
  <c r="AF83" i="13"/>
  <c r="AE83" i="13"/>
  <c r="AB83" i="13"/>
  <c r="AA83" i="13"/>
  <c r="Z83" i="13"/>
  <c r="Y83" i="13"/>
  <c r="X83" i="13"/>
  <c r="W83" i="13"/>
  <c r="P83" i="13"/>
  <c r="O83" i="13"/>
  <c r="AD83" i="13" s="1"/>
  <c r="N83" i="13"/>
  <c r="M83" i="13"/>
  <c r="AP82" i="13"/>
  <c r="AO82" i="13"/>
  <c r="AV82" i="13" s="1"/>
  <c r="AI82" i="13"/>
  <c r="AH82" i="13"/>
  <c r="AF82" i="13"/>
  <c r="AE82" i="13"/>
  <c r="AC82" i="13"/>
  <c r="AB82" i="13"/>
  <c r="AA82" i="13"/>
  <c r="Z82" i="13"/>
  <c r="Y82" i="13"/>
  <c r="X82" i="13"/>
  <c r="W82" i="13"/>
  <c r="P82" i="13"/>
  <c r="O82" i="13"/>
  <c r="N82" i="13"/>
  <c r="M82" i="13"/>
  <c r="AI81" i="13"/>
  <c r="AH81" i="13"/>
  <c r="W81" i="13"/>
  <c r="AT80" i="13"/>
  <c r="AP80" i="13"/>
  <c r="AI80" i="13"/>
  <c r="AH80" i="13"/>
  <c r="AF80" i="13"/>
  <c r="AE80" i="13"/>
  <c r="AA80" i="13"/>
  <c r="Z80" i="13"/>
  <c r="Y80" i="13"/>
  <c r="X80" i="13"/>
  <c r="W80" i="13"/>
  <c r="P80" i="13"/>
  <c r="O80" i="13"/>
  <c r="AD80" i="13" s="1"/>
  <c r="N80" i="13"/>
  <c r="AO80" i="13" s="1"/>
  <c r="AV80" i="13" s="1"/>
  <c r="M80" i="13"/>
  <c r="AP79" i="13"/>
  <c r="AI79" i="13"/>
  <c r="AH79" i="13"/>
  <c r="AF79" i="13"/>
  <c r="AE79" i="13"/>
  <c r="AB79" i="13"/>
  <c r="AA79" i="13"/>
  <c r="Z79" i="13"/>
  <c r="Y79" i="13"/>
  <c r="X79" i="13"/>
  <c r="W79" i="13"/>
  <c r="P79" i="13"/>
  <c r="O79" i="13"/>
  <c r="N79" i="13"/>
  <c r="M79" i="13"/>
  <c r="AI78" i="13"/>
  <c r="AH78" i="13"/>
  <c r="W78" i="13"/>
  <c r="AI77" i="13"/>
  <c r="AH77" i="13"/>
  <c r="AF77" i="13"/>
  <c r="AE77" i="13"/>
  <c r="AD77" i="13"/>
  <c r="AB77" i="13"/>
  <c r="AA77" i="13"/>
  <c r="Z77" i="13"/>
  <c r="Y77" i="13"/>
  <c r="X77" i="13"/>
  <c r="W77" i="13"/>
  <c r="P77" i="13"/>
  <c r="O77" i="13"/>
  <c r="N77" i="13"/>
  <c r="AC77" i="13" s="1"/>
  <c r="M77" i="13"/>
  <c r="AT76" i="13"/>
  <c r="AP76" i="13"/>
  <c r="AI76" i="13"/>
  <c r="AH76" i="13"/>
  <c r="AF76" i="13"/>
  <c r="AE76" i="13"/>
  <c r="AC76" i="13"/>
  <c r="AA76" i="13"/>
  <c r="Z76" i="13"/>
  <c r="Y76" i="13"/>
  <c r="X76" i="13"/>
  <c r="W76" i="13"/>
  <c r="P76" i="13"/>
  <c r="O76" i="13"/>
  <c r="AD76" i="13" s="1"/>
  <c r="N76" i="13"/>
  <c r="M76" i="13"/>
  <c r="AI75" i="13"/>
  <c r="AN75" i="13" s="1"/>
  <c r="AH75" i="13"/>
  <c r="AF75" i="13"/>
  <c r="AE75" i="13"/>
  <c r="AB75" i="13"/>
  <c r="AA75" i="13"/>
  <c r="Z75" i="13"/>
  <c r="Y75" i="13"/>
  <c r="X75" i="13"/>
  <c r="W75" i="13"/>
  <c r="P75" i="13"/>
  <c r="O75" i="13"/>
  <c r="N75" i="13"/>
  <c r="M75" i="13"/>
  <c r="AI74" i="13"/>
  <c r="AT74" i="13" s="1"/>
  <c r="AH74" i="13"/>
  <c r="AF74" i="13"/>
  <c r="AE74" i="13"/>
  <c r="AC74" i="13"/>
  <c r="AB74" i="13"/>
  <c r="AA74" i="13"/>
  <c r="Z74" i="13"/>
  <c r="Y74" i="13"/>
  <c r="X74" i="13"/>
  <c r="W74" i="13"/>
  <c r="P74" i="13"/>
  <c r="O74" i="13"/>
  <c r="AD74" i="13" s="1"/>
  <c r="N74" i="13"/>
  <c r="M74" i="13"/>
  <c r="AT73" i="13"/>
  <c r="AR73" i="13"/>
  <c r="AP73" i="13"/>
  <c r="AI73" i="13"/>
  <c r="AN73" i="13" s="1"/>
  <c r="AH73" i="13"/>
  <c r="AF73" i="13"/>
  <c r="AE73" i="13"/>
  <c r="AD73" i="13"/>
  <c r="AB73" i="13"/>
  <c r="AA73" i="13"/>
  <c r="Z73" i="13"/>
  <c r="Y73" i="13"/>
  <c r="X73" i="13"/>
  <c r="W73" i="13"/>
  <c r="P73" i="13"/>
  <c r="O73" i="13"/>
  <c r="N73" i="13"/>
  <c r="M73" i="13"/>
  <c r="AT72" i="13"/>
  <c r="AO72" i="13"/>
  <c r="AI72" i="13"/>
  <c r="AH72" i="13"/>
  <c r="AF72" i="13"/>
  <c r="AE72" i="13"/>
  <c r="AD72" i="13"/>
  <c r="AC72" i="13"/>
  <c r="AA72" i="13"/>
  <c r="Z72" i="13"/>
  <c r="Y72" i="13"/>
  <c r="X72" i="13"/>
  <c r="W72" i="13"/>
  <c r="P72" i="13"/>
  <c r="O72" i="13"/>
  <c r="N72" i="13"/>
  <c r="M72" i="13"/>
  <c r="AI71" i="13"/>
  <c r="AH71" i="13"/>
  <c r="AF71" i="13"/>
  <c r="AE71" i="13"/>
  <c r="AD71" i="13"/>
  <c r="AB71" i="13"/>
  <c r="AA71" i="13"/>
  <c r="Z71" i="13"/>
  <c r="Y71" i="13"/>
  <c r="X71" i="13"/>
  <c r="W71" i="13"/>
  <c r="P71" i="13"/>
  <c r="O71" i="13"/>
  <c r="N71" i="13"/>
  <c r="AC71" i="13" s="1"/>
  <c r="M71" i="13"/>
  <c r="AT70" i="13"/>
  <c r="AP70" i="13"/>
  <c r="AI70" i="13"/>
  <c r="AH70" i="13"/>
  <c r="AF70" i="13"/>
  <c r="AE70" i="13"/>
  <c r="AC70" i="13"/>
  <c r="AA70" i="13"/>
  <c r="Z70" i="13"/>
  <c r="Y70" i="13"/>
  <c r="X70" i="13"/>
  <c r="W70" i="13"/>
  <c r="P70" i="13"/>
  <c r="O70" i="13"/>
  <c r="AD70" i="13" s="1"/>
  <c r="N70" i="13"/>
  <c r="M70" i="13"/>
  <c r="AR69" i="13"/>
  <c r="AI69" i="13"/>
  <c r="AN69" i="13" s="1"/>
  <c r="AH69" i="13"/>
  <c r="AF69" i="13"/>
  <c r="AE69" i="13"/>
  <c r="AB69" i="13"/>
  <c r="AA69" i="13"/>
  <c r="Z69" i="13"/>
  <c r="Y69" i="13"/>
  <c r="X69" i="13"/>
  <c r="W69" i="13"/>
  <c r="P69" i="13"/>
  <c r="O69" i="13"/>
  <c r="AQ69" i="13" s="1"/>
  <c r="N69" i="13"/>
  <c r="M69" i="13"/>
  <c r="AI68" i="13"/>
  <c r="AH68" i="13"/>
  <c r="W68" i="13"/>
  <c r="AR67" i="13"/>
  <c r="AP67" i="13"/>
  <c r="AI67" i="13"/>
  <c r="AN67" i="13" s="1"/>
  <c r="AH67" i="13"/>
  <c r="AF67" i="13"/>
  <c r="AE67" i="13"/>
  <c r="AD67" i="13"/>
  <c r="AA67" i="13"/>
  <c r="Z67" i="13"/>
  <c r="Y67" i="13"/>
  <c r="X67" i="13"/>
  <c r="W67" i="13"/>
  <c r="P67" i="13"/>
  <c r="O67" i="13"/>
  <c r="N67" i="13"/>
  <c r="AC67" i="13" s="1"/>
  <c r="M67" i="13"/>
  <c r="AB67" i="13" s="1"/>
  <c r="AI66" i="13"/>
  <c r="AH66" i="13"/>
  <c r="W66" i="13"/>
  <c r="AT65" i="13"/>
  <c r="AI65" i="13"/>
  <c r="AN65" i="13" s="1"/>
  <c r="AH65" i="13"/>
  <c r="AF65" i="13"/>
  <c r="AE65" i="13"/>
  <c r="AD65" i="13"/>
  <c r="AB65" i="13"/>
  <c r="AA65" i="13"/>
  <c r="Z65" i="13"/>
  <c r="Y65" i="13"/>
  <c r="X65" i="13"/>
  <c r="W65" i="13"/>
  <c r="P65" i="13"/>
  <c r="O65" i="13"/>
  <c r="N65" i="13"/>
  <c r="M65" i="13"/>
  <c r="AT64" i="13"/>
  <c r="AO64" i="13"/>
  <c r="AI64" i="13"/>
  <c r="AH64" i="13"/>
  <c r="AF64" i="13"/>
  <c r="AE64" i="13"/>
  <c r="AD64" i="13"/>
  <c r="AC64" i="13"/>
  <c r="AA64" i="13"/>
  <c r="Z64" i="13"/>
  <c r="Y64" i="13"/>
  <c r="X64" i="13"/>
  <c r="W64" i="13"/>
  <c r="P64" i="13"/>
  <c r="O64" i="13"/>
  <c r="N64" i="13"/>
  <c r="M64" i="13"/>
  <c r="AI63" i="13"/>
  <c r="AH63" i="13"/>
  <c r="AF63" i="13"/>
  <c r="AE63" i="13"/>
  <c r="AD63" i="13"/>
  <c r="AB63" i="13"/>
  <c r="AA63" i="13"/>
  <c r="Z63" i="13"/>
  <c r="Y63" i="13"/>
  <c r="X63" i="13"/>
  <c r="W63" i="13"/>
  <c r="P63" i="13"/>
  <c r="O63" i="13"/>
  <c r="AQ63" i="13" s="1"/>
  <c r="N63" i="13"/>
  <c r="AC63" i="13" s="1"/>
  <c r="M63" i="13"/>
  <c r="AT62" i="13"/>
  <c r="AP62" i="13"/>
  <c r="AI62" i="13"/>
  <c r="AH62" i="13"/>
  <c r="AF62" i="13"/>
  <c r="AE62" i="13"/>
  <c r="AC62" i="13"/>
  <c r="AA62" i="13"/>
  <c r="Z62" i="13"/>
  <c r="Y62" i="13"/>
  <c r="X62" i="13"/>
  <c r="W62" i="13"/>
  <c r="P62" i="13"/>
  <c r="O62" i="13"/>
  <c r="AD62" i="13" s="1"/>
  <c r="N62" i="13"/>
  <c r="M62" i="13"/>
  <c r="AI61" i="13"/>
  <c r="AN61" i="13" s="1"/>
  <c r="AH61" i="13"/>
  <c r="AF61" i="13"/>
  <c r="AE61" i="13"/>
  <c r="AB61" i="13"/>
  <c r="AA61" i="13"/>
  <c r="Z61" i="13"/>
  <c r="Y61" i="13"/>
  <c r="X61" i="13"/>
  <c r="W61" i="13"/>
  <c r="P61" i="13"/>
  <c r="O61" i="13"/>
  <c r="N61" i="13"/>
  <c r="M61" i="13"/>
  <c r="AI60" i="13"/>
  <c r="AH60" i="13"/>
  <c r="W60" i="13"/>
  <c r="AP59" i="13"/>
  <c r="AI59" i="13"/>
  <c r="AH59" i="13"/>
  <c r="AF59" i="13"/>
  <c r="AE59" i="13"/>
  <c r="AB59" i="13"/>
  <c r="AA59" i="13"/>
  <c r="Z59" i="13"/>
  <c r="Y59" i="13"/>
  <c r="X59" i="13"/>
  <c r="W59" i="13"/>
  <c r="P59" i="13"/>
  <c r="O59" i="13"/>
  <c r="N59" i="13"/>
  <c r="M59" i="13"/>
  <c r="AP58" i="13"/>
  <c r="AI58" i="13"/>
  <c r="AT58" i="13" s="1"/>
  <c r="AH58" i="13"/>
  <c r="AF58" i="13"/>
  <c r="AE58" i="13"/>
  <c r="AC58" i="13"/>
  <c r="AB58" i="13"/>
  <c r="AA58" i="13"/>
  <c r="Z58" i="13"/>
  <c r="Y58" i="13"/>
  <c r="X58" i="13"/>
  <c r="W58" i="13"/>
  <c r="P58" i="13"/>
  <c r="O58" i="13"/>
  <c r="AD58" i="13" s="1"/>
  <c r="N58" i="13"/>
  <c r="AO58" i="13" s="1"/>
  <c r="AV58" i="13" s="1"/>
  <c r="M58" i="13"/>
  <c r="AI57" i="13"/>
  <c r="AH57" i="13"/>
  <c r="W57" i="13"/>
  <c r="AT56" i="13"/>
  <c r="AP56" i="13"/>
  <c r="AO56" i="13"/>
  <c r="AV56" i="13" s="1"/>
  <c r="AI56" i="13"/>
  <c r="AH56" i="13"/>
  <c r="AF56" i="13"/>
  <c r="AE56" i="13"/>
  <c r="AA56" i="13"/>
  <c r="Z56" i="13"/>
  <c r="Y56" i="13"/>
  <c r="X56" i="13"/>
  <c r="W56" i="13"/>
  <c r="P56" i="13"/>
  <c r="O56" i="13"/>
  <c r="N56" i="13"/>
  <c r="AC56" i="13" s="1"/>
  <c r="M56" i="13"/>
  <c r="AP55" i="13"/>
  <c r="AI55" i="13"/>
  <c r="AN55" i="13" s="1"/>
  <c r="AH55" i="13"/>
  <c r="AF55" i="13"/>
  <c r="AE55" i="13"/>
  <c r="AB55" i="13"/>
  <c r="AA55" i="13"/>
  <c r="Z55" i="13"/>
  <c r="Y55" i="13"/>
  <c r="X55" i="13"/>
  <c r="W55" i="13"/>
  <c r="P55" i="13"/>
  <c r="O55" i="13"/>
  <c r="AQ55" i="13" s="1"/>
  <c r="N55" i="13"/>
  <c r="M55" i="13"/>
  <c r="AI54" i="13"/>
  <c r="AH54" i="13"/>
  <c r="W54" i="13"/>
  <c r="AU53" i="13"/>
  <c r="AT53" i="13"/>
  <c r="AN53" i="13"/>
  <c r="AI53" i="13"/>
  <c r="AH53" i="13"/>
  <c r="AF53" i="13"/>
  <c r="AE53" i="13"/>
  <c r="AD53" i="13"/>
  <c r="AA53" i="13"/>
  <c r="Z53" i="13"/>
  <c r="Y53" i="13"/>
  <c r="X53" i="13"/>
  <c r="W53" i="13"/>
  <c r="P53" i="13"/>
  <c r="O53" i="13"/>
  <c r="N53" i="13"/>
  <c r="AC53" i="13" s="1"/>
  <c r="M53" i="13"/>
  <c r="AT52" i="13"/>
  <c r="AO52" i="13"/>
  <c r="AI52" i="13"/>
  <c r="AH52" i="13"/>
  <c r="AF52" i="13"/>
  <c r="AE52" i="13"/>
  <c r="AA52" i="13"/>
  <c r="Z52" i="13"/>
  <c r="Y52" i="13"/>
  <c r="X52" i="13"/>
  <c r="W52" i="13"/>
  <c r="P52" i="13"/>
  <c r="O52" i="13"/>
  <c r="AQ52" i="13" s="1"/>
  <c r="N52" i="13"/>
  <c r="AC52" i="13" s="1"/>
  <c r="M52" i="13"/>
  <c r="AP51" i="13"/>
  <c r="AI51" i="13"/>
  <c r="AN51" i="13" s="1"/>
  <c r="AH51" i="13"/>
  <c r="AF51" i="13"/>
  <c r="AE51" i="13"/>
  <c r="AB51" i="13"/>
  <c r="AA51" i="13"/>
  <c r="Z51" i="13"/>
  <c r="Y51" i="13"/>
  <c r="X51" i="13"/>
  <c r="W51" i="13"/>
  <c r="P51" i="13"/>
  <c r="O51" i="13"/>
  <c r="N51" i="13"/>
  <c r="M51" i="13"/>
  <c r="AQ50" i="13"/>
  <c r="AI50" i="13"/>
  <c r="AT50" i="13" s="1"/>
  <c r="AH50" i="13"/>
  <c r="AF50" i="13"/>
  <c r="AE50" i="13"/>
  <c r="AC50" i="13"/>
  <c r="AB50" i="13"/>
  <c r="AA50" i="13"/>
  <c r="Z50" i="13"/>
  <c r="Y50" i="13"/>
  <c r="X50" i="13"/>
  <c r="W50" i="13"/>
  <c r="P50" i="13"/>
  <c r="O50" i="13"/>
  <c r="AD50" i="13" s="1"/>
  <c r="N50" i="13"/>
  <c r="AO50" i="13" s="1"/>
  <c r="M50" i="13"/>
  <c r="AI49" i="13"/>
  <c r="AH49" i="13"/>
  <c r="AF49" i="13"/>
  <c r="AE49" i="13"/>
  <c r="AD49" i="13"/>
  <c r="AC49" i="13"/>
  <c r="AB49" i="13"/>
  <c r="AA49" i="13"/>
  <c r="Z49" i="13"/>
  <c r="Y49" i="13"/>
  <c r="X49" i="13"/>
  <c r="W49" i="13"/>
  <c r="P49" i="13"/>
  <c r="O49" i="13"/>
  <c r="AQ49" i="13" s="1"/>
  <c r="N49" i="13"/>
  <c r="AO49" i="13" s="1"/>
  <c r="M49" i="13"/>
  <c r="AT48" i="13"/>
  <c r="AI48" i="13"/>
  <c r="AH48" i="13"/>
  <c r="AF48" i="13"/>
  <c r="AE48" i="13"/>
  <c r="AD48" i="13"/>
  <c r="AC48" i="13"/>
  <c r="AA48" i="13"/>
  <c r="Z48" i="13"/>
  <c r="Y48" i="13"/>
  <c r="X48" i="13"/>
  <c r="W48" i="13"/>
  <c r="P48" i="13"/>
  <c r="O48" i="13"/>
  <c r="N48" i="13"/>
  <c r="M48" i="13"/>
  <c r="AN47" i="13"/>
  <c r="AI47" i="13"/>
  <c r="AT47" i="13" s="1"/>
  <c r="AH47" i="13"/>
  <c r="AF47" i="13"/>
  <c r="AE47" i="13"/>
  <c r="AD47" i="13"/>
  <c r="AA47" i="13"/>
  <c r="Z47" i="13"/>
  <c r="Y47" i="13"/>
  <c r="X47" i="13"/>
  <c r="W47" i="13"/>
  <c r="P47" i="13"/>
  <c r="O47" i="13"/>
  <c r="N47" i="13"/>
  <c r="AC47" i="13" s="1"/>
  <c r="M47" i="13"/>
  <c r="AT46" i="13"/>
  <c r="AO46" i="13"/>
  <c r="AI46" i="13"/>
  <c r="AH46" i="13"/>
  <c r="AF46" i="13"/>
  <c r="AE46" i="13"/>
  <c r="AA46" i="13"/>
  <c r="Z46" i="13"/>
  <c r="Y46" i="13"/>
  <c r="X46" i="13"/>
  <c r="W46" i="13"/>
  <c r="P46" i="13"/>
  <c r="O46" i="13"/>
  <c r="N46" i="13"/>
  <c r="AC46" i="13" s="1"/>
  <c r="M46" i="13"/>
  <c r="AP45" i="13"/>
  <c r="AI45" i="13"/>
  <c r="AN45" i="13" s="1"/>
  <c r="AH45" i="13"/>
  <c r="AF45" i="13"/>
  <c r="AE45" i="13"/>
  <c r="AB45" i="13"/>
  <c r="AA45" i="13"/>
  <c r="Z45" i="13"/>
  <c r="Y45" i="13"/>
  <c r="X45" i="13"/>
  <c r="W45" i="13"/>
  <c r="P45" i="13"/>
  <c r="O45" i="13"/>
  <c r="N45" i="13"/>
  <c r="M45" i="13"/>
  <c r="AI44" i="13"/>
  <c r="AH44" i="13"/>
  <c r="W44" i="13"/>
  <c r="AP43" i="13"/>
  <c r="AO43" i="13"/>
  <c r="AV43" i="13" s="1"/>
  <c r="AN43" i="13"/>
  <c r="AI43" i="13"/>
  <c r="AT43" i="13" s="1"/>
  <c r="AH43" i="13"/>
  <c r="AF43" i="13"/>
  <c r="AE43" i="13"/>
  <c r="AD43" i="13"/>
  <c r="AA43" i="13"/>
  <c r="Z43" i="13"/>
  <c r="Y43" i="13"/>
  <c r="X43" i="13"/>
  <c r="W43" i="13"/>
  <c r="P43" i="13"/>
  <c r="O43" i="13"/>
  <c r="N43" i="13"/>
  <c r="AC43" i="13" s="1"/>
  <c r="M43" i="13"/>
  <c r="AR43" i="13" s="1"/>
  <c r="AT42" i="13"/>
  <c r="AO42" i="13"/>
  <c r="AI42" i="13"/>
  <c r="AH42" i="13"/>
  <c r="AF42" i="13"/>
  <c r="AE42" i="13"/>
  <c r="AA42" i="13"/>
  <c r="Z42" i="13"/>
  <c r="Y42" i="13"/>
  <c r="X42" i="13"/>
  <c r="W42" i="13"/>
  <c r="P42" i="13"/>
  <c r="O42" i="13"/>
  <c r="N42" i="13"/>
  <c r="AC42" i="13" s="1"/>
  <c r="M42" i="13"/>
  <c r="AI41" i="13"/>
  <c r="AH41" i="13"/>
  <c r="W41" i="13"/>
  <c r="AT40" i="13"/>
  <c r="AJ40" i="13"/>
  <c r="AI40" i="13"/>
  <c r="AH40" i="13"/>
  <c r="AF40" i="13"/>
  <c r="AE40" i="13"/>
  <c r="AD40" i="13"/>
  <c r="AC40" i="13"/>
  <c r="AA40" i="13"/>
  <c r="Z40" i="13"/>
  <c r="Y40" i="13"/>
  <c r="X40" i="13"/>
  <c r="W40" i="13"/>
  <c r="P40" i="13"/>
  <c r="O40" i="13"/>
  <c r="N40" i="13"/>
  <c r="M40" i="13"/>
  <c r="AR40" i="13" s="1"/>
  <c r="AN39" i="13"/>
  <c r="AI39" i="13"/>
  <c r="AT39" i="13" s="1"/>
  <c r="AH39" i="13"/>
  <c r="AF39" i="13"/>
  <c r="AE39" i="13"/>
  <c r="AD39" i="13"/>
  <c r="AA39" i="13"/>
  <c r="Z39" i="13"/>
  <c r="Y39" i="13"/>
  <c r="X39" i="13"/>
  <c r="W39" i="13"/>
  <c r="P39" i="13"/>
  <c r="O39" i="13"/>
  <c r="N39" i="13"/>
  <c r="AC39" i="13" s="1"/>
  <c r="M39" i="13"/>
  <c r="AI38" i="13"/>
  <c r="AH38" i="13"/>
  <c r="W38" i="13"/>
  <c r="AI37" i="13"/>
  <c r="AH37" i="13"/>
  <c r="AF37" i="13"/>
  <c r="AE37" i="13"/>
  <c r="AD37" i="13"/>
  <c r="AC37" i="13"/>
  <c r="AB37" i="13"/>
  <c r="AA37" i="13"/>
  <c r="Z37" i="13"/>
  <c r="Y37" i="13"/>
  <c r="X37" i="13"/>
  <c r="W37" i="13"/>
  <c r="P37" i="13"/>
  <c r="O37" i="13"/>
  <c r="N37" i="13"/>
  <c r="AO37" i="13" s="1"/>
  <c r="M37" i="13"/>
  <c r="AT36" i="13"/>
  <c r="AI36" i="13"/>
  <c r="AH36" i="13"/>
  <c r="AF36" i="13"/>
  <c r="AE36" i="13"/>
  <c r="AD36" i="13"/>
  <c r="AC36" i="13"/>
  <c r="AA36" i="13"/>
  <c r="Z36" i="13"/>
  <c r="Y36" i="13"/>
  <c r="X36" i="13"/>
  <c r="W36" i="13"/>
  <c r="P36" i="13"/>
  <c r="O36" i="13"/>
  <c r="AQ36" i="13" s="1"/>
  <c r="N36" i="13"/>
  <c r="M36" i="13"/>
  <c r="AN35" i="13"/>
  <c r="AI35" i="13"/>
  <c r="AT35" i="13" s="1"/>
  <c r="AH35" i="13"/>
  <c r="AF35" i="13"/>
  <c r="AE35" i="13"/>
  <c r="AD35" i="13"/>
  <c r="AA35" i="13"/>
  <c r="Z35" i="13"/>
  <c r="Y35" i="13"/>
  <c r="X35" i="13"/>
  <c r="W35" i="13"/>
  <c r="P35" i="13"/>
  <c r="O35" i="13"/>
  <c r="N35" i="13"/>
  <c r="AC35" i="13" s="1"/>
  <c r="M35" i="13"/>
  <c r="AR35" i="13" s="1"/>
  <c r="AI34" i="13"/>
  <c r="AH34" i="13"/>
  <c r="W34" i="13"/>
  <c r="AI33" i="13"/>
  <c r="AH33" i="13"/>
  <c r="AF33" i="13"/>
  <c r="AE33" i="13"/>
  <c r="AD33" i="13"/>
  <c r="AC33" i="13"/>
  <c r="AB33" i="13"/>
  <c r="AA33" i="13"/>
  <c r="Z33" i="13"/>
  <c r="Y33" i="13"/>
  <c r="X33" i="13"/>
  <c r="W33" i="13"/>
  <c r="P33" i="13"/>
  <c r="O33" i="13"/>
  <c r="AQ33" i="13" s="1"/>
  <c r="N33" i="13"/>
  <c r="AO33" i="13" s="1"/>
  <c r="M33" i="13"/>
  <c r="AT32" i="13"/>
  <c r="AI32" i="13"/>
  <c r="AH32" i="13"/>
  <c r="AF32" i="13"/>
  <c r="AE32" i="13"/>
  <c r="AD32" i="13"/>
  <c r="AC32" i="13"/>
  <c r="AA32" i="13"/>
  <c r="Z32" i="13"/>
  <c r="Y32" i="13"/>
  <c r="X32" i="13"/>
  <c r="W32" i="13"/>
  <c r="P32" i="13"/>
  <c r="O32" i="13"/>
  <c r="N32" i="13"/>
  <c r="M32" i="13"/>
  <c r="AP31" i="13"/>
  <c r="AO31" i="13"/>
  <c r="AV31" i="13" s="1"/>
  <c r="AN31" i="13"/>
  <c r="AI31" i="13"/>
  <c r="AT31" i="13" s="1"/>
  <c r="AH31" i="13"/>
  <c r="AF31" i="13"/>
  <c r="AE31" i="13"/>
  <c r="AD31" i="13"/>
  <c r="AA31" i="13"/>
  <c r="Z31" i="13"/>
  <c r="Y31" i="13"/>
  <c r="X31" i="13"/>
  <c r="W31" i="13"/>
  <c r="P31" i="13"/>
  <c r="O31" i="13"/>
  <c r="N31" i="13"/>
  <c r="AC31" i="13" s="1"/>
  <c r="M31" i="13"/>
  <c r="AT30" i="13"/>
  <c r="AP30" i="13"/>
  <c r="AO30" i="13"/>
  <c r="AI30" i="13"/>
  <c r="AH30" i="13"/>
  <c r="AF30" i="13"/>
  <c r="AE30" i="13"/>
  <c r="AA30" i="13"/>
  <c r="Z30" i="13"/>
  <c r="Y30" i="13"/>
  <c r="X30" i="13"/>
  <c r="W30" i="13"/>
  <c r="P30" i="13"/>
  <c r="O30" i="13"/>
  <c r="N30" i="13"/>
  <c r="AC30" i="13" s="1"/>
  <c r="M30" i="13"/>
  <c r="AP29" i="13"/>
  <c r="AI29" i="13"/>
  <c r="AN29" i="13" s="1"/>
  <c r="AH29" i="13"/>
  <c r="AF29" i="13"/>
  <c r="AE29" i="13"/>
  <c r="AB29" i="13"/>
  <c r="AA29" i="13"/>
  <c r="Z29" i="13"/>
  <c r="Y29" i="13"/>
  <c r="X29" i="13"/>
  <c r="W29" i="13"/>
  <c r="P29" i="13"/>
  <c r="O29" i="13"/>
  <c r="N29" i="13"/>
  <c r="M29" i="13"/>
  <c r="AI28" i="13"/>
  <c r="AT28" i="13" s="1"/>
  <c r="AH28" i="13"/>
  <c r="AF28" i="13"/>
  <c r="AE28" i="13"/>
  <c r="AC28" i="13"/>
  <c r="AB28" i="13"/>
  <c r="AA28" i="13"/>
  <c r="Z28" i="13"/>
  <c r="Y28" i="13"/>
  <c r="X28" i="13"/>
  <c r="W28" i="13"/>
  <c r="P28" i="13"/>
  <c r="O28" i="13"/>
  <c r="AD28" i="13" s="1"/>
  <c r="N28" i="13"/>
  <c r="M28" i="13"/>
  <c r="AI27" i="13"/>
  <c r="AH27" i="13"/>
  <c r="AF27" i="13"/>
  <c r="AE27" i="13"/>
  <c r="AD27" i="13"/>
  <c r="AC27" i="13"/>
  <c r="AB27" i="13"/>
  <c r="AA27" i="13"/>
  <c r="Z27" i="13"/>
  <c r="Y27" i="13"/>
  <c r="X27" i="13"/>
  <c r="W27" i="13"/>
  <c r="P27" i="13"/>
  <c r="O27" i="13"/>
  <c r="N27" i="13"/>
  <c r="AO27" i="13" s="1"/>
  <c r="M27" i="13"/>
  <c r="AI26" i="13"/>
  <c r="AH26" i="13"/>
  <c r="W26" i="13"/>
  <c r="AP25" i="13"/>
  <c r="AI25" i="13"/>
  <c r="AN25" i="13" s="1"/>
  <c r="AH25" i="13"/>
  <c r="AF25" i="13"/>
  <c r="AE25" i="13"/>
  <c r="AB25" i="13"/>
  <c r="AA25" i="13"/>
  <c r="Z25" i="13"/>
  <c r="Y25" i="13"/>
  <c r="X25" i="13"/>
  <c r="W25" i="13"/>
  <c r="P25" i="13"/>
  <c r="O25" i="13"/>
  <c r="N25" i="13"/>
  <c r="M25" i="13"/>
  <c r="AI24" i="13"/>
  <c r="AT24" i="13" s="1"/>
  <c r="AH24" i="13"/>
  <c r="AF24" i="13"/>
  <c r="AE24" i="13"/>
  <c r="AC24" i="13"/>
  <c r="AB24" i="13"/>
  <c r="AA24" i="13"/>
  <c r="Z24" i="13"/>
  <c r="Y24" i="13"/>
  <c r="X24" i="13"/>
  <c r="W24" i="13"/>
  <c r="P24" i="13"/>
  <c r="O24" i="13"/>
  <c r="AD24" i="13" s="1"/>
  <c r="N24" i="13"/>
  <c r="M24" i="13"/>
  <c r="AI23" i="13"/>
  <c r="AH23" i="13"/>
  <c r="AF23" i="13"/>
  <c r="AE23" i="13"/>
  <c r="AD23" i="13"/>
  <c r="AC23" i="13"/>
  <c r="AB23" i="13"/>
  <c r="AA23" i="13"/>
  <c r="Z23" i="13"/>
  <c r="Y23" i="13"/>
  <c r="X23" i="13"/>
  <c r="W23" i="13"/>
  <c r="P23" i="13"/>
  <c r="O23" i="13"/>
  <c r="N23" i="13"/>
  <c r="AO23" i="13" s="1"/>
  <c r="M23" i="13"/>
  <c r="AT22" i="13"/>
  <c r="AN22" i="13"/>
  <c r="AJ22" i="13"/>
  <c r="AI22" i="13"/>
  <c r="AH22" i="13"/>
  <c r="AF22" i="13"/>
  <c r="AE22" i="13"/>
  <c r="AD22" i="13"/>
  <c r="AC22" i="13"/>
  <c r="AA22" i="13"/>
  <c r="Z22" i="13"/>
  <c r="Y22" i="13"/>
  <c r="X22" i="13"/>
  <c r="W22" i="13"/>
  <c r="P22" i="13"/>
  <c r="O22" i="13"/>
  <c r="N22" i="13"/>
  <c r="M22" i="13"/>
  <c r="AR22" i="13" s="1"/>
  <c r="AP21" i="13"/>
  <c r="AO21" i="13"/>
  <c r="AN21" i="13"/>
  <c r="AI21" i="13"/>
  <c r="AT21" i="13" s="1"/>
  <c r="AH21" i="13"/>
  <c r="AF21" i="13"/>
  <c r="AE21" i="13"/>
  <c r="AD21" i="13"/>
  <c r="AA21" i="13"/>
  <c r="Z21" i="13"/>
  <c r="Y21" i="13"/>
  <c r="X21" i="13"/>
  <c r="W21" i="13"/>
  <c r="P21" i="13"/>
  <c r="O21" i="13"/>
  <c r="N21" i="13"/>
  <c r="AC21" i="13" s="1"/>
  <c r="M21" i="13"/>
  <c r="AR21" i="13" s="1"/>
  <c r="AI20" i="13"/>
  <c r="AH20" i="13"/>
  <c r="W20" i="13"/>
  <c r="AI19" i="13"/>
  <c r="AH19" i="13"/>
  <c r="AF19" i="13"/>
  <c r="AE19" i="13"/>
  <c r="AD19" i="13"/>
  <c r="AC19" i="13"/>
  <c r="AB19" i="13"/>
  <c r="AA19" i="13"/>
  <c r="Z19" i="13"/>
  <c r="Y19" i="13"/>
  <c r="X19" i="13"/>
  <c r="W19" i="13"/>
  <c r="P19" i="13"/>
  <c r="O19" i="13"/>
  <c r="N19" i="13"/>
  <c r="AO19" i="13" s="1"/>
  <c r="M19" i="13"/>
  <c r="AT18" i="13"/>
  <c r="AO18" i="13"/>
  <c r="AN18" i="13"/>
  <c r="AI18" i="13"/>
  <c r="AH18" i="13"/>
  <c r="AF18" i="13"/>
  <c r="AE18" i="13"/>
  <c r="AD18" i="13"/>
  <c r="AC18" i="13"/>
  <c r="AA18" i="13"/>
  <c r="Z18" i="13"/>
  <c r="Y18" i="13"/>
  <c r="X18" i="13"/>
  <c r="W18" i="13"/>
  <c r="P18" i="13"/>
  <c r="O18" i="13"/>
  <c r="N18" i="13"/>
  <c r="M18" i="13"/>
  <c r="AR18" i="13" s="1"/>
  <c r="AP17" i="13"/>
  <c r="AO17" i="13"/>
  <c r="AN17" i="13"/>
  <c r="AI17" i="13"/>
  <c r="AT17" i="13" s="1"/>
  <c r="AH17" i="13"/>
  <c r="AF17" i="13"/>
  <c r="AE17" i="13"/>
  <c r="AD17" i="13"/>
  <c r="AA17" i="13"/>
  <c r="Z17" i="13"/>
  <c r="Y17" i="13"/>
  <c r="X17" i="13"/>
  <c r="W17" i="13"/>
  <c r="P17" i="13"/>
  <c r="O17" i="13"/>
  <c r="N17" i="13"/>
  <c r="AC17" i="13" s="1"/>
  <c r="M17" i="13"/>
  <c r="AR17" i="13" s="1"/>
  <c r="AI16" i="13"/>
  <c r="AH16" i="13"/>
  <c r="W16" i="13"/>
  <c r="AR15" i="13"/>
  <c r="AP15" i="13"/>
  <c r="AI15" i="13"/>
  <c r="AH15" i="13"/>
  <c r="AF15" i="13"/>
  <c r="AE15" i="13"/>
  <c r="AD15" i="13"/>
  <c r="AC15" i="13"/>
  <c r="AB15" i="13"/>
  <c r="AA15" i="13"/>
  <c r="Z15" i="13"/>
  <c r="Y15" i="13"/>
  <c r="X15" i="13"/>
  <c r="W15" i="13"/>
  <c r="P15" i="13"/>
  <c r="O15" i="13"/>
  <c r="N15" i="13"/>
  <c r="AO15" i="13" s="1"/>
  <c r="AV15" i="13" s="1"/>
  <c r="M15" i="13"/>
  <c r="AT14" i="13"/>
  <c r="AO14" i="13"/>
  <c r="AN14" i="13"/>
  <c r="AI14" i="13"/>
  <c r="AH14" i="13"/>
  <c r="AF14" i="13"/>
  <c r="AE14" i="13"/>
  <c r="AD14" i="13"/>
  <c r="AC14" i="13"/>
  <c r="AA14" i="13"/>
  <c r="Z14" i="13"/>
  <c r="Y14" i="13"/>
  <c r="X14" i="13"/>
  <c r="W14" i="13"/>
  <c r="P14" i="13"/>
  <c r="O14" i="13"/>
  <c r="N14" i="13"/>
  <c r="M14" i="13"/>
  <c r="AR14" i="13" s="1"/>
  <c r="AP13" i="13"/>
  <c r="AO13" i="13"/>
  <c r="AN13" i="13"/>
  <c r="AI13" i="13"/>
  <c r="AT13" i="13" s="1"/>
  <c r="AH13" i="13"/>
  <c r="AF13" i="13"/>
  <c r="AE13" i="13"/>
  <c r="AD13" i="13"/>
  <c r="AA13" i="13"/>
  <c r="Z13" i="13"/>
  <c r="Y13" i="13"/>
  <c r="X13" i="13"/>
  <c r="W13" i="13"/>
  <c r="P13" i="13"/>
  <c r="O13" i="13"/>
  <c r="N13" i="13"/>
  <c r="AC13" i="13" s="1"/>
  <c r="M13" i="13"/>
  <c r="AI12" i="13"/>
  <c r="AH12" i="13"/>
  <c r="W12" i="13"/>
  <c r="AT11" i="13"/>
  <c r="AR11" i="13"/>
  <c r="AP11" i="13"/>
  <c r="AI11" i="13"/>
  <c r="AN11" i="13" s="1"/>
  <c r="AH11" i="13"/>
  <c r="AF11" i="13"/>
  <c r="AE11" i="13"/>
  <c r="AD11" i="13"/>
  <c r="AC11" i="13"/>
  <c r="AB11" i="13"/>
  <c r="AA11" i="13"/>
  <c r="Z11" i="13"/>
  <c r="Y11" i="13"/>
  <c r="X11" i="13"/>
  <c r="W11" i="13"/>
  <c r="P11" i="13"/>
  <c r="O11" i="13"/>
  <c r="N11" i="13"/>
  <c r="AO11" i="13" s="1"/>
  <c r="M11" i="13"/>
  <c r="AT10" i="13"/>
  <c r="AO10" i="13"/>
  <c r="AN10" i="13"/>
  <c r="AI10" i="13"/>
  <c r="AH10" i="13"/>
  <c r="AF10" i="13"/>
  <c r="AE10" i="13"/>
  <c r="AD10" i="13"/>
  <c r="AC10" i="13"/>
  <c r="AA10" i="13"/>
  <c r="Z10" i="13"/>
  <c r="Y10" i="13"/>
  <c r="X10" i="13"/>
  <c r="W10" i="13"/>
  <c r="P10" i="13"/>
  <c r="O10" i="13"/>
  <c r="AQ10" i="13" s="1"/>
  <c r="N10" i="13"/>
  <c r="M10" i="13"/>
  <c r="AU9" i="13"/>
  <c r="AP9" i="13"/>
  <c r="AO9" i="13"/>
  <c r="AN9" i="13"/>
  <c r="AI9" i="13"/>
  <c r="AT9" i="13" s="1"/>
  <c r="AH9" i="13"/>
  <c r="AF9" i="13"/>
  <c r="AE9" i="13"/>
  <c r="AD9" i="13"/>
  <c r="AA9" i="13"/>
  <c r="Z9" i="13"/>
  <c r="Y9" i="13"/>
  <c r="X9" i="13"/>
  <c r="W9" i="13"/>
  <c r="P9" i="13"/>
  <c r="O9" i="13"/>
  <c r="N9" i="13"/>
  <c r="AC9" i="13" s="1"/>
  <c r="M9" i="13"/>
  <c r="AT8" i="13"/>
  <c r="AQ8" i="13"/>
  <c r="AP8" i="13"/>
  <c r="AI8" i="13"/>
  <c r="AN8" i="13" s="1"/>
  <c r="AH8" i="13"/>
  <c r="AF8" i="13"/>
  <c r="AE8" i="13"/>
  <c r="AA8" i="13"/>
  <c r="Z8" i="13"/>
  <c r="Y8" i="13"/>
  <c r="X8" i="13"/>
  <c r="W8" i="13"/>
  <c r="P8" i="13"/>
  <c r="O8" i="13"/>
  <c r="AD8" i="13" s="1"/>
  <c r="N8" i="13"/>
  <c r="AC8" i="13" s="1"/>
  <c r="M8" i="13"/>
  <c r="AR7" i="13"/>
  <c r="AP7" i="13"/>
  <c r="AI7" i="13"/>
  <c r="AH7" i="13"/>
  <c r="AF7" i="13"/>
  <c r="AE7" i="13"/>
  <c r="AB7" i="13"/>
  <c r="AA7" i="13"/>
  <c r="Z7" i="13"/>
  <c r="Y7" i="13"/>
  <c r="X7" i="13"/>
  <c r="W7" i="13"/>
  <c r="P7" i="13"/>
  <c r="O7" i="13"/>
  <c r="N7" i="13"/>
  <c r="M7" i="13"/>
  <c r="AT6" i="13"/>
  <c r="AR6" i="13"/>
  <c r="AJ6" i="13"/>
  <c r="AI6" i="13"/>
  <c r="AN6" i="13" s="1"/>
  <c r="AH6" i="13"/>
  <c r="AF6" i="13"/>
  <c r="AE6" i="13"/>
  <c r="AC6" i="13"/>
  <c r="AB6" i="13"/>
  <c r="AA6" i="13"/>
  <c r="Z6" i="13"/>
  <c r="Y6" i="13"/>
  <c r="X6" i="13"/>
  <c r="W6" i="13"/>
  <c r="P6" i="13"/>
  <c r="O6" i="13"/>
  <c r="AD6" i="13" s="1"/>
  <c r="N6" i="13"/>
  <c r="M6" i="13"/>
  <c r="AI5" i="13"/>
  <c r="AH5" i="13"/>
  <c r="W5" i="13"/>
  <c r="AI4" i="13"/>
  <c r="AP3" i="13"/>
  <c r="AO3" i="13"/>
  <c r="AI3" i="13"/>
  <c r="AH3" i="13"/>
  <c r="AN2" i="13"/>
  <c r="AN101" i="13" s="1"/>
  <c r="AM2" i="13"/>
  <c r="AL2" i="13"/>
  <c r="AK2" i="13"/>
  <c r="AJ2" i="13"/>
  <c r="AJ36" i="13" s="1"/>
  <c r="AA2" i="13"/>
  <c r="A2" i="13"/>
  <c r="AU1" i="13"/>
  <c r="AU47" i="13" s="1"/>
  <c r="AR1" i="13"/>
  <c r="AR75" i="13" s="1"/>
  <c r="AQ1" i="13"/>
  <c r="AQ28" i="13" s="1"/>
  <c r="AP1" i="13"/>
  <c r="AP75" i="13" s="1"/>
  <c r="AO1" i="13"/>
  <c r="AH1" i="13"/>
  <c r="AH2" i="13" s="1"/>
  <c r="AA1" i="13"/>
  <c r="A1" i="13"/>
  <c r="AJ1" i="13" s="1"/>
  <c r="AP104" i="12"/>
  <c r="AI104" i="12"/>
  <c r="AH104" i="12"/>
  <c r="AF104" i="12"/>
  <c r="AE104" i="12"/>
  <c r="AB104" i="12"/>
  <c r="AA104" i="12"/>
  <c r="Z104" i="12"/>
  <c r="Y104" i="12"/>
  <c r="X104" i="12"/>
  <c r="W104" i="12"/>
  <c r="P104" i="12"/>
  <c r="O104" i="12"/>
  <c r="AD104" i="12" s="1"/>
  <c r="N104" i="12"/>
  <c r="M104" i="12"/>
  <c r="AP103" i="12"/>
  <c r="AO103" i="12"/>
  <c r="AV103" i="12" s="1"/>
  <c r="AI103" i="12"/>
  <c r="AH103" i="12"/>
  <c r="AF103" i="12"/>
  <c r="AE103" i="12"/>
  <c r="AC103" i="12"/>
  <c r="AB103" i="12"/>
  <c r="AA103" i="12"/>
  <c r="Z103" i="12"/>
  <c r="Y103" i="12"/>
  <c r="X103" i="12"/>
  <c r="W103" i="12"/>
  <c r="P103" i="12"/>
  <c r="O103" i="12"/>
  <c r="AD103" i="12" s="1"/>
  <c r="N103" i="12"/>
  <c r="M103" i="12"/>
  <c r="AT102" i="12"/>
  <c r="AP102" i="12"/>
  <c r="AI102" i="12"/>
  <c r="AH102" i="12"/>
  <c r="AF102" i="12"/>
  <c r="AE102" i="12"/>
  <c r="AD102" i="12"/>
  <c r="AC102" i="12"/>
  <c r="AB102" i="12"/>
  <c r="AA102" i="12"/>
  <c r="Z102" i="12"/>
  <c r="Y102" i="12"/>
  <c r="X102" i="12"/>
  <c r="W102" i="12"/>
  <c r="P102" i="12"/>
  <c r="O102" i="12"/>
  <c r="N102" i="12"/>
  <c r="AO102" i="12" s="1"/>
  <c r="AV102" i="12" s="1"/>
  <c r="M102" i="12"/>
  <c r="AV101" i="12"/>
  <c r="AT101" i="12"/>
  <c r="AP101" i="12"/>
  <c r="AO101" i="12"/>
  <c r="AI101" i="12"/>
  <c r="AH101" i="12"/>
  <c r="AF101" i="12"/>
  <c r="AE101" i="12"/>
  <c r="AD101" i="12"/>
  <c r="AC101" i="12"/>
  <c r="AA101" i="12"/>
  <c r="Z101" i="12"/>
  <c r="Y101" i="12"/>
  <c r="X101" i="12"/>
  <c r="W101" i="12"/>
  <c r="P101" i="12"/>
  <c r="O101" i="12"/>
  <c r="N101" i="12"/>
  <c r="M101" i="12"/>
  <c r="AP100" i="12"/>
  <c r="AI100" i="12"/>
  <c r="AT100" i="12" s="1"/>
  <c r="AH100" i="12"/>
  <c r="AF100" i="12"/>
  <c r="AE100" i="12"/>
  <c r="AD100" i="12"/>
  <c r="AA100" i="12"/>
  <c r="Z100" i="12"/>
  <c r="Y100" i="12"/>
  <c r="X100" i="12"/>
  <c r="W100" i="12"/>
  <c r="P100" i="12"/>
  <c r="O100" i="12"/>
  <c r="N100" i="12"/>
  <c r="M100" i="12"/>
  <c r="AI99" i="12"/>
  <c r="AH99" i="12"/>
  <c r="W99" i="12"/>
  <c r="AT98" i="12"/>
  <c r="AP98" i="12"/>
  <c r="AI98" i="12"/>
  <c r="AH98" i="12"/>
  <c r="AF98" i="12"/>
  <c r="AE98" i="12"/>
  <c r="AD98" i="12"/>
  <c r="AC98" i="12"/>
  <c r="AB98" i="12"/>
  <c r="AA98" i="12"/>
  <c r="Z98" i="12"/>
  <c r="Y98" i="12"/>
  <c r="X98" i="12"/>
  <c r="W98" i="12"/>
  <c r="P98" i="12"/>
  <c r="O98" i="12"/>
  <c r="N98" i="12"/>
  <c r="AO98" i="12" s="1"/>
  <c r="AV98" i="12" s="1"/>
  <c r="M98" i="12"/>
  <c r="AI97" i="12"/>
  <c r="AH97" i="12"/>
  <c r="W97" i="12"/>
  <c r="AR96" i="12"/>
  <c r="AP96" i="12"/>
  <c r="AI96" i="12"/>
  <c r="AH96" i="12"/>
  <c r="AF96" i="12"/>
  <c r="AE96" i="12"/>
  <c r="AB96" i="12"/>
  <c r="AA96" i="12"/>
  <c r="Z96" i="12"/>
  <c r="Y96" i="12"/>
  <c r="X96" i="12"/>
  <c r="W96" i="12"/>
  <c r="P96" i="12"/>
  <c r="O96" i="12"/>
  <c r="AD96" i="12" s="1"/>
  <c r="N96" i="12"/>
  <c r="M96" i="12"/>
  <c r="AT95" i="12"/>
  <c r="AP95" i="12"/>
  <c r="AO95" i="12"/>
  <c r="AV95" i="12" s="1"/>
  <c r="AI95" i="12"/>
  <c r="AH95" i="12"/>
  <c r="AF95" i="12"/>
  <c r="AE95" i="12"/>
  <c r="AC95" i="12"/>
  <c r="AB95" i="12"/>
  <c r="AA95" i="12"/>
  <c r="Z95" i="12"/>
  <c r="Y95" i="12"/>
  <c r="X95" i="12"/>
  <c r="W95" i="12"/>
  <c r="P95" i="12"/>
  <c r="O95" i="12"/>
  <c r="N95" i="12"/>
  <c r="M95" i="12"/>
  <c r="AI94" i="12"/>
  <c r="AH94" i="12"/>
  <c r="W94" i="12"/>
  <c r="AT93" i="12"/>
  <c r="AI93" i="12"/>
  <c r="AH93" i="12"/>
  <c r="AF93" i="12"/>
  <c r="AE93" i="12"/>
  <c r="AA93" i="12"/>
  <c r="Z93" i="12"/>
  <c r="Y93" i="12"/>
  <c r="X93" i="12"/>
  <c r="W93" i="12"/>
  <c r="P93" i="12"/>
  <c r="O93" i="12"/>
  <c r="AD93" i="12" s="1"/>
  <c r="N93" i="12"/>
  <c r="M93" i="12"/>
  <c r="AP92" i="12"/>
  <c r="AI92" i="12"/>
  <c r="AH92" i="12"/>
  <c r="AF92" i="12"/>
  <c r="AE92" i="12"/>
  <c r="AD92" i="12"/>
  <c r="AB92" i="12"/>
  <c r="AA92" i="12"/>
  <c r="Z92" i="12"/>
  <c r="Y92" i="12"/>
  <c r="X92" i="12"/>
  <c r="W92" i="12"/>
  <c r="P92" i="12"/>
  <c r="O92" i="12"/>
  <c r="N92" i="12"/>
  <c r="M92" i="12"/>
  <c r="AI91" i="12"/>
  <c r="AH91" i="12"/>
  <c r="W91" i="12"/>
  <c r="AI90" i="12"/>
  <c r="AH90" i="12"/>
  <c r="AF90" i="12"/>
  <c r="AE90" i="12"/>
  <c r="AD90" i="12"/>
  <c r="AB90" i="12"/>
  <c r="AA90" i="12"/>
  <c r="Z90" i="12"/>
  <c r="Y90" i="12"/>
  <c r="X90" i="12"/>
  <c r="W90" i="12"/>
  <c r="P90" i="12"/>
  <c r="O90" i="12"/>
  <c r="N90" i="12"/>
  <c r="AC90" i="12" s="1"/>
  <c r="M90" i="12"/>
  <c r="AT89" i="12"/>
  <c r="AI89" i="12"/>
  <c r="AH89" i="12"/>
  <c r="AF89" i="12"/>
  <c r="AE89" i="12"/>
  <c r="AA89" i="12"/>
  <c r="Z89" i="12"/>
  <c r="Y89" i="12"/>
  <c r="X89" i="12"/>
  <c r="W89" i="12"/>
  <c r="P89" i="12"/>
  <c r="O89" i="12"/>
  <c r="AD89" i="12" s="1"/>
  <c r="N89" i="12"/>
  <c r="M89" i="12"/>
  <c r="AI88" i="12"/>
  <c r="AT88" i="12" s="1"/>
  <c r="AH88" i="12"/>
  <c r="AF88" i="12"/>
  <c r="AE88" i="12"/>
  <c r="AD88" i="12"/>
  <c r="AA88" i="12"/>
  <c r="Z88" i="12"/>
  <c r="Y88" i="12"/>
  <c r="X88" i="12"/>
  <c r="W88" i="12"/>
  <c r="P88" i="12"/>
  <c r="O88" i="12"/>
  <c r="N88" i="12"/>
  <c r="M88" i="12"/>
  <c r="AB88" i="12" s="1"/>
  <c r="AI87" i="12"/>
  <c r="AH87" i="12"/>
  <c r="AF87" i="12"/>
  <c r="AE87" i="12"/>
  <c r="AA87" i="12"/>
  <c r="Z87" i="12"/>
  <c r="Y87" i="12"/>
  <c r="X87" i="12"/>
  <c r="W87" i="12"/>
  <c r="P87" i="12"/>
  <c r="O87" i="12"/>
  <c r="AD87" i="12" s="1"/>
  <c r="N87" i="12"/>
  <c r="AC87" i="12" s="1"/>
  <c r="M87" i="12"/>
  <c r="AI86" i="12"/>
  <c r="AH86" i="12"/>
  <c r="W86" i="12"/>
  <c r="AT85" i="12"/>
  <c r="AP85" i="12"/>
  <c r="AI85" i="12"/>
  <c r="AH85" i="12"/>
  <c r="AF85" i="12"/>
  <c r="AE85" i="12"/>
  <c r="AD85" i="12"/>
  <c r="AC85" i="12"/>
  <c r="AA85" i="12"/>
  <c r="Z85" i="12"/>
  <c r="Y85" i="12"/>
  <c r="X85" i="12"/>
  <c r="W85" i="12"/>
  <c r="P85" i="12"/>
  <c r="O85" i="12"/>
  <c r="N85" i="12"/>
  <c r="AO85" i="12" s="1"/>
  <c r="AV85" i="12" s="1"/>
  <c r="M85" i="12"/>
  <c r="AU84" i="12"/>
  <c r="AT84" i="12"/>
  <c r="AI84" i="12"/>
  <c r="AH84" i="12"/>
  <c r="AF84" i="12"/>
  <c r="AE84" i="12"/>
  <c r="AD84" i="12"/>
  <c r="AA84" i="12"/>
  <c r="Z84" i="12"/>
  <c r="Y84" i="12"/>
  <c r="X84" i="12"/>
  <c r="W84" i="12"/>
  <c r="P84" i="12"/>
  <c r="O84" i="12"/>
  <c r="N84" i="12"/>
  <c r="AC84" i="12" s="1"/>
  <c r="M84" i="12"/>
  <c r="AI83" i="12"/>
  <c r="AH83" i="12"/>
  <c r="AF83" i="12"/>
  <c r="AE83" i="12"/>
  <c r="AA83" i="12"/>
  <c r="Z83" i="12"/>
  <c r="Y83" i="12"/>
  <c r="X83" i="12"/>
  <c r="W83" i="12"/>
  <c r="P83" i="12"/>
  <c r="O83" i="12"/>
  <c r="AD83" i="12" s="1"/>
  <c r="N83" i="12"/>
  <c r="AC83" i="12" s="1"/>
  <c r="M83" i="12"/>
  <c r="AT82" i="12"/>
  <c r="AP82" i="12"/>
  <c r="AI82" i="12"/>
  <c r="AH82" i="12"/>
  <c r="AF82" i="12"/>
  <c r="AE82" i="12"/>
  <c r="AB82" i="12"/>
  <c r="AA82" i="12"/>
  <c r="Z82" i="12"/>
  <c r="Y82" i="12"/>
  <c r="X82" i="12"/>
  <c r="W82" i="12"/>
  <c r="P82" i="12"/>
  <c r="O82" i="12"/>
  <c r="AD82" i="12" s="1"/>
  <c r="N82" i="12"/>
  <c r="M82" i="12"/>
  <c r="AI81" i="12"/>
  <c r="AH81" i="12"/>
  <c r="W81" i="12"/>
  <c r="AT80" i="12"/>
  <c r="AI80" i="12"/>
  <c r="AH80" i="12"/>
  <c r="AF80" i="12"/>
  <c r="AE80" i="12"/>
  <c r="AD80" i="12"/>
  <c r="AA80" i="12"/>
  <c r="Z80" i="12"/>
  <c r="Y80" i="12"/>
  <c r="X80" i="12"/>
  <c r="W80" i="12"/>
  <c r="P80" i="12"/>
  <c r="O80" i="12"/>
  <c r="N80" i="12"/>
  <c r="AC80" i="12" s="1"/>
  <c r="M80" i="12"/>
  <c r="AI79" i="12"/>
  <c r="AH79" i="12"/>
  <c r="AF79" i="12"/>
  <c r="AE79" i="12"/>
  <c r="AA79" i="12"/>
  <c r="Z79" i="12"/>
  <c r="Y79" i="12"/>
  <c r="X79" i="12"/>
  <c r="W79" i="12"/>
  <c r="P79" i="12"/>
  <c r="O79" i="12"/>
  <c r="AD79" i="12" s="1"/>
  <c r="N79" i="12"/>
  <c r="AC79" i="12" s="1"/>
  <c r="M79" i="12"/>
  <c r="AT78" i="12"/>
  <c r="AP78" i="12"/>
  <c r="AI78" i="12"/>
  <c r="AH78" i="12"/>
  <c r="AF78" i="12"/>
  <c r="AE78" i="12"/>
  <c r="AB78" i="12"/>
  <c r="AA78" i="12"/>
  <c r="Z78" i="12"/>
  <c r="Y78" i="12"/>
  <c r="X78" i="12"/>
  <c r="W78" i="12"/>
  <c r="P78" i="12"/>
  <c r="O78" i="12"/>
  <c r="AD78" i="12" s="1"/>
  <c r="N78" i="12"/>
  <c r="M78" i="12"/>
  <c r="AI77" i="12"/>
  <c r="AH77" i="12"/>
  <c r="W77" i="12"/>
  <c r="AU76" i="12"/>
  <c r="AT76" i="12"/>
  <c r="AI76" i="12"/>
  <c r="AH76" i="12"/>
  <c r="AF76" i="12"/>
  <c r="AE76" i="12"/>
  <c r="AD76" i="12"/>
  <c r="AA76" i="12"/>
  <c r="Z76" i="12"/>
  <c r="Y76" i="12"/>
  <c r="X76" i="12"/>
  <c r="W76" i="12"/>
  <c r="P76" i="12"/>
  <c r="O76" i="12"/>
  <c r="N76" i="12"/>
  <c r="AC76" i="12" s="1"/>
  <c r="M76" i="12"/>
  <c r="AI75" i="12"/>
  <c r="AH75" i="12"/>
  <c r="AF75" i="12"/>
  <c r="AE75" i="12"/>
  <c r="AA75" i="12"/>
  <c r="Z75" i="12"/>
  <c r="Y75" i="12"/>
  <c r="X75" i="12"/>
  <c r="W75" i="12"/>
  <c r="P75" i="12"/>
  <c r="O75" i="12"/>
  <c r="AD75" i="12" s="1"/>
  <c r="N75" i="12"/>
  <c r="AC75" i="12" s="1"/>
  <c r="M75" i="12"/>
  <c r="AT74" i="12"/>
  <c r="AI74" i="12"/>
  <c r="AH74" i="12"/>
  <c r="AF74" i="12"/>
  <c r="AE74" i="12"/>
  <c r="AB74" i="12"/>
  <c r="AA74" i="12"/>
  <c r="Z74" i="12"/>
  <c r="Y74" i="12"/>
  <c r="X74" i="12"/>
  <c r="W74" i="12"/>
  <c r="P74" i="12"/>
  <c r="O74" i="12"/>
  <c r="AD74" i="12" s="1"/>
  <c r="N74" i="12"/>
  <c r="M74" i="12"/>
  <c r="AI73" i="12"/>
  <c r="AH73" i="12"/>
  <c r="W73" i="12"/>
  <c r="AT72" i="12"/>
  <c r="AI72" i="12"/>
  <c r="AH72" i="12"/>
  <c r="AF72" i="12"/>
  <c r="AE72" i="12"/>
  <c r="AD72" i="12"/>
  <c r="AA72" i="12"/>
  <c r="Z72" i="12"/>
  <c r="Y72" i="12"/>
  <c r="X72" i="12"/>
  <c r="W72" i="12"/>
  <c r="P72" i="12"/>
  <c r="O72" i="12"/>
  <c r="N72" i="12"/>
  <c r="AC72" i="12" s="1"/>
  <c r="M72" i="12"/>
  <c r="AI71" i="12"/>
  <c r="AH71" i="12"/>
  <c r="AF71" i="12"/>
  <c r="AE71" i="12"/>
  <c r="AA71" i="12"/>
  <c r="Z71" i="12"/>
  <c r="Y71" i="12"/>
  <c r="X71" i="12"/>
  <c r="W71" i="12"/>
  <c r="P71" i="12"/>
  <c r="O71" i="12"/>
  <c r="AD71" i="12" s="1"/>
  <c r="N71" i="12"/>
  <c r="AC71" i="12" s="1"/>
  <c r="M71" i="12"/>
  <c r="AP70" i="12"/>
  <c r="AI70" i="12"/>
  <c r="AH70" i="12"/>
  <c r="AF70" i="12"/>
  <c r="AE70" i="12"/>
  <c r="AB70" i="12"/>
  <c r="AA70" i="12"/>
  <c r="Z70" i="12"/>
  <c r="Y70" i="12"/>
  <c r="X70" i="12"/>
  <c r="W70" i="12"/>
  <c r="P70" i="12"/>
  <c r="O70" i="12"/>
  <c r="AD70" i="12" s="1"/>
  <c r="N70" i="12"/>
  <c r="M70" i="12"/>
  <c r="AT69" i="12"/>
  <c r="AI69" i="12"/>
  <c r="AH69" i="12"/>
  <c r="AF69" i="12"/>
  <c r="AE69" i="12"/>
  <c r="AC69" i="12"/>
  <c r="AB69" i="12"/>
  <c r="AA69" i="12"/>
  <c r="Z69" i="12"/>
  <c r="Y69" i="12"/>
  <c r="X69" i="12"/>
  <c r="W69" i="12"/>
  <c r="P69" i="12"/>
  <c r="O69" i="12"/>
  <c r="AD69" i="12" s="1"/>
  <c r="N69" i="12"/>
  <c r="M69" i="12"/>
  <c r="AI68" i="12"/>
  <c r="AH68" i="12"/>
  <c r="W68" i="12"/>
  <c r="AP67" i="12"/>
  <c r="AO67" i="12"/>
  <c r="AV67" i="12" s="1"/>
  <c r="AI67" i="12"/>
  <c r="AH67" i="12"/>
  <c r="AF67" i="12"/>
  <c r="AE67" i="12"/>
  <c r="AA67" i="12"/>
  <c r="Z67" i="12"/>
  <c r="Y67" i="12"/>
  <c r="X67" i="12"/>
  <c r="W67" i="12"/>
  <c r="P67" i="12"/>
  <c r="O67" i="12"/>
  <c r="AD67" i="12" s="1"/>
  <c r="N67" i="12"/>
  <c r="AC67" i="12" s="1"/>
  <c r="M67" i="12"/>
  <c r="AP66" i="12"/>
  <c r="AI66" i="12"/>
  <c r="AH66" i="12"/>
  <c r="AF66" i="12"/>
  <c r="AE66" i="12"/>
  <c r="AB66" i="12"/>
  <c r="AA66" i="12"/>
  <c r="Z66" i="12"/>
  <c r="Y66" i="12"/>
  <c r="X66" i="12"/>
  <c r="W66" i="12"/>
  <c r="P66" i="12"/>
  <c r="O66" i="12"/>
  <c r="AD66" i="12" s="1"/>
  <c r="N66" i="12"/>
  <c r="M66" i="12"/>
  <c r="AI65" i="12"/>
  <c r="AH65" i="12"/>
  <c r="W65" i="12"/>
  <c r="AU64" i="12"/>
  <c r="AT64" i="12"/>
  <c r="AP64" i="12"/>
  <c r="AI64" i="12"/>
  <c r="AH64" i="12"/>
  <c r="AF64" i="12"/>
  <c r="AE64" i="12"/>
  <c r="AD64" i="12"/>
  <c r="AA64" i="12"/>
  <c r="Z64" i="12"/>
  <c r="Y64" i="12"/>
  <c r="X64" i="12"/>
  <c r="W64" i="12"/>
  <c r="P64" i="12"/>
  <c r="O64" i="12"/>
  <c r="N64" i="12"/>
  <c r="AC64" i="12" s="1"/>
  <c r="M64" i="12"/>
  <c r="AI63" i="12"/>
  <c r="AH63" i="12"/>
  <c r="AF63" i="12"/>
  <c r="AE63" i="12"/>
  <c r="AA63" i="12"/>
  <c r="Z63" i="12"/>
  <c r="Y63" i="12"/>
  <c r="X63" i="12"/>
  <c r="W63" i="12"/>
  <c r="P63" i="12"/>
  <c r="O63" i="12"/>
  <c r="AD63" i="12" s="1"/>
  <c r="N63" i="12"/>
  <c r="AC63" i="12" s="1"/>
  <c r="M63" i="12"/>
  <c r="AI62" i="12"/>
  <c r="AH62" i="12"/>
  <c r="AF62" i="12"/>
  <c r="AE62" i="12"/>
  <c r="AB62" i="12"/>
  <c r="AA62" i="12"/>
  <c r="Z62" i="12"/>
  <c r="Y62" i="12"/>
  <c r="X62" i="12"/>
  <c r="W62" i="12"/>
  <c r="P62" i="12"/>
  <c r="O62" i="12"/>
  <c r="AD62" i="12" s="1"/>
  <c r="N62" i="12"/>
  <c r="M62" i="12"/>
  <c r="AI61" i="12"/>
  <c r="AH61" i="12"/>
  <c r="W61" i="12"/>
  <c r="AT60" i="12"/>
  <c r="AP60" i="12"/>
  <c r="AI60" i="12"/>
  <c r="AH60" i="12"/>
  <c r="AF60" i="12"/>
  <c r="AE60" i="12"/>
  <c r="AD60" i="12"/>
  <c r="AA60" i="12"/>
  <c r="Z60" i="12"/>
  <c r="Y60" i="12"/>
  <c r="X60" i="12"/>
  <c r="W60" i="12"/>
  <c r="P60" i="12"/>
  <c r="O60" i="12"/>
  <c r="N60" i="12"/>
  <c r="AC60" i="12" s="1"/>
  <c r="M60" i="12"/>
  <c r="AP59" i="12"/>
  <c r="AO59" i="12"/>
  <c r="AV59" i="12" s="1"/>
  <c r="AI59" i="12"/>
  <c r="AH59" i="12"/>
  <c r="AF59" i="12"/>
  <c r="AE59" i="12"/>
  <c r="AA59" i="12"/>
  <c r="Z59" i="12"/>
  <c r="Y59" i="12"/>
  <c r="X59" i="12"/>
  <c r="W59" i="12"/>
  <c r="P59" i="12"/>
  <c r="O59" i="12"/>
  <c r="AD59" i="12" s="1"/>
  <c r="N59" i="12"/>
  <c r="AC59" i="12" s="1"/>
  <c r="M59" i="12"/>
  <c r="AP58" i="12"/>
  <c r="AI58" i="12"/>
  <c r="AH58" i="12"/>
  <c r="AF58" i="12"/>
  <c r="AE58" i="12"/>
  <c r="AB58" i="12"/>
  <c r="AA58" i="12"/>
  <c r="Z58" i="12"/>
  <c r="Y58" i="12"/>
  <c r="X58" i="12"/>
  <c r="W58" i="12"/>
  <c r="P58" i="12"/>
  <c r="O58" i="12"/>
  <c r="AD58" i="12" s="1"/>
  <c r="N58" i="12"/>
  <c r="M58" i="12"/>
  <c r="AI57" i="12"/>
  <c r="AH57" i="12"/>
  <c r="W57" i="12"/>
  <c r="AT56" i="12"/>
  <c r="AP56" i="12"/>
  <c r="AI56" i="12"/>
  <c r="AH56" i="12"/>
  <c r="AF56" i="12"/>
  <c r="AE56" i="12"/>
  <c r="AD56" i="12"/>
  <c r="AA56" i="12"/>
  <c r="Z56" i="12"/>
  <c r="Y56" i="12"/>
  <c r="X56" i="12"/>
  <c r="W56" i="12"/>
  <c r="P56" i="12"/>
  <c r="O56" i="12"/>
  <c r="N56" i="12"/>
  <c r="AC56" i="12" s="1"/>
  <c r="M56" i="12"/>
  <c r="AR56" i="12" s="1"/>
  <c r="AI55" i="12"/>
  <c r="AH55" i="12"/>
  <c r="AF55" i="12"/>
  <c r="AE55" i="12"/>
  <c r="AA55" i="12"/>
  <c r="Z55" i="12"/>
  <c r="Y55" i="12"/>
  <c r="X55" i="12"/>
  <c r="W55" i="12"/>
  <c r="P55" i="12"/>
  <c r="O55" i="12"/>
  <c r="AD55" i="12" s="1"/>
  <c r="N55" i="12"/>
  <c r="AC55" i="12" s="1"/>
  <c r="M55" i="12"/>
  <c r="AI54" i="12"/>
  <c r="AH54" i="12"/>
  <c r="W54" i="12"/>
  <c r="AT53" i="12"/>
  <c r="AI53" i="12"/>
  <c r="AH53" i="12"/>
  <c r="AF53" i="12"/>
  <c r="AE53" i="12"/>
  <c r="AD53" i="12"/>
  <c r="AC53" i="12"/>
  <c r="AA53" i="12"/>
  <c r="Z53" i="12"/>
  <c r="Y53" i="12"/>
  <c r="X53" i="12"/>
  <c r="W53" i="12"/>
  <c r="P53" i="12"/>
  <c r="O53" i="12"/>
  <c r="N53" i="12"/>
  <c r="M53" i="12"/>
  <c r="AU52" i="12"/>
  <c r="AT52" i="12"/>
  <c r="AI52" i="12"/>
  <c r="AH52" i="12"/>
  <c r="AF52" i="12"/>
  <c r="AE52" i="12"/>
  <c r="AD52" i="12"/>
  <c r="AA52" i="12"/>
  <c r="Z52" i="12"/>
  <c r="Y52" i="12"/>
  <c r="X52" i="12"/>
  <c r="W52" i="12"/>
  <c r="P52" i="12"/>
  <c r="O52" i="12"/>
  <c r="N52" i="12"/>
  <c r="AC52" i="12" s="1"/>
  <c r="M52" i="12"/>
  <c r="AR52" i="12" s="1"/>
  <c r="AI51" i="12"/>
  <c r="AH51" i="12"/>
  <c r="W51" i="12"/>
  <c r="AI50" i="12"/>
  <c r="AH50" i="12"/>
  <c r="AF50" i="12"/>
  <c r="AE50" i="12"/>
  <c r="AD50" i="12"/>
  <c r="AC50" i="12"/>
  <c r="AB50" i="12"/>
  <c r="AA50" i="12"/>
  <c r="Z50" i="12"/>
  <c r="Y50" i="12"/>
  <c r="X50" i="12"/>
  <c r="W50" i="12"/>
  <c r="P50" i="12"/>
  <c r="O50" i="12"/>
  <c r="N50" i="12"/>
  <c r="M50" i="12"/>
  <c r="AT49" i="12"/>
  <c r="AI49" i="12"/>
  <c r="AH49" i="12"/>
  <c r="AF49" i="12"/>
  <c r="AE49" i="12"/>
  <c r="AD49" i="12"/>
  <c r="AC49" i="12"/>
  <c r="AA49" i="12"/>
  <c r="Z49" i="12"/>
  <c r="Y49" i="12"/>
  <c r="X49" i="12"/>
  <c r="W49" i="12"/>
  <c r="P49" i="12"/>
  <c r="O49" i="12"/>
  <c r="N49" i="12"/>
  <c r="M49" i="12"/>
  <c r="AI48" i="12"/>
  <c r="AH48" i="12"/>
  <c r="W48" i="12"/>
  <c r="AT47" i="12"/>
  <c r="AI47" i="12"/>
  <c r="AH47" i="12"/>
  <c r="AF47" i="12"/>
  <c r="AE47" i="12"/>
  <c r="AC47" i="12"/>
  <c r="AB47" i="12"/>
  <c r="AA47" i="12"/>
  <c r="Z47" i="12"/>
  <c r="Y47" i="12"/>
  <c r="X47" i="12"/>
  <c r="W47" i="12"/>
  <c r="P47" i="12"/>
  <c r="O47" i="12"/>
  <c r="AD47" i="12" s="1"/>
  <c r="N47" i="12"/>
  <c r="M47" i="12"/>
  <c r="AI46" i="12"/>
  <c r="AH46" i="12"/>
  <c r="AF46" i="12"/>
  <c r="AE46" i="12"/>
  <c r="AD46" i="12"/>
  <c r="AC46" i="12"/>
  <c r="AB46" i="12"/>
  <c r="AA46" i="12"/>
  <c r="Z46" i="12"/>
  <c r="Y46" i="12"/>
  <c r="X46" i="12"/>
  <c r="W46" i="12"/>
  <c r="P46" i="12"/>
  <c r="O46" i="12"/>
  <c r="N46" i="12"/>
  <c r="M46" i="12"/>
  <c r="AT45" i="12"/>
  <c r="AI45" i="12"/>
  <c r="AH45" i="12"/>
  <c r="AF45" i="12"/>
  <c r="AE45" i="12"/>
  <c r="AD45" i="12"/>
  <c r="AC45" i="12"/>
  <c r="AA45" i="12"/>
  <c r="Z45" i="12"/>
  <c r="Y45" i="12"/>
  <c r="X45" i="12"/>
  <c r="W45" i="12"/>
  <c r="P45" i="12"/>
  <c r="O45" i="12"/>
  <c r="N45" i="12"/>
  <c r="M45" i="12"/>
  <c r="AU44" i="12"/>
  <c r="AT44" i="12"/>
  <c r="AP44" i="12"/>
  <c r="AI44" i="12"/>
  <c r="AH44" i="12"/>
  <c r="AF44" i="12"/>
  <c r="AE44" i="12"/>
  <c r="AD44" i="12"/>
  <c r="AA44" i="12"/>
  <c r="Z44" i="12"/>
  <c r="Y44" i="12"/>
  <c r="X44" i="12"/>
  <c r="W44" i="12"/>
  <c r="P44" i="12"/>
  <c r="O44" i="12"/>
  <c r="N44" i="12"/>
  <c r="AC44" i="12" s="1"/>
  <c r="M44" i="12"/>
  <c r="AI43" i="12"/>
  <c r="AH43" i="12"/>
  <c r="AF43" i="12"/>
  <c r="AE43" i="12"/>
  <c r="AA43" i="12"/>
  <c r="Z43" i="12"/>
  <c r="Y43" i="12"/>
  <c r="X43" i="12"/>
  <c r="W43" i="12"/>
  <c r="P43" i="12"/>
  <c r="O43" i="12"/>
  <c r="AD43" i="12" s="1"/>
  <c r="N43" i="12"/>
  <c r="AC43" i="12" s="1"/>
  <c r="M43" i="12"/>
  <c r="AI42" i="12"/>
  <c r="AH42" i="12"/>
  <c r="W42" i="12"/>
  <c r="AT41" i="12"/>
  <c r="AI41" i="12"/>
  <c r="AH41" i="12"/>
  <c r="AF41" i="12"/>
  <c r="AE41" i="12"/>
  <c r="AD41" i="12"/>
  <c r="AC41" i="12"/>
  <c r="AA41" i="12"/>
  <c r="Z41" i="12"/>
  <c r="Y41" i="12"/>
  <c r="X41" i="12"/>
  <c r="W41" i="12"/>
  <c r="P41" i="12"/>
  <c r="O41" i="12"/>
  <c r="N41" i="12"/>
  <c r="M41" i="12"/>
  <c r="AR41" i="12" s="1"/>
  <c r="AT40" i="12"/>
  <c r="AI40" i="12"/>
  <c r="AH40" i="12"/>
  <c r="AF40" i="12"/>
  <c r="AE40" i="12"/>
  <c r="AD40" i="12"/>
  <c r="AA40" i="12"/>
  <c r="Z40" i="12"/>
  <c r="Y40" i="12"/>
  <c r="X40" i="12"/>
  <c r="W40" i="12"/>
  <c r="P40" i="12"/>
  <c r="O40" i="12"/>
  <c r="N40" i="12"/>
  <c r="AC40" i="12" s="1"/>
  <c r="M40" i="12"/>
  <c r="AI39" i="12"/>
  <c r="AH39" i="12"/>
  <c r="AF39" i="12"/>
  <c r="AE39" i="12"/>
  <c r="AA39" i="12"/>
  <c r="Z39" i="12"/>
  <c r="Y39" i="12"/>
  <c r="X39" i="12"/>
  <c r="W39" i="12"/>
  <c r="P39" i="12"/>
  <c r="O39" i="12"/>
  <c r="AD39" i="12" s="1"/>
  <c r="N39" i="12"/>
  <c r="AC39" i="12" s="1"/>
  <c r="M39" i="12"/>
  <c r="AI38" i="12"/>
  <c r="AH38" i="12"/>
  <c r="W38" i="12"/>
  <c r="AT37" i="12"/>
  <c r="AP37" i="12"/>
  <c r="AO37" i="12"/>
  <c r="AV37" i="12" s="1"/>
  <c r="AI37" i="12"/>
  <c r="AH37" i="12"/>
  <c r="AF37" i="12"/>
  <c r="AE37" i="12"/>
  <c r="AD37" i="12"/>
  <c r="AC37" i="12"/>
  <c r="AA37" i="12"/>
  <c r="Z37" i="12"/>
  <c r="Y37" i="12"/>
  <c r="X37" i="12"/>
  <c r="W37" i="12"/>
  <c r="P37" i="12"/>
  <c r="O37" i="12"/>
  <c r="N37" i="12"/>
  <c r="M37" i="12"/>
  <c r="AR37" i="12" s="1"/>
  <c r="AT36" i="12"/>
  <c r="AI36" i="12"/>
  <c r="AH36" i="12"/>
  <c r="AF36" i="12"/>
  <c r="AE36" i="12"/>
  <c r="AD36" i="12"/>
  <c r="AA36" i="12"/>
  <c r="Z36" i="12"/>
  <c r="Y36" i="12"/>
  <c r="X36" i="12"/>
  <c r="W36" i="12"/>
  <c r="P36" i="12"/>
  <c r="O36" i="12"/>
  <c r="N36" i="12"/>
  <c r="AC36" i="12" s="1"/>
  <c r="M36" i="12"/>
  <c r="AI35" i="12"/>
  <c r="AH35" i="12"/>
  <c r="AF35" i="12"/>
  <c r="AE35" i="12"/>
  <c r="AA35" i="12"/>
  <c r="Z35" i="12"/>
  <c r="Y35" i="12"/>
  <c r="X35" i="12"/>
  <c r="W35" i="12"/>
  <c r="P35" i="12"/>
  <c r="O35" i="12"/>
  <c r="AD35" i="12" s="1"/>
  <c r="N35" i="12"/>
  <c r="AC35" i="12" s="1"/>
  <c r="M35" i="12"/>
  <c r="AP34" i="12"/>
  <c r="AI34" i="12"/>
  <c r="AH34" i="12"/>
  <c r="AF34" i="12"/>
  <c r="AE34" i="12"/>
  <c r="AB34" i="12"/>
  <c r="AA34" i="12"/>
  <c r="Z34" i="12"/>
  <c r="Y34" i="12"/>
  <c r="X34" i="12"/>
  <c r="W34" i="12"/>
  <c r="P34" i="12"/>
  <c r="O34" i="12"/>
  <c r="AD34" i="12" s="1"/>
  <c r="N34" i="12"/>
  <c r="M34" i="12"/>
  <c r="AI33" i="12"/>
  <c r="AH33" i="12"/>
  <c r="W33" i="12"/>
  <c r="AT32" i="12"/>
  <c r="AP32" i="12"/>
  <c r="AN32" i="12"/>
  <c r="AI32" i="12"/>
  <c r="AH32" i="12"/>
  <c r="AF32" i="12"/>
  <c r="AE32" i="12"/>
  <c r="AD32" i="12"/>
  <c r="AA32" i="12"/>
  <c r="Z32" i="12"/>
  <c r="Y32" i="12"/>
  <c r="X32" i="12"/>
  <c r="W32" i="12"/>
  <c r="P32" i="12"/>
  <c r="O32" i="12"/>
  <c r="N32" i="12"/>
  <c r="M32" i="12"/>
  <c r="AR32" i="12" s="1"/>
  <c r="AI31" i="12"/>
  <c r="AN31" i="12" s="1"/>
  <c r="AH31" i="12"/>
  <c r="AF31" i="12"/>
  <c r="AE31" i="12"/>
  <c r="AA31" i="12"/>
  <c r="Z31" i="12"/>
  <c r="Y31" i="12"/>
  <c r="X31" i="12"/>
  <c r="W31" i="12"/>
  <c r="P31" i="12"/>
  <c r="O31" i="12"/>
  <c r="AD31" i="12" s="1"/>
  <c r="N31" i="12"/>
  <c r="AC31" i="12" s="1"/>
  <c r="M31" i="12"/>
  <c r="AP30" i="12"/>
  <c r="AI30" i="12"/>
  <c r="AH30" i="12"/>
  <c r="AF30" i="12"/>
  <c r="AE30" i="12"/>
  <c r="AC30" i="12"/>
  <c r="AB30" i="12"/>
  <c r="AA30" i="12"/>
  <c r="Z30" i="12"/>
  <c r="Y30" i="12"/>
  <c r="X30" i="12"/>
  <c r="W30" i="12"/>
  <c r="P30" i="12"/>
  <c r="O30" i="12"/>
  <c r="AD30" i="12" s="1"/>
  <c r="N30" i="12"/>
  <c r="M30" i="12"/>
  <c r="AT29" i="12"/>
  <c r="AP29" i="12"/>
  <c r="AJ29" i="12"/>
  <c r="AI29" i="12"/>
  <c r="AH29" i="12"/>
  <c r="AF29" i="12"/>
  <c r="AE29" i="12"/>
  <c r="AC29" i="12"/>
  <c r="AB29" i="12"/>
  <c r="AA29" i="12"/>
  <c r="Z29" i="12"/>
  <c r="Y29" i="12"/>
  <c r="X29" i="12"/>
  <c r="W29" i="12"/>
  <c r="P29" i="12"/>
  <c r="O29" i="12"/>
  <c r="N29" i="12"/>
  <c r="AO29" i="12" s="1"/>
  <c r="AV29" i="12" s="1"/>
  <c r="M29" i="12"/>
  <c r="AV28" i="12"/>
  <c r="AU28" i="12"/>
  <c r="AP28" i="12"/>
  <c r="AO28" i="12"/>
  <c r="AI28" i="12"/>
  <c r="AH28" i="12"/>
  <c r="AF28" i="12"/>
  <c r="AE28" i="12"/>
  <c r="AD28" i="12"/>
  <c r="AC28" i="12"/>
  <c r="AA28" i="12"/>
  <c r="Z28" i="12"/>
  <c r="Y28" i="12"/>
  <c r="X28" i="12"/>
  <c r="W28" i="12"/>
  <c r="P28" i="12"/>
  <c r="O28" i="12"/>
  <c r="N28" i="12"/>
  <c r="M28" i="12"/>
  <c r="AR28" i="12" s="1"/>
  <c r="AI27" i="12"/>
  <c r="AH27" i="12"/>
  <c r="W27" i="12"/>
  <c r="AT26" i="12"/>
  <c r="AP26" i="12"/>
  <c r="AI26" i="12"/>
  <c r="AH26" i="12"/>
  <c r="AF26" i="12"/>
  <c r="AE26" i="12"/>
  <c r="AC26" i="12"/>
  <c r="AB26" i="12"/>
  <c r="AA26" i="12"/>
  <c r="Z26" i="12"/>
  <c r="Y26" i="12"/>
  <c r="X26" i="12"/>
  <c r="W26" i="12"/>
  <c r="P26" i="12"/>
  <c r="O26" i="12"/>
  <c r="AD26" i="12" s="1"/>
  <c r="N26" i="12"/>
  <c r="AO26" i="12" s="1"/>
  <c r="AV26" i="12" s="1"/>
  <c r="M26" i="12"/>
  <c r="AT25" i="12"/>
  <c r="AP25" i="12"/>
  <c r="AI25" i="12"/>
  <c r="AH25" i="12"/>
  <c r="AF25" i="12"/>
  <c r="AE25" i="12"/>
  <c r="AC25" i="12"/>
  <c r="AB25" i="12"/>
  <c r="AA25" i="12"/>
  <c r="Z25" i="12"/>
  <c r="Y25" i="12"/>
  <c r="X25" i="12"/>
  <c r="W25" i="12"/>
  <c r="P25" i="12"/>
  <c r="O25" i="12"/>
  <c r="N25" i="12"/>
  <c r="AO25" i="12" s="1"/>
  <c r="AV25" i="12" s="1"/>
  <c r="M25" i="12"/>
  <c r="AU24" i="12"/>
  <c r="AI24" i="12"/>
  <c r="AH24" i="12"/>
  <c r="AF24" i="12"/>
  <c r="AE24" i="12"/>
  <c r="AD24" i="12"/>
  <c r="AC24" i="12"/>
  <c r="AB24" i="12"/>
  <c r="AA24" i="12"/>
  <c r="Z24" i="12"/>
  <c r="Y24" i="12"/>
  <c r="X24" i="12"/>
  <c r="W24" i="12"/>
  <c r="P24" i="12"/>
  <c r="O24" i="12"/>
  <c r="N24" i="12"/>
  <c r="M24" i="12"/>
  <c r="AR24" i="12" s="1"/>
  <c r="AI23" i="12"/>
  <c r="AH23" i="12"/>
  <c r="W23" i="12"/>
  <c r="AT22" i="12"/>
  <c r="AR22" i="12"/>
  <c r="AP22" i="12"/>
  <c r="AI22" i="12"/>
  <c r="AH22" i="12"/>
  <c r="AF22" i="12"/>
  <c r="AE22" i="12"/>
  <c r="AB22" i="12"/>
  <c r="AA22" i="12"/>
  <c r="Z22" i="12"/>
  <c r="Y22" i="12"/>
  <c r="X22" i="12"/>
  <c r="W22" i="12"/>
  <c r="P22" i="12"/>
  <c r="O22" i="12"/>
  <c r="N22" i="12"/>
  <c r="AO22" i="12" s="1"/>
  <c r="AV22" i="12" s="1"/>
  <c r="M22" i="12"/>
  <c r="AU21" i="12"/>
  <c r="AR21" i="12"/>
  <c r="AI21" i="12"/>
  <c r="AH21" i="12"/>
  <c r="AF21" i="12"/>
  <c r="AE21" i="12"/>
  <c r="AD21" i="12"/>
  <c r="AC21" i="12"/>
  <c r="AB21" i="12"/>
  <c r="AA21" i="12"/>
  <c r="Z21" i="12"/>
  <c r="Y21" i="12"/>
  <c r="X21" i="12"/>
  <c r="W21" i="12"/>
  <c r="P21" i="12"/>
  <c r="O21" i="12"/>
  <c r="N21" i="12"/>
  <c r="M21" i="12"/>
  <c r="AT20" i="12"/>
  <c r="AI20" i="12"/>
  <c r="AH20" i="12"/>
  <c r="AF20" i="12"/>
  <c r="AE20" i="12"/>
  <c r="AD20" i="12"/>
  <c r="AC20" i="12"/>
  <c r="AA20" i="12"/>
  <c r="Z20" i="12"/>
  <c r="Y20" i="12"/>
  <c r="X20" i="12"/>
  <c r="W20" i="12"/>
  <c r="P20" i="12"/>
  <c r="O20" i="12"/>
  <c r="N20" i="12"/>
  <c r="M20" i="12"/>
  <c r="AR20" i="12" s="1"/>
  <c r="AT19" i="12"/>
  <c r="AP19" i="12"/>
  <c r="AI19" i="12"/>
  <c r="AH19" i="12"/>
  <c r="AF19" i="12"/>
  <c r="AE19" i="12"/>
  <c r="AD19" i="12"/>
  <c r="AA19" i="12"/>
  <c r="Z19" i="12"/>
  <c r="Y19" i="12"/>
  <c r="X19" i="12"/>
  <c r="W19" i="12"/>
  <c r="P19" i="12"/>
  <c r="O19" i="12"/>
  <c r="N19" i="12"/>
  <c r="AC19" i="12" s="1"/>
  <c r="M19" i="12"/>
  <c r="AU18" i="12"/>
  <c r="AT18" i="12"/>
  <c r="AP18" i="12"/>
  <c r="AO18" i="12"/>
  <c r="AV18" i="12" s="1"/>
  <c r="AI18" i="12"/>
  <c r="AH18" i="12"/>
  <c r="AF18" i="12"/>
  <c r="AE18" i="12"/>
  <c r="AD18" i="12"/>
  <c r="AA18" i="12"/>
  <c r="Z18" i="12"/>
  <c r="Y18" i="12"/>
  <c r="X18" i="12"/>
  <c r="W18" i="12"/>
  <c r="P18" i="12"/>
  <c r="O18" i="12"/>
  <c r="N18" i="12"/>
  <c r="AC18" i="12" s="1"/>
  <c r="M18" i="12"/>
  <c r="AI17" i="12"/>
  <c r="AH17" i="12"/>
  <c r="AF17" i="12"/>
  <c r="AE17" i="12"/>
  <c r="AA17" i="12"/>
  <c r="Z17" i="12"/>
  <c r="Y17" i="12"/>
  <c r="X17" i="12"/>
  <c r="W17" i="12"/>
  <c r="P17" i="12"/>
  <c r="O17" i="12"/>
  <c r="AD17" i="12" s="1"/>
  <c r="N17" i="12"/>
  <c r="AC17" i="12" s="1"/>
  <c r="M17" i="12"/>
  <c r="AB17" i="12" s="1"/>
  <c r="AI16" i="12"/>
  <c r="AH16" i="12"/>
  <c r="W16" i="12"/>
  <c r="AT15" i="12"/>
  <c r="AI15" i="12"/>
  <c r="AH15" i="12"/>
  <c r="AF15" i="12"/>
  <c r="AE15" i="12"/>
  <c r="AD15" i="12"/>
  <c r="AC15" i="12"/>
  <c r="AA15" i="12"/>
  <c r="Z15" i="12"/>
  <c r="Y15" i="12"/>
  <c r="X15" i="12"/>
  <c r="W15" i="12"/>
  <c r="P15" i="12"/>
  <c r="O15" i="12"/>
  <c r="N15" i="12"/>
  <c r="M15" i="12"/>
  <c r="AT14" i="12"/>
  <c r="AP14" i="12"/>
  <c r="AN14" i="12"/>
  <c r="AI14" i="12"/>
  <c r="AH14" i="12"/>
  <c r="AF14" i="12"/>
  <c r="AE14" i="12"/>
  <c r="AA14" i="12"/>
  <c r="Z14" i="12"/>
  <c r="Y14" i="12"/>
  <c r="X14" i="12"/>
  <c r="W14" i="12"/>
  <c r="P14" i="12"/>
  <c r="O14" i="12"/>
  <c r="N14" i="12"/>
  <c r="AC14" i="12" s="1"/>
  <c r="M14" i="12"/>
  <c r="AR13" i="12"/>
  <c r="AP13" i="12"/>
  <c r="AI13" i="12"/>
  <c r="AH13" i="12"/>
  <c r="AF13" i="12"/>
  <c r="AE13" i="12"/>
  <c r="AB13" i="12"/>
  <c r="AA13" i="12"/>
  <c r="Z13" i="12"/>
  <c r="Y13" i="12"/>
  <c r="X13" i="12"/>
  <c r="W13" i="12"/>
  <c r="P13" i="12"/>
  <c r="O13" i="12"/>
  <c r="AD13" i="12" s="1"/>
  <c r="N13" i="12"/>
  <c r="AC13" i="12" s="1"/>
  <c r="M13" i="12"/>
  <c r="AT12" i="12"/>
  <c r="AP12" i="12"/>
  <c r="AI12" i="12"/>
  <c r="AH12" i="12"/>
  <c r="AF12" i="12"/>
  <c r="AE12" i="12"/>
  <c r="AB12" i="12"/>
  <c r="AA12" i="12"/>
  <c r="Z12" i="12"/>
  <c r="Y12" i="12"/>
  <c r="X12" i="12"/>
  <c r="W12" i="12"/>
  <c r="P12" i="12"/>
  <c r="O12" i="12"/>
  <c r="AD12" i="12" s="1"/>
  <c r="N12" i="12"/>
  <c r="AO12" i="12" s="1"/>
  <c r="AV12" i="12" s="1"/>
  <c r="M12" i="12"/>
  <c r="AR12" i="12" s="1"/>
  <c r="AU11" i="12"/>
  <c r="AR11" i="12"/>
  <c r="AP11" i="12"/>
  <c r="AI11" i="12"/>
  <c r="AT11" i="12" s="1"/>
  <c r="AH11" i="12"/>
  <c r="AF11" i="12"/>
  <c r="AE11" i="12"/>
  <c r="AC11" i="12"/>
  <c r="AB11" i="12"/>
  <c r="AA11" i="12"/>
  <c r="Z11" i="12"/>
  <c r="Y11" i="12"/>
  <c r="X11" i="12"/>
  <c r="W11" i="12"/>
  <c r="P11" i="12"/>
  <c r="O11" i="12"/>
  <c r="N11" i="12"/>
  <c r="AO11" i="12" s="1"/>
  <c r="AV11" i="12" s="1"/>
  <c r="M11" i="12"/>
  <c r="AU10" i="12"/>
  <c r="AR10" i="12"/>
  <c r="AP10" i="12"/>
  <c r="AO10" i="12"/>
  <c r="AV10" i="12" s="1"/>
  <c r="AI10" i="12"/>
  <c r="AH10" i="12"/>
  <c r="AF10" i="12"/>
  <c r="AE10" i="12"/>
  <c r="AD10" i="12"/>
  <c r="AC10" i="12"/>
  <c r="AB10" i="12"/>
  <c r="AA10" i="12"/>
  <c r="Z10" i="12"/>
  <c r="Y10" i="12"/>
  <c r="X10" i="12"/>
  <c r="W10" i="12"/>
  <c r="P10" i="12"/>
  <c r="O10" i="12"/>
  <c r="AQ10" i="12" s="1"/>
  <c r="N10" i="12"/>
  <c r="M10" i="12"/>
  <c r="AI9" i="12"/>
  <c r="AH9" i="12"/>
  <c r="AF9" i="12"/>
  <c r="AE9" i="12"/>
  <c r="AD9" i="12"/>
  <c r="AB9" i="12"/>
  <c r="AA9" i="12"/>
  <c r="Z9" i="12"/>
  <c r="Y9" i="12"/>
  <c r="X9" i="12"/>
  <c r="W9" i="12"/>
  <c r="P9" i="12"/>
  <c r="O9" i="12"/>
  <c r="N9" i="12"/>
  <c r="AC9" i="12" s="1"/>
  <c r="M9" i="12"/>
  <c r="AR9" i="12" s="1"/>
  <c r="AV8" i="12"/>
  <c r="AT8" i="12"/>
  <c r="AP8" i="12"/>
  <c r="AO8" i="12"/>
  <c r="AN8" i="12"/>
  <c r="AI8" i="12"/>
  <c r="AH8" i="12"/>
  <c r="AF8" i="12"/>
  <c r="AE8" i="12"/>
  <c r="AD8" i="12"/>
  <c r="AC8" i="12"/>
  <c r="AA8" i="12"/>
  <c r="Z8" i="12"/>
  <c r="Y8" i="12"/>
  <c r="X8" i="12"/>
  <c r="W8" i="12"/>
  <c r="P8" i="12"/>
  <c r="O8" i="12"/>
  <c r="N8" i="12"/>
  <c r="M8" i="12"/>
  <c r="AI7" i="12"/>
  <c r="AH7" i="12"/>
  <c r="W7" i="12"/>
  <c r="AT6" i="12"/>
  <c r="AI6" i="12"/>
  <c r="AN6" i="12" s="1"/>
  <c r="AH6" i="12"/>
  <c r="AF6" i="12"/>
  <c r="AE6" i="12"/>
  <c r="AC6" i="12"/>
  <c r="AA6" i="12"/>
  <c r="Z6" i="12"/>
  <c r="Y6" i="12"/>
  <c r="X6" i="12"/>
  <c r="W6" i="12"/>
  <c r="P6" i="12"/>
  <c r="O6" i="12"/>
  <c r="AD6" i="12" s="1"/>
  <c r="N6" i="12"/>
  <c r="M6" i="12"/>
  <c r="AI5" i="12"/>
  <c r="AH5" i="12"/>
  <c r="W5" i="12"/>
  <c r="AI4" i="12"/>
  <c r="AR3" i="12"/>
  <c r="AP3" i="12"/>
  <c r="AI3" i="12"/>
  <c r="AH3" i="12"/>
  <c r="AN2" i="12"/>
  <c r="AN56" i="12" s="1"/>
  <c r="AM2" i="12"/>
  <c r="AL2" i="12"/>
  <c r="AK2" i="12"/>
  <c r="AJ2" i="12"/>
  <c r="AJ25" i="12" s="1"/>
  <c r="AA2" i="12"/>
  <c r="A2" i="12"/>
  <c r="AU1" i="12"/>
  <c r="AU60" i="12" s="1"/>
  <c r="AR1" i="12"/>
  <c r="AQ1" i="12"/>
  <c r="AP1" i="12"/>
  <c r="AP74" i="12" s="1"/>
  <c r="AO1" i="12"/>
  <c r="AO15" i="12" s="1"/>
  <c r="AA1" i="12"/>
  <c r="A1" i="12"/>
  <c r="AU33" i="11"/>
  <c r="AR33" i="11"/>
  <c r="AP33" i="11"/>
  <c r="AN33" i="11"/>
  <c r="AI33" i="11"/>
  <c r="AT33" i="11" s="1"/>
  <c r="AH33" i="11"/>
  <c r="AF33" i="11"/>
  <c r="AE33" i="11"/>
  <c r="AD33" i="11"/>
  <c r="AB33" i="11"/>
  <c r="AA33" i="11"/>
  <c r="Z33" i="11"/>
  <c r="Y33" i="11"/>
  <c r="X33" i="11"/>
  <c r="W33" i="11"/>
  <c r="P33" i="11"/>
  <c r="O33" i="11"/>
  <c r="AQ33" i="11" s="1"/>
  <c r="N33" i="11"/>
  <c r="M33" i="11"/>
  <c r="AT32" i="11"/>
  <c r="AQ32" i="11"/>
  <c r="AI32" i="11"/>
  <c r="AH32" i="11"/>
  <c r="AF32" i="11"/>
  <c r="AE32" i="11"/>
  <c r="AC32" i="11"/>
  <c r="AA32" i="11"/>
  <c r="Z32" i="11"/>
  <c r="Y32" i="11"/>
  <c r="X32" i="11"/>
  <c r="W32" i="11"/>
  <c r="P32" i="11"/>
  <c r="O32" i="11"/>
  <c r="AD32" i="11" s="1"/>
  <c r="N32" i="11"/>
  <c r="M32" i="11"/>
  <c r="AR31" i="11"/>
  <c r="AP31" i="11"/>
  <c r="AI31" i="11"/>
  <c r="AH31" i="11"/>
  <c r="AF31" i="11"/>
  <c r="AE31" i="11"/>
  <c r="AD31" i="11"/>
  <c r="AB31" i="11"/>
  <c r="AA31" i="11"/>
  <c r="Z31" i="11"/>
  <c r="Y31" i="11"/>
  <c r="X31" i="11"/>
  <c r="W31" i="11"/>
  <c r="P31" i="11"/>
  <c r="O31" i="11"/>
  <c r="AQ31" i="11" s="1"/>
  <c r="N31" i="11"/>
  <c r="M31" i="11"/>
  <c r="AI30" i="11"/>
  <c r="AH30" i="11"/>
  <c r="W30" i="11"/>
  <c r="AU29" i="11"/>
  <c r="AR29" i="11"/>
  <c r="AP29" i="11"/>
  <c r="AN29" i="11"/>
  <c r="AI29" i="11"/>
  <c r="AT29" i="11" s="1"/>
  <c r="AH29" i="11"/>
  <c r="AF29" i="11"/>
  <c r="AE29" i="11"/>
  <c r="AD29" i="11"/>
  <c r="AB29" i="11"/>
  <c r="AA29" i="11"/>
  <c r="Z29" i="11"/>
  <c r="Y29" i="11"/>
  <c r="X29" i="11"/>
  <c r="W29" i="11"/>
  <c r="P29" i="11"/>
  <c r="O29" i="11"/>
  <c r="AQ29" i="11" s="1"/>
  <c r="N29" i="11"/>
  <c r="M29" i="11"/>
  <c r="AT28" i="11"/>
  <c r="AQ28" i="11"/>
  <c r="AP28" i="11"/>
  <c r="AO28" i="11"/>
  <c r="AV28" i="11" s="1"/>
  <c r="AI28" i="11"/>
  <c r="AN28" i="11" s="1"/>
  <c r="AH28" i="11"/>
  <c r="AF28" i="11"/>
  <c r="AE28" i="11"/>
  <c r="AC28" i="11"/>
  <c r="AA28" i="11"/>
  <c r="Z28" i="11"/>
  <c r="Y28" i="11"/>
  <c r="X28" i="11"/>
  <c r="W28" i="11"/>
  <c r="P28" i="11"/>
  <c r="O28" i="11"/>
  <c r="AD28" i="11" s="1"/>
  <c r="N28" i="11"/>
  <c r="M28" i="11"/>
  <c r="AR27" i="11"/>
  <c r="AP27" i="11"/>
  <c r="AI27" i="11"/>
  <c r="AH27" i="11"/>
  <c r="AF27" i="11"/>
  <c r="AE27" i="11"/>
  <c r="AD27" i="11"/>
  <c r="AB27" i="11"/>
  <c r="AA27" i="11"/>
  <c r="Z27" i="11"/>
  <c r="Y27" i="11"/>
  <c r="X27" i="11"/>
  <c r="W27" i="11"/>
  <c r="P27" i="11"/>
  <c r="O27" i="11"/>
  <c r="AQ27" i="11" s="1"/>
  <c r="N27" i="11"/>
  <c r="M27" i="11"/>
  <c r="AT26" i="11"/>
  <c r="AP26" i="11"/>
  <c r="AO26" i="11"/>
  <c r="AV26" i="11" s="1"/>
  <c r="AJ26" i="11"/>
  <c r="AI26" i="11"/>
  <c r="AN26" i="11" s="1"/>
  <c r="AH26" i="11"/>
  <c r="AF26" i="11"/>
  <c r="AE26" i="11"/>
  <c r="AC26" i="11"/>
  <c r="AA26" i="11"/>
  <c r="Z26" i="11"/>
  <c r="Y26" i="11"/>
  <c r="X26" i="11"/>
  <c r="W26" i="11"/>
  <c r="P26" i="11"/>
  <c r="O26" i="11"/>
  <c r="AD26" i="11" s="1"/>
  <c r="N26" i="11"/>
  <c r="M26" i="11"/>
  <c r="AR26" i="11" s="1"/>
  <c r="AI25" i="11"/>
  <c r="AH25" i="11"/>
  <c r="W25" i="11"/>
  <c r="AT24" i="11"/>
  <c r="AQ24" i="11"/>
  <c r="AI24" i="11"/>
  <c r="AN24" i="11" s="1"/>
  <c r="AH24" i="11"/>
  <c r="AF24" i="11"/>
  <c r="AE24" i="11"/>
  <c r="AC24" i="11"/>
  <c r="AA24" i="11"/>
  <c r="Z24" i="11"/>
  <c r="Y24" i="11"/>
  <c r="X24" i="11"/>
  <c r="W24" i="11"/>
  <c r="P24" i="11"/>
  <c r="O24" i="11"/>
  <c r="AD24" i="11" s="1"/>
  <c r="N24" i="11"/>
  <c r="M24" i="11"/>
  <c r="AI23" i="11"/>
  <c r="AH23" i="11"/>
  <c r="W23" i="11"/>
  <c r="AT22" i="11"/>
  <c r="AO22" i="11"/>
  <c r="AJ22" i="11"/>
  <c r="AI22" i="11"/>
  <c r="AH22" i="11"/>
  <c r="AF22" i="11"/>
  <c r="AE22" i="11"/>
  <c r="AC22" i="11"/>
  <c r="AA22" i="11"/>
  <c r="Z22" i="11"/>
  <c r="Y22" i="11"/>
  <c r="X22" i="11"/>
  <c r="W22" i="11"/>
  <c r="P22" i="11"/>
  <c r="O22" i="11"/>
  <c r="AD22" i="11" s="1"/>
  <c r="N22" i="11"/>
  <c r="M22" i="11"/>
  <c r="AR21" i="11"/>
  <c r="AP21" i="11"/>
  <c r="AI21" i="11"/>
  <c r="AT21" i="11" s="1"/>
  <c r="AH21" i="11"/>
  <c r="AF21" i="11"/>
  <c r="AE21" i="11"/>
  <c r="AD21" i="11"/>
  <c r="AB21" i="11"/>
  <c r="AA21" i="11"/>
  <c r="Z21" i="11"/>
  <c r="Y21" i="11"/>
  <c r="X21" i="11"/>
  <c r="W21" i="11"/>
  <c r="P21" i="11"/>
  <c r="O21" i="11"/>
  <c r="AQ21" i="11" s="1"/>
  <c r="N21" i="11"/>
  <c r="M21" i="11"/>
  <c r="AT20" i="11"/>
  <c r="AI20" i="11"/>
  <c r="AH20" i="11"/>
  <c r="AF20" i="11"/>
  <c r="AE20" i="11"/>
  <c r="AC20" i="11"/>
  <c r="AA20" i="11"/>
  <c r="Z20" i="11"/>
  <c r="Y20" i="11"/>
  <c r="X20" i="11"/>
  <c r="W20" i="11"/>
  <c r="P20" i="11"/>
  <c r="O20" i="11"/>
  <c r="AD20" i="11" s="1"/>
  <c r="N20" i="11"/>
  <c r="M20" i="11"/>
  <c r="AI19" i="11"/>
  <c r="AH19" i="11"/>
  <c r="W19" i="11"/>
  <c r="AT18" i="11"/>
  <c r="AP18" i="11"/>
  <c r="AO18" i="11"/>
  <c r="AV18" i="11" s="1"/>
  <c r="AJ18" i="11"/>
  <c r="AI18" i="11"/>
  <c r="AH18" i="11"/>
  <c r="AF18" i="11"/>
  <c r="AE18" i="11"/>
  <c r="AC18" i="11"/>
  <c r="AA18" i="11"/>
  <c r="Z18" i="11"/>
  <c r="Y18" i="11"/>
  <c r="X18" i="11"/>
  <c r="W18" i="11"/>
  <c r="P18" i="11"/>
  <c r="O18" i="11"/>
  <c r="AD18" i="11" s="1"/>
  <c r="N18" i="11"/>
  <c r="M18" i="11"/>
  <c r="AR17" i="11"/>
  <c r="AP17" i="11"/>
  <c r="AN17" i="11"/>
  <c r="AI17" i="11"/>
  <c r="AT17" i="11" s="1"/>
  <c r="AH17" i="11"/>
  <c r="AF17" i="11"/>
  <c r="AE17" i="11"/>
  <c r="AD17" i="11"/>
  <c r="AB17" i="11"/>
  <c r="AA17" i="11"/>
  <c r="Z17" i="11"/>
  <c r="Y17" i="11"/>
  <c r="X17" i="11"/>
  <c r="W17" i="11"/>
  <c r="P17" i="11"/>
  <c r="O17" i="11"/>
  <c r="AQ17" i="11" s="1"/>
  <c r="N17" i="11"/>
  <c r="M17" i="11"/>
  <c r="AT16" i="11"/>
  <c r="AQ16" i="11"/>
  <c r="AP16" i="11"/>
  <c r="AO16" i="11"/>
  <c r="AV16" i="11" s="1"/>
  <c r="AI16" i="11"/>
  <c r="AH16" i="11"/>
  <c r="AF16" i="11"/>
  <c r="AE16" i="11"/>
  <c r="AC16" i="11"/>
  <c r="AA16" i="11"/>
  <c r="Z16" i="11"/>
  <c r="Y16" i="11"/>
  <c r="X16" i="11"/>
  <c r="W16" i="11"/>
  <c r="P16" i="11"/>
  <c r="O16" i="11"/>
  <c r="AD16" i="11" s="1"/>
  <c r="N16" i="11"/>
  <c r="M16" i="11"/>
  <c r="AI15" i="11"/>
  <c r="AH15" i="11"/>
  <c r="W15" i="11"/>
  <c r="AT14" i="11"/>
  <c r="AJ14" i="11"/>
  <c r="AI14" i="11"/>
  <c r="AH14" i="11"/>
  <c r="AF14" i="11"/>
  <c r="AE14" i="11"/>
  <c r="AC14" i="11"/>
  <c r="AA14" i="11"/>
  <c r="Z14" i="11"/>
  <c r="Y14" i="11"/>
  <c r="X14" i="11"/>
  <c r="W14" i="11"/>
  <c r="P14" i="11"/>
  <c r="O14" i="11"/>
  <c r="AD14" i="11" s="1"/>
  <c r="N14" i="11"/>
  <c r="M14" i="11"/>
  <c r="AI13" i="11"/>
  <c r="AH13" i="11"/>
  <c r="W13" i="11"/>
  <c r="AT12" i="11"/>
  <c r="AQ12" i="11"/>
  <c r="AP12" i="11"/>
  <c r="AO12" i="11"/>
  <c r="AV12" i="11" s="1"/>
  <c r="AJ12" i="11"/>
  <c r="AI12" i="11"/>
  <c r="AH12" i="11"/>
  <c r="AF12" i="11"/>
  <c r="AE12" i="11"/>
  <c r="AC12" i="11"/>
  <c r="AA12" i="11"/>
  <c r="Z12" i="11"/>
  <c r="Y12" i="11"/>
  <c r="X12" i="11"/>
  <c r="W12" i="11"/>
  <c r="P12" i="11"/>
  <c r="O12" i="11"/>
  <c r="AD12" i="11" s="1"/>
  <c r="N12" i="11"/>
  <c r="M12" i="11"/>
  <c r="AR12" i="11" s="1"/>
  <c r="AU11" i="11"/>
  <c r="AR11" i="11"/>
  <c r="AP11" i="11"/>
  <c r="AI11" i="11"/>
  <c r="AH11" i="11"/>
  <c r="AF11" i="11"/>
  <c r="AE11" i="11"/>
  <c r="AD11" i="11"/>
  <c r="AB11" i="11"/>
  <c r="AA11" i="11"/>
  <c r="Z11" i="11"/>
  <c r="Y11" i="11"/>
  <c r="X11" i="11"/>
  <c r="W11" i="11"/>
  <c r="P11" i="11"/>
  <c r="O11" i="11"/>
  <c r="AQ11" i="11" s="1"/>
  <c r="N11" i="11"/>
  <c r="AC11" i="11" s="1"/>
  <c r="M11" i="11"/>
  <c r="AV10" i="11"/>
  <c r="AT10" i="11"/>
  <c r="AP10" i="11"/>
  <c r="AO10" i="11"/>
  <c r="AJ10" i="11"/>
  <c r="AI10" i="11"/>
  <c r="AH10" i="11"/>
  <c r="AF10" i="11"/>
  <c r="AE10" i="11"/>
  <c r="AC10" i="11"/>
  <c r="AA10" i="11"/>
  <c r="Z10" i="11"/>
  <c r="Y10" i="11"/>
  <c r="X10" i="11"/>
  <c r="W10" i="11"/>
  <c r="P10" i="11"/>
  <c r="O10" i="11"/>
  <c r="AD10" i="11" s="1"/>
  <c r="N10" i="11"/>
  <c r="M10" i="11"/>
  <c r="AU9" i="11"/>
  <c r="AR9" i="11"/>
  <c r="AP9" i="11"/>
  <c r="AN9" i="11"/>
  <c r="AI9" i="11"/>
  <c r="AT9" i="11" s="1"/>
  <c r="AH9" i="11"/>
  <c r="AF9" i="11"/>
  <c r="AE9" i="11"/>
  <c r="AD9" i="11"/>
  <c r="AB9" i="11"/>
  <c r="AA9" i="11"/>
  <c r="Z9" i="11"/>
  <c r="Y9" i="11"/>
  <c r="X9" i="11"/>
  <c r="W9" i="11"/>
  <c r="P9" i="11"/>
  <c r="O9" i="11"/>
  <c r="AQ9" i="11" s="1"/>
  <c r="N9" i="11"/>
  <c r="M9" i="11"/>
  <c r="AI8" i="11"/>
  <c r="AH8" i="11"/>
  <c r="W8" i="11"/>
  <c r="AU7" i="11"/>
  <c r="AR7" i="11"/>
  <c r="AP7" i="11"/>
  <c r="AI7" i="11"/>
  <c r="AH7" i="11"/>
  <c r="AF7" i="11"/>
  <c r="AE7" i="11"/>
  <c r="AD7" i="11"/>
  <c r="AB7" i="11"/>
  <c r="AA7" i="11"/>
  <c r="Z7" i="11"/>
  <c r="Y7" i="11"/>
  <c r="X7" i="11"/>
  <c r="W7" i="11"/>
  <c r="P7" i="11"/>
  <c r="O7" i="11"/>
  <c r="AQ7" i="11" s="1"/>
  <c r="N7" i="11"/>
  <c r="AC7" i="11" s="1"/>
  <c r="M7" i="11"/>
  <c r="AT6" i="11"/>
  <c r="AJ6" i="11"/>
  <c r="AI6" i="11"/>
  <c r="AH6" i="11"/>
  <c r="AF6" i="11"/>
  <c r="AE6" i="11"/>
  <c r="AC6" i="11"/>
  <c r="AA6" i="11"/>
  <c r="Z6" i="11"/>
  <c r="Y6" i="11"/>
  <c r="X6" i="11"/>
  <c r="W6" i="11"/>
  <c r="P6" i="11"/>
  <c r="O6" i="11"/>
  <c r="AD6" i="11" s="1"/>
  <c r="N6" i="11"/>
  <c r="M6" i="11"/>
  <c r="AI5" i="11"/>
  <c r="AH5" i="11"/>
  <c r="W5" i="11"/>
  <c r="AI4" i="11"/>
  <c r="AR3" i="11"/>
  <c r="AP3" i="11"/>
  <c r="AI3" i="11"/>
  <c r="AH3" i="11"/>
  <c r="AN2" i="11"/>
  <c r="AM2" i="11"/>
  <c r="AL2" i="11"/>
  <c r="AK2" i="11"/>
  <c r="AJ2" i="11"/>
  <c r="AJ32" i="11" s="1"/>
  <c r="AA2" i="11"/>
  <c r="A2" i="11"/>
  <c r="AU1" i="11"/>
  <c r="AR1" i="11"/>
  <c r="AQ1" i="11"/>
  <c r="AQ3" i="11" s="1"/>
  <c r="AP1" i="11"/>
  <c r="AP32" i="11" s="1"/>
  <c r="AO1" i="11"/>
  <c r="AO3" i="11" s="1"/>
  <c r="AH1" i="11"/>
  <c r="AH2" i="11" s="1"/>
  <c r="AA1" i="11"/>
  <c r="A1" i="11"/>
  <c r="AJ1" i="11" s="1"/>
  <c r="AU23" i="10"/>
  <c r="AR23" i="10"/>
  <c r="AP23" i="10"/>
  <c r="AI23" i="10"/>
  <c r="AH23" i="10"/>
  <c r="AF23" i="10"/>
  <c r="AE23" i="10"/>
  <c r="AD23" i="10"/>
  <c r="AB23" i="10"/>
  <c r="AA23" i="10"/>
  <c r="Z23" i="10"/>
  <c r="Y23" i="10"/>
  <c r="X23" i="10"/>
  <c r="W23" i="10"/>
  <c r="P23" i="10"/>
  <c r="O23" i="10"/>
  <c r="AQ23" i="10" s="1"/>
  <c r="N23" i="10"/>
  <c r="AC23" i="10" s="1"/>
  <c r="M23" i="10"/>
  <c r="AT22" i="10"/>
  <c r="AJ22" i="10"/>
  <c r="AI22" i="10"/>
  <c r="AH22" i="10"/>
  <c r="AF22" i="10"/>
  <c r="AE22" i="10"/>
  <c r="AC22" i="10"/>
  <c r="AA22" i="10"/>
  <c r="Z22" i="10"/>
  <c r="Y22" i="10"/>
  <c r="X22" i="10"/>
  <c r="W22" i="10"/>
  <c r="P22" i="10"/>
  <c r="O22" i="10"/>
  <c r="AD22" i="10" s="1"/>
  <c r="N22" i="10"/>
  <c r="M22" i="10"/>
  <c r="AI21" i="10"/>
  <c r="AH21" i="10"/>
  <c r="W21" i="10"/>
  <c r="AT20" i="10"/>
  <c r="AQ20" i="10"/>
  <c r="AJ20" i="10"/>
  <c r="AI20" i="10"/>
  <c r="AH20" i="10"/>
  <c r="AF20" i="10"/>
  <c r="AE20" i="10"/>
  <c r="AC20" i="10"/>
  <c r="AA20" i="10"/>
  <c r="Z20" i="10"/>
  <c r="Y20" i="10"/>
  <c r="X20" i="10"/>
  <c r="W20" i="10"/>
  <c r="P20" i="10"/>
  <c r="O20" i="10"/>
  <c r="AD20" i="10" s="1"/>
  <c r="N20" i="10"/>
  <c r="M20" i="10"/>
  <c r="AR20" i="10" s="1"/>
  <c r="AR19" i="10"/>
  <c r="AP19" i="10"/>
  <c r="AN19" i="10"/>
  <c r="AI19" i="10"/>
  <c r="AH19" i="10"/>
  <c r="AF19" i="10"/>
  <c r="AE19" i="10"/>
  <c r="AD19" i="10"/>
  <c r="AB19" i="10"/>
  <c r="AA19" i="10"/>
  <c r="Z19" i="10"/>
  <c r="Y19" i="10"/>
  <c r="X19" i="10"/>
  <c r="W19" i="10"/>
  <c r="P19" i="10"/>
  <c r="O19" i="10"/>
  <c r="AQ19" i="10" s="1"/>
  <c r="N19" i="10"/>
  <c r="AC19" i="10" s="1"/>
  <c r="M19" i="10"/>
  <c r="AT18" i="10"/>
  <c r="AO18" i="10"/>
  <c r="AJ18" i="10"/>
  <c r="AI18" i="10"/>
  <c r="AH18" i="10"/>
  <c r="AF18" i="10"/>
  <c r="AE18" i="10"/>
  <c r="AC18" i="10"/>
  <c r="AA18" i="10"/>
  <c r="Z18" i="10"/>
  <c r="Y18" i="10"/>
  <c r="X18" i="10"/>
  <c r="W18" i="10"/>
  <c r="P18" i="10"/>
  <c r="O18" i="10"/>
  <c r="AD18" i="10" s="1"/>
  <c r="N18" i="10"/>
  <c r="M18" i="10"/>
  <c r="AI17" i="10"/>
  <c r="AH17" i="10"/>
  <c r="W17" i="10"/>
  <c r="AT16" i="10"/>
  <c r="AQ16" i="10"/>
  <c r="AJ16" i="10"/>
  <c r="AI16" i="10"/>
  <c r="AH16" i="10"/>
  <c r="AF16" i="10"/>
  <c r="AE16" i="10"/>
  <c r="AC16" i="10"/>
  <c r="AA16" i="10"/>
  <c r="Z16" i="10"/>
  <c r="Y16" i="10"/>
  <c r="X16" i="10"/>
  <c r="W16" i="10"/>
  <c r="P16" i="10"/>
  <c r="O16" i="10"/>
  <c r="AD16" i="10" s="1"/>
  <c r="N16" i="10"/>
  <c r="M16" i="10"/>
  <c r="AR16" i="10" s="1"/>
  <c r="AU15" i="10"/>
  <c r="AR15" i="10"/>
  <c r="AP15" i="10"/>
  <c r="AI15" i="10"/>
  <c r="AH15" i="10"/>
  <c r="AF15" i="10"/>
  <c r="AE15" i="10"/>
  <c r="AD15" i="10"/>
  <c r="AB15" i="10"/>
  <c r="AA15" i="10"/>
  <c r="Z15" i="10"/>
  <c r="Y15" i="10"/>
  <c r="X15" i="10"/>
  <c r="W15" i="10"/>
  <c r="P15" i="10"/>
  <c r="O15" i="10"/>
  <c r="AQ15" i="10" s="1"/>
  <c r="N15" i="10"/>
  <c r="AC15" i="10" s="1"/>
  <c r="M15" i="10"/>
  <c r="AT14" i="10"/>
  <c r="AJ14" i="10"/>
  <c r="AI14" i="10"/>
  <c r="AH14" i="10"/>
  <c r="AF14" i="10"/>
  <c r="AE14" i="10"/>
  <c r="AC14" i="10"/>
  <c r="AA14" i="10"/>
  <c r="Z14" i="10"/>
  <c r="Y14" i="10"/>
  <c r="X14" i="10"/>
  <c r="W14" i="10"/>
  <c r="P14" i="10"/>
  <c r="O14" i="10"/>
  <c r="AD14" i="10" s="1"/>
  <c r="N14" i="10"/>
  <c r="M14" i="10"/>
  <c r="AI13" i="10"/>
  <c r="AH13" i="10"/>
  <c r="W13" i="10"/>
  <c r="AT12" i="10"/>
  <c r="AQ12" i="10"/>
  <c r="AJ12" i="10"/>
  <c r="AI12" i="10"/>
  <c r="AH12" i="10"/>
  <c r="AF12" i="10"/>
  <c r="AE12" i="10"/>
  <c r="AC12" i="10"/>
  <c r="AA12" i="10"/>
  <c r="Z12" i="10"/>
  <c r="Y12" i="10"/>
  <c r="X12" i="10"/>
  <c r="W12" i="10"/>
  <c r="P12" i="10"/>
  <c r="O12" i="10"/>
  <c r="AD12" i="10" s="1"/>
  <c r="N12" i="10"/>
  <c r="M12" i="10"/>
  <c r="AR12" i="10" s="1"/>
  <c r="AR11" i="10"/>
  <c r="AP11" i="10"/>
  <c r="AI11" i="10"/>
  <c r="AH11" i="10"/>
  <c r="AF11" i="10"/>
  <c r="AE11" i="10"/>
  <c r="AD11" i="10"/>
  <c r="AB11" i="10"/>
  <c r="AA11" i="10"/>
  <c r="Z11" i="10"/>
  <c r="Y11" i="10"/>
  <c r="X11" i="10"/>
  <c r="W11" i="10"/>
  <c r="P11" i="10"/>
  <c r="O11" i="10"/>
  <c r="AQ11" i="10" s="1"/>
  <c r="N11" i="10"/>
  <c r="AC11" i="10" s="1"/>
  <c r="M11" i="10"/>
  <c r="AT10" i="10"/>
  <c r="AO10" i="10"/>
  <c r="AJ10" i="10"/>
  <c r="AI10" i="10"/>
  <c r="AH10" i="10"/>
  <c r="AF10" i="10"/>
  <c r="AE10" i="10"/>
  <c r="AC10" i="10"/>
  <c r="AA10" i="10"/>
  <c r="Z10" i="10"/>
  <c r="Y10" i="10"/>
  <c r="X10" i="10"/>
  <c r="W10" i="10"/>
  <c r="P10" i="10"/>
  <c r="O10" i="10"/>
  <c r="AD10" i="10" s="1"/>
  <c r="N10" i="10"/>
  <c r="M10" i="10"/>
  <c r="AR9" i="10"/>
  <c r="AP9" i="10"/>
  <c r="AI9" i="10"/>
  <c r="AT9" i="10" s="1"/>
  <c r="AH9" i="10"/>
  <c r="AF9" i="10"/>
  <c r="AE9" i="10"/>
  <c r="AD9" i="10"/>
  <c r="AB9" i="10"/>
  <c r="AA9" i="10"/>
  <c r="Z9" i="10"/>
  <c r="Y9" i="10"/>
  <c r="X9" i="10"/>
  <c r="W9" i="10"/>
  <c r="P9" i="10"/>
  <c r="O9" i="10"/>
  <c r="AQ9" i="10" s="1"/>
  <c r="N9" i="10"/>
  <c r="M9" i="10"/>
  <c r="AI8" i="10"/>
  <c r="AH8" i="10"/>
  <c r="W8" i="10"/>
  <c r="AR7" i="10"/>
  <c r="AP7" i="10"/>
  <c r="AI7" i="10"/>
  <c r="AH7" i="10"/>
  <c r="AF7" i="10"/>
  <c r="AE7" i="10"/>
  <c r="AD7" i="10"/>
  <c r="AB7" i="10"/>
  <c r="AA7" i="10"/>
  <c r="Z7" i="10"/>
  <c r="Y7" i="10"/>
  <c r="X7" i="10"/>
  <c r="W7" i="10"/>
  <c r="P7" i="10"/>
  <c r="O7" i="10"/>
  <c r="AQ7" i="10" s="1"/>
  <c r="N7" i="10"/>
  <c r="AC7" i="10" s="1"/>
  <c r="M7" i="10"/>
  <c r="AT6" i="10"/>
  <c r="AO6" i="10"/>
  <c r="AJ6" i="10"/>
  <c r="AI6" i="10"/>
  <c r="AH6" i="10"/>
  <c r="AF6" i="10"/>
  <c r="AE6" i="10"/>
  <c r="AC6" i="10"/>
  <c r="AA6" i="10"/>
  <c r="Z6" i="10"/>
  <c r="Y6" i="10"/>
  <c r="X6" i="10"/>
  <c r="W6" i="10"/>
  <c r="P6" i="10"/>
  <c r="O6" i="10"/>
  <c r="AD6" i="10" s="1"/>
  <c r="N6" i="10"/>
  <c r="M6" i="10"/>
  <c r="AI5" i="10"/>
  <c r="AH5" i="10"/>
  <c r="W5" i="10"/>
  <c r="AI4" i="10"/>
  <c r="AR3" i="10"/>
  <c r="AP3" i="10"/>
  <c r="AI3" i="10"/>
  <c r="AH3" i="10"/>
  <c r="AN2" i="10"/>
  <c r="AN7" i="10" s="1"/>
  <c r="AM2" i="10"/>
  <c r="AL2" i="10"/>
  <c r="AK2" i="10"/>
  <c r="AJ2" i="10"/>
  <c r="AA2" i="10"/>
  <c r="A2" i="10"/>
  <c r="AU1" i="10"/>
  <c r="AR1" i="10"/>
  <c r="AQ1" i="10"/>
  <c r="AQ3" i="10" s="1"/>
  <c r="AP1" i="10"/>
  <c r="AP20" i="10" s="1"/>
  <c r="AO1" i="10"/>
  <c r="AH1" i="10"/>
  <c r="AH2" i="10" s="1"/>
  <c r="AA1" i="10"/>
  <c r="A1" i="10"/>
  <c r="AJ1" i="10" s="1"/>
  <c r="AU41" i="9"/>
  <c r="AP41" i="9"/>
  <c r="AN41" i="9"/>
  <c r="AI41" i="9"/>
  <c r="AH41" i="9"/>
  <c r="AF41" i="9"/>
  <c r="AE41" i="9"/>
  <c r="AD41" i="9"/>
  <c r="AB41" i="9"/>
  <c r="AA41" i="9"/>
  <c r="Z41" i="9"/>
  <c r="Y41" i="9"/>
  <c r="X41" i="9"/>
  <c r="W41" i="9"/>
  <c r="P41" i="9"/>
  <c r="O41" i="9"/>
  <c r="N41" i="9"/>
  <c r="AC41" i="9" s="1"/>
  <c r="M41" i="9"/>
  <c r="AT40" i="9"/>
  <c r="AO40" i="9"/>
  <c r="AJ40" i="9"/>
  <c r="AI40" i="9"/>
  <c r="AH40" i="9"/>
  <c r="AF40" i="9"/>
  <c r="AE40" i="9"/>
  <c r="AC40" i="9"/>
  <c r="AA40" i="9"/>
  <c r="Z40" i="9"/>
  <c r="Y40" i="9"/>
  <c r="X40" i="9"/>
  <c r="W40" i="9"/>
  <c r="P40" i="9"/>
  <c r="O40" i="9"/>
  <c r="AD40" i="9" s="1"/>
  <c r="N40" i="9"/>
  <c r="M40" i="9"/>
  <c r="AN39" i="9"/>
  <c r="AI39" i="9"/>
  <c r="AT39" i="9" s="1"/>
  <c r="AH39" i="9"/>
  <c r="AF39" i="9"/>
  <c r="AE39" i="9"/>
  <c r="AD39" i="9"/>
  <c r="AB39" i="9"/>
  <c r="AA39" i="9"/>
  <c r="Z39" i="9"/>
  <c r="Y39" i="9"/>
  <c r="X39" i="9"/>
  <c r="W39" i="9"/>
  <c r="P39" i="9"/>
  <c r="O39" i="9"/>
  <c r="AQ39" i="9" s="1"/>
  <c r="N39" i="9"/>
  <c r="M39" i="9"/>
  <c r="AT38" i="9"/>
  <c r="AO38" i="9"/>
  <c r="AI38" i="9"/>
  <c r="AH38" i="9"/>
  <c r="AF38" i="9"/>
  <c r="AE38" i="9"/>
  <c r="AC38" i="9"/>
  <c r="AA38" i="9"/>
  <c r="Z38" i="9"/>
  <c r="Y38" i="9"/>
  <c r="X38" i="9"/>
  <c r="W38" i="9"/>
  <c r="P38" i="9"/>
  <c r="O38" i="9"/>
  <c r="AD38" i="9" s="1"/>
  <c r="N38" i="9"/>
  <c r="M38" i="9"/>
  <c r="AR37" i="9"/>
  <c r="AP37" i="9"/>
  <c r="AI37" i="9"/>
  <c r="AH37" i="9"/>
  <c r="AF37" i="9"/>
  <c r="AE37" i="9"/>
  <c r="AD37" i="9"/>
  <c r="AB37" i="9"/>
  <c r="AA37" i="9"/>
  <c r="Z37" i="9"/>
  <c r="Y37" i="9"/>
  <c r="X37" i="9"/>
  <c r="W37" i="9"/>
  <c r="P37" i="9"/>
  <c r="O37" i="9"/>
  <c r="N37" i="9"/>
  <c r="M37" i="9"/>
  <c r="AT36" i="9"/>
  <c r="AI36" i="9"/>
  <c r="AH36" i="9"/>
  <c r="AF36" i="9"/>
  <c r="AE36" i="9"/>
  <c r="AC36" i="9"/>
  <c r="AA36" i="9"/>
  <c r="Z36" i="9"/>
  <c r="Y36" i="9"/>
  <c r="X36" i="9"/>
  <c r="W36" i="9"/>
  <c r="P36" i="9"/>
  <c r="O36" i="9"/>
  <c r="AD36" i="9" s="1"/>
  <c r="N36" i="9"/>
  <c r="M36" i="9"/>
  <c r="AI35" i="9"/>
  <c r="AH35" i="9"/>
  <c r="W35" i="9"/>
  <c r="AT34" i="9"/>
  <c r="AP34" i="9"/>
  <c r="AO34" i="9"/>
  <c r="AV34" i="9" s="1"/>
  <c r="AI34" i="9"/>
  <c r="AH34" i="9"/>
  <c r="AF34" i="9"/>
  <c r="AE34" i="9"/>
  <c r="AC34" i="9"/>
  <c r="AA34" i="9"/>
  <c r="Z34" i="9"/>
  <c r="Y34" i="9"/>
  <c r="X34" i="9"/>
  <c r="W34" i="9"/>
  <c r="P34" i="9"/>
  <c r="O34" i="9"/>
  <c r="AD34" i="9" s="1"/>
  <c r="N34" i="9"/>
  <c r="M34" i="9"/>
  <c r="AU33" i="9"/>
  <c r="AP33" i="9"/>
  <c r="AI33" i="9"/>
  <c r="AH33" i="9"/>
  <c r="AF33" i="9"/>
  <c r="AE33" i="9"/>
  <c r="AD33" i="9"/>
  <c r="AB33" i="9"/>
  <c r="AA33" i="9"/>
  <c r="Z33" i="9"/>
  <c r="Y33" i="9"/>
  <c r="X33" i="9"/>
  <c r="W33" i="9"/>
  <c r="P33" i="9"/>
  <c r="O33" i="9"/>
  <c r="N33" i="9"/>
  <c r="M33" i="9"/>
  <c r="AV32" i="9"/>
  <c r="AT32" i="9"/>
  <c r="AP32" i="9"/>
  <c r="AO32" i="9"/>
  <c r="AI32" i="9"/>
  <c r="AN32" i="9" s="1"/>
  <c r="AH32" i="9"/>
  <c r="AF32" i="9"/>
  <c r="AE32" i="9"/>
  <c r="AC32" i="9"/>
  <c r="AA32" i="9"/>
  <c r="Z32" i="9"/>
  <c r="Y32" i="9"/>
  <c r="X32" i="9"/>
  <c r="W32" i="9"/>
  <c r="P32" i="9"/>
  <c r="O32" i="9"/>
  <c r="N32" i="9"/>
  <c r="M32" i="9"/>
  <c r="AU31" i="9"/>
  <c r="AP31" i="9"/>
  <c r="AI31" i="9"/>
  <c r="AH31" i="9"/>
  <c r="AF31" i="9"/>
  <c r="AE31" i="9"/>
  <c r="AD31" i="9"/>
  <c r="AB31" i="9"/>
  <c r="AA31" i="9"/>
  <c r="Z31" i="9"/>
  <c r="Y31" i="9"/>
  <c r="X31" i="9"/>
  <c r="W31" i="9"/>
  <c r="P31" i="9"/>
  <c r="O31" i="9"/>
  <c r="AQ31" i="9" s="1"/>
  <c r="N31" i="9"/>
  <c r="M31" i="9"/>
  <c r="AI30" i="9"/>
  <c r="AH30" i="9"/>
  <c r="W30" i="9"/>
  <c r="AU29" i="9"/>
  <c r="AP29" i="9"/>
  <c r="AI29" i="9"/>
  <c r="AH29" i="9"/>
  <c r="AF29" i="9"/>
  <c r="AE29" i="9"/>
  <c r="AD29" i="9"/>
  <c r="AB29" i="9"/>
  <c r="AA29" i="9"/>
  <c r="Z29" i="9"/>
  <c r="Y29" i="9"/>
  <c r="X29" i="9"/>
  <c r="W29" i="9"/>
  <c r="P29" i="9"/>
  <c r="O29" i="9"/>
  <c r="N29" i="9"/>
  <c r="M29" i="9"/>
  <c r="AT28" i="9"/>
  <c r="AI28" i="9"/>
  <c r="AN28" i="9" s="1"/>
  <c r="AH28" i="9"/>
  <c r="AF28" i="9"/>
  <c r="AE28" i="9"/>
  <c r="AC28" i="9"/>
  <c r="AA28" i="9"/>
  <c r="Z28" i="9"/>
  <c r="Y28" i="9"/>
  <c r="X28" i="9"/>
  <c r="W28" i="9"/>
  <c r="P28" i="9"/>
  <c r="O28" i="9"/>
  <c r="N28" i="9"/>
  <c r="M28" i="9"/>
  <c r="AU27" i="9"/>
  <c r="AI27" i="9"/>
  <c r="AH27" i="9"/>
  <c r="AF27" i="9"/>
  <c r="AE27" i="9"/>
  <c r="AD27" i="9"/>
  <c r="AB27" i="9"/>
  <c r="AA27" i="9"/>
  <c r="Z27" i="9"/>
  <c r="Y27" i="9"/>
  <c r="X27" i="9"/>
  <c r="W27" i="9"/>
  <c r="P27" i="9"/>
  <c r="O27" i="9"/>
  <c r="N27" i="9"/>
  <c r="M27" i="9"/>
  <c r="AI26" i="9"/>
  <c r="AH26" i="9"/>
  <c r="W26" i="9"/>
  <c r="AU25" i="9"/>
  <c r="AP25" i="9"/>
  <c r="AI25" i="9"/>
  <c r="AH25" i="9"/>
  <c r="AF25" i="9"/>
  <c r="AE25" i="9"/>
  <c r="AD25" i="9"/>
  <c r="AB25" i="9"/>
  <c r="AA25" i="9"/>
  <c r="Z25" i="9"/>
  <c r="Y25" i="9"/>
  <c r="X25" i="9"/>
  <c r="W25" i="9"/>
  <c r="P25" i="9"/>
  <c r="O25" i="9"/>
  <c r="N25" i="9"/>
  <c r="M25" i="9"/>
  <c r="AT24" i="9"/>
  <c r="AI24" i="9"/>
  <c r="AN24" i="9" s="1"/>
  <c r="AH24" i="9"/>
  <c r="AF24" i="9"/>
  <c r="AE24" i="9"/>
  <c r="AC24" i="9"/>
  <c r="AA24" i="9"/>
  <c r="Z24" i="9"/>
  <c r="Y24" i="9"/>
  <c r="X24" i="9"/>
  <c r="W24" i="9"/>
  <c r="P24" i="9"/>
  <c r="O24" i="9"/>
  <c r="N24" i="9"/>
  <c r="M24" i="9"/>
  <c r="AU23" i="9"/>
  <c r="AP23" i="9"/>
  <c r="AI23" i="9"/>
  <c r="AH23" i="9"/>
  <c r="AF23" i="9"/>
  <c r="AE23" i="9"/>
  <c r="AD23" i="9"/>
  <c r="AB23" i="9"/>
  <c r="AA23" i="9"/>
  <c r="Z23" i="9"/>
  <c r="Y23" i="9"/>
  <c r="X23" i="9"/>
  <c r="W23" i="9"/>
  <c r="P23" i="9"/>
  <c r="O23" i="9"/>
  <c r="N23" i="9"/>
  <c r="M23" i="9"/>
  <c r="AT22" i="9"/>
  <c r="AO22" i="9"/>
  <c r="AI22" i="9"/>
  <c r="AH22" i="9"/>
  <c r="AF22" i="9"/>
  <c r="AE22" i="9"/>
  <c r="AC22" i="9"/>
  <c r="AA22" i="9"/>
  <c r="Z22" i="9"/>
  <c r="Y22" i="9"/>
  <c r="X22" i="9"/>
  <c r="W22" i="9"/>
  <c r="P22" i="9"/>
  <c r="O22" i="9"/>
  <c r="AD22" i="9" s="1"/>
  <c r="N22" i="9"/>
  <c r="M22" i="9"/>
  <c r="AP21" i="9"/>
  <c r="AI21" i="9"/>
  <c r="AH21" i="9"/>
  <c r="AF21" i="9"/>
  <c r="AE21" i="9"/>
  <c r="AD21" i="9"/>
  <c r="AB21" i="9"/>
  <c r="AA21" i="9"/>
  <c r="Z21" i="9"/>
  <c r="Y21" i="9"/>
  <c r="X21" i="9"/>
  <c r="W21" i="9"/>
  <c r="P21" i="9"/>
  <c r="O21" i="9"/>
  <c r="N21" i="9"/>
  <c r="M21" i="9"/>
  <c r="AI20" i="9"/>
  <c r="AH20" i="9"/>
  <c r="W20" i="9"/>
  <c r="AU19" i="9"/>
  <c r="AP19" i="9"/>
  <c r="AI19" i="9"/>
  <c r="AH19" i="9"/>
  <c r="AF19" i="9"/>
  <c r="AE19" i="9"/>
  <c r="AD19" i="9"/>
  <c r="AB19" i="9"/>
  <c r="AA19" i="9"/>
  <c r="Z19" i="9"/>
  <c r="Y19" i="9"/>
  <c r="X19" i="9"/>
  <c r="W19" i="9"/>
  <c r="P19" i="9"/>
  <c r="O19" i="9"/>
  <c r="AQ19" i="9" s="1"/>
  <c r="N19" i="9"/>
  <c r="M19" i="9"/>
  <c r="AT18" i="9"/>
  <c r="AQ18" i="9"/>
  <c r="AP18" i="9"/>
  <c r="AO18" i="9"/>
  <c r="AV18" i="9" s="1"/>
  <c r="AI18" i="9"/>
  <c r="AH18" i="9"/>
  <c r="AF18" i="9"/>
  <c r="AE18" i="9"/>
  <c r="AC18" i="9"/>
  <c r="AA18" i="9"/>
  <c r="Z18" i="9"/>
  <c r="Y18" i="9"/>
  <c r="X18" i="9"/>
  <c r="W18" i="9"/>
  <c r="P18" i="9"/>
  <c r="O18" i="9"/>
  <c r="AD18" i="9" s="1"/>
  <c r="N18" i="9"/>
  <c r="M18" i="9"/>
  <c r="AU17" i="9"/>
  <c r="AI17" i="9"/>
  <c r="AH17" i="9"/>
  <c r="AF17" i="9"/>
  <c r="AE17" i="9"/>
  <c r="AD17" i="9"/>
  <c r="AB17" i="9"/>
  <c r="AA17" i="9"/>
  <c r="Z17" i="9"/>
  <c r="Y17" i="9"/>
  <c r="X17" i="9"/>
  <c r="W17" i="9"/>
  <c r="P17" i="9"/>
  <c r="O17" i="9"/>
  <c r="N17" i="9"/>
  <c r="M17" i="9"/>
  <c r="AT16" i="9"/>
  <c r="AI16" i="9"/>
  <c r="AH16" i="9"/>
  <c r="AF16" i="9"/>
  <c r="AE16" i="9"/>
  <c r="AC16" i="9"/>
  <c r="AA16" i="9"/>
  <c r="Z16" i="9"/>
  <c r="Y16" i="9"/>
  <c r="X16" i="9"/>
  <c r="W16" i="9"/>
  <c r="P16" i="9"/>
  <c r="O16" i="9"/>
  <c r="AD16" i="9" s="1"/>
  <c r="N16" i="9"/>
  <c r="M16" i="9"/>
  <c r="AU15" i="9"/>
  <c r="AI15" i="9"/>
  <c r="AH15" i="9"/>
  <c r="AF15" i="9"/>
  <c r="AE15" i="9"/>
  <c r="AB15" i="9"/>
  <c r="AA15" i="9"/>
  <c r="Z15" i="9"/>
  <c r="Y15" i="9"/>
  <c r="X15" i="9"/>
  <c r="W15" i="9"/>
  <c r="P15" i="9"/>
  <c r="O15" i="9"/>
  <c r="N15" i="9"/>
  <c r="M15" i="9"/>
  <c r="AI14" i="9"/>
  <c r="AH14" i="9"/>
  <c r="W14" i="9"/>
  <c r="AU13" i="9"/>
  <c r="AP13" i="9"/>
  <c r="AI13" i="9"/>
  <c r="AH13" i="9"/>
  <c r="AF13" i="9"/>
  <c r="AE13" i="9"/>
  <c r="AA13" i="9"/>
  <c r="Z13" i="9"/>
  <c r="Y13" i="9"/>
  <c r="X13" i="9"/>
  <c r="W13" i="9"/>
  <c r="P13" i="9"/>
  <c r="O13" i="9"/>
  <c r="N13" i="9"/>
  <c r="M13" i="9"/>
  <c r="AQ12" i="9"/>
  <c r="AP12" i="9"/>
  <c r="AI12" i="9"/>
  <c r="AH12" i="9"/>
  <c r="AF12" i="9"/>
  <c r="AE12" i="9"/>
  <c r="AD12" i="9"/>
  <c r="AA12" i="9"/>
  <c r="Z12" i="9"/>
  <c r="Y12" i="9"/>
  <c r="X12" i="9"/>
  <c r="W12" i="9"/>
  <c r="P12" i="9"/>
  <c r="O12" i="9"/>
  <c r="N12" i="9"/>
  <c r="M12" i="9"/>
  <c r="AU11" i="9"/>
  <c r="AT11" i="9"/>
  <c r="AP11" i="9"/>
  <c r="AI11" i="9"/>
  <c r="AH11" i="9"/>
  <c r="AF11" i="9"/>
  <c r="AE11" i="9"/>
  <c r="AA11" i="9"/>
  <c r="Z11" i="9"/>
  <c r="Y11" i="9"/>
  <c r="X11" i="9"/>
  <c r="W11" i="9"/>
  <c r="P11" i="9"/>
  <c r="O11" i="9"/>
  <c r="AD11" i="9" s="1"/>
  <c r="N11" i="9"/>
  <c r="M11" i="9"/>
  <c r="AU10" i="9"/>
  <c r="AP10" i="9"/>
  <c r="AO10" i="9"/>
  <c r="AV10" i="9" s="1"/>
  <c r="AI10" i="9"/>
  <c r="AH10" i="9"/>
  <c r="AF10" i="9"/>
  <c r="AE10" i="9"/>
  <c r="AB10" i="9"/>
  <c r="AA10" i="9"/>
  <c r="Z10" i="9"/>
  <c r="Y10" i="9"/>
  <c r="X10" i="9"/>
  <c r="W10" i="9"/>
  <c r="P10" i="9"/>
  <c r="O10" i="9"/>
  <c r="AD10" i="9" s="1"/>
  <c r="N10" i="9"/>
  <c r="AC10" i="9" s="1"/>
  <c r="M10" i="9"/>
  <c r="AI9" i="9"/>
  <c r="AH9" i="9"/>
  <c r="W9" i="9"/>
  <c r="AU8" i="9"/>
  <c r="AT8" i="9"/>
  <c r="AP8" i="9"/>
  <c r="AI8" i="9"/>
  <c r="AH8" i="9"/>
  <c r="AF8" i="9"/>
  <c r="AE8" i="9"/>
  <c r="AD8" i="9"/>
  <c r="AA8" i="9"/>
  <c r="Z8" i="9"/>
  <c r="Y8" i="9"/>
  <c r="X8" i="9"/>
  <c r="W8" i="9"/>
  <c r="P8" i="9"/>
  <c r="O8" i="9"/>
  <c r="N8" i="9"/>
  <c r="M8" i="9"/>
  <c r="AU7" i="9"/>
  <c r="AT7" i="9"/>
  <c r="AP7" i="9"/>
  <c r="AI7" i="9"/>
  <c r="AH7" i="9"/>
  <c r="AF7" i="9"/>
  <c r="AE7" i="9"/>
  <c r="AA7" i="9"/>
  <c r="Z7" i="9"/>
  <c r="Y7" i="9"/>
  <c r="X7" i="9"/>
  <c r="W7" i="9"/>
  <c r="P7" i="9"/>
  <c r="O7" i="9"/>
  <c r="AD7" i="9" s="1"/>
  <c r="N7" i="9"/>
  <c r="M7" i="9"/>
  <c r="AU6" i="9"/>
  <c r="AI6" i="9"/>
  <c r="AH6" i="9"/>
  <c r="AF6" i="9"/>
  <c r="AE6" i="9"/>
  <c r="AB6" i="9"/>
  <c r="AA6" i="9"/>
  <c r="Z6" i="9"/>
  <c r="Y6" i="9"/>
  <c r="X6" i="9"/>
  <c r="W6" i="9"/>
  <c r="P6" i="9"/>
  <c r="O6" i="9"/>
  <c r="AD6" i="9" s="1"/>
  <c r="N6" i="9"/>
  <c r="AC6" i="9" s="1"/>
  <c r="M6" i="9"/>
  <c r="AI5" i="9"/>
  <c r="AH5" i="9"/>
  <c r="W5" i="9"/>
  <c r="AI4" i="9"/>
  <c r="AU3" i="9"/>
  <c r="AO3" i="9"/>
  <c r="AI3" i="9"/>
  <c r="AH3" i="9"/>
  <c r="AN2" i="9"/>
  <c r="AN29" i="9" s="1"/>
  <c r="AM2" i="9"/>
  <c r="AL2" i="9"/>
  <c r="AK2" i="9"/>
  <c r="AJ2" i="9"/>
  <c r="AA2" i="9"/>
  <c r="A2" i="9"/>
  <c r="AU1" i="9"/>
  <c r="AR1" i="9"/>
  <c r="AQ1" i="9"/>
  <c r="AQ38" i="9" s="1"/>
  <c r="AP1" i="9"/>
  <c r="AP15" i="9" s="1"/>
  <c r="AO1" i="9"/>
  <c r="AO36" i="9" s="1"/>
  <c r="AA1" i="9"/>
  <c r="A1" i="9"/>
  <c r="AT9" i="8"/>
  <c r="AP9" i="8"/>
  <c r="AN9" i="8"/>
  <c r="AI9" i="8"/>
  <c r="AH9" i="8"/>
  <c r="AF9" i="8"/>
  <c r="AE9" i="8"/>
  <c r="AA9" i="8"/>
  <c r="Z9" i="8"/>
  <c r="Y9" i="8"/>
  <c r="X9" i="8"/>
  <c r="W9" i="8"/>
  <c r="P9" i="8"/>
  <c r="O9" i="8"/>
  <c r="N9" i="8"/>
  <c r="M9" i="8"/>
  <c r="AR9" i="8" s="1"/>
  <c r="AR8" i="8"/>
  <c r="AP8" i="8"/>
  <c r="AO8" i="8"/>
  <c r="AV8" i="8" s="1"/>
  <c r="AI8" i="8"/>
  <c r="AH8" i="8"/>
  <c r="AF8" i="8"/>
  <c r="AE8" i="8"/>
  <c r="AB8" i="8"/>
  <c r="AA8" i="8"/>
  <c r="Z8" i="8"/>
  <c r="Y8" i="8"/>
  <c r="X8" i="8"/>
  <c r="W8" i="8"/>
  <c r="P8" i="8"/>
  <c r="O8" i="8"/>
  <c r="N8" i="8"/>
  <c r="AC8" i="8" s="1"/>
  <c r="M8" i="8"/>
  <c r="AT7" i="8"/>
  <c r="AR7" i="8"/>
  <c r="AP7" i="8"/>
  <c r="AJ7" i="8"/>
  <c r="AI7" i="8"/>
  <c r="AN7" i="8" s="1"/>
  <c r="AH7" i="8"/>
  <c r="AF7" i="8"/>
  <c r="AE7" i="8"/>
  <c r="AC7" i="8"/>
  <c r="AB7" i="8"/>
  <c r="AA7" i="8"/>
  <c r="Z7" i="8"/>
  <c r="Y7" i="8"/>
  <c r="X7" i="8"/>
  <c r="W7" i="8"/>
  <c r="P7" i="8"/>
  <c r="O7" i="8"/>
  <c r="AQ7" i="8" s="1"/>
  <c r="N7" i="8"/>
  <c r="AO7" i="8" s="1"/>
  <c r="AV7" i="8" s="1"/>
  <c r="M7" i="8"/>
  <c r="AU6" i="8"/>
  <c r="AT6" i="8"/>
  <c r="AP6" i="8"/>
  <c r="AN6" i="8"/>
  <c r="AJ6" i="8"/>
  <c r="AI6" i="8"/>
  <c r="AH6" i="8"/>
  <c r="AF6" i="8"/>
  <c r="AE6" i="8"/>
  <c r="AD6" i="8"/>
  <c r="AC6" i="8"/>
  <c r="AB6" i="8"/>
  <c r="AA6" i="8"/>
  <c r="Z6" i="8"/>
  <c r="Y6" i="8"/>
  <c r="X6" i="8"/>
  <c r="W6" i="8"/>
  <c r="P6" i="8"/>
  <c r="O6" i="8"/>
  <c r="AQ6" i="8" s="1"/>
  <c r="N6" i="8"/>
  <c r="AO6" i="8" s="1"/>
  <c r="AV6" i="8" s="1"/>
  <c r="M6" i="8"/>
  <c r="AI5" i="8"/>
  <c r="AH5" i="8"/>
  <c r="W5" i="8"/>
  <c r="AI4" i="8"/>
  <c r="AQ3" i="8"/>
  <c r="AP3" i="8"/>
  <c r="AO3" i="8"/>
  <c r="AI3" i="8"/>
  <c r="AH3" i="8"/>
  <c r="AN2" i="8"/>
  <c r="AM2" i="8"/>
  <c r="AL2" i="8"/>
  <c r="AK2" i="8"/>
  <c r="AJ2" i="8"/>
  <c r="AJ9" i="8" s="1"/>
  <c r="AA2" i="8"/>
  <c r="A2" i="8"/>
  <c r="AU1" i="8"/>
  <c r="AR1" i="8"/>
  <c r="AR6" i="8" s="1"/>
  <c r="AQ1" i="8"/>
  <c r="AP1" i="8"/>
  <c r="AO1" i="8"/>
  <c r="AJ1" i="8"/>
  <c r="AH1" i="8"/>
  <c r="AH2" i="8" s="1"/>
  <c r="AA1" i="8"/>
  <c r="A1" i="8"/>
  <c r="AP19" i="7"/>
  <c r="AI19" i="7"/>
  <c r="AH19" i="7"/>
  <c r="AF19" i="7"/>
  <c r="AE19" i="7"/>
  <c r="AC19" i="7"/>
  <c r="AB19" i="7"/>
  <c r="AA19" i="7"/>
  <c r="Z19" i="7"/>
  <c r="Y19" i="7"/>
  <c r="X19" i="7"/>
  <c r="W19" i="7"/>
  <c r="P19" i="7"/>
  <c r="O19" i="7"/>
  <c r="AQ19" i="7" s="1"/>
  <c r="N19" i="7"/>
  <c r="AO19" i="7" s="1"/>
  <c r="AV19" i="7" s="1"/>
  <c r="M19" i="7"/>
  <c r="AU18" i="7"/>
  <c r="AT18" i="7"/>
  <c r="AP18" i="7"/>
  <c r="AN18" i="7"/>
  <c r="AI18" i="7"/>
  <c r="AH18" i="7"/>
  <c r="AF18" i="7"/>
  <c r="AE18" i="7"/>
  <c r="AD18" i="7"/>
  <c r="AC18" i="7"/>
  <c r="AB18" i="7"/>
  <c r="AA18" i="7"/>
  <c r="Z18" i="7"/>
  <c r="Y18" i="7"/>
  <c r="X18" i="7"/>
  <c r="W18" i="7"/>
  <c r="P18" i="7"/>
  <c r="O18" i="7"/>
  <c r="N18" i="7"/>
  <c r="AO18" i="7" s="1"/>
  <c r="AV18" i="7" s="1"/>
  <c r="M18" i="7"/>
  <c r="AV17" i="7"/>
  <c r="AU17" i="7"/>
  <c r="AP17" i="7"/>
  <c r="AO17" i="7"/>
  <c r="AN17" i="7"/>
  <c r="AI17" i="7"/>
  <c r="AT17" i="7" s="1"/>
  <c r="AH17" i="7"/>
  <c r="AF17" i="7"/>
  <c r="AE17" i="7"/>
  <c r="AD17" i="7"/>
  <c r="AC17" i="7"/>
  <c r="AA17" i="7"/>
  <c r="Z17" i="7"/>
  <c r="Y17" i="7"/>
  <c r="X17" i="7"/>
  <c r="W17" i="7"/>
  <c r="P17" i="7"/>
  <c r="O17" i="7"/>
  <c r="N17" i="7"/>
  <c r="M17" i="7"/>
  <c r="AI16" i="7"/>
  <c r="AH16" i="7"/>
  <c r="W16" i="7"/>
  <c r="AT15" i="7"/>
  <c r="AR15" i="7"/>
  <c r="AP15" i="7"/>
  <c r="AJ15" i="7"/>
  <c r="AI15" i="7"/>
  <c r="AN15" i="7" s="1"/>
  <c r="AH15" i="7"/>
  <c r="AF15" i="7"/>
  <c r="AE15" i="7"/>
  <c r="AC15" i="7"/>
  <c r="AB15" i="7"/>
  <c r="AA15" i="7"/>
  <c r="Z15" i="7"/>
  <c r="Y15" i="7"/>
  <c r="X15" i="7"/>
  <c r="W15" i="7"/>
  <c r="P15" i="7"/>
  <c r="O15" i="7"/>
  <c r="N15" i="7"/>
  <c r="AO15" i="7" s="1"/>
  <c r="AV15" i="7" s="1"/>
  <c r="M15" i="7"/>
  <c r="AU14" i="7"/>
  <c r="AT14" i="7"/>
  <c r="AP14" i="7"/>
  <c r="AN14" i="7"/>
  <c r="AJ14" i="7"/>
  <c r="AI14" i="7"/>
  <c r="AH14" i="7"/>
  <c r="AF14" i="7"/>
  <c r="AE14" i="7"/>
  <c r="AD14" i="7"/>
  <c r="AC14" i="7"/>
  <c r="AB14" i="7"/>
  <c r="AA14" i="7"/>
  <c r="Z14" i="7"/>
  <c r="Y14" i="7"/>
  <c r="X14" i="7"/>
  <c r="W14" i="7"/>
  <c r="P14" i="7"/>
  <c r="O14" i="7"/>
  <c r="AQ14" i="7" s="1"/>
  <c r="N14" i="7"/>
  <c r="AO14" i="7" s="1"/>
  <c r="AV14" i="7" s="1"/>
  <c r="M14" i="7"/>
  <c r="AI13" i="7"/>
  <c r="AH13" i="7"/>
  <c r="W13" i="7"/>
  <c r="AU12" i="7"/>
  <c r="AI12" i="7"/>
  <c r="AH12" i="7"/>
  <c r="AF12" i="7"/>
  <c r="AE12" i="7"/>
  <c r="AB12" i="7"/>
  <c r="AA12" i="7"/>
  <c r="Z12" i="7"/>
  <c r="Y12" i="7"/>
  <c r="X12" i="7"/>
  <c r="W12" i="7"/>
  <c r="P12" i="7"/>
  <c r="O12" i="7"/>
  <c r="AD12" i="7" s="1"/>
  <c r="N12" i="7"/>
  <c r="AC12" i="7" s="1"/>
  <c r="M12" i="7"/>
  <c r="AT11" i="7"/>
  <c r="AR11" i="7"/>
  <c r="AP11" i="7"/>
  <c r="AJ11" i="7"/>
  <c r="AI11" i="7"/>
  <c r="AN11" i="7" s="1"/>
  <c r="AH11" i="7"/>
  <c r="AF11" i="7"/>
  <c r="AE11" i="7"/>
  <c r="AC11" i="7"/>
  <c r="AB11" i="7"/>
  <c r="AA11" i="7"/>
  <c r="Z11" i="7"/>
  <c r="Y11" i="7"/>
  <c r="X11" i="7"/>
  <c r="W11" i="7"/>
  <c r="P11" i="7"/>
  <c r="O11" i="7"/>
  <c r="N11" i="7"/>
  <c r="AO11" i="7" s="1"/>
  <c r="AV11" i="7" s="1"/>
  <c r="M11" i="7"/>
  <c r="AU10" i="7"/>
  <c r="AT10" i="7"/>
  <c r="AP10" i="7"/>
  <c r="AN10" i="7"/>
  <c r="AJ10" i="7"/>
  <c r="AI10" i="7"/>
  <c r="AH10" i="7"/>
  <c r="AF10" i="7"/>
  <c r="AE10" i="7"/>
  <c r="AD10" i="7"/>
  <c r="AC10" i="7"/>
  <c r="AB10" i="7"/>
  <c r="AA10" i="7"/>
  <c r="Z10" i="7"/>
  <c r="Y10" i="7"/>
  <c r="X10" i="7"/>
  <c r="W10" i="7"/>
  <c r="P10" i="7"/>
  <c r="O10" i="7"/>
  <c r="AQ10" i="7" s="1"/>
  <c r="N10" i="7"/>
  <c r="AO10" i="7" s="1"/>
  <c r="AV10" i="7" s="1"/>
  <c r="M10" i="7"/>
  <c r="AU9" i="7"/>
  <c r="AO9" i="7"/>
  <c r="AN9" i="7"/>
  <c r="AI9" i="7"/>
  <c r="AT9" i="7" s="1"/>
  <c r="AH9" i="7"/>
  <c r="AF9" i="7"/>
  <c r="AE9" i="7"/>
  <c r="AD9" i="7"/>
  <c r="AC9" i="7"/>
  <c r="AA9" i="7"/>
  <c r="Z9" i="7"/>
  <c r="Y9" i="7"/>
  <c r="X9" i="7"/>
  <c r="W9" i="7"/>
  <c r="P9" i="7"/>
  <c r="O9" i="7"/>
  <c r="N9" i="7"/>
  <c r="M9" i="7"/>
  <c r="AV8" i="7"/>
  <c r="AU8" i="7"/>
  <c r="AT8" i="7"/>
  <c r="AP8" i="7"/>
  <c r="AO8" i="7"/>
  <c r="AI8" i="7"/>
  <c r="AH8" i="7"/>
  <c r="AF8" i="7"/>
  <c r="AE8" i="7"/>
  <c r="AD8" i="7"/>
  <c r="AA8" i="7"/>
  <c r="Z8" i="7"/>
  <c r="Y8" i="7"/>
  <c r="X8" i="7"/>
  <c r="W8" i="7"/>
  <c r="P8" i="7"/>
  <c r="O8" i="7"/>
  <c r="N8" i="7"/>
  <c r="AC8" i="7" s="1"/>
  <c r="M8" i="7"/>
  <c r="AU7" i="7"/>
  <c r="AT7" i="7"/>
  <c r="AP7" i="7"/>
  <c r="AI7" i="7"/>
  <c r="AH7" i="7"/>
  <c r="AF7" i="7"/>
  <c r="AE7" i="7"/>
  <c r="AA7" i="7"/>
  <c r="Z7" i="7"/>
  <c r="Y7" i="7"/>
  <c r="X7" i="7"/>
  <c r="W7" i="7"/>
  <c r="P7" i="7"/>
  <c r="O7" i="7"/>
  <c r="AD7" i="7" s="1"/>
  <c r="N7" i="7"/>
  <c r="M7" i="7"/>
  <c r="AU6" i="7"/>
  <c r="AR6" i="7"/>
  <c r="AI6" i="7"/>
  <c r="AH6" i="7"/>
  <c r="AF6" i="7"/>
  <c r="AE6" i="7"/>
  <c r="AB6" i="7"/>
  <c r="AA6" i="7"/>
  <c r="Z6" i="7"/>
  <c r="Y6" i="7"/>
  <c r="X6" i="7"/>
  <c r="W6" i="7"/>
  <c r="P6" i="7"/>
  <c r="O6" i="7"/>
  <c r="AD6" i="7" s="1"/>
  <c r="N6" i="7"/>
  <c r="AC6" i="7" s="1"/>
  <c r="M6" i="7"/>
  <c r="AI5" i="7"/>
  <c r="AH5" i="7"/>
  <c r="W5" i="7"/>
  <c r="AI4" i="7"/>
  <c r="AU3" i="7"/>
  <c r="AO3" i="7"/>
  <c r="AI3" i="7"/>
  <c r="AH3" i="7"/>
  <c r="AN2" i="7"/>
  <c r="AN8" i="7" s="1"/>
  <c r="AM2" i="7"/>
  <c r="AL2" i="7"/>
  <c r="AK2" i="7"/>
  <c r="AJ2" i="7"/>
  <c r="AA2" i="7"/>
  <c r="A2" i="7"/>
  <c r="AU1" i="7"/>
  <c r="AU19" i="7" s="1"/>
  <c r="AR1" i="7"/>
  <c r="AR19" i="7" s="1"/>
  <c r="AQ1" i="7"/>
  <c r="AQ3" i="7" s="1"/>
  <c r="AP1" i="7"/>
  <c r="AP12" i="7" s="1"/>
  <c r="AO1" i="7"/>
  <c r="AO12" i="7" s="1"/>
  <c r="AA1" i="7"/>
  <c r="A1" i="7"/>
  <c r="AU14" i="6"/>
  <c r="AT14" i="6"/>
  <c r="AP14" i="6"/>
  <c r="AI14" i="6"/>
  <c r="AH14" i="6"/>
  <c r="AF14" i="6"/>
  <c r="AE14" i="6"/>
  <c r="AA14" i="6"/>
  <c r="Z14" i="6"/>
  <c r="Y14" i="6"/>
  <c r="X14" i="6"/>
  <c r="W14" i="6"/>
  <c r="P14" i="6"/>
  <c r="O14" i="6"/>
  <c r="AD14" i="6" s="1"/>
  <c r="N14" i="6"/>
  <c r="M14" i="6"/>
  <c r="AR14" i="6" s="1"/>
  <c r="AR13" i="6"/>
  <c r="AP13" i="6"/>
  <c r="AO13" i="6"/>
  <c r="AV13" i="6" s="1"/>
  <c r="AI13" i="6"/>
  <c r="AH13" i="6"/>
  <c r="AF13" i="6"/>
  <c r="AE13" i="6"/>
  <c r="AB13" i="6"/>
  <c r="AA13" i="6"/>
  <c r="Z13" i="6"/>
  <c r="Y13" i="6"/>
  <c r="X13" i="6"/>
  <c r="W13" i="6"/>
  <c r="P13" i="6"/>
  <c r="O13" i="6"/>
  <c r="AD13" i="6" s="1"/>
  <c r="N13" i="6"/>
  <c r="AC13" i="6" s="1"/>
  <c r="M13" i="6"/>
  <c r="AR12" i="6"/>
  <c r="AP12" i="6"/>
  <c r="AI12" i="6"/>
  <c r="AH12" i="6"/>
  <c r="AF12" i="6"/>
  <c r="AE12" i="6"/>
  <c r="AC12" i="6"/>
  <c r="AB12" i="6"/>
  <c r="AA12" i="6"/>
  <c r="Z12" i="6"/>
  <c r="Y12" i="6"/>
  <c r="X12" i="6"/>
  <c r="W12" i="6"/>
  <c r="P12" i="6"/>
  <c r="O12" i="6"/>
  <c r="AQ12" i="6" s="1"/>
  <c r="N12" i="6"/>
  <c r="AO12" i="6" s="1"/>
  <c r="AV12" i="6" s="1"/>
  <c r="M12" i="6"/>
  <c r="AU11" i="6"/>
  <c r="AT11" i="6"/>
  <c r="AP11" i="6"/>
  <c r="AN11" i="6"/>
  <c r="AJ11" i="6"/>
  <c r="AI11" i="6"/>
  <c r="AH11" i="6"/>
  <c r="AF11" i="6"/>
  <c r="AE11" i="6"/>
  <c r="AD11" i="6"/>
  <c r="AC11" i="6"/>
  <c r="AB11" i="6"/>
  <c r="AA11" i="6"/>
  <c r="Z11" i="6"/>
  <c r="Y11" i="6"/>
  <c r="X11" i="6"/>
  <c r="W11" i="6"/>
  <c r="P11" i="6"/>
  <c r="O11" i="6"/>
  <c r="AQ11" i="6" s="1"/>
  <c r="N11" i="6"/>
  <c r="AO11" i="6" s="1"/>
  <c r="AV11" i="6" s="1"/>
  <c r="M11" i="6"/>
  <c r="AV10" i="6"/>
  <c r="AU10" i="6"/>
  <c r="AP10" i="6"/>
  <c r="AO10" i="6"/>
  <c r="AI10" i="6"/>
  <c r="AT10" i="6" s="1"/>
  <c r="AH10" i="6"/>
  <c r="AF10" i="6"/>
  <c r="AE10" i="6"/>
  <c r="AD10" i="6"/>
  <c r="AC10" i="6"/>
  <c r="AA10" i="6"/>
  <c r="Z10" i="6"/>
  <c r="Y10" i="6"/>
  <c r="X10" i="6"/>
  <c r="W10" i="6"/>
  <c r="P10" i="6"/>
  <c r="O10" i="6"/>
  <c r="AQ10" i="6" s="1"/>
  <c r="N10" i="6"/>
  <c r="M10" i="6"/>
  <c r="AI9" i="6"/>
  <c r="AH9" i="6"/>
  <c r="W9" i="6"/>
  <c r="AR8" i="6"/>
  <c r="AP8" i="6"/>
  <c r="AJ8" i="6"/>
  <c r="AI8" i="6"/>
  <c r="AT8" i="6" s="1"/>
  <c r="AH8" i="6"/>
  <c r="AF8" i="6"/>
  <c r="AE8" i="6"/>
  <c r="AC8" i="6"/>
  <c r="AB8" i="6"/>
  <c r="AA8" i="6"/>
  <c r="Z8" i="6"/>
  <c r="Y8" i="6"/>
  <c r="X8" i="6"/>
  <c r="W8" i="6"/>
  <c r="P8" i="6"/>
  <c r="O8" i="6"/>
  <c r="AQ8" i="6" s="1"/>
  <c r="N8" i="6"/>
  <c r="AO8" i="6" s="1"/>
  <c r="AV8" i="6" s="1"/>
  <c r="M8" i="6"/>
  <c r="AU7" i="6"/>
  <c r="AT7" i="6"/>
  <c r="AP7" i="6"/>
  <c r="AJ7" i="6"/>
  <c r="AI7" i="6"/>
  <c r="AH7" i="6"/>
  <c r="AF7" i="6"/>
  <c r="AE7" i="6"/>
  <c r="AD7" i="6"/>
  <c r="AC7" i="6"/>
  <c r="AB7" i="6"/>
  <c r="AA7" i="6"/>
  <c r="Z7" i="6"/>
  <c r="Y7" i="6"/>
  <c r="X7" i="6"/>
  <c r="W7" i="6"/>
  <c r="P7" i="6"/>
  <c r="O7" i="6"/>
  <c r="AQ7" i="6" s="1"/>
  <c r="N7" i="6"/>
  <c r="AO7" i="6" s="1"/>
  <c r="AV7" i="6" s="1"/>
  <c r="M7" i="6"/>
  <c r="AU6" i="6"/>
  <c r="AP6" i="6"/>
  <c r="AO6" i="6"/>
  <c r="AV6" i="6" s="1"/>
  <c r="AI6" i="6"/>
  <c r="AT6" i="6" s="1"/>
  <c r="AH6" i="6"/>
  <c r="AF6" i="6"/>
  <c r="AE6" i="6"/>
  <c r="AD6" i="6"/>
  <c r="AC6" i="6"/>
  <c r="AA6" i="6"/>
  <c r="Z6" i="6"/>
  <c r="Y6" i="6"/>
  <c r="X6" i="6"/>
  <c r="W6" i="6"/>
  <c r="P6" i="6"/>
  <c r="O6" i="6"/>
  <c r="AQ6" i="6" s="1"/>
  <c r="N6" i="6"/>
  <c r="M6" i="6"/>
  <c r="AI5" i="6"/>
  <c r="AH5" i="6"/>
  <c r="W5" i="6"/>
  <c r="AI4" i="6"/>
  <c r="AR3" i="6"/>
  <c r="AQ3" i="6"/>
  <c r="AP3" i="6"/>
  <c r="AI3" i="6"/>
  <c r="AH3" i="6"/>
  <c r="AN2" i="6"/>
  <c r="AM2" i="6"/>
  <c r="AL2" i="6"/>
  <c r="AK2" i="6"/>
  <c r="AJ2" i="6"/>
  <c r="AJ14" i="6" s="1"/>
  <c r="AA2" i="6"/>
  <c r="A2" i="6"/>
  <c r="AU1" i="6"/>
  <c r="AU13" i="6" s="1"/>
  <c r="AR1" i="6"/>
  <c r="AR11" i="6" s="1"/>
  <c r="AQ1" i="6"/>
  <c r="AP1" i="6"/>
  <c r="AO1" i="6"/>
  <c r="AO3" i="6" s="1"/>
  <c r="AJ1" i="6"/>
  <c r="AH1" i="6"/>
  <c r="AH2" i="6" s="1"/>
  <c r="AA1" i="6"/>
  <c r="A1" i="6"/>
  <c r="B69" i="3"/>
  <c r="B67" i="3"/>
  <c r="B65" i="3"/>
  <c r="B63" i="3"/>
  <c r="B61" i="3"/>
  <c r="P59" i="3"/>
  <c r="O59" i="3"/>
  <c r="C56" i="3"/>
  <c r="C69" i="3" s="1"/>
  <c r="A55" i="3"/>
  <c r="A68" i="3" s="1"/>
  <c r="C54" i="3"/>
  <c r="C67" i="3" s="1"/>
  <c r="A53" i="3"/>
  <c r="A66" i="3" s="1"/>
  <c r="C52" i="3"/>
  <c r="C65" i="3" s="1"/>
  <c r="A51" i="3"/>
  <c r="A64" i="3" s="1"/>
  <c r="C50" i="3"/>
  <c r="C63" i="3" s="1"/>
  <c r="A49" i="3"/>
  <c r="A62" i="3" s="1"/>
  <c r="C48" i="3"/>
  <c r="C61" i="3" s="1"/>
  <c r="A47" i="3"/>
  <c r="A60" i="3" s="1"/>
  <c r="L46" i="3"/>
  <c r="L59" i="3" s="1"/>
  <c r="C43" i="3"/>
  <c r="C42" i="3"/>
  <c r="C55" i="3" s="1"/>
  <c r="C68" i="3" s="1"/>
  <c r="B42" i="3"/>
  <c r="B55" i="3" s="1"/>
  <c r="B68" i="3" s="1"/>
  <c r="A42" i="3"/>
  <c r="C41" i="3"/>
  <c r="C40" i="3"/>
  <c r="C53" i="3" s="1"/>
  <c r="C66" i="3" s="1"/>
  <c r="B40" i="3"/>
  <c r="B53" i="3" s="1"/>
  <c r="B66" i="3" s="1"/>
  <c r="A40" i="3"/>
  <c r="C39" i="3"/>
  <c r="C38" i="3"/>
  <c r="C51" i="3" s="1"/>
  <c r="C64" i="3" s="1"/>
  <c r="B38" i="3"/>
  <c r="B51" i="3" s="1"/>
  <c r="B64" i="3" s="1"/>
  <c r="A38" i="3"/>
  <c r="C37" i="3"/>
  <c r="C36" i="3"/>
  <c r="C49" i="3" s="1"/>
  <c r="C62" i="3" s="1"/>
  <c r="B36" i="3"/>
  <c r="B49" i="3" s="1"/>
  <c r="B62" i="3" s="1"/>
  <c r="A36" i="3"/>
  <c r="C35" i="3"/>
  <c r="C34" i="3"/>
  <c r="C47" i="3" s="1"/>
  <c r="C60" i="3" s="1"/>
  <c r="B34" i="3"/>
  <c r="B47" i="3" s="1"/>
  <c r="B60" i="3" s="1"/>
  <c r="A34" i="3"/>
  <c r="T33" i="3"/>
  <c r="T46" i="3" s="1"/>
  <c r="T59" i="3" s="1"/>
  <c r="S33" i="3"/>
  <c r="S46" i="3" s="1"/>
  <c r="S59" i="3" s="1"/>
  <c r="N33" i="3"/>
  <c r="N46" i="3" s="1"/>
  <c r="N59" i="3" s="1"/>
  <c r="M33" i="3"/>
  <c r="M46" i="3" s="1"/>
  <c r="M59" i="3" s="1"/>
  <c r="H33" i="3"/>
  <c r="H46" i="3" s="1"/>
  <c r="H59" i="3" s="1"/>
  <c r="G33" i="3"/>
  <c r="G46" i="3" s="1"/>
  <c r="G59" i="3" s="1"/>
  <c r="C30" i="3"/>
  <c r="B30" i="3"/>
  <c r="B43" i="3" s="1"/>
  <c r="B56" i="3" s="1"/>
  <c r="A30" i="3"/>
  <c r="A43" i="3" s="1"/>
  <c r="A56" i="3" s="1"/>
  <c r="A69" i="3" s="1"/>
  <c r="C29" i="3"/>
  <c r="B29" i="3"/>
  <c r="A29" i="3"/>
  <c r="C28" i="3"/>
  <c r="B28" i="3"/>
  <c r="B41" i="3" s="1"/>
  <c r="B54" i="3" s="1"/>
  <c r="A28" i="3"/>
  <c r="A41" i="3" s="1"/>
  <c r="A54" i="3" s="1"/>
  <c r="A67" i="3" s="1"/>
  <c r="C27" i="3"/>
  <c r="B27" i="3"/>
  <c r="A27" i="3"/>
  <c r="C26" i="3"/>
  <c r="B26" i="3"/>
  <c r="B39" i="3" s="1"/>
  <c r="B52" i="3" s="1"/>
  <c r="A26" i="3"/>
  <c r="A39" i="3" s="1"/>
  <c r="A52" i="3" s="1"/>
  <c r="A65" i="3" s="1"/>
  <c r="C25" i="3"/>
  <c r="B25" i="3"/>
  <c r="A25" i="3"/>
  <c r="C24" i="3"/>
  <c r="B24" i="3"/>
  <c r="B37" i="3" s="1"/>
  <c r="B50" i="3" s="1"/>
  <c r="A24" i="3"/>
  <c r="A37" i="3" s="1"/>
  <c r="A50" i="3" s="1"/>
  <c r="A63" i="3" s="1"/>
  <c r="C23" i="3"/>
  <c r="B23" i="3"/>
  <c r="A23" i="3"/>
  <c r="C22" i="3"/>
  <c r="B22" i="3"/>
  <c r="B35" i="3" s="1"/>
  <c r="B48" i="3" s="1"/>
  <c r="A22" i="3"/>
  <c r="A35" i="3" s="1"/>
  <c r="A48" i="3" s="1"/>
  <c r="A61" i="3" s="1"/>
  <c r="C21" i="3"/>
  <c r="B21" i="3"/>
  <c r="A21" i="3"/>
  <c r="V20" i="3"/>
  <c r="V33" i="3" s="1"/>
  <c r="V46" i="3" s="1"/>
  <c r="V59" i="3" s="1"/>
  <c r="U20" i="3"/>
  <c r="U33" i="3" s="1"/>
  <c r="U46" i="3" s="1"/>
  <c r="U59" i="3" s="1"/>
  <c r="T20" i="3"/>
  <c r="S20" i="3"/>
  <c r="P20" i="3"/>
  <c r="P33" i="3" s="1"/>
  <c r="P46" i="3" s="1"/>
  <c r="O20" i="3"/>
  <c r="O33" i="3" s="1"/>
  <c r="O46" i="3" s="1"/>
  <c r="N20" i="3"/>
  <c r="M20" i="3"/>
  <c r="J20" i="3"/>
  <c r="J33" i="3" s="1"/>
  <c r="J46" i="3" s="1"/>
  <c r="J59" i="3" s="1"/>
  <c r="I20" i="3"/>
  <c r="I33" i="3" s="1"/>
  <c r="I46" i="3" s="1"/>
  <c r="I59" i="3" s="1"/>
  <c r="H20" i="3"/>
  <c r="G20" i="3"/>
  <c r="D20" i="3"/>
  <c r="D33" i="3" s="1"/>
  <c r="D46" i="3" s="1"/>
  <c r="D59" i="3" s="1"/>
  <c r="W7" i="3"/>
  <c r="W20" i="3" s="1"/>
  <c r="W33" i="3" s="1"/>
  <c r="W46" i="3" s="1"/>
  <c r="W59" i="3" s="1"/>
  <c r="V7" i="3"/>
  <c r="U7" i="3"/>
  <c r="T7" i="3"/>
  <c r="S7" i="3"/>
  <c r="R7" i="3"/>
  <c r="R20" i="3" s="1"/>
  <c r="R33" i="3" s="1"/>
  <c r="R46" i="3" s="1"/>
  <c r="R59" i="3" s="1"/>
  <c r="Q7" i="3"/>
  <c r="Q20" i="3" s="1"/>
  <c r="Q33" i="3" s="1"/>
  <c r="Q46" i="3" s="1"/>
  <c r="Q59" i="3" s="1"/>
  <c r="P7" i="3"/>
  <c r="O7" i="3"/>
  <c r="N7" i="3"/>
  <c r="M7" i="3"/>
  <c r="L7" i="3"/>
  <c r="L20" i="3" s="1"/>
  <c r="L33" i="3" s="1"/>
  <c r="K7" i="3"/>
  <c r="K20" i="3" s="1"/>
  <c r="K33" i="3" s="1"/>
  <c r="K46" i="3" s="1"/>
  <c r="K59" i="3" s="1"/>
  <c r="J7" i="3"/>
  <c r="I7" i="3"/>
  <c r="H7" i="3"/>
  <c r="G7" i="3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A2" i="2"/>
  <c r="A1" i="2"/>
  <c r="AV11" i="1" l="1"/>
  <c r="AV17" i="1"/>
  <c r="AV24" i="1"/>
  <c r="AV29" i="1"/>
  <c r="AV42" i="1"/>
  <c r="AV41" i="1"/>
  <c r="AV35" i="1"/>
  <c r="AV48" i="1"/>
  <c r="AV21" i="1"/>
  <c r="AV30" i="1"/>
  <c r="AV47" i="1"/>
  <c r="AQ27" i="1"/>
  <c r="AQ7" i="1"/>
  <c r="AO9" i="1"/>
  <c r="AV9" i="1" s="1"/>
  <c r="AQ13" i="1"/>
  <c r="AO15" i="1"/>
  <c r="AV15" i="1" s="1"/>
  <c r="AQ19" i="1"/>
  <c r="AQ25" i="1"/>
  <c r="AQ31" i="1"/>
  <c r="AQ37" i="1"/>
  <c r="AQ43" i="1"/>
  <c r="AQ49" i="1"/>
  <c r="AQ21" i="1"/>
  <c r="AQ33" i="1"/>
  <c r="AO4" i="1"/>
  <c r="AV4" i="1" s="1"/>
  <c r="AQ8" i="1"/>
  <c r="AO10" i="1"/>
  <c r="AV10" i="1" s="1"/>
  <c r="AQ14" i="1"/>
  <c r="AO16" i="1"/>
  <c r="AV16" i="1" s="1"/>
  <c r="AQ20" i="1"/>
  <c r="AO22" i="1"/>
  <c r="AV22" i="1" s="1"/>
  <c r="AJ24" i="1"/>
  <c r="AQ26" i="1"/>
  <c r="AO28" i="1"/>
  <c r="AV28" i="1" s="1"/>
  <c r="AJ30" i="1"/>
  <c r="AQ32" i="1"/>
  <c r="AO34" i="1"/>
  <c r="AV34" i="1" s="1"/>
  <c r="AJ36" i="1"/>
  <c r="AQ38" i="1"/>
  <c r="AO40" i="1"/>
  <c r="AV40" i="1" s="1"/>
  <c r="AJ42" i="1"/>
  <c r="AQ44" i="1"/>
  <c r="AO46" i="1"/>
  <c r="AV46" i="1" s="1"/>
  <c r="AJ48" i="1"/>
  <c r="AQ50" i="1"/>
  <c r="AQ9" i="1"/>
  <c r="AQ39" i="1"/>
  <c r="AC8" i="1"/>
  <c r="AJ8" i="1"/>
  <c r="AT8" i="1"/>
  <c r="AV8" i="1" s="1"/>
  <c r="AB9" i="1"/>
  <c r="AC14" i="1"/>
  <c r="AJ14" i="1"/>
  <c r="AT14" i="1"/>
  <c r="AV14" i="1" s="1"/>
  <c r="AB15" i="1"/>
  <c r="AC20" i="1"/>
  <c r="AJ20" i="1"/>
  <c r="AT20" i="1"/>
  <c r="AV20" i="1" s="1"/>
  <c r="AB21" i="1"/>
  <c r="AC26" i="1"/>
  <c r="AJ26" i="1"/>
  <c r="AT26" i="1"/>
  <c r="AV26" i="1" s="1"/>
  <c r="AB27" i="1"/>
  <c r="AC32" i="1"/>
  <c r="AJ32" i="1"/>
  <c r="AT32" i="1"/>
  <c r="AV32" i="1" s="1"/>
  <c r="AB33" i="1"/>
  <c r="AC38" i="1"/>
  <c r="AJ38" i="1"/>
  <c r="AT38" i="1"/>
  <c r="AV38" i="1" s="1"/>
  <c r="AB39" i="1"/>
  <c r="AC44" i="1"/>
  <c r="AJ44" i="1"/>
  <c r="AT44" i="1"/>
  <c r="AV44" i="1" s="1"/>
  <c r="AB45" i="1"/>
  <c r="AC50" i="1"/>
  <c r="AJ50" i="1"/>
  <c r="AT50" i="1"/>
  <c r="AV50" i="1" s="1"/>
  <c r="AB4" i="1"/>
  <c r="AJ9" i="1"/>
  <c r="AB10" i="1"/>
  <c r="AJ15" i="1"/>
  <c r="AB16" i="1"/>
  <c r="AJ21" i="1"/>
  <c r="AB22" i="1"/>
  <c r="AB28" i="1"/>
  <c r="AJ33" i="1"/>
  <c r="AB34" i="1"/>
  <c r="AJ39" i="1"/>
  <c r="AT39" i="1"/>
  <c r="AV39" i="1" s="1"/>
  <c r="AB40" i="1"/>
  <c r="AJ45" i="1"/>
  <c r="AT45" i="1"/>
  <c r="AV45" i="1" s="1"/>
  <c r="AB46" i="1"/>
  <c r="AQ15" i="1"/>
  <c r="AQ45" i="1"/>
  <c r="AB5" i="1"/>
  <c r="AB11" i="1"/>
  <c r="AB17" i="1"/>
  <c r="AB23" i="1"/>
  <c r="AJ28" i="1"/>
  <c r="AB29" i="1"/>
  <c r="AJ34" i="1"/>
  <c r="AB35" i="1"/>
  <c r="AB41" i="1"/>
  <c r="AJ46" i="1"/>
  <c r="AB47" i="1"/>
  <c r="AT63" i="13"/>
  <c r="AJ63" i="13"/>
  <c r="AN63" i="13"/>
  <c r="AN12" i="6"/>
  <c r="AJ12" i="6"/>
  <c r="AT12" i="6"/>
  <c r="AQ11" i="9"/>
  <c r="AD9" i="8"/>
  <c r="AQ9" i="8"/>
  <c r="AD8" i="8"/>
  <c r="AQ8" i="8"/>
  <c r="AR39" i="9"/>
  <c r="AR29" i="9"/>
  <c r="AR25" i="9"/>
  <c r="AR15" i="9"/>
  <c r="AR3" i="9"/>
  <c r="AR41" i="9"/>
  <c r="AR31" i="9"/>
  <c r="AR27" i="9"/>
  <c r="AR23" i="9"/>
  <c r="AR19" i="9"/>
  <c r="AR33" i="9"/>
  <c r="AR6" i="9"/>
  <c r="AR21" i="9"/>
  <c r="AR17" i="9"/>
  <c r="AR10" i="9"/>
  <c r="AN6" i="9"/>
  <c r="AT6" i="9"/>
  <c r="AJ6" i="9"/>
  <c r="AN13" i="6"/>
  <c r="AT13" i="6"/>
  <c r="AJ13" i="6"/>
  <c r="AJ1" i="7"/>
  <c r="AH1" i="7"/>
  <c r="AH2" i="7" s="1"/>
  <c r="AQ6" i="7"/>
  <c r="AC13" i="9"/>
  <c r="AO13" i="9"/>
  <c r="AV13" i="9" s="1"/>
  <c r="AO25" i="9"/>
  <c r="AV25" i="9" s="1"/>
  <c r="AC25" i="9"/>
  <c r="AR8" i="7"/>
  <c r="AB8" i="7"/>
  <c r="AN19" i="7"/>
  <c r="AJ19" i="7"/>
  <c r="AT19" i="7"/>
  <c r="AR7" i="9"/>
  <c r="AC8" i="9"/>
  <c r="AO8" i="9"/>
  <c r="AR24" i="11"/>
  <c r="AB24" i="11"/>
  <c r="AN14" i="6"/>
  <c r="AN6" i="6"/>
  <c r="AN7" i="6"/>
  <c r="AN10" i="6"/>
  <c r="AO14" i="6"/>
  <c r="AV14" i="6" s="1"/>
  <c r="AC14" i="6"/>
  <c r="AJ38" i="9"/>
  <c r="AJ22" i="9"/>
  <c r="AJ34" i="9"/>
  <c r="AJ18" i="9"/>
  <c r="AJ12" i="9"/>
  <c r="AJ8" i="9"/>
  <c r="AJ36" i="9"/>
  <c r="AJ11" i="9"/>
  <c r="AJ7" i="9"/>
  <c r="AJ16" i="9"/>
  <c r="AJ24" i="9"/>
  <c r="AJ32" i="9"/>
  <c r="AJ28" i="9"/>
  <c r="AQ7" i="9"/>
  <c r="AQ14" i="6"/>
  <c r="AJ8" i="7"/>
  <c r="AJ7" i="7"/>
  <c r="AR7" i="7"/>
  <c r="AR9" i="7"/>
  <c r="AB9" i="7"/>
  <c r="AQ11" i="7"/>
  <c r="AN12" i="7"/>
  <c r="AT12" i="7"/>
  <c r="AJ12" i="7"/>
  <c r="AQ15" i="7"/>
  <c r="AQ18" i="7"/>
  <c r="AJ1" i="9"/>
  <c r="AH1" i="9"/>
  <c r="AH2" i="9" s="1"/>
  <c r="AQ6" i="9"/>
  <c r="AB12" i="9"/>
  <c r="AR12" i="9"/>
  <c r="AQ13" i="9"/>
  <c r="AD13" i="9"/>
  <c r="AO15" i="9"/>
  <c r="AC15" i="9"/>
  <c r="AT15" i="9"/>
  <c r="AJ15" i="9"/>
  <c r="AN15" i="9"/>
  <c r="AV22" i="11"/>
  <c r="AQ96" i="12"/>
  <c r="AQ104" i="12"/>
  <c r="AQ103" i="12"/>
  <c r="AQ92" i="12"/>
  <c r="AQ89" i="12"/>
  <c r="AQ3" i="12"/>
  <c r="AQ18" i="12"/>
  <c r="AQ6" i="12"/>
  <c r="AQ47" i="12"/>
  <c r="AQ17" i="12"/>
  <c r="AR6" i="12"/>
  <c r="AB6" i="12"/>
  <c r="AR30" i="13"/>
  <c r="AB30" i="13"/>
  <c r="AN37" i="13"/>
  <c r="AT37" i="13"/>
  <c r="AJ37" i="13"/>
  <c r="AR6" i="6"/>
  <c r="AB6" i="6"/>
  <c r="AO7" i="7"/>
  <c r="AV7" i="7" s="1"/>
  <c r="AC7" i="7"/>
  <c r="AQ8" i="7"/>
  <c r="AQ12" i="7"/>
  <c r="AN10" i="9"/>
  <c r="AT10" i="9"/>
  <c r="AJ10" i="9"/>
  <c r="AR11" i="9"/>
  <c r="AO12" i="9"/>
  <c r="AV12" i="9" s="1"/>
  <c r="AC12" i="9"/>
  <c r="AQ15" i="9"/>
  <c r="AD15" i="9"/>
  <c r="AT19" i="9"/>
  <c r="AJ19" i="9"/>
  <c r="AD28" i="9"/>
  <c r="AQ28" i="9"/>
  <c r="AT31" i="9"/>
  <c r="AJ31" i="9"/>
  <c r="AD32" i="9"/>
  <c r="AQ32" i="9"/>
  <c r="AR6" i="11"/>
  <c r="AB6" i="11"/>
  <c r="AR31" i="12"/>
  <c r="AB31" i="12"/>
  <c r="AN8" i="6"/>
  <c r="AQ13" i="6"/>
  <c r="AR18" i="7"/>
  <c r="AR14" i="7"/>
  <c r="AR10" i="7"/>
  <c r="AR3" i="7"/>
  <c r="AN6" i="7"/>
  <c r="AT6" i="7"/>
  <c r="AJ6" i="7"/>
  <c r="AQ7" i="7"/>
  <c r="AQ9" i="7"/>
  <c r="AR12" i="7"/>
  <c r="AV12" i="7" s="1"/>
  <c r="AR17" i="7"/>
  <c r="AB17" i="7"/>
  <c r="AJ18" i="7"/>
  <c r="AN8" i="8"/>
  <c r="AT8" i="8"/>
  <c r="AJ8" i="8"/>
  <c r="AO9" i="8"/>
  <c r="AV9" i="8" s="1"/>
  <c r="AC9" i="8"/>
  <c r="AR8" i="9"/>
  <c r="AB8" i="9"/>
  <c r="AO11" i="9"/>
  <c r="AV11" i="9" s="1"/>
  <c r="AC11" i="9"/>
  <c r="AR16" i="9"/>
  <c r="AB16" i="9"/>
  <c r="AN19" i="9"/>
  <c r="AQ23" i="9"/>
  <c r="AT23" i="9"/>
  <c r="AJ23" i="9"/>
  <c r="AD24" i="9"/>
  <c r="AQ24" i="9"/>
  <c r="AQ27" i="9"/>
  <c r="AT27" i="9"/>
  <c r="AJ27" i="9"/>
  <c r="AN31" i="9"/>
  <c r="AT7" i="10"/>
  <c r="AJ7" i="10"/>
  <c r="AN27" i="11"/>
  <c r="AT27" i="11"/>
  <c r="AJ27" i="11"/>
  <c r="AR32" i="11"/>
  <c r="AB32" i="11"/>
  <c r="AQ21" i="12"/>
  <c r="AN23" i="9"/>
  <c r="AN27" i="9"/>
  <c r="AR36" i="9"/>
  <c r="AB36" i="9"/>
  <c r="AU22" i="10"/>
  <c r="AU18" i="10"/>
  <c r="AU14" i="10"/>
  <c r="AU10" i="10"/>
  <c r="AU6" i="10"/>
  <c r="AU20" i="10"/>
  <c r="AU16" i="10"/>
  <c r="AU12" i="10"/>
  <c r="AU3" i="10"/>
  <c r="AU7" i="10"/>
  <c r="AU19" i="10"/>
  <c r="AU11" i="10"/>
  <c r="AU9" i="10"/>
  <c r="AR14" i="10"/>
  <c r="AB14" i="10"/>
  <c r="AR10" i="6"/>
  <c r="AB10" i="6"/>
  <c r="AQ17" i="7"/>
  <c r="AU9" i="8"/>
  <c r="AU8" i="8"/>
  <c r="AU3" i="8"/>
  <c r="AU7" i="8"/>
  <c r="AQ16" i="9"/>
  <c r="AQ3" i="9"/>
  <c r="AO7" i="9"/>
  <c r="AV7" i="9" s="1"/>
  <c r="AC7" i="9"/>
  <c r="AQ8" i="9"/>
  <c r="AQ10" i="9"/>
  <c r="AR13" i="9"/>
  <c r="AT13" i="9"/>
  <c r="AJ13" i="9"/>
  <c r="AN13" i="9"/>
  <c r="AQ22" i="9"/>
  <c r="AO29" i="9"/>
  <c r="AV29" i="9" s="1"/>
  <c r="AC29" i="9"/>
  <c r="AQ34" i="9"/>
  <c r="AQ41" i="9"/>
  <c r="AT41" i="9"/>
  <c r="AJ41" i="9"/>
  <c r="AN22" i="10"/>
  <c r="AN18" i="10"/>
  <c r="AN14" i="10"/>
  <c r="AN10" i="10"/>
  <c r="AN6" i="10"/>
  <c r="AN9" i="10"/>
  <c r="AN23" i="10"/>
  <c r="AN15" i="10"/>
  <c r="AN11" i="10"/>
  <c r="AR22" i="10"/>
  <c r="AB22" i="10"/>
  <c r="AJ9" i="12"/>
  <c r="AT9" i="12"/>
  <c r="AN9" i="12"/>
  <c r="AQ12" i="12"/>
  <c r="AQ50" i="12"/>
  <c r="AU3" i="6"/>
  <c r="AD8" i="6"/>
  <c r="AU8" i="6"/>
  <c r="AD12" i="6"/>
  <c r="AU12" i="6"/>
  <c r="AB14" i="6"/>
  <c r="AP3" i="7"/>
  <c r="AB7" i="7"/>
  <c r="AP9" i="7"/>
  <c r="AV9" i="7" s="1"/>
  <c r="AD11" i="7"/>
  <c r="AU11" i="7"/>
  <c r="AD15" i="7"/>
  <c r="AU15" i="7"/>
  <c r="AD19" i="7"/>
  <c r="AR3" i="8"/>
  <c r="AD7" i="8"/>
  <c r="AB9" i="8"/>
  <c r="AU40" i="9"/>
  <c r="AU22" i="9"/>
  <c r="AU18" i="9"/>
  <c r="AU38" i="9"/>
  <c r="AU34" i="9"/>
  <c r="AU16" i="9"/>
  <c r="AU12" i="9"/>
  <c r="AU36" i="9"/>
  <c r="AU32" i="9"/>
  <c r="AU28" i="9"/>
  <c r="AU24" i="9"/>
  <c r="AP3" i="9"/>
  <c r="AB7" i="9"/>
  <c r="AB11" i="9"/>
  <c r="AB13" i="9"/>
  <c r="AO17" i="9"/>
  <c r="AC17" i="9"/>
  <c r="AR18" i="9"/>
  <c r="AB18" i="9"/>
  <c r="AU21" i="9"/>
  <c r="AO24" i="9"/>
  <c r="AQ25" i="9"/>
  <c r="AT25" i="9"/>
  <c r="AJ25" i="9"/>
  <c r="AP27" i="9"/>
  <c r="AO28" i="9"/>
  <c r="AQ29" i="9"/>
  <c r="AT29" i="9"/>
  <c r="AJ29" i="9"/>
  <c r="AO33" i="9"/>
  <c r="AV33" i="9" s="1"/>
  <c r="AC33" i="9"/>
  <c r="AR34" i="9"/>
  <c r="AB34" i="9"/>
  <c r="AN36" i="9"/>
  <c r="AU37" i="9"/>
  <c r="AP39" i="9"/>
  <c r="AO3" i="10"/>
  <c r="AO20" i="10"/>
  <c r="AV20" i="10" s="1"/>
  <c r="AO16" i="10"/>
  <c r="AO12" i="10"/>
  <c r="AT15" i="10"/>
  <c r="AJ15" i="10"/>
  <c r="AN16" i="10"/>
  <c r="AT23" i="10"/>
  <c r="AJ23" i="10"/>
  <c r="AU22" i="11"/>
  <c r="AU18" i="11"/>
  <c r="AU14" i="11"/>
  <c r="AU10" i="11"/>
  <c r="AU6" i="11"/>
  <c r="AU32" i="11"/>
  <c r="AU28" i="11"/>
  <c r="AU24" i="11"/>
  <c r="AU20" i="11"/>
  <c r="AU16" i="11"/>
  <c r="AU31" i="11"/>
  <c r="AU27" i="11"/>
  <c r="AU26" i="11"/>
  <c r="AU12" i="11"/>
  <c r="AU3" i="11"/>
  <c r="AT7" i="11"/>
  <c r="AJ7" i="11"/>
  <c r="AT11" i="11"/>
  <c r="AJ11" i="11"/>
  <c r="AN12" i="11"/>
  <c r="AO14" i="11"/>
  <c r="AV14" i="11" s="1"/>
  <c r="AR16" i="11"/>
  <c r="AB16" i="11"/>
  <c r="AR20" i="11"/>
  <c r="AB20" i="11"/>
  <c r="AU21" i="11"/>
  <c r="AO24" i="11"/>
  <c r="AV24" i="11" s="1"/>
  <c r="AQ26" i="11"/>
  <c r="AN32" i="11"/>
  <c r="AO33" i="11"/>
  <c r="AV33" i="11" s="1"/>
  <c r="AC33" i="11"/>
  <c r="AJ1" i="12"/>
  <c r="AH1" i="12"/>
  <c r="AH2" i="12" s="1"/>
  <c r="AO6" i="12"/>
  <c r="AT10" i="12"/>
  <c r="AJ10" i="12"/>
  <c r="AQ14" i="12"/>
  <c r="AD14" i="12"/>
  <c r="AT21" i="12"/>
  <c r="AN21" i="12"/>
  <c r="AJ21" i="12"/>
  <c r="AQ25" i="12"/>
  <c r="AQ56" i="12"/>
  <c r="AC100" i="12"/>
  <c r="AO100" i="12"/>
  <c r="AV100" i="12" s="1"/>
  <c r="AD7" i="13"/>
  <c r="AQ7" i="13"/>
  <c r="AN12" i="9"/>
  <c r="AT12" i="9"/>
  <c r="AO16" i="9"/>
  <c r="AQ17" i="9"/>
  <c r="AT17" i="9"/>
  <c r="AJ17" i="9"/>
  <c r="AO21" i="9"/>
  <c r="AC21" i="9"/>
  <c r="AR22" i="9"/>
  <c r="AB22" i="9"/>
  <c r="AN25" i="9"/>
  <c r="AQ33" i="9"/>
  <c r="AT33" i="9"/>
  <c r="AJ33" i="9"/>
  <c r="AN34" i="9"/>
  <c r="AO37" i="9"/>
  <c r="AV37" i="9" s="1"/>
  <c r="AC37" i="9"/>
  <c r="AR38" i="9"/>
  <c r="AB38" i="9"/>
  <c r="AU39" i="9"/>
  <c r="AO9" i="10"/>
  <c r="AC9" i="10"/>
  <c r="AR10" i="10"/>
  <c r="AB10" i="10"/>
  <c r="AO14" i="10"/>
  <c r="AR18" i="10"/>
  <c r="AB18" i="10"/>
  <c r="AO22" i="10"/>
  <c r="AV22" i="10" s="1"/>
  <c r="AN22" i="11"/>
  <c r="AN18" i="11"/>
  <c r="AN14" i="11"/>
  <c r="AN10" i="11"/>
  <c r="AN6" i="11"/>
  <c r="AO6" i="11"/>
  <c r="AN7" i="11"/>
  <c r="AN11" i="11"/>
  <c r="AN16" i="11"/>
  <c r="AU17" i="11"/>
  <c r="AN20" i="11"/>
  <c r="AO21" i="11"/>
  <c r="AV21" i="11" s="1"/>
  <c r="AC21" i="11"/>
  <c r="AR22" i="11"/>
  <c r="AB22" i="11"/>
  <c r="AR28" i="11"/>
  <c r="AB28" i="11"/>
  <c r="AO31" i="11"/>
  <c r="AV31" i="11" s="1"/>
  <c r="AC31" i="11"/>
  <c r="AO32" i="11"/>
  <c r="AV32" i="11" s="1"/>
  <c r="AN101" i="12"/>
  <c r="AN102" i="12"/>
  <c r="AN98" i="12"/>
  <c r="AN69" i="12"/>
  <c r="AN47" i="12"/>
  <c r="AN100" i="12"/>
  <c r="AN85" i="12"/>
  <c r="AN53" i="12"/>
  <c r="AN49" i="12"/>
  <c r="AN45" i="12"/>
  <c r="AN41" i="12"/>
  <c r="AN37" i="12"/>
  <c r="AN92" i="12"/>
  <c r="AN18" i="12"/>
  <c r="AN15" i="12"/>
  <c r="AN90" i="12"/>
  <c r="AN84" i="12"/>
  <c r="AN76" i="12"/>
  <c r="AN60" i="12"/>
  <c r="AN19" i="12"/>
  <c r="AN88" i="12"/>
  <c r="AN40" i="12"/>
  <c r="AN36" i="12"/>
  <c r="AN52" i="12"/>
  <c r="AN28" i="12"/>
  <c r="AN80" i="12"/>
  <c r="AN72" i="12"/>
  <c r="AN64" i="12"/>
  <c r="AN44" i="12"/>
  <c r="AN29" i="12"/>
  <c r="AN25" i="12"/>
  <c r="AN10" i="12"/>
  <c r="AR19" i="12"/>
  <c r="AB19" i="12"/>
  <c r="AQ20" i="12"/>
  <c r="AN20" i="12"/>
  <c r="AQ46" i="12"/>
  <c r="AO6" i="7"/>
  <c r="AN7" i="7"/>
  <c r="AN40" i="9"/>
  <c r="AN22" i="9"/>
  <c r="AN18" i="9"/>
  <c r="AN16" i="9"/>
  <c r="AO6" i="9"/>
  <c r="AN7" i="9"/>
  <c r="AN11" i="9"/>
  <c r="AN17" i="9"/>
  <c r="AQ21" i="9"/>
  <c r="AT21" i="9"/>
  <c r="AJ21" i="9"/>
  <c r="AN33" i="9"/>
  <c r="AQ37" i="9"/>
  <c r="AT37" i="9"/>
  <c r="AJ37" i="9"/>
  <c r="AN38" i="9"/>
  <c r="AR40" i="9"/>
  <c r="AB40" i="9"/>
  <c r="AR6" i="10"/>
  <c r="AB6" i="10"/>
  <c r="AO17" i="11"/>
  <c r="AV17" i="11" s="1"/>
  <c r="AC17" i="11"/>
  <c r="AR18" i="11"/>
  <c r="AB18" i="11"/>
  <c r="AO20" i="11"/>
  <c r="AV20" i="11" s="1"/>
  <c r="AN31" i="11"/>
  <c r="AT31" i="11"/>
  <c r="AJ31" i="11"/>
  <c r="AO50" i="12"/>
  <c r="AO46" i="12"/>
  <c r="AO53" i="12"/>
  <c r="AV53" i="12" s="1"/>
  <c r="AO49" i="12"/>
  <c r="AO45" i="12"/>
  <c r="AO41" i="12"/>
  <c r="AO90" i="12"/>
  <c r="AO87" i="12"/>
  <c r="AO39" i="12"/>
  <c r="AO35" i="12"/>
  <c r="AO19" i="12"/>
  <c r="AO24" i="12"/>
  <c r="AO20" i="12"/>
  <c r="AO17" i="12"/>
  <c r="AO79" i="12"/>
  <c r="AO71" i="12"/>
  <c r="AO63" i="12"/>
  <c r="AO43" i="12"/>
  <c r="AO55" i="12"/>
  <c r="AO31" i="12"/>
  <c r="AO3" i="12"/>
  <c r="AQ11" i="12"/>
  <c r="AD11" i="12"/>
  <c r="AQ28" i="12"/>
  <c r="AQ32" i="12"/>
  <c r="AO62" i="12"/>
  <c r="AC62" i="12"/>
  <c r="AN62" i="12"/>
  <c r="AO70" i="12"/>
  <c r="AV70" i="12" s="1"/>
  <c r="AC70" i="12"/>
  <c r="AN70" i="12"/>
  <c r="AJ6" i="6"/>
  <c r="AR7" i="6"/>
  <c r="AJ10" i="6"/>
  <c r="AP6" i="7"/>
  <c r="AJ9" i="7"/>
  <c r="AJ17" i="7"/>
  <c r="AP38" i="9"/>
  <c r="AV38" i="9" s="1"/>
  <c r="AP16" i="9"/>
  <c r="AP36" i="9"/>
  <c r="AV36" i="9" s="1"/>
  <c r="AP28" i="9"/>
  <c r="AP24" i="9"/>
  <c r="AP40" i="9"/>
  <c r="AV40" i="9" s="1"/>
  <c r="AP22" i="9"/>
  <c r="AV22" i="9" s="1"/>
  <c r="AP6" i="9"/>
  <c r="AN8" i="9"/>
  <c r="AP17" i="9"/>
  <c r="AC19" i="9"/>
  <c r="AO19" i="9"/>
  <c r="AV19" i="9" s="1"/>
  <c r="AN21" i="9"/>
  <c r="AC23" i="9"/>
  <c r="AO23" i="9"/>
  <c r="AV23" i="9" s="1"/>
  <c r="AR24" i="9"/>
  <c r="AB24" i="9"/>
  <c r="AC27" i="9"/>
  <c r="AO27" i="9"/>
  <c r="AV27" i="9" s="1"/>
  <c r="AR28" i="9"/>
  <c r="AB28" i="9"/>
  <c r="AC31" i="9"/>
  <c r="AO31" i="9"/>
  <c r="AV31" i="9" s="1"/>
  <c r="AR32" i="9"/>
  <c r="AB32" i="9"/>
  <c r="AQ36" i="9"/>
  <c r="AN37" i="9"/>
  <c r="AO39" i="9"/>
  <c r="AC39" i="9"/>
  <c r="AT11" i="10"/>
  <c r="AJ11" i="10"/>
  <c r="AN12" i="10"/>
  <c r="AT19" i="10"/>
  <c r="AJ19" i="10"/>
  <c r="AN20" i="10"/>
  <c r="AO9" i="11"/>
  <c r="AV9" i="11" s="1"/>
  <c r="AC9" i="11"/>
  <c r="AR10" i="11"/>
  <c r="AB10" i="11"/>
  <c r="AR14" i="11"/>
  <c r="AB14" i="11"/>
  <c r="AQ20" i="11"/>
  <c r="AN21" i="11"/>
  <c r="AO27" i="11"/>
  <c r="AV27" i="11" s="1"/>
  <c r="AC27" i="11"/>
  <c r="AO29" i="11"/>
  <c r="AV29" i="11" s="1"/>
  <c r="AC29" i="11"/>
  <c r="AJ103" i="12"/>
  <c r="AJ88" i="12"/>
  <c r="AJ84" i="12"/>
  <c r="AJ80" i="12"/>
  <c r="AJ76" i="12"/>
  <c r="AJ72" i="12"/>
  <c r="AJ64" i="12"/>
  <c r="AJ60" i="12"/>
  <c r="AJ56" i="12"/>
  <c r="AJ52" i="12"/>
  <c r="AJ44" i="12"/>
  <c r="AJ40" i="12"/>
  <c r="AJ36" i="12"/>
  <c r="AJ32" i="12"/>
  <c r="AJ18" i="12"/>
  <c r="AJ14" i="12"/>
  <c r="AJ101" i="12"/>
  <c r="AJ89" i="12"/>
  <c r="AJ82" i="12"/>
  <c r="AJ78" i="12"/>
  <c r="AJ74" i="12"/>
  <c r="AJ102" i="12"/>
  <c r="AJ98" i="12"/>
  <c r="AJ69" i="12"/>
  <c r="AJ47" i="12"/>
  <c r="AJ93" i="12"/>
  <c r="AJ8" i="12"/>
  <c r="AJ85" i="12"/>
  <c r="AJ22" i="12"/>
  <c r="AJ15" i="12"/>
  <c r="AJ12" i="12"/>
  <c r="AJ41" i="12"/>
  <c r="AJ37" i="12"/>
  <c r="AJ19" i="12"/>
  <c r="AJ53" i="12"/>
  <c r="AJ49" i="12"/>
  <c r="AJ45" i="12"/>
  <c r="AJ20" i="12"/>
  <c r="AJ6" i="12"/>
  <c r="AQ8" i="12"/>
  <c r="AJ11" i="12"/>
  <c r="AQ29" i="12"/>
  <c r="AO75" i="12"/>
  <c r="AO83" i="12"/>
  <c r="AO41" i="9"/>
  <c r="AV41" i="9" s="1"/>
  <c r="AP6" i="10"/>
  <c r="AV6" i="10" s="1"/>
  <c r="AO7" i="10"/>
  <c r="AP10" i="10"/>
  <c r="AV10" i="10" s="1"/>
  <c r="AO11" i="10"/>
  <c r="AV11" i="10" s="1"/>
  <c r="AP14" i="10"/>
  <c r="AO15" i="10"/>
  <c r="AV15" i="10" s="1"/>
  <c r="AP18" i="10"/>
  <c r="AV18" i="10" s="1"/>
  <c r="AO19" i="10"/>
  <c r="AV19" i="10" s="1"/>
  <c r="AP22" i="10"/>
  <c r="AO23" i="10"/>
  <c r="AV23" i="10" s="1"/>
  <c r="AP6" i="11"/>
  <c r="AO7" i="11"/>
  <c r="AV7" i="11" s="1"/>
  <c r="AO11" i="11"/>
  <c r="AV11" i="11" s="1"/>
  <c r="AP14" i="11"/>
  <c r="AP22" i="11"/>
  <c r="AR102" i="12"/>
  <c r="AR98" i="12"/>
  <c r="AR95" i="12"/>
  <c r="AR104" i="12"/>
  <c r="AR103" i="12"/>
  <c r="AR92" i="12"/>
  <c r="AR88" i="12"/>
  <c r="AR82" i="12"/>
  <c r="AR78" i="12"/>
  <c r="AR74" i="12"/>
  <c r="AR70" i="12"/>
  <c r="AR66" i="12"/>
  <c r="AR62" i="12"/>
  <c r="AR58" i="12"/>
  <c r="AR34" i="12"/>
  <c r="AR69" i="12"/>
  <c r="AR47" i="12"/>
  <c r="AR29" i="12"/>
  <c r="AR25" i="12"/>
  <c r="AO9" i="12"/>
  <c r="AN11" i="12"/>
  <c r="AQ13" i="12"/>
  <c r="AO14" i="12"/>
  <c r="AV14" i="12" s="1"/>
  <c r="AR15" i="12"/>
  <c r="AB15" i="12"/>
  <c r="AP15" i="12"/>
  <c r="AV15" i="12" s="1"/>
  <c r="AR17" i="12"/>
  <c r="AB20" i="12"/>
  <c r="AU20" i="12"/>
  <c r="AQ24" i="12"/>
  <c r="AD25" i="12"/>
  <c r="AB28" i="12"/>
  <c r="AT28" i="12"/>
  <c r="AJ28" i="12"/>
  <c r="AD29" i="12"/>
  <c r="AO30" i="12"/>
  <c r="AR36" i="12"/>
  <c r="AR40" i="12"/>
  <c r="AQ44" i="12"/>
  <c r="AQ45" i="12"/>
  <c r="AN46" i="12"/>
  <c r="AT46" i="12"/>
  <c r="AJ46" i="12"/>
  <c r="AQ49" i="12"/>
  <c r="AN50" i="12"/>
  <c r="AT50" i="12"/>
  <c r="AJ50" i="12"/>
  <c r="AQ53" i="12"/>
  <c r="AR55" i="12"/>
  <c r="AB55" i="12"/>
  <c r="AN55" i="12"/>
  <c r="AP62" i="12"/>
  <c r="AQ64" i="12"/>
  <c r="AO69" i="12"/>
  <c r="AQ72" i="12"/>
  <c r="AQ80" i="12"/>
  <c r="AR85" i="12"/>
  <c r="AR90" i="12"/>
  <c r="AN93" i="12"/>
  <c r="AQ40" i="9"/>
  <c r="AQ6" i="10"/>
  <c r="AQ10" i="10"/>
  <c r="AQ14" i="10"/>
  <c r="AQ18" i="10"/>
  <c r="AQ22" i="10"/>
  <c r="AQ6" i="11"/>
  <c r="AQ10" i="11"/>
  <c r="AQ14" i="11"/>
  <c r="AJ16" i="11"/>
  <c r="AQ18" i="11"/>
  <c r="AJ20" i="11"/>
  <c r="AQ22" i="11"/>
  <c r="AJ24" i="11"/>
  <c r="AJ28" i="11"/>
  <c r="AU93" i="12"/>
  <c r="AU89" i="12"/>
  <c r="AU104" i="12"/>
  <c r="AU96" i="12"/>
  <c r="AU103" i="12"/>
  <c r="AU95" i="12"/>
  <c r="AU88" i="12"/>
  <c r="AU87" i="12"/>
  <c r="AU83" i="12"/>
  <c r="AU79" i="12"/>
  <c r="AU75" i="12"/>
  <c r="AU71" i="12"/>
  <c r="AU67" i="12"/>
  <c r="AU63" i="12"/>
  <c r="AU59" i="12"/>
  <c r="AU55" i="12"/>
  <c r="AU43" i="12"/>
  <c r="AU39" i="12"/>
  <c r="AU35" i="12"/>
  <c r="AU31" i="12"/>
  <c r="AU17" i="12"/>
  <c r="AU13" i="12"/>
  <c r="AU100" i="12"/>
  <c r="AU92" i="12"/>
  <c r="AU90" i="12"/>
  <c r="AU82" i="12"/>
  <c r="AU78" i="12"/>
  <c r="AU74" i="12"/>
  <c r="AU70" i="12"/>
  <c r="AU66" i="12"/>
  <c r="AU62" i="12"/>
  <c r="AU58" i="12"/>
  <c r="AU34" i="12"/>
  <c r="AU30" i="12"/>
  <c r="AU26" i="12"/>
  <c r="AU22" i="12"/>
  <c r="AU12" i="12"/>
  <c r="AU69" i="12"/>
  <c r="AU47" i="12"/>
  <c r="AU101" i="12"/>
  <c r="AU50" i="12"/>
  <c r="AU46" i="12"/>
  <c r="AU102" i="12"/>
  <c r="AU98" i="12"/>
  <c r="AU85" i="12"/>
  <c r="AU53" i="12"/>
  <c r="AU49" i="12"/>
  <c r="AU45" i="12"/>
  <c r="AU41" i="12"/>
  <c r="AU37" i="12"/>
  <c r="AR8" i="12"/>
  <c r="AB8" i="12"/>
  <c r="AP9" i="12"/>
  <c r="AQ19" i="12"/>
  <c r="AU19" i="12"/>
  <c r="AT24" i="12"/>
  <c r="AJ24" i="12"/>
  <c r="AN26" i="12"/>
  <c r="AN30" i="12"/>
  <c r="AT30" i="12"/>
  <c r="AQ31" i="12"/>
  <c r="AO34" i="12"/>
  <c r="AV34" i="12" s="1"/>
  <c r="AC34" i="12"/>
  <c r="AN34" i="12"/>
  <c r="AT34" i="12"/>
  <c r="AJ34" i="12"/>
  <c r="AQ37" i="12"/>
  <c r="AQ41" i="12"/>
  <c r="AR43" i="12"/>
  <c r="AB43" i="12"/>
  <c r="AN43" i="12"/>
  <c r="AR46" i="12"/>
  <c r="AR50" i="12"/>
  <c r="AQ52" i="12"/>
  <c r="AO58" i="12"/>
  <c r="AV58" i="12" s="1"/>
  <c r="AC58" i="12"/>
  <c r="AN58" i="12"/>
  <c r="AR60" i="12"/>
  <c r="AR63" i="12"/>
  <c r="AB63" i="12"/>
  <c r="AN63" i="12"/>
  <c r="AR71" i="12"/>
  <c r="AB71" i="12"/>
  <c r="AN71" i="12"/>
  <c r="AO74" i="12"/>
  <c r="AV74" i="12" s="1"/>
  <c r="AC74" i="12"/>
  <c r="AN74" i="12"/>
  <c r="AR76" i="12"/>
  <c r="AR79" i="12"/>
  <c r="AB79" i="12"/>
  <c r="AN79" i="12"/>
  <c r="AO82" i="12"/>
  <c r="AV82" i="12" s="1"/>
  <c r="AC82" i="12"/>
  <c r="AN82" i="12"/>
  <c r="AR84" i="12"/>
  <c r="AO93" i="12"/>
  <c r="AC93" i="12"/>
  <c r="AR101" i="12"/>
  <c r="AB101" i="12"/>
  <c r="AN15" i="13"/>
  <c r="AT15" i="13"/>
  <c r="AJ15" i="13"/>
  <c r="AJ39" i="9"/>
  <c r="AJ9" i="10"/>
  <c r="AP12" i="10"/>
  <c r="AP16" i="10"/>
  <c r="AJ9" i="11"/>
  <c r="AJ17" i="11"/>
  <c r="AJ21" i="11"/>
  <c r="AJ29" i="11"/>
  <c r="AJ33" i="11"/>
  <c r="AU6" i="12"/>
  <c r="AQ9" i="12"/>
  <c r="AN12" i="12"/>
  <c r="AQ15" i="12"/>
  <c r="AU15" i="12"/>
  <c r="AN17" i="12"/>
  <c r="AT17" i="12"/>
  <c r="AJ17" i="12"/>
  <c r="AR18" i="12"/>
  <c r="AB18" i="12"/>
  <c r="AD22" i="12"/>
  <c r="AQ22" i="12"/>
  <c r="AN22" i="12"/>
  <c r="AN24" i="12"/>
  <c r="AJ26" i="12"/>
  <c r="AJ30" i="12"/>
  <c r="AU32" i="12"/>
  <c r="AQ36" i="12"/>
  <c r="AQ40" i="12"/>
  <c r="AU56" i="12"/>
  <c r="AO66" i="12"/>
  <c r="AV66" i="12" s="1"/>
  <c r="AC66" i="12"/>
  <c r="AN66" i="12"/>
  <c r="AQ69" i="12"/>
  <c r="AU72" i="12"/>
  <c r="AU80" i="12"/>
  <c r="AQ85" i="12"/>
  <c r="AQ88" i="12"/>
  <c r="AD95" i="12"/>
  <c r="AQ95" i="12"/>
  <c r="AN95" i="12"/>
  <c r="AJ95" i="12"/>
  <c r="AO104" i="12"/>
  <c r="AV104" i="12" s="1"/>
  <c r="AC104" i="12"/>
  <c r="AN104" i="12"/>
  <c r="AT104" i="12"/>
  <c r="AJ104" i="12"/>
  <c r="AV9" i="13"/>
  <c r="AN13" i="12"/>
  <c r="AT13" i="12"/>
  <c r="AJ13" i="12"/>
  <c r="AR14" i="12"/>
  <c r="AB14" i="12"/>
  <c r="AO21" i="12"/>
  <c r="AR35" i="12"/>
  <c r="AB35" i="12"/>
  <c r="AN35" i="12"/>
  <c r="AR39" i="12"/>
  <c r="AB39" i="12"/>
  <c r="AN39" i="12"/>
  <c r="AO47" i="12"/>
  <c r="AR59" i="12"/>
  <c r="AB59" i="12"/>
  <c r="AN59" i="12"/>
  <c r="AQ60" i="12"/>
  <c r="AQ76" i="12"/>
  <c r="AQ84" i="12"/>
  <c r="AR87" i="12"/>
  <c r="AB87" i="12"/>
  <c r="AN87" i="12"/>
  <c r="AR89" i="12"/>
  <c r="AB89" i="12"/>
  <c r="AQ98" i="12"/>
  <c r="AN23" i="13"/>
  <c r="AT23" i="13"/>
  <c r="AJ23" i="13"/>
  <c r="AR85" i="13"/>
  <c r="AB85" i="13"/>
  <c r="AB12" i="10"/>
  <c r="AB16" i="10"/>
  <c r="AB20" i="10"/>
  <c r="AB12" i="11"/>
  <c r="AP20" i="11"/>
  <c r="AP24" i="11"/>
  <c r="AB26" i="11"/>
  <c r="AP89" i="12"/>
  <c r="AP69" i="12"/>
  <c r="AP47" i="12"/>
  <c r="AP21" i="12"/>
  <c r="AP50" i="12"/>
  <c r="AP46" i="12"/>
  <c r="AP24" i="12"/>
  <c r="AP20" i="12"/>
  <c r="AP93" i="12"/>
  <c r="AP53" i="12"/>
  <c r="AP49" i="12"/>
  <c r="AP45" i="12"/>
  <c r="AP41" i="12"/>
  <c r="AP90" i="12"/>
  <c r="AP84" i="12"/>
  <c r="AP80" i="12"/>
  <c r="AP76" i="12"/>
  <c r="AP72" i="12"/>
  <c r="AP52" i="12"/>
  <c r="AP40" i="12"/>
  <c r="AP36" i="12"/>
  <c r="AP88" i="12"/>
  <c r="AP87" i="12"/>
  <c r="AP83" i="12"/>
  <c r="AP79" i="12"/>
  <c r="AP75" i="12"/>
  <c r="AP71" i="12"/>
  <c r="AP63" i="12"/>
  <c r="AP55" i="12"/>
  <c r="AP43" i="12"/>
  <c r="AP39" i="12"/>
  <c r="AP35" i="12"/>
  <c r="AP31" i="12"/>
  <c r="AU3" i="12"/>
  <c r="AP6" i="12"/>
  <c r="AU8" i="12"/>
  <c r="AU9" i="12"/>
  <c r="AC12" i="12"/>
  <c r="AO13" i="12"/>
  <c r="AV13" i="12" s="1"/>
  <c r="AU14" i="12"/>
  <c r="AP17" i="12"/>
  <c r="AC22" i="12"/>
  <c r="AU25" i="12"/>
  <c r="AR26" i="12"/>
  <c r="AU29" i="12"/>
  <c r="AR30" i="12"/>
  <c r="AC32" i="12"/>
  <c r="AO32" i="12"/>
  <c r="AV32" i="12" s="1"/>
  <c r="AU36" i="12"/>
  <c r="AU40" i="12"/>
  <c r="AR44" i="12"/>
  <c r="AR45" i="12"/>
  <c r="AR49" i="12"/>
  <c r="AR53" i="12"/>
  <c r="AR64" i="12"/>
  <c r="AR67" i="12"/>
  <c r="AB67" i="12"/>
  <c r="AN67" i="12"/>
  <c r="AR72" i="12"/>
  <c r="AR75" i="12"/>
  <c r="AB75" i="12"/>
  <c r="AN75" i="12"/>
  <c r="AO78" i="12"/>
  <c r="AC78" i="12"/>
  <c r="AN78" i="12"/>
  <c r="AR80" i="12"/>
  <c r="AR83" i="12"/>
  <c r="AB83" i="12"/>
  <c r="AN83" i="12"/>
  <c r="AO89" i="12"/>
  <c r="AQ102" i="12"/>
  <c r="AR13" i="13"/>
  <c r="AB13" i="13"/>
  <c r="AQ26" i="12"/>
  <c r="AQ30" i="12"/>
  <c r="AQ34" i="12"/>
  <c r="AO36" i="12"/>
  <c r="AO40" i="12"/>
  <c r="AV40" i="12" s="1"/>
  <c r="AO44" i="12"/>
  <c r="AV44" i="12" s="1"/>
  <c r="AO52" i="12"/>
  <c r="AO56" i="12"/>
  <c r="AV56" i="12" s="1"/>
  <c r="AQ58" i="12"/>
  <c r="AO60" i="12"/>
  <c r="AV60" i="12" s="1"/>
  <c r="AQ62" i="12"/>
  <c r="AO64" i="12"/>
  <c r="AV64" i="12" s="1"/>
  <c r="AQ66" i="12"/>
  <c r="AQ70" i="12"/>
  <c r="AO72" i="12"/>
  <c r="AV72" i="12" s="1"/>
  <c r="AQ74" i="12"/>
  <c r="AO76" i="12"/>
  <c r="AV76" i="12" s="1"/>
  <c r="AQ78" i="12"/>
  <c r="AO80" i="12"/>
  <c r="AQ82" i="12"/>
  <c r="AO84" i="12"/>
  <c r="AQ100" i="12"/>
  <c r="AQ6" i="13"/>
  <c r="AJ10" i="13"/>
  <c r="AR23" i="13"/>
  <c r="AO25" i="13"/>
  <c r="AC25" i="13"/>
  <c r="AQ31" i="13"/>
  <c r="AQ32" i="13"/>
  <c r="AN33" i="13"/>
  <c r="AT33" i="13"/>
  <c r="AJ33" i="13"/>
  <c r="AR37" i="13"/>
  <c r="AQ39" i="13"/>
  <c r="AQ42" i="13"/>
  <c r="AO45" i="13"/>
  <c r="AC45" i="13"/>
  <c r="AR47" i="13"/>
  <c r="AQ48" i="13"/>
  <c r="AN49" i="13"/>
  <c r="AT49" i="13"/>
  <c r="AJ49" i="13"/>
  <c r="AR56" i="13"/>
  <c r="AB56" i="13"/>
  <c r="AQ58" i="13"/>
  <c r="AQ71" i="13"/>
  <c r="AT71" i="13"/>
  <c r="AJ71" i="13"/>
  <c r="AN71" i="13"/>
  <c r="AR77" i="13"/>
  <c r="AC89" i="13"/>
  <c r="AO89" i="13"/>
  <c r="AV89" i="13" s="1"/>
  <c r="AR95" i="13"/>
  <c r="AO98" i="13"/>
  <c r="AV98" i="13" s="1"/>
  <c r="AC98" i="13"/>
  <c r="AQ35" i="12"/>
  <c r="AQ39" i="12"/>
  <c r="AQ43" i="12"/>
  <c r="AQ55" i="12"/>
  <c r="AQ59" i="12"/>
  <c r="AQ63" i="12"/>
  <c r="AQ67" i="12"/>
  <c r="AQ71" i="12"/>
  <c r="AQ75" i="12"/>
  <c r="AQ79" i="12"/>
  <c r="AQ83" i="12"/>
  <c r="AQ87" i="12"/>
  <c r="AO88" i="12"/>
  <c r="AV88" i="12" s="1"/>
  <c r="AN89" i="12"/>
  <c r="AQ101" i="12"/>
  <c r="AJ136" i="13"/>
  <c r="AJ132" i="13"/>
  <c r="AJ126" i="13"/>
  <c r="AJ118" i="13"/>
  <c r="AJ114" i="13"/>
  <c r="AJ110" i="13"/>
  <c r="AJ135" i="13"/>
  <c r="AJ131" i="13"/>
  <c r="AJ125" i="13"/>
  <c r="AJ113" i="13"/>
  <c r="AJ109" i="13"/>
  <c r="AJ101" i="13"/>
  <c r="AJ138" i="13"/>
  <c r="AJ130" i="13"/>
  <c r="AJ108" i="13"/>
  <c r="AJ104" i="13"/>
  <c r="AJ100" i="13"/>
  <c r="AJ128" i="13"/>
  <c r="AJ120" i="13"/>
  <c r="AJ116" i="13"/>
  <c r="AJ106" i="13"/>
  <c r="AJ98" i="13"/>
  <c r="AJ84" i="13"/>
  <c r="AJ80" i="13"/>
  <c r="AJ53" i="13"/>
  <c r="AJ43" i="13"/>
  <c r="AJ94" i="13"/>
  <c r="AJ92" i="13"/>
  <c r="AJ86" i="13"/>
  <c r="AJ76" i="13"/>
  <c r="AJ72" i="13"/>
  <c r="AJ70" i="13"/>
  <c r="AJ64" i="13"/>
  <c r="AJ62" i="13"/>
  <c r="AJ56" i="13"/>
  <c r="AJ52" i="13"/>
  <c r="AJ46" i="13"/>
  <c r="AJ42" i="13"/>
  <c r="AJ30" i="13"/>
  <c r="AJ8" i="13"/>
  <c r="AJ90" i="13"/>
  <c r="AV11" i="13"/>
  <c r="AQ13" i="13"/>
  <c r="AU14" i="13"/>
  <c r="AQ17" i="13"/>
  <c r="AQ18" i="13"/>
  <c r="AU21" i="13"/>
  <c r="AV21" i="13" s="1"/>
  <c r="AQ25" i="13"/>
  <c r="AQ27" i="13"/>
  <c r="AQ30" i="13"/>
  <c r="AJ32" i="13"/>
  <c r="AR33" i="13"/>
  <c r="AQ35" i="13"/>
  <c r="AU39" i="13"/>
  <c r="AU43" i="13"/>
  <c r="AQ45" i="13"/>
  <c r="AJ48" i="13"/>
  <c r="AR49" i="13"/>
  <c r="AO51" i="13"/>
  <c r="AV51" i="13" s="1"/>
  <c r="AC51" i="13"/>
  <c r="AR53" i="13"/>
  <c r="AO65" i="13"/>
  <c r="AC65" i="13"/>
  <c r="AR74" i="13"/>
  <c r="AQ75" i="13"/>
  <c r="AD82" i="13"/>
  <c r="AQ82" i="13"/>
  <c r="AN82" i="13"/>
  <c r="AJ82" i="13"/>
  <c r="AR90" i="13"/>
  <c r="AB90" i="13"/>
  <c r="AJ58" i="12"/>
  <c r="AT58" i="12"/>
  <c r="AJ62" i="12"/>
  <c r="AT62" i="12"/>
  <c r="AJ66" i="12"/>
  <c r="AT66" i="12"/>
  <c r="AJ70" i="12"/>
  <c r="AT70" i="12"/>
  <c r="AO96" i="12"/>
  <c r="AV96" i="12" s="1"/>
  <c r="AC96" i="12"/>
  <c r="AN96" i="12"/>
  <c r="AT96" i="12"/>
  <c r="AJ96" i="12"/>
  <c r="AQ74" i="13"/>
  <c r="AQ92" i="13"/>
  <c r="AQ76" i="13"/>
  <c r="AQ72" i="13"/>
  <c r="AQ70" i="13"/>
  <c r="AQ64" i="13"/>
  <c r="AQ62" i="13"/>
  <c r="AQ83" i="13"/>
  <c r="AQ3" i="13"/>
  <c r="AR8" i="13"/>
  <c r="AB8" i="13"/>
  <c r="AR9" i="13"/>
  <c r="AB9" i="13"/>
  <c r="AQ11" i="13"/>
  <c r="AQ14" i="13"/>
  <c r="AJ18" i="13"/>
  <c r="AQ19" i="13"/>
  <c r="AN27" i="13"/>
  <c r="AT27" i="13"/>
  <c r="AJ27" i="13"/>
  <c r="AU35" i="13"/>
  <c r="AR46" i="13"/>
  <c r="AB46" i="13"/>
  <c r="AQ47" i="13"/>
  <c r="AQ51" i="13"/>
  <c r="AQ56" i="13"/>
  <c r="AC59" i="13"/>
  <c r="AO59" i="13"/>
  <c r="AV59" i="13" s="1"/>
  <c r="AO73" i="13"/>
  <c r="AV73" i="13" s="1"/>
  <c r="AC73" i="13"/>
  <c r="AQ77" i="13"/>
  <c r="AT77" i="13"/>
  <c r="AJ77" i="13"/>
  <c r="AN77" i="13"/>
  <c r="AT79" i="13"/>
  <c r="AJ79" i="13"/>
  <c r="AN79" i="13"/>
  <c r="AR84" i="13"/>
  <c r="AB84" i="13"/>
  <c r="AN91" i="13"/>
  <c r="AJ91" i="13"/>
  <c r="AT91" i="13"/>
  <c r="AQ108" i="13"/>
  <c r="AQ114" i="13"/>
  <c r="AQ116" i="13"/>
  <c r="AQ123" i="13"/>
  <c r="AQ129" i="13"/>
  <c r="AR130" i="13"/>
  <c r="AQ131" i="13"/>
  <c r="AJ31" i="12"/>
  <c r="AT31" i="12"/>
  <c r="AB32" i="12"/>
  <c r="AJ35" i="12"/>
  <c r="AT35" i="12"/>
  <c r="AB36" i="12"/>
  <c r="AJ39" i="12"/>
  <c r="AT39" i="12"/>
  <c r="AB40" i="12"/>
  <c r="AJ43" i="12"/>
  <c r="AT43" i="12"/>
  <c r="AB44" i="12"/>
  <c r="AB52" i="12"/>
  <c r="AJ55" i="12"/>
  <c r="AT55" i="12"/>
  <c r="AB56" i="12"/>
  <c r="AJ59" i="12"/>
  <c r="AT59" i="12"/>
  <c r="AB60" i="12"/>
  <c r="AJ63" i="12"/>
  <c r="AT63" i="12"/>
  <c r="AB64" i="12"/>
  <c r="AJ67" i="12"/>
  <c r="AT67" i="12"/>
  <c r="AJ71" i="12"/>
  <c r="AT71" i="12"/>
  <c r="AB72" i="12"/>
  <c r="AJ75" i="12"/>
  <c r="AT75" i="12"/>
  <c r="AB76" i="12"/>
  <c r="AJ79" i="12"/>
  <c r="AT79" i="12"/>
  <c r="AB80" i="12"/>
  <c r="AJ83" i="12"/>
  <c r="AT83" i="12"/>
  <c r="AB84" i="12"/>
  <c r="AJ87" i="12"/>
  <c r="AT87" i="12"/>
  <c r="AC89" i="12"/>
  <c r="AO92" i="12"/>
  <c r="AV92" i="12" s="1"/>
  <c r="AC92" i="12"/>
  <c r="AQ93" i="12"/>
  <c r="AN103" i="12"/>
  <c r="AT103" i="12"/>
  <c r="AR133" i="13"/>
  <c r="AR127" i="13"/>
  <c r="AR123" i="13"/>
  <c r="AR119" i="13"/>
  <c r="AR115" i="13"/>
  <c r="AR111" i="13"/>
  <c r="AR136" i="13"/>
  <c r="AR132" i="13"/>
  <c r="AR126" i="13"/>
  <c r="AR118" i="13"/>
  <c r="AR114" i="13"/>
  <c r="AR110" i="13"/>
  <c r="AR135" i="13"/>
  <c r="AR131" i="13"/>
  <c r="AR125" i="13"/>
  <c r="AR113" i="13"/>
  <c r="AR109" i="13"/>
  <c r="AR101" i="13"/>
  <c r="AR92" i="13"/>
  <c r="AR55" i="13"/>
  <c r="AR51" i="13"/>
  <c r="AR45" i="13"/>
  <c r="AR29" i="13"/>
  <c r="AR25" i="13"/>
  <c r="AR58" i="13"/>
  <c r="AR50" i="13"/>
  <c r="AR28" i="13"/>
  <c r="AR24" i="13"/>
  <c r="AR87" i="13"/>
  <c r="AR83" i="13"/>
  <c r="AR82" i="13"/>
  <c r="AR97" i="13"/>
  <c r="AR96" i="13"/>
  <c r="AR91" i="13"/>
  <c r="AR79" i="13"/>
  <c r="AR3" i="13"/>
  <c r="AO8" i="13"/>
  <c r="AR10" i="13"/>
  <c r="AB10" i="13"/>
  <c r="AJ14" i="13"/>
  <c r="AN19" i="13"/>
  <c r="AT19" i="13"/>
  <c r="AJ19" i="13"/>
  <c r="AR27" i="13"/>
  <c r="AO29" i="13"/>
  <c r="AC29" i="13"/>
  <c r="AU31" i="13"/>
  <c r="AR36" i="13"/>
  <c r="AR52" i="13"/>
  <c r="AB52" i="13"/>
  <c r="AQ53" i="13"/>
  <c r="AQ59" i="13"/>
  <c r="AR63" i="13"/>
  <c r="AR65" i="13"/>
  <c r="AD79" i="13"/>
  <c r="AQ79" i="13"/>
  <c r="AB37" i="12"/>
  <c r="AB41" i="12"/>
  <c r="AB45" i="12"/>
  <c r="AB49" i="12"/>
  <c r="AB53" i="12"/>
  <c r="AB85" i="12"/>
  <c r="AC88" i="12"/>
  <c r="AQ90" i="12"/>
  <c r="AT90" i="12"/>
  <c r="AJ90" i="12"/>
  <c r="AT92" i="12"/>
  <c r="AJ92" i="12"/>
  <c r="AR93" i="12"/>
  <c r="AB93" i="12"/>
  <c r="AR100" i="12"/>
  <c r="AB100" i="12"/>
  <c r="AU135" i="13"/>
  <c r="AU131" i="13"/>
  <c r="AU125" i="13"/>
  <c r="AU113" i="13"/>
  <c r="AU109" i="13"/>
  <c r="AU138" i="13"/>
  <c r="AU130" i="13"/>
  <c r="AU108" i="13"/>
  <c r="AU104" i="13"/>
  <c r="AU129" i="13"/>
  <c r="AU121" i="13"/>
  <c r="AU107" i="13"/>
  <c r="AU103" i="13"/>
  <c r="AU99" i="13"/>
  <c r="AU128" i="13"/>
  <c r="AU120" i="13"/>
  <c r="AU116" i="13"/>
  <c r="AU106" i="13"/>
  <c r="AU98" i="13"/>
  <c r="AU84" i="13"/>
  <c r="AU80" i="13"/>
  <c r="AU76" i="13"/>
  <c r="AU70" i="13"/>
  <c r="AU62" i="13"/>
  <c r="AU133" i="13"/>
  <c r="AU127" i="13"/>
  <c r="AU123" i="13"/>
  <c r="AU119" i="13"/>
  <c r="AU115" i="13"/>
  <c r="AU111" i="13"/>
  <c r="AU97" i="13"/>
  <c r="AU83" i="13"/>
  <c r="AU136" i="13"/>
  <c r="AU132" i="13"/>
  <c r="AU126" i="13"/>
  <c r="AU118" i="13"/>
  <c r="AU114" i="13"/>
  <c r="AU110" i="13"/>
  <c r="AU96" i="13"/>
  <c r="AU92" i="13"/>
  <c r="AU82" i="13"/>
  <c r="AU74" i="13"/>
  <c r="AU95" i="13"/>
  <c r="AU73" i="13"/>
  <c r="AU65" i="13"/>
  <c r="AU49" i="13"/>
  <c r="AU37" i="13"/>
  <c r="AU33" i="13"/>
  <c r="AU27" i="13"/>
  <c r="AU23" i="13"/>
  <c r="AU19" i="13"/>
  <c r="AU15" i="13"/>
  <c r="AU11" i="13"/>
  <c r="AU90" i="13"/>
  <c r="AU87" i="13"/>
  <c r="AU75" i="13"/>
  <c r="AU69" i="13"/>
  <c r="AU67" i="13"/>
  <c r="AU61" i="13"/>
  <c r="AU59" i="13"/>
  <c r="AU48" i="13"/>
  <c r="AU40" i="13"/>
  <c r="AU36" i="13"/>
  <c r="AU32" i="13"/>
  <c r="AU22" i="13"/>
  <c r="AU18" i="13"/>
  <c r="AU85" i="13"/>
  <c r="AU79" i="13"/>
  <c r="AU77" i="13"/>
  <c r="AU71" i="13"/>
  <c r="AU63" i="13"/>
  <c r="AU56" i="13"/>
  <c r="AU52" i="13"/>
  <c r="AU46" i="13"/>
  <c r="AU42" i="13"/>
  <c r="AU30" i="13"/>
  <c r="AV30" i="13" s="1"/>
  <c r="AU8" i="13"/>
  <c r="AU3" i="13"/>
  <c r="AU89" i="13"/>
  <c r="AU55" i="13"/>
  <c r="AU51" i="13"/>
  <c r="AU45" i="13"/>
  <c r="AU29" i="13"/>
  <c r="AU25" i="13"/>
  <c r="AU7" i="13"/>
  <c r="AU100" i="13"/>
  <c r="AU94" i="13"/>
  <c r="AU86" i="13"/>
  <c r="AU72" i="13"/>
  <c r="AU64" i="13"/>
  <c r="AU58" i="13"/>
  <c r="AU50" i="13"/>
  <c r="AU28" i="13"/>
  <c r="AU24" i="13"/>
  <c r="AU6" i="13"/>
  <c r="AO7" i="13"/>
  <c r="AC7" i="13"/>
  <c r="AN7" i="13"/>
  <c r="AT7" i="13"/>
  <c r="AJ7" i="13"/>
  <c r="AQ9" i="13"/>
  <c r="AU10" i="13"/>
  <c r="AJ11" i="13"/>
  <c r="AU13" i="13"/>
  <c r="AQ15" i="13"/>
  <c r="AU17" i="13"/>
  <c r="AV17" i="13" s="1"/>
  <c r="AR19" i="13"/>
  <c r="AQ21" i="13"/>
  <c r="AQ22" i="13"/>
  <c r="AQ23" i="13"/>
  <c r="AQ24" i="13"/>
  <c r="AQ29" i="13"/>
  <c r="AR31" i="13"/>
  <c r="AR32" i="13"/>
  <c r="AQ37" i="13"/>
  <c r="AR39" i="13"/>
  <c r="AQ40" i="13"/>
  <c r="AR42" i="13"/>
  <c r="AB42" i="13"/>
  <c r="AQ43" i="13"/>
  <c r="AQ46" i="13"/>
  <c r="AR48" i="13"/>
  <c r="AO55" i="13"/>
  <c r="AC55" i="13"/>
  <c r="AR59" i="13"/>
  <c r="AQ61" i="13"/>
  <c r="AR61" i="13"/>
  <c r="AR71" i="13"/>
  <c r="AJ74" i="13"/>
  <c r="AR80" i="13"/>
  <c r="AB80" i="13"/>
  <c r="AT82" i="13"/>
  <c r="AU91" i="13"/>
  <c r="AD106" i="13"/>
  <c r="AQ106" i="13"/>
  <c r="AP10" i="13"/>
  <c r="AV10" i="13" s="1"/>
  <c r="AP14" i="13"/>
  <c r="AV14" i="13" s="1"/>
  <c r="AP18" i="13"/>
  <c r="AV18" i="13" s="1"/>
  <c r="AP22" i="13"/>
  <c r="AN24" i="13"/>
  <c r="AJ25" i="13"/>
  <c r="AT25" i="13"/>
  <c r="AN28" i="13"/>
  <c r="AJ29" i="13"/>
  <c r="AT29" i="13"/>
  <c r="AP32" i="13"/>
  <c r="AP36" i="13"/>
  <c r="AP40" i="13"/>
  <c r="AJ45" i="13"/>
  <c r="AT45" i="13"/>
  <c r="AP48" i="13"/>
  <c r="AN50" i="13"/>
  <c r="AJ51" i="13"/>
  <c r="AT51" i="13"/>
  <c r="AJ55" i="13"/>
  <c r="AT55" i="13"/>
  <c r="AN58" i="13"/>
  <c r="AD59" i="13"/>
  <c r="AN62" i="13"/>
  <c r="AP63" i="13"/>
  <c r="AJ65" i="13"/>
  <c r="AN70" i="13"/>
  <c r="AP71" i="13"/>
  <c r="AJ73" i="13"/>
  <c r="AN76" i="13"/>
  <c r="AP77" i="13"/>
  <c r="AC80" i="13"/>
  <c r="AQ84" i="13"/>
  <c r="AO85" i="13"/>
  <c r="AV85" i="13" s="1"/>
  <c r="AQ86" i="13"/>
  <c r="AJ87" i="13"/>
  <c r="AP89" i="13"/>
  <c r="AN92" i="13"/>
  <c r="AT92" i="13"/>
  <c r="AQ94" i="13"/>
  <c r="AJ95" i="13"/>
  <c r="AQ96" i="13"/>
  <c r="AQ97" i="13"/>
  <c r="AR99" i="13"/>
  <c r="AB99" i="13"/>
  <c r="AQ104" i="13"/>
  <c r="AQ107" i="13"/>
  <c r="AP107" i="13"/>
  <c r="AO109" i="13"/>
  <c r="AQ110" i="13"/>
  <c r="AN110" i="13"/>
  <c r="AO115" i="13"/>
  <c r="AN115" i="13"/>
  <c r="AQ119" i="13"/>
  <c r="AR120" i="13"/>
  <c r="AN120" i="13"/>
  <c r="AO128" i="13"/>
  <c r="AQ133" i="13"/>
  <c r="AQ135" i="13"/>
  <c r="AQ138" i="13"/>
  <c r="AO138" i="13"/>
  <c r="AO130" i="13"/>
  <c r="AO108" i="13"/>
  <c r="AO136" i="13"/>
  <c r="AO132" i="13"/>
  <c r="AO126" i="13"/>
  <c r="AV126" i="13" s="1"/>
  <c r="AO118" i="13"/>
  <c r="AV118" i="13" s="1"/>
  <c r="AO114" i="13"/>
  <c r="AO110" i="13"/>
  <c r="AN135" i="13"/>
  <c r="AN131" i="13"/>
  <c r="AN125" i="13"/>
  <c r="AN113" i="13"/>
  <c r="AN109" i="13"/>
  <c r="AN138" i="13"/>
  <c r="AN130" i="13"/>
  <c r="AN108" i="13"/>
  <c r="AN104" i="13"/>
  <c r="AN129" i="13"/>
  <c r="AN121" i="13"/>
  <c r="AN107" i="13"/>
  <c r="AN103" i="13"/>
  <c r="AN99" i="13"/>
  <c r="AN106" i="13"/>
  <c r="AO6" i="13"/>
  <c r="AB17" i="13"/>
  <c r="AP19" i="13"/>
  <c r="AV19" i="13" s="1"/>
  <c r="AB21" i="13"/>
  <c r="AP23" i="13"/>
  <c r="AV23" i="13" s="1"/>
  <c r="AO24" i="13"/>
  <c r="AV24" i="13" s="1"/>
  <c r="AD25" i="13"/>
  <c r="AP27" i="13"/>
  <c r="AV27" i="13" s="1"/>
  <c r="AO28" i="13"/>
  <c r="AD29" i="13"/>
  <c r="AB31" i="13"/>
  <c r="AP33" i="13"/>
  <c r="AV33" i="13" s="1"/>
  <c r="AB35" i="13"/>
  <c r="AP37" i="13"/>
  <c r="AV37" i="13" s="1"/>
  <c r="AB39" i="13"/>
  <c r="AB43" i="13"/>
  <c r="AD45" i="13"/>
  <c r="AB47" i="13"/>
  <c r="AP49" i="13"/>
  <c r="AV49" i="13" s="1"/>
  <c r="AD51" i="13"/>
  <c r="AB53" i="13"/>
  <c r="AD55" i="13"/>
  <c r="AD61" i="13"/>
  <c r="AP61" i="13"/>
  <c r="AO67" i="13"/>
  <c r="AV67" i="13" s="1"/>
  <c r="AD69" i="13"/>
  <c r="AP69" i="13"/>
  <c r="AD75" i="13"/>
  <c r="AQ80" i="13"/>
  <c r="AN90" i="13"/>
  <c r="AQ100" i="13"/>
  <c r="AR103" i="13"/>
  <c r="AO104" i="13"/>
  <c r="AR106" i="13"/>
  <c r="AR108" i="13"/>
  <c r="AB108" i="13"/>
  <c r="AQ109" i="13"/>
  <c r="AQ115" i="13"/>
  <c r="AR116" i="13"/>
  <c r="AN116" i="13"/>
  <c r="AO120" i="13"/>
  <c r="AO125" i="13"/>
  <c r="AV125" i="13" s="1"/>
  <c r="AQ126" i="13"/>
  <c r="AN126" i="13"/>
  <c r="AQ128" i="13"/>
  <c r="AR129" i="13"/>
  <c r="AJ100" i="12"/>
  <c r="AP129" i="13"/>
  <c r="AP121" i="13"/>
  <c r="AP128" i="13"/>
  <c r="AP120" i="13"/>
  <c r="AP116" i="13"/>
  <c r="AP106" i="13"/>
  <c r="AP127" i="13"/>
  <c r="AP123" i="13"/>
  <c r="AP119" i="13"/>
  <c r="AP115" i="13"/>
  <c r="AP136" i="13"/>
  <c r="AP132" i="13"/>
  <c r="AP126" i="13"/>
  <c r="AP118" i="13"/>
  <c r="AP114" i="13"/>
  <c r="AP110" i="13"/>
  <c r="AP74" i="13"/>
  <c r="AP135" i="13"/>
  <c r="AP131" i="13"/>
  <c r="AP125" i="13"/>
  <c r="AP113" i="13"/>
  <c r="AV113" i="13" s="1"/>
  <c r="AP109" i="13"/>
  <c r="AP87" i="13"/>
  <c r="AV87" i="13" s="1"/>
  <c r="AP138" i="13"/>
  <c r="AP130" i="13"/>
  <c r="AP108" i="13"/>
  <c r="AP104" i="13"/>
  <c r="AP90" i="13"/>
  <c r="AP72" i="13"/>
  <c r="AV72" i="13" s="1"/>
  <c r="AP64" i="13"/>
  <c r="AV64" i="13" s="1"/>
  <c r="AP6" i="13"/>
  <c r="AJ9" i="13"/>
  <c r="AJ13" i="13"/>
  <c r="AB14" i="13"/>
  <c r="AJ17" i="13"/>
  <c r="AB18" i="13"/>
  <c r="AJ21" i="13"/>
  <c r="AB22" i="13"/>
  <c r="AP24" i="13"/>
  <c r="AP28" i="13"/>
  <c r="AD30" i="13"/>
  <c r="AN30" i="13"/>
  <c r="AJ31" i="13"/>
  <c r="AB32" i="13"/>
  <c r="AJ35" i="13"/>
  <c r="AB36" i="13"/>
  <c r="AJ39" i="13"/>
  <c r="AB40" i="13"/>
  <c r="AD42" i="13"/>
  <c r="AN42" i="13"/>
  <c r="AD46" i="13"/>
  <c r="AN46" i="13"/>
  <c r="AJ47" i="13"/>
  <c r="AB48" i="13"/>
  <c r="AP50" i="13"/>
  <c r="AV50" i="13" s="1"/>
  <c r="AD52" i="13"/>
  <c r="AN52" i="13"/>
  <c r="AD56" i="13"/>
  <c r="AN56" i="13"/>
  <c r="AO62" i="13"/>
  <c r="AV62" i="13" s="1"/>
  <c r="AN64" i="13"/>
  <c r="AP65" i="13"/>
  <c r="AO70" i="13"/>
  <c r="AN72" i="13"/>
  <c r="AN74" i="13"/>
  <c r="AO76" i="13"/>
  <c r="AV76" i="13" s="1"/>
  <c r="AO79" i="13"/>
  <c r="AV79" i="13" s="1"/>
  <c r="AC79" i="13"/>
  <c r="AN86" i="13"/>
  <c r="AR89" i="13"/>
  <c r="AB89" i="13"/>
  <c r="AO90" i="13"/>
  <c r="AV90" i="13" s="1"/>
  <c r="AQ91" i="13"/>
  <c r="AN94" i="13"/>
  <c r="AN96" i="13"/>
  <c r="AT96" i="13"/>
  <c r="AR98" i="13"/>
  <c r="AN98" i="13"/>
  <c r="AQ99" i="13"/>
  <c r="AO99" i="13"/>
  <c r="AV99" i="13" s="1"/>
  <c r="AN100" i="13"/>
  <c r="AO103" i="13"/>
  <c r="AV103" i="13" s="1"/>
  <c r="AC103" i="13"/>
  <c r="AO106" i="13"/>
  <c r="AV106" i="13" s="1"/>
  <c r="AO116" i="13"/>
  <c r="AV116" i="13" s="1"/>
  <c r="AQ118" i="13"/>
  <c r="AN118" i="13"/>
  <c r="AQ120" i="13"/>
  <c r="AR121" i="13"/>
  <c r="AV121" i="13" s="1"/>
  <c r="AO123" i="13"/>
  <c r="AV123" i="13" s="1"/>
  <c r="AN123" i="13"/>
  <c r="AQ125" i="13"/>
  <c r="AO129" i="13"/>
  <c r="AO131" i="13"/>
  <c r="AQ132" i="13"/>
  <c r="AN132" i="13"/>
  <c r="AN32" i="13"/>
  <c r="AO35" i="13"/>
  <c r="AN36" i="13"/>
  <c r="AO39" i="13"/>
  <c r="AN40" i="13"/>
  <c r="AP42" i="13"/>
  <c r="AV42" i="13" s="1"/>
  <c r="AP46" i="13"/>
  <c r="AO47" i="13"/>
  <c r="AN48" i="13"/>
  <c r="AP52" i="13"/>
  <c r="AV52" i="13" s="1"/>
  <c r="AO53" i="13"/>
  <c r="AV53" i="13" s="1"/>
  <c r="AT59" i="13"/>
  <c r="AJ59" i="13"/>
  <c r="AO61" i="13"/>
  <c r="AC61" i="13"/>
  <c r="AR64" i="13"/>
  <c r="AB64" i="13"/>
  <c r="AQ65" i="13"/>
  <c r="AO69" i="13"/>
  <c r="AC69" i="13"/>
  <c r="AR72" i="13"/>
  <c r="AB72" i="13"/>
  <c r="AQ73" i="13"/>
  <c r="AO74" i="13"/>
  <c r="AV74" i="13" s="1"/>
  <c r="AO75" i="13"/>
  <c r="AC75" i="13"/>
  <c r="AN80" i="13"/>
  <c r="AO84" i="13"/>
  <c r="AV84" i="13" s="1"/>
  <c r="AR86" i="13"/>
  <c r="AB86" i="13"/>
  <c r="AQ87" i="13"/>
  <c r="AQ89" i="13"/>
  <c r="AN89" i="13"/>
  <c r="AR94" i="13"/>
  <c r="AB94" i="13"/>
  <c r="AQ95" i="13"/>
  <c r="AN97" i="13"/>
  <c r="AT97" i="13"/>
  <c r="AJ97" i="13"/>
  <c r="AQ98" i="13"/>
  <c r="AQ101" i="13"/>
  <c r="AR104" i="13"/>
  <c r="AB104" i="13"/>
  <c r="AR107" i="13"/>
  <c r="AQ111" i="13"/>
  <c r="AQ113" i="13"/>
  <c r="AQ121" i="13"/>
  <c r="AO127" i="13"/>
  <c r="AN127" i="13"/>
  <c r="AR138" i="13"/>
  <c r="AO22" i="13"/>
  <c r="AV22" i="13" s="1"/>
  <c r="AJ24" i="13"/>
  <c r="AJ28" i="13"/>
  <c r="AO32" i="13"/>
  <c r="AV32" i="13" s="1"/>
  <c r="AP35" i="13"/>
  <c r="AO36" i="13"/>
  <c r="AP39" i="13"/>
  <c r="AO40" i="13"/>
  <c r="AV40" i="13" s="1"/>
  <c r="AP47" i="13"/>
  <c r="AO48" i="13"/>
  <c r="AV48" i="13" s="1"/>
  <c r="AJ50" i="13"/>
  <c r="AP53" i="13"/>
  <c r="AJ58" i="13"/>
  <c r="AN59" i="13"/>
  <c r="AT61" i="13"/>
  <c r="AJ61" i="13"/>
  <c r="AR62" i="13"/>
  <c r="AB62" i="13"/>
  <c r="AO63" i="13"/>
  <c r="AQ67" i="13"/>
  <c r="AT67" i="13"/>
  <c r="AJ67" i="13"/>
  <c r="AT69" i="13"/>
  <c r="AJ69" i="13"/>
  <c r="AR70" i="13"/>
  <c r="AB70" i="13"/>
  <c r="AO71" i="13"/>
  <c r="AV71" i="13" s="1"/>
  <c r="AT75" i="13"/>
  <c r="AJ75" i="13"/>
  <c r="AR76" i="13"/>
  <c r="AB76" i="13"/>
  <c r="AO77" i="13"/>
  <c r="AV77" i="13" s="1"/>
  <c r="AO83" i="13"/>
  <c r="AV83" i="13" s="1"/>
  <c r="AC83" i="13"/>
  <c r="AN83" i="13"/>
  <c r="AT83" i="13"/>
  <c r="AJ83" i="13"/>
  <c r="AQ85" i="13"/>
  <c r="AN85" i="13"/>
  <c r="AQ90" i="13"/>
  <c r="AR100" i="13"/>
  <c r="AB100" i="13"/>
  <c r="AO107" i="13"/>
  <c r="AC107" i="13"/>
  <c r="AO119" i="13"/>
  <c r="AV119" i="13" s="1"/>
  <c r="AN119" i="13"/>
  <c r="AQ127" i="13"/>
  <c r="AR128" i="13"/>
  <c r="AN128" i="13"/>
  <c r="AQ130" i="13"/>
  <c r="AN133" i="13"/>
  <c r="AO135" i="13"/>
  <c r="AQ136" i="13"/>
  <c r="AN136" i="13"/>
  <c r="AC97" i="13"/>
  <c r="AB98" i="13"/>
  <c r="AB106" i="13"/>
  <c r="AD110" i="13"/>
  <c r="AC111" i="13"/>
  <c r="AJ111" i="13"/>
  <c r="AT111" i="13"/>
  <c r="AD114" i="13"/>
  <c r="AC115" i="13"/>
  <c r="AJ115" i="13"/>
  <c r="AT115" i="13"/>
  <c r="AB116" i="13"/>
  <c r="AD118" i="13"/>
  <c r="AC119" i="13"/>
  <c r="AJ119" i="13"/>
  <c r="AT119" i="13"/>
  <c r="AB120" i="13"/>
  <c r="AC123" i="13"/>
  <c r="AJ123" i="13"/>
  <c r="AT123" i="13"/>
  <c r="AD126" i="13"/>
  <c r="AC127" i="13"/>
  <c r="AJ127" i="13"/>
  <c r="AT127" i="13"/>
  <c r="AB128" i="13"/>
  <c r="AD132" i="13"/>
  <c r="AC133" i="13"/>
  <c r="AJ133" i="13"/>
  <c r="AT133" i="13"/>
  <c r="AD136" i="13"/>
  <c r="AP7" i="14"/>
  <c r="AV7" i="14" s="1"/>
  <c r="AQ18" i="14"/>
  <c r="AR18" i="14"/>
  <c r="AO20" i="14"/>
  <c r="AR20" i="14"/>
  <c r="AB6" i="15"/>
  <c r="AJ6" i="15"/>
  <c r="AJ8" i="15"/>
  <c r="AN10" i="15"/>
  <c r="AN12" i="15"/>
  <c r="AT12" i="15"/>
  <c r="AR17" i="16"/>
  <c r="AR3" i="16"/>
  <c r="AT6" i="16"/>
  <c r="AR8" i="16"/>
  <c r="AQ11" i="16"/>
  <c r="AD13" i="17"/>
  <c r="AQ13" i="17"/>
  <c r="AQ19" i="17"/>
  <c r="AD19" i="17"/>
  <c r="AB103" i="13"/>
  <c r="AC106" i="13"/>
  <c r="AB107" i="13"/>
  <c r="AD111" i="13"/>
  <c r="AD115" i="13"/>
  <c r="AC116" i="13"/>
  <c r="AD119" i="13"/>
  <c r="AC120" i="13"/>
  <c r="AB121" i="13"/>
  <c r="AD123" i="13"/>
  <c r="AD127" i="13"/>
  <c r="AC128" i="13"/>
  <c r="AB129" i="13"/>
  <c r="AD133" i="13"/>
  <c r="AB6" i="14"/>
  <c r="AP8" i="14"/>
  <c r="AV8" i="14" s="1"/>
  <c r="AB10" i="14"/>
  <c r="AB14" i="14"/>
  <c r="AT18" i="14"/>
  <c r="AB19" i="14"/>
  <c r="AQ20" i="14"/>
  <c r="AR22" i="14"/>
  <c r="AO6" i="15"/>
  <c r="AV6" i="15" s="1"/>
  <c r="AD8" i="15"/>
  <c r="AJ10" i="15"/>
  <c r="AU12" i="16"/>
  <c r="AU8" i="16"/>
  <c r="AU3" i="16"/>
  <c r="AU11" i="16"/>
  <c r="AU7" i="16"/>
  <c r="AU10" i="16"/>
  <c r="AU6" i="16"/>
  <c r="AQ6" i="16"/>
  <c r="AD6" i="16"/>
  <c r="AO8" i="16"/>
  <c r="AV8" i="16" s="1"/>
  <c r="AC8" i="16"/>
  <c r="AR10" i="16"/>
  <c r="AR11" i="16"/>
  <c r="AQ15" i="16"/>
  <c r="AU15" i="16"/>
  <c r="AJ16" i="16"/>
  <c r="AN31" i="17"/>
  <c r="AN22" i="17"/>
  <c r="AN36" i="17"/>
  <c r="AN26" i="17"/>
  <c r="AN23" i="17"/>
  <c r="AN14" i="17"/>
  <c r="AN30" i="17"/>
  <c r="AN15" i="17"/>
  <c r="AN27" i="17"/>
  <c r="AN18" i="17"/>
  <c r="AN19" i="17"/>
  <c r="AB7" i="17"/>
  <c r="AR7" i="17"/>
  <c r="AN8" i="17"/>
  <c r="AJ85" i="13"/>
  <c r="AJ89" i="13"/>
  <c r="AJ99" i="13"/>
  <c r="AJ103" i="13"/>
  <c r="AJ107" i="13"/>
  <c r="AD116" i="13"/>
  <c r="AD120" i="13"/>
  <c r="AC121" i="13"/>
  <c r="AJ121" i="13"/>
  <c r="AD128" i="13"/>
  <c r="AC129" i="13"/>
  <c r="AJ129" i="13"/>
  <c r="AB130" i="13"/>
  <c r="AB138" i="13"/>
  <c r="AP3" i="14"/>
  <c r="AC6" i="14"/>
  <c r="AJ6" i="14"/>
  <c r="AB7" i="14"/>
  <c r="AC10" i="14"/>
  <c r="AJ10" i="14"/>
  <c r="AB11" i="14"/>
  <c r="AC14" i="14"/>
  <c r="AJ14" i="14"/>
  <c r="AB15" i="14"/>
  <c r="AC18" i="14"/>
  <c r="AU18" i="14"/>
  <c r="AJ19" i="14"/>
  <c r="AU20" i="14"/>
  <c r="AO22" i="14"/>
  <c r="AV22" i="14" s="1"/>
  <c r="AC22" i="14"/>
  <c r="AU22" i="14"/>
  <c r="AQ6" i="15"/>
  <c r="AC10" i="15"/>
  <c r="AO13" i="15"/>
  <c r="AV13" i="15" s="1"/>
  <c r="AC13" i="15"/>
  <c r="AN13" i="15"/>
  <c r="AT13" i="15"/>
  <c r="AJ13" i="15"/>
  <c r="AH1" i="16"/>
  <c r="AH2" i="16" s="1"/>
  <c r="AJ6" i="16"/>
  <c r="AV7" i="16"/>
  <c r="AN7" i="16"/>
  <c r="AT7" i="16"/>
  <c r="AJ7" i="16"/>
  <c r="AQ8" i="16"/>
  <c r="AT10" i="16"/>
  <c r="AR12" i="16"/>
  <c r="AQ17" i="16"/>
  <c r="AO33" i="17"/>
  <c r="AO36" i="17"/>
  <c r="AO3" i="17"/>
  <c r="AO20" i="17"/>
  <c r="AO24" i="17"/>
  <c r="AR18" i="17"/>
  <c r="AB18" i="17"/>
  <c r="AN6" i="14"/>
  <c r="AN10" i="14"/>
  <c r="AR12" i="14"/>
  <c r="AN14" i="14"/>
  <c r="AR16" i="14"/>
  <c r="AN18" i="14"/>
  <c r="AN19" i="14"/>
  <c r="AQ21" i="14"/>
  <c r="AT22" i="14"/>
  <c r="AJ22" i="14"/>
  <c r="AR8" i="15"/>
  <c r="AB8" i="15"/>
  <c r="AQ10" i="16"/>
  <c r="AO12" i="16"/>
  <c r="AV12" i="16" s="1"/>
  <c r="AC12" i="16"/>
  <c r="AT10" i="17"/>
  <c r="AJ10" i="17"/>
  <c r="AN10" i="17"/>
  <c r="AN7" i="14"/>
  <c r="AN11" i="14"/>
  <c r="AN15" i="14"/>
  <c r="AN20" i="14"/>
  <c r="AN22" i="14"/>
  <c r="AU10" i="15"/>
  <c r="AU3" i="15"/>
  <c r="AU13" i="15"/>
  <c r="AU12" i="15"/>
  <c r="AU6" i="15"/>
  <c r="AJ12" i="16"/>
  <c r="AJ8" i="16"/>
  <c r="AQ7" i="16"/>
  <c r="AJ10" i="16"/>
  <c r="AV11" i="16"/>
  <c r="AN11" i="16"/>
  <c r="AT11" i="16"/>
  <c r="AJ11" i="16"/>
  <c r="AQ12" i="16"/>
  <c r="AJ17" i="16"/>
  <c r="AR9" i="17"/>
  <c r="AB9" i="17"/>
  <c r="AQ10" i="17"/>
  <c r="AD10" i="17"/>
  <c r="AR15" i="17"/>
  <c r="AB15" i="17"/>
  <c r="AN12" i="14"/>
  <c r="AP14" i="14"/>
  <c r="AV14" i="14" s="1"/>
  <c r="AP18" i="14"/>
  <c r="AV18" i="14" s="1"/>
  <c r="AN21" i="14"/>
  <c r="AT21" i="14"/>
  <c r="AN6" i="15"/>
  <c r="AR10" i="15"/>
  <c r="AB10" i="15"/>
  <c r="AQ14" i="16"/>
  <c r="AT14" i="16"/>
  <c r="AN14" i="16"/>
  <c r="AB6" i="17"/>
  <c r="AR6" i="17"/>
  <c r="AO9" i="17"/>
  <c r="AC9" i="17"/>
  <c r="AO12" i="17"/>
  <c r="AV12" i="17" s="1"/>
  <c r="AC12" i="17"/>
  <c r="AN13" i="17"/>
  <c r="AJ13" i="17"/>
  <c r="AC7" i="16"/>
  <c r="AB8" i="16"/>
  <c r="AD10" i="16"/>
  <c r="AC11" i="16"/>
  <c r="AB12" i="16"/>
  <c r="AD14" i="16"/>
  <c r="AP33" i="17"/>
  <c r="AP7" i="17"/>
  <c r="AV7" i="17" s="1"/>
  <c r="AP24" i="17"/>
  <c r="AP20" i="17"/>
  <c r="AP31" i="17"/>
  <c r="AP36" i="17"/>
  <c r="AU3" i="17"/>
  <c r="AO8" i="17"/>
  <c r="AV8" i="17" s="1"/>
  <c r="AN9" i="17"/>
  <c r="AT9" i="17"/>
  <c r="AO10" i="17"/>
  <c r="AV10" i="17" s="1"/>
  <c r="AT12" i="17"/>
  <c r="AC13" i="17"/>
  <c r="AT18" i="17"/>
  <c r="AJ18" i="17"/>
  <c r="AU18" i="17"/>
  <c r="AN20" i="17"/>
  <c r="AD22" i="17"/>
  <c r="AO22" i="17"/>
  <c r="AO23" i="17"/>
  <c r="AV23" i="17" s="1"/>
  <c r="AU23" i="17"/>
  <c r="AC27" i="17"/>
  <c r="AR30" i="17"/>
  <c r="AB30" i="17"/>
  <c r="AP38" i="17"/>
  <c r="AJ85" i="18"/>
  <c r="AJ81" i="18"/>
  <c r="AJ73" i="18"/>
  <c r="AJ54" i="18"/>
  <c r="AJ98" i="18"/>
  <c r="AJ62" i="18"/>
  <c r="AJ42" i="18"/>
  <c r="AJ30" i="18"/>
  <c r="AJ20" i="18"/>
  <c r="AJ16" i="18"/>
  <c r="AJ12" i="18"/>
  <c r="AJ74" i="18"/>
  <c r="AJ94" i="18"/>
  <c r="AJ76" i="18"/>
  <c r="AJ55" i="18"/>
  <c r="AJ52" i="18"/>
  <c r="AJ49" i="18"/>
  <c r="AJ45" i="18"/>
  <c r="AJ39" i="18"/>
  <c r="AJ35" i="18"/>
  <c r="AJ27" i="18"/>
  <c r="AJ23" i="18"/>
  <c r="AJ7" i="18"/>
  <c r="AJ90" i="18"/>
  <c r="AJ78" i="18"/>
  <c r="AJ57" i="18"/>
  <c r="AJ47" i="18"/>
  <c r="AJ43" i="18"/>
  <c r="AQ6" i="18"/>
  <c r="AQ7" i="18"/>
  <c r="AQ13" i="18"/>
  <c r="AQ21" i="18"/>
  <c r="AO24" i="18"/>
  <c r="AV24" i="18" s="1"/>
  <c r="AC24" i="18"/>
  <c r="AQ26" i="18"/>
  <c r="AN26" i="18"/>
  <c r="AT26" i="18"/>
  <c r="AJ26" i="18"/>
  <c r="AR41" i="18"/>
  <c r="AQ43" i="18"/>
  <c r="AR15" i="16"/>
  <c r="AB15" i="16"/>
  <c r="AU12" i="17"/>
  <c r="AC15" i="17"/>
  <c r="AU15" i="17"/>
  <c r="AP22" i="17"/>
  <c r="AR26" i="17"/>
  <c r="AB26" i="17"/>
  <c r="AU26" i="17"/>
  <c r="AR31" i="17"/>
  <c r="AU31" i="17"/>
  <c r="AN33" i="17"/>
  <c r="AT33" i="17"/>
  <c r="AJ33" i="17"/>
  <c r="AR36" i="17"/>
  <c r="AB36" i="17"/>
  <c r="AQ72" i="18"/>
  <c r="AQ58" i="18"/>
  <c r="AQ53" i="18"/>
  <c r="AQ57" i="18"/>
  <c r="AQ3" i="18"/>
  <c r="AQ62" i="18"/>
  <c r="AQ54" i="18"/>
  <c r="AQ88" i="18"/>
  <c r="AQ84" i="18"/>
  <c r="AQ71" i="18"/>
  <c r="AQ70" i="18"/>
  <c r="AQ59" i="18"/>
  <c r="AQ9" i="18"/>
  <c r="AR15" i="18"/>
  <c r="AV15" i="18" s="1"/>
  <c r="AB15" i="18"/>
  <c r="AV23" i="18"/>
  <c r="AR28" i="18"/>
  <c r="AR30" i="18"/>
  <c r="AQ37" i="18"/>
  <c r="AQ48" i="18"/>
  <c r="AQ16" i="16"/>
  <c r="AR38" i="17"/>
  <c r="AR34" i="17"/>
  <c r="AT14" i="17"/>
  <c r="AJ14" i="17"/>
  <c r="AN17" i="17"/>
  <c r="AT17" i="17"/>
  <c r="AV17" i="17" s="1"/>
  <c r="AO18" i="17"/>
  <c r="AR19" i="17"/>
  <c r="AB19" i="17"/>
  <c r="AP19" i="17"/>
  <c r="AV19" i="17" s="1"/>
  <c r="AC23" i="17"/>
  <c r="AR29" i="17"/>
  <c r="AB29" i="17"/>
  <c r="AN29" i="17"/>
  <c r="AO31" i="17"/>
  <c r="AV31" i="17" s="1"/>
  <c r="AQ33" i="17"/>
  <c r="AR98" i="18"/>
  <c r="AR94" i="18"/>
  <c r="AR90" i="18"/>
  <c r="AR76" i="18"/>
  <c r="AR97" i="18"/>
  <c r="AR93" i="18"/>
  <c r="AR99" i="18"/>
  <c r="AR91" i="18"/>
  <c r="AR67" i="18"/>
  <c r="AR66" i="18"/>
  <c r="AR47" i="18"/>
  <c r="AR43" i="18"/>
  <c r="AR21" i="18"/>
  <c r="AR17" i="18"/>
  <c r="AR13" i="18"/>
  <c r="AR9" i="18"/>
  <c r="AR69" i="18"/>
  <c r="AR79" i="18"/>
  <c r="AR75" i="18"/>
  <c r="AR63" i="18"/>
  <c r="AR57" i="18"/>
  <c r="AR3" i="18"/>
  <c r="AR95" i="18"/>
  <c r="AR87" i="18"/>
  <c r="AR83" i="18"/>
  <c r="AR62" i="18"/>
  <c r="AR71" i="18"/>
  <c r="AR70" i="18"/>
  <c r="AR49" i="18"/>
  <c r="AR45" i="18"/>
  <c r="AR39" i="18"/>
  <c r="AR35" i="18"/>
  <c r="AR27" i="18"/>
  <c r="AR23" i="18"/>
  <c r="AR7" i="18"/>
  <c r="AR58" i="18"/>
  <c r="AR53" i="18"/>
  <c r="AR48" i="18"/>
  <c r="AR44" i="18"/>
  <c r="AR34" i="18"/>
  <c r="AJ13" i="18"/>
  <c r="AR16" i="18"/>
  <c r="AR19" i="18"/>
  <c r="AB19" i="18"/>
  <c r="AJ21" i="18"/>
  <c r="AQ22" i="18"/>
  <c r="AN22" i="18"/>
  <c r="AT22" i="18"/>
  <c r="AJ22" i="18"/>
  <c r="AO28" i="18"/>
  <c r="AV28" i="18" s="1"/>
  <c r="AC28" i="18"/>
  <c r="AQ41" i="18"/>
  <c r="AQ47" i="18"/>
  <c r="AJ51" i="18"/>
  <c r="AQ60" i="18"/>
  <c r="AU35" i="17"/>
  <c r="AU29" i="17"/>
  <c r="AU17" i="17"/>
  <c r="AU13" i="17"/>
  <c r="AU9" i="17"/>
  <c r="AU38" i="17"/>
  <c r="AU34" i="17"/>
  <c r="AU33" i="17"/>
  <c r="AU32" i="17"/>
  <c r="AU24" i="17"/>
  <c r="AU6" i="17"/>
  <c r="AU7" i="17"/>
  <c r="AU8" i="17"/>
  <c r="AP18" i="17"/>
  <c r="AT20" i="17"/>
  <c r="AR22" i="17"/>
  <c r="AB22" i="17"/>
  <c r="AU22" i="17"/>
  <c r="AR27" i="17"/>
  <c r="AO29" i="17"/>
  <c r="AV29" i="17" s="1"/>
  <c r="AR32" i="17"/>
  <c r="AR33" i="17"/>
  <c r="AR35" i="17"/>
  <c r="AB35" i="17"/>
  <c r="AN35" i="17"/>
  <c r="AJ1" i="18"/>
  <c r="AH1" i="18"/>
  <c r="AH2" i="18" s="1"/>
  <c r="AN6" i="18"/>
  <c r="AT6" i="18"/>
  <c r="AJ6" i="18"/>
  <c r="AQ10" i="18"/>
  <c r="AN10" i="18"/>
  <c r="AT10" i="18"/>
  <c r="AJ10" i="18"/>
  <c r="AR12" i="18"/>
  <c r="AQ15" i="18"/>
  <c r="AV16" i="18"/>
  <c r="AR20" i="18"/>
  <c r="AQ23" i="18"/>
  <c r="AR29" i="18"/>
  <c r="AB29" i="18"/>
  <c r="AQ30" i="18"/>
  <c r="AR36" i="18"/>
  <c r="AV36" i="18" s="1"/>
  <c r="AR42" i="18"/>
  <c r="AQ51" i="18"/>
  <c r="AR59" i="18"/>
  <c r="AN24" i="17"/>
  <c r="AO35" i="17"/>
  <c r="AV35" i="17" s="1"/>
  <c r="AO7" i="18"/>
  <c r="AV7" i="18" s="1"/>
  <c r="AC7" i="18"/>
  <c r="AV12" i="18"/>
  <c r="AU19" i="17"/>
  <c r="AJ24" i="17"/>
  <c r="AU30" i="17"/>
  <c r="AN32" i="17"/>
  <c r="AO34" i="17"/>
  <c r="AV34" i="17" s="1"/>
  <c r="AC34" i="17"/>
  <c r="AN34" i="17"/>
  <c r="AU36" i="17"/>
  <c r="AO38" i="17"/>
  <c r="AV38" i="17" s="1"/>
  <c r="AC38" i="17"/>
  <c r="AN38" i="17"/>
  <c r="AQ27" i="18"/>
  <c r="AQ35" i="18"/>
  <c r="AQ39" i="18"/>
  <c r="AQ45" i="18"/>
  <c r="AQ49" i="18"/>
  <c r="AU56" i="18"/>
  <c r="AP62" i="18"/>
  <c r="AO63" i="18"/>
  <c r="AV63" i="18" s="1"/>
  <c r="AU69" i="18"/>
  <c r="AT75" i="18"/>
  <c r="AJ75" i="18"/>
  <c r="AQ79" i="18"/>
  <c r="AO83" i="18"/>
  <c r="AV83" i="18" s="1"/>
  <c r="AC83" i="18"/>
  <c r="AN83" i="18"/>
  <c r="AT83" i="18"/>
  <c r="AJ83" i="18"/>
  <c r="AO87" i="18"/>
  <c r="AV87" i="18" s="1"/>
  <c r="AC87" i="18"/>
  <c r="AN87" i="18"/>
  <c r="AT87" i="18"/>
  <c r="AJ87" i="18"/>
  <c r="AQ90" i="18"/>
  <c r="AN90" i="18"/>
  <c r="AN95" i="18"/>
  <c r="AT95" i="18"/>
  <c r="AJ95" i="18"/>
  <c r="AN7" i="19"/>
  <c r="AT7" i="19"/>
  <c r="AJ7" i="19"/>
  <c r="AD24" i="20"/>
  <c r="AQ24" i="20"/>
  <c r="AO36" i="24"/>
  <c r="AV36" i="24" s="1"/>
  <c r="AC36" i="24"/>
  <c r="AN36" i="24"/>
  <c r="AT36" i="24"/>
  <c r="AJ36" i="24"/>
  <c r="AQ29" i="17"/>
  <c r="AQ35" i="17"/>
  <c r="AU78" i="18"/>
  <c r="AU74" i="18"/>
  <c r="AU88" i="18"/>
  <c r="AU84" i="18"/>
  <c r="AU72" i="18"/>
  <c r="AU64" i="18"/>
  <c r="AU99" i="18"/>
  <c r="AU95" i="18"/>
  <c r="AU91" i="18"/>
  <c r="AU87" i="18"/>
  <c r="AU83" i="18"/>
  <c r="AU71" i="18"/>
  <c r="AU67" i="18"/>
  <c r="AU63" i="18"/>
  <c r="AU59" i="18"/>
  <c r="AU53" i="18"/>
  <c r="AU98" i="18"/>
  <c r="AU94" i="18"/>
  <c r="AU90" i="18"/>
  <c r="AU76" i="18"/>
  <c r="AU70" i="18"/>
  <c r="AU66" i="18"/>
  <c r="AU62" i="18"/>
  <c r="AU58" i="18"/>
  <c r="AU52" i="18"/>
  <c r="AU9" i="18"/>
  <c r="AU13" i="18"/>
  <c r="AU17" i="18"/>
  <c r="AU21" i="18"/>
  <c r="AQ24" i="18"/>
  <c r="AQ28" i="18"/>
  <c r="AP29" i="18"/>
  <c r="AV29" i="18" s="1"/>
  <c r="AQ32" i="18"/>
  <c r="AJ34" i="18"/>
  <c r="AT34" i="18"/>
  <c r="AQ36" i="18"/>
  <c r="AQ40" i="18"/>
  <c r="AP41" i="18"/>
  <c r="AV41" i="18" s="1"/>
  <c r="AU43" i="18"/>
  <c r="AJ44" i="18"/>
  <c r="AT44" i="18"/>
  <c r="AU47" i="18"/>
  <c r="AJ48" i="18"/>
  <c r="AT48" i="18"/>
  <c r="AQ50" i="18"/>
  <c r="AN52" i="18"/>
  <c r="AQ55" i="18"/>
  <c r="AU55" i="18"/>
  <c r="AJ56" i="18"/>
  <c r="AN57" i="18"/>
  <c r="AP63" i="18"/>
  <c r="AQ64" i="18"/>
  <c r="AO66" i="18"/>
  <c r="AJ69" i="18"/>
  <c r="AR73" i="18"/>
  <c r="AB73" i="18"/>
  <c r="AR74" i="18"/>
  <c r="AB74" i="18"/>
  <c r="AN75" i="18"/>
  <c r="AN76" i="18"/>
  <c r="AO78" i="18"/>
  <c r="AT79" i="18"/>
  <c r="AJ79" i="18"/>
  <c r="AU81" i="18"/>
  <c r="AQ83" i="18"/>
  <c r="AU85" i="18"/>
  <c r="AQ87" i="18"/>
  <c r="AN93" i="18"/>
  <c r="AQ94" i="18"/>
  <c r="AN94" i="18"/>
  <c r="AQ95" i="18"/>
  <c r="AU97" i="18"/>
  <c r="AU14" i="19"/>
  <c r="AU10" i="19"/>
  <c r="AU13" i="19"/>
  <c r="AU9" i="19"/>
  <c r="AU12" i="19"/>
  <c r="AV12" i="19" s="1"/>
  <c r="AU8" i="19"/>
  <c r="AU3" i="19"/>
  <c r="AU7" i="19"/>
  <c r="AU16" i="19"/>
  <c r="AU6" i="19"/>
  <c r="AQ8" i="19"/>
  <c r="AR10" i="19"/>
  <c r="AB10" i="19"/>
  <c r="AJ34" i="17"/>
  <c r="AD10" i="18"/>
  <c r="AO13" i="18"/>
  <c r="AV13" i="18" s="1"/>
  <c r="AD22" i="18"/>
  <c r="AU22" i="18"/>
  <c r="AC23" i="18"/>
  <c r="AB24" i="18"/>
  <c r="AD26" i="18"/>
  <c r="AU26" i="18"/>
  <c r="AC27" i="18"/>
  <c r="AB28" i="18"/>
  <c r="AP30" i="18"/>
  <c r="AV30" i="18" s="1"/>
  <c r="AB32" i="18"/>
  <c r="AD34" i="18"/>
  <c r="AU34" i="18"/>
  <c r="AC35" i="18"/>
  <c r="AB36" i="18"/>
  <c r="AC39" i="18"/>
  <c r="AB40" i="18"/>
  <c r="AO43" i="18"/>
  <c r="AD44" i="18"/>
  <c r="AU44" i="18"/>
  <c r="AC45" i="18"/>
  <c r="AO47" i="18"/>
  <c r="AD48" i="18"/>
  <c r="AU48" i="18"/>
  <c r="AC49" i="18"/>
  <c r="AB50" i="18"/>
  <c r="AR51" i="18"/>
  <c r="AB52" i="18"/>
  <c r="AN53" i="18"/>
  <c r="AT53" i="18"/>
  <c r="AJ53" i="18"/>
  <c r="AR54" i="18"/>
  <c r="AB54" i="18"/>
  <c r="AC55" i="18"/>
  <c r="AN56" i="18"/>
  <c r="AN58" i="18"/>
  <c r="AQ63" i="18"/>
  <c r="AN66" i="18"/>
  <c r="AO67" i="18"/>
  <c r="AC67" i="18"/>
  <c r="AN67" i="18"/>
  <c r="AT67" i="18"/>
  <c r="AJ67" i="18"/>
  <c r="AN69" i="18"/>
  <c r="AR72" i="18"/>
  <c r="AB72" i="18"/>
  <c r="AO73" i="18"/>
  <c r="AV73" i="18" s="1"/>
  <c r="AC73" i="18"/>
  <c r="AR81" i="18"/>
  <c r="AR85" i="18"/>
  <c r="AQ97" i="18"/>
  <c r="AT14" i="21"/>
  <c r="AJ14" i="21"/>
  <c r="AN14" i="21"/>
  <c r="AJ29" i="17"/>
  <c r="AT29" i="17"/>
  <c r="AJ35" i="17"/>
  <c r="AT35" i="17"/>
  <c r="AV79" i="18"/>
  <c r="AN78" i="18"/>
  <c r="AN74" i="18"/>
  <c r="AN88" i="18"/>
  <c r="AN84" i="18"/>
  <c r="AN72" i="18"/>
  <c r="AN64" i="18"/>
  <c r="AU7" i="18"/>
  <c r="AO10" i="18"/>
  <c r="AP13" i="18"/>
  <c r="AU23" i="18"/>
  <c r="AJ24" i="18"/>
  <c r="AT24" i="18"/>
  <c r="AO26" i="18"/>
  <c r="AU27" i="18"/>
  <c r="AJ28" i="18"/>
  <c r="AT28" i="18"/>
  <c r="AC32" i="18"/>
  <c r="AJ32" i="18"/>
  <c r="AT32" i="18"/>
  <c r="AV32" i="18" s="1"/>
  <c r="AO34" i="18"/>
  <c r="AU35" i="18"/>
  <c r="AC36" i="18"/>
  <c r="AJ36" i="18"/>
  <c r="AT36" i="18"/>
  <c r="AB37" i="18"/>
  <c r="AN39" i="18"/>
  <c r="AU39" i="18"/>
  <c r="AC40" i="18"/>
  <c r="AJ40" i="18"/>
  <c r="AT40" i="18"/>
  <c r="AV40" i="18" s="1"/>
  <c r="AB41" i="18"/>
  <c r="AP43" i="18"/>
  <c r="AO44" i="18"/>
  <c r="AN45" i="18"/>
  <c r="AU45" i="18"/>
  <c r="AP47" i="18"/>
  <c r="AO48" i="18"/>
  <c r="AN49" i="18"/>
  <c r="AU49" i="18"/>
  <c r="AC50" i="18"/>
  <c r="AJ50" i="18"/>
  <c r="AT50" i="18"/>
  <c r="AT51" i="18"/>
  <c r="AC52" i="18"/>
  <c r="AO53" i="18"/>
  <c r="AV53" i="18" s="1"/>
  <c r="AU54" i="18"/>
  <c r="AN55" i="18"/>
  <c r="AO56" i="18"/>
  <c r="AV56" i="18" s="1"/>
  <c r="AO57" i="18"/>
  <c r="AJ58" i="18"/>
  <c r="AN59" i="18"/>
  <c r="AT59" i="18"/>
  <c r="AJ59" i="18"/>
  <c r="AR60" i="18"/>
  <c r="AB60" i="18"/>
  <c r="AU60" i="18"/>
  <c r="AO62" i="18"/>
  <c r="AJ66" i="18"/>
  <c r="AN70" i="18"/>
  <c r="AO72" i="18"/>
  <c r="AV72" i="18" s="1"/>
  <c r="AQ73" i="18"/>
  <c r="AN73" i="18"/>
  <c r="AQ74" i="18"/>
  <c r="AR78" i="18"/>
  <c r="AB78" i="18"/>
  <c r="AO81" i="18"/>
  <c r="AV81" i="18" s="1"/>
  <c r="AC81" i="18"/>
  <c r="AR84" i="18"/>
  <c r="AB84" i="18"/>
  <c r="AO85" i="18"/>
  <c r="AV85" i="18" s="1"/>
  <c r="AC85" i="18"/>
  <c r="AR88" i="18"/>
  <c r="AB88" i="18"/>
  <c r="AN99" i="18"/>
  <c r="AT99" i="18"/>
  <c r="AJ99" i="18"/>
  <c r="AO9" i="19"/>
  <c r="AV9" i="19" s="1"/>
  <c r="AC9" i="19"/>
  <c r="AQ12" i="19"/>
  <c r="AR14" i="19"/>
  <c r="AB14" i="19"/>
  <c r="AO7" i="20"/>
  <c r="AC7" i="20"/>
  <c r="AO17" i="20"/>
  <c r="AJ22" i="17"/>
  <c r="AB23" i="17"/>
  <c r="AJ26" i="17"/>
  <c r="AB27" i="17"/>
  <c r="AJ30" i="17"/>
  <c r="AB31" i="17"/>
  <c r="AJ36" i="17"/>
  <c r="AP91" i="18"/>
  <c r="AP90" i="18"/>
  <c r="AP66" i="18"/>
  <c r="AP79" i="18"/>
  <c r="AP57" i="18"/>
  <c r="AP78" i="18"/>
  <c r="AP56" i="18"/>
  <c r="AU3" i="18"/>
  <c r="AP10" i="18"/>
  <c r="AB12" i="18"/>
  <c r="AJ15" i="18"/>
  <c r="AB16" i="18"/>
  <c r="AJ19" i="18"/>
  <c r="AB20" i="18"/>
  <c r="AU24" i="18"/>
  <c r="AP26" i="18"/>
  <c r="AU28" i="18"/>
  <c r="AJ29" i="18"/>
  <c r="AB30" i="18"/>
  <c r="AU32" i="18"/>
  <c r="AP34" i="18"/>
  <c r="AU36" i="18"/>
  <c r="AJ37" i="18"/>
  <c r="AU40" i="18"/>
  <c r="AJ41" i="18"/>
  <c r="AB42" i="18"/>
  <c r="AP44" i="18"/>
  <c r="AP48" i="18"/>
  <c r="AU50" i="18"/>
  <c r="AC51" i="18"/>
  <c r="AU51" i="18"/>
  <c r="AQ52" i="18"/>
  <c r="AN54" i="18"/>
  <c r="AC58" i="18"/>
  <c r="AO59" i="18"/>
  <c r="AV59" i="18" s="1"/>
  <c r="AN62" i="18"/>
  <c r="AR64" i="18"/>
  <c r="AB64" i="18"/>
  <c r="AQ66" i="18"/>
  <c r="AQ67" i="18"/>
  <c r="AJ70" i="18"/>
  <c r="AO71" i="18"/>
  <c r="AV71" i="18" s="1"/>
  <c r="AC71" i="18"/>
  <c r="AN71" i="18"/>
  <c r="AT71" i="18"/>
  <c r="AJ71" i="18"/>
  <c r="AU75" i="18"/>
  <c r="AQ76" i="18"/>
  <c r="AU79" i="18"/>
  <c r="AQ81" i="18"/>
  <c r="AN81" i="18"/>
  <c r="AQ85" i="18"/>
  <c r="AN85" i="18"/>
  <c r="AO91" i="18"/>
  <c r="AN91" i="18"/>
  <c r="AT91" i="18"/>
  <c r="AJ91" i="18"/>
  <c r="AU93" i="18"/>
  <c r="AN97" i="18"/>
  <c r="AQ98" i="18"/>
  <c r="AN98" i="18"/>
  <c r="AQ99" i="18"/>
  <c r="AU15" i="19"/>
  <c r="AV15" i="19" s="1"/>
  <c r="AO13" i="20"/>
  <c r="AV13" i="20" s="1"/>
  <c r="AC13" i="20"/>
  <c r="AN29" i="18"/>
  <c r="AU29" i="18"/>
  <c r="AP35" i="18"/>
  <c r="AV35" i="18" s="1"/>
  <c r="AN37" i="18"/>
  <c r="AU37" i="18"/>
  <c r="AN41" i="18"/>
  <c r="AU41" i="18"/>
  <c r="AP45" i="18"/>
  <c r="AV45" i="18" s="1"/>
  <c r="AP49" i="18"/>
  <c r="AV49" i="18" s="1"/>
  <c r="AN51" i="18"/>
  <c r="AO54" i="18"/>
  <c r="AV54" i="18" s="1"/>
  <c r="AR55" i="18"/>
  <c r="AB55" i="18"/>
  <c r="AP55" i="18"/>
  <c r="AV55" i="18" s="1"/>
  <c r="AQ56" i="18"/>
  <c r="AU57" i="18"/>
  <c r="AN60" i="18"/>
  <c r="AN63" i="18"/>
  <c r="AT63" i="18"/>
  <c r="AJ63" i="18"/>
  <c r="AO64" i="18"/>
  <c r="AV64" i="18" s="1"/>
  <c r="AQ69" i="18"/>
  <c r="AQ75" i="18"/>
  <c r="AQ78" i="18"/>
  <c r="AO90" i="18"/>
  <c r="AV90" i="18" s="1"/>
  <c r="AQ91" i="18"/>
  <c r="AQ93" i="18"/>
  <c r="AO13" i="19"/>
  <c r="AV13" i="19" s="1"/>
  <c r="AC13" i="19"/>
  <c r="AD90" i="18"/>
  <c r="AC91" i="18"/>
  <c r="AD94" i="18"/>
  <c r="AC95" i="18"/>
  <c r="AD98" i="18"/>
  <c r="AC99" i="18"/>
  <c r="AD6" i="19"/>
  <c r="AC7" i="19"/>
  <c r="AB8" i="19"/>
  <c r="AB12" i="19"/>
  <c r="AP14" i="19"/>
  <c r="AV14" i="19" s="1"/>
  <c r="AD16" i="19"/>
  <c r="AU3" i="20"/>
  <c r="AO6" i="20"/>
  <c r="AQ6" i="20"/>
  <c r="AN7" i="20"/>
  <c r="AT7" i="20"/>
  <c r="AD8" i="20"/>
  <c r="AO8" i="20"/>
  <c r="AV8" i="20" s="1"/>
  <c r="AR9" i="20"/>
  <c r="AB9" i="20"/>
  <c r="AC11" i="20"/>
  <c r="AR16" i="20"/>
  <c r="AP17" i="20"/>
  <c r="AO20" i="20"/>
  <c r="AC20" i="20"/>
  <c r="AO22" i="20"/>
  <c r="AO23" i="20"/>
  <c r="AV23" i="20" s="1"/>
  <c r="AN23" i="20"/>
  <c r="AT23" i="20"/>
  <c r="AJ23" i="20"/>
  <c r="AQ26" i="20"/>
  <c r="AJ29" i="20"/>
  <c r="AQ30" i="20"/>
  <c r="AO31" i="20"/>
  <c r="AQ34" i="20"/>
  <c r="AR6" i="21"/>
  <c r="AO8" i="21"/>
  <c r="AV8" i="21" s="1"/>
  <c r="AC8" i="21"/>
  <c r="AR11" i="22"/>
  <c r="AB11" i="22"/>
  <c r="AV7" i="24"/>
  <c r="AN20" i="24"/>
  <c r="AT20" i="24"/>
  <c r="AJ20" i="24"/>
  <c r="AO32" i="24"/>
  <c r="AC32" i="24"/>
  <c r="AN32" i="24"/>
  <c r="AT32" i="24"/>
  <c r="AJ32" i="24"/>
  <c r="AJ60" i="18"/>
  <c r="AJ64" i="18"/>
  <c r="AJ72" i="18"/>
  <c r="AB81" i="18"/>
  <c r="AD83" i="18"/>
  <c r="AJ84" i="18"/>
  <c r="AB85" i="18"/>
  <c r="AD87" i="18"/>
  <c r="AJ88" i="18"/>
  <c r="AD91" i="18"/>
  <c r="AD95" i="18"/>
  <c r="AD99" i="18"/>
  <c r="AR3" i="19"/>
  <c r="AD7" i="19"/>
  <c r="AJ8" i="19"/>
  <c r="AB9" i="19"/>
  <c r="AJ12" i="19"/>
  <c r="AB13" i="19"/>
  <c r="AP31" i="20"/>
  <c r="AP23" i="20"/>
  <c r="AP15" i="20"/>
  <c r="AP30" i="20"/>
  <c r="AV30" i="20" s="1"/>
  <c r="AP26" i="20"/>
  <c r="AV26" i="20" s="1"/>
  <c r="AP22" i="20"/>
  <c r="AP29" i="20"/>
  <c r="AV29" i="20" s="1"/>
  <c r="AP28" i="20"/>
  <c r="AV28" i="20" s="1"/>
  <c r="AR6" i="20"/>
  <c r="AJ7" i="20"/>
  <c r="AP11" i="20"/>
  <c r="AV11" i="20" s="1"/>
  <c r="AU13" i="20"/>
  <c r="AO15" i="20"/>
  <c r="AO16" i="20"/>
  <c r="AC16" i="20"/>
  <c r="AN16" i="20"/>
  <c r="AN19" i="20"/>
  <c r="AT19" i="20"/>
  <c r="AJ19" i="20"/>
  <c r="AQ20" i="20"/>
  <c r="AQ22" i="20"/>
  <c r="AN22" i="20"/>
  <c r="AQ23" i="20"/>
  <c r="AN26" i="20"/>
  <c r="AU28" i="20"/>
  <c r="AN29" i="20"/>
  <c r="AN30" i="20"/>
  <c r="AN31" i="20"/>
  <c r="AT31" i="20"/>
  <c r="AJ31" i="20"/>
  <c r="AR33" i="20"/>
  <c r="AN34" i="20"/>
  <c r="AO36" i="20"/>
  <c r="AV36" i="20" s="1"/>
  <c r="AC36" i="20"/>
  <c r="AN36" i="20"/>
  <c r="AJ17" i="21"/>
  <c r="AJ15" i="21"/>
  <c r="AJ13" i="21"/>
  <c r="AJ8" i="21"/>
  <c r="AQ10" i="21"/>
  <c r="AN10" i="21"/>
  <c r="AT10" i="21"/>
  <c r="AJ10" i="21"/>
  <c r="AJ9" i="19"/>
  <c r="AJ13" i="19"/>
  <c r="AJ28" i="20"/>
  <c r="AJ17" i="20"/>
  <c r="AQ11" i="20"/>
  <c r="AT12" i="20"/>
  <c r="AV12" i="20" s="1"/>
  <c r="AJ12" i="20"/>
  <c r="AU12" i="20"/>
  <c r="AN13" i="20"/>
  <c r="AN15" i="20"/>
  <c r="AT15" i="20"/>
  <c r="AP16" i="20"/>
  <c r="AJ22" i="20"/>
  <c r="AJ26" i="20"/>
  <c r="AR28" i="20"/>
  <c r="AB28" i="20"/>
  <c r="AJ30" i="20"/>
  <c r="AQ31" i="20"/>
  <c r="AJ34" i="20"/>
  <c r="AN35" i="20"/>
  <c r="AT35" i="20"/>
  <c r="AJ35" i="20"/>
  <c r="AQ17" i="21"/>
  <c r="AQ12" i="21"/>
  <c r="AQ3" i="21"/>
  <c r="AQ15" i="21"/>
  <c r="AQ13" i="21"/>
  <c r="AO7" i="21"/>
  <c r="AC7" i="21"/>
  <c r="AJ19" i="21"/>
  <c r="AR15" i="22"/>
  <c r="AB15" i="22"/>
  <c r="AJ10" i="19"/>
  <c r="AR3" i="20"/>
  <c r="AR36" i="20"/>
  <c r="AR8" i="20"/>
  <c r="AR11" i="20"/>
  <c r="AR22" i="20"/>
  <c r="AR24" i="20"/>
  <c r="AR26" i="20"/>
  <c r="AR29" i="20"/>
  <c r="AU29" i="20"/>
  <c r="AR30" i="20"/>
  <c r="AR31" i="20"/>
  <c r="AR3" i="21"/>
  <c r="AR7" i="21"/>
  <c r="AR11" i="21"/>
  <c r="AR12" i="21"/>
  <c r="AR14" i="21"/>
  <c r="AV18" i="21"/>
  <c r="AO3" i="23"/>
  <c r="AO8" i="23"/>
  <c r="AO6" i="23"/>
  <c r="AJ93" i="18"/>
  <c r="AJ97" i="18"/>
  <c r="AR6" i="19"/>
  <c r="AJ15" i="19"/>
  <c r="AU17" i="20"/>
  <c r="AU36" i="20"/>
  <c r="AU24" i="20"/>
  <c r="AU20" i="20"/>
  <c r="AU16" i="20"/>
  <c r="AU35" i="20"/>
  <c r="AU31" i="20"/>
  <c r="AU23" i="20"/>
  <c r="AU19" i="20"/>
  <c r="AU15" i="20"/>
  <c r="AU11" i="20"/>
  <c r="AU7" i="20"/>
  <c r="AU34" i="20"/>
  <c r="AU30" i="20"/>
  <c r="AU26" i="20"/>
  <c r="AU22" i="20"/>
  <c r="AT8" i="20"/>
  <c r="AJ8" i="20"/>
  <c r="AU8" i="20"/>
  <c r="AT11" i="20"/>
  <c r="AR13" i="20"/>
  <c r="AB13" i="20"/>
  <c r="AR17" i="20"/>
  <c r="AB17" i="20"/>
  <c r="AR19" i="20"/>
  <c r="AO24" i="20"/>
  <c r="AC24" i="20"/>
  <c r="AN24" i="20"/>
  <c r="AQ28" i="20"/>
  <c r="AN28" i="20"/>
  <c r="AJ33" i="20"/>
  <c r="AR34" i="20"/>
  <c r="AJ1" i="21"/>
  <c r="AH1" i="21"/>
  <c r="AH2" i="21" s="1"/>
  <c r="AN6" i="21"/>
  <c r="AT6" i="21"/>
  <c r="AJ6" i="21"/>
  <c r="AQ7" i="21"/>
  <c r="AQ17" i="20"/>
  <c r="AC19" i="20"/>
  <c r="AB20" i="20"/>
  <c r="AD22" i="20"/>
  <c r="AC23" i="20"/>
  <c r="AU17" i="21"/>
  <c r="AU13" i="21"/>
  <c r="AU11" i="21"/>
  <c r="AQ8" i="21"/>
  <c r="AO11" i="21"/>
  <c r="AO12" i="21"/>
  <c r="AC12" i="21"/>
  <c r="AU12" i="21"/>
  <c r="AR15" i="21"/>
  <c r="AB15" i="21"/>
  <c r="AU18" i="21"/>
  <c r="AN19" i="21"/>
  <c r="AR7" i="22"/>
  <c r="AB7" i="22"/>
  <c r="AT8" i="22"/>
  <c r="AJ8" i="22"/>
  <c r="AO11" i="22"/>
  <c r="AO16" i="22"/>
  <c r="AV16" i="22" s="1"/>
  <c r="AC16" i="22"/>
  <c r="AC20" i="24"/>
  <c r="AO20" i="24"/>
  <c r="AV20" i="24" s="1"/>
  <c r="AR47" i="24"/>
  <c r="AB47" i="24"/>
  <c r="AJ16" i="20"/>
  <c r="AT16" i="20"/>
  <c r="AJ20" i="20"/>
  <c r="AT20" i="20"/>
  <c r="AJ24" i="20"/>
  <c r="AT24" i="20"/>
  <c r="AJ36" i="20"/>
  <c r="AT36" i="20"/>
  <c r="AU6" i="21"/>
  <c r="AJ7" i="21"/>
  <c r="AT7" i="21"/>
  <c r="AB8" i="21"/>
  <c r="AD10" i="21"/>
  <c r="AU10" i="21"/>
  <c r="AQ11" i="21"/>
  <c r="AT12" i="21"/>
  <c r="AJ12" i="21"/>
  <c r="AR13" i="21"/>
  <c r="AV13" i="21" s="1"/>
  <c r="AB13" i="21"/>
  <c r="AO14" i="21"/>
  <c r="AR17" i="21"/>
  <c r="AB17" i="21"/>
  <c r="AN17" i="21"/>
  <c r="AR18" i="21"/>
  <c r="AB18" i="21"/>
  <c r="AO19" i="21"/>
  <c r="AN8" i="22"/>
  <c r="AN9" i="22"/>
  <c r="AQ11" i="22"/>
  <c r="AN7" i="23"/>
  <c r="AN8" i="23"/>
  <c r="AR21" i="24"/>
  <c r="AB21" i="24"/>
  <c r="AD31" i="24"/>
  <c r="AQ31" i="24"/>
  <c r="AD35" i="24"/>
  <c r="AQ35" i="24"/>
  <c r="AU7" i="21"/>
  <c r="AN12" i="21"/>
  <c r="AN13" i="21"/>
  <c r="AU15" i="21"/>
  <c r="AO17" i="21"/>
  <c r="AR19" i="21"/>
  <c r="AB19" i="21"/>
  <c r="AO6" i="22"/>
  <c r="AC6" i="22"/>
  <c r="AO10" i="22"/>
  <c r="AV10" i="22" s="1"/>
  <c r="AC10" i="22"/>
  <c r="AN10" i="22"/>
  <c r="AT10" i="22"/>
  <c r="AJ10" i="22"/>
  <c r="AO14" i="22"/>
  <c r="AV14" i="22" s="1"/>
  <c r="AC14" i="22"/>
  <c r="AN14" i="22"/>
  <c r="AT14" i="22"/>
  <c r="AJ14" i="22"/>
  <c r="AQ15" i="22"/>
  <c r="AT18" i="22"/>
  <c r="AJ18" i="22"/>
  <c r="AR6" i="23"/>
  <c r="AB6" i="23"/>
  <c r="AN8" i="24"/>
  <c r="AT8" i="24"/>
  <c r="AV8" i="24" s="1"/>
  <c r="AJ8" i="24"/>
  <c r="AQ17" i="24"/>
  <c r="AD17" i="24"/>
  <c r="AO23" i="24"/>
  <c r="AC23" i="24"/>
  <c r="AV43" i="24"/>
  <c r="AB29" i="20"/>
  <c r="AB33" i="20"/>
  <c r="AP11" i="21"/>
  <c r="AP19" i="21"/>
  <c r="AP15" i="21"/>
  <c r="AV15" i="21" s="1"/>
  <c r="AU3" i="21"/>
  <c r="AP6" i="21"/>
  <c r="AV6" i="21" s="1"/>
  <c r="AN8" i="21"/>
  <c r="AU8" i="21"/>
  <c r="AP10" i="21"/>
  <c r="AV10" i="21" s="1"/>
  <c r="AT11" i="21"/>
  <c r="AP12" i="21"/>
  <c r="AP17" i="21"/>
  <c r="AQ18" i="21"/>
  <c r="AU19" i="21"/>
  <c r="AO13" i="22"/>
  <c r="AO3" i="22"/>
  <c r="AN17" i="22"/>
  <c r="AN7" i="22"/>
  <c r="AN15" i="22"/>
  <c r="AN11" i="22"/>
  <c r="AN6" i="22"/>
  <c r="AN13" i="22"/>
  <c r="AN18" i="22"/>
  <c r="AU6" i="23"/>
  <c r="AU8" i="23"/>
  <c r="AU3" i="23"/>
  <c r="AC42" i="24"/>
  <c r="AO42" i="24"/>
  <c r="AQ19" i="21"/>
  <c r="AP11" i="22"/>
  <c r="AP13" i="22"/>
  <c r="AP3" i="22"/>
  <c r="AP17" i="22"/>
  <c r="AV17" i="22" s="1"/>
  <c r="AP6" i="22"/>
  <c r="AR17" i="22"/>
  <c r="AB17" i="22"/>
  <c r="AO7" i="23"/>
  <c r="AV7" i="23" s="1"/>
  <c r="AT30" i="24"/>
  <c r="AJ30" i="24"/>
  <c r="AN30" i="24"/>
  <c r="AU9" i="22"/>
  <c r="AU13" i="22"/>
  <c r="AP6" i="23"/>
  <c r="AD8" i="23"/>
  <c r="AO30" i="24"/>
  <c r="AV30" i="24" s="1"/>
  <c r="AO45" i="24"/>
  <c r="AV45" i="24" s="1"/>
  <c r="AO41" i="24"/>
  <c r="AN45" i="24"/>
  <c r="AN41" i="24"/>
  <c r="AN37" i="24"/>
  <c r="AN33" i="24"/>
  <c r="AN47" i="24"/>
  <c r="AN46" i="24"/>
  <c r="AN42" i="24"/>
  <c r="AN38" i="24"/>
  <c r="AR3" i="24"/>
  <c r="AD7" i="24"/>
  <c r="AU7" i="24"/>
  <c r="AC8" i="24"/>
  <c r="AD11" i="24"/>
  <c r="AN11" i="24"/>
  <c r="AQ13" i="24"/>
  <c r="AR15" i="24"/>
  <c r="AQ16" i="24"/>
  <c r="AO17" i="24"/>
  <c r="AV17" i="24" s="1"/>
  <c r="AC19" i="24"/>
  <c r="AN23" i="24"/>
  <c r="AU25" i="24"/>
  <c r="AJ31" i="24"/>
  <c r="AP32" i="24"/>
  <c r="AJ35" i="24"/>
  <c r="AR38" i="24"/>
  <c r="AQ39" i="24"/>
  <c r="AN39" i="24"/>
  <c r="AQ42" i="24"/>
  <c r="AQ45" i="24"/>
  <c r="AO48" i="24"/>
  <c r="AR6" i="25"/>
  <c r="AB6" i="25"/>
  <c r="AQ10" i="25"/>
  <c r="AB6" i="22"/>
  <c r="AD10" i="22"/>
  <c r="AU10" i="22"/>
  <c r="AJ11" i="22"/>
  <c r="AD14" i="22"/>
  <c r="AU14" i="22"/>
  <c r="AB16" i="22"/>
  <c r="AP48" i="24"/>
  <c r="AP30" i="24"/>
  <c r="AP47" i="24"/>
  <c r="AP43" i="24"/>
  <c r="AP45" i="24"/>
  <c r="AP41" i="24"/>
  <c r="AP33" i="24"/>
  <c r="AP25" i="24"/>
  <c r="AU3" i="24"/>
  <c r="AD8" i="24"/>
  <c r="AU8" i="24"/>
  <c r="AP10" i="24"/>
  <c r="AV10" i="24" s="1"/>
  <c r="AN12" i="24"/>
  <c r="AT12" i="24"/>
  <c r="AJ12" i="24"/>
  <c r="AR13" i="24"/>
  <c r="AV13" i="24" s="1"/>
  <c r="AB13" i="24"/>
  <c r="AU13" i="24"/>
  <c r="AR16" i="24"/>
  <c r="AQ19" i="24"/>
  <c r="AN21" i="24"/>
  <c r="AN24" i="24"/>
  <c r="AT24" i="24"/>
  <c r="AJ24" i="24"/>
  <c r="AR25" i="24"/>
  <c r="AB25" i="24"/>
  <c r="AN27" i="24"/>
  <c r="AN28" i="24"/>
  <c r="AT28" i="24"/>
  <c r="AJ28" i="24"/>
  <c r="AR30" i="24"/>
  <c r="AR32" i="24"/>
  <c r="AR36" i="24"/>
  <c r="AC38" i="24"/>
  <c r="AO38" i="24"/>
  <c r="AV38" i="24" s="1"/>
  <c r="AR46" i="24"/>
  <c r="AQ47" i="24"/>
  <c r="AQ48" i="24"/>
  <c r="AJ18" i="21"/>
  <c r="AJ6" i="22"/>
  <c r="AU11" i="22"/>
  <c r="AU15" i="22"/>
  <c r="AJ16" i="22"/>
  <c r="AJ46" i="24"/>
  <c r="AJ42" i="24"/>
  <c r="AJ38" i="24"/>
  <c r="AJ47" i="24"/>
  <c r="AJ43" i="24"/>
  <c r="AJ39" i="24"/>
  <c r="AP7" i="24"/>
  <c r="AO12" i="24"/>
  <c r="AN15" i="24"/>
  <c r="AQ20" i="24"/>
  <c r="AO21" i="24"/>
  <c r="AV21" i="24" s="1"/>
  <c r="AP23" i="24"/>
  <c r="AO24" i="24"/>
  <c r="AJ27" i="24"/>
  <c r="AO28" i="24"/>
  <c r="AV28" i="24" s="1"/>
  <c r="AU30" i="24"/>
  <c r="AR33" i="24"/>
  <c r="AB33" i="24"/>
  <c r="AR37" i="24"/>
  <c r="AQ38" i="24"/>
  <c r="AR41" i="24"/>
  <c r="AR43" i="24"/>
  <c r="AB43" i="24"/>
  <c r="AC46" i="24"/>
  <c r="AO46" i="24"/>
  <c r="AV46" i="24" s="1"/>
  <c r="AO47" i="24"/>
  <c r="AN6" i="25"/>
  <c r="AO7" i="25"/>
  <c r="AN9" i="25"/>
  <c r="AT9" i="25"/>
  <c r="AJ9" i="25"/>
  <c r="AN6" i="26"/>
  <c r="AT6" i="26"/>
  <c r="AJ6" i="26"/>
  <c r="AR35" i="24"/>
  <c r="AR31" i="24"/>
  <c r="AR27" i="24"/>
  <c r="AR48" i="24"/>
  <c r="AR6" i="24"/>
  <c r="AR10" i="24"/>
  <c r="AR11" i="24"/>
  <c r="AN16" i="24"/>
  <c r="AT16" i="24"/>
  <c r="AJ16" i="24"/>
  <c r="AR17" i="24"/>
  <c r="AB17" i="24"/>
  <c r="AR20" i="24"/>
  <c r="AP24" i="24"/>
  <c r="AO33" i="24"/>
  <c r="AQ41" i="24"/>
  <c r="AQ46" i="24"/>
  <c r="AN48" i="24"/>
  <c r="AO3" i="25"/>
  <c r="AO10" i="25"/>
  <c r="AO8" i="25"/>
  <c r="AR9" i="22"/>
  <c r="AJ7" i="23"/>
  <c r="AU45" i="24"/>
  <c r="AU41" i="24"/>
  <c r="AU37" i="24"/>
  <c r="AU33" i="24"/>
  <c r="AU36" i="24"/>
  <c r="AU32" i="24"/>
  <c r="AU28" i="24"/>
  <c r="AU24" i="24"/>
  <c r="AU20" i="24"/>
  <c r="AU16" i="24"/>
  <c r="AU12" i="24"/>
  <c r="AU35" i="24"/>
  <c r="AU31" i="24"/>
  <c r="AU27" i="24"/>
  <c r="AU23" i="24"/>
  <c r="AU19" i="24"/>
  <c r="AU15" i="24"/>
  <c r="AU47" i="24"/>
  <c r="AU43" i="24"/>
  <c r="AU39" i="24"/>
  <c r="AU46" i="24"/>
  <c r="AU42" i="24"/>
  <c r="AU38" i="24"/>
  <c r="AJ6" i="24"/>
  <c r="AR7" i="24"/>
  <c r="AJ10" i="24"/>
  <c r="AO16" i="24"/>
  <c r="AV16" i="24" s="1"/>
  <c r="AN19" i="24"/>
  <c r="AQ21" i="24"/>
  <c r="AR23" i="24"/>
  <c r="AQ24" i="24"/>
  <c r="AO25" i="24"/>
  <c r="AV25" i="24" s="1"/>
  <c r="AR28" i="24"/>
  <c r="AQ30" i="24"/>
  <c r="AQ33" i="24"/>
  <c r="AR39" i="24"/>
  <c r="AB39" i="24"/>
  <c r="AR42" i="24"/>
  <c r="AQ43" i="24"/>
  <c r="AN43" i="24"/>
  <c r="AU48" i="24"/>
  <c r="AO6" i="25"/>
  <c r="AQ8" i="25"/>
  <c r="AQ28" i="24"/>
  <c r="AQ32" i="24"/>
  <c r="AQ36" i="24"/>
  <c r="AJ48" i="24"/>
  <c r="AU6" i="25"/>
  <c r="AJ7" i="25"/>
  <c r="AQ9" i="25"/>
  <c r="AP10" i="25"/>
  <c r="AQ6" i="26"/>
  <c r="AB37" i="24"/>
  <c r="AB41" i="24"/>
  <c r="AB45" i="24"/>
  <c r="AU3" i="25"/>
  <c r="AP6" i="25"/>
  <c r="AU8" i="25"/>
  <c r="AC9" i="25"/>
  <c r="AB10" i="25"/>
  <c r="AC6" i="26"/>
  <c r="AJ13" i="24"/>
  <c r="AJ17" i="24"/>
  <c r="AJ21" i="24"/>
  <c r="AJ25" i="24"/>
  <c r="AJ33" i="24"/>
  <c r="AJ37" i="24"/>
  <c r="AB38" i="24"/>
  <c r="AJ41" i="24"/>
  <c r="AB42" i="24"/>
  <c r="AJ45" i="24"/>
  <c r="AB46" i="24"/>
  <c r="AP7" i="25"/>
  <c r="AU9" i="25"/>
  <c r="AJ10" i="25"/>
  <c r="AV8" i="25" l="1"/>
  <c r="AV33" i="24"/>
  <c r="AV24" i="24"/>
  <c r="AV48" i="24"/>
  <c r="AV41" i="24"/>
  <c r="AV17" i="21"/>
  <c r="AV11" i="22"/>
  <c r="AV11" i="21"/>
  <c r="AV31" i="20"/>
  <c r="AV34" i="18"/>
  <c r="AV10" i="18"/>
  <c r="AV67" i="18"/>
  <c r="AV78" i="18"/>
  <c r="AV18" i="17"/>
  <c r="AV24" i="17"/>
  <c r="AV135" i="13"/>
  <c r="AV75" i="13"/>
  <c r="AV69" i="13"/>
  <c r="AV46" i="13"/>
  <c r="AV114" i="13"/>
  <c r="AV130" i="13"/>
  <c r="AV8" i="13"/>
  <c r="AV45" i="13"/>
  <c r="AV80" i="12"/>
  <c r="AV52" i="12"/>
  <c r="AV78" i="12"/>
  <c r="AV21" i="12"/>
  <c r="AV63" i="12"/>
  <c r="AV19" i="12"/>
  <c r="AV45" i="12"/>
  <c r="AV28" i="9"/>
  <c r="AV22" i="20"/>
  <c r="AV10" i="25"/>
  <c r="AV42" i="24"/>
  <c r="AV7" i="21"/>
  <c r="AV17" i="20"/>
  <c r="AV57" i="18"/>
  <c r="AV48" i="18"/>
  <c r="AV26" i="18"/>
  <c r="AV20" i="17"/>
  <c r="AV127" i="13"/>
  <c r="AV6" i="13"/>
  <c r="AV138" i="13"/>
  <c r="AV109" i="13"/>
  <c r="AV93" i="12"/>
  <c r="AV71" i="12"/>
  <c r="AV35" i="12"/>
  <c r="AV49" i="12"/>
  <c r="AV6" i="12"/>
  <c r="AV9" i="12"/>
  <c r="AV83" i="12"/>
  <c r="AV79" i="12"/>
  <c r="AV39" i="12"/>
  <c r="AV6" i="11"/>
  <c r="AV7" i="25"/>
  <c r="AV6" i="22"/>
  <c r="AV6" i="20"/>
  <c r="AV7" i="20"/>
  <c r="AV43" i="18"/>
  <c r="AV22" i="17"/>
  <c r="AV36" i="17"/>
  <c r="AV107" i="13"/>
  <c r="AV63" i="13"/>
  <c r="AV39" i="13"/>
  <c r="AV120" i="13"/>
  <c r="AV132" i="13"/>
  <c r="AV29" i="13"/>
  <c r="AV36" i="12"/>
  <c r="AV13" i="13"/>
  <c r="AV75" i="12"/>
  <c r="AV62" i="12"/>
  <c r="AV31" i="12"/>
  <c r="AV17" i="12"/>
  <c r="AV87" i="12"/>
  <c r="AV46" i="12"/>
  <c r="AV9" i="10"/>
  <c r="AV16" i="9"/>
  <c r="AV15" i="9"/>
  <c r="AV66" i="18"/>
  <c r="AV6" i="25"/>
  <c r="AV13" i="22"/>
  <c r="AV23" i="24"/>
  <c r="AV19" i="21"/>
  <c r="AV14" i="21"/>
  <c r="AV24" i="20"/>
  <c r="AV6" i="23"/>
  <c r="AV16" i="20"/>
  <c r="AV32" i="24"/>
  <c r="AV20" i="20"/>
  <c r="AV33" i="17"/>
  <c r="AV36" i="13"/>
  <c r="AV131" i="13"/>
  <c r="AV136" i="13"/>
  <c r="AV115" i="13"/>
  <c r="AV55" i="13"/>
  <c r="AV7" i="13"/>
  <c r="AV84" i="12"/>
  <c r="AV69" i="12"/>
  <c r="AV30" i="12"/>
  <c r="AV55" i="12"/>
  <c r="AV20" i="12"/>
  <c r="AV90" i="12"/>
  <c r="AV50" i="12"/>
  <c r="AV6" i="9"/>
  <c r="AV6" i="7"/>
  <c r="AV12" i="10"/>
  <c r="AV17" i="9"/>
  <c r="AV47" i="24"/>
  <c r="AV12" i="24"/>
  <c r="AV12" i="21"/>
  <c r="AV8" i="23"/>
  <c r="AV15" i="20"/>
  <c r="AV91" i="18"/>
  <c r="AV62" i="18"/>
  <c r="AV44" i="18"/>
  <c r="AV47" i="18"/>
  <c r="AV9" i="17"/>
  <c r="AV20" i="14"/>
  <c r="AV61" i="13"/>
  <c r="AV47" i="13"/>
  <c r="AV35" i="13"/>
  <c r="AV129" i="13"/>
  <c r="AV70" i="13"/>
  <c r="AV104" i="13"/>
  <c r="AV28" i="13"/>
  <c r="AV110" i="13"/>
  <c r="AV108" i="13"/>
  <c r="AV128" i="13"/>
  <c r="AV65" i="13"/>
  <c r="AV25" i="13"/>
  <c r="AV89" i="12"/>
  <c r="AV47" i="12"/>
  <c r="AV7" i="10"/>
  <c r="AV39" i="9"/>
  <c r="AV43" i="12"/>
  <c r="AV24" i="12"/>
  <c r="AV41" i="12"/>
  <c r="AV14" i="10"/>
  <c r="AV21" i="9"/>
  <c r="AV16" i="10"/>
  <c r="AV24" i="9"/>
  <c r="AV8" i="9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2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<sst xmlns="http://schemas.openxmlformats.org/spreadsheetml/2006/main" count="16839" uniqueCount="2045">
  <si>
    <t>인천광역시 연수구</t>
  </si>
  <si>
    <t>유사평형제거</t>
  </si>
  <si>
    <t>X</t>
  </si>
  <si>
    <t>추출기준세대수</t>
  </si>
  <si>
    <t>세대이상</t>
  </si>
  <si>
    <t>매매가 최대(색상 최대)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</si>
  <si>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</si>
  <si>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</si>
  <si>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</si>
  <si>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</si>
  <si>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</si>
  <si>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</si>
  <si>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</si>
  <si>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</si>
  <si>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</si>
  <si>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</si>
  <si>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</si>
  <si>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</si>
  <si>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</si>
  <si>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</si>
  <si>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</si>
  <si>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</si>
  <si>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</si>
  <si>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</si>
  <si>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</si>
  <si>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</si>
  <si>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</si>
  <si>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</si>
  <si>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</si>
  <si>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</si>
  <si>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</si>
  <si>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</si>
  <si>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</si>
  <si>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</si>
  <si>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</si>
  <si>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</si>
  <si>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</si>
  <si>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</si>
  <si>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</si>
  <si>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</si>
  <si>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</si>
  <si>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</si>
  <si>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</si>
  <si>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</si>
  <si>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</si>
  <si>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</si>
  <si>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</si>
  <si>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</si>
  <si>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</si>
  <si>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</si>
  <si>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</si>
  <si>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</si>
  <si>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</si>
  <si>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</si>
  <si>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</si>
  <si>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</si>
  <si>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</si>
  <si>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</si>
  <si>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</si>
  <si>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계</t>
  </si>
  <si>
    <t>84A</t>
  </si>
  <si>
    <t>A+</t>
  </si>
  <si>
    <t>B+</t>
  </si>
  <si>
    <t>84B</t>
  </si>
  <si>
    <t>84C</t>
  </si>
  <si>
    <t>복</t>
  </si>
  <si>
    <t>71A</t>
  </si>
  <si>
    <t>74B</t>
  </si>
  <si>
    <t>고</t>
  </si>
  <si>
    <t>중</t>
  </si>
  <si>
    <t>109A</t>
  </si>
  <si>
    <t>109B</t>
  </si>
  <si>
    <t>6</t>
  </si>
  <si>
    <t>110C</t>
  </si>
  <si>
    <t>151B</t>
  </si>
  <si>
    <t>152A</t>
  </si>
  <si>
    <t>78B</t>
  </si>
  <si>
    <t>100A</t>
  </si>
  <si>
    <t>114A</t>
  </si>
  <si>
    <t>114B</t>
  </si>
  <si>
    <t>79B</t>
  </si>
  <si>
    <t>80A</t>
  </si>
  <si>
    <t>8</t>
  </si>
  <si>
    <t>12</t>
  </si>
  <si>
    <t>79A</t>
  </si>
  <si>
    <t>80B</t>
  </si>
  <si>
    <t>109C</t>
  </si>
  <si>
    <t>11</t>
  </si>
  <si>
    <t>109D</t>
  </si>
  <si>
    <t>5</t>
  </si>
  <si>
    <t>109E</t>
  </si>
  <si>
    <t>110A</t>
  </si>
  <si>
    <t>106A</t>
  </si>
  <si>
    <t>7</t>
  </si>
  <si>
    <t>115C</t>
  </si>
  <si>
    <t>115B</t>
  </si>
  <si>
    <t>117D</t>
  </si>
  <si>
    <t>117E</t>
  </si>
  <si>
    <t>80C</t>
  </si>
  <si>
    <t>9</t>
  </si>
  <si>
    <t>81B</t>
  </si>
  <si>
    <t>112A</t>
  </si>
  <si>
    <t>112C</t>
  </si>
  <si>
    <t>83B</t>
  </si>
  <si>
    <t>10</t>
  </si>
  <si>
    <t>84A1</t>
  </si>
  <si>
    <t>84A2</t>
  </si>
  <si>
    <t>16</t>
  </si>
  <si>
    <t>19</t>
  </si>
  <si>
    <t>111A</t>
  </si>
  <si>
    <t>111B</t>
  </si>
  <si>
    <t>14</t>
  </si>
  <si>
    <t>83A</t>
  </si>
  <si>
    <t>98B</t>
  </si>
  <si>
    <t>85B</t>
  </si>
  <si>
    <t>85A</t>
  </si>
  <si>
    <t>86A</t>
  </si>
  <si>
    <t>86A1</t>
  </si>
  <si>
    <t>87B</t>
  </si>
  <si>
    <t>88C</t>
  </si>
  <si>
    <t>64A</t>
  </si>
  <si>
    <t>65C</t>
  </si>
  <si>
    <t>66B</t>
  </si>
  <si>
    <t>69C</t>
  </si>
  <si>
    <t>69A</t>
  </si>
  <si>
    <t>70B</t>
  </si>
  <si>
    <t>20</t>
  </si>
  <si>
    <t>15</t>
  </si>
  <si>
    <t>108B</t>
  </si>
  <si>
    <t>108A</t>
  </si>
  <si>
    <t>108C</t>
  </si>
  <si>
    <t>13</t>
  </si>
  <si>
    <t>110B</t>
  </si>
  <si>
    <t>90A</t>
  </si>
  <si>
    <t>91B</t>
  </si>
  <si>
    <t>102B</t>
  </si>
  <si>
    <t>102A</t>
  </si>
  <si>
    <t>17</t>
  </si>
  <si>
    <t>125B</t>
  </si>
  <si>
    <t>127A</t>
  </si>
  <si>
    <t>109A1</t>
  </si>
  <si>
    <t>18</t>
  </si>
  <si>
    <t>101A</t>
  </si>
  <si>
    <t>103A</t>
  </si>
  <si>
    <t>104B</t>
  </si>
  <si>
    <t>82A</t>
  </si>
  <si>
    <t>82B</t>
  </si>
  <si>
    <t>29</t>
  </si>
  <si>
    <t>111C</t>
  </si>
  <si>
    <t>117A</t>
  </si>
  <si>
    <t>117B</t>
  </si>
  <si>
    <t>76A</t>
  </si>
  <si>
    <t>77B</t>
  </si>
  <si>
    <t>23</t>
  </si>
  <si>
    <t>114C</t>
  </si>
  <si>
    <t>22</t>
  </si>
  <si>
    <t>26</t>
  </si>
  <si>
    <t>115A</t>
  </si>
  <si>
    <t>115B1</t>
  </si>
  <si>
    <t>122B</t>
  </si>
  <si>
    <t>112B</t>
  </si>
  <si>
    <t>112D</t>
  </si>
  <si>
    <t>112G</t>
  </si>
  <si>
    <t>112E</t>
  </si>
  <si>
    <t>113F</t>
  </si>
  <si>
    <t>113A</t>
  </si>
  <si>
    <t>24</t>
  </si>
  <si>
    <t>113B1</t>
  </si>
  <si>
    <t>113C</t>
  </si>
  <si>
    <t>113D</t>
  </si>
  <si>
    <t>155A</t>
  </si>
  <si>
    <t>155B</t>
  </si>
  <si>
    <t>132A</t>
  </si>
  <si>
    <t>166A</t>
  </si>
  <si>
    <t>156A</t>
  </si>
  <si>
    <t>156B</t>
  </si>
  <si>
    <t>114D</t>
  </si>
  <si>
    <t>115E</t>
  </si>
  <si>
    <t>133A</t>
  </si>
  <si>
    <t>25</t>
  </si>
  <si>
    <t>130A</t>
  </si>
  <si>
    <t>131B</t>
  </si>
  <si>
    <t>21</t>
  </si>
  <si>
    <t>151D</t>
  </si>
  <si>
    <t>151A</t>
  </si>
  <si>
    <t>151C</t>
  </si>
  <si>
    <t>120B</t>
  </si>
  <si>
    <t>74A</t>
  </si>
  <si>
    <t>104A</t>
  </si>
  <si>
    <t>107B</t>
  </si>
  <si>
    <t>81A</t>
  </si>
  <si>
    <t>76B</t>
  </si>
  <si>
    <t>68A</t>
  </si>
  <si>
    <t>69B</t>
  </si>
  <si>
    <t>98A</t>
  </si>
  <si>
    <t>99B</t>
  </si>
  <si>
    <t>107A</t>
  </si>
  <si>
    <t>143A</t>
  </si>
  <si>
    <t>143B</t>
  </si>
  <si>
    <t>88A</t>
  </si>
  <si>
    <t>120A</t>
  </si>
  <si>
    <t>110D</t>
  </si>
  <si>
    <t>149A</t>
  </si>
  <si>
    <t>149B</t>
  </si>
  <si>
    <t>149C</t>
  </si>
  <si>
    <t>172C</t>
  </si>
  <si>
    <t>172A</t>
  </si>
  <si>
    <t>172B</t>
  </si>
  <si>
    <t>105B</t>
  </si>
  <si>
    <t>106C</t>
  </si>
  <si>
    <t>103B</t>
  </si>
  <si>
    <t>126A</t>
  </si>
  <si>
    <t>128B</t>
  </si>
  <si>
    <t>150B</t>
  </si>
  <si>
    <t>150C</t>
  </si>
  <si>
    <t>105A</t>
  </si>
  <si>
    <t>83C</t>
  </si>
  <si>
    <t>84D</t>
  </si>
  <si>
    <t>84E</t>
  </si>
  <si>
    <t>106B</t>
  </si>
  <si>
    <t>106D</t>
  </si>
  <si>
    <t>129A</t>
  </si>
  <si>
    <t>143C</t>
  </si>
  <si>
    <t>129B</t>
  </si>
  <si>
    <t>111E</t>
  </si>
  <si>
    <t>111D</t>
  </si>
  <si>
    <t>131A</t>
  </si>
  <si>
    <t>133B</t>
  </si>
  <si>
    <t>175A</t>
  </si>
  <si>
    <t>176B</t>
  </si>
  <si>
    <t>20평대</t>
  </si>
  <si>
    <t>30평대</t>
  </si>
  <si>
    <t>합계</t>
  </si>
  <si>
    <t>10년 이하</t>
  </si>
  <si>
    <t>10~20년</t>
  </si>
  <si>
    <t>20~30년</t>
  </si>
  <si>
    <t>30년 이상</t>
  </si>
  <si>
    <t>O</t>
  </si>
  <si>
    <t>동1</t>
  </si>
  <si>
    <t>중동</t>
  </si>
  <si>
    <t>송천동1가</t>
  </si>
  <si>
    <t>송천동2가</t>
  </si>
  <si>
    <t>우아동3가</t>
  </si>
  <si>
    <t>만성동</t>
  </si>
  <si>
    <t>동2</t>
  </si>
  <si>
    <t>장동</t>
  </si>
  <si>
    <t>우아동2가</t>
  </si>
  <si>
    <t>동3</t>
  </si>
  <si>
    <t>전체</t>
  </si>
  <si>
    <t>~</t>
  </si>
  <si>
    <t>전주혁신중흥에스클래스(33평/6.0)</t>
  </si>
  <si>
    <t>KTX전주역클래시아더스카이(34평/5.3)</t>
  </si>
  <si>
    <t>송천KCC스위첸(33평/4.5)</t>
  </si>
  <si>
    <t>전주혁신중흥에스클래스('16/6.0)</t>
  </si>
  <si>
    <t>KTX전주역클래시아더스카이('21/5.3)</t>
  </si>
  <si>
    <t>송천KCC스위첸('16/4.5)</t>
  </si>
  <si>
    <t>솔내마을동아('99/1.8)</t>
  </si>
  <si>
    <t>진흥하이츠('95/1.4)</t>
  </si>
  <si>
    <t>20평대(방3)</t>
  </si>
  <si>
    <t>현대2차('97/2.2)</t>
  </si>
  <si>
    <t>현대2차('97/1.9)</t>
  </si>
  <si>
    <t>진흥하이츠('95/1.0)</t>
  </si>
  <si>
    <t>20평대(방2)</t>
  </si>
  <si>
    <t>10평대</t>
  </si>
  <si>
    <t>동 이름 :</t>
  </si>
  <si>
    <t>KB 평면도입력</t>
  </si>
  <si>
    <t>[고랑동]</t>
  </si>
  <si>
    <t>고랑노블레스더센텀</t>
  </si>
  <si>
    <t>2016.09.</t>
  </si>
  <si>
    <t>계단식</t>
  </si>
  <si>
    <t>https://new.land.naver.com/complexes/108765?tab=detail&amp;rf=Y</t>
  </si>
  <si>
    <t>전라북도 전주시 덕진구 고랑동 1224</t>
  </si>
  <si>
    <t>전라북도</t>
  </si>
  <si>
    <t>전주시</t>
  </si>
  <si>
    <t>덕진구</t>
  </si>
  <si>
    <t>고랑동</t>
  </si>
  <si>
    <t>전라북도 전주시 덕진구 여산로 253</t>
  </si>
  <si>
    <t>고랑명성</t>
  </si>
  <si>
    <t>1998.10.</t>
  </si>
  <si>
    <t>복도식</t>
  </si>
  <si>
    <t>https://new.land.naver.com/complexes/17086?tab=detail&amp;rf=Y</t>
  </si>
  <si>
    <t>전라북도 전주시 덕진구 고랑동 820-9</t>
  </si>
  <si>
    <t>전라북도 전주시 덕진구 쪽구름5길 5</t>
  </si>
  <si>
    <t>[금암동]</t>
  </si>
  <si>
    <t>금암</t>
  </si>
  <si>
    <t>1980.08.</t>
  </si>
  <si>
    <t>https://new.land.naver.com/complexes/124848?tab=detail&amp;rf=Y</t>
  </si>
  <si>
    <t>전라북도 전주시 덕진구 금암동 765-1</t>
  </si>
  <si>
    <t>금암동</t>
  </si>
  <si>
    <t>전라북도 전주시 덕진구 용산1길 12</t>
  </si>
  <si>
    <t>금암골든팰리스</t>
  </si>
  <si>
    <t>2018.03.</t>
  </si>
  <si>
    <t>https://new.land.naver.com/complexes/121732?tab=detail&amp;rf=Y</t>
  </si>
  <si>
    <t>전라북도 전주시 덕진구 금암동 455-13</t>
  </si>
  <si>
    <t>전라북도 전주시 덕진구 팔달로 375-13</t>
  </si>
  <si>
    <t>금암중앙하이츠</t>
  </si>
  <si>
    <t>2007.07.</t>
  </si>
  <si>
    <t>https://new.land.naver.com/complexes/24998?tab=detail&amp;rf=Y</t>
  </si>
  <si>
    <t>전라북도 전주시 덕진구 금암동 1564</t>
  </si>
  <si>
    <t>전라북도 전주시 덕진구 거북바우3길 15</t>
  </si>
  <si>
    <t>동남장미</t>
  </si>
  <si>
    <t>1983.12.</t>
  </si>
  <si>
    <t>90B</t>
  </si>
  <si>
    <t>https://new.land.naver.com/complexes/108587?tab=detail&amp;rf=Y</t>
  </si>
  <si>
    <t>전라북도 전주시 덕진구 금암동 1599-6</t>
  </si>
  <si>
    <t>전라북도 전주시 덕진구 매봉5길 23</t>
  </si>
  <si>
    <t>두산그랜드타운</t>
  </si>
  <si>
    <t>1995.12.</t>
  </si>
  <si>
    <t>https://new.land.naver.com/complexes/5278?tab=detail&amp;rf=Y</t>
  </si>
  <si>
    <t>전라북도 전주시 덕진구 금암동 1584</t>
  </si>
  <si>
    <t>전라북도 전주시 덕진구 매봉로 40</t>
  </si>
  <si>
    <t>영동</t>
  </si>
  <si>
    <t>1993.08.</t>
  </si>
  <si>
    <t>https://new.land.naver.com/complexes/5284?tab=detail&amp;rf=Y</t>
  </si>
  <si>
    <t>전라북도 전주시 덕진구 금암동 1574-9</t>
  </si>
  <si>
    <t>전라북도 전주시 덕진구 거북바우로 57</t>
  </si>
  <si>
    <t>우정</t>
  </si>
  <si>
    <t>1985.10.</t>
  </si>
  <si>
    <t>65B</t>
  </si>
  <si>
    <t>https://new.land.naver.com/complexes/5280?tab=detail&amp;rf=Y</t>
  </si>
  <si>
    <t>전라북도 전주시 덕진구 금암동 632-152</t>
  </si>
  <si>
    <t>전라북도 전주시 덕진구 건지2길 13-16</t>
  </si>
  <si>
    <t>66A</t>
  </si>
  <si>
    <t>목련</t>
  </si>
  <si>
    <t>1985.01.</t>
  </si>
  <si>
    <t>https://new.land.naver.com/complexes/5281?tab=detail&amp;rf=Y</t>
  </si>
  <si>
    <t>전라북도 전주시 덕진구 금암동 1577-1</t>
  </si>
  <si>
    <t>전라북도 전주시 덕진구 매봉14길 11</t>
  </si>
  <si>
    <t>전주모아미래도바울루체(주)</t>
  </si>
  <si>
    <t>2023.12.</t>
  </si>
  <si>
    <t>https://new.land.naver.com/complexes/144360?tab=detail&amp;rf=Y</t>
  </si>
  <si>
    <t>전라북도 전주시 덕진구 금암동 515-8 일원</t>
  </si>
  <si>
    <t>전라북도 전주시 덕진구 기린대로 342</t>
  </si>
  <si>
    <t>세원금암</t>
  </si>
  <si>
    <t>https://new.land.naver.com/complexes/5283?tab=detail&amp;rf=Y</t>
  </si>
  <si>
    <t>전라북도 전주시 덕진구 금암동 708-3</t>
  </si>
  <si>
    <t>전라북도 전주시 덕진구 기린대로 442</t>
  </si>
  <si>
    <t>한양</t>
  </si>
  <si>
    <t>71B</t>
  </si>
  <si>
    <t>https://new.land.naver.com/complexes/127580?tab=detail&amp;rf=Y</t>
  </si>
  <si>
    <t>전라북도 전주시 덕진구 금암동 1594-2</t>
  </si>
  <si>
    <t>전라북도 전주시 덕진구 건지로 9</t>
  </si>
  <si>
    <t>72A</t>
  </si>
  <si>
    <t>동남국민</t>
  </si>
  <si>
    <t>https://new.land.naver.com/complexes/125196?tab=detail&amp;rf=Y</t>
  </si>
  <si>
    <t>전라북도 전주시 덕진구 금암동 1601-10</t>
  </si>
  <si>
    <t>전라북도 전주시 덕진구 매봉5길 26</t>
  </si>
  <si>
    <t>청목(도시형)</t>
  </si>
  <si>
    <t>2013.03.</t>
  </si>
  <si>
    <t>38C</t>
  </si>
  <si>
    <t>https://new.land.naver.com/complexes/120579?tab=detail&amp;rf=Y</t>
  </si>
  <si>
    <t>전라북도 전주시 덕진구 금암동 470-1</t>
  </si>
  <si>
    <t>전라북도 전주시 덕진구 기린대로 400-6</t>
  </si>
  <si>
    <t>38A</t>
  </si>
  <si>
    <t>38B</t>
  </si>
  <si>
    <t>45A</t>
  </si>
  <si>
    <t>46B</t>
  </si>
  <si>
    <t>휴엔하임</t>
  </si>
  <si>
    <t>2016.11.</t>
  </si>
  <si>
    <t>https://new.land.naver.com/complexes/108815?tab=detail&amp;rf=Y</t>
  </si>
  <si>
    <t>전라북도 전주시 덕진구 금암동 1639-1</t>
  </si>
  <si>
    <t>전라북도 전주시 덕진구 태진로 125-30</t>
  </si>
  <si>
    <t>비사벌</t>
  </si>
  <si>
    <t>1981.07.</t>
  </si>
  <si>
    <t>https://new.land.naver.com/complexes/124353?tab=detail&amp;rf=Y</t>
  </si>
  <si>
    <t>전라북도 전주시 덕진구 금암동 751-6</t>
  </si>
  <si>
    <t>전라북도 전주시 덕진구 떡전3길 17</t>
  </si>
  <si>
    <t>정화</t>
  </si>
  <si>
    <t>1985.02.</t>
  </si>
  <si>
    <t>https://new.land.naver.com/complexes/102968?tab=detail&amp;rf=Y</t>
  </si>
  <si>
    <t>전라북도 전주시 덕진구 금암동 632-63</t>
  </si>
  <si>
    <t>전라북도 전주시 덕진구 조경단로 110</t>
  </si>
  <si>
    <t>금암거성</t>
  </si>
  <si>
    <t>https://new.land.naver.com/complexes/124411?tab=detail&amp;rf=Y</t>
  </si>
  <si>
    <t>전라북도 전주시 덕진구 금암동 526-15</t>
  </si>
  <si>
    <t>전라북도 전주시 덕진구 거북바우2길 11</t>
  </si>
  <si>
    <t>68B</t>
  </si>
  <si>
    <t>거성타워</t>
  </si>
  <si>
    <t>1989.12.</t>
  </si>
  <si>
    <t>https://new.land.naver.com/complexes/5275?tab=detail&amp;rf=Y</t>
  </si>
  <si>
    <t>전라북도 전주시 덕진구 금암동 523-9</t>
  </si>
  <si>
    <t>전라북도 전주시 덕진구 매봉16길 37</t>
  </si>
  <si>
    <t>세일</t>
  </si>
  <si>
    <t>https://new.land.naver.com/complexes/126025?tab=detail&amp;rf=Y</t>
  </si>
  <si>
    <t>전라북도 전주시 덕진구 금암동 1594-1</t>
  </si>
  <si>
    <t>전라북도 전주시 덕진구 건지2길 14</t>
  </si>
  <si>
    <t>천일</t>
  </si>
  <si>
    <t>1986.12.</t>
  </si>
  <si>
    <t>https://new.land.naver.com/complexes/143877?tab=detail&amp;rf=Y</t>
  </si>
  <si>
    <t>전라북도 전주시 덕진구 금암동 1577-21</t>
  </si>
  <si>
    <t>전라북도 전주시 덕진구 매봉로 7-24</t>
  </si>
  <si>
    <t>융성</t>
  </si>
  <si>
    <t>1985.05.</t>
  </si>
  <si>
    <t>https://new.land.naver.com/complexes/136126?tab=detail&amp;rf=Y</t>
  </si>
  <si>
    <t>전라북도 전주시 덕진구 금암동 1593-3</t>
  </si>
  <si>
    <t>전라북도 전주시 덕진구 건지로 7</t>
  </si>
  <si>
    <t>65A</t>
  </si>
  <si>
    <t>천년이지움</t>
  </si>
  <si>
    <t>2018.01.</t>
  </si>
  <si>
    <t>https://new.land.naver.com/complexes/111285?tab=detail&amp;rf=Y</t>
  </si>
  <si>
    <t>전라북도 전주시 덕진구 금암동 1640</t>
  </si>
  <si>
    <t>전라북도 전주시 덕진구 거북바우1길 16-6</t>
  </si>
  <si>
    <t>한양2차</t>
  </si>
  <si>
    <t>1986.03.</t>
  </si>
  <si>
    <t>https://new.land.naver.com/complexes/134162?tab=detail&amp;rf=Y</t>
  </si>
  <si>
    <t>전라북도 전주시 덕진구 금암동 1602-11</t>
  </si>
  <si>
    <t>전라북도 전주시 덕진구 매봉9길 29</t>
  </si>
  <si>
    <t>미성</t>
  </si>
  <si>
    <t>https://new.land.naver.com/complexes/130965?tab=detail&amp;rf=Y</t>
  </si>
  <si>
    <t>전라북도 전주시 덕진구 금암동 710-9</t>
  </si>
  <si>
    <t>전라북도 전주시 덕진구 기린대로 410-5</t>
  </si>
  <si>
    <t>107C</t>
  </si>
  <si>
    <t>우정맨션</t>
  </si>
  <si>
    <t>1989.05.</t>
  </si>
  <si>
    <t>https://new.land.naver.com/complexes/129199?tab=detail&amp;rf=Y</t>
  </si>
  <si>
    <t>전라북도 전주시 덕진구 금암동 628-1</t>
  </si>
  <si>
    <t>전라북도 전주시 덕진구 삼송3길 21</t>
  </si>
  <si>
    <t>160A</t>
  </si>
  <si>
    <t>160B</t>
  </si>
  <si>
    <t>[덕진동1가]</t>
  </si>
  <si>
    <t>백조</t>
  </si>
  <si>
    <t>1988.12.</t>
  </si>
  <si>
    <t>https://new.land.naver.com/complexes/116718?tab=detail&amp;rf=Y</t>
  </si>
  <si>
    <t>전라북도 전주시 덕진구 덕진동1가 1407-4</t>
  </si>
  <si>
    <t>덕진동1가</t>
  </si>
  <si>
    <t>전라북도 전주시 덕진구 들사평2길 8</t>
  </si>
  <si>
    <t>세원</t>
  </si>
  <si>
    <t>1983.01.</t>
  </si>
  <si>
    <t>https://new.land.naver.com/complexes/5289?tab=detail&amp;rf=Y</t>
  </si>
  <si>
    <t>전라북도 전주시 덕진구 덕진동1가 1314-133</t>
  </si>
  <si>
    <t>전라북도 전주시 덕진구 덕진연못1길 11</t>
  </si>
  <si>
    <t>75A</t>
  </si>
  <si>
    <t>풍년</t>
  </si>
  <si>
    <t>1981.12.</t>
  </si>
  <si>
    <t>https://new.land.naver.com/complexes/139133?tab=detail&amp;rf=Y</t>
  </si>
  <si>
    <t>전라북도 전주시 덕진구 덕진동1가 1118-3</t>
  </si>
  <si>
    <t>전라북도 전주시 덕진구 떡전로 21</t>
  </si>
  <si>
    <t>대학촌</t>
  </si>
  <si>
    <t>1983.08.</t>
  </si>
  <si>
    <t>https://new.land.naver.com/complexes/118234?tab=detail&amp;rf=Y</t>
  </si>
  <si>
    <t>전라북도 전주시 덕진구 덕진동1가 1263-1</t>
  </si>
  <si>
    <t>전라북도 전주시 덕진구 명륜4길 16</t>
  </si>
  <si>
    <t>89A</t>
  </si>
  <si>
    <t>89B</t>
  </si>
  <si>
    <t>90C</t>
  </si>
  <si>
    <t>135A</t>
  </si>
  <si>
    <t>135B</t>
  </si>
  <si>
    <t>명성강변</t>
  </si>
  <si>
    <t>1997.01.</t>
  </si>
  <si>
    <t>https://new.land.naver.com/complexes/128100?tab=detail&amp;rf=Y</t>
  </si>
  <si>
    <t>전라북도 전주시 덕진구 덕진동1가 1548-49</t>
  </si>
  <si>
    <t>전라북도 전주시 덕진구 가리내로 204</t>
  </si>
  <si>
    <t>오성</t>
  </si>
  <si>
    <t>1983.02.</t>
  </si>
  <si>
    <t>https://new.land.naver.com/complexes/116760?tab=detail&amp;rf=Y</t>
  </si>
  <si>
    <t>전라북도 전주시 덕진구 덕진동1가 1270-1</t>
  </si>
  <si>
    <t>전라북도 전주시 덕진구 들사평4길 18</t>
  </si>
  <si>
    <t>103C</t>
  </si>
  <si>
    <t>거성경기장</t>
  </si>
  <si>
    <t>1986.01.</t>
  </si>
  <si>
    <t>https://new.land.naver.com/complexes/5287?tab=detail&amp;rf=Y</t>
  </si>
  <si>
    <t>전라북도 전주시 덕진구 덕진동1가 1437-1</t>
  </si>
  <si>
    <t>전라북도 전주시 덕진구 들사평로 6</t>
  </si>
  <si>
    <t>96A</t>
  </si>
  <si>
    <t>97B</t>
  </si>
  <si>
    <t>거성</t>
  </si>
  <si>
    <t>1982.10.</t>
  </si>
  <si>
    <t>https://new.land.naver.com/complexes/101163?tab=detail&amp;rf=Y</t>
  </si>
  <si>
    <t>전라북도 전주시 덕진구 덕진동1가 1314-154</t>
  </si>
  <si>
    <t>전라북도 전주시 덕진구 덕진광장로 13</t>
  </si>
  <si>
    <t>95A</t>
  </si>
  <si>
    <t>95B</t>
  </si>
  <si>
    <t>96C</t>
  </si>
  <si>
    <t>[덕진동2가]</t>
  </si>
  <si>
    <t>영무예다음</t>
  </si>
  <si>
    <t>2009.12.</t>
  </si>
  <si>
    <t>https://new.land.naver.com/complexes/101338?tab=detail&amp;rf=Y</t>
  </si>
  <si>
    <t>전라북도 전주시 덕진구 덕진동2가 696</t>
  </si>
  <si>
    <t>덕진동2가</t>
  </si>
  <si>
    <t>전라북도 전주시 덕진구 가련산로 24</t>
  </si>
  <si>
    <t>https://new.land.naver.com/complexes/15014?tab=detail&amp;rf=Y</t>
  </si>
  <si>
    <t>전라북도 전주시 덕진구 덕진동2가 450-2</t>
  </si>
  <si>
    <t>하가더루벤스</t>
  </si>
  <si>
    <t>2012.06.</t>
  </si>
  <si>
    <t>https://new.land.naver.com/complexes/102517?tab=detail&amp;rf=Y</t>
  </si>
  <si>
    <t>전라북도 전주시 덕진구 덕진동2가 683</t>
  </si>
  <si>
    <t>전라북도 전주시 덕진구 추탄로 61</t>
  </si>
  <si>
    <t>제일오투그란데</t>
  </si>
  <si>
    <t>2013.01.</t>
  </si>
  <si>
    <t>https://new.land.naver.com/complexes/103591?tab=detail&amp;rf=Y</t>
  </si>
  <si>
    <t>전라북도 전주시 덕진구 덕진동2가 684</t>
  </si>
  <si>
    <t>전라북도 전주시 덕진구 경동로 19</t>
  </si>
  <si>
    <t>덕진엘르디움</t>
  </si>
  <si>
    <t>2015.07.</t>
  </si>
  <si>
    <t>https://new.land.naver.com/complexes/112828?tab=detail&amp;rf=Y</t>
  </si>
  <si>
    <t>전라북도 전주시 덕진구 덕진동2가 726</t>
  </si>
  <si>
    <t>전라북도 전주시 덕진구 호반6길 26-5</t>
  </si>
  <si>
    <t>전주하가휴먼빌</t>
  </si>
  <si>
    <t>2010.04.</t>
  </si>
  <si>
    <t>https://new.land.naver.com/complexes/101354?tab=detail&amp;rf=Y</t>
  </si>
  <si>
    <t>전라북도 전주시 덕진구 덕진동2가 697</t>
  </si>
  <si>
    <t>전라북도 전주시 덕진구 가리내로 216</t>
  </si>
  <si>
    <t>오성유토피아</t>
  </si>
  <si>
    <t>1989.04.</t>
  </si>
  <si>
    <t>https://new.land.naver.com/complexes/5290?tab=detail&amp;rf=Y</t>
  </si>
  <si>
    <t>전라북도 전주시 덕진구 덕진동2가 20</t>
  </si>
  <si>
    <t>전라북도 전주시 덕진구 호반8길 15</t>
  </si>
  <si>
    <t>전주덕진휴먼빌2차</t>
  </si>
  <si>
    <t>2016.12.</t>
  </si>
  <si>
    <t>https://new.land.naver.com/complexes/109541?tab=detail&amp;rf=Y</t>
  </si>
  <si>
    <t>전라북도 전주시 덕진구 덕진동2가 727</t>
  </si>
  <si>
    <t>전라북도 전주시 덕진구 하가로 10</t>
  </si>
  <si>
    <t>[만성동]</t>
  </si>
  <si>
    <t>전주만성시티프라디움</t>
  </si>
  <si>
    <t>2019.01.</t>
  </si>
  <si>
    <t>https://new.land.naver.com/complexes/115894?tab=detail&amp;rf=Y</t>
  </si>
  <si>
    <t>전라북도 전주시 덕진구 만성동 1289-4</t>
  </si>
  <si>
    <t>전라북도 전주시 덕진구 만성동로 47</t>
  </si>
  <si>
    <t>만성이지움레이크테라스</t>
  </si>
  <si>
    <t>2020.03.</t>
  </si>
  <si>
    <t>108P_31</t>
  </si>
  <si>
    <t>https://new.land.naver.com/complexes/122588?tab=detail&amp;rf=Y</t>
  </si>
  <si>
    <t>전라북도 전주시 덕진구 만성동 1359-1</t>
  </si>
  <si>
    <t>전라북도 전주시 덕진구 만성서로 77</t>
  </si>
  <si>
    <t>108_30</t>
  </si>
  <si>
    <t>111P_04</t>
  </si>
  <si>
    <t>111T_01</t>
  </si>
  <si>
    <t>111_02</t>
  </si>
  <si>
    <t>111_03</t>
  </si>
  <si>
    <t>111P_12</t>
  </si>
  <si>
    <t>111_11</t>
  </si>
  <si>
    <t>111P_08</t>
  </si>
  <si>
    <t>111_07</t>
  </si>
  <si>
    <t>111T_05</t>
  </si>
  <si>
    <t>112T_09</t>
  </si>
  <si>
    <t>112_10</t>
  </si>
  <si>
    <t>112_06</t>
  </si>
  <si>
    <t>115_29</t>
  </si>
  <si>
    <t>135P_27</t>
  </si>
  <si>
    <t>135_26</t>
  </si>
  <si>
    <t>136P_19</t>
  </si>
  <si>
    <t>136_18</t>
  </si>
  <si>
    <t>136P_23</t>
  </si>
  <si>
    <t>136_22</t>
  </si>
  <si>
    <t>146_17</t>
  </si>
  <si>
    <t>146_21</t>
  </si>
  <si>
    <t>147_25</t>
  </si>
  <si>
    <t>170T_16</t>
  </si>
  <si>
    <t>217T_28</t>
  </si>
  <si>
    <t>265T_13</t>
  </si>
  <si>
    <t>289T_24</t>
  </si>
  <si>
    <t>291T_15</t>
  </si>
  <si>
    <t>291_20</t>
  </si>
  <si>
    <t>309T_14</t>
  </si>
  <si>
    <t>LH퍼스트리움</t>
  </si>
  <si>
    <t>https://new.land.naver.com/complexes/115408?tab=detail&amp;rf=Y</t>
  </si>
  <si>
    <t>전라북도 전주시 덕진구 만성동 1290-2</t>
  </si>
  <si>
    <t>전라북도 전주시 덕진구 만성동로 16</t>
  </si>
  <si>
    <t>중흥에스클래스더퍼스트</t>
  </si>
  <si>
    <t>2018.07.</t>
  </si>
  <si>
    <t>https://new.land.naver.com/complexes/115353?tab=detail&amp;rf=Y</t>
  </si>
  <si>
    <t>전라북도 전주시 덕진구 만성동 1371-3</t>
  </si>
  <si>
    <t>전라북도 전주시 덕진구 만성로 150</t>
  </si>
  <si>
    <t>제일풍경채</t>
  </si>
  <si>
    <t>2018.02.</t>
  </si>
  <si>
    <t>https://new.land.naver.com/complexes/113510?tab=detail&amp;rf=Y</t>
  </si>
  <si>
    <t>전라북도 전주시 덕진구 만성동 1290-1</t>
  </si>
  <si>
    <t>전라북도 전주시 덕진구 만성동로 48</t>
  </si>
  <si>
    <t>만성법조타운골드클래스</t>
  </si>
  <si>
    <t>https://new.land.naver.com/complexes/112814?tab=detail&amp;rf=Y</t>
  </si>
  <si>
    <t>전라북도 전주시 덕진구 만성동 1367-1</t>
  </si>
  <si>
    <t>전라북도 전주시 덕진구 만성로 181</t>
  </si>
  <si>
    <t>[반월동]</t>
  </si>
  <si>
    <t>전주반월남해오네뜨하이뷰</t>
  </si>
  <si>
    <t>2018.06.</t>
  </si>
  <si>
    <t>https://new.land.naver.com/complexes/111855?tab=detail&amp;rf=Y</t>
  </si>
  <si>
    <t>전라북도 전주시 덕진구 반월동 1232</t>
  </si>
  <si>
    <t>반월동</t>
  </si>
  <si>
    <t>전라북도 전주시 덕진구 쪽구름로 111</t>
  </si>
  <si>
    <t>2006.06.</t>
  </si>
  <si>
    <t>https://new.land.naver.com/complexes/101164?tab=detail&amp;rf=Y</t>
  </si>
  <si>
    <t>전라북도 전주시 덕진구 반월동 217-4</t>
  </si>
  <si>
    <t>전라북도 전주시 덕진구 반월4길 16</t>
  </si>
  <si>
    <t>반월동광신프로그레스</t>
  </si>
  <si>
    <t>2020.07.</t>
  </si>
  <si>
    <t>https://new.land.naver.com/complexes/126137?tab=detail&amp;rf=Y</t>
  </si>
  <si>
    <t>전라북도 전주시 덕진구 반월동 1242</t>
  </si>
  <si>
    <t>전라북도 전주시 덕진구 반월로 26</t>
  </si>
  <si>
    <t>대창하이빌타운</t>
  </si>
  <si>
    <t>1998.01.</t>
  </si>
  <si>
    <t>https://new.land.naver.com/complexes/108982?tab=detail&amp;rf=Y</t>
  </si>
  <si>
    <t>전라북도 전주시 덕진구 반월동 422-1</t>
  </si>
  <si>
    <t>전라북도 전주시 덕진구 반월4길 15</t>
  </si>
  <si>
    <t>세움펠리피아</t>
  </si>
  <si>
    <t>2016.02.</t>
  </si>
  <si>
    <t>https://new.land.naver.com/complexes/107847?tab=detail&amp;rf=Y</t>
  </si>
  <si>
    <t>전라북도 전주시 덕진구 반월동 1231</t>
  </si>
  <si>
    <t>전라북도 전주시 덕진구 쪽구름2길 9</t>
  </si>
  <si>
    <t>반월세움펠리피아2차</t>
  </si>
  <si>
    <t>2019.10.</t>
  </si>
  <si>
    <t>https://new.land.naver.com/complexes/117389?tab=detail&amp;rf=Y</t>
  </si>
  <si>
    <t>전라북도 전주시 덕진구 반월동 1241</t>
  </si>
  <si>
    <t>전라북도 전주시 덕진구 혁신로 727</t>
  </si>
  <si>
    <t>반월한강</t>
  </si>
  <si>
    <t>1995.01.</t>
  </si>
  <si>
    <t>https://new.land.naver.com/complexes/5301?tab=detail&amp;rf=Y</t>
  </si>
  <si>
    <t>전라북도 전주시 덕진구 반월동 386-7</t>
  </si>
  <si>
    <t>전라북도 전주시 덕진구 쪽구름로 133</t>
  </si>
  <si>
    <t>남양반월타운</t>
  </si>
  <si>
    <t>https://new.land.naver.com/complexes/15019?tab=detail&amp;rf=Y</t>
  </si>
  <si>
    <t>전라북도 전주시 덕진구 반월동 382</t>
  </si>
  <si>
    <t>전라북도 전주시 덕진구 쪽구름로 123</t>
  </si>
  <si>
    <t>월드컵이지움</t>
  </si>
  <si>
    <t>2015.03.</t>
  </si>
  <si>
    <t>https://new.land.naver.com/complexes/107112?tab=detail&amp;rf=Y</t>
  </si>
  <si>
    <t>전라북도 전주시 덕진구 반월동 1230</t>
  </si>
  <si>
    <t>전라북도 전주시 덕진구 반월로 32</t>
  </si>
  <si>
    <t>삼오</t>
  </si>
  <si>
    <t>1996.02.</t>
  </si>
  <si>
    <t>https://new.land.naver.com/complexes/5297?tab=detail&amp;rf=Y</t>
  </si>
  <si>
    <t>전라북도 전주시 덕진구 반월동 374-4</t>
  </si>
  <si>
    <t>전라북도 전주시 덕진구 반월5길 8</t>
  </si>
  <si>
    <t>[송천동1가]</t>
  </si>
  <si>
    <t>현대(127-6)</t>
  </si>
  <si>
    <t>1989.07.</t>
  </si>
  <si>
    <t>https://new.land.naver.com/complexes/124504?tab=detail&amp;rf=Y</t>
  </si>
  <si>
    <t>전라북도 전주시 덕진구 송천동1가 127-6</t>
  </si>
  <si>
    <t>전라북도 전주시 덕진구 솔내7길 24</t>
  </si>
  <si>
    <t>KJ라미안</t>
  </si>
  <si>
    <t>https://new.land.naver.com/complexes/19308?tab=detail&amp;rf=Y</t>
  </si>
  <si>
    <t>전라북도 전주시 덕진구 송천동1가 805</t>
  </si>
  <si>
    <t>전라북도 전주시 덕진구 두간6길 9</t>
  </si>
  <si>
    <t>비사벌(468-2)</t>
  </si>
  <si>
    <t>1984.02.</t>
  </si>
  <si>
    <t>https://new.land.naver.com/complexes/5476?tab=detail&amp;rf=Y</t>
  </si>
  <si>
    <t>전라북도 전주시 덕진구 송천동1가 468-2</t>
  </si>
  <si>
    <t>전라북도 전주시 덕진구 송천2길 10</t>
  </si>
  <si>
    <t>송천우림</t>
  </si>
  <si>
    <t>1996.10.</t>
  </si>
  <si>
    <t>https://new.land.naver.com/complexes/15031?tab=detail&amp;rf=Y</t>
  </si>
  <si>
    <t>전라북도 전주시 덕진구 송천동1가 117</t>
  </si>
  <si>
    <t>전라북도 전주시 덕진구 솔내9길 7</t>
  </si>
  <si>
    <t>서호2단지</t>
  </si>
  <si>
    <t>1995.11.</t>
  </si>
  <si>
    <t>https://new.land.naver.com/complexes/5484?tab=detail&amp;rf=Y</t>
  </si>
  <si>
    <t>전라북도 전주시 덕진구 송천동1가 329</t>
  </si>
  <si>
    <t>전라북도 전주시 덕진구 송천로 43</t>
  </si>
  <si>
    <t>송천센트럴파크1단지</t>
  </si>
  <si>
    <t>2008.04.</t>
  </si>
  <si>
    <t>https://new.land.naver.com/complexes/25378?tab=detail&amp;rf=Y</t>
  </si>
  <si>
    <t>전라북도 전주시 덕진구 송천동1가 292-7</t>
  </si>
  <si>
    <t>전라북도 전주시 덕진구 송천로 1</t>
  </si>
  <si>
    <t>비사벌(270-16)</t>
  </si>
  <si>
    <t>1985.11.</t>
  </si>
  <si>
    <t>70A</t>
  </si>
  <si>
    <t>https://new.land.naver.com/complexes/116541?tab=detail&amp;rf=Y</t>
  </si>
  <si>
    <t>전라북도 전주시 덕진구 송천동1가 270-16</t>
  </si>
  <si>
    <t>전라북도 전주시 덕진구 송천중앙로 54</t>
  </si>
  <si>
    <t>70C</t>
  </si>
  <si>
    <t>71D</t>
  </si>
  <si>
    <t>송천아이파크5단지</t>
  </si>
  <si>
    <t>2009.05.</t>
  </si>
  <si>
    <t>https://new.land.naver.com/complexes/27176?tab=detail&amp;rf=Y</t>
  </si>
  <si>
    <t>전라북도 전주시 덕진구 송천동1가 870</t>
  </si>
  <si>
    <t>전라북도 전주시 덕진구 오송로 45</t>
  </si>
  <si>
    <t>벽산e-리버파크</t>
  </si>
  <si>
    <t>2013.10.</t>
  </si>
  <si>
    <t>https://new.land.naver.com/complexes/106691?tab=detail&amp;rf=Y</t>
  </si>
  <si>
    <t>전라북도 전주시 덕진구 송천동1가 873</t>
  </si>
  <si>
    <t>전라북도 전주시 덕진구 송천3길 55</t>
  </si>
  <si>
    <t>송천웰가(도시형)</t>
  </si>
  <si>
    <t>2015.08.</t>
  </si>
  <si>
    <t>https://new.land.naver.com/complexes/112427?tab=detail&amp;rf=Y</t>
  </si>
  <si>
    <t>전라북도 전주시 덕진구 송천동1가 350-4</t>
  </si>
  <si>
    <t>전라북도 전주시 덕진구 송천중앙로 85</t>
  </si>
  <si>
    <t>73B</t>
  </si>
  <si>
    <t>73A</t>
  </si>
  <si>
    <t>동북</t>
  </si>
  <si>
    <t>1990.03.</t>
  </si>
  <si>
    <t>62A</t>
  </si>
  <si>
    <t>https://new.land.naver.com/complexes/118486?tab=detail&amp;rf=Y</t>
  </si>
  <si>
    <t>전라북도 전주시 덕진구 송천동1가 123-8</t>
  </si>
  <si>
    <t>전라북도 전주시 덕진구 솔내2길 71</t>
  </si>
  <si>
    <t>64B</t>
  </si>
  <si>
    <t>77A</t>
  </si>
  <si>
    <t>1993.05.</t>
  </si>
  <si>
    <t>https://new.land.naver.com/complexes/5508?tab=detail&amp;rf=Y</t>
  </si>
  <si>
    <t>전라북도 전주시 덕진구 송천동1가 605-4</t>
  </si>
  <si>
    <t>전라북도 전주시 덕진구 가리내로 550</t>
  </si>
  <si>
    <t>서호</t>
  </si>
  <si>
    <t>1990.12.</t>
  </si>
  <si>
    <t>https://new.land.naver.com/complexes/106616?tab=detail&amp;rf=Y</t>
  </si>
  <si>
    <t>전라북도 전주시 덕진구 송천동1가 171-5</t>
  </si>
  <si>
    <t>전라북도 전주시 덕진구 솔내2길 63</t>
  </si>
  <si>
    <t>71C</t>
  </si>
  <si>
    <t>송학</t>
  </si>
  <si>
    <t>2002.06.</t>
  </si>
  <si>
    <t>https://new.land.naver.com/complexes/25368?tab=detail&amp;rf=Y</t>
  </si>
  <si>
    <t>전라북도 전주시 덕진구 송천동1가 395-16</t>
  </si>
  <si>
    <t>전라북도 전주시 덕진구 솔내5길 5</t>
  </si>
  <si>
    <t>송천자이</t>
  </si>
  <si>
    <t>https://new.land.naver.com/complexes/19032?tab=detail&amp;rf=Y</t>
  </si>
  <si>
    <t>전라북도 전주시 덕진구 송천동1가 806</t>
  </si>
  <si>
    <t>전라북도 전주시 덕진구 두간6길 10</t>
  </si>
  <si>
    <t>송천현대4차</t>
  </si>
  <si>
    <t>1998.12.</t>
  </si>
  <si>
    <t>https://new.land.naver.com/complexes/5519?tab=detail&amp;rf=Y</t>
  </si>
  <si>
    <t>전라북도 전주시 덕진구 송천동1가 138-5</t>
  </si>
  <si>
    <t>전라북도 전주시 덕진구 솔내로 120</t>
  </si>
  <si>
    <t>송천아이파크6단지</t>
  </si>
  <si>
    <t>https://new.land.naver.com/complexes/27177?tab=detail&amp;rf=Y</t>
  </si>
  <si>
    <t>전라북도 전주시 덕진구 송천동1가 871</t>
  </si>
  <si>
    <t>전라북도 전주시 덕진구 오송로 47</t>
  </si>
  <si>
    <t>현대(107-17)</t>
  </si>
  <si>
    <t>https://new.land.naver.com/complexes/109637?tab=detail&amp;rf=Y</t>
  </si>
  <si>
    <t>전라북도 전주시 덕진구 송천동1가 107-17</t>
  </si>
  <si>
    <t>전라북도 전주시 덕진구 오송1길 13-16</t>
  </si>
  <si>
    <t>힐파크</t>
  </si>
  <si>
    <t>2013.09.</t>
  </si>
  <si>
    <t>https://new.land.naver.com/complexes/133092?tab=detail&amp;rf=Y</t>
  </si>
  <si>
    <t>전라북도 전주시 덕진구 송천동1가 84-5</t>
  </si>
  <si>
    <t>전라북도 전주시 덕진구 오송로 59-2</t>
  </si>
  <si>
    <t>98E</t>
  </si>
  <si>
    <t>99A</t>
  </si>
  <si>
    <t>100C</t>
  </si>
  <si>
    <t>100D</t>
  </si>
  <si>
    <t>100F</t>
  </si>
  <si>
    <t>102C</t>
  </si>
  <si>
    <t>102D</t>
  </si>
  <si>
    <t>104E</t>
  </si>
  <si>
    <t>금정</t>
  </si>
  <si>
    <t>1985.12.</t>
  </si>
  <si>
    <t>https://new.land.naver.com/complexes/123544?tab=detail&amp;rf=Y</t>
  </si>
  <si>
    <t>전라북도 전주시 덕진구 송천동1가 170</t>
  </si>
  <si>
    <t>전라북도 전주시 덕진구 솔내2길 80</t>
  </si>
  <si>
    <t>성원무지개</t>
  </si>
  <si>
    <t>1988.01.</t>
  </si>
  <si>
    <t>https://new.land.naver.com/complexes/15023?tab=detail&amp;rf=Y</t>
  </si>
  <si>
    <t>전라북도 전주시 덕진구 송천동1가 543-2</t>
  </si>
  <si>
    <t>전라북도 전주시 덕진구 용소로 103</t>
  </si>
  <si>
    <t>용소마을제일</t>
  </si>
  <si>
    <t>1999.10.</t>
  </si>
  <si>
    <t>https://new.land.naver.com/complexes/5505?tab=detail&amp;rf=Y</t>
  </si>
  <si>
    <t>전라북도 전주시 덕진구 송천동1가 626-3</t>
  </si>
  <si>
    <t>전라북도 전주시 덕진구 송천3길 50</t>
  </si>
  <si>
    <t>진흥더블파크</t>
  </si>
  <si>
    <t>https://new.land.naver.com/complexes/26323?tab=detail&amp;rf=Y</t>
  </si>
  <si>
    <t>전라북도 전주시 덕진구 송천동1가 12-10</t>
  </si>
  <si>
    <t>전라북도 전주시 덕진구 천마산로 100</t>
  </si>
  <si>
    <t>천일강변</t>
  </si>
  <si>
    <t>https://new.land.naver.com/complexes/118894?tab=detail&amp;rf=Y</t>
  </si>
  <si>
    <t>전라북도 전주시 덕진구 송천동1가 690</t>
  </si>
  <si>
    <t>전라북도 전주시 덕진구 시천로 7</t>
  </si>
  <si>
    <t>오성비둘기</t>
  </si>
  <si>
    <t>1991.02.</t>
  </si>
  <si>
    <t>https://new.land.naver.com/complexes/101017?tab=detail&amp;rf=Y</t>
  </si>
  <si>
    <t>전라북도 전주시 덕진구 송천동1가 213</t>
  </si>
  <si>
    <t>전라북도 전주시 덕진구 솔내4길 15</t>
  </si>
  <si>
    <t>아도</t>
  </si>
  <si>
    <t>2003.04.</t>
  </si>
  <si>
    <t>https://new.land.naver.com/complexes/121502?tab=detail&amp;rf=Y</t>
  </si>
  <si>
    <t>전라북도 전주시 덕진구 송천동1가 114-16</t>
  </si>
  <si>
    <t>전라북도 전주시 덕진구 솔내8길 23</t>
  </si>
  <si>
    <t>라이프</t>
  </si>
  <si>
    <t>1991.03.</t>
  </si>
  <si>
    <t>101B</t>
  </si>
  <si>
    <t>https://new.land.naver.com/complexes/5469?tab=detail&amp;rf=Y</t>
  </si>
  <si>
    <t>전라북도 전주시 덕진구 송천동1가 417</t>
  </si>
  <si>
    <t>전라북도 전주시 덕진구 송천2길 25</t>
  </si>
  <si>
    <t>삼성</t>
  </si>
  <si>
    <t>1990.11.</t>
  </si>
  <si>
    <t>https://new.land.naver.com/complexes/15021?tab=detail&amp;rf=Y</t>
  </si>
  <si>
    <t>전라북도 전주시 덕진구 송천동1가 596-10</t>
  </si>
  <si>
    <t>전라북도 전주시 덕진구 송천로 109</t>
  </si>
  <si>
    <t>송천센트럴파크2단지</t>
  </si>
  <si>
    <t>2008.01.</t>
  </si>
  <si>
    <t>https://new.land.naver.com/complexes/25377?tab=detail&amp;rf=Y</t>
  </si>
  <si>
    <t>전라북도 전주시 덕진구 송천동1가 308-1</t>
  </si>
  <si>
    <t>전라북도 전주시 덕진구 호반로 11</t>
  </si>
  <si>
    <t>송천KCC스위첸</t>
  </si>
  <si>
    <t>https://new.land.naver.com/complexes/109024?tab=detail&amp;rf=Y</t>
  </si>
  <si>
    <t>전라북도 전주시 덕진구 송천동1가 879</t>
  </si>
  <si>
    <t>전라북도 전주시 덕진구 오송1길 37-17</t>
  </si>
  <si>
    <t>현대2차</t>
  </si>
  <si>
    <t>1997.05.</t>
  </si>
  <si>
    <t>https://new.land.naver.com/complexes/5512?tab=detail&amp;rf=Y</t>
  </si>
  <si>
    <t>전라북도 전주시 덕진구 송천동1가 141</t>
  </si>
  <si>
    <t>전라북도 전주시 덕진구 솔내로 124</t>
  </si>
  <si>
    <t>서호1단지</t>
  </si>
  <si>
    <t>1992.11.</t>
  </si>
  <si>
    <t>https://new.land.naver.com/complexes/5479?tab=detail&amp;rf=Y</t>
  </si>
  <si>
    <t>전라북도 전주시 덕진구 송천동1가 337</t>
  </si>
  <si>
    <t>전라북도 전주시 덕진구 송천로 31</t>
  </si>
  <si>
    <t>송천신일</t>
  </si>
  <si>
    <t>1993.12.</t>
  </si>
  <si>
    <t>https://new.land.naver.com/complexes/15025?tab=detail&amp;rf=Y</t>
  </si>
  <si>
    <t>전라북도 전주시 덕진구 송천동1가 101-3</t>
  </si>
  <si>
    <t>전라북도 전주시 덕진구 솔내로 142</t>
  </si>
  <si>
    <t>송천광신프로그레스</t>
  </si>
  <si>
    <t>2019.11.</t>
  </si>
  <si>
    <t>https://new.land.naver.com/complexes/124457?tab=detail&amp;rf=Y</t>
  </si>
  <si>
    <t>전라북도 전주시 덕진구 송천동1가 880</t>
  </si>
  <si>
    <t>전라북도 전주시 덕진구 용소로 112</t>
  </si>
  <si>
    <t>광진한솔</t>
  </si>
  <si>
    <t>1994.06.</t>
  </si>
  <si>
    <t>https://new.land.naver.com/complexes/5464?tab=detail&amp;rf=Y</t>
  </si>
  <si>
    <t>전라북도 전주시 덕진구 송천동1가 108</t>
  </si>
  <si>
    <t>전라북도 전주시 덕진구 솔내8길 25</t>
  </si>
  <si>
    <t>영창</t>
  </si>
  <si>
    <t>https://new.land.naver.com/complexes/15026?tab=detail&amp;rf=Y</t>
  </si>
  <si>
    <t>전라북도 전주시 덕진구 송천동1가 179-28</t>
  </si>
  <si>
    <t>전라북도 전주시 덕진구 솔내1길 76</t>
  </si>
  <si>
    <t>영창드림맨션</t>
  </si>
  <si>
    <t>1997.12.</t>
  </si>
  <si>
    <t>https://new.land.naver.com/complexes/15027?tab=detail&amp;rf=Y</t>
  </si>
  <si>
    <t>전라북도 전주시 덕진구 송천동1가 123-12</t>
  </si>
  <si>
    <t>전라북도 전주시 덕진구 솔내6길 7</t>
  </si>
  <si>
    <t>[송천동2가]</t>
  </si>
  <si>
    <t>센텀시티</t>
  </si>
  <si>
    <t>2018.10.</t>
  </si>
  <si>
    <t>https://new.land.naver.com/complexes/123090?tab=detail&amp;rf=Y</t>
  </si>
  <si>
    <t>전라북도 전주시 덕진구 송천동2가 179-121</t>
  </si>
  <si>
    <t>전라북도 전주시 덕진구 사근1길 37</t>
  </si>
  <si>
    <t>전주3차에코시티휴먼빌</t>
  </si>
  <si>
    <t>2019.02.</t>
  </si>
  <si>
    <t>https://new.land.naver.com/complexes/113280?tab=detail&amp;rf=Y</t>
  </si>
  <si>
    <t>전라북도 전주시 덕진구 송천동2가 1341</t>
  </si>
  <si>
    <t>전라북도 전주시 덕진구 세병로 74</t>
  </si>
  <si>
    <t>에코시티자이</t>
  </si>
  <si>
    <t>2017.12.</t>
  </si>
  <si>
    <t>https://new.land.naver.com/complexes/113205?tab=detail&amp;rf=Y</t>
  </si>
  <si>
    <t>전라북도 전주시 덕진구 송천동2가 1308</t>
  </si>
  <si>
    <t>전라북도 전주시 덕진구 세병로 111</t>
  </si>
  <si>
    <t>전주에코시티데시앙2차(12BL)</t>
  </si>
  <si>
    <t>https://new.land.naver.com/complexes/113342?tab=detail&amp;rf=Y</t>
  </si>
  <si>
    <t>전라북도 전주시 덕진구 송천동2가 1300</t>
  </si>
  <si>
    <t>전라북도 전주시 덕진구 백석로 145</t>
  </si>
  <si>
    <t>신동비사벌(210동)</t>
  </si>
  <si>
    <t>1992.02.</t>
  </si>
  <si>
    <t>https://new.land.naver.com/complexes/5495?tab=detail&amp;rf=Y</t>
  </si>
  <si>
    <t>전라북도 전주시 덕진구 송천동2가 197-12</t>
  </si>
  <si>
    <t>전라북도 전주시 덕진구 송천중앙로 212</t>
  </si>
  <si>
    <t>송천주공</t>
  </si>
  <si>
    <t>https://new.land.naver.com/complexes/15032?tab=detail&amp;rf=Y</t>
  </si>
  <si>
    <t>전라북도 전주시 덕진구 송천동2가 1268</t>
  </si>
  <si>
    <t>전라북도 전주시 덕진구 붓내3길 29</t>
  </si>
  <si>
    <t>에코시티데시앙5블럭</t>
  </si>
  <si>
    <t>https://new.land.naver.com/complexes/113239?tab=detail&amp;rf=Y</t>
  </si>
  <si>
    <t>전라북도 전주시 덕진구 송천동2가 1309</t>
  </si>
  <si>
    <t>전라북도 전주시 덕진구 세병로 85</t>
  </si>
  <si>
    <t>송천현대3차</t>
  </si>
  <si>
    <t>https://new.land.naver.com/complexes/5515?tab=detail&amp;rf=Y</t>
  </si>
  <si>
    <t>전라북도 전주시 덕진구 송천동2가 175-44</t>
  </si>
  <si>
    <t>전라북도 전주시 덕진구 사근1길 11</t>
  </si>
  <si>
    <t>신동비사벌(201~207동)</t>
  </si>
  <si>
    <t>https://new.land.naver.com/complexes/5491?tab=detail&amp;rf=Y</t>
  </si>
  <si>
    <t>전라북도 전주시 덕진구 송천동2가 197-2</t>
  </si>
  <si>
    <t>전라북도 전주시 덕진구 붓내1길 9</t>
  </si>
  <si>
    <t>전주송천한라비발디1단지</t>
  </si>
  <si>
    <t>https://new.land.naver.com/complexes/103671?tab=detail&amp;rf=Y</t>
  </si>
  <si>
    <t>전라북도 전주시 덕진구 송천동2가 1287</t>
  </si>
  <si>
    <t>전라북도 전주시 덕진구 천마산로 113</t>
  </si>
  <si>
    <t>산내들</t>
  </si>
  <si>
    <t>2000.02.</t>
  </si>
  <si>
    <t>https://new.land.naver.com/complexes/107763?tab=detail&amp;rf=Y</t>
  </si>
  <si>
    <t>전라북도 전주시 덕진구 송천동2가 193-3</t>
  </si>
  <si>
    <t>전라북도 전주시 덕진구 천마산로 11</t>
  </si>
  <si>
    <t>쌍용1단지</t>
  </si>
  <si>
    <t>1997.11.</t>
  </si>
  <si>
    <t>https://new.land.naver.com/complexes/5496?tab=detail&amp;rf=Y</t>
  </si>
  <si>
    <t>전라북도 전주시 덕진구 송천동2가 541-2</t>
  </si>
  <si>
    <t>전라북도 전주시 덕진구 와룡로 40</t>
  </si>
  <si>
    <t>에코시티더샵(에코시티1BL)</t>
  </si>
  <si>
    <t>https://new.land.naver.com/complexes/113240?tab=detail&amp;rf=Y</t>
  </si>
  <si>
    <t>전라북도 전주시 덕진구 송천동2가 1338</t>
  </si>
  <si>
    <t>전라북도 전주시 덕진구 세병로 42</t>
  </si>
  <si>
    <t>쌍용2단지</t>
  </si>
  <si>
    <t>1998.09.</t>
  </si>
  <si>
    <t>https://new.land.naver.com/complexes/5500?tab=detail&amp;rf=Y</t>
  </si>
  <si>
    <t>전라북도 전주시 덕진구 송천동2가 536</t>
  </si>
  <si>
    <t>전라북도 전주시 덕진구 와룡로 50</t>
  </si>
  <si>
    <t>롯데2단지</t>
  </si>
  <si>
    <t>1987.06.</t>
  </si>
  <si>
    <t>https://new.land.naver.com/complexes/5471?tab=detail&amp;rf=Y</t>
  </si>
  <si>
    <t>전라북도 전주시 덕진구 송천동2가 561-1</t>
  </si>
  <si>
    <t>전라북도 전주시 덕진구 와룡2길 14</t>
  </si>
  <si>
    <t>에코시티데시앙(4BL)</t>
  </si>
  <si>
    <t>https://new.land.naver.com/complexes/113206?tab=detail&amp;rf=Y</t>
  </si>
  <si>
    <t>전라북도 전주시 덕진구 송천동2가 1311</t>
  </si>
  <si>
    <t>전라북도 전주시 덕진구 세병로 41</t>
  </si>
  <si>
    <t>롯데1단지</t>
  </si>
  <si>
    <t>1985.07.</t>
  </si>
  <si>
    <t>https://new.land.naver.com/complexes/5474?tab=detail&amp;rf=Y</t>
  </si>
  <si>
    <t>전라북도 전주시 덕진구 송천동2가 561-19</t>
  </si>
  <si>
    <t>전라북도 전주시 덕진구 시천로 83</t>
  </si>
  <si>
    <t>태화송림타워</t>
  </si>
  <si>
    <t>1991.08.</t>
  </si>
  <si>
    <t>https://new.land.naver.com/complexes/106505?tab=detail&amp;rf=Y</t>
  </si>
  <si>
    <t>전라북도 전주시 덕진구 송천동2가 193</t>
  </si>
  <si>
    <t>전라북도 전주시 덕진구 붓내2길 17</t>
  </si>
  <si>
    <t>에코시티더샵3차</t>
  </si>
  <si>
    <t>2019.03.</t>
  </si>
  <si>
    <t>https://new.land.naver.com/complexes/115525?tab=detail&amp;rf=Y</t>
  </si>
  <si>
    <t>전라북도 전주시 덕진구 송천동2가 1304</t>
  </si>
  <si>
    <t>전라북도 전주시 덕진구 세병로 136</t>
  </si>
  <si>
    <t>현대1차</t>
  </si>
  <si>
    <t>1995.05.</t>
  </si>
  <si>
    <t>https://new.land.naver.com/complexes/5510?tab=detail&amp;rf=Y</t>
  </si>
  <si>
    <t>전라북도 전주시 덕진구 송천동2가 189-2</t>
  </si>
  <si>
    <t>전라북도 전주시 덕진구 천마산로 31</t>
  </si>
  <si>
    <t>전주에코시티데시앙(14BL)</t>
  </si>
  <si>
    <t>2021.10.</t>
  </si>
  <si>
    <t>https://new.land.naver.com/complexes/125652?tab=detail&amp;rf=Y</t>
  </si>
  <si>
    <t>전라북도 전주시 덕진구 송천동2가 1296</t>
  </si>
  <si>
    <t>전라북도 전주시 덕진구 세병로 210</t>
  </si>
  <si>
    <t>솔내마을동아</t>
  </si>
  <si>
    <t>https://new.land.naver.com/complexes/5488?tab=detail&amp;rf=Y</t>
  </si>
  <si>
    <t>전라북도 전주시 덕진구 송천동2가 561-24</t>
  </si>
  <si>
    <t>전라북도 전주시 덕진구 와룡2길 7</t>
  </si>
  <si>
    <t>포레나전주에코시티</t>
  </si>
  <si>
    <t>2023.04.</t>
  </si>
  <si>
    <t>https://new.land.naver.com/complexes/127653?tab=detail&amp;rf=Y</t>
  </si>
  <si>
    <t>전라북도 전주시 덕진구 송천동2가 1313번지 (전주에코시티 주상복합1,2BL)</t>
  </si>
  <si>
    <t>전라북도 전주시 덕진구</t>
  </si>
  <si>
    <t>송천주공2차</t>
  </si>
  <si>
    <t>2004.07.</t>
  </si>
  <si>
    <t>https://new.land.naver.com/complexes/101784?tab=detail&amp;rf=Y</t>
  </si>
  <si>
    <t>전라북도 전주시 덕진구 송천동2가 1280</t>
  </si>
  <si>
    <t>전라북도 전주시 덕진구 천마산로 33</t>
  </si>
  <si>
    <t>전주에코시티KCC스위첸</t>
  </si>
  <si>
    <t>https://new.land.naver.com/complexes/115438?tab=detail&amp;rf=Y</t>
  </si>
  <si>
    <t>전라북도 전주시 덕진구 송천동2가 1298</t>
  </si>
  <si>
    <t>전라북도 전주시 덕진구 세병로 184</t>
  </si>
  <si>
    <t>에코시티데시앙2차(7BL)</t>
  </si>
  <si>
    <t>https://new.land.naver.com/complexes/113343?tab=detail&amp;rf=Y</t>
  </si>
  <si>
    <t>전라북도 전주시 덕진구 송천동2가 1343</t>
  </si>
  <si>
    <t>전라북도 전주시 덕진구 세병로 112</t>
  </si>
  <si>
    <t>에코시티자이2차</t>
  </si>
  <si>
    <t>https://new.land.naver.com/complexes/115524?tab=detail&amp;rf=Y</t>
  </si>
  <si>
    <t>전라북도 전주시 덕진구 송천동2가 1307</t>
  </si>
  <si>
    <t>전라북도 전주시 덕진구 세병로 131</t>
  </si>
  <si>
    <t>송천시영</t>
  </si>
  <si>
    <t>1994.10.</t>
  </si>
  <si>
    <t>https://new.land.naver.com/complexes/15035?tab=detail&amp;rf=Y</t>
  </si>
  <si>
    <t>전라북도 전주시 덕진구 송천동2가 1221</t>
  </si>
  <si>
    <t>전라북도 전주시 덕진구 와룡로 100</t>
  </si>
  <si>
    <t>송천신동아파밀리에</t>
  </si>
  <si>
    <t>2015.10.</t>
  </si>
  <si>
    <t>https://new.land.naver.com/complexes/111168?tab=detail&amp;rf=Y</t>
  </si>
  <si>
    <t>전라북도 전주시 덕진구 송천동2가 1290</t>
  </si>
  <si>
    <t>전라북도 전주시 덕진구 두간4길 14</t>
  </si>
  <si>
    <t>신동비사벌(209동)</t>
  </si>
  <si>
    <t>https://new.land.naver.com/complexes/118257?tab=detail&amp;rf=Y</t>
  </si>
  <si>
    <t>전라북도 전주시 덕진구 송천동2가 197-13</t>
  </si>
  <si>
    <t>전라북도 전주시 덕진구 붓내1길 7</t>
  </si>
  <si>
    <t>에코시티더샵2차</t>
  </si>
  <si>
    <t>https://new.land.naver.com/complexes/115356?tab=detail&amp;rf=Y</t>
  </si>
  <si>
    <t>전라북도 전주시 덕진구 송천동2가 1306</t>
  </si>
  <si>
    <t>전라북도 전주시 덕진구 세병로 175</t>
  </si>
  <si>
    <t>전주송천한라비발디2단지</t>
  </si>
  <si>
    <t>https://new.land.naver.com/complexes/103672?tab=detail&amp;rf=Y</t>
  </si>
  <si>
    <t>전라북도 전주시 덕진구 송천동2가 1288</t>
  </si>
  <si>
    <t>전라북도 전주시 덕진구 천마산로 115</t>
  </si>
  <si>
    <t>대명궁궐</t>
  </si>
  <si>
    <t>https://new.land.naver.com/complexes/5467?tab=detail&amp;rf=Y</t>
  </si>
  <si>
    <t>전라북도 전주시 덕진구 송천동2가 530-3</t>
  </si>
  <si>
    <t>전라북도 전주시 덕진구 시천로 43</t>
  </si>
  <si>
    <t>[여의동]</t>
  </si>
  <si>
    <t>공영(푸른솔)</t>
  </si>
  <si>
    <t>1993.04.</t>
  </si>
  <si>
    <t>https://new.land.naver.com/complexes/5523?tab=detail&amp;rf=Y</t>
  </si>
  <si>
    <t>전라북도 전주시 덕진구 여의동 639-2</t>
  </si>
  <si>
    <t>여의동</t>
  </si>
  <si>
    <t>전라북도 전주시 덕진구 기린대로 1018-7</t>
  </si>
  <si>
    <t>여의영무예다음</t>
  </si>
  <si>
    <t>https://new.land.naver.com/complexes/116408?tab=detail&amp;rf=Y</t>
  </si>
  <si>
    <t>전라북도 전주시 덕진구 여의동 1345</t>
  </si>
  <si>
    <t>전라북도 전주시 덕진구 혁신로 655</t>
  </si>
  <si>
    <t>여의제이파크(제일)</t>
  </si>
  <si>
    <t>2003.12.</t>
  </si>
  <si>
    <t>https://new.land.naver.com/complexes/19110?tab=detail&amp;rf=Y</t>
  </si>
  <si>
    <t>전라북도 전주시 덕진구 여의동 669</t>
  </si>
  <si>
    <t>전라북도 전주시 덕진구 쪽구름로 19</t>
  </si>
  <si>
    <t>동국</t>
  </si>
  <si>
    <t>1998.05.</t>
  </si>
  <si>
    <t>https://new.land.naver.com/complexes/5525?tab=detail&amp;rf=Y</t>
  </si>
  <si>
    <t>전라북도 전주시 덕진구 여의동 582-1</t>
  </si>
  <si>
    <t>전라북도 전주시 덕진구 쪽구름로 53</t>
  </si>
  <si>
    <t>[여의동2가]</t>
  </si>
  <si>
    <t>백우2차</t>
  </si>
  <si>
    <t>1992.12.</t>
  </si>
  <si>
    <t>https://new.land.naver.com/complexes/15017?tab=detail&amp;rf=Y</t>
  </si>
  <si>
    <t>전라북도 전주시 덕진구 여의동2가 647</t>
  </si>
  <si>
    <t>여의동2가</t>
  </si>
  <si>
    <t>전라북도 전주시 덕진구 편운로 37</t>
  </si>
  <si>
    <t>미래시아</t>
  </si>
  <si>
    <t>2014.11.</t>
  </si>
  <si>
    <t>https://new.land.naver.com/complexes/120556?tab=detail&amp;rf=Y</t>
  </si>
  <si>
    <t>전라북도 전주시 덕진구 여의동2가 658-15</t>
  </si>
  <si>
    <t>전라북도 전주시 덕진구 쪽구름5길 46-1</t>
  </si>
  <si>
    <t>미진우석맨션</t>
  </si>
  <si>
    <t>https://new.land.naver.com/complexes/140064?tab=detail&amp;rf=Y</t>
  </si>
  <si>
    <t>전라북도 전주시 덕진구 여의동2가 665-4</t>
  </si>
  <si>
    <t>전라북도 전주시 덕진구 편운로 54-15</t>
  </si>
  <si>
    <t>백우맨션</t>
  </si>
  <si>
    <t>1991.06.</t>
  </si>
  <si>
    <t>https://new.land.naver.com/complexes/103259?tab=detail&amp;rf=Y</t>
  </si>
  <si>
    <t>전라북도 전주시 덕진구 여의동2가 667-3</t>
  </si>
  <si>
    <t>전라북도 전주시 덕진구 편운로 64</t>
  </si>
  <si>
    <t>동산골드클래스</t>
  </si>
  <si>
    <t>2015.12.</t>
  </si>
  <si>
    <t>https://new.land.naver.com/complexes/106220?tab=detail&amp;rf=Y</t>
  </si>
  <si>
    <t>전라북도 전주시 덕진구 여의동2가 779</t>
  </si>
  <si>
    <t>전라북도 전주시 덕진구 쪽구름5길 43-7</t>
  </si>
  <si>
    <t>제이씨앤디제이휴</t>
  </si>
  <si>
    <t>2012.12.</t>
  </si>
  <si>
    <t>https://new.land.naver.com/complexes/117422?tab=detail&amp;rf=Y</t>
  </si>
  <si>
    <t>전라북도 전주시 덕진구 여의동2가 685-3</t>
  </si>
  <si>
    <t>전라북도 전주시 덕진구 쪽구름3길 13</t>
  </si>
  <si>
    <t>대승</t>
  </si>
  <si>
    <t>1996.01.</t>
  </si>
  <si>
    <t>https://new.land.naver.com/complexes/26726?tab=detail&amp;rf=Y</t>
  </si>
  <si>
    <t>전라북도 전주시 덕진구 여의동2가 459-3</t>
  </si>
  <si>
    <t>전라북도 전주시 덕진구 덕용1길 58</t>
  </si>
  <si>
    <t>한강동산</t>
  </si>
  <si>
    <t>1992.03.</t>
  </si>
  <si>
    <t>https://new.land.naver.com/complexes/106498?tab=detail&amp;rf=Y</t>
  </si>
  <si>
    <t>전라북도 전주시 덕진구 여의동2가 459-1</t>
  </si>
  <si>
    <t>전라북도 전주시 덕진구 여산로 227</t>
  </si>
  <si>
    <t>우신동산</t>
  </si>
  <si>
    <t>1992.04.</t>
  </si>
  <si>
    <t>https://new.land.naver.com/complexes/101165?tab=detail&amp;rf=Y</t>
  </si>
  <si>
    <t>전라북도 전주시 덕진구 여의동2가 643</t>
  </si>
  <si>
    <t>전라북도 전주시 덕진구 편운로 54-68</t>
  </si>
  <si>
    <t>대승2차</t>
  </si>
  <si>
    <t>https://new.land.naver.com/complexes/109585?tab=detail&amp;rf=Y</t>
  </si>
  <si>
    <t>전라북도 전주시 덕진구 여의동2가 469-11</t>
  </si>
  <si>
    <t>전라북도 전주시 덕진구 덕용1길 52</t>
  </si>
  <si>
    <t>해든</t>
  </si>
  <si>
    <t>2011.12.</t>
  </si>
  <si>
    <t>https://new.land.naver.com/complexes/117937?tab=detail&amp;rf=Y</t>
  </si>
  <si>
    <t>전라북도 전주시 덕진구 여의동2가 684-31</t>
  </si>
  <si>
    <t>전라북도 전주시 덕진구 쪽구름2길 6-1</t>
  </si>
  <si>
    <t>동원맨션</t>
  </si>
  <si>
    <t>https://new.land.naver.com/complexes/139297?tab=detail&amp;rf=Y</t>
  </si>
  <si>
    <t>전라북도 전주시 덕진구 여의동2가 667-8</t>
  </si>
  <si>
    <t>전라북도 전주시 덕진구 편운로 68</t>
  </si>
  <si>
    <t>[우아동2가]</t>
  </si>
  <si>
    <t>전주아중롯데</t>
  </si>
  <si>
    <t>1998.11.</t>
  </si>
  <si>
    <t>https://new.land.naver.com/complexes/5805?tab=detail&amp;rf=Y</t>
  </si>
  <si>
    <t>전라북도 전주시 덕진구 우아동2가 887</t>
  </si>
  <si>
    <t>전라북도 전주시 덕진구 중상보로 10</t>
  </si>
  <si>
    <t>진버들마을대우2차</t>
  </si>
  <si>
    <t>1999.11.</t>
  </si>
  <si>
    <t>https://new.land.naver.com/complexes/5791?tab=detail&amp;rf=Y</t>
  </si>
  <si>
    <t>전라북도 전주시 덕진구 우아동2가 853-1</t>
  </si>
  <si>
    <t>전라북도 전주시 덕진구 진버들5길 10</t>
  </si>
  <si>
    <t>선변오지오</t>
  </si>
  <si>
    <t>2008.12.</t>
  </si>
  <si>
    <t>https://new.land.naver.com/complexes/100216?tab=detail&amp;rf=Y</t>
  </si>
  <si>
    <t>전라북도 전주시 덕진구 우아동2가 869</t>
  </si>
  <si>
    <t>전라북도 전주시 덕진구 석소2길 30</t>
  </si>
  <si>
    <t>[우아동3가]</t>
  </si>
  <si>
    <t>KTX전주역클래시아더스카이</t>
  </si>
  <si>
    <t>2021.02.</t>
  </si>
  <si>
    <t>https://new.land.naver.com/complexes/122036?tab=detail&amp;rf=Y</t>
  </si>
  <si>
    <t>전라북도 전주시 덕진구 우아동3가 766</t>
  </si>
  <si>
    <t>전라북도 전주시 덕진구 동부대로 670</t>
  </si>
  <si>
    <t>우성</t>
  </si>
  <si>
    <t>https://new.land.naver.com/complexes/5809?tab=detail&amp;rf=Y</t>
  </si>
  <si>
    <t>전라북도 전주시 덕진구 우아동3가 594-6</t>
  </si>
  <si>
    <t>전라북도 전주시 덕진구 견훤로 497</t>
  </si>
  <si>
    <t>우아럭키</t>
  </si>
  <si>
    <t>https://new.land.naver.com/complexes/5530?tab=detail&amp;rf=Y</t>
  </si>
  <si>
    <t>전라북도 전주시 덕진구 우아동3가 285-8</t>
  </si>
  <si>
    <t>전라북도 전주시 덕진구 안덕원3길 10</t>
  </si>
  <si>
    <t>e편한세상우아</t>
  </si>
  <si>
    <t>2018.12.</t>
  </si>
  <si>
    <t>https://new.land.naver.com/complexes/113478?tab=detail&amp;rf=Y</t>
  </si>
  <si>
    <t>전라북도 전주시 덕진구 우아동3가 762</t>
  </si>
  <si>
    <t>전라북도 전주시 덕진구 우아로 50</t>
  </si>
  <si>
    <t>우아효성</t>
  </si>
  <si>
    <t>1999.03.</t>
  </si>
  <si>
    <t>https://new.land.naver.com/complexes/140441?tab=detail&amp;rf=Y</t>
  </si>
  <si>
    <t>전라북도 전주시 덕진구 우아동3가 757-14</t>
  </si>
  <si>
    <t>전라북도 전주시 덕진구 안골5길 15</t>
  </si>
  <si>
    <t>진흥하이츠</t>
  </si>
  <si>
    <t>1995.07.</t>
  </si>
  <si>
    <t>https://new.land.naver.com/complexes/24953?tab=detail&amp;rf=Y</t>
  </si>
  <si>
    <t>전라북도 전주시 덕진구 우아동3가 412</t>
  </si>
  <si>
    <t>전라북도 전주시 덕진구 안덕원1길 30</t>
  </si>
  <si>
    <t>신동아3차</t>
  </si>
  <si>
    <t>1995.08.</t>
  </si>
  <si>
    <t>https://new.land.naver.com/complexes/112806?tab=detail&amp;rf=Y</t>
  </si>
  <si>
    <t>전라북도 전주시 덕진구 우아동3가 602-63</t>
  </si>
  <si>
    <t>전라북도 전주시 덕진구 호성로 18-12</t>
  </si>
  <si>
    <t>기린맨션</t>
  </si>
  <si>
    <t>1980.06.</t>
  </si>
  <si>
    <t>51A</t>
  </si>
  <si>
    <t>https://new.land.naver.com/complexes/121373?tab=detail&amp;rf=Y</t>
  </si>
  <si>
    <t>전라북도 전주시 덕진구 우아동3가 456-3</t>
  </si>
  <si>
    <t>전라북도 전주시 덕진구 진버들1길 73</t>
  </si>
  <si>
    <t>52C</t>
  </si>
  <si>
    <t>52B</t>
  </si>
  <si>
    <t>52D</t>
  </si>
  <si>
    <t>53E</t>
  </si>
  <si>
    <t>88B</t>
  </si>
  <si>
    <t>우신</t>
  </si>
  <si>
    <t>https://new.land.naver.com/complexes/15036?tab=detail&amp;rf=Y</t>
  </si>
  <si>
    <t>전라북도 전주시 덕진구 우아동3가 599</t>
  </si>
  <si>
    <t>전라북도 전주시 덕진구 견훤로 495</t>
  </si>
  <si>
    <t>우아엘드수목토</t>
  </si>
  <si>
    <t>2002.12.</t>
  </si>
  <si>
    <t>https://new.land.naver.com/complexes/114729?tab=detail&amp;rf=Y</t>
  </si>
  <si>
    <t>전라북도 전주시 덕진구 우아동3가 423-5</t>
  </si>
  <si>
    <t>전라북도 전주시 덕진구 안덕원2길 32</t>
  </si>
  <si>
    <t>전주우아한시티</t>
  </si>
  <si>
    <t>2021.09.</t>
  </si>
  <si>
    <t>https://new.land.naver.com/complexes/125767?tab=detail&amp;rf=Y</t>
  </si>
  <si>
    <t>전라북도 전주시 덕진구 우아동3가 747-81번지 일원</t>
  </si>
  <si>
    <t>전라북도 전주시 덕진구 우아로 33</t>
  </si>
  <si>
    <t>우정,신세계</t>
  </si>
  <si>
    <t>https://new.land.naver.com/complexes/5810?tab=detail&amp;rf=Y</t>
  </si>
  <si>
    <t>전라북도 전주시 덕진구 우아동3가 359</t>
  </si>
  <si>
    <t>전라북도 전주시 덕진구 동부대로 575</t>
  </si>
  <si>
    <t>[인후동1가]</t>
  </si>
  <si>
    <t>쌍용</t>
  </si>
  <si>
    <t>https://new.land.naver.com/complexes/5560?tab=detail&amp;rf=Y</t>
  </si>
  <si>
    <t>전라북도 전주시 덕진구 인후동1가 산4-9</t>
  </si>
  <si>
    <t>인후동1가</t>
  </si>
  <si>
    <t>전라북도 전주시 덕진구 안덕원로 285</t>
  </si>
  <si>
    <t>궁전</t>
  </si>
  <si>
    <t>1988.06.</t>
  </si>
  <si>
    <t>https://new.land.naver.com/complexes/14273?tab=detail&amp;rf=Y</t>
  </si>
  <si>
    <t>전라북도 전주시 덕진구 인후동1가 594-1</t>
  </si>
  <si>
    <t>전라북도 전주시 덕진구 팽나무1길 19</t>
  </si>
  <si>
    <t>A&amp;J</t>
  </si>
  <si>
    <t>2021.03.</t>
  </si>
  <si>
    <t>https://new.land.naver.com/complexes/144258?tab=detail&amp;rf=Y</t>
  </si>
  <si>
    <t>전라북도 전주시 덕진구 인후동1가 659-135</t>
  </si>
  <si>
    <t>전라북도 전주시 덕진구 팽나무1길 20</t>
  </si>
  <si>
    <t>아중마을부영6차</t>
  </si>
  <si>
    <t>2003.09.</t>
  </si>
  <si>
    <t>https://new.land.naver.com/complexes/25561?tab=detail&amp;rf=Y</t>
  </si>
  <si>
    <t>전라북도 전주시 덕진구 인후동1가 918-1</t>
  </si>
  <si>
    <t>전라북도 전주시 덕진구 무삼지로 10</t>
  </si>
  <si>
    <t>기린</t>
  </si>
  <si>
    <t>1978.11.</t>
  </si>
  <si>
    <t>https://new.land.naver.com/complexes/122941?tab=detail&amp;rf=Y</t>
  </si>
  <si>
    <t>전라북도 전주시 덕진구 인후동1가 530-1</t>
  </si>
  <si>
    <t>전라북도 전주시 덕진구 진버들1길 63</t>
  </si>
  <si>
    <t>아중마을부영5차</t>
  </si>
  <si>
    <t>1999.09.</t>
  </si>
  <si>
    <t>https://new.land.naver.com/complexes/25562?tab=detail&amp;rf=Y</t>
  </si>
  <si>
    <t>전라북도 전주시 덕진구 인후동1가 951-7</t>
  </si>
  <si>
    <t>전라북도 전주시 덕진구 한배미로 33</t>
  </si>
  <si>
    <t>전주인후휴먼시아</t>
  </si>
  <si>
    <t>2008.02.</t>
  </si>
  <si>
    <t>https://new.land.naver.com/complexes/101166?tab=detail&amp;rf=Y</t>
  </si>
  <si>
    <t>전라북도 전주시 덕진구 인후동1가 1035</t>
  </si>
  <si>
    <t>전라북도 전주시 덕진구 팽나무2길 7</t>
  </si>
  <si>
    <t>현대2단지</t>
  </si>
  <si>
    <t>1990.04.</t>
  </si>
  <si>
    <t>https://new.land.naver.com/complexes/5585?tab=detail&amp;rf=Y</t>
  </si>
  <si>
    <t>전라북도 전주시 덕진구 인후동1가 751</t>
  </si>
  <si>
    <t>전라북도 전주시 덕진구 안골4길 15</t>
  </si>
  <si>
    <t>유정</t>
  </si>
  <si>
    <t>https://new.land.naver.com/complexes/102337?tab=detail&amp;rf=Y</t>
  </si>
  <si>
    <t>전라북도 전주시 덕진구 인후동1가 470-9</t>
  </si>
  <si>
    <t>전라북도 전주시 덕진구 팽나무5길 17</t>
  </si>
  <si>
    <t>삼호</t>
  </si>
  <si>
    <t>https://new.land.naver.com/complexes/5552?tab=detail&amp;rf=Y</t>
  </si>
  <si>
    <t>전라북도 전주시 덕진구 인후동1가 500-1</t>
  </si>
  <si>
    <t>전라북도 전주시 덕진구 안덕원로 311</t>
  </si>
  <si>
    <t>아중현대</t>
  </si>
  <si>
    <t>https://new.land.naver.com/complexes/5575?tab=detail&amp;rf=Y</t>
  </si>
  <si>
    <t>전라북도 전주시 덕진구 인후동1가 858-2</t>
  </si>
  <si>
    <t>전라북도 전주시 덕진구 석소로 55</t>
  </si>
  <si>
    <t>아중제일2차</t>
  </si>
  <si>
    <t>2000.10.</t>
  </si>
  <si>
    <t>https://new.land.naver.com/complexes/5572?tab=detail&amp;rf=Y</t>
  </si>
  <si>
    <t>전라북도 전주시 덕진구 인후동1가 951-2</t>
  </si>
  <si>
    <t>전라북도 전주시 덕진구 아중로 170</t>
  </si>
  <si>
    <t>안고을우성</t>
  </si>
  <si>
    <t>2001.02.</t>
  </si>
  <si>
    <t>https://new.land.naver.com/complexes/102407?tab=detail&amp;rf=Y</t>
  </si>
  <si>
    <t>전라북도 전주시 덕진구 인후동1가 458</t>
  </si>
  <si>
    <t>전라북도 전주시 덕진구 진버들2길 14</t>
  </si>
  <si>
    <t>하누리홈타운</t>
  </si>
  <si>
    <t>2006.07.</t>
  </si>
  <si>
    <t>https://new.land.naver.com/complexes/103069?tab=detail&amp;rf=Y</t>
  </si>
  <si>
    <t>전라북도 전주시 덕진구 인후동1가 780-2</t>
  </si>
  <si>
    <t>전라북도 전주시 덕진구 팽나무4길 21</t>
  </si>
  <si>
    <t>인후한신휴플러스</t>
  </si>
  <si>
    <t>2006.11.</t>
  </si>
  <si>
    <t>https://new.land.naver.com/complexes/19287?tab=detail&amp;rf=Y</t>
  </si>
  <si>
    <t>전라북도 전주시 덕진구 인후동1가 1029</t>
  </si>
  <si>
    <t>전라북도 전주시 덕진구 안덕원로 251</t>
  </si>
  <si>
    <t>위브어울림</t>
  </si>
  <si>
    <t>2007.01.</t>
  </si>
  <si>
    <t>https://new.land.naver.com/complexes/19540?tab=detail&amp;rf=Y</t>
  </si>
  <si>
    <t>전라북도 전주시 덕진구 인후동1가 1033</t>
  </si>
  <si>
    <t>전라북도 전주시 덕진구 견훤로 333</t>
  </si>
  <si>
    <t>아중1차대우</t>
  </si>
  <si>
    <t>1998.03.</t>
  </si>
  <si>
    <t>https://new.land.naver.com/complexes/5566?tab=detail&amp;rf=Y</t>
  </si>
  <si>
    <t>전라북도 전주시 덕진구 인후동1가 858-1</t>
  </si>
  <si>
    <t>전라북도 전주시 덕진구 석소로 77</t>
  </si>
  <si>
    <t>아중제일</t>
  </si>
  <si>
    <t>https://new.land.naver.com/complexes/5570?tab=detail&amp;rf=Y</t>
  </si>
  <si>
    <t>전라북도 전주시 덕진구 인후동1가 890-3</t>
  </si>
  <si>
    <t>전라북도 전주시 덕진구 석소로 29</t>
  </si>
  <si>
    <t>거성프라자</t>
  </si>
  <si>
    <t>1991.12.</t>
  </si>
  <si>
    <t>https://new.land.naver.com/complexes/25462?tab=detail&amp;rf=Y</t>
  </si>
  <si>
    <t>전라북도 전주시 덕진구 인후동1가 782</t>
  </si>
  <si>
    <t>전라북도 전주시 덕진구 팽나무4길 7</t>
  </si>
  <si>
    <t>100B</t>
  </si>
  <si>
    <t>인후송정써미트</t>
  </si>
  <si>
    <t>https://new.land.naver.com/complexes/101942?tab=detail&amp;rf=Y</t>
  </si>
  <si>
    <t>전라북도 전주시 덕진구 인후동1가 541</t>
  </si>
  <si>
    <t>전라북도 전주시 덕진구 안덕원로 325</t>
  </si>
  <si>
    <t>인후꿈마을부영2차</t>
  </si>
  <si>
    <t>https://new.land.naver.com/complexes/25566?tab=detail&amp;rf=Y</t>
  </si>
  <si>
    <t>전라북도 전주시 덕진구 인후동1가 890-1</t>
  </si>
  <si>
    <t>전라북도 전주시 덕진구 무삼지로 40</t>
  </si>
  <si>
    <t>진버들마을부영1차</t>
  </si>
  <si>
    <t>https://new.land.naver.com/complexes/25567?tab=detail&amp;rf=Y</t>
  </si>
  <si>
    <t>전라북도 전주시 덕진구 인후동1가 802-1</t>
  </si>
  <si>
    <t>전라북도 전주시 덕진구 진버들3길 10</t>
  </si>
  <si>
    <t>더샵인후센트럴</t>
  </si>
  <si>
    <t>2020.08.</t>
  </si>
  <si>
    <t>https://new.land.naver.com/complexes/122137?tab=detail&amp;rf=Y</t>
  </si>
  <si>
    <t>전라북도 전주시 덕진구 인후동1가 1043</t>
  </si>
  <si>
    <t>전라북도 전주시 덕진구 진버들5길 21</t>
  </si>
  <si>
    <t>동진</t>
  </si>
  <si>
    <t>https://new.land.naver.com/complexes/103742?tab=detail&amp;rf=Y</t>
  </si>
  <si>
    <t>전라북도 전주시 덕진구 인후동1가 226-2</t>
  </si>
  <si>
    <t>전라북도 전주시 덕진구 인후3길 40-25</t>
  </si>
  <si>
    <t>인후선변</t>
  </si>
  <si>
    <t>2004.10.</t>
  </si>
  <si>
    <t>https://new.land.naver.com/complexes/17748?tab=detail&amp;rf=Y</t>
  </si>
  <si>
    <t>전라북도 전주시 덕진구 인후동1가 574</t>
  </si>
  <si>
    <t>전라북도 전주시 덕진구 심방죽로 16</t>
  </si>
  <si>
    <t>수정</t>
  </si>
  <si>
    <t>1984.12.</t>
  </si>
  <si>
    <t>https://new.land.naver.com/complexes/116989?tab=detail&amp;rf=Y</t>
  </si>
  <si>
    <t>전라북도 전주시 덕진구 인후동1가 186-25</t>
  </si>
  <si>
    <t>전라북도 전주시 덕진구 인후1길 7</t>
  </si>
  <si>
    <t>101D</t>
  </si>
  <si>
    <t>101C</t>
  </si>
  <si>
    <t>101E</t>
  </si>
  <si>
    <t>상대</t>
  </si>
  <si>
    <t>1996.12.</t>
  </si>
  <si>
    <t>https://new.land.naver.com/complexes/116946?tab=detail&amp;rf=Y</t>
  </si>
  <si>
    <t>전라북도 전주시 덕진구 인후동1가 761-2</t>
  </si>
  <si>
    <t>전라북도 전주시 덕진구 안골3길 20-7</t>
  </si>
  <si>
    <t>아중마을부영3차</t>
  </si>
  <si>
    <t>https://new.land.naver.com/complexes/25564?tab=detail&amp;rf=Y</t>
  </si>
  <si>
    <t>전라북도 전주시 덕진구 인후동1가 951-3</t>
  </si>
  <si>
    <t>전라북도 전주시 덕진구 아중로 180</t>
  </si>
  <si>
    <t>아중마을아남</t>
  </si>
  <si>
    <t>https://new.land.naver.com/complexes/5563?tab=detail&amp;rf=Y</t>
  </si>
  <si>
    <t>전라북도 전주시 덕진구 인후동1가 951-1</t>
  </si>
  <si>
    <t>전라북도 전주시 덕진구 한배미로 5</t>
  </si>
  <si>
    <t>현대1단지</t>
  </si>
  <si>
    <t>https://new.land.naver.com/complexes/5579?tab=detail&amp;rf=Y</t>
  </si>
  <si>
    <t>전라북도 전주시 덕진구 인후동1가 754</t>
  </si>
  <si>
    <t>전라북도 전주시 덕진구 안골3길 7</t>
  </si>
  <si>
    <t>[인후동2가]</t>
  </si>
  <si>
    <t>대우초원2단지</t>
  </si>
  <si>
    <t>1988.05.</t>
  </si>
  <si>
    <t>https://new.land.naver.com/complexes/142403?tab=detail&amp;rf=Y</t>
  </si>
  <si>
    <t>전라북도 전주시 덕진구 인후동2가 1565-1</t>
  </si>
  <si>
    <t>인후동2가</t>
  </si>
  <si>
    <t>전라북도 전주시 덕진구 백동3길 14</t>
  </si>
  <si>
    <t>삼화</t>
  </si>
  <si>
    <t>https://new.land.naver.com/complexes/115059?tab=detail&amp;rf=Y</t>
  </si>
  <si>
    <t>전라북도 전주시 덕진구 인후동2가 1556-2</t>
  </si>
  <si>
    <t>전라북도 전주시 덕진구 명주5길 10</t>
  </si>
  <si>
    <t>한양운남(1567-8)</t>
  </si>
  <si>
    <t>1987.01.</t>
  </si>
  <si>
    <t>https://new.land.naver.com/complexes/124402?tab=detail&amp;rf=Y</t>
  </si>
  <si>
    <t>전라북도 전주시 덕진구 인후동2가 1567-8</t>
  </si>
  <si>
    <t>전라북도 전주시 덕진구 백동5길 28</t>
  </si>
  <si>
    <t>미도</t>
  </si>
  <si>
    <t>1987.12.</t>
  </si>
  <si>
    <t>https://new.land.naver.com/complexes/121443?tab=detail&amp;rf=Y</t>
  </si>
  <si>
    <t>전라북도 전주시 덕진구 인후동2가 1535-2</t>
  </si>
  <si>
    <t>전라북도 전주시 덕진구 명주1길 1</t>
  </si>
  <si>
    <t>인후에버파크</t>
  </si>
  <si>
    <t>2016.07.</t>
  </si>
  <si>
    <t>https://new.land.naver.com/complexes/108410?tab=detail&amp;rf=Y</t>
  </si>
  <si>
    <t>전라북도 전주시 덕진구 인후동2가 1614</t>
  </si>
  <si>
    <t>전라북도 전주시 덕진구 심방죽6길 8</t>
  </si>
  <si>
    <t>해마루</t>
  </si>
  <si>
    <t>2013.04.</t>
  </si>
  <si>
    <t>https://new.land.naver.com/complexes/118621?tab=detail&amp;rf=Y</t>
  </si>
  <si>
    <t>전라북도 전주시 덕진구 인후동2가 1567-1</t>
  </si>
  <si>
    <t>전라북도 전주시 덕진구 백동5길 32</t>
  </si>
  <si>
    <t>반촌</t>
  </si>
  <si>
    <t>1987.07.</t>
  </si>
  <si>
    <t>https://new.land.naver.com/complexes/115057?tab=detail&amp;rf=Y</t>
  </si>
  <si>
    <t>전라북도 전주시 덕진구 인후동2가 1565-24</t>
  </si>
  <si>
    <t>전라북도 전주시 덕진구 백동로 19</t>
  </si>
  <si>
    <t>63C</t>
  </si>
  <si>
    <t>63B</t>
  </si>
  <si>
    <t>효성</t>
  </si>
  <si>
    <t>https://new.land.naver.com/complexes/116761?tab=detail&amp;rf=Y</t>
  </si>
  <si>
    <t>전라북도 전주시 덕진구 인후동2가 1559-44</t>
  </si>
  <si>
    <t>전라북도 전주시 덕진구 백동로 24</t>
  </si>
  <si>
    <t>대우초원1단지</t>
  </si>
  <si>
    <t>https://new.land.naver.com/complexes/100874?tab=detail&amp;rf=Y</t>
  </si>
  <si>
    <t>전라북도 전주시 덕진구 인후동2가 1564</t>
  </si>
  <si>
    <t>전라북도 전주시 덕진구 백동1길 38</t>
  </si>
  <si>
    <t>https://new.land.naver.com/complexes/105689?tab=detail&amp;rf=Y</t>
  </si>
  <si>
    <t>전라북도 전주시 덕진구 인후동2가 1573-3</t>
  </si>
  <si>
    <t>전라북도 전주시 덕진구 백동6길 7</t>
  </si>
  <si>
    <t>건지산이지움</t>
  </si>
  <si>
    <t>2016.08.</t>
  </si>
  <si>
    <t>https://new.land.naver.com/complexes/108795?tab=detail&amp;rf=Y</t>
  </si>
  <si>
    <t>전라북도 전주시 덕진구 인후동2가 1561-1</t>
  </si>
  <si>
    <t>전라북도 전주시 덕진구 백동2길 11</t>
  </si>
  <si>
    <t>한양운남(1566-1)</t>
  </si>
  <si>
    <t>https://new.land.naver.com/complexes/15041?tab=detail&amp;rf=Y</t>
  </si>
  <si>
    <t>전라북도 전주시 덕진구 인후동2가 1566-1</t>
  </si>
  <si>
    <t>전라북도 전주시 덕진구 백동5길 29</t>
  </si>
  <si>
    <t>성락콤비타운</t>
  </si>
  <si>
    <t>1992.01.</t>
  </si>
  <si>
    <t>https://new.land.naver.com/complexes/15040?tab=detail&amp;rf=Y</t>
  </si>
  <si>
    <t>전라북도 전주시 덕진구 인후동2가 1575-1</t>
  </si>
  <si>
    <t>전라북도 전주시 덕진구 명주5길 11</t>
  </si>
  <si>
    <t>남양맨션</t>
  </si>
  <si>
    <t>https://new.land.naver.com/complexes/116043?tab=detail&amp;rf=Y</t>
  </si>
  <si>
    <t>전라북도 전주시 덕진구 인후동2가 1528-1</t>
  </si>
  <si>
    <t>전라북도 전주시 덕진구 견훤왕궁로 282</t>
  </si>
  <si>
    <t>90D</t>
  </si>
  <si>
    <t>[장동]</t>
  </si>
  <si>
    <t>장동에코르</t>
  </si>
  <si>
    <t>2009.09.</t>
  </si>
  <si>
    <t>https://new.land.naver.com/complexes/110465?tab=detail&amp;rf=Y</t>
  </si>
  <si>
    <t>전라북도 전주시 덕진구 장동 1052-2</t>
  </si>
  <si>
    <t>전라북도 전주시 덕진구 정암길 19</t>
  </si>
  <si>
    <t>전주혁신중흥에스클래스</t>
  </si>
  <si>
    <t>2016.10.</t>
  </si>
  <si>
    <t>https://new.land.naver.com/complexes/108422?tab=detail&amp;rf=Y</t>
  </si>
  <si>
    <t>전라북도 전주시 덕진구 장동 1064</t>
  </si>
  <si>
    <t>전라북도 전주시 덕진구 틀못3길 16</t>
  </si>
  <si>
    <t>LH이노팰리스</t>
  </si>
  <si>
    <t>2013.12.</t>
  </si>
  <si>
    <t>https://new.land.naver.com/complexes/105293?tab=detail&amp;rf=Y</t>
  </si>
  <si>
    <t>전라북도 전주시 덕진구 장동 1082</t>
  </si>
  <si>
    <t>전라북도 전주시 덕진구 틀못4길 33</t>
  </si>
  <si>
    <t>호반베르디움더센트럴1</t>
  </si>
  <si>
    <t>2016.06.</t>
  </si>
  <si>
    <t>https://new.land.naver.com/complexes/108419?tab=detail&amp;rf=Y</t>
  </si>
  <si>
    <t>전라북도 전주시 덕진구 장동 1074</t>
  </si>
  <si>
    <t>전라북도 전주시 덕진구 틀못1길 15</t>
  </si>
  <si>
    <t>전북혁신도시호반베르디움더클래스</t>
  </si>
  <si>
    <t>2014.06.</t>
  </si>
  <si>
    <t>https://new.land.naver.com/complexes/104983?tab=detail&amp;rf=Y</t>
  </si>
  <si>
    <t>전라북도 전주시 덕진구 장동 1086</t>
  </si>
  <si>
    <t>전라북도 전주시 덕진구 출판로 87</t>
  </si>
  <si>
    <t>전북혁신우미린2단지</t>
  </si>
  <si>
    <t>https://new.land.naver.com/complexes/107985?tab=detail&amp;rf=Y</t>
  </si>
  <si>
    <t>전라북도 전주시 덕진구 장동 1063</t>
  </si>
  <si>
    <t>전라북도 전주시 덕진구 틀못4길 17</t>
  </si>
  <si>
    <t>호반베르디움더센트럴2</t>
  </si>
  <si>
    <t>https://new.land.naver.com/complexes/108420?tab=detail&amp;rf=Y</t>
  </si>
  <si>
    <t>전라북도 전주시 덕진구 장동 1075</t>
  </si>
  <si>
    <t>전라북도 전주시 덕진구 출판로 69</t>
  </si>
  <si>
    <t>대방디엠시티</t>
  </si>
  <si>
    <t>https://new.land.naver.com/complexes/115599?tab=detail&amp;rf=Y</t>
  </si>
  <si>
    <t>전라북도 전주시 덕진구 장동 1111</t>
  </si>
  <si>
    <t>전라북도 전주시 덕진구 기지로 77</t>
  </si>
  <si>
    <t>[중동]</t>
  </si>
  <si>
    <t>전북혁신도시호반베르디움(B-11BL)</t>
  </si>
  <si>
    <t>https://new.land.naver.com/complexes/104250?tab=detail&amp;rf=Y</t>
  </si>
  <si>
    <t>전라북도 전주시 덕진구 중동 789</t>
  </si>
  <si>
    <t>전라북도 전주시 덕진구 오공로 71</t>
  </si>
  <si>
    <t>전북혁신우미린1단지</t>
  </si>
  <si>
    <t>https://new.land.naver.com/complexes/109193?tab=detail&amp;rf=Y</t>
  </si>
  <si>
    <t>전라북도 전주시 덕진구 중동 798</t>
  </si>
  <si>
    <t>전라북도 전주시 덕진구 오공로 70</t>
  </si>
  <si>
    <t>전북혁신호반건설더클래스2</t>
  </si>
  <si>
    <t>2014.10.</t>
  </si>
  <si>
    <t>https://new.land.naver.com/complexes/105571?tab=detail&amp;rf=Y</t>
  </si>
  <si>
    <t>전라북도 전주시 덕진구 중동 807</t>
  </si>
  <si>
    <t>전라북도 전주시 덕진구 오공로 100</t>
  </si>
  <si>
    <t>[진북동]</t>
  </si>
  <si>
    <t>현대</t>
  </si>
  <si>
    <t>1984.08.</t>
  </si>
  <si>
    <t>https://new.land.naver.com/complexes/108433?tab=detail&amp;rf=Y</t>
  </si>
  <si>
    <t>전라북도 전주시 덕진구 진북동 1060-8</t>
  </si>
  <si>
    <t>진북동</t>
  </si>
  <si>
    <t>전라북도 전주시 덕진구 벚꽃로 6</t>
  </si>
  <si>
    <t>거성고속맨션1차</t>
  </si>
  <si>
    <t>1988.11.</t>
  </si>
  <si>
    <t>https://new.land.naver.com/complexes/15042?tab=detail&amp;rf=Y</t>
  </si>
  <si>
    <t>전라북도 전주시 덕진구 진북동 1168-2</t>
  </si>
  <si>
    <t>전라북도 전주시 덕진구 전주천동로 453</t>
  </si>
  <si>
    <t>동국해성</t>
  </si>
  <si>
    <t>1995.10.</t>
  </si>
  <si>
    <t>https://new.land.naver.com/complexes/5644?tab=detail&amp;rf=Y</t>
  </si>
  <si>
    <t>전라북도 전주시 덕진구 진북동 1034-1</t>
  </si>
  <si>
    <t>전라북도 전주시 덕진구 진북로 15</t>
  </si>
  <si>
    <t>https://new.land.naver.com/complexes/5653?tab=detail&amp;rf=Y</t>
  </si>
  <si>
    <t>전라북도 전주시 덕진구 진북동 416</t>
  </si>
  <si>
    <t>전라북도 전주시 덕진구 태진로 101</t>
  </si>
  <si>
    <t>동양</t>
  </si>
  <si>
    <t>1978.07.</t>
  </si>
  <si>
    <t>https://new.land.naver.com/complexes/5648?tab=detail&amp;rf=Y</t>
  </si>
  <si>
    <t>전라북도 전주시 덕진구 진북동 417-47</t>
  </si>
  <si>
    <t>전라북도 전주시 덕진구 태진로 61</t>
  </si>
  <si>
    <t>97C</t>
  </si>
  <si>
    <t>97A</t>
  </si>
  <si>
    <t>102E</t>
  </si>
  <si>
    <t>거성고속맨션2차</t>
  </si>
  <si>
    <t>1991.05.</t>
  </si>
  <si>
    <t>https://new.land.naver.com/complexes/5640?tab=detail&amp;rf=Y</t>
  </si>
  <si>
    <t>전라북도 전주시 덕진구 진북동 1166-1</t>
  </si>
  <si>
    <t>전라북도 전주시 덕진구 숲정이5길 75</t>
  </si>
  <si>
    <t>[팔복동1가]</t>
  </si>
  <si>
    <t>동원부성</t>
  </si>
  <si>
    <t>https://new.land.naver.com/complexes/133644?tab=detail&amp;rf=Y</t>
  </si>
  <si>
    <t>전라북도 전주시 덕진구 팔복동1가 146-3</t>
  </si>
  <si>
    <t>팔복동1가</t>
  </si>
  <si>
    <t>전라북도 전주시 덕진구 신복5길 26</t>
  </si>
  <si>
    <t>55A</t>
  </si>
  <si>
    <t>56B</t>
  </si>
  <si>
    <t>67A</t>
  </si>
  <si>
    <t>래미앙(도시형)</t>
  </si>
  <si>
    <t>2013.05.</t>
  </si>
  <si>
    <t>https://new.land.naver.com/complexes/117386?tab=detail&amp;rf=Y</t>
  </si>
  <si>
    <t>전라북도 전주시 덕진구 팔복동1가 132-11</t>
  </si>
  <si>
    <t>전라북도 전주시 덕진구 신복3길 10-4</t>
  </si>
  <si>
    <t>팔복거성</t>
  </si>
  <si>
    <t>https://new.land.naver.com/complexes/105143?tab=detail&amp;rf=Y</t>
  </si>
  <si>
    <t>전라북도 전주시 덕진구 팔복동1가 143-1</t>
  </si>
  <si>
    <t>전라북도 전주시 덕진구 신복5길 18</t>
  </si>
  <si>
    <t>[팔복동2가]</t>
  </si>
  <si>
    <t>1999.06.</t>
  </si>
  <si>
    <t>https://new.land.naver.com/complexes/109120?tab=detail&amp;rf=Y</t>
  </si>
  <si>
    <t>전라북도 전주시 덕진구 팔복동2가 24-14</t>
  </si>
  <si>
    <t>팔복동2가</t>
  </si>
  <si>
    <t>전라북도 전주시 덕진구 추천5길 8</t>
  </si>
  <si>
    <t>팔복남양</t>
  </si>
  <si>
    <t>1999.05.</t>
  </si>
  <si>
    <t>https://new.land.naver.com/complexes/17087?tab=detail&amp;rf=Y</t>
  </si>
  <si>
    <t>전라북도 전주시 덕진구 팔복동2가 130-2</t>
  </si>
  <si>
    <t>전라북도 전주시 덕진구 팔복1길 6</t>
  </si>
  <si>
    <t>팔복코스타빌</t>
  </si>
  <si>
    <t>2007.11.</t>
  </si>
  <si>
    <t>https://new.land.naver.com/complexes/101585?tab=detail&amp;rf=Y</t>
  </si>
  <si>
    <t>전라북도 전주시 덕진구 팔복동2가 135-2</t>
  </si>
  <si>
    <t>전라북도 전주시 덕진구 추천1길 6</t>
  </si>
  <si>
    <t>115D</t>
  </si>
  <si>
    <t>116B</t>
  </si>
  <si>
    <t>116C</t>
  </si>
  <si>
    <t>[호성동1가]</t>
  </si>
  <si>
    <t>신동아1차</t>
  </si>
  <si>
    <t>1989.08.</t>
  </si>
  <si>
    <t>https://new.land.naver.com/complexes/5782?tab=detail&amp;rf=Y</t>
  </si>
  <si>
    <t>전라북도 전주시 덕진구 호성동1가 731-4</t>
  </si>
  <si>
    <t>호성동1가</t>
  </si>
  <si>
    <t>전라북도 전주시 덕진구 호성1길 29</t>
  </si>
  <si>
    <t>동아</t>
  </si>
  <si>
    <t>1994.12.</t>
  </si>
  <si>
    <t>https://new.land.naver.com/complexes/5790?tab=detail&amp;rf=Y</t>
  </si>
  <si>
    <t>전라북도 전주시 덕진구 호성동1가 826</t>
  </si>
  <si>
    <t>전라북도 전주시 덕진구 호성2길 16</t>
  </si>
  <si>
    <t>호성신동아</t>
  </si>
  <si>
    <t>https://new.land.naver.com/complexes/101167?tab=detail&amp;rf=Y</t>
  </si>
  <si>
    <t>전라북도 전주시 덕진구 호성동1가 749-14</t>
  </si>
  <si>
    <t>전라북도 전주시 덕진구 호성1길 30</t>
  </si>
  <si>
    <t>세성프리미엄</t>
  </si>
  <si>
    <t>2004.06.</t>
  </si>
  <si>
    <t>https://new.land.naver.com/complexes/101168?tab=detail&amp;rf=Y</t>
  </si>
  <si>
    <t>전라북도 전주시 덕진구 호성동1가 750-1</t>
  </si>
  <si>
    <t>전라북도 전주시 덕진구 호성1길 8-10</t>
  </si>
  <si>
    <t>진흥더블파크2단지</t>
  </si>
  <si>
    <t>2005.11.</t>
  </si>
  <si>
    <t>https://new.land.naver.com/complexes/17291?tab=detail&amp;rf=Y</t>
  </si>
  <si>
    <t>전라북도 전주시 덕진구 호성동1가 851</t>
  </si>
  <si>
    <t>전라북도 전주시 덕진구 호성로 136</t>
  </si>
  <si>
    <t>유원파크맨션</t>
  </si>
  <si>
    <t>1991.07.</t>
  </si>
  <si>
    <t>https://new.land.naver.com/complexes/5787?tab=detail&amp;rf=Y</t>
  </si>
  <si>
    <t>전라북도 전주시 덕진구 호성동1가 792</t>
  </si>
  <si>
    <t>전라북도 전주시 덕진구 소리로 191</t>
  </si>
  <si>
    <t>LG동아</t>
  </si>
  <si>
    <t>1995.04.</t>
  </si>
  <si>
    <t>https://new.land.naver.com/complexes/5789?tab=detail&amp;rf=Y</t>
  </si>
  <si>
    <t>전라북도 전주시 덕진구 호성동1가 718</t>
  </si>
  <si>
    <t>전라북도 전주시 덕진구 호성로 40</t>
  </si>
  <si>
    <t>우신호성</t>
  </si>
  <si>
    <t>https://new.land.naver.com/complexes/5785?tab=detail&amp;rf=Y</t>
  </si>
  <si>
    <t>전라북도 전주시 덕진구 호성동1가 749-2</t>
  </si>
  <si>
    <t>전라북도 전주시 덕진구 호성1길 16</t>
  </si>
  <si>
    <t>진흥더블파크1단지</t>
  </si>
  <si>
    <t>https://new.land.naver.com/complexes/17290?tab=detail&amp;rf=Y</t>
  </si>
  <si>
    <t>전라북도 전주시 덕진구 호성동1가 829-4</t>
  </si>
  <si>
    <t>전라북도 전주시 덕진구 호성로 132</t>
  </si>
  <si>
    <t>동신3차</t>
  </si>
  <si>
    <t>1994.05.</t>
  </si>
  <si>
    <t>https://new.land.naver.com/complexes/15044?tab=detail&amp;rf=Y</t>
  </si>
  <si>
    <t>전라북도 전주시 덕진구 호성동1가 749</t>
  </si>
  <si>
    <t>전라북도 전주시 덕진구 동부대로 785</t>
  </si>
  <si>
    <t>다경마을일신</t>
  </si>
  <si>
    <t>2000.08.</t>
  </si>
  <si>
    <t>https://new.land.naver.com/complexes/15047?tab=detail&amp;rf=Y</t>
  </si>
  <si>
    <t>전라북도 전주시 덕진구 호성동1가 750-6</t>
  </si>
  <si>
    <t>전라북도 전주시 덕진구 호성1길 8-9</t>
  </si>
  <si>
    <t>호성동신</t>
  </si>
  <si>
    <t>1991.09.</t>
  </si>
  <si>
    <t>https://new.land.naver.com/complexes/5776?tab=detail&amp;rf=Y</t>
  </si>
  <si>
    <t>전라북도 전주시 덕진구 호성동1가 747</t>
  </si>
  <si>
    <t>전라북도 전주시 덕진구 동부대로 787</t>
  </si>
  <si>
    <t>호성주공</t>
  </si>
  <si>
    <t>1997.06.</t>
  </si>
  <si>
    <t>https://new.land.naver.com/complexes/5788?tab=detail&amp;rf=Y</t>
  </si>
  <si>
    <t>전라북도 전주시 덕진구 호성동1가 900</t>
  </si>
  <si>
    <t>전라북도 전주시 덕진구 소리로 179</t>
  </si>
  <si>
    <t>[호성동2가]</t>
  </si>
  <si>
    <t>진흥더블유파크3단지</t>
  </si>
  <si>
    <t>2008.09.</t>
  </si>
  <si>
    <t>https://new.land.naver.com/complexes/25705?tab=detail&amp;rf=Y</t>
  </si>
  <si>
    <t>전라북도 전주시 덕진구 호성동2가 634</t>
  </si>
  <si>
    <t>호성동2가</t>
  </si>
  <si>
    <t>전라북도 전주시 덕진구 호성로 170</t>
  </si>
  <si>
    <t>추출대상</t>
  </si>
  <si>
    <t>매전갭</t>
  </si>
  <si>
    <t>'16.09.</t>
  </si>
  <si>
    <t>'98.10.</t>
  </si>
  <si>
    <t>'07.07.</t>
  </si>
  <si>
    <t>'16.11.</t>
  </si>
  <si>
    <t>'18.01.</t>
  </si>
  <si>
    <t>'97.01.</t>
  </si>
  <si>
    <t>'09.12.</t>
  </si>
  <si>
    <t>'12.06.</t>
  </si>
  <si>
    <t>'13.01.</t>
  </si>
  <si>
    <t>'10.04.</t>
  </si>
  <si>
    <t>'89.04.</t>
  </si>
  <si>
    <t>'16.12.</t>
  </si>
  <si>
    <t>'19.01.</t>
  </si>
  <si>
    <t>'18.07.</t>
  </si>
  <si>
    <t>'18.02.</t>
  </si>
  <si>
    <t>'18.06.</t>
  </si>
  <si>
    <t>'06.06.</t>
  </si>
  <si>
    <t>'98.01.</t>
  </si>
  <si>
    <t>'16.02.</t>
  </si>
  <si>
    <t>'19.10.</t>
  </si>
  <si>
    <t>'15.03.</t>
  </si>
  <si>
    <t>'96.02.</t>
  </si>
  <si>
    <t>'84.02.</t>
  </si>
  <si>
    <t>'96.10.</t>
  </si>
  <si>
    <t>'95.11.</t>
  </si>
  <si>
    <t>'08.04.</t>
  </si>
  <si>
    <t>'09.05.</t>
  </si>
  <si>
    <t>'13.10.</t>
  </si>
  <si>
    <t>'93.05.</t>
  </si>
  <si>
    <t>'88.01.</t>
  </si>
  <si>
    <t>'99.10.</t>
  </si>
  <si>
    <t>'90.11.</t>
  </si>
  <si>
    <t>'08.01.</t>
  </si>
  <si>
    <t>'97.05.</t>
  </si>
  <si>
    <t>'92.11.</t>
  </si>
  <si>
    <t>'93.12.</t>
  </si>
  <si>
    <t>'19.11.</t>
  </si>
  <si>
    <t>'94.06.</t>
  </si>
  <si>
    <t>'97.12.</t>
  </si>
  <si>
    <t>'19.02.</t>
  </si>
  <si>
    <t>'17.12.</t>
  </si>
  <si>
    <t>'98.12.</t>
  </si>
  <si>
    <t>'89.05.</t>
  </si>
  <si>
    <t>'98.09.</t>
  </si>
  <si>
    <t>'87.06.</t>
  </si>
  <si>
    <t>'85.07.</t>
  </si>
  <si>
    <t>'19.03.</t>
  </si>
  <si>
    <t>'95.05.</t>
  </si>
  <si>
    <t>'21.10.</t>
  </si>
  <si>
    <t>'23.04.</t>
  </si>
  <si>
    <t>'04.07.</t>
  </si>
  <si>
    <t>28</t>
  </si>
  <si>
    <t>'18.10.</t>
  </si>
  <si>
    <t>'94.10.</t>
  </si>
  <si>
    <t>'92.02.</t>
  </si>
  <si>
    <t>'93.04.</t>
  </si>
  <si>
    <t>'03.12.</t>
  </si>
  <si>
    <t>'98.05.</t>
  </si>
  <si>
    <t>'15.12.</t>
  </si>
  <si>
    <t>'96.01.</t>
  </si>
  <si>
    <t>'92.04.</t>
  </si>
  <si>
    <t>'98.11.</t>
  </si>
  <si>
    <t>'99.11.</t>
  </si>
  <si>
    <t>'08.12.</t>
  </si>
  <si>
    <t>'21.02.</t>
  </si>
  <si>
    <t>'92.03.</t>
  </si>
  <si>
    <t>'18.12.</t>
  </si>
  <si>
    <t>'95.07.</t>
  </si>
  <si>
    <t>'21.09.</t>
  </si>
  <si>
    <t>'88.06.</t>
  </si>
  <si>
    <t>'03.09.</t>
  </si>
  <si>
    <t>'99.09.</t>
  </si>
  <si>
    <t>'08.02.</t>
  </si>
  <si>
    <t>'90.12.</t>
  </si>
  <si>
    <t>'00.10.</t>
  </si>
  <si>
    <t>'01.02.</t>
  </si>
  <si>
    <t>'06.11.</t>
  </si>
  <si>
    <t>'07.01.</t>
  </si>
  <si>
    <t>'98.03.</t>
  </si>
  <si>
    <t>'97.11.</t>
  </si>
  <si>
    <t>'20.08.</t>
  </si>
  <si>
    <t>'04.10.</t>
  </si>
  <si>
    <t>'16.07.</t>
  </si>
  <si>
    <t>'16.08.</t>
  </si>
  <si>
    <t>'09.09.</t>
  </si>
  <si>
    <t>'16.10.</t>
  </si>
  <si>
    <t>'13.12.</t>
  </si>
  <si>
    <t>'16.06.</t>
  </si>
  <si>
    <t>'14.06.</t>
  </si>
  <si>
    <t>'14.10.</t>
  </si>
  <si>
    <t>'95.10.</t>
  </si>
  <si>
    <t>'99.05.</t>
  </si>
  <si>
    <t>'89.08.</t>
  </si>
  <si>
    <t>'94.12.</t>
  </si>
  <si>
    <t>'05.11.</t>
  </si>
  <si>
    <t>'91.07.</t>
  </si>
  <si>
    <t>'95.04.</t>
  </si>
  <si>
    <t>'89.07.</t>
  </si>
  <si>
    <t>'94.05.</t>
  </si>
  <si>
    <t>'91.09.</t>
  </si>
  <si>
    <t>'97.06.</t>
  </si>
  <si>
    <t>'08.09.</t>
  </si>
  <si>
    <t>동명</t>
  </si>
  <si>
    <t>'19.04</t>
  </si>
  <si>
    <t>고랑동 고랑노블레스더센텀</t>
    <phoneticPr fontId="2" type="noConversion"/>
  </si>
  <si>
    <t>16.09.</t>
    <phoneticPr fontId="2" type="noConversion"/>
  </si>
  <si>
    <t>고랑동 고랑명성</t>
    <phoneticPr fontId="2" type="noConversion"/>
  </si>
  <si>
    <t>98.10.</t>
    <phoneticPr fontId="2" type="noConversion"/>
  </si>
  <si>
    <t>98.10.</t>
    <phoneticPr fontId="2" type="noConversion"/>
  </si>
  <si>
    <t>금암동 금암중앙하이츠</t>
    <phoneticPr fontId="2" type="noConversion"/>
  </si>
  <si>
    <t>07.07.</t>
    <phoneticPr fontId="2" type="noConversion"/>
  </si>
  <si>
    <t>07.07.</t>
    <phoneticPr fontId="2" type="noConversion"/>
  </si>
  <si>
    <t>금암동 금암중앙하이츠</t>
    <phoneticPr fontId="2" type="noConversion"/>
  </si>
  <si>
    <t>금암동 휴엔하임</t>
    <phoneticPr fontId="2" type="noConversion"/>
  </si>
  <si>
    <t>16.11.</t>
    <phoneticPr fontId="2" type="noConversion"/>
  </si>
  <si>
    <t>금암동 천년이지움</t>
    <phoneticPr fontId="2" type="noConversion"/>
  </si>
  <si>
    <t>18.01.</t>
    <phoneticPr fontId="2" type="noConversion"/>
  </si>
  <si>
    <t>덕진동1가 명성강변</t>
    <phoneticPr fontId="2" type="noConversion"/>
  </si>
  <si>
    <t>97.01.</t>
    <phoneticPr fontId="2" type="noConversion"/>
  </si>
  <si>
    <t>97.01.</t>
    <phoneticPr fontId="2" type="noConversion"/>
  </si>
  <si>
    <t>덕진동2가 영무예다음</t>
    <phoneticPr fontId="2" type="noConversion"/>
  </si>
  <si>
    <t>09.12.</t>
    <phoneticPr fontId="2" type="noConversion"/>
  </si>
  <si>
    <t>덕진동2가 명성강변</t>
    <phoneticPr fontId="2" type="noConversion"/>
  </si>
  <si>
    <t>덕진동2가 하가더루벤스</t>
    <phoneticPr fontId="2" type="noConversion"/>
  </si>
  <si>
    <t>12.06.</t>
    <phoneticPr fontId="2" type="noConversion"/>
  </si>
  <si>
    <t>13.01.</t>
    <phoneticPr fontId="2" type="noConversion"/>
  </si>
  <si>
    <t>덕진동2가 제일오투그란데</t>
    <phoneticPr fontId="2" type="noConversion"/>
  </si>
  <si>
    <t>13.01.</t>
    <phoneticPr fontId="2" type="noConversion"/>
  </si>
  <si>
    <t>덕진동2가 전주하가휴먼빌</t>
    <phoneticPr fontId="2" type="noConversion"/>
  </si>
  <si>
    <t>10.04.</t>
    <phoneticPr fontId="2" type="noConversion"/>
  </si>
  <si>
    <t>덕진동2가 오성유토피아</t>
    <phoneticPr fontId="2" type="noConversion"/>
  </si>
  <si>
    <t>89.04.</t>
    <phoneticPr fontId="2" type="noConversion"/>
  </si>
  <si>
    <t>89.04.</t>
    <phoneticPr fontId="2" type="noConversion"/>
  </si>
  <si>
    <t>덕진동2가 전주덕진휴먼빌2차</t>
    <phoneticPr fontId="2" type="noConversion"/>
  </si>
  <si>
    <t>16.12.</t>
    <phoneticPr fontId="2" type="noConversion"/>
  </si>
  <si>
    <t>16.12.</t>
    <phoneticPr fontId="2" type="noConversion"/>
  </si>
  <si>
    <t>만성동 전주만성시티프라디움</t>
    <phoneticPr fontId="2" type="noConversion"/>
  </si>
  <si>
    <t>만성동 LH퍼스트리움</t>
    <phoneticPr fontId="2" type="noConversion"/>
  </si>
  <si>
    <t>18.01.</t>
    <phoneticPr fontId="2" type="noConversion"/>
  </si>
  <si>
    <t>만성동 중흥에스클래스더퍼스트</t>
    <phoneticPr fontId="2" type="noConversion"/>
  </si>
  <si>
    <t>18.07.</t>
    <phoneticPr fontId="2" type="noConversion"/>
  </si>
  <si>
    <t>18.07.</t>
    <phoneticPr fontId="2" type="noConversion"/>
  </si>
  <si>
    <t>18.06.</t>
    <phoneticPr fontId="2" type="noConversion"/>
  </si>
  <si>
    <t>반월동 영무예다음</t>
    <phoneticPr fontId="2" type="noConversion"/>
  </si>
  <si>
    <t>06.06.</t>
    <phoneticPr fontId="2" type="noConversion"/>
  </si>
  <si>
    <t>16.02.</t>
    <phoneticPr fontId="2" type="noConversion"/>
  </si>
  <si>
    <t>96.02.</t>
    <phoneticPr fontId="2" type="noConversion"/>
  </si>
  <si>
    <t>84.02.</t>
    <phoneticPr fontId="2" type="noConversion"/>
  </si>
  <si>
    <t>95.11.</t>
    <phoneticPr fontId="2" type="noConversion"/>
  </si>
  <si>
    <t>08.04.</t>
    <phoneticPr fontId="2" type="noConversion"/>
  </si>
  <si>
    <t>09.05.</t>
    <phoneticPr fontId="2" type="noConversion"/>
  </si>
  <si>
    <t>송천동1가 벽산e-리버파크</t>
    <phoneticPr fontId="2" type="noConversion"/>
  </si>
  <si>
    <t>93.05.</t>
    <phoneticPr fontId="2" type="noConversion"/>
  </si>
  <si>
    <t>송천동1가 한양</t>
    <phoneticPr fontId="2" type="noConversion"/>
  </si>
  <si>
    <t>송천동1가 송천아이파크6단지</t>
    <phoneticPr fontId="2" type="noConversion"/>
  </si>
  <si>
    <t>송천동1가 성원무지개</t>
    <phoneticPr fontId="2" type="noConversion"/>
  </si>
  <si>
    <t>88.01.</t>
    <phoneticPr fontId="2" type="noConversion"/>
  </si>
  <si>
    <t>99.10.</t>
    <phoneticPr fontId="2" type="noConversion"/>
  </si>
  <si>
    <t>송천동1가 용소마을제일</t>
    <phoneticPr fontId="2" type="noConversion"/>
  </si>
  <si>
    <t>송천동1가 진흥더블파크</t>
    <phoneticPr fontId="2" type="noConversion"/>
  </si>
  <si>
    <t>90.11.</t>
    <phoneticPr fontId="2" type="noConversion"/>
  </si>
  <si>
    <t>08.01.</t>
    <phoneticPr fontId="2" type="noConversion"/>
  </si>
  <si>
    <t>16.11.</t>
    <phoneticPr fontId="2" type="noConversion"/>
  </si>
  <si>
    <t>97.05.</t>
    <phoneticPr fontId="2" type="noConversion"/>
  </si>
  <si>
    <t>92.11.</t>
    <phoneticPr fontId="2" type="noConversion"/>
  </si>
  <si>
    <t>19.11.</t>
    <phoneticPr fontId="2" type="noConversion"/>
  </si>
  <si>
    <t>97.12.</t>
    <phoneticPr fontId="2" type="noConversion"/>
  </si>
  <si>
    <t>19.02.</t>
    <phoneticPr fontId="2" type="noConversion"/>
  </si>
  <si>
    <t>송천동2가 전주3차에코시티휴먼빌</t>
    <phoneticPr fontId="2" type="noConversion"/>
  </si>
  <si>
    <t>98.12.</t>
    <phoneticPr fontId="2" type="noConversion"/>
  </si>
  <si>
    <t>송천동2가 송천주공</t>
    <phoneticPr fontId="2" type="noConversion"/>
  </si>
  <si>
    <t>송천동2가 에코시티데시앙5블럭</t>
    <phoneticPr fontId="2" type="noConversion"/>
  </si>
  <si>
    <t>송천동2가 송천현대3차</t>
    <phoneticPr fontId="2" type="noConversion"/>
  </si>
  <si>
    <t>89.05.</t>
    <phoneticPr fontId="2" type="noConversion"/>
  </si>
  <si>
    <t>송천동2가 신동비사벌(201~207동)</t>
    <phoneticPr fontId="2" type="noConversion"/>
  </si>
  <si>
    <t>13.10.</t>
    <phoneticPr fontId="2" type="noConversion"/>
  </si>
  <si>
    <t>송천동2가 전주송천한라비발디1단지</t>
    <phoneticPr fontId="2" type="noConversion"/>
  </si>
  <si>
    <t>송천동2가 에코시티더샵(에코시티1BL)</t>
    <phoneticPr fontId="2" type="noConversion"/>
  </si>
  <si>
    <t>98.09.</t>
    <phoneticPr fontId="2" type="noConversion"/>
  </si>
  <si>
    <t>송천동2가 롯데2단지</t>
    <phoneticPr fontId="2" type="noConversion"/>
  </si>
  <si>
    <t>87.06.</t>
    <phoneticPr fontId="2" type="noConversion"/>
  </si>
  <si>
    <t>송천동2가 에코시티데시앙(4BL)</t>
    <phoneticPr fontId="2" type="noConversion"/>
  </si>
  <si>
    <t>송천동2가 롯데1단지</t>
    <phoneticPr fontId="2" type="noConversion"/>
  </si>
  <si>
    <t>85.07.</t>
    <phoneticPr fontId="2" type="noConversion"/>
  </si>
  <si>
    <t>19.03.</t>
    <phoneticPr fontId="2" type="noConversion"/>
  </si>
  <si>
    <t>송천동2가 에코시티더샵3차</t>
    <phoneticPr fontId="2" type="noConversion"/>
  </si>
  <si>
    <t>송천동2가 현대1차</t>
    <phoneticPr fontId="2" type="noConversion"/>
  </si>
  <si>
    <t>95.05.</t>
    <phoneticPr fontId="2" type="noConversion"/>
  </si>
  <si>
    <t>송천동2가 전주에코시티데시앙(14BL)</t>
    <phoneticPr fontId="2" type="noConversion"/>
  </si>
  <si>
    <t>21.10.</t>
    <phoneticPr fontId="2" type="noConversion"/>
  </si>
  <si>
    <t>송천동2가 솔내마을동아</t>
    <phoneticPr fontId="2" type="noConversion"/>
  </si>
  <si>
    <t>송천동2가 포레나전주에코시티</t>
    <phoneticPr fontId="2" type="noConversion"/>
  </si>
  <si>
    <t>23.04.</t>
    <phoneticPr fontId="2" type="noConversion"/>
  </si>
  <si>
    <t>송천동2가 송천주공2차</t>
    <phoneticPr fontId="2" type="noConversion"/>
  </si>
  <si>
    <t>04.07.</t>
    <phoneticPr fontId="2" type="noConversion"/>
  </si>
  <si>
    <t>송천동2가 전주에코시티KCC스위첸</t>
    <phoneticPr fontId="2" type="noConversion"/>
  </si>
  <si>
    <t>송천동2가 에코시티데시앙2차(7BL)</t>
    <phoneticPr fontId="2" type="noConversion"/>
  </si>
  <si>
    <t>19.01.</t>
    <phoneticPr fontId="2" type="noConversion"/>
  </si>
  <si>
    <t>송천동2가 에코시티자이2차</t>
    <phoneticPr fontId="2" type="noConversion"/>
  </si>
  <si>
    <t>18.10.</t>
    <phoneticPr fontId="2" type="noConversion"/>
  </si>
  <si>
    <t>송천동2가 송천시영</t>
    <phoneticPr fontId="2" type="noConversion"/>
  </si>
  <si>
    <t>94.10.</t>
    <phoneticPr fontId="2" type="noConversion"/>
  </si>
  <si>
    <t>송천동2가 에코시티더샵2차</t>
    <phoneticPr fontId="2" type="noConversion"/>
  </si>
  <si>
    <t>송천동2가 전주송천한라비발디2단지</t>
    <phoneticPr fontId="2" type="noConversion"/>
  </si>
  <si>
    <t>송천동2가 대명궁궐</t>
    <phoneticPr fontId="2" type="noConversion"/>
  </si>
  <si>
    <t>92.02.</t>
    <phoneticPr fontId="2" type="noConversion"/>
  </si>
  <si>
    <t>여의동 공영(푸른솔)</t>
    <phoneticPr fontId="2" type="noConversion"/>
  </si>
  <si>
    <t>93.04.</t>
    <phoneticPr fontId="2" type="noConversion"/>
  </si>
  <si>
    <t>여의동 여의영무예다음</t>
    <phoneticPr fontId="2" type="noConversion"/>
  </si>
  <si>
    <t>여의동 여의제이파크(제일)</t>
    <phoneticPr fontId="2" type="noConversion"/>
  </si>
  <si>
    <t>03.12.</t>
    <phoneticPr fontId="2" type="noConversion"/>
  </si>
  <si>
    <t>여의동 동국</t>
    <phoneticPr fontId="2" type="noConversion"/>
  </si>
  <si>
    <t>98.05.</t>
    <phoneticPr fontId="2" type="noConversion"/>
  </si>
  <si>
    <t>여의동2가 동산골드클래스</t>
    <phoneticPr fontId="2" type="noConversion"/>
  </si>
  <si>
    <t>15.12.</t>
    <phoneticPr fontId="2" type="noConversion"/>
  </si>
  <si>
    <t>여의동2가 대승</t>
    <phoneticPr fontId="2" type="noConversion"/>
  </si>
  <si>
    <t>96.01.</t>
    <phoneticPr fontId="2" type="noConversion"/>
  </si>
  <si>
    <t>여의동2가 우신동산</t>
    <phoneticPr fontId="2" type="noConversion"/>
  </si>
  <si>
    <t>92.04.</t>
    <phoneticPr fontId="2" type="noConversion"/>
  </si>
  <si>
    <t>여의동2가 대승2차</t>
    <phoneticPr fontId="2" type="noConversion"/>
  </si>
  <si>
    <t>우아동2가 전주아중롯데</t>
    <phoneticPr fontId="2" type="noConversion"/>
  </si>
  <si>
    <t>98.11.</t>
    <phoneticPr fontId="2" type="noConversion"/>
  </si>
  <si>
    <t>우아동2가 진버들마을대우2차</t>
    <phoneticPr fontId="2" type="noConversion"/>
  </si>
  <si>
    <t>99.11.</t>
    <phoneticPr fontId="2" type="noConversion"/>
  </si>
  <si>
    <t>우아동2가 선변오지오</t>
    <phoneticPr fontId="2" type="noConversion"/>
  </si>
  <si>
    <t>08.12.</t>
    <phoneticPr fontId="2" type="noConversion"/>
  </si>
  <si>
    <t>우아동3가 KTX전주역클래시아더스카이</t>
    <phoneticPr fontId="2" type="noConversion"/>
  </si>
  <si>
    <t>21.02.</t>
    <phoneticPr fontId="2" type="noConversion"/>
  </si>
  <si>
    <t>92.03.</t>
    <phoneticPr fontId="2" type="noConversion"/>
  </si>
  <si>
    <t>95.07.</t>
    <phoneticPr fontId="2" type="noConversion"/>
  </si>
  <si>
    <t>21.09.</t>
    <phoneticPr fontId="2" type="noConversion"/>
  </si>
  <si>
    <t>우아동3가 전주우아한시티</t>
    <phoneticPr fontId="2" type="noConversion"/>
  </si>
  <si>
    <t>우아동3가 우정,신세계</t>
    <phoneticPr fontId="2" type="noConversion"/>
  </si>
  <si>
    <t>인후동1가 궁전</t>
    <phoneticPr fontId="2" type="noConversion"/>
  </si>
  <si>
    <t>88.06.</t>
    <phoneticPr fontId="2" type="noConversion"/>
  </si>
  <si>
    <t>인후동1가 아중마을부영6차</t>
    <phoneticPr fontId="2" type="noConversion"/>
  </si>
  <si>
    <t>03.09.</t>
    <phoneticPr fontId="2" type="noConversion"/>
  </si>
  <si>
    <t>인후동1가 아중마을부영5차</t>
    <phoneticPr fontId="2" type="noConversion"/>
  </si>
  <si>
    <t>99.09.</t>
    <phoneticPr fontId="2" type="noConversion"/>
  </si>
  <si>
    <t>인후동1가 전주인후휴먼시아</t>
    <phoneticPr fontId="2" type="noConversion"/>
  </si>
  <si>
    <t>08.02.</t>
    <phoneticPr fontId="2" type="noConversion"/>
  </si>
  <si>
    <t>인후동1가 삼호</t>
    <phoneticPr fontId="2" type="noConversion"/>
  </si>
  <si>
    <t>90.12.</t>
    <phoneticPr fontId="2" type="noConversion"/>
  </si>
  <si>
    <t>인후동1가 아중현대</t>
    <phoneticPr fontId="2" type="noConversion"/>
  </si>
  <si>
    <t>98.01.</t>
    <phoneticPr fontId="2" type="noConversion"/>
  </si>
  <si>
    <t>인후동1가 아중제일2차</t>
    <phoneticPr fontId="2" type="noConversion"/>
  </si>
  <si>
    <t>00.10.</t>
    <phoneticPr fontId="2" type="noConversion"/>
  </si>
  <si>
    <t>인후동1가 안고을우성</t>
    <phoneticPr fontId="2" type="noConversion"/>
  </si>
  <si>
    <t>01.02.</t>
    <phoneticPr fontId="2" type="noConversion"/>
  </si>
  <si>
    <t>인후동1가 인후한신휴플러스</t>
    <phoneticPr fontId="2" type="noConversion"/>
  </si>
  <si>
    <t>06.11.</t>
    <phoneticPr fontId="2" type="noConversion"/>
  </si>
  <si>
    <t>인후동1가 위브어울림</t>
    <phoneticPr fontId="2" type="noConversion"/>
  </si>
  <si>
    <t>07.01.</t>
    <phoneticPr fontId="2" type="noConversion"/>
  </si>
  <si>
    <t>인후동1가 인후송정써미트</t>
    <phoneticPr fontId="2" type="noConversion"/>
  </si>
  <si>
    <t>인후동2가 건지산이지움</t>
    <phoneticPr fontId="2" type="noConversion"/>
  </si>
  <si>
    <t>16.08.</t>
    <phoneticPr fontId="2" type="noConversion"/>
  </si>
  <si>
    <t>16.10.</t>
    <phoneticPr fontId="2" type="noConversion"/>
  </si>
  <si>
    <t>16.06.</t>
    <phoneticPr fontId="2" type="noConversion"/>
  </si>
  <si>
    <t>20.08.</t>
    <phoneticPr fontId="2" type="noConversion"/>
  </si>
  <si>
    <t>13.12.</t>
    <phoneticPr fontId="2" type="noConversion"/>
  </si>
  <si>
    <t>중동 전북혁신우미린1단지</t>
    <phoneticPr fontId="2" type="noConversion"/>
  </si>
  <si>
    <t>14.10.</t>
    <phoneticPr fontId="2" type="noConversion"/>
  </si>
  <si>
    <t>진북동 동국해성</t>
    <phoneticPr fontId="2" type="noConversion"/>
  </si>
  <si>
    <t>95.10.</t>
    <phoneticPr fontId="2" type="noConversion"/>
  </si>
  <si>
    <t>호성동1가 동아</t>
    <phoneticPr fontId="2" type="noConversion"/>
  </si>
  <si>
    <t>94.12.</t>
    <phoneticPr fontId="2" type="noConversion"/>
  </si>
  <si>
    <t>95.04.</t>
    <phoneticPr fontId="2" type="noConversion"/>
  </si>
  <si>
    <t>94.05.</t>
    <phoneticPr fontId="2" type="noConversion"/>
  </si>
  <si>
    <t>97.06.</t>
    <phoneticPr fontId="2" type="noConversion"/>
  </si>
  <si>
    <t>08.09.</t>
    <phoneticPr fontId="2" type="noConversion"/>
  </si>
  <si>
    <t>호성동2가 진흥더블유파크3단지</t>
    <phoneticPr fontId="2" type="noConversion"/>
  </si>
  <si>
    <t>12.06.</t>
    <phoneticPr fontId="2" type="noConversion"/>
  </si>
  <si>
    <t>만성동 LH퍼스트리움</t>
    <phoneticPr fontId="2" type="noConversion"/>
  </si>
  <si>
    <t>만성동 LH퍼스트리움</t>
    <phoneticPr fontId="2" type="noConversion"/>
  </si>
  <si>
    <t>만성동 LH퍼스트리움</t>
    <phoneticPr fontId="2" type="noConversion"/>
  </si>
  <si>
    <t>반월동 반월세움펠리피아2차</t>
    <phoneticPr fontId="2" type="noConversion"/>
  </si>
  <si>
    <t>19.10.</t>
    <phoneticPr fontId="2" type="noConversion"/>
  </si>
  <si>
    <t>반월동 삼오</t>
    <phoneticPr fontId="2" type="noConversion"/>
  </si>
  <si>
    <t>송천동1가 송천우림</t>
    <phoneticPr fontId="2" type="noConversion"/>
  </si>
  <si>
    <t>96.10.</t>
    <phoneticPr fontId="2" type="noConversion"/>
  </si>
  <si>
    <t>송천동1가 서호2단지</t>
    <phoneticPr fontId="2" type="noConversion"/>
  </si>
  <si>
    <t>95.11.</t>
    <phoneticPr fontId="2" type="noConversion"/>
  </si>
  <si>
    <t>13.10.</t>
    <phoneticPr fontId="2" type="noConversion"/>
  </si>
  <si>
    <t>송천동1가 진흥더블파크</t>
    <phoneticPr fontId="2" type="noConversion"/>
  </si>
  <si>
    <t>송천동1가 송천KCC스위첸</t>
    <phoneticPr fontId="2" type="noConversion"/>
  </si>
  <si>
    <t>16.11.</t>
    <phoneticPr fontId="2" type="noConversion"/>
  </si>
  <si>
    <t>송천동1가 현대2차</t>
    <phoneticPr fontId="2" type="noConversion"/>
  </si>
  <si>
    <t>송천동1가 송천신일</t>
    <phoneticPr fontId="2" type="noConversion"/>
  </si>
  <si>
    <t>93.12.</t>
    <phoneticPr fontId="2" type="noConversion"/>
  </si>
  <si>
    <t>98.10.</t>
    <phoneticPr fontId="2" type="noConversion"/>
  </si>
  <si>
    <t>송천동2가 전주송천한라비발디1단지</t>
    <phoneticPr fontId="2" type="noConversion"/>
  </si>
  <si>
    <t>13.10.</t>
    <phoneticPr fontId="2" type="noConversion"/>
  </si>
  <si>
    <t>송천동2가 쌍용2단지</t>
    <phoneticPr fontId="2" type="noConversion"/>
  </si>
  <si>
    <t>송천동2가 송천주공2차</t>
    <phoneticPr fontId="2" type="noConversion"/>
  </si>
  <si>
    <t>99.09.</t>
    <phoneticPr fontId="2" type="noConversion"/>
  </si>
  <si>
    <t>인후동1가 아중제일2차</t>
    <phoneticPr fontId="2" type="noConversion"/>
  </si>
  <si>
    <t>00.10.</t>
    <phoneticPr fontId="2" type="noConversion"/>
  </si>
  <si>
    <t>06.11.</t>
    <phoneticPr fontId="2" type="noConversion"/>
  </si>
  <si>
    <t>인후동1가 인후꿈마을부영2차</t>
    <phoneticPr fontId="2" type="noConversion"/>
  </si>
  <si>
    <t>인후동1가 인후꿈마을부영2차</t>
    <phoneticPr fontId="2" type="noConversion"/>
  </si>
  <si>
    <t>인후동1가 아중마을부영3차</t>
    <phoneticPr fontId="2" type="noConversion"/>
  </si>
  <si>
    <t>99.10.</t>
    <phoneticPr fontId="2" type="noConversion"/>
  </si>
  <si>
    <t>장동 LH이노팰리스</t>
    <phoneticPr fontId="2" type="noConversion"/>
  </si>
  <si>
    <t>진북동 우성</t>
    <phoneticPr fontId="2" type="noConversion"/>
  </si>
  <si>
    <t>호성동1가 호성동신</t>
    <phoneticPr fontId="2" type="noConversion"/>
  </si>
  <si>
    <t>91.09.</t>
    <phoneticPr fontId="2" type="noConversion"/>
  </si>
  <si>
    <t>호성동1가 호성주공</t>
    <phoneticPr fontId="2" type="noConversion"/>
  </si>
  <si>
    <t>고랑동 고랑명성</t>
    <phoneticPr fontId="2" type="noConversion"/>
  </si>
  <si>
    <t>07.07.</t>
    <phoneticPr fontId="2" type="noConversion"/>
  </si>
  <si>
    <t>금암동 휴엔하임</t>
    <phoneticPr fontId="2" type="noConversion"/>
  </si>
  <si>
    <t>덕진동2가 영무예다음</t>
    <phoneticPr fontId="2" type="noConversion"/>
  </si>
  <si>
    <t>덕진동2가 전주덕진휴먼빌2차</t>
    <phoneticPr fontId="2" type="noConversion"/>
  </si>
  <si>
    <t>만성동 중흥에스클래스더퍼스트</t>
    <phoneticPr fontId="2" type="noConversion"/>
  </si>
  <si>
    <t>만성동 중흥에스클래스더퍼스트</t>
    <phoneticPr fontId="2" type="noConversion"/>
  </si>
  <si>
    <t>만성동 제일풍경채</t>
    <phoneticPr fontId="2" type="noConversion"/>
  </si>
  <si>
    <t>18.02.</t>
    <phoneticPr fontId="2" type="noConversion"/>
  </si>
  <si>
    <t>18.02.</t>
    <phoneticPr fontId="2" type="noConversion"/>
  </si>
  <si>
    <t>만성동 만성법조타운골드클래스</t>
    <phoneticPr fontId="2" type="noConversion"/>
  </si>
  <si>
    <t>만성동 만성법조타운골드클래스</t>
    <phoneticPr fontId="2" type="noConversion"/>
  </si>
  <si>
    <t>18.02.</t>
    <phoneticPr fontId="2" type="noConversion"/>
  </si>
  <si>
    <t>반월동 전주반월남해오네뜨하이뷰</t>
    <phoneticPr fontId="2" type="noConversion"/>
  </si>
  <si>
    <t>반월동 대창하이빌타운</t>
    <phoneticPr fontId="2" type="noConversion"/>
  </si>
  <si>
    <t>반월동 세움펠리피아</t>
    <phoneticPr fontId="2" type="noConversion"/>
  </si>
  <si>
    <t>반월동 남양반월타운</t>
    <phoneticPr fontId="2" type="noConversion"/>
  </si>
  <si>
    <t>반월동 월드컵이지움</t>
    <phoneticPr fontId="2" type="noConversion"/>
  </si>
  <si>
    <t>15.03.</t>
    <phoneticPr fontId="2" type="noConversion"/>
  </si>
  <si>
    <t>96.02.</t>
    <phoneticPr fontId="2" type="noConversion"/>
  </si>
  <si>
    <t>송천동1가 KJ라미안</t>
    <phoneticPr fontId="2" type="noConversion"/>
  </si>
  <si>
    <t>송천동1가 비사벌(468-2)</t>
    <phoneticPr fontId="2" type="noConversion"/>
  </si>
  <si>
    <t>송천동1가 비사벌(468-2)</t>
    <phoneticPr fontId="2" type="noConversion"/>
  </si>
  <si>
    <t>송천동1가 송천우림</t>
    <phoneticPr fontId="2" type="noConversion"/>
  </si>
  <si>
    <t>송천동1가 서호2단지</t>
    <phoneticPr fontId="2" type="noConversion"/>
  </si>
  <si>
    <t>송천동1가 송천센트럴파크1단지</t>
    <phoneticPr fontId="2" type="noConversion"/>
  </si>
  <si>
    <t>08.04.</t>
    <phoneticPr fontId="2" type="noConversion"/>
  </si>
  <si>
    <t>송천동1가 송천아이파크5단지</t>
    <phoneticPr fontId="2" type="noConversion"/>
  </si>
  <si>
    <t>93.05.</t>
    <phoneticPr fontId="2" type="noConversion"/>
  </si>
  <si>
    <t>송천동1가 한양</t>
    <phoneticPr fontId="2" type="noConversion"/>
  </si>
  <si>
    <t>송천동1가 송천자이</t>
    <phoneticPr fontId="2" type="noConversion"/>
  </si>
  <si>
    <t>06.06.</t>
    <phoneticPr fontId="2" type="noConversion"/>
  </si>
  <si>
    <t>송천동1가 송천자이</t>
    <phoneticPr fontId="2" type="noConversion"/>
  </si>
  <si>
    <t>09.05.</t>
    <phoneticPr fontId="2" type="noConversion"/>
  </si>
  <si>
    <t>송천동1가 진흥더블파크</t>
    <phoneticPr fontId="2" type="noConversion"/>
  </si>
  <si>
    <t>송천동1가 삼성</t>
    <phoneticPr fontId="2" type="noConversion"/>
  </si>
  <si>
    <t>90.11.</t>
    <phoneticPr fontId="2" type="noConversion"/>
  </si>
  <si>
    <t>송천동1가 송천센트럴파크2단지</t>
    <phoneticPr fontId="2" type="noConversion"/>
  </si>
  <si>
    <t>송천동1가 송천센트럴파크2단지</t>
    <phoneticPr fontId="2" type="noConversion"/>
  </si>
  <si>
    <t>송천동1가 송천센트럴파크2단지</t>
    <phoneticPr fontId="2" type="noConversion"/>
  </si>
  <si>
    <t>송천동1가 송천KCC스위첸</t>
    <phoneticPr fontId="2" type="noConversion"/>
  </si>
  <si>
    <t>송천동1가 현대2차</t>
    <phoneticPr fontId="2" type="noConversion"/>
  </si>
  <si>
    <t>97.05.</t>
    <phoneticPr fontId="2" type="noConversion"/>
  </si>
  <si>
    <t>송천동1가 현대2차</t>
    <phoneticPr fontId="2" type="noConversion"/>
  </si>
  <si>
    <t>97.05.</t>
    <phoneticPr fontId="2" type="noConversion"/>
  </si>
  <si>
    <t>송천동1가 서호1단지</t>
    <phoneticPr fontId="2" type="noConversion"/>
  </si>
  <si>
    <t>93.12.</t>
    <phoneticPr fontId="2" type="noConversion"/>
  </si>
  <si>
    <t>송천동1가 송천신일</t>
    <phoneticPr fontId="2" type="noConversion"/>
  </si>
  <si>
    <t>송천동1가 송천신일</t>
    <phoneticPr fontId="2" type="noConversion"/>
  </si>
  <si>
    <t>93.12.</t>
    <phoneticPr fontId="2" type="noConversion"/>
  </si>
  <si>
    <t>송천동1가 송천광신프로그레스</t>
    <phoneticPr fontId="2" type="noConversion"/>
  </si>
  <si>
    <t>송천동1가 광진한솔</t>
    <phoneticPr fontId="2" type="noConversion"/>
  </si>
  <si>
    <t>94.06.</t>
    <phoneticPr fontId="2" type="noConversion"/>
  </si>
  <si>
    <t>송천동1가 영창</t>
    <phoneticPr fontId="2" type="noConversion"/>
  </si>
  <si>
    <t>송천동1가 영창드림맨션</t>
    <phoneticPr fontId="2" type="noConversion"/>
  </si>
  <si>
    <t>97.12.</t>
    <phoneticPr fontId="2" type="noConversion"/>
  </si>
  <si>
    <t>송천동1가 영창드림맨션</t>
    <phoneticPr fontId="2" type="noConversion"/>
  </si>
  <si>
    <t>송천동2가 전주3차에코시티휴먼빌</t>
    <phoneticPr fontId="2" type="noConversion"/>
  </si>
  <si>
    <t>19.02.</t>
    <phoneticPr fontId="2" type="noConversion"/>
  </si>
  <si>
    <t>송천동2가 에코시티자이</t>
    <phoneticPr fontId="2" type="noConversion"/>
  </si>
  <si>
    <t>17.12.</t>
    <phoneticPr fontId="2" type="noConversion"/>
  </si>
  <si>
    <t>송천동2가 에코시티자이</t>
    <phoneticPr fontId="2" type="noConversion"/>
  </si>
  <si>
    <t>송천동2가 전주에코시티데시앙2차(12BL)</t>
    <phoneticPr fontId="2" type="noConversion"/>
  </si>
  <si>
    <t>송천동2가 전주에코시티데시앙2차(12BL)</t>
    <phoneticPr fontId="2" type="noConversion"/>
  </si>
  <si>
    <t>송천동2가 송천주공</t>
    <phoneticPr fontId="2" type="noConversion"/>
  </si>
  <si>
    <t>98.12.</t>
    <phoneticPr fontId="2" type="noConversion"/>
  </si>
  <si>
    <t>송천동2가 쌍용2단지</t>
    <phoneticPr fontId="2" type="noConversion"/>
  </si>
  <si>
    <t>송천동2가 에코시티더샵3차</t>
    <phoneticPr fontId="2" type="noConversion"/>
  </si>
  <si>
    <t>95.05.</t>
    <phoneticPr fontId="2" type="noConversion"/>
  </si>
  <si>
    <t>21.10.</t>
    <phoneticPr fontId="2" type="noConversion"/>
  </si>
  <si>
    <t>송천동2가 포레나전주에코시티</t>
    <phoneticPr fontId="2" type="noConversion"/>
  </si>
  <si>
    <t>송천동2가 전주에코시티KCC스위첸</t>
    <phoneticPr fontId="2" type="noConversion"/>
  </si>
  <si>
    <t>우아동2가 전주아중롯데</t>
    <phoneticPr fontId="2" type="noConversion"/>
  </si>
  <si>
    <t>98.11.</t>
    <phoneticPr fontId="2" type="noConversion"/>
  </si>
  <si>
    <t>우아동3가 우아럭키</t>
    <phoneticPr fontId="2" type="noConversion"/>
  </si>
  <si>
    <t>우아동3가 e편한세상우아</t>
    <phoneticPr fontId="2" type="noConversion"/>
  </si>
  <si>
    <t>18.12.</t>
    <phoneticPr fontId="2" type="noConversion"/>
  </si>
  <si>
    <t>우아동3가 진흥하이츠</t>
    <phoneticPr fontId="2" type="noConversion"/>
  </si>
  <si>
    <t>우아동3가 우신</t>
    <phoneticPr fontId="2" type="noConversion"/>
  </si>
  <si>
    <t>인후동1가 삼호</t>
    <phoneticPr fontId="2" type="noConversion"/>
  </si>
  <si>
    <t>인후동1가 위브어울림</t>
    <phoneticPr fontId="2" type="noConversion"/>
  </si>
  <si>
    <t>인후동1가 아중1차대우</t>
    <phoneticPr fontId="2" type="noConversion"/>
  </si>
  <si>
    <t>98.03.</t>
    <phoneticPr fontId="2" type="noConversion"/>
  </si>
  <si>
    <t>인후동1가 아중제일</t>
    <phoneticPr fontId="2" type="noConversion"/>
  </si>
  <si>
    <t>97.11.</t>
    <phoneticPr fontId="2" type="noConversion"/>
  </si>
  <si>
    <t>인후동1가 인후꿈마을부영2차</t>
    <phoneticPr fontId="2" type="noConversion"/>
  </si>
  <si>
    <t>인후동1가 진버들마을부영1차</t>
    <phoneticPr fontId="2" type="noConversion"/>
  </si>
  <si>
    <t>99.09.</t>
    <phoneticPr fontId="2" type="noConversion"/>
  </si>
  <si>
    <t>인후동1가 더샵인후센트럴</t>
    <phoneticPr fontId="2" type="noConversion"/>
  </si>
  <si>
    <t>20.08.</t>
    <phoneticPr fontId="2" type="noConversion"/>
  </si>
  <si>
    <t>인후동1가 인후선변</t>
    <phoneticPr fontId="2" type="noConversion"/>
  </si>
  <si>
    <t>04.10.</t>
    <phoneticPr fontId="2" type="noConversion"/>
  </si>
  <si>
    <t>인후동1가 아중마을부영3차</t>
    <phoneticPr fontId="2" type="noConversion"/>
  </si>
  <si>
    <t>99.10.</t>
    <phoneticPr fontId="2" type="noConversion"/>
  </si>
  <si>
    <t>인후동1가 아중마을아남</t>
    <phoneticPr fontId="2" type="noConversion"/>
  </si>
  <si>
    <t>99.09.</t>
    <phoneticPr fontId="2" type="noConversion"/>
  </si>
  <si>
    <t>인후동1가 현대1단지</t>
    <phoneticPr fontId="2" type="noConversion"/>
  </si>
  <si>
    <t>인후동1가 현대1단지</t>
    <phoneticPr fontId="2" type="noConversion"/>
  </si>
  <si>
    <t>인후동1가 현대1단지</t>
    <phoneticPr fontId="2" type="noConversion"/>
  </si>
  <si>
    <t>89.05.</t>
    <phoneticPr fontId="2" type="noConversion"/>
  </si>
  <si>
    <t>인후동2가 인후에버파크</t>
    <phoneticPr fontId="2" type="noConversion"/>
  </si>
  <si>
    <t>16.07.</t>
    <phoneticPr fontId="2" type="noConversion"/>
  </si>
  <si>
    <t>인후동2가 인후에버파크</t>
    <phoneticPr fontId="2" type="noConversion"/>
  </si>
  <si>
    <t>16.07.</t>
    <phoneticPr fontId="2" type="noConversion"/>
  </si>
  <si>
    <t>장동 장동에코르</t>
    <phoneticPr fontId="2" type="noConversion"/>
  </si>
  <si>
    <t>09.09.</t>
    <phoneticPr fontId="2" type="noConversion"/>
  </si>
  <si>
    <t>장동 전주혁신중흥에스클래스</t>
    <phoneticPr fontId="2" type="noConversion"/>
  </si>
  <si>
    <t>16.10.</t>
    <phoneticPr fontId="2" type="noConversion"/>
  </si>
  <si>
    <t>장동 전주혁신중흥에스클래스</t>
    <phoneticPr fontId="2" type="noConversion"/>
  </si>
  <si>
    <t>장동 LH이노팰리스</t>
    <phoneticPr fontId="2" type="noConversion"/>
  </si>
  <si>
    <t>장동 LH이노팰리스</t>
    <phoneticPr fontId="2" type="noConversion"/>
  </si>
  <si>
    <t>장동 호반베르디움더센트럴1</t>
    <phoneticPr fontId="2" type="noConversion"/>
  </si>
  <si>
    <t>16.06.</t>
    <phoneticPr fontId="2" type="noConversion"/>
  </si>
  <si>
    <t>장동 호반베르디움더센트럴1</t>
    <phoneticPr fontId="2" type="noConversion"/>
  </si>
  <si>
    <t>장동 전북혁신도시호반베르디움더클래스</t>
    <phoneticPr fontId="2" type="noConversion"/>
  </si>
  <si>
    <t>14.06.</t>
    <phoneticPr fontId="2" type="noConversion"/>
  </si>
  <si>
    <t>장동 전북혁신우미린2단지</t>
    <phoneticPr fontId="2" type="noConversion"/>
  </si>
  <si>
    <t>장동 호반베르디움더센트럴2</t>
    <phoneticPr fontId="2" type="noConversion"/>
  </si>
  <si>
    <t>장동 호반베르디움더센트럴2</t>
    <phoneticPr fontId="2" type="noConversion"/>
  </si>
  <si>
    <t>16.06.</t>
    <phoneticPr fontId="2" type="noConversion"/>
  </si>
  <si>
    <t>장동 대방디엠시티</t>
    <phoneticPr fontId="2" type="noConversion"/>
  </si>
  <si>
    <t>20.08.</t>
    <phoneticPr fontId="2" type="noConversion"/>
  </si>
  <si>
    <t>장동 대방디엠시티</t>
    <phoneticPr fontId="2" type="noConversion"/>
  </si>
  <si>
    <t>20.08.</t>
    <phoneticPr fontId="2" type="noConversion"/>
  </si>
  <si>
    <t>중동 전북혁신도시호반베르디움(B-11BL)</t>
    <phoneticPr fontId="2" type="noConversion"/>
  </si>
  <si>
    <t>중동 전북혁신호반건설더클래스2</t>
    <phoneticPr fontId="2" type="noConversion"/>
  </si>
  <si>
    <t>95.10.</t>
    <phoneticPr fontId="2" type="noConversion"/>
  </si>
  <si>
    <t>팔복동2가 팔복남양</t>
    <phoneticPr fontId="2" type="noConversion"/>
  </si>
  <si>
    <t>99.05.</t>
    <phoneticPr fontId="2" type="noConversion"/>
  </si>
  <si>
    <t>팔복동2가 팔복남양</t>
    <phoneticPr fontId="2" type="noConversion"/>
  </si>
  <si>
    <t>99.05.</t>
    <phoneticPr fontId="2" type="noConversion"/>
  </si>
  <si>
    <t>팔복동2가 팔복남양</t>
    <phoneticPr fontId="2" type="noConversion"/>
  </si>
  <si>
    <t>99.05.</t>
    <phoneticPr fontId="2" type="noConversion"/>
  </si>
  <si>
    <t>호성동1가 신동아1차</t>
    <phoneticPr fontId="2" type="noConversion"/>
  </si>
  <si>
    <t>89.08.</t>
    <phoneticPr fontId="2" type="noConversion"/>
  </si>
  <si>
    <t>호성동1가 동아</t>
    <phoneticPr fontId="2" type="noConversion"/>
  </si>
  <si>
    <t>94.12.</t>
    <phoneticPr fontId="2" type="noConversion"/>
  </si>
  <si>
    <t>호성동1가 진흥더블파크2단지</t>
    <phoneticPr fontId="2" type="noConversion"/>
  </si>
  <si>
    <t>05.11.</t>
    <phoneticPr fontId="2" type="noConversion"/>
  </si>
  <si>
    <t>호성동1가 유원파크맨션</t>
    <phoneticPr fontId="2" type="noConversion"/>
  </si>
  <si>
    <t>91.07.</t>
    <phoneticPr fontId="2" type="noConversion"/>
  </si>
  <si>
    <t>91.07.</t>
    <phoneticPr fontId="2" type="noConversion"/>
  </si>
  <si>
    <t>호성동1가 LG동아</t>
    <phoneticPr fontId="2" type="noConversion"/>
  </si>
  <si>
    <t>95.04.</t>
    <phoneticPr fontId="2" type="noConversion"/>
  </si>
  <si>
    <t>호성동1가 LG동아</t>
    <phoneticPr fontId="2" type="noConversion"/>
  </si>
  <si>
    <t>호성동1가 LG동아</t>
    <phoneticPr fontId="2" type="noConversion"/>
  </si>
  <si>
    <t>89.07.</t>
    <phoneticPr fontId="2" type="noConversion"/>
  </si>
  <si>
    <t>호성동1가 우신호성</t>
    <phoneticPr fontId="2" type="noConversion"/>
  </si>
  <si>
    <t>호성동1가 진흥더블파크1단지</t>
    <phoneticPr fontId="2" type="noConversion"/>
  </si>
  <si>
    <t>05.11.</t>
    <phoneticPr fontId="2" type="noConversion"/>
  </si>
  <si>
    <t>호성동1가 진흥더블파크1단지</t>
    <phoneticPr fontId="2" type="noConversion"/>
  </si>
  <si>
    <t>05.11.</t>
    <phoneticPr fontId="2" type="noConversion"/>
  </si>
  <si>
    <t>호성동1가 진흥더블파크1단지</t>
    <phoneticPr fontId="2" type="noConversion"/>
  </si>
  <si>
    <t>05.11.</t>
    <phoneticPr fontId="2" type="noConversion"/>
  </si>
  <si>
    <t>호성동1가 동신3차</t>
    <phoneticPr fontId="2" type="noConversion"/>
  </si>
  <si>
    <t>호성동1가 동신3차</t>
    <phoneticPr fontId="2" type="noConversion"/>
  </si>
  <si>
    <t>94.05.</t>
    <phoneticPr fontId="2" type="noConversion"/>
  </si>
  <si>
    <t>호성동1가 호성동신</t>
    <phoneticPr fontId="2" type="noConversion"/>
  </si>
  <si>
    <t>91.09.</t>
    <phoneticPr fontId="2" type="noConversion"/>
  </si>
  <si>
    <t>호성동1가 호성주공</t>
    <phoneticPr fontId="2" type="noConversion"/>
  </si>
  <si>
    <t>호성동1가 호성주공</t>
    <phoneticPr fontId="2" type="noConversion"/>
  </si>
  <si>
    <t>호성동2가 진흥더블유파크3단지</t>
    <phoneticPr fontId="2" type="noConversion"/>
  </si>
  <si>
    <t>08.09.</t>
    <phoneticPr fontId="2" type="noConversion"/>
  </si>
  <si>
    <t>에코시티더샵2차(33평/6.6)_x000D_
에코시티더샵3차(34평/6.5)_x000D_
에코시티더샵(에코시티1BL)(34평/6.3)_x000D_
에코시티데시앙5블럭(35평/6.2)_x000D_
에코시티데시앙(4BL)(34평/6.0)</t>
    <phoneticPr fontId="2" type="noConversion"/>
  </si>
  <si>
    <t>에코시티더샵2차('18/6.6)_x000D_
에코시티더샵3차('19/6.5)_x000D_
에코시티더샵(에코시티1BL)('18/6.3)_x000D_
에코시티데시앙5블럭('18/6.2)_x000D_
에코시티데시앙(4BL)('18/6.0)</t>
    <phoneticPr fontId="2" type="noConversion"/>
  </si>
  <si>
    <t>만성법조타운골드클래스(34평/5.4)</t>
  </si>
  <si>
    <t>만성법조타운골드클래스('18/5.4)</t>
  </si>
  <si>
    <t>전주에코시티데시앙2차(12BL)(36평/5.9)_x000D_
에코시티데시앙2차(7BL)(35평/5.9)_x000D_
에코시티자이2차(34평/5.9)_x000D_
전주에코시티KCC스위첸(35평/5.8)_x000D_
에코시티자이(35평/5.7)_x000D_
전주3차에코시티휴먼빌(34평/5.4)</t>
    <phoneticPr fontId="2" type="noConversion"/>
  </si>
  <si>
    <t>전주에코시티데시앙2차(12BL)('19/5.9)_x000D_
에코시티데시앙2차(7BL)('19/5.9)_x000D_
에코시티자이2차('18/5.9)_x000D_
전주에코시티KCC스위첸('19/5.8)_x000D_
에코시티자이('17/5.7)_x000D_
전주3차에코시티휴먼빌('19/5.4)</t>
    <phoneticPr fontId="2" type="noConversion"/>
  </si>
  <si>
    <t>전북혁신도시호반베르디움(B-11BL)(33평/5.3)_x000D_
호반베르디움더센트럴2(34평/5.2)</t>
    <phoneticPr fontId="2" type="noConversion"/>
  </si>
  <si>
    <t>전북혁신도시호반베르디움(B-11BL)('13/5.3)_x000D_
호반베르디움더센트럴2('16/5.2)</t>
    <phoneticPr fontId="2" type="noConversion"/>
  </si>
  <si>
    <t>전주만성시티프라디움(33평/5.0)_x000D_
제일풍경채(34평/5.0)_x000D_
만성법조타운골드클래스(30평/4.8)</t>
    <phoneticPr fontId="2" type="noConversion"/>
  </si>
  <si>
    <t>전주만성시티프라디움('19/5.0)_x000D_
제일풍경채('18/5.0)_x000D_
만성법조타운골드클래스('18/4.8)</t>
    <phoneticPr fontId="2" type="noConversion"/>
  </si>
  <si>
    <t>e편한세상우아('18/4.8)_x000D_
e편한세상우아('18/4.5)_x000D_
전주우아한시티('21/4.5)</t>
    <phoneticPr fontId="2" type="noConversion"/>
  </si>
  <si>
    <t>전주송천한라비발디2단지('13/4.3)_x000D_
전주송천한라비발디1단지('13/4.3)</t>
    <phoneticPr fontId="2" type="noConversion"/>
  </si>
  <si>
    <t>전북혁신우미린2단지(34평/4.9)_x000D_
전북혁신우미린1단지(33평/4.9)_x000D_
LH이노팰리스(30평/4.2)</t>
    <phoneticPr fontId="2" type="noConversion"/>
  </si>
  <si>
    <t>전북혁신우미린2단지('13/4.9)_x000D_
전북혁신우미린1단지('13/4.9)_x000D_
LH이노팰리스('13/4.2)</t>
    <phoneticPr fontId="2" type="noConversion"/>
  </si>
  <si>
    <t>전주송천한라비발디2단지(33평/4.3)_x000D_
전주에코시티데시앙2차(12BL)(25평/4.3)_x000D_
에코시티데시앙5블럭(25평/4.3)_x000D_
전주송천한라비발디1단지(33평/4.3)_x000D_
에코시티데시앙(4BL)(24평/4.3)_x000D_
에코시티더샵3차(24평/4.3)_x000D_
에코시티데시앙2차(7BL)(25평/4.2)_x000D_
에코시티자이(25평/4.2)_x000D_
전주에코시티KCC스위첸(25평/4.2)</t>
    <phoneticPr fontId="2" type="noConversion"/>
  </si>
  <si>
    <t>전주에코시티데시앙2차(12BL)('19/4.3)_x000D_
에코시티데시앙5블럭('18/4.3)_x000D_
에코시티데시앙(4BL)('18/4.3)_x000D_
에코시티더샵3차('19/4.3)_x000D_
에코시티데시앙2차(7BL)('19/4.2)_x000D_
에코시티자이('17/4.2)_x000D_
전주에코시티KCC스위첸('19/4.2)</t>
    <phoneticPr fontId="2" type="noConversion"/>
  </si>
  <si>
    <t>e편한세상우아(34평/4.8)_x000D_
e편한세상우아(30평/4.5)_x000D_
전주우아한시티(30평/4.5)_x000D_
KTX전주역클래시아더스카이(29평/4.0)</t>
    <phoneticPr fontId="2" type="noConversion"/>
  </si>
  <si>
    <t>KTX전주역클래시아더스카이('21/4.0)</t>
  </si>
  <si>
    <t>전주3차에코시티휴먼빌(25평/3.9)_x000D_
에코시티더샵(에코시티1BL)(24평/3.9)</t>
    <phoneticPr fontId="2" type="noConversion"/>
  </si>
  <si>
    <t>전주3차에코시티휴먼빌('19/3.9)_x000D_
에코시티더샵(에코시티1BL)('18/3.9)</t>
    <phoneticPr fontId="2" type="noConversion"/>
  </si>
  <si>
    <t>LH이노팰리스(33평/3.9)</t>
  </si>
  <si>
    <t>LH이노팰리스('13/3.9)</t>
  </si>
  <si>
    <t>KTX전주역클래시아더스카이(25평/3.7)_x000D_
e편한세상우아(25평/3.6)</t>
    <phoneticPr fontId="2" type="noConversion"/>
  </si>
  <si>
    <t>KTX전주역클래시아더스카이('21/3.7)_x000D_
e편한세상우아('18/3.6)</t>
    <phoneticPr fontId="2" type="noConversion"/>
  </si>
  <si>
    <t>LH퍼스트리움(25평/3.5)</t>
  </si>
  <si>
    <t>LH퍼스트리움('18/3.5)</t>
  </si>
  <si>
    <t>진흥더블파크(35평/3.9)_x000D_
송천센트럴파크2단지(32평/3.8)_x000D_
벽산e-리버파크(34평/3.6)_x000D_
송천자이(34평/3.5)</t>
    <phoneticPr fontId="2" type="noConversion"/>
  </si>
  <si>
    <t>진흥더블파크('08/3.9)_x000D_
송천센트럴파크2단지('08/3.8)_x000D_
벽산e-리버파크('13/3.6)_x000D_
송천자이('06/3.5)</t>
    <phoneticPr fontId="2" type="noConversion"/>
  </si>
  <si>
    <t>송천현대3차(32평/3.0)_x000D_
송천주공(33평/2.7)</t>
    <phoneticPr fontId="2" type="noConversion"/>
  </si>
  <si>
    <t>송천현대3차('98/3.0)_x000D_
송천주공('98/2.7)</t>
    <phoneticPr fontId="2" type="noConversion"/>
  </si>
  <si>
    <t>현대2차(32평/2.4)_x000D_
현대2차(29평/2.2)_x000D_
송천우림(33평/2.0)</t>
    <phoneticPr fontId="2" type="noConversion"/>
  </si>
  <si>
    <t>현대2차('97/2.4)_x000D_
송천우림('96/2.0)</t>
    <phoneticPr fontId="2" type="noConversion"/>
  </si>
  <si>
    <t>송천현대3차('98/1.9)_x000D_
송천주공2차('04/1.9)_x000D_
송천주공('98/1.7)_x000D_
쌍용2단지('98/1.7)</t>
    <phoneticPr fontId="2" type="noConversion"/>
  </si>
  <si>
    <t>송천주공2차('04/1.6)</t>
  </si>
  <si>
    <t>송천신일(31평/1.9)_x000D_
현대2차(24평/1.9)_x000D_
한양(31평/1.6)</t>
    <phoneticPr fontId="2" type="noConversion"/>
  </si>
  <si>
    <t>송천신일('93/1.9)_x000D_
한양('93/1.6)</t>
    <phoneticPr fontId="2" type="noConversion"/>
  </si>
  <si>
    <t>송천현대3차(24평/1.9)_x000D_
송천주공2차(23평/1.9)_x000D_
솔내마을동아(32평/1.8)_x000D_
송천주공(23평/1.7)_x000D_
쌍용2단지(29평/1.7)_x000D_
송천주공2차(20평/1.6)_x000D_
송천주공(19평/1.5)</t>
    <phoneticPr fontId="2" type="noConversion"/>
  </si>
  <si>
    <t>송천주공('98/1.5)</t>
  </si>
  <si>
    <t>한양('93/1.4)_x000D_
송천우림('96/1.4)_x000D_
비사벌(468-2)('84/1.3)</t>
    <phoneticPr fontId="2" type="noConversion"/>
  </si>
  <si>
    <t>한양(28평/1.4)_x000D_
성원무지개(21평/1.4)_x000D_
송천우림(23평/1.4)_x000D_
비사벌(468-2)(21평/1.3)_x000D_
송천신일(24평/1.3)_x000D_
서호2단지(26평/1.2)</t>
    <phoneticPr fontId="2" type="noConversion"/>
  </si>
  <si>
    <t>성원무지개('88/1.4)_x000D_
송천신일('93/1.3)_x000D_
서호2단지('95/1.2)</t>
    <phoneticPr fontId="2" type="noConversion"/>
  </si>
  <si>
    <t>진흥하이츠(33평/1.4)_x000D_
진흥하이츠(23평/1.0)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</si>
</sst>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 "/>
    <numFmt numFmtId="177" formatCode="yyyy&quot;년&quot;\ m&quot;월&quot;\ d&quot;일&quot;;@"/>
    <numFmt numFmtId="178" formatCode="General&quot;^&quot;"/>
    <numFmt numFmtId="179" formatCode="&quot;~&quot;General"/>
    <numFmt numFmtId="180" formatCode="General&quot;~&quot;"/>
    <numFmt numFmtId="181" formatCode="#,###&quot;^&quot;"/>
    <numFmt numFmtId="182" formatCode="0.0"/>
    <numFmt numFmtId="183" formatCode="0_);[Red]\(0\)"/>
    <numFmt numFmtId="184" formatCode="#,##0_);[Red]\(#,##0\)"/>
    <numFmt numFmtId="185" formatCode="&quot;@&quot;#,##0_ "/>
    <numFmt numFmtId="186" formatCode="0_ 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0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0" fillId="9" borderId="0" xfId="0" applyFill="1" applyAlignment="1">
      <alignment vertical="center"/>
    </xf>
    <xf numFmtId="0" fontId="16" fillId="2" borderId="1" xfId="0" applyFont="1" applyFill="1" applyBorder="1" applyAlignment="1">
      <alignment vertical="center"/>
    </xf>
    <xf numFmtId="0" fontId="16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176" fontId="4" fillId="4" borderId="1" xfId="0" applyNumberFormat="1" applyFont="1" applyFill="1" applyBorder="1" applyAlignment="1" applyProtection="1">
      <alignment vertical="center"/>
      <protection locked="0"/>
    </xf>
    <xf numFmtId="177" fontId="6" fillId="2" borderId="0" xfId="0" quotePrefix="1" applyNumberFormat="1" applyFont="1" applyFill="1" applyAlignment="1" applyProtection="1">
      <alignment horizontal="left" vertical="center"/>
      <protection locked="0"/>
    </xf>
    <xf numFmtId="178" fontId="4" fillId="3" borderId="1" xfId="0" applyNumberFormat="1" applyFont="1" applyFill="1" applyBorder="1" applyAlignment="1" applyProtection="1">
      <alignment horizontal="center" vertical="center"/>
      <protection locked="0"/>
    </xf>
    <xf numFmtId="179" fontId="4" fillId="3" borderId="1" xfId="0" applyNumberFormat="1" applyFont="1" applyFill="1" applyBorder="1" applyAlignment="1">
      <alignment horizontal="center" vertical="center"/>
    </xf>
    <xf numFmtId="180" fontId="4" fillId="3" borderId="1" xfId="0" applyNumberFormat="1" applyFont="1" applyFill="1" applyBorder="1" applyAlignment="1">
      <alignment horizontal="center" vertical="center"/>
    </xf>
    <xf numFmtId="181" fontId="16" fillId="2" borderId="1" xfId="0" applyNumberFormat="1" applyFont="1" applyFill="1" applyBorder="1" applyAlignment="1">
      <alignment horizontal="right" vertical="center"/>
    </xf>
    <xf numFmtId="182" fontId="4" fillId="2" borderId="1" xfId="0" applyNumberFormat="1" applyFont="1" applyFill="1" applyBorder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1" fontId="4" fillId="2" borderId="1" xfId="0" applyNumberFormat="1" applyFont="1" applyFill="1" applyBorder="1" applyAlignment="1">
      <alignment horizontal="right" vertical="center"/>
    </xf>
    <xf numFmtId="184" fontId="4" fillId="0" borderId="1" xfId="0" applyNumberFormat="1" applyFont="1" applyBorder="1" applyAlignment="1">
      <alignment vertical="center"/>
    </xf>
    <xf numFmtId="184" fontId="4" fillId="2" borderId="1" xfId="0" applyNumberFormat="1" applyFont="1" applyFill="1" applyBorder="1" applyAlignment="1">
      <alignment vertical="center"/>
    </xf>
    <xf numFmtId="185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horizontal="right" vertical="center"/>
    </xf>
    <xf numFmtId="186" fontId="4" fillId="2" borderId="0" xfId="0" applyNumberFormat="1" applyFont="1" applyFill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2" fontId="12" fillId="6" borderId="10" xfId="0" applyNumberFormat="1" applyFont="1" applyFill="1" applyBorder="1" applyAlignment="1">
      <alignment horizontal="center" vertical="center" wrapText="1"/>
    </xf>
    <xf numFmtId="182" fontId="12" fillId="6" borderId="9" xfId="0" applyNumberFormat="1" applyFont="1" applyFill="1" applyBorder="1" applyAlignment="1">
      <alignment horizontal="center" vertical="center" wrapText="1"/>
    </xf>
    <xf numFmtId="182" fontId="12" fillId="6" borderId="2" xfId="0" applyNumberFormat="1" applyFont="1" applyFill="1" applyBorder="1" applyAlignment="1">
      <alignment horizontal="center" vertical="center" wrapText="1"/>
    </xf>
    <xf numFmtId="182" fontId="12" fillId="6" borderId="4" xfId="0" applyNumberFormat="1" applyFont="1" applyFill="1" applyBorder="1" applyAlignment="1">
      <alignment horizontal="center" vertical="center" wrapText="1"/>
    </xf>
    <xf numFmtId="182" fontId="12" fillId="5" borderId="2" xfId="0" applyNumberFormat="1" applyFont="1" applyFill="1" applyBorder="1" applyAlignment="1">
      <alignment horizontal="center" vertical="center" wrapText="1"/>
    </xf>
    <xf numFmtId="182" fontId="12" fillId="5" borderId="4" xfId="0" applyNumberFormat="1" applyFont="1" applyFill="1" applyBorder="1" applyAlignment="1">
      <alignment horizontal="center" vertical="center" wrapText="1"/>
    </xf>
    <xf numFmtId="182" fontId="12" fillId="7" borderId="2" xfId="0" applyNumberFormat="1" applyFont="1" applyFill="1" applyBorder="1" applyAlignment="1">
      <alignment horizontal="center" vertical="center" wrapText="1"/>
    </xf>
    <xf numFmtId="182" fontId="12" fillId="7" borderId="4" xfId="0" applyNumberFormat="1" applyFont="1" applyFill="1" applyBorder="1" applyAlignment="1">
      <alignment horizontal="center" vertical="center" wrapText="1"/>
    </xf>
    <xf numFmtId="182" fontId="12" fillId="8" borderId="2" xfId="0" applyNumberFormat="1" applyFont="1" applyFill="1" applyBorder="1" applyAlignment="1">
      <alignment horizontal="center" vertical="center" wrapText="1"/>
    </xf>
    <xf numFmtId="182" fontId="12" fillId="8" borderId="4" xfId="0" applyNumberFormat="1" applyFont="1" applyFill="1" applyBorder="1" applyAlignment="1">
      <alignment horizontal="center" vertical="center" wrapText="1"/>
    </xf>
    <xf numFmtId="178" fontId="4" fillId="2" borderId="0" xfId="0" applyNumberFormat="1" applyFont="1" applyFill="1" applyAlignment="1">
      <alignment horizontal="right" vertical="center"/>
    </xf>
    <xf numFmtId="178" fontId="4" fillId="3" borderId="1" xfId="0" applyNumberFormat="1" applyFont="1" applyFill="1" applyBorder="1" applyAlignment="1">
      <alignment horizontal="center" vertical="center"/>
    </xf>
    <xf numFmtId="183" fontId="4" fillId="2" borderId="1" xfId="0" applyNumberFormat="1" applyFont="1" applyFill="1" applyBorder="1" applyAlignment="1">
      <alignment horizontal="center" vertical="center"/>
    </xf>
    <xf numFmtId="183" fontId="3" fillId="2" borderId="1" xfId="0" applyNumberFormat="1" applyFont="1" applyFill="1" applyBorder="1" applyAlignment="1">
      <alignment horizontal="center" vertical="center" wrapText="1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11108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21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2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3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4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5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zoomScaleNormal="100" zoomScaleSheetLayoutView="85" workbookViewId="0">
      <pane xSplit="1" ySplit="3" topLeftCell="B13" activePane="bottomRight" state="frozen"/>
      <selection activeCell="U15" sqref="U15"/>
      <selection pane="topRight" activeCell="U15" sqref="U15"/>
      <selection pane="bottomLeft" activeCell="U15" sqref="U15"/>
      <selection pane="bottomRight" activeCell="T11" sqref="T11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2.25" style="72" customWidth="1"/>
    <col min="23" max="23" width="5.625" style="72" bestFit="1" customWidth="1"/>
    <col min="24" max="24" width="4.5" style="72" customWidth="1"/>
    <col min="25" max="25" width="6.25" style="72" bestFit="1" customWidth="1"/>
    <col min="26" max="26" width="7.75" style="72" bestFit="1" customWidth="1"/>
    <col min="27" max="27" width="7" style="72" bestFit="1" customWidth="1"/>
    <col min="28" max="28" width="6.875" style="72" bestFit="1" customWidth="1"/>
    <col min="29" max="29" width="4.625" style="72" bestFit="1" customWidth="1"/>
    <col min="30" max="30" width="7.625" style="72" bestFit="1" customWidth="1"/>
    <col min="31" max="31" width="3.25" style="72" bestFit="1" customWidth="1"/>
    <col min="32" max="32" width="4.625" style="72" bestFit="1" customWidth="1"/>
    <col min="33" max="33" width="2.125" style="72" customWidth="1"/>
    <col min="34" max="34" width="22.5" style="72" bestFit="1" customWidth="1"/>
    <col min="35" max="35" width="4.625" style="72" bestFit="1" customWidth="1"/>
    <col min="36" max="40" width="4.625" style="72" customWidth="1"/>
    <col min="41" max="41" width="9.125" style="72" bestFit="1" customWidth="1"/>
    <col min="42" max="43" width="7.625" style="72" bestFit="1" customWidth="1"/>
    <col min="44" max="44" width="9.125" style="72" bestFit="1" customWidth="1"/>
    <col min="45" max="45" width="6.125" style="72" bestFit="1" customWidth="1"/>
    <col min="46" max="46" width="8.625" style="72" bestFit="1" customWidth="1"/>
    <col min="47" max="47" width="9.125" style="72" bestFit="1" customWidth="1"/>
    <col min="48" max="48" width="7.625" style="72" bestFit="1" customWidth="1"/>
    <col min="49" max="51" width="9" style="25" customWidth="1"/>
    <col min="52" max="52" width="1.25" style="25" customWidth="1"/>
    <col min="53" max="55" width="9" style="25" customWidth="1"/>
    <col min="56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3" t="s">
        <v>2</v>
      </c>
      <c r="M1"/>
      <c r="N1" s="111" t="s">
        <v>3</v>
      </c>
      <c r="O1" s="110"/>
      <c r="P1" s="79">
        <v>0</v>
      </c>
      <c r="Q1" s="112" t="s">
        <v>4</v>
      </c>
      <c r="R1" s="113"/>
      <c r="S1" s="110"/>
      <c r="T1" s="28"/>
      <c r="U1" s="25"/>
      <c r="V1" s="25"/>
      <c r="W1" s="25"/>
      <c r="X1" s="37" t="s">
        <v>5</v>
      </c>
      <c r="Y1" s="37"/>
      <c r="Z1" s="37"/>
      <c r="AA1" s="39">
        <v>70000</v>
      </c>
      <c r="AB1" s="25"/>
      <c r="AC1" s="25"/>
      <c r="AD1" s="25"/>
      <c r="AE1" s="27"/>
      <c r="AF1" s="28"/>
      <c r="AG1" s="25"/>
      <c r="AH1" s="24" t="s">
        <v>0</v>
      </c>
      <c r="AI1" s="25"/>
      <c r="AJ1" s="114" t="s">
        <v>6</v>
      </c>
      <c r="AK1" s="113"/>
      <c r="AL1" s="113"/>
      <c r="AM1" s="113"/>
      <c r="AN1" s="110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6" t="s">
        <v>7</v>
      </c>
      <c r="AY1" s="76" t="s">
        <v>8</v>
      </c>
      <c r="AZ1" s="45"/>
      <c r="BH1" s="25" t="s">
        <v>9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8" t="s">
        <v>10</v>
      </c>
      <c r="Y2" s="38"/>
      <c r="Z2" s="37"/>
      <c r="AA2" s="39">
        <v>10000</v>
      </c>
      <c r="AB2" s="25"/>
      <c r="AC2" s="25"/>
      <c r="AD2" s="25"/>
      <c r="AE2" s="27"/>
      <c r="AF2" s="28"/>
      <c r="AG2" s="25"/>
      <c r="AH2" s="30" t="s">
        <v>11</v>
      </c>
      <c r="AI2" s="31"/>
      <c r="AJ2" s="32" t="s">
        <v>12</v>
      </c>
      <c r="AK2" s="32" t="s">
        <v>13</v>
      </c>
      <c r="AL2" s="32" t="s">
        <v>13</v>
      </c>
      <c r="AM2" s="32" t="s">
        <v>13</v>
      </c>
      <c r="AN2" s="32" t="s">
        <v>14</v>
      </c>
      <c r="AO2" s="109" t="s">
        <v>15</v>
      </c>
      <c r="AP2" s="113"/>
      <c r="AQ2" s="110"/>
      <c r="AR2" s="109" t="s">
        <v>16</v>
      </c>
      <c r="AS2" s="110"/>
      <c r="AT2" s="109" t="s">
        <v>17</v>
      </c>
      <c r="AU2" s="110"/>
      <c r="AV2" s="75" t="s">
        <v>18</v>
      </c>
      <c r="AX2" s="44">
        <v>2020</v>
      </c>
      <c r="AY2" s="44">
        <v>9</v>
      </c>
      <c r="AZ2" s="46"/>
      <c r="BH2" s="25" t="s">
        <v>19</v>
      </c>
    </row>
    <row r="3" spans="1:60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  <c r="W3" s="75" t="s">
        <v>40</v>
      </c>
      <c r="X3" s="75" t="s">
        <v>24</v>
      </c>
      <c r="Y3" s="81" t="s">
        <v>27</v>
      </c>
      <c r="Z3" s="76" t="s">
        <v>41</v>
      </c>
      <c r="AA3" s="76" t="s">
        <v>42</v>
      </c>
      <c r="AB3" s="76" t="s">
        <v>31</v>
      </c>
      <c r="AC3" s="75" t="s">
        <v>32</v>
      </c>
      <c r="AD3" s="76" t="s">
        <v>43</v>
      </c>
      <c r="AE3" s="75" t="s">
        <v>37</v>
      </c>
      <c r="AF3" s="34" t="s">
        <v>44</v>
      </c>
      <c r="AG3" s="25"/>
      <c r="AH3" s="75" t="s">
        <v>20</v>
      </c>
      <c r="AI3" s="75" t="s">
        <v>24</v>
      </c>
      <c r="AJ3" s="75" t="s">
        <v>45</v>
      </c>
      <c r="AK3" s="75" t="s">
        <v>46</v>
      </c>
      <c r="AL3" s="75" t="s">
        <v>47</v>
      </c>
      <c r="AM3" s="75" t="s">
        <v>48</v>
      </c>
      <c r="AN3" s="75" t="s">
        <v>49</v>
      </c>
      <c r="AO3" s="75" t="s">
        <v>50</v>
      </c>
      <c r="AP3" s="75" t="s">
        <v>51</v>
      </c>
      <c r="AQ3" s="75" t="s">
        <v>52</v>
      </c>
      <c r="AR3" s="75" t="s">
        <v>53</v>
      </c>
      <c r="AS3" s="75" t="s">
        <v>54</v>
      </c>
      <c r="AT3" s="36" t="s">
        <v>55</v>
      </c>
      <c r="AU3" s="75" t="s">
        <v>56</v>
      </c>
      <c r="AV3" s="75" t="s">
        <v>18</v>
      </c>
      <c r="AX3" s="12" t="s">
        <v>57</v>
      </c>
      <c r="AY3" s="12" t="s">
        <v>58</v>
      </c>
      <c r="AZ3" s="48"/>
      <c r="BA3" s="49"/>
      <c r="BB3" s="82">
        <v>2010</v>
      </c>
      <c r="BC3" s="82">
        <v>2000</v>
      </c>
      <c r="BD3" s="82">
        <v>1990</v>
      </c>
      <c r="BE3" s="83">
        <v>1990</v>
      </c>
      <c r="BF3" s="37"/>
    </row>
    <row r="4" spans="1:60" s="37" customFormat="1" ht="12" x14ac:dyDescent="0.3">
      <c r="A4" s="73" t="s">
        <v>1653</v>
      </c>
      <c r="B4" s="74" t="s">
        <v>1654</v>
      </c>
      <c r="C4" s="84">
        <v>601</v>
      </c>
      <c r="D4" s="85">
        <v>79.8</v>
      </c>
      <c r="E4" s="86">
        <v>24</v>
      </c>
      <c r="F4" s="85">
        <v>60</v>
      </c>
      <c r="G4" s="17">
        <v>18</v>
      </c>
      <c r="H4" s="87">
        <v>94</v>
      </c>
      <c r="I4" s="88">
        <v>24000</v>
      </c>
      <c r="J4" s="88" t="s">
        <v>68</v>
      </c>
      <c r="K4" s="88">
        <v>22000</v>
      </c>
      <c r="L4" s="88" t="s">
        <v>83</v>
      </c>
      <c r="M4" s="89">
        <f>I4-K4</f>
        <v>2000</v>
      </c>
      <c r="N4" s="4">
        <f>IF(ISERROR(K4/I4),"",K4/I4)</f>
        <v>0.91666666666666663</v>
      </c>
      <c r="O4" s="90">
        <f>I4/E4</f>
        <v>1000</v>
      </c>
      <c r="P4" s="90">
        <f>K4/E4</f>
        <v>916.66666666666663</v>
      </c>
      <c r="Q4" s="78">
        <v>2</v>
      </c>
      <c r="R4" s="78">
        <v>2</v>
      </c>
      <c r="S4" s="78" t="s">
        <v>59</v>
      </c>
      <c r="T4" s="5" t="s">
        <v>84</v>
      </c>
      <c r="U4" s="9"/>
      <c r="W4" s="85">
        <f t="shared" ref="W4:X19" si="0">D4</f>
        <v>79.8</v>
      </c>
      <c r="X4" s="86">
        <f t="shared" si="0"/>
        <v>24</v>
      </c>
      <c r="Y4" s="91">
        <f t="shared" ref="Y4:Z19" si="1">H4</f>
        <v>94</v>
      </c>
      <c r="Z4" s="89">
        <f t="shared" si="1"/>
        <v>24000</v>
      </c>
      <c r="AA4" s="89">
        <f>K4</f>
        <v>22000</v>
      </c>
      <c r="AB4" s="89">
        <f t="shared" ref="AB4:AD19" si="2">M4</f>
        <v>2000</v>
      </c>
      <c r="AC4" s="4">
        <f t="shared" si="2"/>
        <v>0.91666666666666663</v>
      </c>
      <c r="AD4" s="90">
        <f t="shared" si="2"/>
        <v>1000</v>
      </c>
      <c r="AE4" s="78" t="str">
        <f>S4</f>
        <v>계</v>
      </c>
      <c r="AF4" s="78" t="str">
        <f>Q4&amp;"/"&amp;R4</f>
        <v>2/2</v>
      </c>
      <c r="AH4" s="20" t="str">
        <f t="shared" ref="AH4:AH50" si="3">IF(A4="","",A4)</f>
        <v>덕진동2가 영무예다음</v>
      </c>
      <c r="AI4" s="86">
        <f t="shared" ref="AI4:AI50" si="4">IF(E4="","",E4)</f>
        <v>24</v>
      </c>
      <c r="AJ4" s="78" t="str">
        <f>IF(AI4="","",$AJ$2)</f>
        <v>A-</v>
      </c>
      <c r="AK4" s="78" t="s">
        <v>13</v>
      </c>
      <c r="AL4" s="78" t="s">
        <v>61</v>
      </c>
      <c r="AM4" s="78" t="s">
        <v>62</v>
      </c>
      <c r="AN4" s="78" t="str">
        <f>IF(AI4="","",$AN$2)</f>
        <v>C</v>
      </c>
      <c r="AO4" s="78" t="str">
        <f>IF(N4="","",IF(N4&gt;=$AO$1/100,"O","X"))</f>
        <v>O</v>
      </c>
      <c r="AP4" s="78" t="str">
        <f>IF(I4="","",IF(I4&lt;=$AP$1,"O","X"))</f>
        <v>O</v>
      </c>
      <c r="AQ4" s="78" t="str">
        <f>IF(O4="","",IF(O4&lt;=$AQ$1,"O","X"))</f>
        <v>O</v>
      </c>
      <c r="AR4" s="78" t="str">
        <f>IF(M4="","",IF(M4&lt;=$AR$1,"O","X"))</f>
        <v>O</v>
      </c>
      <c r="AS4" s="78" t="s">
        <v>2</v>
      </c>
      <c r="AT4" s="78" t="str">
        <f>IF(OR(F4="",AI4=""),"",IF(AND((F4&lt;=85),(AI4&gt;=15)),"O","X"))</f>
        <v>O</v>
      </c>
      <c r="AU4" s="78" t="str">
        <f>IF(C4="","",IF(C4&gt;=$AU$1,"O","X"))</f>
        <v>O</v>
      </c>
      <c r="AV4" s="78" t="str">
        <f>IF(AO4="","",IF(AND(AO4="O",AP4="O",AR4="O",AT4="O",AU4="O"),"후보","X"))</f>
        <v>후보</v>
      </c>
    </row>
    <row r="5" spans="1:60" s="37" customFormat="1" ht="12" x14ac:dyDescent="0.3">
      <c r="A5" s="73" t="s">
        <v>1656</v>
      </c>
      <c r="B5" s="74" t="s">
        <v>1804</v>
      </c>
      <c r="C5" s="84">
        <v>413</v>
      </c>
      <c r="D5" s="85">
        <v>109.9</v>
      </c>
      <c r="E5" s="86">
        <v>33</v>
      </c>
      <c r="F5" s="85">
        <v>85</v>
      </c>
      <c r="G5" s="17">
        <v>26</v>
      </c>
      <c r="H5" s="87">
        <v>69</v>
      </c>
      <c r="I5" s="88">
        <v>36500</v>
      </c>
      <c r="J5" s="88" t="s">
        <v>89</v>
      </c>
      <c r="K5" s="88">
        <v>34000</v>
      </c>
      <c r="L5" s="88" t="s">
        <v>72</v>
      </c>
      <c r="M5" s="89">
        <f>I5-K5</f>
        <v>2500</v>
      </c>
      <c r="N5" s="4">
        <f>IF(ISERROR(K5/I5),"",K5/I5)</f>
        <v>0.93150684931506844</v>
      </c>
      <c r="O5" s="90">
        <f>I5/E5</f>
        <v>1106.060606060606</v>
      </c>
      <c r="P5" s="90">
        <f>K5/E5</f>
        <v>1030.3030303030303</v>
      </c>
      <c r="Q5" s="78">
        <v>3</v>
      </c>
      <c r="R5" s="78">
        <v>2</v>
      </c>
      <c r="S5" s="78" t="s">
        <v>59</v>
      </c>
      <c r="T5" s="5" t="s">
        <v>71</v>
      </c>
      <c r="U5" s="9"/>
      <c r="W5" s="85">
        <f t="shared" si="0"/>
        <v>109.9</v>
      </c>
      <c r="X5" s="86">
        <f t="shared" si="0"/>
        <v>33</v>
      </c>
      <c r="Y5" s="91">
        <f t="shared" si="1"/>
        <v>69</v>
      </c>
      <c r="Z5" s="89">
        <f t="shared" si="1"/>
        <v>36500</v>
      </c>
      <c r="AA5" s="89">
        <f>K5</f>
        <v>34000</v>
      </c>
      <c r="AB5" s="89">
        <f t="shared" si="2"/>
        <v>2500</v>
      </c>
      <c r="AC5" s="4">
        <f t="shared" si="2"/>
        <v>0.93150684931506844</v>
      </c>
      <c r="AD5" s="90">
        <f t="shared" si="2"/>
        <v>1106.060606060606</v>
      </c>
      <c r="AE5" s="78" t="str">
        <f>S5</f>
        <v>계</v>
      </c>
      <c r="AF5" s="78" t="str">
        <f>Q5&amp;"/"&amp;R5</f>
        <v>3/2</v>
      </c>
      <c r="AH5" s="20" t="str">
        <f t="shared" si="3"/>
        <v>덕진동2가 하가더루벤스</v>
      </c>
      <c r="AI5" s="86">
        <f t="shared" si="4"/>
        <v>33</v>
      </c>
      <c r="AJ5" s="78" t="str">
        <f>IF(AI5="","",$AJ$2)</f>
        <v>A-</v>
      </c>
      <c r="AK5" s="78" t="s">
        <v>13</v>
      </c>
      <c r="AL5" s="78" t="s">
        <v>61</v>
      </c>
      <c r="AM5" s="78" t="s">
        <v>62</v>
      </c>
      <c r="AN5" s="78" t="str">
        <f>IF(AI5="","",$AN$2)</f>
        <v>C</v>
      </c>
      <c r="AO5" s="78" t="str">
        <f>IF(N5="","",IF(N5&gt;=$AO$1/100,"O","X"))</f>
        <v>O</v>
      </c>
      <c r="AP5" s="78" t="str">
        <f>IF(I5="","",IF(I5&lt;=$AP$1,"O","X"))</f>
        <v>O</v>
      </c>
      <c r="AQ5" s="78" t="str">
        <f>IF(O5="","",IF(O5&lt;=$AQ$1,"O","X"))</f>
        <v>X</v>
      </c>
      <c r="AR5" s="78" t="str">
        <f>IF(M5="","",IF(M5&lt;=$AR$1,"O","X"))</f>
        <v>O</v>
      </c>
      <c r="AS5" s="78" t="s">
        <v>2</v>
      </c>
      <c r="AT5" s="78" t="str">
        <f>IF(OR(F5="",AI5=""),"",IF(AND((F5&lt;=85),(AI5&gt;=15)),"O","X"))</f>
        <v>O</v>
      </c>
      <c r="AU5" s="78" t="str">
        <f>IF(C5="","",IF(C5&gt;=$AU$1,"O","X"))</f>
        <v>O</v>
      </c>
      <c r="AV5" s="78" t="str">
        <f>IF(AO5="","",IF(AND(AO5="O",AP5="O",AR5="O",AT5="O",AU5="O"),"후보","X"))</f>
        <v>후보</v>
      </c>
    </row>
    <row r="6" spans="1:60" s="37" customFormat="1" ht="12" x14ac:dyDescent="0.3">
      <c r="A6" s="73" t="s">
        <v>1659</v>
      </c>
      <c r="B6" s="74" t="s">
        <v>1658</v>
      </c>
      <c r="C6" s="84">
        <v>319</v>
      </c>
      <c r="D6" s="85">
        <v>106.4</v>
      </c>
      <c r="E6" s="86">
        <v>32</v>
      </c>
      <c r="F6" s="85">
        <v>76.599999999999994</v>
      </c>
      <c r="G6" s="17">
        <v>23</v>
      </c>
      <c r="H6" s="87">
        <v>117</v>
      </c>
      <c r="I6" s="88">
        <v>37000</v>
      </c>
      <c r="J6" s="88" t="s">
        <v>82</v>
      </c>
      <c r="K6" s="88">
        <v>33000</v>
      </c>
      <c r="L6" s="88" t="s">
        <v>87</v>
      </c>
      <c r="M6" s="89">
        <f>I6-K6</f>
        <v>4000</v>
      </c>
      <c r="N6" s="4">
        <f>IF(ISERROR(K6/I6),"",K6/I6)</f>
        <v>0.89189189189189189</v>
      </c>
      <c r="O6" s="90">
        <f>I6/E6</f>
        <v>1156.25</v>
      </c>
      <c r="P6" s="90">
        <f>K6/E6</f>
        <v>1031.25</v>
      </c>
      <c r="Q6" s="78">
        <v>3</v>
      </c>
      <c r="R6" s="78">
        <v>2</v>
      </c>
      <c r="S6" s="78" t="s">
        <v>59</v>
      </c>
      <c r="T6" s="5" t="s">
        <v>92</v>
      </c>
      <c r="U6" s="9"/>
      <c r="W6" s="85">
        <f t="shared" si="0"/>
        <v>106.4</v>
      </c>
      <c r="X6" s="86">
        <f t="shared" si="0"/>
        <v>32</v>
      </c>
      <c r="Y6" s="91">
        <f t="shared" si="1"/>
        <v>117</v>
      </c>
      <c r="Z6" s="89">
        <f t="shared" si="1"/>
        <v>37000</v>
      </c>
      <c r="AA6" s="89">
        <f>K6</f>
        <v>33000</v>
      </c>
      <c r="AB6" s="89">
        <f t="shared" si="2"/>
        <v>4000</v>
      </c>
      <c r="AC6" s="4">
        <f t="shared" si="2"/>
        <v>0.89189189189189189</v>
      </c>
      <c r="AD6" s="90">
        <f t="shared" si="2"/>
        <v>1156.25</v>
      </c>
      <c r="AE6" s="78" t="str">
        <f>S6</f>
        <v>계</v>
      </c>
      <c r="AF6" s="78" t="str">
        <f>Q6&amp;"/"&amp;R6</f>
        <v>3/2</v>
      </c>
      <c r="AH6" s="20" t="str">
        <f t="shared" si="3"/>
        <v>덕진동2가 제일오투그란데</v>
      </c>
      <c r="AI6" s="86">
        <f t="shared" si="4"/>
        <v>32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60" s="37" customFormat="1" ht="12" x14ac:dyDescent="0.3">
      <c r="A7" s="73" t="s">
        <v>1666</v>
      </c>
      <c r="B7" s="74" t="s">
        <v>1668</v>
      </c>
      <c r="C7" s="84">
        <v>367</v>
      </c>
      <c r="D7" s="85">
        <v>81.3</v>
      </c>
      <c r="E7" s="86">
        <v>25</v>
      </c>
      <c r="F7" s="85">
        <v>60</v>
      </c>
      <c r="G7" s="17">
        <v>18</v>
      </c>
      <c r="H7" s="87">
        <v>94</v>
      </c>
      <c r="I7" s="88">
        <v>31000</v>
      </c>
      <c r="J7" s="88" t="s">
        <v>83</v>
      </c>
      <c r="K7" s="88">
        <v>27000</v>
      </c>
      <c r="L7" s="88" t="s">
        <v>99</v>
      </c>
      <c r="M7" s="89">
        <f t="shared" ref="M7" si="5">I7-K7</f>
        <v>4000</v>
      </c>
      <c r="N7" s="4">
        <f t="shared" ref="N7" si="6">IF(ISERROR(K7/I7),"",K7/I7)</f>
        <v>0.87096774193548387</v>
      </c>
      <c r="O7" s="90">
        <f t="shared" ref="O7" si="7">I7/E7</f>
        <v>1240</v>
      </c>
      <c r="P7" s="90">
        <f t="shared" ref="P7" si="8">K7/E7</f>
        <v>1080</v>
      </c>
      <c r="Q7" s="78">
        <v>3</v>
      </c>
      <c r="R7" s="78">
        <v>2</v>
      </c>
      <c r="S7" s="78" t="s">
        <v>59</v>
      </c>
      <c r="T7" s="5" t="s">
        <v>100</v>
      </c>
      <c r="U7" s="9"/>
      <c r="W7" s="85">
        <f t="shared" si="0"/>
        <v>81.3</v>
      </c>
      <c r="X7" s="86">
        <f t="shared" si="0"/>
        <v>25</v>
      </c>
      <c r="Y7" s="91">
        <f t="shared" si="1"/>
        <v>94</v>
      </c>
      <c r="Z7" s="89">
        <f t="shared" si="1"/>
        <v>31000</v>
      </c>
      <c r="AA7" s="89">
        <f t="shared" ref="AA7" si="9">K7</f>
        <v>27000</v>
      </c>
      <c r="AB7" s="89">
        <f t="shared" si="2"/>
        <v>4000</v>
      </c>
      <c r="AC7" s="4">
        <f t="shared" si="2"/>
        <v>0.87096774193548387</v>
      </c>
      <c r="AD7" s="90">
        <f t="shared" si="2"/>
        <v>1240</v>
      </c>
      <c r="AE7" s="78" t="str">
        <f t="shared" ref="AE7" si="10">S7</f>
        <v>계</v>
      </c>
      <c r="AF7" s="78" t="str">
        <f t="shared" ref="AF7" si="11">Q7&amp;"/"&amp;R7</f>
        <v>3/2</v>
      </c>
      <c r="AH7" s="20" t="str">
        <f t="shared" si="3"/>
        <v>덕진동2가 전주덕진휴먼빌2차</v>
      </c>
      <c r="AI7" s="86">
        <f t="shared" si="4"/>
        <v>25</v>
      </c>
      <c r="AJ7" s="78" t="str">
        <f t="shared" ref="AJ7" si="12">IF(AI7="","",$AJ$2)</f>
        <v>A-</v>
      </c>
      <c r="AK7" s="78" t="s">
        <v>13</v>
      </c>
      <c r="AL7" s="78" t="s">
        <v>61</v>
      </c>
      <c r="AM7" s="78" t="s">
        <v>62</v>
      </c>
      <c r="AN7" s="78" t="str">
        <f t="shared" ref="AN7" si="13">IF(AI7="","",$AN$2)</f>
        <v>C</v>
      </c>
      <c r="AO7" s="78" t="str">
        <f t="shared" ref="AO7" si="14">IF(N7="","",IF(N7&gt;=$AO$1/100,"O","X"))</f>
        <v>O</v>
      </c>
      <c r="AP7" s="78" t="str">
        <f t="shared" ref="AP7" si="15">IF(I7="","",IF(I7&lt;=$AP$1,"O","X"))</f>
        <v>O</v>
      </c>
      <c r="AQ7" s="78" t="str">
        <f t="shared" ref="AQ7" si="16">IF(O7="","",IF(O7&lt;=$AQ$1,"O","X"))</f>
        <v>X</v>
      </c>
      <c r="AR7" s="78" t="str">
        <f t="shared" ref="AR7" si="17">IF(M7="","",IF(M7&lt;=$AR$1,"O","X"))</f>
        <v>O</v>
      </c>
      <c r="AS7" s="78" t="s">
        <v>2</v>
      </c>
      <c r="AT7" s="78" t="str">
        <f t="shared" ref="AT7" si="18">IF(OR(F7="",AI7=""),"",IF(AND((F7&lt;=85),(AI7&gt;=15)),"O","X"))</f>
        <v>O</v>
      </c>
      <c r="AU7" s="78" t="str">
        <f t="shared" ref="AU7" si="19">IF(C7="","",IF(C7&gt;=$AU$1,"O","X"))</f>
        <v>O</v>
      </c>
      <c r="AV7" s="78" t="str">
        <f t="shared" ref="AV7" si="20">IF(AO7="","",IF(AND(AO7="O",AP7="O",AR7="O",AT7="O",AU7="O"),"후보","X"))</f>
        <v>후보</v>
      </c>
    </row>
    <row r="8" spans="1:60" s="37" customFormat="1" ht="12" x14ac:dyDescent="0.3">
      <c r="A8" s="73" t="s">
        <v>1805</v>
      </c>
      <c r="B8" s="74" t="s">
        <v>1671</v>
      </c>
      <c r="C8" s="84">
        <v>711</v>
      </c>
      <c r="D8" s="85">
        <v>84</v>
      </c>
      <c r="E8" s="86">
        <v>25</v>
      </c>
      <c r="F8" s="85">
        <v>60</v>
      </c>
      <c r="G8" s="17">
        <v>18</v>
      </c>
      <c r="H8" s="87">
        <v>546</v>
      </c>
      <c r="I8" s="88">
        <v>35000</v>
      </c>
      <c r="J8" s="88" t="s">
        <v>93</v>
      </c>
      <c r="K8" s="88">
        <v>31000</v>
      </c>
      <c r="L8" s="88" t="s">
        <v>111</v>
      </c>
      <c r="M8" s="89">
        <f>I8-K8</f>
        <v>4000</v>
      </c>
      <c r="N8" s="4">
        <f>IF(ISERROR(K8/I8),"",K8/I8)</f>
        <v>0.88571428571428568</v>
      </c>
      <c r="O8" s="90">
        <f>I8/E8</f>
        <v>1400</v>
      </c>
      <c r="P8" s="90">
        <f>K8/E8</f>
        <v>1240</v>
      </c>
      <c r="Q8" s="78">
        <v>3</v>
      </c>
      <c r="R8" s="78">
        <v>2</v>
      </c>
      <c r="S8" s="78" t="s">
        <v>59</v>
      </c>
      <c r="T8" s="5" t="s">
        <v>60</v>
      </c>
      <c r="U8" s="9"/>
      <c r="W8" s="85">
        <f t="shared" si="0"/>
        <v>84</v>
      </c>
      <c r="X8" s="86">
        <f t="shared" si="0"/>
        <v>25</v>
      </c>
      <c r="Y8" s="91">
        <f t="shared" si="1"/>
        <v>546</v>
      </c>
      <c r="Z8" s="89">
        <f t="shared" si="1"/>
        <v>35000</v>
      </c>
      <c r="AA8" s="89">
        <f>K8</f>
        <v>31000</v>
      </c>
      <c r="AB8" s="89">
        <f t="shared" si="2"/>
        <v>4000</v>
      </c>
      <c r="AC8" s="4">
        <f t="shared" si="2"/>
        <v>0.88571428571428568</v>
      </c>
      <c r="AD8" s="90">
        <f t="shared" si="2"/>
        <v>1400</v>
      </c>
      <c r="AE8" s="78" t="str">
        <f>S8</f>
        <v>계</v>
      </c>
      <c r="AF8" s="78" t="str">
        <f>Q8&amp;"/"&amp;R8</f>
        <v>3/2</v>
      </c>
      <c r="AH8" s="20" t="str">
        <f t="shared" si="3"/>
        <v>만성동 LH퍼스트리움</v>
      </c>
      <c r="AI8" s="86">
        <f t="shared" si="4"/>
        <v>25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O</v>
      </c>
      <c r="AP8" s="78" t="str">
        <f>IF(I8="","",IF(I8&lt;=$AP$1,"O","X"))</f>
        <v>O</v>
      </c>
      <c r="AQ8" s="78" t="str">
        <f>IF(O8="","",IF(O8&lt;=$AQ$1,"O","X"))</f>
        <v>X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후보</v>
      </c>
    </row>
    <row r="9" spans="1:60" s="37" customFormat="1" ht="12" x14ac:dyDescent="0.3">
      <c r="A9" s="73" t="s">
        <v>1806</v>
      </c>
      <c r="B9" s="74" t="s">
        <v>1671</v>
      </c>
      <c r="C9" s="84">
        <v>711</v>
      </c>
      <c r="D9" s="85">
        <v>84</v>
      </c>
      <c r="E9" s="86">
        <v>25</v>
      </c>
      <c r="F9" s="85">
        <v>60</v>
      </c>
      <c r="G9" s="17">
        <v>18</v>
      </c>
      <c r="H9" s="87">
        <v>55</v>
      </c>
      <c r="I9" s="88">
        <v>35000</v>
      </c>
      <c r="J9" s="88" t="s">
        <v>93</v>
      </c>
      <c r="K9" s="88">
        <v>31000</v>
      </c>
      <c r="L9" s="88" t="s">
        <v>111</v>
      </c>
      <c r="M9" s="89">
        <f>I9-K9</f>
        <v>4000</v>
      </c>
      <c r="N9" s="4">
        <f>IF(ISERROR(K9/I9),"",K9/I9)</f>
        <v>0.88571428571428568</v>
      </c>
      <c r="O9" s="90">
        <f>I9/E9</f>
        <v>1400</v>
      </c>
      <c r="P9" s="90">
        <f>K9/E9</f>
        <v>1240</v>
      </c>
      <c r="Q9" s="78">
        <v>3</v>
      </c>
      <c r="R9" s="78">
        <v>2</v>
      </c>
      <c r="S9" s="78" t="s">
        <v>59</v>
      </c>
      <c r="T9" s="5" t="s">
        <v>105</v>
      </c>
      <c r="U9" s="9"/>
      <c r="W9" s="85">
        <f t="shared" si="0"/>
        <v>84</v>
      </c>
      <c r="X9" s="86">
        <f t="shared" si="0"/>
        <v>25</v>
      </c>
      <c r="Y9" s="91">
        <f t="shared" si="1"/>
        <v>55</v>
      </c>
      <c r="Z9" s="89">
        <f t="shared" si="1"/>
        <v>35000</v>
      </c>
      <c r="AA9" s="89">
        <f>K9</f>
        <v>31000</v>
      </c>
      <c r="AB9" s="89">
        <f t="shared" si="2"/>
        <v>4000</v>
      </c>
      <c r="AC9" s="4">
        <f t="shared" si="2"/>
        <v>0.88571428571428568</v>
      </c>
      <c r="AD9" s="90">
        <f t="shared" si="2"/>
        <v>1400</v>
      </c>
      <c r="AE9" s="78" t="str">
        <f>S9</f>
        <v>계</v>
      </c>
      <c r="AF9" s="78" t="str">
        <f>Q9&amp;"/"&amp;R9</f>
        <v>3/2</v>
      </c>
      <c r="AH9" s="20" t="str">
        <f t="shared" si="3"/>
        <v>만성동 LH퍼스트리움</v>
      </c>
      <c r="AI9" s="86">
        <f t="shared" si="4"/>
        <v>25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>O</v>
      </c>
      <c r="AP9" s="78" t="str">
        <f>IF(I9="","",IF(I9&lt;=$AP$1,"O","X"))</f>
        <v>O</v>
      </c>
      <c r="AQ9" s="78" t="str">
        <f>IF(O9="","",IF(O9&lt;=$AQ$1,"O","X"))</f>
        <v>X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후보</v>
      </c>
    </row>
    <row r="10" spans="1:60" s="37" customFormat="1" ht="12" x14ac:dyDescent="0.3">
      <c r="A10" s="73" t="s">
        <v>1807</v>
      </c>
      <c r="B10" s="74" t="s">
        <v>1671</v>
      </c>
      <c r="C10" s="84">
        <v>711</v>
      </c>
      <c r="D10" s="85">
        <v>84</v>
      </c>
      <c r="E10" s="86">
        <v>25</v>
      </c>
      <c r="F10" s="85">
        <v>60</v>
      </c>
      <c r="G10" s="17">
        <v>18</v>
      </c>
      <c r="H10" s="87">
        <v>55</v>
      </c>
      <c r="I10" s="88">
        <v>35000</v>
      </c>
      <c r="J10" s="88" t="s">
        <v>93</v>
      </c>
      <c r="K10" s="88">
        <v>31000</v>
      </c>
      <c r="L10" s="88" t="s">
        <v>111</v>
      </c>
      <c r="M10" s="89">
        <f>I10-K10</f>
        <v>4000</v>
      </c>
      <c r="N10" s="4">
        <f>IF(ISERROR(K10/I10),"",K10/I10)</f>
        <v>0.88571428571428568</v>
      </c>
      <c r="O10" s="90">
        <f>I10/E10</f>
        <v>1400</v>
      </c>
      <c r="P10" s="90">
        <f>K10/E10</f>
        <v>1240</v>
      </c>
      <c r="Q10" s="78">
        <v>3</v>
      </c>
      <c r="R10" s="78">
        <v>2</v>
      </c>
      <c r="S10" s="78" t="s">
        <v>59</v>
      </c>
      <c r="T10" s="5" t="s">
        <v>106</v>
      </c>
      <c r="U10" s="9"/>
      <c r="W10" s="85">
        <f t="shared" si="0"/>
        <v>84</v>
      </c>
      <c r="X10" s="86">
        <f t="shared" si="0"/>
        <v>25</v>
      </c>
      <c r="Y10" s="91">
        <f t="shared" si="1"/>
        <v>55</v>
      </c>
      <c r="Z10" s="89">
        <f t="shared" si="1"/>
        <v>35000</v>
      </c>
      <c r="AA10" s="89">
        <f>K10</f>
        <v>31000</v>
      </c>
      <c r="AB10" s="89">
        <f t="shared" si="2"/>
        <v>4000</v>
      </c>
      <c r="AC10" s="4">
        <f t="shared" si="2"/>
        <v>0.88571428571428568</v>
      </c>
      <c r="AD10" s="90">
        <f t="shared" si="2"/>
        <v>1400</v>
      </c>
      <c r="AE10" s="78" t="str">
        <f>S10</f>
        <v>계</v>
      </c>
      <c r="AF10" s="78" t="str">
        <f>Q10&amp;"/"&amp;R10</f>
        <v>3/2</v>
      </c>
      <c r="AH10" s="20" t="str">
        <f t="shared" si="3"/>
        <v>만성동 LH퍼스트리움</v>
      </c>
      <c r="AI10" s="86">
        <f t="shared" si="4"/>
        <v>25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X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60" s="37" customFormat="1" ht="12" x14ac:dyDescent="0.3">
      <c r="A11" s="73" t="s">
        <v>1808</v>
      </c>
      <c r="B11" s="74" t="s">
        <v>1809</v>
      </c>
      <c r="C11" s="84">
        <v>505</v>
      </c>
      <c r="D11" s="85">
        <v>80.400000000000006</v>
      </c>
      <c r="E11" s="86">
        <v>24</v>
      </c>
      <c r="F11" s="85">
        <v>59.7</v>
      </c>
      <c r="G11" s="17">
        <v>18</v>
      </c>
      <c r="H11" s="87">
        <v>188</v>
      </c>
      <c r="I11" s="88">
        <v>23500</v>
      </c>
      <c r="J11" s="88" t="s">
        <v>69</v>
      </c>
      <c r="K11" s="88">
        <v>21000</v>
      </c>
      <c r="L11" s="88" t="s">
        <v>68</v>
      </c>
      <c r="M11" s="89">
        <f>I11-K11</f>
        <v>2500</v>
      </c>
      <c r="N11" s="4">
        <f>IF(ISERROR(K11/I11),"",K11/I11)</f>
        <v>0.8936170212765957</v>
      </c>
      <c r="O11" s="90">
        <f>I11/E11</f>
        <v>979.16666666666663</v>
      </c>
      <c r="P11" s="90">
        <f>K11/E11</f>
        <v>875</v>
      </c>
      <c r="Q11" s="78">
        <v>3</v>
      </c>
      <c r="R11" s="78">
        <v>2</v>
      </c>
      <c r="S11" s="78" t="s">
        <v>59</v>
      </c>
      <c r="T11" s="5">
        <v>80</v>
      </c>
      <c r="U11" s="9"/>
      <c r="W11" s="85">
        <f t="shared" si="0"/>
        <v>80.400000000000006</v>
      </c>
      <c r="X11" s="86">
        <f t="shared" si="0"/>
        <v>24</v>
      </c>
      <c r="Y11" s="91">
        <f t="shared" si="1"/>
        <v>188</v>
      </c>
      <c r="Z11" s="89">
        <f t="shared" si="1"/>
        <v>23500</v>
      </c>
      <c r="AA11" s="89">
        <f>K11</f>
        <v>21000</v>
      </c>
      <c r="AB11" s="89">
        <f t="shared" si="2"/>
        <v>2500</v>
      </c>
      <c r="AC11" s="4">
        <f t="shared" si="2"/>
        <v>0.8936170212765957</v>
      </c>
      <c r="AD11" s="90">
        <f t="shared" si="2"/>
        <v>979.16666666666663</v>
      </c>
      <c r="AE11" s="78" t="str">
        <f>S11</f>
        <v>계</v>
      </c>
      <c r="AF11" s="78" t="str">
        <f>Q11&amp;"/"&amp;R11</f>
        <v>3/2</v>
      </c>
      <c r="AH11" s="20" t="str">
        <f t="shared" si="3"/>
        <v>반월동 반월세움펠리피아2차</v>
      </c>
      <c r="AI11" s="86">
        <f t="shared" si="4"/>
        <v>24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O</v>
      </c>
      <c r="AP11" s="78" t="str">
        <f>IF(I11="","",IF(I11&lt;=$AP$1,"O","X"))</f>
        <v>O</v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후보</v>
      </c>
    </row>
    <row r="12" spans="1:60" s="37" customFormat="1" ht="12" x14ac:dyDescent="0.3">
      <c r="A12" s="73" t="s">
        <v>1810</v>
      </c>
      <c r="B12" s="74" t="s">
        <v>1679</v>
      </c>
      <c r="C12" s="84">
        <v>418</v>
      </c>
      <c r="D12" s="85">
        <v>107.3</v>
      </c>
      <c r="E12" s="86">
        <v>32</v>
      </c>
      <c r="F12" s="85">
        <v>84.5</v>
      </c>
      <c r="G12" s="17">
        <v>26</v>
      </c>
      <c r="H12" s="87">
        <v>204</v>
      </c>
      <c r="I12" s="88">
        <v>14000</v>
      </c>
      <c r="J12" s="88" t="s">
        <v>107</v>
      </c>
      <c r="K12" s="88">
        <v>17000</v>
      </c>
      <c r="L12" s="88" t="s">
        <v>68</v>
      </c>
      <c r="M12" s="89">
        <f>I12-K12</f>
        <v>-3000</v>
      </c>
      <c r="N12" s="4">
        <f>IF(ISERROR(K12/I12),"",K12/I12)</f>
        <v>1.2142857142857142</v>
      </c>
      <c r="O12" s="90">
        <f>I12/E12</f>
        <v>437.5</v>
      </c>
      <c r="P12" s="90">
        <f>K12/E12</f>
        <v>531.25</v>
      </c>
      <c r="Q12" s="78">
        <v>3</v>
      </c>
      <c r="R12" s="78">
        <v>2</v>
      </c>
      <c r="S12" s="78" t="s">
        <v>59</v>
      </c>
      <c r="T12" s="5">
        <v>107</v>
      </c>
      <c r="U12" s="9"/>
      <c r="W12" s="85">
        <f t="shared" si="0"/>
        <v>107.3</v>
      </c>
      <c r="X12" s="86">
        <f t="shared" si="0"/>
        <v>32</v>
      </c>
      <c r="Y12" s="91">
        <f t="shared" si="1"/>
        <v>204</v>
      </c>
      <c r="Z12" s="89">
        <f t="shared" si="1"/>
        <v>14000</v>
      </c>
      <c r="AA12" s="89">
        <f>K12</f>
        <v>17000</v>
      </c>
      <c r="AB12" s="89">
        <f t="shared" si="2"/>
        <v>-3000</v>
      </c>
      <c r="AC12" s="4">
        <f t="shared" si="2"/>
        <v>1.2142857142857142</v>
      </c>
      <c r="AD12" s="90">
        <f t="shared" si="2"/>
        <v>437.5</v>
      </c>
      <c r="AE12" s="78" t="str">
        <f>S12</f>
        <v>계</v>
      </c>
      <c r="AF12" s="78" t="str">
        <f>Q12&amp;"/"&amp;R12</f>
        <v>3/2</v>
      </c>
      <c r="AH12" s="20" t="str">
        <f t="shared" si="3"/>
        <v>반월동 삼오</v>
      </c>
      <c r="AI12" s="86">
        <f t="shared" si="4"/>
        <v>32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O</v>
      </c>
      <c r="AP12" s="78" t="str">
        <f>IF(I12="","",IF(I12&lt;=$AP$1,"O","X"))</f>
        <v>O</v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후보</v>
      </c>
    </row>
    <row r="13" spans="1:60" s="37" customFormat="1" ht="12" x14ac:dyDescent="0.3">
      <c r="A13" s="73" t="s">
        <v>1811</v>
      </c>
      <c r="B13" s="74" t="s">
        <v>1812</v>
      </c>
      <c r="C13" s="84">
        <v>417</v>
      </c>
      <c r="D13" s="85">
        <v>76.599999999999994</v>
      </c>
      <c r="E13" s="86">
        <v>23</v>
      </c>
      <c r="F13" s="85">
        <v>59.8</v>
      </c>
      <c r="G13" s="17">
        <v>18</v>
      </c>
      <c r="H13" s="87">
        <v>198</v>
      </c>
      <c r="I13" s="88">
        <v>13500</v>
      </c>
      <c r="J13" s="88" t="s">
        <v>107</v>
      </c>
      <c r="K13" s="88">
        <v>14000</v>
      </c>
      <c r="L13" s="88" t="s">
        <v>107</v>
      </c>
      <c r="M13" s="89">
        <f t="shared" ref="M13" si="21">I13-K13</f>
        <v>-500</v>
      </c>
      <c r="N13" s="4">
        <f t="shared" ref="N13" si="22">IF(ISERROR(K13/I13),"",K13/I13)</f>
        <v>1.037037037037037</v>
      </c>
      <c r="O13" s="90">
        <f t="shared" ref="O13" si="23">I13/E13</f>
        <v>586.95652173913038</v>
      </c>
      <c r="P13" s="90">
        <f t="shared" ref="P13" si="24">K13/E13</f>
        <v>608.695652173913</v>
      </c>
      <c r="Q13" s="78">
        <v>3</v>
      </c>
      <c r="R13" s="78">
        <v>1</v>
      </c>
      <c r="S13" s="78" t="s">
        <v>59</v>
      </c>
      <c r="T13" s="5">
        <v>76</v>
      </c>
      <c r="U13" s="9"/>
      <c r="W13" s="85">
        <f t="shared" si="0"/>
        <v>76.599999999999994</v>
      </c>
      <c r="X13" s="86">
        <f t="shared" si="0"/>
        <v>23</v>
      </c>
      <c r="Y13" s="91">
        <f t="shared" si="1"/>
        <v>198</v>
      </c>
      <c r="Z13" s="89">
        <f t="shared" si="1"/>
        <v>13500</v>
      </c>
      <c r="AA13" s="89">
        <f t="shared" ref="AA13" si="25">K13</f>
        <v>14000</v>
      </c>
      <c r="AB13" s="89">
        <f t="shared" si="2"/>
        <v>-500</v>
      </c>
      <c r="AC13" s="4">
        <f t="shared" si="2"/>
        <v>1.037037037037037</v>
      </c>
      <c r="AD13" s="90">
        <f t="shared" si="2"/>
        <v>586.95652173913038</v>
      </c>
      <c r="AE13" s="78" t="str">
        <f t="shared" ref="AE13" si="26">S13</f>
        <v>계</v>
      </c>
      <c r="AF13" s="78" t="str">
        <f t="shared" ref="AF13" si="27">Q13&amp;"/"&amp;R13</f>
        <v>3/1</v>
      </c>
      <c r="AH13" s="20" t="str">
        <f t="shared" si="3"/>
        <v>송천동1가 송천우림</v>
      </c>
      <c r="AI13" s="86">
        <f t="shared" si="4"/>
        <v>23</v>
      </c>
      <c r="AJ13" s="78" t="str">
        <f t="shared" ref="AJ13" si="28"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 t="shared" ref="AN13" si="29">IF(AI13="","",$AN$2)</f>
        <v>C</v>
      </c>
      <c r="AO13" s="78" t="str">
        <f t="shared" ref="AO13" si="30">IF(N13="","",IF(N13&gt;=$AO$1/100,"O","X"))</f>
        <v>O</v>
      </c>
      <c r="AP13" s="78" t="str">
        <f t="shared" ref="AP13" si="31">IF(I13="","",IF(I13&lt;=$AP$1,"O","X"))</f>
        <v>O</v>
      </c>
      <c r="AQ13" s="78" t="str">
        <f t="shared" ref="AQ13" si="32">IF(O13="","",IF(O13&lt;=$AQ$1,"O","X"))</f>
        <v>O</v>
      </c>
      <c r="AR13" s="78" t="str">
        <f t="shared" ref="AR13" si="33">IF(M13="","",IF(M13&lt;=$AR$1,"O","X"))</f>
        <v>O</v>
      </c>
      <c r="AS13" s="78" t="s">
        <v>2</v>
      </c>
      <c r="AT13" s="78" t="str">
        <f t="shared" ref="AT13" si="34">IF(OR(F13="",AI13=""),"",IF(AND((F13&lt;=85),(AI13&gt;=15)),"O","X"))</f>
        <v>O</v>
      </c>
      <c r="AU13" s="78" t="str">
        <f t="shared" ref="AU13" si="35">IF(C13="","",IF(C13&gt;=$AU$1,"O","X"))</f>
        <v>O</v>
      </c>
      <c r="AV13" s="78" t="str">
        <f t="shared" ref="AV13" si="36">IF(AO13="","",IF(AND(AO13="O",AP13="O",AR13="O",AT13="O",AU13="O"),"후보","X"))</f>
        <v>후보</v>
      </c>
    </row>
    <row r="14" spans="1:60" s="37" customFormat="1" ht="12" x14ac:dyDescent="0.3">
      <c r="A14" s="73" t="s">
        <v>1813</v>
      </c>
      <c r="B14" s="74" t="s">
        <v>1814</v>
      </c>
      <c r="C14" s="84">
        <v>394</v>
      </c>
      <c r="D14" s="85">
        <v>84.7</v>
      </c>
      <c r="E14" s="86">
        <v>26</v>
      </c>
      <c r="F14" s="85">
        <v>59.9</v>
      </c>
      <c r="G14" s="17">
        <v>18</v>
      </c>
      <c r="H14" s="87">
        <v>174</v>
      </c>
      <c r="I14" s="88">
        <v>12000</v>
      </c>
      <c r="J14" s="88" t="s">
        <v>68</v>
      </c>
      <c r="K14" s="88">
        <v>12000</v>
      </c>
      <c r="L14" s="88" t="s">
        <v>108</v>
      </c>
      <c r="M14" s="89">
        <f>I14-K14</f>
        <v>0</v>
      </c>
      <c r="N14" s="4">
        <f>IF(ISERROR(K14/I14),"",K14/I14)</f>
        <v>1</v>
      </c>
      <c r="O14" s="90">
        <f>I14/E14</f>
        <v>461.53846153846155</v>
      </c>
      <c r="P14" s="90">
        <f>K14/E14</f>
        <v>461.53846153846155</v>
      </c>
      <c r="Q14" s="78">
        <v>2</v>
      </c>
      <c r="R14" s="78">
        <v>1</v>
      </c>
      <c r="S14" s="78" t="s">
        <v>59</v>
      </c>
      <c r="T14" s="5">
        <v>84</v>
      </c>
      <c r="U14" s="9"/>
      <c r="W14" s="85">
        <f t="shared" si="0"/>
        <v>84.7</v>
      </c>
      <c r="X14" s="86">
        <f t="shared" si="0"/>
        <v>26</v>
      </c>
      <c r="Y14" s="91">
        <f t="shared" si="1"/>
        <v>174</v>
      </c>
      <c r="Z14" s="89">
        <f t="shared" si="1"/>
        <v>12000</v>
      </c>
      <c r="AA14" s="89">
        <f>K14</f>
        <v>12000</v>
      </c>
      <c r="AB14" s="89">
        <f t="shared" si="2"/>
        <v>0</v>
      </c>
      <c r="AC14" s="4">
        <f t="shared" si="2"/>
        <v>1</v>
      </c>
      <c r="AD14" s="90">
        <f t="shared" si="2"/>
        <v>461.53846153846155</v>
      </c>
      <c r="AE14" s="78" t="str">
        <f>S14</f>
        <v>계</v>
      </c>
      <c r="AF14" s="78" t="str">
        <f>Q14&amp;"/"&amp;R14</f>
        <v>2/1</v>
      </c>
      <c r="AH14" s="20" t="str">
        <f t="shared" si="3"/>
        <v>송천동1가 서호2단지</v>
      </c>
      <c r="AI14" s="86">
        <f t="shared" si="4"/>
        <v>26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O</v>
      </c>
      <c r="AP14" s="78" t="str">
        <f>IF(I14="","",IF(I14&lt;=$AP$1,"O","X"))</f>
        <v>O</v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후보</v>
      </c>
    </row>
    <row r="15" spans="1:60" s="37" customFormat="1" ht="12" x14ac:dyDescent="0.3">
      <c r="A15" s="73" t="s">
        <v>1684</v>
      </c>
      <c r="B15" s="74" t="s">
        <v>1815</v>
      </c>
      <c r="C15" s="84">
        <v>464</v>
      </c>
      <c r="D15" s="85">
        <v>110.1</v>
      </c>
      <c r="E15" s="86">
        <v>33</v>
      </c>
      <c r="F15" s="85">
        <v>85</v>
      </c>
      <c r="G15" s="17">
        <v>26</v>
      </c>
      <c r="H15" s="87">
        <v>160</v>
      </c>
      <c r="I15" s="88">
        <v>35500</v>
      </c>
      <c r="J15" s="88" t="s">
        <v>68</v>
      </c>
      <c r="K15" s="88">
        <v>33000</v>
      </c>
      <c r="L15" s="88" t="s">
        <v>68</v>
      </c>
      <c r="M15" s="89">
        <f>I15-K15</f>
        <v>2500</v>
      </c>
      <c r="N15" s="4">
        <f>IF(ISERROR(K15/I15),"",K15/I15)</f>
        <v>0.92957746478873238</v>
      </c>
      <c r="O15" s="90">
        <f>I15/E15</f>
        <v>1075.7575757575758</v>
      </c>
      <c r="P15" s="90">
        <f>K15/E15</f>
        <v>1000</v>
      </c>
      <c r="Q15" s="78">
        <v>3</v>
      </c>
      <c r="R15" s="78">
        <v>2</v>
      </c>
      <c r="S15" s="78" t="s">
        <v>59</v>
      </c>
      <c r="T15" s="5" t="s">
        <v>91</v>
      </c>
      <c r="U15" s="9"/>
      <c r="W15" s="85">
        <f t="shared" si="0"/>
        <v>110.1</v>
      </c>
      <c r="X15" s="86">
        <f t="shared" si="0"/>
        <v>33</v>
      </c>
      <c r="Y15" s="91">
        <f t="shared" si="1"/>
        <v>160</v>
      </c>
      <c r="Z15" s="89">
        <f t="shared" si="1"/>
        <v>35500</v>
      </c>
      <c r="AA15" s="89">
        <f>K15</f>
        <v>33000</v>
      </c>
      <c r="AB15" s="89">
        <f t="shared" si="2"/>
        <v>2500</v>
      </c>
      <c r="AC15" s="4">
        <f t="shared" si="2"/>
        <v>0.92957746478873238</v>
      </c>
      <c r="AD15" s="90">
        <f t="shared" si="2"/>
        <v>1075.7575757575758</v>
      </c>
      <c r="AE15" s="78" t="str">
        <f>S15</f>
        <v>계</v>
      </c>
      <c r="AF15" s="78" t="str">
        <f>Q15&amp;"/"&amp;R15</f>
        <v>3/2</v>
      </c>
      <c r="AH15" s="20" t="str">
        <f t="shared" si="3"/>
        <v>송천동1가 벽산e-리버파크</v>
      </c>
      <c r="AI15" s="86">
        <f t="shared" si="4"/>
        <v>33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O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후보</v>
      </c>
    </row>
    <row r="16" spans="1:60" s="37" customFormat="1" ht="12" x14ac:dyDescent="0.3">
      <c r="A16" s="73" t="s">
        <v>1686</v>
      </c>
      <c r="B16" s="74" t="s">
        <v>1685</v>
      </c>
      <c r="C16" s="84">
        <v>782</v>
      </c>
      <c r="D16" s="85">
        <v>90.9</v>
      </c>
      <c r="E16" s="86">
        <v>28</v>
      </c>
      <c r="F16" s="85">
        <v>75.2</v>
      </c>
      <c r="G16" s="17">
        <v>23</v>
      </c>
      <c r="H16" s="87">
        <v>165</v>
      </c>
      <c r="I16" s="88">
        <v>14000</v>
      </c>
      <c r="J16" s="88" t="s">
        <v>127</v>
      </c>
      <c r="K16" s="88">
        <v>12000</v>
      </c>
      <c r="L16" s="88" t="s">
        <v>72</v>
      </c>
      <c r="M16" s="89">
        <f>I16-K16</f>
        <v>2000</v>
      </c>
      <c r="N16" s="4">
        <f>IF(ISERROR(K16/I16),"",K16/I16)</f>
        <v>0.8571428571428571</v>
      </c>
      <c r="O16" s="90">
        <f>I16/E16</f>
        <v>500</v>
      </c>
      <c r="P16" s="90">
        <f>K16/E16</f>
        <v>428.57142857142856</v>
      </c>
      <c r="Q16" s="78">
        <v>3</v>
      </c>
      <c r="R16" s="78">
        <v>1</v>
      </c>
      <c r="S16" s="78" t="s">
        <v>59</v>
      </c>
      <c r="T16" s="5" t="s">
        <v>133</v>
      </c>
      <c r="U16" s="9"/>
      <c r="W16" s="85">
        <f t="shared" si="0"/>
        <v>90.9</v>
      </c>
      <c r="X16" s="86">
        <f t="shared" si="0"/>
        <v>28</v>
      </c>
      <c r="Y16" s="91">
        <f t="shared" si="1"/>
        <v>165</v>
      </c>
      <c r="Z16" s="89">
        <f t="shared" si="1"/>
        <v>14000</v>
      </c>
      <c r="AA16" s="89">
        <f>K16</f>
        <v>12000</v>
      </c>
      <c r="AB16" s="89">
        <f t="shared" si="2"/>
        <v>2000</v>
      </c>
      <c r="AC16" s="4">
        <f t="shared" si="2"/>
        <v>0.8571428571428571</v>
      </c>
      <c r="AD16" s="90">
        <f t="shared" si="2"/>
        <v>500</v>
      </c>
      <c r="AE16" s="78" t="str">
        <f>S16</f>
        <v>계</v>
      </c>
      <c r="AF16" s="78" t="str">
        <f>Q16&amp;"/"&amp;R16</f>
        <v>3/1</v>
      </c>
      <c r="AH16" s="20" t="str">
        <f t="shared" si="3"/>
        <v>송천동1가 한양</v>
      </c>
      <c r="AI16" s="86">
        <f t="shared" si="4"/>
        <v>28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O</v>
      </c>
      <c r="AP16" s="78" t="str">
        <f>IF(I16="","",IF(I16&lt;=$AP$1,"O","X"))</f>
        <v>O</v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후보</v>
      </c>
    </row>
    <row r="17" spans="1:48" s="37" customFormat="1" ht="12" x14ac:dyDescent="0.3">
      <c r="A17" s="73" t="s">
        <v>1686</v>
      </c>
      <c r="B17" s="74" t="s">
        <v>1685</v>
      </c>
      <c r="C17" s="84">
        <v>782</v>
      </c>
      <c r="D17" s="85">
        <v>102.3</v>
      </c>
      <c r="E17" s="86">
        <v>31</v>
      </c>
      <c r="F17" s="85">
        <v>84.6</v>
      </c>
      <c r="G17" s="17">
        <v>26</v>
      </c>
      <c r="H17" s="87">
        <v>395</v>
      </c>
      <c r="I17" s="88">
        <v>16000</v>
      </c>
      <c r="J17" s="88" t="s">
        <v>72</v>
      </c>
      <c r="K17" s="88">
        <v>16000</v>
      </c>
      <c r="L17" s="88" t="s">
        <v>104</v>
      </c>
      <c r="M17" s="89">
        <f>I17-K17</f>
        <v>0</v>
      </c>
      <c r="N17" s="4">
        <f>IF(ISERROR(K17/I17),"",K17/I17)</f>
        <v>1</v>
      </c>
      <c r="O17" s="90">
        <f>I17/E17</f>
        <v>516.12903225806451</v>
      </c>
      <c r="P17" s="90">
        <f>K17/E17</f>
        <v>516.12903225806451</v>
      </c>
      <c r="Q17" s="78">
        <v>3</v>
      </c>
      <c r="R17" s="78">
        <v>2</v>
      </c>
      <c r="S17" s="78" t="s">
        <v>59</v>
      </c>
      <c r="T17" s="5" t="s">
        <v>135</v>
      </c>
      <c r="U17" s="9"/>
      <c r="W17" s="85">
        <f t="shared" si="0"/>
        <v>102.3</v>
      </c>
      <c r="X17" s="86">
        <f t="shared" si="0"/>
        <v>31</v>
      </c>
      <c r="Y17" s="91">
        <f t="shared" si="1"/>
        <v>395</v>
      </c>
      <c r="Z17" s="89">
        <f t="shared" si="1"/>
        <v>16000</v>
      </c>
      <c r="AA17" s="89">
        <f>K17</f>
        <v>16000</v>
      </c>
      <c r="AB17" s="89">
        <f t="shared" si="2"/>
        <v>0</v>
      </c>
      <c r="AC17" s="4">
        <f t="shared" si="2"/>
        <v>1</v>
      </c>
      <c r="AD17" s="90">
        <f t="shared" si="2"/>
        <v>516.12903225806451</v>
      </c>
      <c r="AE17" s="78" t="str">
        <f>S17</f>
        <v>계</v>
      </c>
      <c r="AF17" s="78" t="str">
        <f>Q17&amp;"/"&amp;R17</f>
        <v>3/2</v>
      </c>
      <c r="AH17" s="20" t="str">
        <f t="shared" si="3"/>
        <v>송천동1가 한양</v>
      </c>
      <c r="AI17" s="86">
        <f t="shared" si="4"/>
        <v>31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O</v>
      </c>
      <c r="AP17" s="78" t="str">
        <f>IF(I17="","",IF(I17&lt;=$AP$1,"O","X"))</f>
        <v>O</v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후보</v>
      </c>
    </row>
    <row r="18" spans="1:48" s="37" customFormat="1" ht="12" x14ac:dyDescent="0.3">
      <c r="A18" s="73" t="s">
        <v>1816</v>
      </c>
      <c r="B18" s="74" t="s">
        <v>1682</v>
      </c>
      <c r="C18" s="84">
        <v>900</v>
      </c>
      <c r="D18" s="85">
        <v>114.7</v>
      </c>
      <c r="E18" s="86">
        <v>35</v>
      </c>
      <c r="F18" s="85">
        <v>85</v>
      </c>
      <c r="G18" s="17">
        <v>26</v>
      </c>
      <c r="H18" s="87">
        <v>612</v>
      </c>
      <c r="I18" s="88">
        <v>39000</v>
      </c>
      <c r="J18" s="88" t="s">
        <v>131</v>
      </c>
      <c r="K18" s="88">
        <v>35000</v>
      </c>
      <c r="L18" s="88" t="s">
        <v>72</v>
      </c>
      <c r="M18" s="89">
        <f>I18-K18</f>
        <v>4000</v>
      </c>
      <c r="N18" s="4">
        <f>IF(ISERROR(K18/I18),"",K18/I18)</f>
        <v>0.89743589743589747</v>
      </c>
      <c r="O18" s="90">
        <f>I18/E18</f>
        <v>1114.2857142857142</v>
      </c>
      <c r="P18" s="90">
        <f>K18/E18</f>
        <v>1000</v>
      </c>
      <c r="Q18" s="78">
        <v>3</v>
      </c>
      <c r="R18" s="78">
        <v>2</v>
      </c>
      <c r="S18" s="78" t="s">
        <v>59</v>
      </c>
      <c r="T18" s="5">
        <v>114</v>
      </c>
      <c r="U18" s="9"/>
      <c r="W18" s="85">
        <f t="shared" si="0"/>
        <v>114.7</v>
      </c>
      <c r="X18" s="86">
        <f t="shared" si="0"/>
        <v>35</v>
      </c>
      <c r="Y18" s="91">
        <f t="shared" si="1"/>
        <v>612</v>
      </c>
      <c r="Z18" s="89">
        <f t="shared" si="1"/>
        <v>39000</v>
      </c>
      <c r="AA18" s="89">
        <f>K18</f>
        <v>35000</v>
      </c>
      <c r="AB18" s="89">
        <f t="shared" si="2"/>
        <v>4000</v>
      </c>
      <c r="AC18" s="4">
        <f t="shared" si="2"/>
        <v>0.89743589743589747</v>
      </c>
      <c r="AD18" s="90">
        <f t="shared" si="2"/>
        <v>1114.2857142857142</v>
      </c>
      <c r="AE18" s="78" t="str">
        <f>S18</f>
        <v>계</v>
      </c>
      <c r="AF18" s="78" t="str">
        <f>Q18&amp;"/"&amp;R18</f>
        <v>3/2</v>
      </c>
      <c r="AH18" s="20" t="str">
        <f t="shared" si="3"/>
        <v>송천동1가 진흥더블파크</v>
      </c>
      <c r="AI18" s="86">
        <f t="shared" si="4"/>
        <v>35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O</v>
      </c>
      <c r="AP18" s="78" t="str">
        <f>IF(I18="","",IF(I18&lt;=$AP$1,"O","X"))</f>
        <v>O</v>
      </c>
      <c r="AQ18" s="78" t="str">
        <f>IF(O18="","",IF(O18&lt;=$AQ$1,"O","X"))</f>
        <v>X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후보</v>
      </c>
    </row>
    <row r="19" spans="1:48" s="37" customFormat="1" ht="12" x14ac:dyDescent="0.3">
      <c r="A19" s="73" t="s">
        <v>1817</v>
      </c>
      <c r="B19" s="74" t="s">
        <v>1818</v>
      </c>
      <c r="C19" s="84">
        <v>480</v>
      </c>
      <c r="D19" s="85">
        <v>110.3</v>
      </c>
      <c r="E19" s="86">
        <v>33</v>
      </c>
      <c r="F19" s="85">
        <v>84.9</v>
      </c>
      <c r="G19" s="17">
        <v>26</v>
      </c>
      <c r="H19" s="87">
        <v>222</v>
      </c>
      <c r="I19" s="88">
        <v>45000</v>
      </c>
      <c r="J19" s="88" t="s">
        <v>89</v>
      </c>
      <c r="K19" s="88">
        <v>39000</v>
      </c>
      <c r="L19" s="88" t="s">
        <v>82</v>
      </c>
      <c r="M19" s="89">
        <f>I19-K19</f>
        <v>6000</v>
      </c>
      <c r="N19" s="4">
        <f>IF(ISERROR(K19/I19),"",K19/I19)</f>
        <v>0.8666666666666667</v>
      </c>
      <c r="O19" s="90">
        <f>I19/E19</f>
        <v>1363.6363636363637</v>
      </c>
      <c r="P19" s="90">
        <f>K19/E19</f>
        <v>1181.8181818181818</v>
      </c>
      <c r="Q19" s="78">
        <v>3</v>
      </c>
      <c r="R19" s="78">
        <v>2</v>
      </c>
      <c r="S19" s="78" t="s">
        <v>59</v>
      </c>
      <c r="T19" s="5" t="s">
        <v>132</v>
      </c>
      <c r="U19" s="9"/>
      <c r="W19" s="85">
        <f t="shared" si="0"/>
        <v>110.3</v>
      </c>
      <c r="X19" s="86">
        <f t="shared" si="0"/>
        <v>33</v>
      </c>
      <c r="Y19" s="91">
        <f t="shared" si="1"/>
        <v>222</v>
      </c>
      <c r="Z19" s="89">
        <f t="shared" si="1"/>
        <v>45000</v>
      </c>
      <c r="AA19" s="89">
        <f>K19</f>
        <v>39000</v>
      </c>
      <c r="AB19" s="89">
        <f t="shared" si="2"/>
        <v>6000</v>
      </c>
      <c r="AC19" s="4">
        <f t="shared" si="2"/>
        <v>0.8666666666666667</v>
      </c>
      <c r="AD19" s="90">
        <f t="shared" si="2"/>
        <v>1363.6363636363637</v>
      </c>
      <c r="AE19" s="78" t="str">
        <f>S19</f>
        <v>계</v>
      </c>
      <c r="AF19" s="78" t="str">
        <f>Q19&amp;"/"&amp;R19</f>
        <v>3/2</v>
      </c>
      <c r="AH19" s="20" t="str">
        <f t="shared" si="3"/>
        <v>송천동1가 송천KCC스위첸</v>
      </c>
      <c r="AI19" s="86">
        <f t="shared" si="4"/>
        <v>33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O</v>
      </c>
      <c r="AP19" s="78" t="str">
        <f>IF(I19="","",IF(I19&lt;=$AP$1,"O","X"))</f>
        <v>O</v>
      </c>
      <c r="AQ19" s="78" t="str">
        <f>IF(O19="","",IF(O19&lt;=$AQ$1,"O","X"))</f>
        <v>X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후보</v>
      </c>
    </row>
    <row r="20" spans="1:48" s="37" customFormat="1" ht="12" x14ac:dyDescent="0.3">
      <c r="A20" s="73" t="s">
        <v>1819</v>
      </c>
      <c r="B20" s="74" t="s">
        <v>1696</v>
      </c>
      <c r="C20" s="84">
        <v>585</v>
      </c>
      <c r="D20" s="85">
        <v>79.3</v>
      </c>
      <c r="E20" s="86">
        <v>24</v>
      </c>
      <c r="F20" s="85">
        <v>60</v>
      </c>
      <c r="G20" s="17">
        <v>18</v>
      </c>
      <c r="H20" s="87">
        <v>262</v>
      </c>
      <c r="I20" s="88">
        <v>18500</v>
      </c>
      <c r="J20" s="88" t="s">
        <v>131</v>
      </c>
      <c r="K20" s="88">
        <v>17000</v>
      </c>
      <c r="L20" s="88" t="s">
        <v>111</v>
      </c>
      <c r="M20" s="89">
        <f>I20-K20</f>
        <v>1500</v>
      </c>
      <c r="N20" s="4">
        <f>IF(ISERROR(K20/I20),"",K20/I20)</f>
        <v>0.91891891891891897</v>
      </c>
      <c r="O20" s="90">
        <f>I20/E20</f>
        <v>770.83333333333337</v>
      </c>
      <c r="P20" s="90">
        <f>K20/E20</f>
        <v>708.33333333333337</v>
      </c>
      <c r="Q20" s="78">
        <v>3</v>
      </c>
      <c r="R20" s="78">
        <v>1</v>
      </c>
      <c r="S20" s="78" t="s">
        <v>59</v>
      </c>
      <c r="T20" s="5">
        <v>79</v>
      </c>
      <c r="U20" s="9"/>
      <c r="W20" s="85">
        <f t="shared" ref="W20:X25" si="37">D20</f>
        <v>79.3</v>
      </c>
      <c r="X20" s="86">
        <f t="shared" si="37"/>
        <v>24</v>
      </c>
      <c r="Y20" s="91">
        <f t="shared" ref="Y20:Z25" si="38">H20</f>
        <v>262</v>
      </c>
      <c r="Z20" s="89">
        <f t="shared" si="38"/>
        <v>18500</v>
      </c>
      <c r="AA20" s="89">
        <f>K20</f>
        <v>17000</v>
      </c>
      <c r="AB20" s="89">
        <f t="shared" ref="AB20:AD28" si="39">M20</f>
        <v>1500</v>
      </c>
      <c r="AC20" s="4">
        <f t="shared" si="39"/>
        <v>0.91891891891891897</v>
      </c>
      <c r="AD20" s="90">
        <f t="shared" si="39"/>
        <v>770.83333333333337</v>
      </c>
      <c r="AE20" s="78" t="str">
        <f>S20</f>
        <v>계</v>
      </c>
      <c r="AF20" s="78" t="str">
        <f>Q20&amp;"/"&amp;R20</f>
        <v>3/1</v>
      </c>
      <c r="AH20" s="20" t="str">
        <f t="shared" si="3"/>
        <v>송천동1가 현대2차</v>
      </c>
      <c r="AI20" s="86">
        <f t="shared" si="4"/>
        <v>24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O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후보</v>
      </c>
    </row>
    <row r="21" spans="1:48" s="37" customFormat="1" ht="12" x14ac:dyDescent="0.3">
      <c r="A21" s="73" t="s">
        <v>1820</v>
      </c>
      <c r="B21" s="74" t="s">
        <v>1821</v>
      </c>
      <c r="C21" s="84">
        <v>753</v>
      </c>
      <c r="D21" s="85">
        <v>81</v>
      </c>
      <c r="E21" s="86">
        <v>24</v>
      </c>
      <c r="F21" s="85">
        <v>59.9</v>
      </c>
      <c r="G21" s="17">
        <v>18</v>
      </c>
      <c r="H21" s="87">
        <v>273</v>
      </c>
      <c r="I21" s="88">
        <v>12500</v>
      </c>
      <c r="J21" s="88" t="s">
        <v>104</v>
      </c>
      <c r="K21" s="88">
        <v>12000</v>
      </c>
      <c r="L21" s="88" t="s">
        <v>127</v>
      </c>
      <c r="M21" s="89">
        <f>I21-K21</f>
        <v>500</v>
      </c>
      <c r="N21" s="4">
        <f>IF(ISERROR(K21/I21),"",K21/I21)</f>
        <v>0.96</v>
      </c>
      <c r="O21" s="90">
        <f>I21/E21</f>
        <v>520.83333333333337</v>
      </c>
      <c r="P21" s="90">
        <f>K21/E21</f>
        <v>500</v>
      </c>
      <c r="Q21" s="78">
        <v>2</v>
      </c>
      <c r="R21" s="78">
        <v>1</v>
      </c>
      <c r="S21" s="78" t="s">
        <v>65</v>
      </c>
      <c r="T21" s="5">
        <v>80</v>
      </c>
      <c r="U21" s="9"/>
      <c r="W21" s="85">
        <f t="shared" si="37"/>
        <v>81</v>
      </c>
      <c r="X21" s="86">
        <f t="shared" si="37"/>
        <v>24</v>
      </c>
      <c r="Y21" s="91">
        <f t="shared" si="38"/>
        <v>273</v>
      </c>
      <c r="Z21" s="89">
        <f t="shared" si="38"/>
        <v>12500</v>
      </c>
      <c r="AA21" s="89">
        <f>K21</f>
        <v>12000</v>
      </c>
      <c r="AB21" s="89">
        <f t="shared" si="39"/>
        <v>500</v>
      </c>
      <c r="AC21" s="4">
        <f t="shared" si="39"/>
        <v>0.96</v>
      </c>
      <c r="AD21" s="90">
        <f t="shared" si="39"/>
        <v>520.83333333333337</v>
      </c>
      <c r="AE21" s="78" t="str">
        <f>S21</f>
        <v>복</v>
      </c>
      <c r="AF21" s="78" t="str">
        <f>Q21&amp;"/"&amp;R21</f>
        <v>2/1</v>
      </c>
      <c r="AH21" s="20" t="str">
        <f t="shared" si="3"/>
        <v>송천동1가 송천신일</v>
      </c>
      <c r="AI21" s="86">
        <f t="shared" si="4"/>
        <v>24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O</v>
      </c>
      <c r="AP21" s="78" t="str">
        <f>IF(I21="","",IF(I21&lt;=$AP$1,"O","X"))</f>
        <v>O</v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후보</v>
      </c>
    </row>
    <row r="22" spans="1:48" s="37" customFormat="1" ht="12" x14ac:dyDescent="0.3">
      <c r="A22" s="73" t="s">
        <v>1820</v>
      </c>
      <c r="B22" s="74" t="s">
        <v>1821</v>
      </c>
      <c r="C22" s="84">
        <v>753</v>
      </c>
      <c r="D22" s="85">
        <v>104.1</v>
      </c>
      <c r="E22" s="86">
        <v>31</v>
      </c>
      <c r="F22" s="85">
        <v>85</v>
      </c>
      <c r="G22" s="17">
        <v>26</v>
      </c>
      <c r="H22" s="87">
        <v>281</v>
      </c>
      <c r="I22" s="88">
        <v>19000</v>
      </c>
      <c r="J22" s="88" t="s">
        <v>126</v>
      </c>
      <c r="K22" s="88">
        <v>19500</v>
      </c>
      <c r="L22" s="88" t="s">
        <v>104</v>
      </c>
      <c r="M22" s="89">
        <f>I22-K22</f>
        <v>-500</v>
      </c>
      <c r="N22" s="4">
        <f>IF(ISERROR(K22/I22),"",K22/I22)</f>
        <v>1.0263157894736843</v>
      </c>
      <c r="O22" s="90">
        <f>I22/E22</f>
        <v>612.90322580645159</v>
      </c>
      <c r="P22" s="90">
        <f>K22/E22</f>
        <v>629.0322580645161</v>
      </c>
      <c r="Q22" s="78">
        <v>3</v>
      </c>
      <c r="R22" s="78">
        <v>2</v>
      </c>
      <c r="S22" s="78" t="s">
        <v>59</v>
      </c>
      <c r="T22" s="5" t="s">
        <v>144</v>
      </c>
      <c r="U22" s="9"/>
      <c r="W22" s="85">
        <f t="shared" si="37"/>
        <v>104.1</v>
      </c>
      <c r="X22" s="86">
        <f t="shared" si="37"/>
        <v>31</v>
      </c>
      <c r="Y22" s="91">
        <f t="shared" si="38"/>
        <v>281</v>
      </c>
      <c r="Z22" s="89">
        <f t="shared" si="38"/>
        <v>19000</v>
      </c>
      <c r="AA22" s="89">
        <f>K22</f>
        <v>19500</v>
      </c>
      <c r="AB22" s="89">
        <f t="shared" si="39"/>
        <v>-500</v>
      </c>
      <c r="AC22" s="4">
        <f t="shared" si="39"/>
        <v>1.0263157894736843</v>
      </c>
      <c r="AD22" s="90">
        <f t="shared" si="39"/>
        <v>612.90322580645159</v>
      </c>
      <c r="AE22" s="78" t="str">
        <f>S22</f>
        <v>계</v>
      </c>
      <c r="AF22" s="78" t="str">
        <f>Q22&amp;"/"&amp;R22</f>
        <v>3/2</v>
      </c>
      <c r="AH22" s="20" t="str">
        <f t="shared" si="3"/>
        <v>송천동1가 송천신일</v>
      </c>
      <c r="AI22" s="86">
        <f t="shared" si="4"/>
        <v>31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O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후보</v>
      </c>
    </row>
    <row r="23" spans="1:48" s="37" customFormat="1" ht="12" x14ac:dyDescent="0.3">
      <c r="A23" s="73" t="s">
        <v>1703</v>
      </c>
      <c r="B23" s="74" t="s">
        <v>1702</v>
      </c>
      <c r="C23" s="84">
        <v>1992</v>
      </c>
      <c r="D23" s="85">
        <v>77.099999999999994</v>
      </c>
      <c r="E23" s="86">
        <v>23</v>
      </c>
      <c r="F23" s="85">
        <v>60</v>
      </c>
      <c r="G23" s="17">
        <v>18</v>
      </c>
      <c r="H23" s="87">
        <v>1593</v>
      </c>
      <c r="I23" s="88">
        <v>17300</v>
      </c>
      <c r="J23" s="88" t="s">
        <v>72</v>
      </c>
      <c r="K23" s="88">
        <v>15500</v>
      </c>
      <c r="L23" s="88" t="s">
        <v>69</v>
      </c>
      <c r="M23" s="89">
        <f>I23-K23</f>
        <v>1800</v>
      </c>
      <c r="N23" s="4">
        <f>IF(ISERROR(K23/I23),"",K23/I23)</f>
        <v>0.89595375722543358</v>
      </c>
      <c r="O23" s="90">
        <f>I23/E23</f>
        <v>752.17391304347825</v>
      </c>
      <c r="P23" s="90">
        <f>K23/E23</f>
        <v>673.91304347826087</v>
      </c>
      <c r="Q23" s="78">
        <v>3</v>
      </c>
      <c r="R23" s="78">
        <v>1</v>
      </c>
      <c r="S23" s="78" t="s">
        <v>59</v>
      </c>
      <c r="T23" s="5" t="s">
        <v>152</v>
      </c>
      <c r="U23" s="9"/>
      <c r="W23" s="85">
        <f t="shared" si="37"/>
        <v>77.099999999999994</v>
      </c>
      <c r="X23" s="86">
        <f t="shared" si="37"/>
        <v>23</v>
      </c>
      <c r="Y23" s="91">
        <f t="shared" si="38"/>
        <v>1593</v>
      </c>
      <c r="Z23" s="89">
        <f t="shared" si="38"/>
        <v>17300</v>
      </c>
      <c r="AA23" s="89">
        <f>K23</f>
        <v>15500</v>
      </c>
      <c r="AB23" s="89">
        <f t="shared" si="39"/>
        <v>1800</v>
      </c>
      <c r="AC23" s="4">
        <f t="shared" si="39"/>
        <v>0.89595375722543358</v>
      </c>
      <c r="AD23" s="90">
        <f t="shared" si="39"/>
        <v>752.17391304347825</v>
      </c>
      <c r="AE23" s="78" t="str">
        <f>S23</f>
        <v>계</v>
      </c>
      <c r="AF23" s="78" t="str">
        <f>Q23&amp;"/"&amp;R23</f>
        <v>3/1</v>
      </c>
      <c r="AH23" s="20" t="str">
        <f t="shared" si="3"/>
        <v>송천동2가 송천주공</v>
      </c>
      <c r="AI23" s="86">
        <f t="shared" si="4"/>
        <v>23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O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후보</v>
      </c>
    </row>
    <row r="24" spans="1:48" s="37" customFormat="1" ht="12" x14ac:dyDescent="0.3">
      <c r="A24" s="73" t="s">
        <v>1705</v>
      </c>
      <c r="B24" s="74" t="s">
        <v>1640</v>
      </c>
      <c r="C24" s="84">
        <v>915</v>
      </c>
      <c r="D24" s="85">
        <v>77.900000000000006</v>
      </c>
      <c r="E24" s="86">
        <v>24</v>
      </c>
      <c r="F24" s="85">
        <v>60</v>
      </c>
      <c r="G24" s="17">
        <v>18</v>
      </c>
      <c r="H24" s="87">
        <v>372</v>
      </c>
      <c r="I24" s="88">
        <v>19000</v>
      </c>
      <c r="J24" s="88" t="s">
        <v>89</v>
      </c>
      <c r="K24" s="88">
        <v>16000</v>
      </c>
      <c r="L24" s="88" t="s">
        <v>87</v>
      </c>
      <c r="M24" s="89">
        <f>I24-K24</f>
        <v>3000</v>
      </c>
      <c r="N24" s="4">
        <f>IF(ISERROR(K24/I24),"",K24/I24)</f>
        <v>0.84210526315789469</v>
      </c>
      <c r="O24" s="90">
        <f>I24/E24</f>
        <v>791.66666666666663</v>
      </c>
      <c r="P24" s="90">
        <f>K24/E24</f>
        <v>666.66666666666663</v>
      </c>
      <c r="Q24" s="78">
        <v>3</v>
      </c>
      <c r="R24" s="78">
        <v>1</v>
      </c>
      <c r="S24" s="78" t="s">
        <v>59</v>
      </c>
      <c r="T24" s="5">
        <v>77</v>
      </c>
      <c r="U24" s="9"/>
      <c r="W24" s="85">
        <f t="shared" si="37"/>
        <v>77.900000000000006</v>
      </c>
      <c r="X24" s="86">
        <f t="shared" si="37"/>
        <v>24</v>
      </c>
      <c r="Y24" s="91">
        <f t="shared" si="38"/>
        <v>372</v>
      </c>
      <c r="Z24" s="89">
        <f t="shared" si="38"/>
        <v>19000</v>
      </c>
      <c r="AA24" s="89">
        <f>K24</f>
        <v>16000</v>
      </c>
      <c r="AB24" s="89">
        <f t="shared" si="39"/>
        <v>3000</v>
      </c>
      <c r="AC24" s="4">
        <f t="shared" si="39"/>
        <v>0.84210526315789469</v>
      </c>
      <c r="AD24" s="90">
        <f t="shared" si="39"/>
        <v>791.66666666666663</v>
      </c>
      <c r="AE24" s="78" t="str">
        <f>S24</f>
        <v>계</v>
      </c>
      <c r="AF24" s="78" t="str">
        <f>Q24&amp;"/"&amp;R24</f>
        <v>3/1</v>
      </c>
      <c r="AH24" s="20" t="str">
        <f t="shared" si="3"/>
        <v>송천동2가 송천현대3차</v>
      </c>
      <c r="AI24" s="86">
        <f t="shared" si="4"/>
        <v>24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O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후보</v>
      </c>
    </row>
    <row r="25" spans="1:48" s="37" customFormat="1" ht="12" x14ac:dyDescent="0.3">
      <c r="A25" s="73" t="s">
        <v>1705</v>
      </c>
      <c r="B25" s="74" t="s">
        <v>1822</v>
      </c>
      <c r="C25" s="84">
        <v>915</v>
      </c>
      <c r="D25" s="85">
        <v>106.5</v>
      </c>
      <c r="E25" s="86">
        <v>32</v>
      </c>
      <c r="F25" s="85">
        <v>85</v>
      </c>
      <c r="G25" s="17">
        <v>26</v>
      </c>
      <c r="H25" s="87">
        <v>438</v>
      </c>
      <c r="I25" s="88">
        <v>29500</v>
      </c>
      <c r="J25" s="88" t="s">
        <v>89</v>
      </c>
      <c r="K25" s="88">
        <v>28000</v>
      </c>
      <c r="L25" s="88" t="s">
        <v>137</v>
      </c>
      <c r="M25" s="89">
        <f>I25-K25</f>
        <v>1500</v>
      </c>
      <c r="N25" s="4">
        <f>IF(ISERROR(K25/I25),"",K25/I25)</f>
        <v>0.94915254237288138</v>
      </c>
      <c r="O25" s="90">
        <f>I25/E25</f>
        <v>921.875</v>
      </c>
      <c r="P25" s="90">
        <f>K25/E25</f>
        <v>875</v>
      </c>
      <c r="Q25" s="78">
        <v>3</v>
      </c>
      <c r="R25" s="78">
        <v>2</v>
      </c>
      <c r="S25" s="78" t="s">
        <v>59</v>
      </c>
      <c r="T25" s="5">
        <v>106</v>
      </c>
      <c r="U25" s="9"/>
      <c r="W25" s="85">
        <f t="shared" si="37"/>
        <v>106.5</v>
      </c>
      <c r="X25" s="86">
        <f t="shared" si="37"/>
        <v>32</v>
      </c>
      <c r="Y25" s="91">
        <f t="shared" si="38"/>
        <v>438</v>
      </c>
      <c r="Z25" s="89">
        <f t="shared" si="38"/>
        <v>29500</v>
      </c>
      <c r="AA25" s="89">
        <f>K25</f>
        <v>28000</v>
      </c>
      <c r="AB25" s="89">
        <f t="shared" si="39"/>
        <v>1500</v>
      </c>
      <c r="AC25" s="4">
        <f t="shared" si="39"/>
        <v>0.94915254237288138</v>
      </c>
      <c r="AD25" s="90">
        <f t="shared" si="39"/>
        <v>921.875</v>
      </c>
      <c r="AE25" s="78" t="str">
        <f>S25</f>
        <v>계</v>
      </c>
      <c r="AF25" s="78" t="str">
        <f>Q25&amp;"/"&amp;R25</f>
        <v>3/2</v>
      </c>
      <c r="AH25" s="20" t="str">
        <f t="shared" si="3"/>
        <v>송천동2가 송천현대3차</v>
      </c>
      <c r="AI25" s="86">
        <f t="shared" si="4"/>
        <v>32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>O</v>
      </c>
      <c r="AP25" s="78" t="str">
        <f>IF(I25="","",IF(I25&lt;=$AP$1,"O","X"))</f>
        <v>O</v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후보</v>
      </c>
    </row>
    <row r="26" spans="1:48" s="37" customFormat="1" ht="12" x14ac:dyDescent="0.3">
      <c r="A26" s="73" t="s">
        <v>1823</v>
      </c>
      <c r="B26" s="74" t="s">
        <v>1824</v>
      </c>
      <c r="C26" s="84">
        <v>585</v>
      </c>
      <c r="D26" s="85">
        <v>109.4</v>
      </c>
      <c r="E26" s="86">
        <v>33</v>
      </c>
      <c r="F26" s="85">
        <v>85</v>
      </c>
      <c r="G26" s="17">
        <v>26</v>
      </c>
      <c r="H26" s="87">
        <v>539</v>
      </c>
      <c r="I26" s="88">
        <v>43000</v>
      </c>
      <c r="J26" s="88" t="s">
        <v>89</v>
      </c>
      <c r="K26" s="88">
        <v>38000</v>
      </c>
      <c r="L26" s="88" t="s">
        <v>83</v>
      </c>
      <c r="M26" s="89">
        <f>I26-K26</f>
        <v>5000</v>
      </c>
      <c r="N26" s="4">
        <f>IF(ISERROR(K26/I26),"",K26/I26)</f>
        <v>0.88372093023255816</v>
      </c>
      <c r="O26" s="90">
        <f>I26/E26</f>
        <v>1303.030303030303</v>
      </c>
      <c r="P26" s="90">
        <f>K26/E26</f>
        <v>1151.5151515151515</v>
      </c>
      <c r="Q26" s="78">
        <v>3</v>
      </c>
      <c r="R26" s="78">
        <v>2</v>
      </c>
      <c r="S26" s="78" t="s">
        <v>59</v>
      </c>
      <c r="T26" s="5" t="s">
        <v>70</v>
      </c>
      <c r="U26" s="9"/>
      <c r="W26" s="85">
        <f>D26</f>
        <v>109.4</v>
      </c>
      <c r="X26" s="86">
        <f>E26</f>
        <v>33</v>
      </c>
      <c r="Y26" s="91">
        <f>H26</f>
        <v>539</v>
      </c>
      <c r="Z26" s="89">
        <f>I26</f>
        <v>43000</v>
      </c>
      <c r="AA26" s="89">
        <f>K26</f>
        <v>38000</v>
      </c>
      <c r="AB26" s="89">
        <f t="shared" si="39"/>
        <v>5000</v>
      </c>
      <c r="AC26" s="4">
        <f t="shared" si="39"/>
        <v>0.88372093023255816</v>
      </c>
      <c r="AD26" s="90">
        <f t="shared" si="39"/>
        <v>1303.030303030303</v>
      </c>
      <c r="AE26" s="78" t="str">
        <f>S26</f>
        <v>계</v>
      </c>
      <c r="AF26" s="78" t="str">
        <f>Q26&amp;"/"&amp;R26</f>
        <v>3/2</v>
      </c>
      <c r="AH26" s="20" t="str">
        <f t="shared" si="3"/>
        <v>송천동2가 전주송천한라비발디1단지</v>
      </c>
      <c r="AI26" s="86">
        <f t="shared" si="4"/>
        <v>33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>O</v>
      </c>
      <c r="AP26" s="78" t="str">
        <f>IF(I26="","",IF(I26&lt;=$AP$1,"O","X"))</f>
        <v>O</v>
      </c>
      <c r="AQ26" s="78" t="str">
        <f>IF(O26="","",IF(O26&lt;=$AQ$1,"O","X"))</f>
        <v>X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후보</v>
      </c>
    </row>
    <row r="27" spans="1:48" s="37" customFormat="1" ht="12" x14ac:dyDescent="0.3">
      <c r="A27" s="73" t="s">
        <v>1825</v>
      </c>
      <c r="B27" s="74" t="s">
        <v>1711</v>
      </c>
      <c r="C27" s="84">
        <v>308</v>
      </c>
      <c r="D27" s="85">
        <v>95.8</v>
      </c>
      <c r="E27" s="86">
        <v>29</v>
      </c>
      <c r="F27" s="85">
        <v>76.8</v>
      </c>
      <c r="G27" s="17">
        <v>23</v>
      </c>
      <c r="H27" s="87">
        <v>164</v>
      </c>
      <c r="I27" s="88">
        <v>16600</v>
      </c>
      <c r="J27" s="88" t="s">
        <v>99</v>
      </c>
      <c r="K27" s="88">
        <v>17500</v>
      </c>
      <c r="L27" s="88" t="s">
        <v>69</v>
      </c>
      <c r="M27" s="89">
        <f>I27-K27</f>
        <v>-900</v>
      </c>
      <c r="N27" s="4">
        <f>IF(ISERROR(K27/I27),"",K27/I27)</f>
        <v>1.0542168674698795</v>
      </c>
      <c r="O27" s="90">
        <f>I27/E27</f>
        <v>572.41379310344826</v>
      </c>
      <c r="P27" s="90">
        <f>K27/E27</f>
        <v>603.44827586206895</v>
      </c>
      <c r="Q27" s="78">
        <v>3</v>
      </c>
      <c r="R27" s="78">
        <v>2</v>
      </c>
      <c r="S27" s="78" t="s">
        <v>59</v>
      </c>
      <c r="T27" s="5">
        <v>95</v>
      </c>
      <c r="U27" s="9"/>
      <c r="W27" s="85">
        <f>D27</f>
        <v>95.8</v>
      </c>
      <c r="X27" s="86">
        <f>E27</f>
        <v>29</v>
      </c>
      <c r="Y27" s="91">
        <f>H27</f>
        <v>164</v>
      </c>
      <c r="Z27" s="89">
        <f>I27</f>
        <v>16600</v>
      </c>
      <c r="AA27" s="89">
        <f>K27</f>
        <v>17500</v>
      </c>
      <c r="AB27" s="89">
        <f t="shared" si="39"/>
        <v>-900</v>
      </c>
      <c r="AC27" s="4">
        <f t="shared" si="39"/>
        <v>1.0542168674698795</v>
      </c>
      <c r="AD27" s="90">
        <f t="shared" si="39"/>
        <v>572.41379310344826</v>
      </c>
      <c r="AE27" s="78" t="str">
        <f>S27</f>
        <v>계</v>
      </c>
      <c r="AF27" s="78" t="str">
        <f>Q27&amp;"/"&amp;R27</f>
        <v>3/2</v>
      </c>
      <c r="AH27" s="20" t="str">
        <f t="shared" si="3"/>
        <v>송천동2가 쌍용2단지</v>
      </c>
      <c r="AI27" s="86">
        <f t="shared" si="4"/>
        <v>29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O</v>
      </c>
      <c r="AP27" s="78" t="str">
        <f>IF(I27="","",IF(I27&lt;=$AP$1,"O","X"))</f>
        <v>O</v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후보</v>
      </c>
    </row>
    <row r="28" spans="1:48" s="37" customFormat="1" ht="12" x14ac:dyDescent="0.3">
      <c r="A28" s="73" t="s">
        <v>1826</v>
      </c>
      <c r="B28" s="74" t="s">
        <v>1727</v>
      </c>
      <c r="C28" s="84">
        <v>710</v>
      </c>
      <c r="D28" s="85">
        <v>67.5</v>
      </c>
      <c r="E28" s="86">
        <v>20</v>
      </c>
      <c r="F28" s="85">
        <v>51.9</v>
      </c>
      <c r="G28" s="17">
        <v>16</v>
      </c>
      <c r="H28" s="87">
        <v>258</v>
      </c>
      <c r="I28" s="88">
        <v>16300</v>
      </c>
      <c r="J28" s="88" t="s">
        <v>111</v>
      </c>
      <c r="K28" s="88">
        <v>15000</v>
      </c>
      <c r="L28" s="88" t="s">
        <v>87</v>
      </c>
      <c r="M28" s="89">
        <f>I28-K28</f>
        <v>1300</v>
      </c>
      <c r="N28" s="4">
        <f>IF(ISERROR(K28/I28),"",K28/I28)</f>
        <v>0.92024539877300615</v>
      </c>
      <c r="O28" s="90">
        <f>I28/E28</f>
        <v>815</v>
      </c>
      <c r="P28" s="90">
        <f>K28/E28</f>
        <v>750</v>
      </c>
      <c r="Q28" s="78">
        <v>2</v>
      </c>
      <c r="R28" s="78">
        <v>1</v>
      </c>
      <c r="S28" s="78" t="s">
        <v>59</v>
      </c>
      <c r="T28" s="5">
        <v>67</v>
      </c>
      <c r="U28" s="9"/>
      <c r="W28" s="85">
        <f>D28</f>
        <v>67.5</v>
      </c>
      <c r="X28" s="86">
        <f>E28</f>
        <v>20</v>
      </c>
      <c r="Y28" s="91">
        <f>H28</f>
        <v>258</v>
      </c>
      <c r="Z28" s="89">
        <f>I28</f>
        <v>16300</v>
      </c>
      <c r="AA28" s="89">
        <f>K28</f>
        <v>15000</v>
      </c>
      <c r="AB28" s="89">
        <f t="shared" si="39"/>
        <v>1300</v>
      </c>
      <c r="AC28" s="4">
        <f t="shared" si="39"/>
        <v>0.92024539877300615</v>
      </c>
      <c r="AD28" s="90">
        <f t="shared" si="39"/>
        <v>815</v>
      </c>
      <c r="AE28" s="78" t="str">
        <f>S28</f>
        <v>계</v>
      </c>
      <c r="AF28" s="78" t="str">
        <f>Q28&amp;"/"&amp;R28</f>
        <v>2/1</v>
      </c>
      <c r="AH28" s="20" t="str">
        <f t="shared" si="3"/>
        <v>송천동2가 송천주공2차</v>
      </c>
      <c r="AI28" s="86">
        <f t="shared" si="4"/>
        <v>20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>O</v>
      </c>
      <c r="AP28" s="78" t="str">
        <f>IF(I28="","",IF(I28&lt;=$AP$1,"O","X"))</f>
        <v>O</v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후보</v>
      </c>
    </row>
    <row r="29" spans="1:48" s="37" customFormat="1" ht="12" x14ac:dyDescent="0.3">
      <c r="A29" s="73" t="s">
        <v>1737</v>
      </c>
      <c r="B29" s="74" t="s">
        <v>1738</v>
      </c>
      <c r="C29" s="84">
        <v>525</v>
      </c>
      <c r="D29" s="85">
        <v>80.099999999999994</v>
      </c>
      <c r="E29" s="86">
        <v>24</v>
      </c>
      <c r="F29" s="85">
        <v>59.5</v>
      </c>
      <c r="G29" s="17">
        <v>18</v>
      </c>
      <c r="H29" s="87">
        <v>525</v>
      </c>
      <c r="I29" s="88">
        <v>8300</v>
      </c>
      <c r="J29" s="88" t="s">
        <v>83</v>
      </c>
      <c r="K29" s="88">
        <v>8000</v>
      </c>
      <c r="L29" s="88" t="s">
        <v>83</v>
      </c>
      <c r="M29" s="89">
        <f>I29-K29</f>
        <v>300</v>
      </c>
      <c r="N29" s="4">
        <f>IF(ISERROR(K29/I29),"",K29/I29)</f>
        <v>0.96385542168674698</v>
      </c>
      <c r="O29" s="90">
        <f>I29/E29</f>
        <v>345.83333333333331</v>
      </c>
      <c r="P29" s="90">
        <f>K29/E29</f>
        <v>333.33333333333331</v>
      </c>
      <c r="Q29" s="78">
        <v>3</v>
      </c>
      <c r="R29" s="78">
        <v>1</v>
      </c>
      <c r="S29" s="78" t="s">
        <v>65</v>
      </c>
      <c r="T29" s="5">
        <v>80</v>
      </c>
      <c r="U29" s="9"/>
      <c r="W29" s="85">
        <f>D29</f>
        <v>80.099999999999994</v>
      </c>
      <c r="X29" s="86">
        <f>E29</f>
        <v>24</v>
      </c>
      <c r="Y29" s="91">
        <f>H29</f>
        <v>525</v>
      </c>
      <c r="Z29" s="89">
        <f>I29</f>
        <v>8300</v>
      </c>
      <c r="AA29" s="89">
        <f>K29</f>
        <v>8000</v>
      </c>
      <c r="AB29" s="89">
        <f>M29</f>
        <v>300</v>
      </c>
      <c r="AC29" s="4">
        <f>N29</f>
        <v>0.96385542168674698</v>
      </c>
      <c r="AD29" s="90">
        <f>O29</f>
        <v>345.83333333333331</v>
      </c>
      <c r="AE29" s="78" t="str">
        <f>S29</f>
        <v>복</v>
      </c>
      <c r="AF29" s="78" t="str">
        <f>Q29&amp;"/"&amp;R29</f>
        <v>3/1</v>
      </c>
      <c r="AH29" s="20" t="str">
        <f t="shared" si="3"/>
        <v>송천동2가 대명궁궐</v>
      </c>
      <c r="AI29" s="86">
        <f t="shared" si="4"/>
        <v>24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O</v>
      </c>
      <c r="AP29" s="78" t="str">
        <f>IF(I29="","",IF(I29&lt;=$AP$1,"O","X"))</f>
        <v>O</v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후보</v>
      </c>
    </row>
    <row r="30" spans="1:48" s="37" customFormat="1" ht="12" x14ac:dyDescent="0.3">
      <c r="A30" s="73" t="s">
        <v>1753</v>
      </c>
      <c r="B30" s="74" t="s">
        <v>1754</v>
      </c>
      <c r="C30" s="84">
        <v>540</v>
      </c>
      <c r="D30" s="85">
        <v>104.7</v>
      </c>
      <c r="E30" s="86">
        <v>32</v>
      </c>
      <c r="F30" s="85">
        <v>84.7</v>
      </c>
      <c r="G30" s="17">
        <v>26</v>
      </c>
      <c r="H30" s="87">
        <v>180</v>
      </c>
      <c r="I30" s="88">
        <v>17500</v>
      </c>
      <c r="J30" s="88" t="s">
        <v>87</v>
      </c>
      <c r="K30" s="88">
        <v>21000</v>
      </c>
      <c r="L30" s="88" t="s">
        <v>89</v>
      </c>
      <c r="M30" s="89">
        <f>I30-K30</f>
        <v>-3500</v>
      </c>
      <c r="N30" s="4">
        <f>IF(ISERROR(K30/I30),"",K30/I30)</f>
        <v>1.2</v>
      </c>
      <c r="O30" s="90">
        <f>I30/E30</f>
        <v>546.875</v>
      </c>
      <c r="P30" s="90">
        <f>K30/E30</f>
        <v>656.25</v>
      </c>
      <c r="Q30" s="78">
        <v>3</v>
      </c>
      <c r="R30" s="78">
        <v>2</v>
      </c>
      <c r="S30" s="78" t="s">
        <v>59</v>
      </c>
      <c r="T30" s="5" t="s">
        <v>188</v>
      </c>
      <c r="U30" s="9"/>
      <c r="W30" s="85">
        <f t="shared" ref="W30:X30" si="40">D30</f>
        <v>104.7</v>
      </c>
      <c r="X30" s="86">
        <f t="shared" si="40"/>
        <v>32</v>
      </c>
      <c r="Y30" s="91">
        <f t="shared" ref="Y30:Z30" si="41">H30</f>
        <v>180</v>
      </c>
      <c r="Z30" s="89">
        <f t="shared" si="41"/>
        <v>17500</v>
      </c>
      <c r="AA30" s="89">
        <f>K30</f>
        <v>21000</v>
      </c>
      <c r="AB30" s="89">
        <f t="shared" ref="AB30:AD34" si="42">M30</f>
        <v>-3500</v>
      </c>
      <c r="AC30" s="4">
        <f t="shared" si="42"/>
        <v>1.2</v>
      </c>
      <c r="AD30" s="90">
        <f t="shared" si="42"/>
        <v>546.875</v>
      </c>
      <c r="AE30" s="78" t="str">
        <f>S30</f>
        <v>계</v>
      </c>
      <c r="AF30" s="78" t="str">
        <f>Q30&amp;"/"&amp;R30</f>
        <v>3/2</v>
      </c>
      <c r="AH30" s="20" t="str">
        <f t="shared" si="3"/>
        <v>우아동2가 전주아중롯데</v>
      </c>
      <c r="AI30" s="86">
        <f t="shared" si="4"/>
        <v>32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O</v>
      </c>
      <c r="AP30" s="78" t="str">
        <f>IF(I30="","",IF(I30&lt;=$AP$1,"O","X"))</f>
        <v>O</v>
      </c>
      <c r="AQ30" s="78" t="str">
        <f>IF(O30="","",IF(O30&lt;=$AQ$1,"O","X"))</f>
        <v>O</v>
      </c>
      <c r="AR30" s="78" t="str">
        <f>IF(M30="","",IF(M30&lt;=$AR$1,"O","X"))</f>
        <v>O</v>
      </c>
      <c r="AS30" s="78" t="s">
        <v>2</v>
      </c>
      <c r="AT30" s="78" t="str">
        <f>IF(OR(F30="",AI30=""),"",IF(AND((F30&lt;=85),(AI30&gt;=15)),"O","X"))</f>
        <v>O</v>
      </c>
      <c r="AU30" s="78" t="str">
        <f>IF(C30="","",IF(C30&gt;=$AU$1,"O","X"))</f>
        <v>O</v>
      </c>
      <c r="AV30" s="78" t="str">
        <f>IF(AO30="","",IF(AND(AO30="O",AP30="O",AR30="O",AT30="O",AU30="O"),"후보","X"))</f>
        <v>후보</v>
      </c>
    </row>
    <row r="31" spans="1:48" s="37" customFormat="1" ht="12" x14ac:dyDescent="0.3">
      <c r="A31" s="73" t="s">
        <v>1768</v>
      </c>
      <c r="B31" s="74" t="s">
        <v>1769</v>
      </c>
      <c r="C31" s="84">
        <v>800</v>
      </c>
      <c r="D31" s="85">
        <v>104</v>
      </c>
      <c r="E31" s="86">
        <v>31</v>
      </c>
      <c r="F31" s="85">
        <v>84.8</v>
      </c>
      <c r="G31" s="17">
        <v>26</v>
      </c>
      <c r="H31" s="87">
        <v>694</v>
      </c>
      <c r="I31" s="88">
        <v>23000</v>
      </c>
      <c r="J31" s="88" t="s">
        <v>72</v>
      </c>
      <c r="K31" s="88">
        <v>23000</v>
      </c>
      <c r="L31" s="88" t="s">
        <v>87</v>
      </c>
      <c r="M31" s="89">
        <f>I31-K31</f>
        <v>0</v>
      </c>
      <c r="N31" s="4">
        <f>IF(ISERROR(K31/I31),"",K31/I31)</f>
        <v>1</v>
      </c>
      <c r="O31" s="90">
        <f>I31/E31</f>
        <v>741.93548387096769</v>
      </c>
      <c r="P31" s="90">
        <f>K31/E31</f>
        <v>741.93548387096769</v>
      </c>
      <c r="Q31" s="78">
        <v>3</v>
      </c>
      <c r="R31" s="78">
        <v>2</v>
      </c>
      <c r="S31" s="78" t="s">
        <v>59</v>
      </c>
      <c r="T31" s="5">
        <v>104</v>
      </c>
      <c r="U31" s="9"/>
      <c r="W31" s="85">
        <f>D31</f>
        <v>104</v>
      </c>
      <c r="X31" s="86">
        <f>E31</f>
        <v>31</v>
      </c>
      <c r="Y31" s="91">
        <f>H31</f>
        <v>694</v>
      </c>
      <c r="Z31" s="89">
        <f>I31</f>
        <v>23000</v>
      </c>
      <c r="AA31" s="89">
        <f>K31</f>
        <v>23000</v>
      </c>
      <c r="AB31" s="89">
        <f t="shared" si="42"/>
        <v>0</v>
      </c>
      <c r="AC31" s="4">
        <f t="shared" si="42"/>
        <v>1</v>
      </c>
      <c r="AD31" s="90">
        <f t="shared" si="42"/>
        <v>741.93548387096769</v>
      </c>
      <c r="AE31" s="78" t="str">
        <f>S31</f>
        <v>계</v>
      </c>
      <c r="AF31" s="78" t="str">
        <f>Q31&amp;"/"&amp;R31</f>
        <v>3/2</v>
      </c>
      <c r="AH31" s="20" t="str">
        <f t="shared" si="3"/>
        <v>인후동1가 아중마을부영6차</v>
      </c>
      <c r="AI31" s="86">
        <f t="shared" si="4"/>
        <v>31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O</v>
      </c>
      <c r="AP31" s="78" t="str">
        <f>IF(I31="","",IF(I31&lt;=$AP$1,"O","X"))</f>
        <v>O</v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후보</v>
      </c>
    </row>
    <row r="32" spans="1:48" s="37" customFormat="1" ht="12" x14ac:dyDescent="0.3">
      <c r="A32" s="73" t="s">
        <v>1770</v>
      </c>
      <c r="B32" s="74" t="s">
        <v>1827</v>
      </c>
      <c r="C32" s="84">
        <v>618</v>
      </c>
      <c r="D32" s="85">
        <v>68.5</v>
      </c>
      <c r="E32" s="86">
        <v>21</v>
      </c>
      <c r="F32" s="85">
        <v>50</v>
      </c>
      <c r="G32" s="17">
        <v>15</v>
      </c>
      <c r="H32" s="87">
        <v>328</v>
      </c>
      <c r="I32" s="88">
        <v>12000</v>
      </c>
      <c r="J32" s="88" t="s">
        <v>104</v>
      </c>
      <c r="K32" s="88">
        <v>11500</v>
      </c>
      <c r="L32" s="88" t="s">
        <v>87</v>
      </c>
      <c r="M32" s="89">
        <f>I32-K32</f>
        <v>500</v>
      </c>
      <c r="N32" s="4">
        <f>IF(ISERROR(K32/I32),"",K32/I32)</f>
        <v>0.95833333333333337</v>
      </c>
      <c r="O32" s="90">
        <f>I32/E32</f>
        <v>571.42857142857144</v>
      </c>
      <c r="P32" s="90">
        <f>K32/E32</f>
        <v>547.61904761904759</v>
      </c>
      <c r="Q32" s="78">
        <v>2</v>
      </c>
      <c r="R32" s="78">
        <v>1</v>
      </c>
      <c r="S32" s="78" t="s">
        <v>59</v>
      </c>
      <c r="T32" s="5">
        <v>68</v>
      </c>
      <c r="U32" s="9"/>
      <c r="W32" s="85">
        <f>D32</f>
        <v>68.5</v>
      </c>
      <c r="X32" s="86">
        <f>E32</f>
        <v>21</v>
      </c>
      <c r="Y32" s="91">
        <f>H32</f>
        <v>328</v>
      </c>
      <c r="Z32" s="89">
        <f>I32</f>
        <v>12000</v>
      </c>
      <c r="AA32" s="89">
        <f>K32</f>
        <v>11500</v>
      </c>
      <c r="AB32" s="89">
        <f t="shared" si="42"/>
        <v>500</v>
      </c>
      <c r="AC32" s="4">
        <f t="shared" si="42"/>
        <v>0.95833333333333337</v>
      </c>
      <c r="AD32" s="90">
        <f t="shared" si="42"/>
        <v>571.42857142857144</v>
      </c>
      <c r="AE32" s="78" t="str">
        <f>S32</f>
        <v>계</v>
      </c>
      <c r="AF32" s="78" t="str">
        <f>Q32&amp;"/"&amp;R32</f>
        <v>2/1</v>
      </c>
      <c r="AH32" s="20" t="str">
        <f t="shared" si="3"/>
        <v>인후동1가 아중마을부영5차</v>
      </c>
      <c r="AI32" s="86">
        <f t="shared" si="4"/>
        <v>21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O</v>
      </c>
      <c r="AP32" s="78" t="str">
        <f>IF(I32="","",IF(I32&lt;=$AP$1,"O","X"))</f>
        <v>O</v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후보</v>
      </c>
    </row>
    <row r="33" spans="1:48" s="37" customFormat="1" ht="12" x14ac:dyDescent="0.3">
      <c r="A33" s="73" t="s">
        <v>1770</v>
      </c>
      <c r="B33" s="74" t="s">
        <v>1771</v>
      </c>
      <c r="C33" s="84">
        <v>618</v>
      </c>
      <c r="D33" s="85">
        <v>81.5</v>
      </c>
      <c r="E33" s="86">
        <v>25</v>
      </c>
      <c r="F33" s="85">
        <v>59.5</v>
      </c>
      <c r="G33" s="17">
        <v>18</v>
      </c>
      <c r="H33" s="87">
        <v>290</v>
      </c>
      <c r="I33" s="88">
        <v>13500</v>
      </c>
      <c r="J33" s="88" t="s">
        <v>87</v>
      </c>
      <c r="K33" s="88">
        <v>13000</v>
      </c>
      <c r="L33" s="88" t="s">
        <v>82</v>
      </c>
      <c r="M33" s="89">
        <f>I33-K33</f>
        <v>500</v>
      </c>
      <c r="N33" s="4">
        <f>IF(ISERROR(K33/I33),"",K33/I33)</f>
        <v>0.96296296296296291</v>
      </c>
      <c r="O33" s="90">
        <f>I33/E33</f>
        <v>540</v>
      </c>
      <c r="P33" s="90">
        <f>K33/E33</f>
        <v>520</v>
      </c>
      <c r="Q33" s="78">
        <v>3</v>
      </c>
      <c r="R33" s="78">
        <v>1</v>
      </c>
      <c r="S33" s="78" t="s">
        <v>59</v>
      </c>
      <c r="T33" s="5">
        <v>81</v>
      </c>
      <c r="U33" s="9"/>
      <c r="W33" s="85">
        <f>D33</f>
        <v>81.5</v>
      </c>
      <c r="X33" s="86">
        <f>E33</f>
        <v>25</v>
      </c>
      <c r="Y33" s="91">
        <f>H33</f>
        <v>290</v>
      </c>
      <c r="Z33" s="89">
        <f>I33</f>
        <v>13500</v>
      </c>
      <c r="AA33" s="89">
        <f>K33</f>
        <v>13000</v>
      </c>
      <c r="AB33" s="89">
        <f t="shared" si="42"/>
        <v>500</v>
      </c>
      <c r="AC33" s="4">
        <f t="shared" si="42"/>
        <v>0.96296296296296291</v>
      </c>
      <c r="AD33" s="90">
        <f t="shared" si="42"/>
        <v>540</v>
      </c>
      <c r="AE33" s="78" t="str">
        <f>S33</f>
        <v>계</v>
      </c>
      <c r="AF33" s="78" t="str">
        <f>Q33&amp;"/"&amp;R33</f>
        <v>3/1</v>
      </c>
      <c r="AH33" s="20" t="str">
        <f t="shared" si="3"/>
        <v>인후동1가 아중마을부영5차</v>
      </c>
      <c r="AI33" s="86">
        <f t="shared" si="4"/>
        <v>25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>O</v>
      </c>
      <c r="AP33" s="78" t="str">
        <f>IF(I33="","",IF(I33&lt;=$AP$1,"O","X"))</f>
        <v>O</v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O</v>
      </c>
      <c r="AU33" s="78" t="str">
        <f>IF(C33="","",IF(C33&gt;=$AU$1,"O","X"))</f>
        <v>O</v>
      </c>
      <c r="AV33" s="78" t="str">
        <f>IF(AO33="","",IF(AND(AO33="O",AP33="O",AR33="O",AT33="O",AU33="O"),"후보","X"))</f>
        <v>후보</v>
      </c>
    </row>
    <row r="34" spans="1:48" s="37" customFormat="1" ht="12" x14ac:dyDescent="0.3">
      <c r="A34" s="73" t="s">
        <v>1776</v>
      </c>
      <c r="B34" s="74" t="s">
        <v>1777</v>
      </c>
      <c r="C34" s="84">
        <v>1153</v>
      </c>
      <c r="D34" s="85">
        <v>102.4</v>
      </c>
      <c r="E34" s="86">
        <v>31</v>
      </c>
      <c r="F34" s="85">
        <v>85</v>
      </c>
      <c r="G34" s="17">
        <v>26</v>
      </c>
      <c r="H34" s="87">
        <v>649</v>
      </c>
      <c r="I34" s="88">
        <v>24200</v>
      </c>
      <c r="J34" s="88" t="s">
        <v>104</v>
      </c>
      <c r="K34" s="88">
        <v>21500</v>
      </c>
      <c r="L34" s="88" t="s">
        <v>68</v>
      </c>
      <c r="M34" s="89">
        <f>I34-K34</f>
        <v>2700</v>
      </c>
      <c r="N34" s="4">
        <f>IF(ISERROR(K34/I34),"",K34/I34)</f>
        <v>0.88842975206611574</v>
      </c>
      <c r="O34" s="90">
        <f>I34/E34</f>
        <v>780.64516129032256</v>
      </c>
      <c r="P34" s="90">
        <f>K34/E34</f>
        <v>693.54838709677415</v>
      </c>
      <c r="Q34" s="78">
        <v>3</v>
      </c>
      <c r="R34" s="78">
        <v>2</v>
      </c>
      <c r="S34" s="78" t="s">
        <v>59</v>
      </c>
      <c r="T34" s="5">
        <v>102</v>
      </c>
      <c r="U34" s="9"/>
      <c r="W34" s="85">
        <f t="shared" ref="W34:X34" si="43">D34</f>
        <v>102.4</v>
      </c>
      <c r="X34" s="86">
        <f t="shared" si="43"/>
        <v>31</v>
      </c>
      <c r="Y34" s="91">
        <f t="shared" ref="Y34:Z34" si="44">H34</f>
        <v>649</v>
      </c>
      <c r="Z34" s="89">
        <f t="shared" si="44"/>
        <v>24200</v>
      </c>
      <c r="AA34" s="89">
        <f>K34</f>
        <v>21500</v>
      </c>
      <c r="AB34" s="89">
        <f t="shared" si="42"/>
        <v>2700</v>
      </c>
      <c r="AC34" s="4">
        <f t="shared" si="42"/>
        <v>0.88842975206611574</v>
      </c>
      <c r="AD34" s="90">
        <f t="shared" si="42"/>
        <v>780.64516129032256</v>
      </c>
      <c r="AE34" s="78" t="str">
        <f>S34</f>
        <v>계</v>
      </c>
      <c r="AF34" s="78" t="str">
        <f>Q34&amp;"/"&amp;R34</f>
        <v>3/2</v>
      </c>
      <c r="AH34" s="20" t="str">
        <f t="shared" si="3"/>
        <v>인후동1가 아중현대</v>
      </c>
      <c r="AI34" s="86">
        <f t="shared" si="4"/>
        <v>31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>O</v>
      </c>
      <c r="AP34" s="78" t="str">
        <f>IF(I34="","",IF(I34&lt;=$AP$1,"O","X"))</f>
        <v>O</v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후보</v>
      </c>
    </row>
    <row r="35" spans="1:48" s="37" customFormat="1" ht="12" x14ac:dyDescent="0.3">
      <c r="A35" s="73" t="s">
        <v>1828</v>
      </c>
      <c r="B35" s="74" t="s">
        <v>1829</v>
      </c>
      <c r="C35" s="84">
        <v>360</v>
      </c>
      <c r="D35" s="85">
        <v>81.8</v>
      </c>
      <c r="E35" s="86">
        <v>25</v>
      </c>
      <c r="F35" s="85">
        <v>59.6</v>
      </c>
      <c r="G35" s="17">
        <v>18</v>
      </c>
      <c r="H35" s="87">
        <v>360</v>
      </c>
      <c r="I35" s="88">
        <v>15000</v>
      </c>
      <c r="J35" s="88" t="s">
        <v>69</v>
      </c>
      <c r="K35" s="88">
        <v>13500</v>
      </c>
      <c r="L35" s="88" t="s">
        <v>127</v>
      </c>
      <c r="M35" s="89">
        <f>I35-K35</f>
        <v>1500</v>
      </c>
      <c r="N35" s="4">
        <f>IF(ISERROR(K35/I35),"",K35/I35)</f>
        <v>0.9</v>
      </c>
      <c r="O35" s="90">
        <f>I35/E35</f>
        <v>600</v>
      </c>
      <c r="P35" s="90">
        <f>K35/E35</f>
        <v>540</v>
      </c>
      <c r="Q35" s="78">
        <v>3</v>
      </c>
      <c r="R35" s="78">
        <v>2</v>
      </c>
      <c r="S35" s="78" t="s">
        <v>59</v>
      </c>
      <c r="T35" s="5">
        <v>81</v>
      </c>
      <c r="U35" s="9"/>
      <c r="W35" s="85">
        <f>D35</f>
        <v>81.8</v>
      </c>
      <c r="X35" s="86">
        <f>E35</f>
        <v>25</v>
      </c>
      <c r="Y35" s="91">
        <f>H35</f>
        <v>360</v>
      </c>
      <c r="Z35" s="89">
        <f>I35</f>
        <v>15000</v>
      </c>
      <c r="AA35" s="89">
        <f>K35</f>
        <v>13500</v>
      </c>
      <c r="AB35" s="89">
        <f>M35</f>
        <v>1500</v>
      </c>
      <c r="AC35" s="4">
        <f>N35</f>
        <v>0.9</v>
      </c>
      <c r="AD35" s="90">
        <f>O35</f>
        <v>600</v>
      </c>
      <c r="AE35" s="78" t="str">
        <f>S35</f>
        <v>계</v>
      </c>
      <c r="AF35" s="78" t="str">
        <f>Q35&amp;"/"&amp;R35</f>
        <v>3/2</v>
      </c>
      <c r="AH35" s="20" t="str">
        <f t="shared" si="3"/>
        <v>인후동1가 아중제일2차</v>
      </c>
      <c r="AI35" s="86">
        <f t="shared" si="4"/>
        <v>25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O</v>
      </c>
      <c r="AP35" s="78" t="str">
        <f>IF(I35="","",IF(I35&lt;=$AP$1,"O","X"))</f>
        <v>O</v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후보</v>
      </c>
    </row>
    <row r="36" spans="1:48" s="37" customFormat="1" ht="12" x14ac:dyDescent="0.3">
      <c r="A36" s="73" t="s">
        <v>1782</v>
      </c>
      <c r="B36" s="74" t="s">
        <v>1830</v>
      </c>
      <c r="C36" s="84">
        <v>1236</v>
      </c>
      <c r="D36" s="85">
        <v>108.4</v>
      </c>
      <c r="E36" s="86">
        <v>33</v>
      </c>
      <c r="F36" s="85">
        <v>85</v>
      </c>
      <c r="G36" s="17">
        <v>26</v>
      </c>
      <c r="H36" s="87">
        <v>382</v>
      </c>
      <c r="I36" s="88">
        <v>35000</v>
      </c>
      <c r="J36" s="88" t="s">
        <v>69</v>
      </c>
      <c r="K36" s="88">
        <v>30000</v>
      </c>
      <c r="L36" s="88" t="s">
        <v>68</v>
      </c>
      <c r="M36" s="89">
        <f t="shared" ref="M36:M37" si="45">I36-K36</f>
        <v>5000</v>
      </c>
      <c r="N36" s="4">
        <f t="shared" ref="N36:N37" si="46">IF(ISERROR(K36/I36),"",K36/I36)</f>
        <v>0.8571428571428571</v>
      </c>
      <c r="O36" s="90">
        <f t="shared" ref="O36:O37" si="47">I36/E36</f>
        <v>1060.6060606060605</v>
      </c>
      <c r="P36" s="90">
        <f t="shared" ref="P36:P37" si="48">K36/E36</f>
        <v>909.09090909090912</v>
      </c>
      <c r="Q36" s="78">
        <v>3</v>
      </c>
      <c r="R36" s="78">
        <v>2</v>
      </c>
      <c r="S36" s="78" t="s">
        <v>59</v>
      </c>
      <c r="T36" s="5">
        <v>108</v>
      </c>
      <c r="U36" s="9"/>
      <c r="W36" s="85">
        <f t="shared" ref="W36:X37" si="49">D36</f>
        <v>108.4</v>
      </c>
      <c r="X36" s="86">
        <f t="shared" si="49"/>
        <v>33</v>
      </c>
      <c r="Y36" s="91">
        <f t="shared" ref="Y36:Z37" si="50">H36</f>
        <v>382</v>
      </c>
      <c r="Z36" s="89">
        <f t="shared" si="50"/>
        <v>35000</v>
      </c>
      <c r="AA36" s="89">
        <f t="shared" ref="AA36:AA37" si="51">K36</f>
        <v>30000</v>
      </c>
      <c r="AB36" s="89">
        <f t="shared" ref="AB36:AD50" si="52">M36</f>
        <v>5000</v>
      </c>
      <c r="AC36" s="4">
        <f t="shared" si="52"/>
        <v>0.8571428571428571</v>
      </c>
      <c r="AD36" s="90">
        <f t="shared" si="52"/>
        <v>1060.6060606060605</v>
      </c>
      <c r="AE36" s="78" t="str">
        <f t="shared" ref="AE36:AE37" si="53">S36</f>
        <v>계</v>
      </c>
      <c r="AF36" s="78" t="str">
        <f t="shared" ref="AF36:AF37" si="54">Q36&amp;"/"&amp;R36</f>
        <v>3/2</v>
      </c>
      <c r="AH36" s="20" t="str">
        <f t="shared" si="3"/>
        <v>인후동1가 인후한신휴플러스</v>
      </c>
      <c r="AI36" s="86">
        <f t="shared" si="4"/>
        <v>33</v>
      </c>
      <c r="AJ36" s="78" t="str">
        <f t="shared" ref="AJ36:AJ37" si="55"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 t="shared" ref="AN36:AN37" si="56">IF(AI36="","",$AN$2)</f>
        <v>C</v>
      </c>
      <c r="AO36" s="78" t="str">
        <f t="shared" ref="AO36:AO37" si="57">IF(N36="","",IF(N36&gt;=$AO$1/100,"O","X"))</f>
        <v>O</v>
      </c>
      <c r="AP36" s="78" t="str">
        <f t="shared" ref="AP36:AP37" si="58">IF(I36="","",IF(I36&lt;=$AP$1,"O","X"))</f>
        <v>O</v>
      </c>
      <c r="AQ36" s="78" t="str">
        <f t="shared" ref="AQ36:AQ37" si="59">IF(O36="","",IF(O36&lt;=$AQ$1,"O","X"))</f>
        <v>X</v>
      </c>
      <c r="AR36" s="78" t="str">
        <f t="shared" ref="AR36:AR37" si="60">IF(M36="","",IF(M36&lt;=$AR$1,"O","X"))</f>
        <v>O</v>
      </c>
      <c r="AS36" s="78" t="s">
        <v>2</v>
      </c>
      <c r="AT36" s="78" t="str">
        <f t="shared" ref="AT36:AT37" si="61">IF(OR(F36="",AI36=""),"",IF(AND((F36&lt;=85),(AI36&gt;=15)),"O","X"))</f>
        <v>O</v>
      </c>
      <c r="AU36" s="78" t="str">
        <f t="shared" ref="AU36:AU37" si="62">IF(C36="","",IF(C36&gt;=$AU$1,"O","X"))</f>
        <v>O</v>
      </c>
      <c r="AV36" s="78" t="str">
        <f t="shared" ref="AV36:AV37" si="63">IF(AO36="","",IF(AND(AO36="O",AP36="O",AR36="O",AT36="O",AU36="O"),"후보","X"))</f>
        <v>후보</v>
      </c>
    </row>
    <row r="37" spans="1:48" s="37" customFormat="1" ht="12" x14ac:dyDescent="0.3">
      <c r="A37" s="73" t="s">
        <v>1782</v>
      </c>
      <c r="B37" s="74" t="s">
        <v>1783</v>
      </c>
      <c r="C37" s="84">
        <v>1236</v>
      </c>
      <c r="D37" s="85">
        <v>112</v>
      </c>
      <c r="E37" s="86">
        <v>34</v>
      </c>
      <c r="F37" s="85">
        <v>84.8</v>
      </c>
      <c r="G37" s="17">
        <v>26</v>
      </c>
      <c r="H37" s="87">
        <v>195</v>
      </c>
      <c r="I37" s="88">
        <v>32500</v>
      </c>
      <c r="J37" s="88" t="s">
        <v>68</v>
      </c>
      <c r="K37" s="88">
        <v>27500</v>
      </c>
      <c r="L37" s="88" t="s">
        <v>131</v>
      </c>
      <c r="M37" s="89">
        <f t="shared" si="45"/>
        <v>5000</v>
      </c>
      <c r="N37" s="4">
        <f t="shared" si="46"/>
        <v>0.84615384615384615</v>
      </c>
      <c r="O37" s="90">
        <f t="shared" si="47"/>
        <v>955.88235294117646</v>
      </c>
      <c r="P37" s="90">
        <f t="shared" si="48"/>
        <v>808.82352941176475</v>
      </c>
      <c r="Q37" s="78">
        <v>3</v>
      </c>
      <c r="R37" s="78">
        <v>2</v>
      </c>
      <c r="S37" s="78" t="s">
        <v>59</v>
      </c>
      <c r="T37" s="5" t="s">
        <v>160</v>
      </c>
      <c r="U37" s="9"/>
      <c r="W37" s="85">
        <f t="shared" si="49"/>
        <v>112</v>
      </c>
      <c r="X37" s="86">
        <f t="shared" si="49"/>
        <v>34</v>
      </c>
      <c r="Y37" s="91">
        <f t="shared" si="50"/>
        <v>195</v>
      </c>
      <c r="Z37" s="89">
        <f t="shared" si="50"/>
        <v>32500</v>
      </c>
      <c r="AA37" s="89">
        <f t="shared" si="51"/>
        <v>27500</v>
      </c>
      <c r="AB37" s="89">
        <f t="shared" si="52"/>
        <v>5000</v>
      </c>
      <c r="AC37" s="4">
        <f t="shared" si="52"/>
        <v>0.84615384615384615</v>
      </c>
      <c r="AD37" s="90">
        <f t="shared" si="52"/>
        <v>955.88235294117646</v>
      </c>
      <c r="AE37" s="78" t="str">
        <f t="shared" si="53"/>
        <v>계</v>
      </c>
      <c r="AF37" s="78" t="str">
        <f t="shared" si="54"/>
        <v>3/2</v>
      </c>
      <c r="AH37" s="20" t="str">
        <f t="shared" si="3"/>
        <v>인후동1가 인후한신휴플러스</v>
      </c>
      <c r="AI37" s="86">
        <f t="shared" si="4"/>
        <v>34</v>
      </c>
      <c r="AJ37" s="78" t="str">
        <f t="shared" si="55"/>
        <v>A-</v>
      </c>
      <c r="AK37" s="78" t="s">
        <v>13</v>
      </c>
      <c r="AL37" s="78" t="s">
        <v>61</v>
      </c>
      <c r="AM37" s="78" t="s">
        <v>62</v>
      </c>
      <c r="AN37" s="78" t="str">
        <f t="shared" si="56"/>
        <v>C</v>
      </c>
      <c r="AO37" s="78" t="str">
        <f t="shared" si="57"/>
        <v>O</v>
      </c>
      <c r="AP37" s="78" t="str">
        <f t="shared" si="58"/>
        <v>O</v>
      </c>
      <c r="AQ37" s="78" t="str">
        <f t="shared" si="59"/>
        <v>O</v>
      </c>
      <c r="AR37" s="78" t="str">
        <f t="shared" si="60"/>
        <v>O</v>
      </c>
      <c r="AS37" s="78" t="s">
        <v>2</v>
      </c>
      <c r="AT37" s="78" t="str">
        <f t="shared" si="61"/>
        <v>O</v>
      </c>
      <c r="AU37" s="78" t="str">
        <f t="shared" si="62"/>
        <v>O</v>
      </c>
      <c r="AV37" s="78" t="str">
        <f t="shared" si="63"/>
        <v>후보</v>
      </c>
    </row>
    <row r="38" spans="1:48" s="37" customFormat="1" ht="12" x14ac:dyDescent="0.3">
      <c r="A38" s="73" t="s">
        <v>1831</v>
      </c>
      <c r="B38" s="74" t="s">
        <v>1827</v>
      </c>
      <c r="C38" s="84">
        <v>1335</v>
      </c>
      <c r="D38" s="85">
        <v>68.5</v>
      </c>
      <c r="E38" s="86">
        <v>21</v>
      </c>
      <c r="F38" s="85">
        <v>49.8</v>
      </c>
      <c r="G38" s="17">
        <v>15</v>
      </c>
      <c r="H38" s="87">
        <v>180</v>
      </c>
      <c r="I38" s="88">
        <v>11500</v>
      </c>
      <c r="J38" s="88" t="s">
        <v>104</v>
      </c>
      <c r="K38" s="88">
        <v>10500</v>
      </c>
      <c r="L38" s="88" t="s">
        <v>104</v>
      </c>
      <c r="M38" s="89">
        <f>I38-K38</f>
        <v>1000</v>
      </c>
      <c r="N38" s="4">
        <f>IF(ISERROR(K38/I38),"",K38/I38)</f>
        <v>0.91304347826086951</v>
      </c>
      <c r="O38" s="90">
        <f>I38/E38</f>
        <v>547.61904761904759</v>
      </c>
      <c r="P38" s="90">
        <f>K38/E38</f>
        <v>500</v>
      </c>
      <c r="Q38" s="78">
        <v>2</v>
      </c>
      <c r="R38" s="78">
        <v>1</v>
      </c>
      <c r="S38" s="78" t="s">
        <v>59</v>
      </c>
      <c r="T38" s="5">
        <v>68</v>
      </c>
      <c r="U38" s="9"/>
      <c r="W38" s="85">
        <f>D38</f>
        <v>68.5</v>
      </c>
      <c r="X38" s="86">
        <f>E38</f>
        <v>21</v>
      </c>
      <c r="Y38" s="91">
        <f>H38</f>
        <v>180</v>
      </c>
      <c r="Z38" s="89">
        <f>I38</f>
        <v>11500</v>
      </c>
      <c r="AA38" s="89">
        <f>K38</f>
        <v>10500</v>
      </c>
      <c r="AB38" s="89">
        <f t="shared" si="52"/>
        <v>1000</v>
      </c>
      <c r="AC38" s="4">
        <f t="shared" si="52"/>
        <v>0.91304347826086951</v>
      </c>
      <c r="AD38" s="90">
        <f t="shared" si="52"/>
        <v>547.61904761904759</v>
      </c>
      <c r="AE38" s="78" t="str">
        <f>S38</f>
        <v>계</v>
      </c>
      <c r="AF38" s="78" t="str">
        <f>Q38&amp;"/"&amp;R38</f>
        <v>2/1</v>
      </c>
      <c r="AH38" s="20" t="str">
        <f t="shared" si="3"/>
        <v>인후동1가 인후꿈마을부영2차</v>
      </c>
      <c r="AI38" s="86">
        <f t="shared" si="4"/>
        <v>21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>O</v>
      </c>
      <c r="AP38" s="78" t="str">
        <f>IF(I38="","",IF(I38&lt;=$AP$1,"O","X"))</f>
        <v>O</v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후보</v>
      </c>
    </row>
    <row r="39" spans="1:48" s="37" customFormat="1" ht="12" x14ac:dyDescent="0.3">
      <c r="A39" s="73" t="s">
        <v>1832</v>
      </c>
      <c r="B39" s="74" t="s">
        <v>1771</v>
      </c>
      <c r="C39" s="84">
        <v>1335</v>
      </c>
      <c r="D39" s="85">
        <v>82.4</v>
      </c>
      <c r="E39" s="86">
        <v>25</v>
      </c>
      <c r="F39" s="85">
        <v>59.9</v>
      </c>
      <c r="G39" s="17">
        <v>18</v>
      </c>
      <c r="H39" s="87">
        <v>1155</v>
      </c>
      <c r="I39" s="88">
        <v>11900</v>
      </c>
      <c r="J39" s="88" t="s">
        <v>72</v>
      </c>
      <c r="K39" s="88">
        <v>13000</v>
      </c>
      <c r="L39" s="88" t="s">
        <v>83</v>
      </c>
      <c r="M39" s="89">
        <f>I39-K39</f>
        <v>-1100</v>
      </c>
      <c r="N39" s="4">
        <f>IF(ISERROR(K39/I39),"",K39/I39)</f>
        <v>1.0924369747899159</v>
      </c>
      <c r="O39" s="90">
        <f>I39/E39</f>
        <v>476</v>
      </c>
      <c r="P39" s="90">
        <f>K39/E39</f>
        <v>520</v>
      </c>
      <c r="Q39" s="78">
        <v>3</v>
      </c>
      <c r="R39" s="78">
        <v>1</v>
      </c>
      <c r="S39" s="78" t="s">
        <v>59</v>
      </c>
      <c r="T39" s="5">
        <v>82</v>
      </c>
      <c r="U39" s="9"/>
      <c r="W39" s="85">
        <f>D39</f>
        <v>82.4</v>
      </c>
      <c r="X39" s="86">
        <f>E39</f>
        <v>25</v>
      </c>
      <c r="Y39" s="91">
        <f>H39</f>
        <v>1155</v>
      </c>
      <c r="Z39" s="89">
        <f>I39</f>
        <v>11900</v>
      </c>
      <c r="AA39" s="89">
        <f>K39</f>
        <v>13000</v>
      </c>
      <c r="AB39" s="89">
        <f t="shared" si="52"/>
        <v>-1100</v>
      </c>
      <c r="AC39" s="4">
        <f t="shared" si="52"/>
        <v>1.0924369747899159</v>
      </c>
      <c r="AD39" s="90">
        <f t="shared" si="52"/>
        <v>476</v>
      </c>
      <c r="AE39" s="78" t="str">
        <f>S39</f>
        <v>계</v>
      </c>
      <c r="AF39" s="78" t="str">
        <f>Q39&amp;"/"&amp;R39</f>
        <v>3/1</v>
      </c>
      <c r="AH39" s="20" t="str">
        <f t="shared" si="3"/>
        <v>인후동1가 인후꿈마을부영2차</v>
      </c>
      <c r="AI39" s="86">
        <f t="shared" si="4"/>
        <v>25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>O</v>
      </c>
      <c r="AP39" s="78" t="str">
        <f>IF(I39="","",IF(I39&lt;=$AP$1,"O","X"))</f>
        <v>O</v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후보</v>
      </c>
    </row>
    <row r="40" spans="1:48" s="37" customFormat="1" ht="12" x14ac:dyDescent="0.3">
      <c r="A40" s="73" t="s">
        <v>1833</v>
      </c>
      <c r="B40" s="74" t="s">
        <v>1834</v>
      </c>
      <c r="C40" s="84">
        <v>960</v>
      </c>
      <c r="D40" s="85">
        <v>68</v>
      </c>
      <c r="E40" s="86">
        <v>21</v>
      </c>
      <c r="F40" s="85">
        <v>50</v>
      </c>
      <c r="G40" s="17">
        <v>15</v>
      </c>
      <c r="H40" s="87">
        <v>495</v>
      </c>
      <c r="I40" s="88">
        <v>10700</v>
      </c>
      <c r="J40" s="88" t="s">
        <v>72</v>
      </c>
      <c r="K40" s="88">
        <v>11000</v>
      </c>
      <c r="L40" s="88" t="s">
        <v>111</v>
      </c>
      <c r="M40" s="89">
        <f>I40-K40</f>
        <v>-300</v>
      </c>
      <c r="N40" s="4">
        <f>IF(ISERROR(K40/I40),"",K40/I40)</f>
        <v>1.02803738317757</v>
      </c>
      <c r="O40" s="90">
        <f>I40/E40</f>
        <v>509.52380952380952</v>
      </c>
      <c r="P40" s="90">
        <f>K40/E40</f>
        <v>523.80952380952385</v>
      </c>
      <c r="Q40" s="78">
        <v>2</v>
      </c>
      <c r="R40" s="78">
        <v>1</v>
      </c>
      <c r="S40" s="78" t="s">
        <v>59</v>
      </c>
      <c r="T40" s="5">
        <v>68</v>
      </c>
      <c r="U40" s="9"/>
      <c r="W40" s="85">
        <f>D40</f>
        <v>68</v>
      </c>
      <c r="X40" s="86">
        <f>E40</f>
        <v>21</v>
      </c>
      <c r="Y40" s="91">
        <f>H40</f>
        <v>495</v>
      </c>
      <c r="Z40" s="89">
        <f>I40</f>
        <v>10700</v>
      </c>
      <c r="AA40" s="89">
        <f>K40</f>
        <v>11000</v>
      </c>
      <c r="AB40" s="89">
        <f t="shared" si="52"/>
        <v>-300</v>
      </c>
      <c r="AC40" s="4">
        <f t="shared" si="52"/>
        <v>1.02803738317757</v>
      </c>
      <c r="AD40" s="90">
        <f t="shared" si="52"/>
        <v>509.52380952380952</v>
      </c>
      <c r="AE40" s="78" t="str">
        <f>S40</f>
        <v>계</v>
      </c>
      <c r="AF40" s="78" t="str">
        <f>Q40&amp;"/"&amp;R40</f>
        <v>2/1</v>
      </c>
      <c r="AH40" s="20" t="str">
        <f t="shared" si="3"/>
        <v>인후동1가 아중마을부영3차</v>
      </c>
      <c r="AI40" s="86">
        <f t="shared" si="4"/>
        <v>21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>O</v>
      </c>
      <c r="AP40" s="78" t="str">
        <f>IF(I40="","",IF(I40&lt;=$AP$1,"O","X"))</f>
        <v>O</v>
      </c>
      <c r="AQ40" s="78" t="str">
        <f>IF(O40="","",IF(O40&lt;=$AQ$1,"O","X"))</f>
        <v>O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후보</v>
      </c>
    </row>
    <row r="41" spans="1:48" s="37" customFormat="1" ht="12" x14ac:dyDescent="0.3">
      <c r="A41" s="73" t="s">
        <v>1833</v>
      </c>
      <c r="B41" s="74" t="s">
        <v>1690</v>
      </c>
      <c r="C41" s="84">
        <v>960</v>
      </c>
      <c r="D41" s="85">
        <v>81</v>
      </c>
      <c r="E41" s="86">
        <v>24</v>
      </c>
      <c r="F41" s="85">
        <v>59.5</v>
      </c>
      <c r="G41" s="17">
        <v>18</v>
      </c>
      <c r="H41" s="87">
        <v>465</v>
      </c>
      <c r="I41" s="88">
        <v>13500</v>
      </c>
      <c r="J41" s="88" t="s">
        <v>111</v>
      </c>
      <c r="K41" s="88">
        <v>12900</v>
      </c>
      <c r="L41" s="88" t="s">
        <v>72</v>
      </c>
      <c r="M41" s="89">
        <f>I41-K41</f>
        <v>600</v>
      </c>
      <c r="N41" s="4">
        <f>IF(ISERROR(K41/I41),"",K41/I41)</f>
        <v>0.9555555555555556</v>
      </c>
      <c r="O41" s="90">
        <f>I41/E41</f>
        <v>562.5</v>
      </c>
      <c r="P41" s="90">
        <f>K41/E41</f>
        <v>537.5</v>
      </c>
      <c r="Q41" s="78">
        <v>3</v>
      </c>
      <c r="R41" s="78">
        <v>1</v>
      </c>
      <c r="S41" s="78" t="s">
        <v>59</v>
      </c>
      <c r="T41" s="5">
        <v>80</v>
      </c>
      <c r="U41" s="9"/>
      <c r="W41" s="85">
        <f>D41</f>
        <v>81</v>
      </c>
      <c r="X41" s="86">
        <f>E41</f>
        <v>24</v>
      </c>
      <c r="Y41" s="91">
        <f>H41</f>
        <v>465</v>
      </c>
      <c r="Z41" s="89">
        <f>I41</f>
        <v>13500</v>
      </c>
      <c r="AA41" s="89">
        <f>K41</f>
        <v>12900</v>
      </c>
      <c r="AB41" s="89">
        <f t="shared" si="52"/>
        <v>600</v>
      </c>
      <c r="AC41" s="4">
        <f t="shared" si="52"/>
        <v>0.9555555555555556</v>
      </c>
      <c r="AD41" s="90">
        <f t="shared" si="52"/>
        <v>562.5</v>
      </c>
      <c r="AE41" s="78" t="str">
        <f>S41</f>
        <v>계</v>
      </c>
      <c r="AF41" s="78" t="str">
        <f>Q41&amp;"/"&amp;R41</f>
        <v>3/1</v>
      </c>
      <c r="AH41" s="20" t="str">
        <f t="shared" si="3"/>
        <v>인후동1가 아중마을부영3차</v>
      </c>
      <c r="AI41" s="86">
        <f t="shared" si="4"/>
        <v>24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O</v>
      </c>
      <c r="AP41" s="78" t="str">
        <f>IF(I41="","",IF(I41&lt;=$AP$1,"O","X"))</f>
        <v>O</v>
      </c>
      <c r="AQ41" s="78" t="str">
        <f>IF(O41="","",IF(O41&lt;=$AQ$1,"O","X"))</f>
        <v>O</v>
      </c>
      <c r="AR41" s="78" t="str">
        <f>IF(M41="","",IF(M41&lt;=$AR$1,"O","X"))</f>
        <v>O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후보</v>
      </c>
    </row>
    <row r="42" spans="1:48" s="37" customFormat="1" ht="12" x14ac:dyDescent="0.3">
      <c r="A42" s="73" t="s">
        <v>1787</v>
      </c>
      <c r="B42" s="74" t="s">
        <v>1788</v>
      </c>
      <c r="C42" s="84">
        <v>371</v>
      </c>
      <c r="D42" s="85">
        <v>84.4</v>
      </c>
      <c r="E42" s="86">
        <v>26</v>
      </c>
      <c r="F42" s="85">
        <v>60</v>
      </c>
      <c r="G42" s="17">
        <v>18</v>
      </c>
      <c r="H42" s="87">
        <v>86</v>
      </c>
      <c r="I42" s="88">
        <v>30000</v>
      </c>
      <c r="J42" s="88" t="s">
        <v>68</v>
      </c>
      <c r="K42" s="88">
        <v>25000</v>
      </c>
      <c r="L42" s="88" t="s">
        <v>68</v>
      </c>
      <c r="M42" s="89">
        <f>I42-K42</f>
        <v>5000</v>
      </c>
      <c r="N42" s="4">
        <f>IF(ISERROR(K42/I42),"",K42/I42)</f>
        <v>0.83333333333333337</v>
      </c>
      <c r="O42" s="90">
        <f>I42/E42</f>
        <v>1153.8461538461538</v>
      </c>
      <c r="P42" s="90">
        <f>K42/E42</f>
        <v>961.53846153846155</v>
      </c>
      <c r="Q42" s="78">
        <v>3</v>
      </c>
      <c r="R42" s="78">
        <v>2</v>
      </c>
      <c r="S42" s="78" t="s">
        <v>59</v>
      </c>
      <c r="T42" s="5" t="s">
        <v>217</v>
      </c>
      <c r="U42" s="9"/>
      <c r="W42" s="85">
        <f t="shared" ref="W42:X50" si="64">D42</f>
        <v>84.4</v>
      </c>
      <c r="X42" s="86">
        <f t="shared" si="64"/>
        <v>26</v>
      </c>
      <c r="Y42" s="91">
        <f t="shared" ref="Y42:Z50" si="65">H42</f>
        <v>86</v>
      </c>
      <c r="Z42" s="89">
        <f t="shared" si="65"/>
        <v>30000</v>
      </c>
      <c r="AA42" s="89">
        <f>K42</f>
        <v>25000</v>
      </c>
      <c r="AB42" s="89">
        <f t="shared" si="52"/>
        <v>5000</v>
      </c>
      <c r="AC42" s="4">
        <f t="shared" si="52"/>
        <v>0.83333333333333337</v>
      </c>
      <c r="AD42" s="90">
        <f t="shared" si="52"/>
        <v>1153.8461538461538</v>
      </c>
      <c r="AE42" s="78" t="str">
        <f>S42</f>
        <v>계</v>
      </c>
      <c r="AF42" s="78" t="str">
        <f>Q42&amp;"/"&amp;R42</f>
        <v>3/2</v>
      </c>
      <c r="AH42" s="20" t="str">
        <f t="shared" si="3"/>
        <v>인후동2가 건지산이지움</v>
      </c>
      <c r="AI42" s="86">
        <f t="shared" si="4"/>
        <v>26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O</v>
      </c>
      <c r="AP42" s="78" t="str">
        <f>IF(I42="","",IF(I42&lt;=$AP$1,"O","X"))</f>
        <v>O</v>
      </c>
      <c r="AQ42" s="78" t="str">
        <f>IF(O42="","",IF(O42&lt;=$AQ$1,"O","X"))</f>
        <v>X</v>
      </c>
      <c r="AR42" s="78" t="str">
        <f>IF(M42="","",IF(M42&lt;=$AR$1,"O","X"))</f>
        <v>O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후보</v>
      </c>
    </row>
    <row r="43" spans="1:48" s="37" customFormat="1" ht="12" x14ac:dyDescent="0.3">
      <c r="A43" s="73" t="s">
        <v>1835</v>
      </c>
      <c r="B43" s="74" t="s">
        <v>1792</v>
      </c>
      <c r="C43" s="84">
        <v>316</v>
      </c>
      <c r="D43" s="85">
        <v>110.7</v>
      </c>
      <c r="E43" s="86">
        <v>33</v>
      </c>
      <c r="F43" s="85">
        <v>85</v>
      </c>
      <c r="G43" s="17">
        <v>26</v>
      </c>
      <c r="H43" s="87">
        <v>181</v>
      </c>
      <c r="I43" s="88">
        <v>39000</v>
      </c>
      <c r="J43" s="88" t="s">
        <v>89</v>
      </c>
      <c r="K43" s="88">
        <v>33000</v>
      </c>
      <c r="L43" s="88" t="s">
        <v>89</v>
      </c>
      <c r="M43" s="89">
        <f>I43-K43</f>
        <v>6000</v>
      </c>
      <c r="N43" s="4">
        <f>IF(ISERROR(K43/I43),"",K43/I43)</f>
        <v>0.84615384615384615</v>
      </c>
      <c r="O43" s="90">
        <f>I43/E43</f>
        <v>1181.8181818181818</v>
      </c>
      <c r="P43" s="90">
        <f>K43/E43</f>
        <v>1000</v>
      </c>
      <c r="Q43" s="78">
        <v>3</v>
      </c>
      <c r="R43" s="78">
        <v>2</v>
      </c>
      <c r="S43" s="78" t="s">
        <v>59</v>
      </c>
      <c r="T43" s="5" t="s">
        <v>91</v>
      </c>
      <c r="U43" s="9"/>
      <c r="W43" s="85">
        <f t="shared" si="64"/>
        <v>110.7</v>
      </c>
      <c r="X43" s="86">
        <f t="shared" si="64"/>
        <v>33</v>
      </c>
      <c r="Y43" s="91">
        <f t="shared" si="65"/>
        <v>181</v>
      </c>
      <c r="Z43" s="89">
        <f t="shared" si="65"/>
        <v>39000</v>
      </c>
      <c r="AA43" s="89">
        <f>K43</f>
        <v>33000</v>
      </c>
      <c r="AB43" s="89">
        <f t="shared" si="52"/>
        <v>6000</v>
      </c>
      <c r="AC43" s="4">
        <f t="shared" si="52"/>
        <v>0.84615384615384615</v>
      </c>
      <c r="AD43" s="90">
        <f t="shared" si="52"/>
        <v>1181.8181818181818</v>
      </c>
      <c r="AE43" s="78" t="str">
        <f>S43</f>
        <v>계</v>
      </c>
      <c r="AF43" s="78" t="str">
        <f>Q43&amp;"/"&amp;R43</f>
        <v>3/2</v>
      </c>
      <c r="AH43" s="20" t="str">
        <f t="shared" si="3"/>
        <v>장동 LH이노팰리스</v>
      </c>
      <c r="AI43" s="86">
        <f t="shared" si="4"/>
        <v>33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>O</v>
      </c>
      <c r="AP43" s="78" t="str">
        <f>IF(I43="","",IF(I43&lt;=$AP$1,"O","X"))</f>
        <v>O</v>
      </c>
      <c r="AQ43" s="78" t="str">
        <f>IF(O43="","",IF(O43&lt;=$AQ$1,"O","X"))</f>
        <v>X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후보</v>
      </c>
    </row>
    <row r="44" spans="1:48" s="37" customFormat="1" ht="12" x14ac:dyDescent="0.3">
      <c r="A44" s="73" t="s">
        <v>1836</v>
      </c>
      <c r="B44" s="74" t="s">
        <v>1796</v>
      </c>
      <c r="C44" s="84">
        <v>2102</v>
      </c>
      <c r="D44" s="85">
        <v>79.2</v>
      </c>
      <c r="E44" s="86">
        <v>24</v>
      </c>
      <c r="F44" s="85">
        <v>59.8</v>
      </c>
      <c r="G44" s="17">
        <v>18</v>
      </c>
      <c r="H44" s="87">
        <v>884</v>
      </c>
      <c r="I44" s="88">
        <v>10700</v>
      </c>
      <c r="J44" s="88" t="s">
        <v>127</v>
      </c>
      <c r="K44" s="88">
        <v>10500</v>
      </c>
      <c r="L44" s="88" t="s">
        <v>87</v>
      </c>
      <c r="M44" s="89">
        <f t="shared" ref="M44:M45" si="66">I44-K44</f>
        <v>200</v>
      </c>
      <c r="N44" s="4">
        <f t="shared" ref="N44:N45" si="67">IF(ISERROR(K44/I44),"",K44/I44)</f>
        <v>0.98130841121495327</v>
      </c>
      <c r="O44" s="90">
        <f t="shared" ref="O44:O45" si="68">I44/E44</f>
        <v>445.83333333333331</v>
      </c>
      <c r="P44" s="90">
        <f t="shared" ref="P44:P45" si="69">K44/E44</f>
        <v>437.5</v>
      </c>
      <c r="Q44" s="78">
        <v>3</v>
      </c>
      <c r="R44" s="78">
        <v>1</v>
      </c>
      <c r="S44" s="78" t="s">
        <v>65</v>
      </c>
      <c r="T44" s="5">
        <v>79</v>
      </c>
      <c r="U44" s="9"/>
      <c r="W44" s="85">
        <f t="shared" si="64"/>
        <v>79.2</v>
      </c>
      <c r="X44" s="86">
        <f t="shared" si="64"/>
        <v>24</v>
      </c>
      <c r="Y44" s="91">
        <f t="shared" si="65"/>
        <v>884</v>
      </c>
      <c r="Z44" s="89">
        <f t="shared" si="65"/>
        <v>10700</v>
      </c>
      <c r="AA44" s="89">
        <f t="shared" ref="AA44:AA45" si="70">K44</f>
        <v>10500</v>
      </c>
      <c r="AB44" s="89">
        <f t="shared" si="52"/>
        <v>200</v>
      </c>
      <c r="AC44" s="4">
        <f t="shared" si="52"/>
        <v>0.98130841121495327</v>
      </c>
      <c r="AD44" s="90">
        <f t="shared" si="52"/>
        <v>445.83333333333331</v>
      </c>
      <c r="AE44" s="78" t="str">
        <f t="shared" ref="AE44:AE45" si="71">S44</f>
        <v>복</v>
      </c>
      <c r="AF44" s="78" t="str">
        <f t="shared" ref="AF44:AF45" si="72">Q44&amp;"/"&amp;R44</f>
        <v>3/1</v>
      </c>
      <c r="AH44" s="20" t="str">
        <f t="shared" si="3"/>
        <v>진북동 우성</v>
      </c>
      <c r="AI44" s="86">
        <f t="shared" si="4"/>
        <v>24</v>
      </c>
      <c r="AJ44" s="78" t="str">
        <f t="shared" ref="AJ44:AJ45" si="73">IF(AI44="","",$AJ$2)</f>
        <v>A-</v>
      </c>
      <c r="AK44" s="78" t="s">
        <v>13</v>
      </c>
      <c r="AL44" s="78" t="s">
        <v>61</v>
      </c>
      <c r="AM44" s="78" t="s">
        <v>62</v>
      </c>
      <c r="AN44" s="78" t="str">
        <f t="shared" ref="AN44:AN45" si="74">IF(AI44="","",$AN$2)</f>
        <v>C</v>
      </c>
      <c r="AO44" s="78" t="str">
        <f t="shared" ref="AO44:AO45" si="75">IF(N44="","",IF(N44&gt;=$AO$1/100,"O","X"))</f>
        <v>O</v>
      </c>
      <c r="AP44" s="78" t="str">
        <f t="shared" ref="AP44:AP45" si="76">IF(I44="","",IF(I44&lt;=$AP$1,"O","X"))</f>
        <v>O</v>
      </c>
      <c r="AQ44" s="78" t="str">
        <f t="shared" ref="AQ44:AQ45" si="77">IF(O44="","",IF(O44&lt;=$AQ$1,"O","X"))</f>
        <v>O</v>
      </c>
      <c r="AR44" s="78" t="str">
        <f t="shared" ref="AR44:AR45" si="78">IF(M44="","",IF(M44&lt;=$AR$1,"O","X"))</f>
        <v>O</v>
      </c>
      <c r="AS44" s="78" t="s">
        <v>2</v>
      </c>
      <c r="AT44" s="78" t="str">
        <f t="shared" ref="AT44:AT45" si="79">IF(OR(F44="",AI44=""),"",IF(AND((F44&lt;=85),(AI44&gt;=15)),"O","X"))</f>
        <v>O</v>
      </c>
      <c r="AU44" s="78" t="str">
        <f t="shared" ref="AU44:AU45" si="80">IF(C44="","",IF(C44&gt;=$AU$1,"O","X"))</f>
        <v>O</v>
      </c>
      <c r="AV44" s="78" t="str">
        <f t="shared" ref="AV44:AV45" si="81">IF(AO44="","",IF(AND(AO44="O",AP44="O",AR44="O",AT44="O",AU44="O"),"후보","X"))</f>
        <v>후보</v>
      </c>
    </row>
    <row r="45" spans="1:48" s="37" customFormat="1" ht="12" x14ac:dyDescent="0.3">
      <c r="A45" s="73" t="s">
        <v>1836</v>
      </c>
      <c r="B45" s="74" t="s">
        <v>1796</v>
      </c>
      <c r="C45" s="84">
        <v>2102</v>
      </c>
      <c r="D45" s="85">
        <v>105</v>
      </c>
      <c r="E45" s="86">
        <v>32</v>
      </c>
      <c r="F45" s="85">
        <v>85</v>
      </c>
      <c r="G45" s="17">
        <v>26</v>
      </c>
      <c r="H45" s="87">
        <v>750</v>
      </c>
      <c r="I45" s="88">
        <v>20300</v>
      </c>
      <c r="J45" s="88" t="s">
        <v>99</v>
      </c>
      <c r="K45" s="88">
        <v>17000</v>
      </c>
      <c r="L45" s="88" t="s">
        <v>99</v>
      </c>
      <c r="M45" s="89">
        <f t="shared" si="66"/>
        <v>3300</v>
      </c>
      <c r="N45" s="4">
        <f t="shared" si="67"/>
        <v>0.83743842364532017</v>
      </c>
      <c r="O45" s="90">
        <f t="shared" si="68"/>
        <v>634.375</v>
      </c>
      <c r="P45" s="90">
        <f t="shared" si="69"/>
        <v>531.25</v>
      </c>
      <c r="Q45" s="78">
        <v>3</v>
      </c>
      <c r="R45" s="78">
        <v>2</v>
      </c>
      <c r="S45" s="78" t="s">
        <v>59</v>
      </c>
      <c r="T45" s="5">
        <v>104</v>
      </c>
      <c r="U45" s="9"/>
      <c r="W45" s="85">
        <f t="shared" si="64"/>
        <v>105</v>
      </c>
      <c r="X45" s="86">
        <f t="shared" si="64"/>
        <v>32</v>
      </c>
      <c r="Y45" s="91">
        <f t="shared" si="65"/>
        <v>750</v>
      </c>
      <c r="Z45" s="89">
        <f t="shared" si="65"/>
        <v>20300</v>
      </c>
      <c r="AA45" s="89">
        <f t="shared" si="70"/>
        <v>17000</v>
      </c>
      <c r="AB45" s="89">
        <f t="shared" si="52"/>
        <v>3300</v>
      </c>
      <c r="AC45" s="4">
        <f t="shared" si="52"/>
        <v>0.83743842364532017</v>
      </c>
      <c r="AD45" s="90">
        <f t="shared" si="52"/>
        <v>634.375</v>
      </c>
      <c r="AE45" s="78" t="str">
        <f t="shared" si="71"/>
        <v>계</v>
      </c>
      <c r="AF45" s="78" t="str">
        <f t="shared" si="72"/>
        <v>3/2</v>
      </c>
      <c r="AH45" s="20" t="str">
        <f t="shared" si="3"/>
        <v>진북동 우성</v>
      </c>
      <c r="AI45" s="86">
        <f t="shared" si="4"/>
        <v>32</v>
      </c>
      <c r="AJ45" s="78" t="str">
        <f t="shared" si="73"/>
        <v>A-</v>
      </c>
      <c r="AK45" s="78" t="s">
        <v>13</v>
      </c>
      <c r="AL45" s="78" t="s">
        <v>61</v>
      </c>
      <c r="AM45" s="78" t="s">
        <v>62</v>
      </c>
      <c r="AN45" s="78" t="str">
        <f t="shared" si="74"/>
        <v>C</v>
      </c>
      <c r="AO45" s="78" t="str">
        <f t="shared" si="75"/>
        <v>O</v>
      </c>
      <c r="AP45" s="78" t="str">
        <f t="shared" si="76"/>
        <v>O</v>
      </c>
      <c r="AQ45" s="78" t="str">
        <f t="shared" si="77"/>
        <v>O</v>
      </c>
      <c r="AR45" s="78" t="str">
        <f t="shared" si="78"/>
        <v>O</v>
      </c>
      <c r="AS45" s="78" t="s">
        <v>2</v>
      </c>
      <c r="AT45" s="78" t="str">
        <f t="shared" si="79"/>
        <v>O</v>
      </c>
      <c r="AU45" s="78" t="str">
        <f t="shared" si="80"/>
        <v>O</v>
      </c>
      <c r="AV45" s="78" t="str">
        <f t="shared" si="81"/>
        <v>후보</v>
      </c>
    </row>
    <row r="46" spans="1:48" s="37" customFormat="1" ht="12" x14ac:dyDescent="0.3">
      <c r="A46" s="73" t="s">
        <v>1797</v>
      </c>
      <c r="B46" s="74" t="s">
        <v>1798</v>
      </c>
      <c r="C46" s="84">
        <v>684</v>
      </c>
      <c r="D46" s="85">
        <v>84.8</v>
      </c>
      <c r="E46" s="86">
        <v>26</v>
      </c>
      <c r="F46" s="85">
        <v>60</v>
      </c>
      <c r="G46" s="17">
        <v>18</v>
      </c>
      <c r="H46" s="87">
        <v>240</v>
      </c>
      <c r="I46" s="88">
        <v>9300</v>
      </c>
      <c r="J46" s="88" t="s">
        <v>69</v>
      </c>
      <c r="K46" s="88">
        <v>9000</v>
      </c>
      <c r="L46" s="88" t="s">
        <v>131</v>
      </c>
      <c r="M46" s="89">
        <f>I46-K46</f>
        <v>300</v>
      </c>
      <c r="N46" s="4">
        <f>IF(ISERROR(K46/I46),"",K46/I46)</f>
        <v>0.967741935483871</v>
      </c>
      <c r="O46" s="90">
        <f>I46/E46</f>
        <v>357.69230769230768</v>
      </c>
      <c r="P46" s="90">
        <f>K46/E46</f>
        <v>346.15384615384613</v>
      </c>
      <c r="Q46" s="78">
        <v>2</v>
      </c>
      <c r="R46" s="78">
        <v>1</v>
      </c>
      <c r="S46" s="78" t="s">
        <v>65</v>
      </c>
      <c r="T46" s="5">
        <v>84</v>
      </c>
      <c r="U46" s="9"/>
      <c r="W46" s="85">
        <f t="shared" si="64"/>
        <v>84.8</v>
      </c>
      <c r="X46" s="86">
        <f t="shared" si="64"/>
        <v>26</v>
      </c>
      <c r="Y46" s="91">
        <f t="shared" si="65"/>
        <v>240</v>
      </c>
      <c r="Z46" s="89">
        <f t="shared" si="65"/>
        <v>9300</v>
      </c>
      <c r="AA46" s="89">
        <f>K46</f>
        <v>9000</v>
      </c>
      <c r="AB46" s="89">
        <f t="shared" si="52"/>
        <v>300</v>
      </c>
      <c r="AC46" s="4">
        <f t="shared" si="52"/>
        <v>0.967741935483871</v>
      </c>
      <c r="AD46" s="90">
        <f t="shared" si="52"/>
        <v>357.69230769230768</v>
      </c>
      <c r="AE46" s="78" t="str">
        <f>S46</f>
        <v>복</v>
      </c>
      <c r="AF46" s="78" t="str">
        <f>Q46&amp;"/"&amp;R46</f>
        <v>2/1</v>
      </c>
      <c r="AH46" s="20" t="str">
        <f t="shared" si="3"/>
        <v>호성동1가 동아</v>
      </c>
      <c r="AI46" s="86">
        <f t="shared" si="4"/>
        <v>26</v>
      </c>
      <c r="AJ46" s="78" t="str">
        <f>IF(AI46="","",$AJ$2)</f>
        <v>A-</v>
      </c>
      <c r="AK46" s="78" t="s">
        <v>13</v>
      </c>
      <c r="AL46" s="78" t="s">
        <v>61</v>
      </c>
      <c r="AM46" s="78" t="s">
        <v>62</v>
      </c>
      <c r="AN46" s="78" t="str">
        <f>IF(AI46="","",$AN$2)</f>
        <v>C</v>
      </c>
      <c r="AO46" s="78" t="str">
        <f>IF(N46="","",IF(N46&gt;=$AO$1/100,"O","X"))</f>
        <v>O</v>
      </c>
      <c r="AP46" s="78" t="str">
        <f>IF(I46="","",IF(I46&lt;=$AP$1,"O","X"))</f>
        <v>O</v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후보</v>
      </c>
    </row>
    <row r="47" spans="1:48" s="37" customFormat="1" ht="12" x14ac:dyDescent="0.3">
      <c r="A47" s="73" t="s">
        <v>1837</v>
      </c>
      <c r="B47" s="74" t="s">
        <v>1838</v>
      </c>
      <c r="C47" s="84">
        <v>530</v>
      </c>
      <c r="D47" s="85">
        <v>103.5</v>
      </c>
      <c r="E47" s="86">
        <v>31</v>
      </c>
      <c r="F47" s="85">
        <v>84.7</v>
      </c>
      <c r="G47" s="17">
        <v>26</v>
      </c>
      <c r="H47" s="87">
        <v>262</v>
      </c>
      <c r="I47" s="88">
        <v>16200</v>
      </c>
      <c r="J47" s="88" t="s">
        <v>68</v>
      </c>
      <c r="K47" s="88">
        <v>15000</v>
      </c>
      <c r="L47" s="88" t="s">
        <v>69</v>
      </c>
      <c r="M47" s="89">
        <f>I47-K47</f>
        <v>1200</v>
      </c>
      <c r="N47" s="4">
        <f>IF(ISERROR(K47/I47),"",K47/I47)</f>
        <v>0.92592592592592593</v>
      </c>
      <c r="O47" s="90">
        <f>I47/E47</f>
        <v>522.58064516129036</v>
      </c>
      <c r="P47" s="90">
        <f>K47/E47</f>
        <v>483.87096774193549</v>
      </c>
      <c r="Q47" s="78">
        <v>3</v>
      </c>
      <c r="R47" s="78">
        <v>2</v>
      </c>
      <c r="S47" s="78" t="s">
        <v>59</v>
      </c>
      <c r="T47" s="5">
        <v>103</v>
      </c>
      <c r="U47" s="9"/>
      <c r="W47" s="85">
        <f t="shared" si="64"/>
        <v>103.5</v>
      </c>
      <c r="X47" s="86">
        <f t="shared" si="64"/>
        <v>31</v>
      </c>
      <c r="Y47" s="91">
        <f t="shared" si="65"/>
        <v>262</v>
      </c>
      <c r="Z47" s="89">
        <f t="shared" si="65"/>
        <v>16200</v>
      </c>
      <c r="AA47" s="89">
        <f>K47</f>
        <v>15000</v>
      </c>
      <c r="AB47" s="89">
        <f t="shared" si="52"/>
        <v>1200</v>
      </c>
      <c r="AC47" s="4">
        <f t="shared" si="52"/>
        <v>0.92592592592592593</v>
      </c>
      <c r="AD47" s="90">
        <f t="shared" si="52"/>
        <v>522.58064516129036</v>
      </c>
      <c r="AE47" s="78" t="str">
        <f>S47</f>
        <v>계</v>
      </c>
      <c r="AF47" s="78" t="str">
        <f>Q47&amp;"/"&amp;R47</f>
        <v>3/2</v>
      </c>
      <c r="AH47" s="20" t="str">
        <f t="shared" si="3"/>
        <v>호성동1가 호성동신</v>
      </c>
      <c r="AI47" s="86">
        <f t="shared" si="4"/>
        <v>31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>O</v>
      </c>
      <c r="AP47" s="78" t="str">
        <f>IF(I47="","",IF(I47&lt;=$AP$1,"O","X"))</f>
        <v>O</v>
      </c>
      <c r="AQ47" s="78" t="str">
        <f>IF(O47="","",IF(O47&lt;=$AQ$1,"O","X"))</f>
        <v>O</v>
      </c>
      <c r="AR47" s="78" t="str">
        <f>IF(M47="","",IF(M47&lt;=$AR$1,"O","X"))</f>
        <v>O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후보</v>
      </c>
    </row>
    <row r="48" spans="1:48" s="37" customFormat="1" ht="12" x14ac:dyDescent="0.3">
      <c r="A48" s="73" t="s">
        <v>1839</v>
      </c>
      <c r="B48" s="74" t="s">
        <v>1801</v>
      </c>
      <c r="C48" s="84">
        <v>1911</v>
      </c>
      <c r="D48" s="85">
        <v>55.2</v>
      </c>
      <c r="E48" s="86">
        <v>17</v>
      </c>
      <c r="F48" s="85">
        <v>39.700000000000003</v>
      </c>
      <c r="G48" s="17">
        <v>12</v>
      </c>
      <c r="H48" s="87">
        <v>312</v>
      </c>
      <c r="I48" s="88">
        <v>7800</v>
      </c>
      <c r="J48" s="88" t="s">
        <v>131</v>
      </c>
      <c r="K48" s="88">
        <v>7500</v>
      </c>
      <c r="L48" s="88" t="s">
        <v>127</v>
      </c>
      <c r="M48" s="89">
        <f>I48-K48</f>
        <v>300</v>
      </c>
      <c r="N48" s="4">
        <f>IF(ISERROR(K48/I48),"",K48/I48)</f>
        <v>0.96153846153846156</v>
      </c>
      <c r="O48" s="90">
        <f>I48/E48</f>
        <v>458.8235294117647</v>
      </c>
      <c r="P48" s="90">
        <f>K48/E48</f>
        <v>441.1764705882353</v>
      </c>
      <c r="Q48" s="78">
        <v>2</v>
      </c>
      <c r="R48" s="78">
        <v>1</v>
      </c>
      <c r="S48" s="78" t="s">
        <v>59</v>
      </c>
      <c r="T48" s="5">
        <v>55</v>
      </c>
      <c r="U48" s="9"/>
      <c r="W48" s="85">
        <f t="shared" si="64"/>
        <v>55.2</v>
      </c>
      <c r="X48" s="86">
        <f t="shared" si="64"/>
        <v>17</v>
      </c>
      <c r="Y48" s="91">
        <f t="shared" si="65"/>
        <v>312</v>
      </c>
      <c r="Z48" s="89">
        <f t="shared" si="65"/>
        <v>7800</v>
      </c>
      <c r="AA48" s="89">
        <f>K48</f>
        <v>7500</v>
      </c>
      <c r="AB48" s="89">
        <f t="shared" si="52"/>
        <v>300</v>
      </c>
      <c r="AC48" s="4">
        <f t="shared" si="52"/>
        <v>0.96153846153846156</v>
      </c>
      <c r="AD48" s="90">
        <f t="shared" si="52"/>
        <v>458.8235294117647</v>
      </c>
      <c r="AE48" s="78" t="str">
        <f>S48</f>
        <v>계</v>
      </c>
      <c r="AF48" s="78" t="str">
        <f>Q48&amp;"/"&amp;R48</f>
        <v>2/1</v>
      </c>
      <c r="AH48" s="20" t="str">
        <f t="shared" si="3"/>
        <v>호성동1가 호성주공</v>
      </c>
      <c r="AI48" s="86">
        <f t="shared" si="4"/>
        <v>17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>O</v>
      </c>
      <c r="AP48" s="78" t="str">
        <f>IF(I48="","",IF(I48&lt;=$AP$1,"O","X"))</f>
        <v>O</v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후보</v>
      </c>
    </row>
    <row r="49" spans="1:48" s="37" customFormat="1" ht="12" x14ac:dyDescent="0.3">
      <c r="A49" s="73" t="s">
        <v>1839</v>
      </c>
      <c r="B49" s="74" t="s">
        <v>1801</v>
      </c>
      <c r="C49" s="84">
        <v>1911</v>
      </c>
      <c r="D49" s="85">
        <v>77.099999999999994</v>
      </c>
      <c r="E49" s="86">
        <v>23</v>
      </c>
      <c r="F49" s="85">
        <v>60</v>
      </c>
      <c r="G49" s="17">
        <v>18</v>
      </c>
      <c r="H49" s="87">
        <v>272</v>
      </c>
      <c r="I49" s="88">
        <v>14700</v>
      </c>
      <c r="J49" s="88" t="s">
        <v>82</v>
      </c>
      <c r="K49" s="88">
        <v>13500</v>
      </c>
      <c r="L49" s="88" t="s">
        <v>87</v>
      </c>
      <c r="M49" s="89">
        <f>I49-K49</f>
        <v>1200</v>
      </c>
      <c r="N49" s="4">
        <f>IF(ISERROR(K49/I49),"",K49/I49)</f>
        <v>0.91836734693877553</v>
      </c>
      <c r="O49" s="90">
        <f>I49/E49</f>
        <v>639.13043478260875</v>
      </c>
      <c r="P49" s="90">
        <f>K49/E49</f>
        <v>586.95652173913038</v>
      </c>
      <c r="Q49" s="78">
        <v>3</v>
      </c>
      <c r="R49" s="78">
        <v>1</v>
      </c>
      <c r="S49" s="78" t="s">
        <v>59</v>
      </c>
      <c r="T49" s="5">
        <v>77</v>
      </c>
      <c r="U49" s="9"/>
      <c r="W49" s="85">
        <f t="shared" si="64"/>
        <v>77.099999999999994</v>
      </c>
      <c r="X49" s="86">
        <f t="shared" si="64"/>
        <v>23</v>
      </c>
      <c r="Y49" s="91">
        <f t="shared" si="65"/>
        <v>272</v>
      </c>
      <c r="Z49" s="89">
        <f t="shared" si="65"/>
        <v>14700</v>
      </c>
      <c r="AA49" s="89">
        <f>K49</f>
        <v>13500</v>
      </c>
      <c r="AB49" s="89">
        <f t="shared" si="52"/>
        <v>1200</v>
      </c>
      <c r="AC49" s="4">
        <f t="shared" si="52"/>
        <v>0.91836734693877553</v>
      </c>
      <c r="AD49" s="90">
        <f t="shared" si="52"/>
        <v>639.13043478260875</v>
      </c>
      <c r="AE49" s="78" t="str">
        <f>S49</f>
        <v>계</v>
      </c>
      <c r="AF49" s="78" t="str">
        <f>Q49&amp;"/"&amp;R49</f>
        <v>3/1</v>
      </c>
      <c r="AH49" s="20" t="str">
        <f t="shared" si="3"/>
        <v>호성동1가 호성주공</v>
      </c>
      <c r="AI49" s="86">
        <f t="shared" si="4"/>
        <v>23</v>
      </c>
      <c r="AJ49" s="78" t="str">
        <f>IF(AI49="","",$AJ$2)</f>
        <v>A-</v>
      </c>
      <c r="AK49" s="78" t="s">
        <v>13</v>
      </c>
      <c r="AL49" s="78" t="s">
        <v>61</v>
      </c>
      <c r="AM49" s="78" t="s">
        <v>62</v>
      </c>
      <c r="AN49" s="78" t="str">
        <f>IF(AI49="","",$AN$2)</f>
        <v>C</v>
      </c>
      <c r="AO49" s="78" t="str">
        <f>IF(N49="","",IF(N49&gt;=$AO$1/100,"O","X"))</f>
        <v>O</v>
      </c>
      <c r="AP49" s="78" t="str">
        <f>IF(I49="","",IF(I49&lt;=$AP$1,"O","X"))</f>
        <v>O</v>
      </c>
      <c r="AQ49" s="78" t="str">
        <f>IF(O49="","",IF(O49&lt;=$AQ$1,"O","X"))</f>
        <v>O</v>
      </c>
      <c r="AR49" s="78" t="str">
        <f>IF(M49="","",IF(M49&lt;=$AR$1,"O","X"))</f>
        <v>O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후보</v>
      </c>
    </row>
    <row r="50" spans="1:48" s="37" customFormat="1" ht="12" x14ac:dyDescent="0.3">
      <c r="A50" s="73" t="s">
        <v>1839</v>
      </c>
      <c r="B50" s="74" t="s">
        <v>1801</v>
      </c>
      <c r="C50" s="84">
        <v>1911</v>
      </c>
      <c r="D50" s="85">
        <v>79.900000000000006</v>
      </c>
      <c r="E50" s="86">
        <v>24</v>
      </c>
      <c r="F50" s="85">
        <v>60</v>
      </c>
      <c r="G50" s="17">
        <v>18</v>
      </c>
      <c r="H50" s="87">
        <v>900</v>
      </c>
      <c r="I50" s="88">
        <v>14500</v>
      </c>
      <c r="J50" s="88" t="s">
        <v>155</v>
      </c>
      <c r="K50" s="88">
        <v>14000</v>
      </c>
      <c r="L50" s="88" t="s">
        <v>83</v>
      </c>
      <c r="M50" s="89">
        <f>I50-K50</f>
        <v>500</v>
      </c>
      <c r="N50" s="4">
        <f>IF(ISERROR(K50/I50),"",K50/I50)</f>
        <v>0.96551724137931039</v>
      </c>
      <c r="O50" s="90">
        <f>I50/E50</f>
        <v>604.16666666666663</v>
      </c>
      <c r="P50" s="90">
        <f>K50/E50</f>
        <v>583.33333333333337</v>
      </c>
      <c r="Q50" s="78">
        <v>3</v>
      </c>
      <c r="R50" s="78">
        <v>1</v>
      </c>
      <c r="S50" s="78" t="s">
        <v>59</v>
      </c>
      <c r="T50" s="5">
        <v>79</v>
      </c>
      <c r="U50" s="9"/>
      <c r="W50" s="85">
        <f t="shared" si="64"/>
        <v>79.900000000000006</v>
      </c>
      <c r="X50" s="86">
        <f t="shared" si="64"/>
        <v>24</v>
      </c>
      <c r="Y50" s="91">
        <f t="shared" si="65"/>
        <v>900</v>
      </c>
      <c r="Z50" s="89">
        <f t="shared" si="65"/>
        <v>14500</v>
      </c>
      <c r="AA50" s="89">
        <f>K50</f>
        <v>14000</v>
      </c>
      <c r="AB50" s="89">
        <f t="shared" si="52"/>
        <v>500</v>
      </c>
      <c r="AC50" s="4">
        <f t="shared" si="52"/>
        <v>0.96551724137931039</v>
      </c>
      <c r="AD50" s="90">
        <f t="shared" si="52"/>
        <v>604.16666666666663</v>
      </c>
      <c r="AE50" s="78" t="str">
        <f>S50</f>
        <v>계</v>
      </c>
      <c r="AF50" s="78" t="str">
        <f>Q50&amp;"/"&amp;R50</f>
        <v>3/1</v>
      </c>
      <c r="AH50" s="20" t="str">
        <f t="shared" si="3"/>
        <v>호성동1가 호성주공</v>
      </c>
      <c r="AI50" s="86">
        <f t="shared" si="4"/>
        <v>24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O</v>
      </c>
      <c r="AP50" s="78" t="str">
        <f>IF(I50="","",IF(I50&lt;=$AP$1,"O","X"))</f>
        <v>O</v>
      </c>
      <c r="AQ50" s="78" t="str">
        <f>IF(O50="","",IF(O50&lt;=$AQ$1,"O","X"))</f>
        <v>O</v>
      </c>
      <c r="AR50" s="78" t="str">
        <f>IF(M50="","",IF(M50&lt;=$AR$1,"O","X"))</f>
        <v>O</v>
      </c>
      <c r="AS50" s="78" t="s">
        <v>2</v>
      </c>
      <c r="AT50" s="78" t="str">
        <f>IF(OR(F50="",AI50=""),"",IF(AND((F50&lt;=85),(AI50&gt;=15)),"O","X"))</f>
        <v>O</v>
      </c>
      <c r="AU50" s="78" t="str">
        <f>IF(C50="","",IF(C50&gt;=$AU$1,"O","X"))</f>
        <v>O</v>
      </c>
      <c r="AV50" s="78" t="str">
        <f>IF(AO50="","",IF(AND(AO50="O",AP50="O",AR50="O",AT50="O",AU50="O"),"후보","X"))</f>
        <v>후보</v>
      </c>
    </row>
    <row r="51" spans="1:48" s="37" customFormat="1" ht="16.5" x14ac:dyDescent="0.3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72"/>
      <c r="L51" s="72"/>
      <c r="M51" s="72"/>
      <c r="N51" s="72"/>
      <c r="O51" s="72"/>
      <c r="P51" s="72"/>
      <c r="Q51" s="72"/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  <c r="AO51" s="72"/>
      <c r="AP51" s="72"/>
      <c r="AQ51" s="72"/>
      <c r="AR51" s="72"/>
      <c r="AS51" s="72"/>
      <c r="AT51" s="72"/>
      <c r="AU51" s="72"/>
      <c r="AV51" s="72"/>
    </row>
    <row r="52" spans="1:48" s="37" customFormat="1" ht="16.5" x14ac:dyDescent="0.3">
      <c r="A52" s="72"/>
      <c r="B52" s="72"/>
      <c r="C52" s="72"/>
      <c r="D52" s="72"/>
      <c r="E52" s="72"/>
      <c r="F52" s="72"/>
      <c r="G52" s="72"/>
      <c r="H52" s="72"/>
      <c r="I52" s="72"/>
      <c r="J52" s="72"/>
      <c r="K52" s="72"/>
      <c r="L52" s="72"/>
      <c r="M52" s="72"/>
      <c r="N52" s="72"/>
      <c r="O52" s="72"/>
      <c r="P52" s="72"/>
      <c r="Q52" s="72"/>
      <c r="R52" s="72"/>
      <c r="S52" s="72"/>
      <c r="T52" s="72"/>
      <c r="U52" s="72"/>
      <c r="V52" s="72"/>
      <c r="W52" s="72"/>
      <c r="X52" s="72"/>
      <c r="Y52" s="72"/>
      <c r="Z52" s="72"/>
      <c r="AA52" s="72"/>
      <c r="AB52" s="72"/>
      <c r="AC52" s="72"/>
      <c r="AD52" s="72"/>
      <c r="AE52" s="72"/>
      <c r="AF52" s="72"/>
      <c r="AG52" s="72"/>
      <c r="AH52" s="72"/>
      <c r="AI52" s="72"/>
      <c r="AJ52" s="72"/>
      <c r="AK52" s="72"/>
      <c r="AL52" s="72"/>
      <c r="AM52" s="72"/>
      <c r="AN52" s="72"/>
      <c r="AO52" s="72"/>
      <c r="AP52" s="72"/>
      <c r="AQ52" s="72"/>
      <c r="AR52" s="72"/>
      <c r="AS52" s="72"/>
      <c r="AT52" s="72"/>
      <c r="AU52" s="72"/>
      <c r="AV52" s="72"/>
    </row>
    <row r="53" spans="1:48" s="37" customFormat="1" ht="16.5" x14ac:dyDescent="0.3">
      <c r="A53" s="72"/>
      <c r="B53" s="72"/>
      <c r="C53" s="72"/>
      <c r="D53" s="72"/>
      <c r="E53" s="72"/>
      <c r="F53" s="72"/>
      <c r="G53" s="72"/>
      <c r="H53" s="72"/>
      <c r="I53" s="72"/>
      <c r="J53" s="72"/>
      <c r="K53" s="72"/>
      <c r="L53" s="72"/>
      <c r="M53" s="72"/>
      <c r="N53" s="72"/>
      <c r="O53" s="72"/>
      <c r="P53" s="72"/>
      <c r="Q53" s="72"/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  <c r="AO53" s="72"/>
      <c r="AP53" s="72"/>
      <c r="AQ53" s="72"/>
      <c r="AR53" s="72"/>
      <c r="AS53" s="72"/>
      <c r="AT53" s="72"/>
      <c r="AU53" s="72"/>
      <c r="AV53" s="72"/>
    </row>
    <row r="54" spans="1:48" s="37" customFormat="1" ht="16.5" x14ac:dyDescent="0.3">
      <c r="A54" s="72"/>
      <c r="B54" s="72"/>
      <c r="C54" s="72"/>
      <c r="D54" s="72"/>
      <c r="E54" s="72"/>
      <c r="F54" s="72"/>
      <c r="G54" s="72"/>
      <c r="H54" s="72"/>
      <c r="I54" s="72"/>
      <c r="J54" s="72"/>
      <c r="K54" s="72"/>
      <c r="L54" s="72"/>
      <c r="M54" s="72"/>
      <c r="N54" s="72"/>
      <c r="O54" s="72"/>
      <c r="P54" s="72"/>
      <c r="Q54" s="72"/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  <c r="AO54" s="72"/>
      <c r="AP54" s="72"/>
      <c r="AQ54" s="72"/>
      <c r="AR54" s="72"/>
      <c r="AS54" s="72"/>
      <c r="AT54" s="72"/>
      <c r="AU54" s="72"/>
      <c r="AV54" s="72"/>
    </row>
    <row r="55" spans="1:48" s="37" customFormat="1" ht="16.5" x14ac:dyDescent="0.3">
      <c r="A55" s="72"/>
      <c r="B55" s="72"/>
      <c r="C55" s="72"/>
      <c r="D55" s="72"/>
      <c r="E55" s="72"/>
      <c r="F55" s="72"/>
      <c r="G55" s="72"/>
      <c r="H55" s="72"/>
      <c r="I55" s="72"/>
      <c r="J55" s="72"/>
      <c r="K55" s="72"/>
      <c r="L55" s="72"/>
      <c r="M55" s="72"/>
      <c r="N55" s="72"/>
      <c r="O55" s="72"/>
      <c r="P55" s="72"/>
      <c r="Q55" s="72"/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  <c r="AO55" s="72"/>
      <c r="AP55" s="72"/>
      <c r="AQ55" s="72"/>
      <c r="AR55" s="72"/>
      <c r="AS55" s="72"/>
      <c r="AT55" s="72"/>
      <c r="AU55" s="72"/>
      <c r="AV55" s="72"/>
    </row>
    <row r="56" spans="1:48" s="37" customFormat="1" ht="16.5" x14ac:dyDescent="0.3">
      <c r="A56" s="72"/>
      <c r="B56" s="72"/>
      <c r="C56" s="72"/>
      <c r="D56" s="72"/>
      <c r="E56" s="72"/>
      <c r="F56" s="72"/>
      <c r="G56" s="72"/>
      <c r="H56" s="72"/>
      <c r="I56" s="72"/>
      <c r="J56" s="72"/>
      <c r="K56" s="72"/>
      <c r="L56" s="72"/>
      <c r="M56" s="72"/>
      <c r="N56" s="72"/>
      <c r="O56" s="72"/>
      <c r="P56" s="72"/>
      <c r="Q56" s="72"/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  <c r="AO56" s="72"/>
      <c r="AP56" s="72"/>
      <c r="AQ56" s="72"/>
      <c r="AR56" s="72"/>
      <c r="AS56" s="72"/>
      <c r="AT56" s="72"/>
      <c r="AU56" s="72"/>
      <c r="AV56" s="72"/>
    </row>
    <row r="57" spans="1:48" s="37" customFormat="1" ht="16.5" x14ac:dyDescent="0.3">
      <c r="A57" s="72"/>
      <c r="B57" s="72"/>
      <c r="C57" s="72"/>
      <c r="D57" s="72"/>
      <c r="E57" s="72"/>
      <c r="F57" s="72"/>
      <c r="G57" s="72"/>
      <c r="H57" s="72"/>
      <c r="I57" s="72"/>
      <c r="J57" s="72"/>
      <c r="K57" s="72"/>
      <c r="L57" s="72"/>
      <c r="M57" s="72"/>
      <c r="N57" s="72"/>
      <c r="O57" s="72"/>
      <c r="P57" s="72"/>
      <c r="Q57" s="72"/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  <c r="AO57" s="72"/>
      <c r="AP57" s="72"/>
      <c r="AQ57" s="72"/>
      <c r="AR57" s="72"/>
      <c r="AS57" s="72"/>
      <c r="AT57" s="72"/>
      <c r="AU57" s="72"/>
      <c r="AV57" s="72"/>
    </row>
    <row r="58" spans="1:48" s="37" customFormat="1" ht="16.5" x14ac:dyDescent="0.3">
      <c r="A58" s="72"/>
      <c r="B58" s="72"/>
      <c r="C58" s="72"/>
      <c r="D58" s="72"/>
      <c r="E58" s="72"/>
      <c r="F58" s="72"/>
      <c r="G58" s="72"/>
      <c r="H58" s="72"/>
      <c r="I58" s="72"/>
      <c r="J58" s="72"/>
      <c r="K58" s="72"/>
      <c r="L58" s="72"/>
      <c r="M58" s="72"/>
      <c r="N58" s="72"/>
      <c r="O58" s="72"/>
      <c r="P58" s="72"/>
      <c r="Q58" s="72"/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  <c r="AO58" s="72"/>
      <c r="AP58" s="72"/>
      <c r="AQ58" s="72"/>
      <c r="AR58" s="72"/>
      <c r="AS58" s="72"/>
      <c r="AT58" s="72"/>
      <c r="AU58" s="72"/>
      <c r="AV58" s="72"/>
    </row>
    <row r="59" spans="1:48" s="37" customFormat="1" ht="16.5" x14ac:dyDescent="0.3">
      <c r="A59" s="72"/>
      <c r="B59" s="72"/>
      <c r="C59" s="72"/>
      <c r="D59" s="72"/>
      <c r="E59" s="72"/>
      <c r="F59" s="72"/>
      <c r="G59" s="72"/>
      <c r="H59" s="72"/>
      <c r="I59" s="72"/>
      <c r="J59" s="72"/>
      <c r="K59" s="72"/>
      <c r="L59" s="72"/>
      <c r="M59" s="72"/>
      <c r="N59" s="72"/>
      <c r="O59" s="72"/>
      <c r="P59" s="72"/>
      <c r="Q59" s="72"/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  <c r="AO59" s="72"/>
      <c r="AP59" s="72"/>
      <c r="AQ59" s="72"/>
      <c r="AR59" s="72"/>
      <c r="AS59" s="72"/>
      <c r="AT59" s="72"/>
      <c r="AU59" s="72"/>
      <c r="AV59" s="72"/>
    </row>
    <row r="60" spans="1:48" s="37" customFormat="1" ht="16.5" x14ac:dyDescent="0.3">
      <c r="A60" s="72"/>
      <c r="B60" s="72"/>
      <c r="C60" s="72"/>
      <c r="D60" s="72"/>
      <c r="E60" s="72"/>
      <c r="F60" s="72"/>
      <c r="G60" s="72"/>
      <c r="H60" s="72"/>
      <c r="I60" s="72"/>
      <c r="J60" s="72"/>
      <c r="K60" s="72"/>
      <c r="L60" s="72"/>
      <c r="M60" s="72"/>
      <c r="N60" s="72"/>
      <c r="O60" s="72"/>
      <c r="P60" s="72"/>
      <c r="Q60" s="72"/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2"/>
      <c r="AN60" s="72"/>
      <c r="AO60" s="72"/>
      <c r="AP60" s="72"/>
      <c r="AQ60" s="72"/>
      <c r="AR60" s="72"/>
      <c r="AS60" s="72"/>
      <c r="AT60" s="72"/>
      <c r="AU60" s="72"/>
      <c r="AV60" s="72"/>
    </row>
    <row r="61" spans="1:48" s="37" customFormat="1" ht="16.5" x14ac:dyDescent="0.3">
      <c r="A61" s="72"/>
      <c r="B61" s="72"/>
      <c r="C61" s="72"/>
      <c r="D61" s="72"/>
      <c r="E61" s="72"/>
      <c r="F61" s="72"/>
      <c r="G61" s="72"/>
      <c r="H61" s="72"/>
      <c r="I61" s="72"/>
      <c r="J61" s="72"/>
      <c r="K61" s="72"/>
      <c r="L61" s="72"/>
      <c r="M61" s="72"/>
      <c r="N61" s="72"/>
      <c r="O61" s="72"/>
      <c r="P61" s="72"/>
      <c r="Q61" s="72"/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  <c r="AO61" s="72"/>
      <c r="AP61" s="72"/>
      <c r="AQ61" s="72"/>
      <c r="AR61" s="72"/>
      <c r="AS61" s="72"/>
      <c r="AT61" s="72"/>
      <c r="AU61" s="72"/>
      <c r="AV61" s="72"/>
    </row>
    <row r="62" spans="1:48" s="37" customFormat="1" ht="16.5" x14ac:dyDescent="0.3">
      <c r="A62" s="72"/>
      <c r="B62" s="72"/>
      <c r="C62" s="72"/>
      <c r="D62" s="72"/>
      <c r="E62" s="72"/>
      <c r="F62" s="72"/>
      <c r="G62" s="72"/>
      <c r="H62" s="72"/>
      <c r="I62" s="72"/>
      <c r="J62" s="72"/>
      <c r="K62" s="72"/>
      <c r="L62" s="72"/>
      <c r="M62" s="72"/>
      <c r="N62" s="72"/>
      <c r="O62" s="72"/>
      <c r="P62" s="72"/>
      <c r="Q62" s="72"/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  <c r="AO62" s="72"/>
      <c r="AP62" s="72"/>
      <c r="AQ62" s="72"/>
      <c r="AR62" s="72"/>
      <c r="AS62" s="72"/>
      <c r="AT62" s="72"/>
      <c r="AU62" s="72"/>
      <c r="AV62" s="72"/>
    </row>
    <row r="63" spans="1:48" s="37" customFormat="1" ht="16.5" x14ac:dyDescent="0.3">
      <c r="A63" s="72"/>
      <c r="B63" s="72"/>
      <c r="C63" s="72"/>
      <c r="D63" s="72"/>
      <c r="E63" s="72"/>
      <c r="F63" s="72"/>
      <c r="G63" s="72"/>
      <c r="H63" s="72"/>
      <c r="I63" s="72"/>
      <c r="J63" s="72"/>
      <c r="K63" s="72"/>
      <c r="L63" s="72"/>
      <c r="M63" s="72"/>
      <c r="N63" s="72"/>
      <c r="O63" s="72"/>
      <c r="P63" s="72"/>
      <c r="Q63" s="72"/>
      <c r="R63" s="72"/>
      <c r="S63" s="72"/>
      <c r="T63" s="72"/>
      <c r="U63" s="72"/>
      <c r="V63" s="72"/>
      <c r="W63" s="72"/>
      <c r="X63" s="72"/>
      <c r="Y63" s="72"/>
      <c r="Z63" s="72"/>
      <c r="AA63" s="72"/>
      <c r="AB63" s="72"/>
      <c r="AC63" s="72"/>
      <c r="AD63" s="72"/>
      <c r="AE63" s="72"/>
      <c r="AF63" s="72"/>
      <c r="AG63" s="72"/>
      <c r="AH63" s="72"/>
      <c r="AI63" s="72"/>
      <c r="AJ63" s="72"/>
      <c r="AK63" s="72"/>
      <c r="AL63" s="72"/>
      <c r="AM63" s="72"/>
      <c r="AN63" s="72"/>
      <c r="AO63" s="72"/>
      <c r="AP63" s="72"/>
      <c r="AQ63" s="72"/>
      <c r="AR63" s="72"/>
      <c r="AS63" s="72"/>
      <c r="AT63" s="72"/>
      <c r="AU63" s="72"/>
      <c r="AV63" s="72"/>
    </row>
    <row r="64" spans="1:48" s="37" customFormat="1" ht="16.5" x14ac:dyDescent="0.3">
      <c r="A64" s="72"/>
      <c r="B64" s="72"/>
      <c r="C64" s="72"/>
      <c r="D64" s="72"/>
      <c r="E64" s="72"/>
      <c r="F64" s="72"/>
      <c r="G64" s="72"/>
      <c r="H64" s="72"/>
      <c r="I64" s="72"/>
      <c r="J64" s="72"/>
      <c r="K64" s="72"/>
      <c r="L64" s="72"/>
      <c r="M64" s="72"/>
      <c r="N64" s="72"/>
      <c r="O64" s="72"/>
      <c r="P64" s="72"/>
      <c r="Q64" s="72"/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  <c r="AO64" s="72"/>
      <c r="AP64" s="72"/>
      <c r="AQ64" s="72"/>
      <c r="AR64" s="72"/>
      <c r="AS64" s="72"/>
      <c r="AT64" s="72"/>
      <c r="AU64" s="72"/>
      <c r="AV64" s="72"/>
    </row>
    <row r="65" spans="1:48" s="37" customFormat="1" ht="16.5" x14ac:dyDescent="0.3">
      <c r="A65" s="72"/>
      <c r="B65" s="72"/>
      <c r="C65" s="72"/>
      <c r="D65" s="72"/>
      <c r="E65" s="72"/>
      <c r="F65" s="72"/>
      <c r="G65" s="72"/>
      <c r="H65" s="72"/>
      <c r="I65" s="72"/>
      <c r="J65" s="72"/>
      <c r="K65" s="72"/>
      <c r="L65" s="72"/>
      <c r="M65" s="72"/>
      <c r="N65" s="72"/>
      <c r="O65" s="72"/>
      <c r="P65" s="72"/>
      <c r="Q65" s="72"/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  <c r="AO65" s="72"/>
      <c r="AP65" s="72"/>
      <c r="AQ65" s="72"/>
      <c r="AR65" s="72"/>
      <c r="AS65" s="72"/>
      <c r="AT65" s="72"/>
      <c r="AU65" s="72"/>
      <c r="AV65" s="72"/>
    </row>
    <row r="66" spans="1:48" s="37" customFormat="1" ht="16.5" x14ac:dyDescent="0.3">
      <c r="A66" s="72"/>
      <c r="B66" s="72"/>
      <c r="C66" s="72"/>
      <c r="D66" s="72"/>
      <c r="E66" s="72"/>
      <c r="F66" s="72"/>
      <c r="G66" s="72"/>
      <c r="H66" s="72"/>
      <c r="I66" s="72"/>
      <c r="J66" s="72"/>
      <c r="K66" s="72"/>
      <c r="L66" s="72"/>
      <c r="M66" s="72"/>
      <c r="N66" s="72"/>
      <c r="O66" s="72"/>
      <c r="P66" s="72"/>
      <c r="Q66" s="72"/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  <c r="AO66" s="72"/>
      <c r="AP66" s="72"/>
      <c r="AQ66" s="72"/>
      <c r="AR66" s="72"/>
      <c r="AS66" s="72"/>
      <c r="AT66" s="72"/>
      <c r="AU66" s="72"/>
      <c r="AV66" s="72"/>
    </row>
    <row r="67" spans="1:48" s="37" customFormat="1" ht="16.5" x14ac:dyDescent="0.3">
      <c r="A67" s="72"/>
      <c r="B67" s="72"/>
      <c r="C67" s="72"/>
      <c r="D67" s="72"/>
      <c r="E67" s="72"/>
      <c r="F67" s="72"/>
      <c r="G67" s="72"/>
      <c r="H67" s="72"/>
      <c r="I67" s="72"/>
      <c r="J67" s="72"/>
      <c r="K67" s="72"/>
      <c r="L67" s="72"/>
      <c r="M67" s="72"/>
      <c r="N67" s="72"/>
      <c r="O67" s="72"/>
      <c r="P67" s="72"/>
      <c r="Q67" s="72"/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  <c r="AO67" s="72"/>
      <c r="AP67" s="72"/>
      <c r="AQ67" s="72"/>
      <c r="AR67" s="72"/>
      <c r="AS67" s="72"/>
      <c r="AT67" s="72"/>
      <c r="AU67" s="72"/>
      <c r="AV67" s="72"/>
    </row>
    <row r="68" spans="1:48" s="37" customFormat="1" ht="16.5" x14ac:dyDescent="0.3">
      <c r="A68" s="72"/>
      <c r="B68" s="72"/>
      <c r="C68" s="72"/>
      <c r="D68" s="72"/>
      <c r="E68" s="72"/>
      <c r="F68" s="72"/>
      <c r="G68" s="72"/>
      <c r="H68" s="72"/>
      <c r="I68" s="72"/>
      <c r="J68" s="72"/>
      <c r="K68" s="72"/>
      <c r="L68" s="72"/>
      <c r="M68" s="72"/>
      <c r="N68" s="72"/>
      <c r="O68" s="72"/>
      <c r="P68" s="72"/>
      <c r="Q68" s="72"/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  <c r="AO68" s="72"/>
      <c r="AP68" s="72"/>
      <c r="AQ68" s="72"/>
      <c r="AR68" s="72"/>
      <c r="AS68" s="72"/>
      <c r="AT68" s="72"/>
      <c r="AU68" s="72"/>
      <c r="AV68" s="72"/>
    </row>
    <row r="69" spans="1:48" s="37" customFormat="1" ht="16.5" x14ac:dyDescent="0.3">
      <c r="A69" s="72"/>
      <c r="B69" s="72"/>
      <c r="C69" s="72"/>
      <c r="D69" s="72"/>
      <c r="E69" s="72"/>
      <c r="F69" s="72"/>
      <c r="G69" s="72"/>
      <c r="H69" s="72"/>
      <c r="I69" s="72"/>
      <c r="J69" s="72"/>
      <c r="K69" s="72"/>
      <c r="L69" s="72"/>
      <c r="M69" s="72"/>
      <c r="N69" s="72"/>
      <c r="O69" s="72"/>
      <c r="P69" s="72"/>
      <c r="Q69" s="72"/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  <c r="AO69" s="72"/>
      <c r="AP69" s="72"/>
      <c r="AQ69" s="72"/>
      <c r="AR69" s="72"/>
      <c r="AS69" s="72"/>
      <c r="AT69" s="72"/>
      <c r="AU69" s="72"/>
      <c r="AV69" s="72"/>
    </row>
    <row r="70" spans="1:48" s="37" customFormat="1" ht="16.5" x14ac:dyDescent="0.3">
      <c r="A70" s="72"/>
      <c r="B70" s="72"/>
      <c r="C70" s="72"/>
      <c r="D70" s="72"/>
      <c r="E70" s="72"/>
      <c r="F70" s="72"/>
      <c r="G70" s="72"/>
      <c r="H70" s="72"/>
      <c r="I70" s="72"/>
      <c r="J70" s="72"/>
      <c r="K70" s="72"/>
      <c r="L70" s="72"/>
      <c r="M70" s="72"/>
      <c r="N70" s="72"/>
      <c r="O70" s="72"/>
      <c r="P70" s="72"/>
      <c r="Q70" s="72"/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  <c r="AO70" s="72"/>
      <c r="AP70" s="72"/>
      <c r="AQ70" s="72"/>
      <c r="AR70" s="72"/>
      <c r="AS70" s="72"/>
      <c r="AT70" s="72"/>
      <c r="AU70" s="72"/>
      <c r="AV70" s="72"/>
    </row>
    <row r="71" spans="1:48" s="37" customFormat="1" ht="16.5" x14ac:dyDescent="0.3">
      <c r="A71" s="72"/>
      <c r="B71" s="72"/>
      <c r="C71" s="72"/>
      <c r="D71" s="72"/>
      <c r="E71" s="72"/>
      <c r="F71" s="72"/>
      <c r="G71" s="72"/>
      <c r="H71" s="72"/>
      <c r="I71" s="72"/>
      <c r="J71" s="72"/>
      <c r="K71" s="72"/>
      <c r="L71" s="72"/>
      <c r="M71" s="72"/>
      <c r="N71" s="72"/>
      <c r="O71" s="72"/>
      <c r="P71" s="72"/>
      <c r="Q71" s="72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  <c r="AO71" s="72"/>
      <c r="AP71" s="72"/>
      <c r="AQ71" s="72"/>
      <c r="AR71" s="72"/>
      <c r="AS71" s="72"/>
      <c r="AT71" s="72"/>
      <c r="AU71" s="72"/>
      <c r="AV71" s="72"/>
    </row>
    <row r="72" spans="1:48" s="37" customFormat="1" ht="16.5" x14ac:dyDescent="0.3">
      <c r="A72" s="72"/>
      <c r="B72" s="72"/>
      <c r="C72" s="72"/>
      <c r="D72" s="72"/>
      <c r="E72" s="72"/>
      <c r="F72" s="72"/>
      <c r="G72" s="72"/>
      <c r="H72" s="72"/>
      <c r="I72" s="72"/>
      <c r="J72" s="72"/>
      <c r="K72" s="72"/>
      <c r="L72" s="72"/>
      <c r="M72" s="72"/>
      <c r="N72" s="72"/>
      <c r="O72" s="72"/>
      <c r="P72" s="72"/>
      <c r="Q72" s="72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  <c r="AO72" s="72"/>
      <c r="AP72" s="72"/>
      <c r="AQ72" s="72"/>
      <c r="AR72" s="72"/>
      <c r="AS72" s="72"/>
      <c r="AT72" s="72"/>
      <c r="AU72" s="72"/>
      <c r="AV72" s="72"/>
    </row>
    <row r="73" spans="1:48" s="37" customFormat="1" ht="16.5" x14ac:dyDescent="0.3">
      <c r="A73" s="72"/>
      <c r="B73" s="72"/>
      <c r="C73" s="72"/>
      <c r="D73" s="72"/>
      <c r="E73" s="72"/>
      <c r="F73" s="72"/>
      <c r="G73" s="72"/>
      <c r="H73" s="72"/>
      <c r="I73" s="72"/>
      <c r="J73" s="72"/>
      <c r="K73" s="72"/>
      <c r="L73" s="72"/>
      <c r="M73" s="72"/>
      <c r="N73" s="72"/>
      <c r="O73" s="72"/>
      <c r="P73" s="72"/>
      <c r="Q73" s="72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  <c r="AO73" s="72"/>
      <c r="AP73" s="72"/>
      <c r="AQ73" s="72"/>
      <c r="AR73" s="72"/>
      <c r="AS73" s="72"/>
      <c r="AT73" s="72"/>
      <c r="AU73" s="72"/>
      <c r="AV73" s="72"/>
    </row>
    <row r="74" spans="1:48" s="37" customFormat="1" ht="16.5" x14ac:dyDescent="0.3">
      <c r="A74" s="72"/>
      <c r="B74" s="72"/>
      <c r="C74" s="72"/>
      <c r="D74" s="72"/>
      <c r="E74" s="72"/>
      <c r="F74" s="72"/>
      <c r="G74" s="72"/>
      <c r="H74" s="72"/>
      <c r="I74" s="72"/>
      <c r="J74" s="72"/>
      <c r="K74" s="72"/>
      <c r="L74" s="72"/>
      <c r="M74" s="72"/>
      <c r="N74" s="72"/>
      <c r="O74" s="72"/>
      <c r="P74" s="72"/>
      <c r="Q74" s="72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  <c r="AO74" s="72"/>
      <c r="AP74" s="72"/>
      <c r="AQ74" s="72"/>
      <c r="AR74" s="72"/>
      <c r="AS74" s="72"/>
      <c r="AT74" s="72"/>
      <c r="AU74" s="72"/>
      <c r="AV74" s="72"/>
    </row>
    <row r="75" spans="1:48" s="37" customFormat="1" ht="16.5" x14ac:dyDescent="0.3">
      <c r="A75" s="72"/>
      <c r="B75" s="72"/>
      <c r="C75" s="72"/>
      <c r="D75" s="72"/>
      <c r="E75" s="72"/>
      <c r="F75" s="72"/>
      <c r="G75" s="72"/>
      <c r="H75" s="72"/>
      <c r="I75" s="72"/>
      <c r="J75" s="72"/>
      <c r="K75" s="72"/>
      <c r="L75" s="72"/>
      <c r="M75" s="72"/>
      <c r="N75" s="72"/>
      <c r="O75" s="72"/>
      <c r="P75" s="72"/>
      <c r="Q75" s="72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  <c r="AO75" s="72"/>
      <c r="AP75" s="72"/>
      <c r="AQ75" s="72"/>
      <c r="AR75" s="72"/>
      <c r="AS75" s="72"/>
      <c r="AT75" s="72"/>
      <c r="AU75" s="72"/>
      <c r="AV75" s="72"/>
    </row>
    <row r="76" spans="1:48" s="37" customFormat="1" ht="16.5" x14ac:dyDescent="0.3">
      <c r="A76" s="72"/>
      <c r="B76" s="72"/>
      <c r="C76" s="72"/>
      <c r="D76" s="72"/>
      <c r="E76" s="72"/>
      <c r="F76" s="72"/>
      <c r="G76" s="72"/>
      <c r="H76" s="72"/>
      <c r="I76" s="72"/>
      <c r="J76" s="72"/>
      <c r="K76" s="72"/>
      <c r="L76" s="72"/>
      <c r="M76" s="72"/>
      <c r="N76" s="72"/>
      <c r="O76" s="72"/>
      <c r="P76" s="72"/>
      <c r="Q76" s="72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  <c r="AO76" s="72"/>
      <c r="AP76" s="72"/>
      <c r="AQ76" s="72"/>
      <c r="AR76" s="72"/>
      <c r="AS76" s="72"/>
      <c r="AT76" s="72"/>
      <c r="AU76" s="72"/>
      <c r="AV76" s="72"/>
    </row>
    <row r="77" spans="1:48" s="37" customFormat="1" ht="16.5" x14ac:dyDescent="0.3">
      <c r="A77" s="72"/>
      <c r="B77" s="72"/>
      <c r="C77" s="72"/>
      <c r="D77" s="72"/>
      <c r="E77" s="72"/>
      <c r="F77" s="72"/>
      <c r="G77" s="72"/>
      <c r="H77" s="72"/>
      <c r="I77" s="72"/>
      <c r="J77" s="72"/>
      <c r="K77" s="72"/>
      <c r="L77" s="72"/>
      <c r="M77" s="72"/>
      <c r="N77" s="72"/>
      <c r="O77" s="72"/>
      <c r="P77" s="72"/>
      <c r="Q77" s="72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  <c r="AO77" s="72"/>
      <c r="AP77" s="72"/>
      <c r="AQ77" s="72"/>
      <c r="AR77" s="72"/>
      <c r="AS77" s="72"/>
      <c r="AT77" s="72"/>
      <c r="AU77" s="72"/>
      <c r="AV77" s="72"/>
    </row>
    <row r="78" spans="1:48" s="37" customFormat="1" ht="16.5" x14ac:dyDescent="0.3">
      <c r="A78" s="72"/>
      <c r="B78" s="72"/>
      <c r="C78" s="72"/>
      <c r="D78" s="72"/>
      <c r="E78" s="72"/>
      <c r="F78" s="72"/>
      <c r="G78" s="72"/>
      <c r="H78" s="72"/>
      <c r="I78" s="72"/>
      <c r="J78" s="72"/>
      <c r="K78" s="72"/>
      <c r="L78" s="72"/>
      <c r="M78" s="72"/>
      <c r="N78" s="72"/>
      <c r="O78" s="72"/>
      <c r="P78" s="72"/>
      <c r="Q78" s="72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  <c r="AO78" s="72"/>
      <c r="AP78" s="72"/>
      <c r="AQ78" s="72"/>
      <c r="AR78" s="72"/>
      <c r="AS78" s="72"/>
      <c r="AT78" s="72"/>
      <c r="AU78" s="72"/>
      <c r="AV78" s="72"/>
    </row>
    <row r="79" spans="1:48" s="37" customFormat="1" ht="16.5" x14ac:dyDescent="0.3">
      <c r="A79" s="72"/>
      <c r="B79" s="72"/>
      <c r="C79" s="72"/>
      <c r="D79" s="72"/>
      <c r="E79" s="72"/>
      <c r="F79" s="72"/>
      <c r="G79" s="72"/>
      <c r="H79" s="72"/>
      <c r="I79" s="72"/>
      <c r="J79" s="72"/>
      <c r="K79" s="72"/>
      <c r="L79" s="72"/>
      <c r="M79" s="72"/>
      <c r="N79" s="72"/>
      <c r="O79" s="72"/>
      <c r="P79" s="72"/>
      <c r="Q79" s="72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  <c r="AO79" s="72"/>
      <c r="AP79" s="72"/>
      <c r="AQ79" s="72"/>
      <c r="AR79" s="72"/>
      <c r="AS79" s="72"/>
      <c r="AT79" s="72"/>
      <c r="AU79" s="72"/>
      <c r="AV79" s="72"/>
    </row>
    <row r="80" spans="1:48" s="37" customFormat="1" ht="16.5" x14ac:dyDescent="0.3">
      <c r="A80" s="72"/>
      <c r="B80" s="72"/>
      <c r="C80" s="72"/>
      <c r="D80" s="72"/>
      <c r="E80" s="72"/>
      <c r="F80" s="72"/>
      <c r="G80" s="72"/>
      <c r="H80" s="72"/>
      <c r="I80" s="72"/>
      <c r="J80" s="72"/>
      <c r="K80" s="72"/>
      <c r="L80" s="72"/>
      <c r="M80" s="72"/>
      <c r="N80" s="72"/>
      <c r="O80" s="72"/>
      <c r="P80" s="72"/>
      <c r="Q80" s="72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  <c r="AO80" s="72"/>
      <c r="AP80" s="72"/>
      <c r="AQ80" s="72"/>
      <c r="AR80" s="72"/>
      <c r="AS80" s="72"/>
      <c r="AT80" s="72"/>
      <c r="AU80" s="72"/>
      <c r="AV80" s="72"/>
    </row>
    <row r="81" spans="1:48" s="37" customFormat="1" ht="16.5" x14ac:dyDescent="0.3">
      <c r="A81" s="72"/>
      <c r="B81" s="72"/>
      <c r="C81" s="72"/>
      <c r="D81" s="72"/>
      <c r="E81" s="72"/>
      <c r="F81" s="72"/>
      <c r="G81" s="72"/>
      <c r="H81" s="72"/>
      <c r="I81" s="72"/>
      <c r="J81" s="72"/>
      <c r="K81" s="72"/>
      <c r="L81" s="72"/>
      <c r="M81" s="72"/>
      <c r="N81" s="72"/>
      <c r="O81" s="72"/>
      <c r="P81" s="72"/>
      <c r="Q81" s="72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  <c r="AO81" s="72"/>
      <c r="AP81" s="72"/>
      <c r="AQ81" s="72"/>
      <c r="AR81" s="72"/>
      <c r="AS81" s="72"/>
      <c r="AT81" s="72"/>
      <c r="AU81" s="72"/>
      <c r="AV81" s="72"/>
    </row>
    <row r="82" spans="1:48" s="37" customFormat="1" ht="16.5" x14ac:dyDescent="0.3">
      <c r="A82" s="72"/>
      <c r="B82" s="72"/>
      <c r="C82" s="72"/>
      <c r="D82" s="72"/>
      <c r="E82" s="72"/>
      <c r="F82" s="72"/>
      <c r="G82" s="72"/>
      <c r="H82" s="72"/>
      <c r="I82" s="72"/>
      <c r="J82" s="72"/>
      <c r="K82" s="72"/>
      <c r="L82" s="72"/>
      <c r="M82" s="72"/>
      <c r="N82" s="72"/>
      <c r="O82" s="72"/>
      <c r="P82" s="72"/>
      <c r="Q82" s="72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  <c r="AO82" s="72"/>
      <c r="AP82" s="72"/>
      <c r="AQ82" s="72"/>
      <c r="AR82" s="72"/>
      <c r="AS82" s="72"/>
      <c r="AT82" s="72"/>
      <c r="AU82" s="72"/>
      <c r="AV82" s="72"/>
    </row>
    <row r="83" spans="1:48" s="37" customFormat="1" ht="16.5" x14ac:dyDescent="0.3">
      <c r="A83" s="72"/>
      <c r="B83" s="72"/>
      <c r="C83" s="72"/>
      <c r="D83" s="72"/>
      <c r="E83" s="72"/>
      <c r="F83" s="72"/>
      <c r="G83" s="72"/>
      <c r="H83" s="72"/>
      <c r="I83" s="72"/>
      <c r="J83" s="72"/>
      <c r="K83" s="72"/>
      <c r="L83" s="72"/>
      <c r="M83" s="72"/>
      <c r="N83" s="72"/>
      <c r="O83" s="72"/>
      <c r="P83" s="72"/>
      <c r="Q83" s="72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  <c r="AO83" s="72"/>
      <c r="AP83" s="72"/>
      <c r="AQ83" s="72"/>
      <c r="AR83" s="72"/>
      <c r="AS83" s="72"/>
      <c r="AT83" s="72"/>
      <c r="AU83" s="72"/>
      <c r="AV83" s="72"/>
    </row>
    <row r="84" spans="1:48" s="37" customFormat="1" ht="16.5" x14ac:dyDescent="0.3">
      <c r="A84" s="72"/>
      <c r="B84" s="72"/>
      <c r="C84" s="72"/>
      <c r="D84" s="72"/>
      <c r="E84" s="72"/>
      <c r="F84" s="72"/>
      <c r="G84" s="72"/>
      <c r="H84" s="72"/>
      <c r="I84" s="72"/>
      <c r="J84" s="72"/>
      <c r="K84" s="72"/>
      <c r="L84" s="72"/>
      <c r="M84" s="72"/>
      <c r="N84" s="72"/>
      <c r="O84" s="72"/>
      <c r="P84" s="72"/>
      <c r="Q84" s="72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  <c r="AO84" s="72"/>
      <c r="AP84" s="72"/>
      <c r="AQ84" s="72"/>
      <c r="AR84" s="72"/>
      <c r="AS84" s="72"/>
      <c r="AT84" s="72"/>
      <c r="AU84" s="72"/>
      <c r="AV84" s="72"/>
    </row>
    <row r="85" spans="1:48" s="37" customFormat="1" ht="16.5" x14ac:dyDescent="0.3">
      <c r="A85" s="72"/>
      <c r="B85" s="72"/>
      <c r="C85" s="72"/>
      <c r="D85" s="72"/>
      <c r="E85" s="72"/>
      <c r="F85" s="72"/>
      <c r="G85" s="72"/>
      <c r="H85" s="72"/>
      <c r="I85" s="72"/>
      <c r="J85" s="72"/>
      <c r="K85" s="72"/>
      <c r="L85" s="72"/>
      <c r="M85" s="72"/>
      <c r="N85" s="72"/>
      <c r="O85" s="72"/>
      <c r="P85" s="72"/>
      <c r="Q85" s="72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  <c r="AO85" s="72"/>
      <c r="AP85" s="72"/>
      <c r="AQ85" s="72"/>
      <c r="AR85" s="72"/>
      <c r="AS85" s="72"/>
      <c r="AT85" s="72"/>
      <c r="AU85" s="72"/>
      <c r="AV85" s="72"/>
    </row>
    <row r="86" spans="1:48" s="37" customFormat="1" ht="16.5" x14ac:dyDescent="0.3">
      <c r="A86" s="72"/>
      <c r="B86" s="72"/>
      <c r="C86" s="72"/>
      <c r="D86" s="72"/>
      <c r="E86" s="72"/>
      <c r="F86" s="72"/>
      <c r="G86" s="72"/>
      <c r="H86" s="72"/>
      <c r="I86" s="72"/>
      <c r="J86" s="72"/>
      <c r="K86" s="72"/>
      <c r="L86" s="72"/>
      <c r="M86" s="72"/>
      <c r="N86" s="72"/>
      <c r="O86" s="72"/>
      <c r="P86" s="72"/>
      <c r="Q86" s="72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  <c r="AO86" s="72"/>
      <c r="AP86" s="72"/>
      <c r="AQ86" s="72"/>
      <c r="AR86" s="72"/>
      <c r="AS86" s="72"/>
      <c r="AT86" s="72"/>
      <c r="AU86" s="72"/>
      <c r="AV86" s="72"/>
    </row>
    <row r="87" spans="1:48" s="37" customFormat="1" ht="16.5" x14ac:dyDescent="0.3">
      <c r="A87" s="72"/>
      <c r="B87" s="72"/>
      <c r="C87" s="72"/>
      <c r="D87" s="72"/>
      <c r="E87" s="72"/>
      <c r="F87" s="72"/>
      <c r="G87" s="72"/>
      <c r="H87" s="72"/>
      <c r="I87" s="72"/>
      <c r="J87" s="72"/>
      <c r="K87" s="72"/>
      <c r="L87" s="72"/>
      <c r="M87" s="72"/>
      <c r="N87" s="72"/>
      <c r="O87" s="72"/>
      <c r="P87" s="72"/>
      <c r="Q87" s="72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  <c r="AO87" s="72"/>
      <c r="AP87" s="72"/>
      <c r="AQ87" s="72"/>
      <c r="AR87" s="72"/>
      <c r="AS87" s="72"/>
      <c r="AT87" s="72"/>
      <c r="AU87" s="72"/>
      <c r="AV87" s="72"/>
    </row>
    <row r="88" spans="1:48" s="37" customFormat="1" ht="16.5" x14ac:dyDescent="0.3">
      <c r="A88" s="72"/>
      <c r="B88" s="72"/>
      <c r="C88" s="72"/>
      <c r="D88" s="72"/>
      <c r="E88" s="72"/>
      <c r="F88" s="72"/>
      <c r="G88" s="72"/>
      <c r="H88" s="72"/>
      <c r="I88" s="72"/>
      <c r="J88" s="72"/>
      <c r="K88" s="72"/>
      <c r="L88" s="72"/>
      <c r="M88" s="72"/>
      <c r="N88" s="72"/>
      <c r="O88" s="72"/>
      <c r="P88" s="72"/>
      <c r="Q88" s="72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  <c r="AO88" s="72"/>
      <c r="AP88" s="72"/>
      <c r="AQ88" s="72"/>
      <c r="AR88" s="72"/>
      <c r="AS88" s="72"/>
      <c r="AT88" s="72"/>
      <c r="AU88" s="72"/>
      <c r="AV88" s="72"/>
    </row>
    <row r="89" spans="1:48" s="37" customFormat="1" ht="16.5" x14ac:dyDescent="0.3">
      <c r="A89" s="72"/>
      <c r="B89" s="72"/>
      <c r="C89" s="72"/>
      <c r="D89" s="72"/>
      <c r="E89" s="72"/>
      <c r="F89" s="72"/>
      <c r="G89" s="72"/>
      <c r="H89" s="72"/>
      <c r="I89" s="72"/>
      <c r="J89" s="72"/>
      <c r="K89" s="72"/>
      <c r="L89" s="72"/>
      <c r="M89" s="72"/>
      <c r="N89" s="72"/>
      <c r="O89" s="72"/>
      <c r="P89" s="72"/>
      <c r="Q89" s="72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  <c r="AO89" s="72"/>
      <c r="AP89" s="72"/>
      <c r="AQ89" s="72"/>
      <c r="AR89" s="72"/>
      <c r="AS89" s="72"/>
      <c r="AT89" s="72"/>
      <c r="AU89" s="72"/>
      <c r="AV89" s="72"/>
    </row>
    <row r="90" spans="1:48" s="37" customFormat="1" ht="16.5" x14ac:dyDescent="0.3">
      <c r="A90" s="72"/>
      <c r="B90" s="72"/>
      <c r="C90" s="72"/>
      <c r="D90" s="72"/>
      <c r="E90" s="72"/>
      <c r="F90" s="72"/>
      <c r="G90" s="72"/>
      <c r="H90" s="72"/>
      <c r="I90" s="72"/>
      <c r="J90" s="72"/>
      <c r="K90" s="72"/>
      <c r="L90" s="72"/>
      <c r="M90" s="72"/>
      <c r="N90" s="72"/>
      <c r="O90" s="72"/>
      <c r="P90" s="72"/>
      <c r="Q90" s="72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  <c r="AO90" s="72"/>
      <c r="AP90" s="72"/>
      <c r="AQ90" s="72"/>
      <c r="AR90" s="72"/>
      <c r="AS90" s="72"/>
      <c r="AT90" s="72"/>
      <c r="AU90" s="72"/>
      <c r="AV90" s="72"/>
    </row>
    <row r="91" spans="1:48" s="37" customFormat="1" ht="16.5" x14ac:dyDescent="0.3">
      <c r="A91" s="72"/>
      <c r="B91" s="72"/>
      <c r="C91" s="72"/>
      <c r="D91" s="72"/>
      <c r="E91" s="72"/>
      <c r="F91" s="72"/>
      <c r="G91" s="72"/>
      <c r="H91" s="72"/>
      <c r="I91" s="72"/>
      <c r="J91" s="72"/>
      <c r="K91" s="72"/>
      <c r="L91" s="72"/>
      <c r="M91" s="72"/>
      <c r="N91" s="72"/>
      <c r="O91" s="72"/>
      <c r="P91" s="72"/>
      <c r="Q91" s="72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  <c r="AO91" s="72"/>
      <c r="AP91" s="72"/>
      <c r="AQ91" s="72"/>
      <c r="AR91" s="72"/>
      <c r="AS91" s="72"/>
      <c r="AT91" s="72"/>
      <c r="AU91" s="72"/>
      <c r="AV91" s="72"/>
    </row>
    <row r="92" spans="1:48" s="37" customFormat="1" ht="16.5" x14ac:dyDescent="0.3">
      <c r="A92" s="72"/>
      <c r="B92" s="72"/>
      <c r="C92" s="72"/>
      <c r="D92" s="72"/>
      <c r="E92" s="72"/>
      <c r="F92" s="72"/>
      <c r="G92" s="72"/>
      <c r="H92" s="72"/>
      <c r="I92" s="72"/>
      <c r="J92" s="72"/>
      <c r="K92" s="72"/>
      <c r="L92" s="72"/>
      <c r="M92" s="72"/>
      <c r="N92" s="72"/>
      <c r="O92" s="72"/>
      <c r="P92" s="72"/>
      <c r="Q92" s="72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  <c r="AO92" s="72"/>
      <c r="AP92" s="72"/>
      <c r="AQ92" s="72"/>
      <c r="AR92" s="72"/>
      <c r="AS92" s="72"/>
      <c r="AT92" s="72"/>
      <c r="AU92" s="72"/>
      <c r="AV92" s="72"/>
    </row>
    <row r="93" spans="1:48" s="37" customFormat="1" ht="16.5" x14ac:dyDescent="0.3">
      <c r="A93" s="72"/>
      <c r="B93" s="72"/>
      <c r="C93" s="72"/>
      <c r="D93" s="72"/>
      <c r="E93" s="72"/>
      <c r="F93" s="72"/>
      <c r="G93" s="72"/>
      <c r="H93" s="72"/>
      <c r="I93" s="72"/>
      <c r="J93" s="72"/>
      <c r="K93" s="72"/>
      <c r="L93" s="72"/>
      <c r="M93" s="72"/>
      <c r="N93" s="72"/>
      <c r="O93" s="72"/>
      <c r="P93" s="72"/>
      <c r="Q93" s="72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  <c r="AO93" s="72"/>
      <c r="AP93" s="72"/>
      <c r="AQ93" s="72"/>
      <c r="AR93" s="72"/>
      <c r="AS93" s="72"/>
      <c r="AT93" s="72"/>
      <c r="AU93" s="72"/>
      <c r="AV93" s="72"/>
    </row>
    <row r="94" spans="1:48" s="37" customFormat="1" ht="16.5" x14ac:dyDescent="0.3">
      <c r="A94" s="72"/>
      <c r="B94" s="72"/>
      <c r="C94" s="72"/>
      <c r="D94" s="72"/>
      <c r="E94" s="72"/>
      <c r="F94" s="72"/>
      <c r="G94" s="72"/>
      <c r="H94" s="72"/>
      <c r="I94" s="72"/>
      <c r="J94" s="72"/>
      <c r="K94" s="72"/>
      <c r="L94" s="72"/>
      <c r="M94" s="72"/>
      <c r="N94" s="72"/>
      <c r="O94" s="72"/>
      <c r="P94" s="72"/>
      <c r="Q94" s="72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  <c r="AO94" s="72"/>
      <c r="AP94" s="72"/>
      <c r="AQ94" s="72"/>
      <c r="AR94" s="72"/>
      <c r="AS94" s="72"/>
      <c r="AT94" s="72"/>
      <c r="AU94" s="72"/>
      <c r="AV94" s="72"/>
    </row>
    <row r="95" spans="1:48" s="37" customFormat="1" ht="16.5" x14ac:dyDescent="0.3">
      <c r="A95" s="72"/>
      <c r="B95" s="72"/>
      <c r="C95" s="72"/>
      <c r="D95" s="72"/>
      <c r="E95" s="72"/>
      <c r="F95" s="72"/>
      <c r="G95" s="72"/>
      <c r="H95" s="72"/>
      <c r="I95" s="72"/>
      <c r="J95" s="72"/>
      <c r="K95" s="72"/>
      <c r="L95" s="72"/>
      <c r="M95" s="72"/>
      <c r="N95" s="72"/>
      <c r="O95" s="72"/>
      <c r="P95" s="72"/>
      <c r="Q95" s="72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  <c r="AO95" s="72"/>
      <c r="AP95" s="72"/>
      <c r="AQ95" s="72"/>
      <c r="AR95" s="72"/>
      <c r="AS95" s="72"/>
      <c r="AT95" s="72"/>
      <c r="AU95" s="72"/>
      <c r="AV95" s="72"/>
    </row>
    <row r="96" spans="1:48" s="37" customFormat="1" ht="16.5" x14ac:dyDescent="0.3">
      <c r="A96" s="72"/>
      <c r="B96" s="72"/>
      <c r="C96" s="72"/>
      <c r="D96" s="72"/>
      <c r="E96" s="72"/>
      <c r="F96" s="72"/>
      <c r="G96" s="72"/>
      <c r="H96" s="72"/>
      <c r="I96" s="72"/>
      <c r="J96" s="72"/>
      <c r="K96" s="72"/>
      <c r="L96" s="72"/>
      <c r="M96" s="72"/>
      <c r="N96" s="72"/>
      <c r="O96" s="72"/>
      <c r="P96" s="72"/>
      <c r="Q96" s="72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  <c r="AO96" s="72"/>
      <c r="AP96" s="72"/>
      <c r="AQ96" s="72"/>
      <c r="AR96" s="72"/>
      <c r="AS96" s="72"/>
      <c r="AT96" s="72"/>
      <c r="AU96" s="72"/>
      <c r="AV96" s="72"/>
    </row>
    <row r="97" spans="1:48" s="37" customFormat="1" ht="16.5" x14ac:dyDescent="0.3">
      <c r="A97" s="72"/>
      <c r="B97" s="72"/>
      <c r="C97" s="72"/>
      <c r="D97" s="72"/>
      <c r="E97" s="72"/>
      <c r="F97" s="72"/>
      <c r="G97" s="72"/>
      <c r="H97" s="72"/>
      <c r="I97" s="72"/>
      <c r="J97" s="72"/>
      <c r="K97" s="72"/>
      <c r="L97" s="72"/>
      <c r="M97" s="72"/>
      <c r="N97" s="72"/>
      <c r="O97" s="72"/>
      <c r="P97" s="72"/>
      <c r="Q97" s="72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  <c r="AO97" s="72"/>
      <c r="AP97" s="72"/>
      <c r="AQ97" s="72"/>
      <c r="AR97" s="72"/>
      <c r="AS97" s="72"/>
      <c r="AT97" s="72"/>
      <c r="AU97" s="72"/>
      <c r="AV97" s="72"/>
    </row>
    <row r="98" spans="1:48" s="37" customFormat="1" ht="16.5" x14ac:dyDescent="0.3">
      <c r="A98" s="72"/>
      <c r="B98" s="72"/>
      <c r="C98" s="72"/>
      <c r="D98" s="72"/>
      <c r="E98" s="72"/>
      <c r="F98" s="72"/>
      <c r="G98" s="72"/>
      <c r="H98" s="72"/>
      <c r="I98" s="72"/>
      <c r="J98" s="72"/>
      <c r="K98" s="72"/>
      <c r="L98" s="72"/>
      <c r="M98" s="72"/>
      <c r="N98" s="72"/>
      <c r="O98" s="72"/>
      <c r="P98" s="72"/>
      <c r="Q98" s="72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  <c r="AO98" s="72"/>
      <c r="AP98" s="72"/>
      <c r="AQ98" s="72"/>
      <c r="AR98" s="72"/>
      <c r="AS98" s="72"/>
      <c r="AT98" s="72"/>
      <c r="AU98" s="72"/>
      <c r="AV98" s="72"/>
    </row>
    <row r="99" spans="1:48" s="37" customFormat="1" ht="16.5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</row>
    <row r="100" spans="1:48" s="37" customFormat="1" ht="16.5" x14ac:dyDescent="0.3">
      <c r="A100" s="72"/>
      <c r="B100" s="72"/>
      <c r="C100" s="72"/>
      <c r="D100" s="72"/>
      <c r="E100" s="72"/>
      <c r="F100" s="72"/>
      <c r="G100" s="72"/>
      <c r="H100" s="72"/>
      <c r="I100" s="72"/>
      <c r="J100" s="72"/>
      <c r="K100" s="72"/>
      <c r="L100" s="72"/>
      <c r="M100" s="72"/>
      <c r="N100" s="72"/>
      <c r="O100" s="72"/>
      <c r="P100" s="72"/>
      <c r="Q100" s="72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  <c r="AO100" s="72"/>
      <c r="AP100" s="72"/>
      <c r="AQ100" s="72"/>
      <c r="AR100" s="72"/>
      <c r="AS100" s="72"/>
      <c r="AT100" s="72"/>
      <c r="AU100" s="72"/>
      <c r="AV100" s="72"/>
    </row>
    <row r="101" spans="1:48" s="37" customFormat="1" ht="16.5" x14ac:dyDescent="0.3">
      <c r="A101" s="72"/>
      <c r="B101" s="72"/>
      <c r="C101" s="72"/>
      <c r="D101" s="72"/>
      <c r="E101" s="72"/>
      <c r="F101" s="72"/>
      <c r="G101" s="72"/>
      <c r="H101" s="72"/>
      <c r="I101" s="72"/>
      <c r="J101" s="72"/>
      <c r="K101" s="72"/>
      <c r="L101" s="72"/>
      <c r="M101" s="72"/>
      <c r="N101" s="72"/>
      <c r="O101" s="72"/>
      <c r="P101" s="72"/>
      <c r="Q101" s="72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  <c r="AO101" s="72"/>
      <c r="AP101" s="72"/>
      <c r="AQ101" s="72"/>
      <c r="AR101" s="72"/>
      <c r="AS101" s="72"/>
      <c r="AT101" s="72"/>
      <c r="AU101" s="72"/>
      <c r="AV101" s="72"/>
    </row>
    <row r="102" spans="1:48" s="37" customFormat="1" ht="16.5" x14ac:dyDescent="0.3">
      <c r="A102" s="72"/>
      <c r="B102" s="72"/>
      <c r="C102" s="72"/>
      <c r="D102" s="72"/>
      <c r="E102" s="72"/>
      <c r="F102" s="72"/>
      <c r="G102" s="72"/>
      <c r="H102" s="72"/>
      <c r="I102" s="72"/>
      <c r="J102" s="72"/>
      <c r="K102" s="72"/>
      <c r="L102" s="72"/>
      <c r="M102" s="72"/>
      <c r="N102" s="72"/>
      <c r="O102" s="72"/>
      <c r="P102" s="72"/>
      <c r="Q102" s="72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  <c r="AO102" s="72"/>
      <c r="AP102" s="72"/>
      <c r="AQ102" s="72"/>
      <c r="AR102" s="72"/>
      <c r="AS102" s="72"/>
      <c r="AT102" s="72"/>
      <c r="AU102" s="72"/>
      <c r="AV102" s="72"/>
    </row>
    <row r="103" spans="1:48" s="37" customFormat="1" ht="16.5" x14ac:dyDescent="0.3">
      <c r="A103" s="72"/>
      <c r="B103" s="72"/>
      <c r="C103" s="72"/>
      <c r="D103" s="72"/>
      <c r="E103" s="72"/>
      <c r="F103" s="72"/>
      <c r="G103" s="72"/>
      <c r="H103" s="72"/>
      <c r="I103" s="72"/>
      <c r="J103" s="72"/>
      <c r="K103" s="72"/>
      <c r="L103" s="72"/>
      <c r="M103" s="72"/>
      <c r="N103" s="72"/>
      <c r="O103" s="72"/>
      <c r="P103" s="72"/>
      <c r="Q103" s="72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  <c r="AO103" s="72"/>
      <c r="AP103" s="72"/>
      <c r="AQ103" s="72"/>
      <c r="AR103" s="72"/>
      <c r="AS103" s="72"/>
      <c r="AT103" s="72"/>
      <c r="AU103" s="72"/>
      <c r="AV103" s="72"/>
    </row>
    <row r="104" spans="1:48" s="37" customFormat="1" ht="16.5" x14ac:dyDescent="0.3">
      <c r="A104" s="72"/>
      <c r="B104" s="72"/>
      <c r="C104" s="72"/>
      <c r="D104" s="72"/>
      <c r="E104" s="72"/>
      <c r="F104" s="72"/>
      <c r="G104" s="72"/>
      <c r="H104" s="72"/>
      <c r="I104" s="72"/>
      <c r="J104" s="72"/>
      <c r="K104" s="72"/>
      <c r="L104" s="72"/>
      <c r="M104" s="72"/>
      <c r="N104" s="72"/>
      <c r="O104" s="72"/>
      <c r="P104" s="72"/>
      <c r="Q104" s="72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  <c r="AO104" s="72"/>
      <c r="AP104" s="72"/>
      <c r="AQ104" s="72"/>
      <c r="AR104" s="72"/>
      <c r="AS104" s="72"/>
      <c r="AT104" s="72"/>
      <c r="AU104" s="72"/>
      <c r="AV104" s="72"/>
    </row>
    <row r="105" spans="1:48" s="37" customFormat="1" ht="16.5" x14ac:dyDescent="0.3">
      <c r="A105" s="72"/>
      <c r="B105" s="72"/>
      <c r="C105" s="72"/>
      <c r="D105" s="72"/>
      <c r="E105" s="72"/>
      <c r="F105" s="72"/>
      <c r="G105" s="72"/>
      <c r="H105" s="72"/>
      <c r="I105" s="72"/>
      <c r="J105" s="72"/>
      <c r="K105" s="72"/>
      <c r="L105" s="72"/>
      <c r="M105" s="72"/>
      <c r="N105" s="72"/>
      <c r="O105" s="72"/>
      <c r="P105" s="72"/>
      <c r="Q105" s="72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  <c r="AO105" s="72"/>
      <c r="AP105" s="72"/>
      <c r="AQ105" s="72"/>
      <c r="AR105" s="72"/>
      <c r="AS105" s="72"/>
      <c r="AT105" s="72"/>
      <c r="AU105" s="72"/>
      <c r="AV105" s="72"/>
    </row>
    <row r="106" spans="1:48" s="37" customFormat="1" ht="16.5" x14ac:dyDescent="0.3">
      <c r="A106" s="72"/>
      <c r="B106" s="72"/>
      <c r="C106" s="72"/>
      <c r="D106" s="72"/>
      <c r="E106" s="72"/>
      <c r="F106" s="72"/>
      <c r="G106" s="72"/>
      <c r="H106" s="72"/>
      <c r="I106" s="72"/>
      <c r="J106" s="72"/>
      <c r="K106" s="72"/>
      <c r="L106" s="72"/>
      <c r="M106" s="72"/>
      <c r="N106" s="72"/>
      <c r="O106" s="72"/>
      <c r="P106" s="72"/>
      <c r="Q106" s="72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  <c r="AO106" s="72"/>
      <c r="AP106" s="72"/>
      <c r="AQ106" s="72"/>
      <c r="AR106" s="72"/>
      <c r="AS106" s="72"/>
      <c r="AT106" s="72"/>
      <c r="AU106" s="72"/>
      <c r="AV106" s="72"/>
    </row>
    <row r="107" spans="1:48" s="37" customFormat="1" ht="16.5" x14ac:dyDescent="0.3">
      <c r="A107" s="72"/>
      <c r="B107" s="72"/>
      <c r="C107" s="72"/>
      <c r="D107" s="72"/>
      <c r="E107" s="72"/>
      <c r="F107" s="72"/>
      <c r="G107" s="72"/>
      <c r="H107" s="72"/>
      <c r="I107" s="72"/>
      <c r="J107" s="72"/>
      <c r="K107" s="72"/>
      <c r="L107" s="72"/>
      <c r="M107" s="72"/>
      <c r="N107" s="72"/>
      <c r="O107" s="72"/>
      <c r="P107" s="72"/>
      <c r="Q107" s="72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  <c r="AO107" s="72"/>
      <c r="AP107" s="72"/>
      <c r="AQ107" s="72"/>
      <c r="AR107" s="72"/>
      <c r="AS107" s="72"/>
      <c r="AT107" s="72"/>
      <c r="AU107" s="72"/>
      <c r="AV107" s="72"/>
    </row>
    <row r="108" spans="1:48" s="37" customFormat="1" ht="16.5" x14ac:dyDescent="0.3">
      <c r="A108" s="72"/>
      <c r="B108" s="72"/>
      <c r="C108" s="72"/>
      <c r="D108" s="72"/>
      <c r="E108" s="72"/>
      <c r="F108" s="72"/>
      <c r="G108" s="72"/>
      <c r="H108" s="72"/>
      <c r="I108" s="72"/>
      <c r="J108" s="72"/>
      <c r="K108" s="72"/>
      <c r="L108" s="72"/>
      <c r="M108" s="72"/>
      <c r="N108" s="72"/>
      <c r="O108" s="72"/>
      <c r="P108" s="72"/>
      <c r="Q108" s="72"/>
      <c r="R108" s="72"/>
      <c r="S108" s="72"/>
      <c r="T108" s="72"/>
      <c r="U108" s="72"/>
      <c r="V108" s="72"/>
      <c r="W108" s="72"/>
      <c r="X108" s="72"/>
      <c r="Y108" s="72"/>
      <c r="Z108" s="72"/>
      <c r="AA108" s="72"/>
      <c r="AB108" s="72"/>
      <c r="AC108" s="72"/>
      <c r="AD108" s="72"/>
      <c r="AE108" s="72"/>
      <c r="AF108" s="72"/>
      <c r="AG108" s="72"/>
      <c r="AH108" s="72"/>
      <c r="AI108" s="72"/>
      <c r="AJ108" s="72"/>
      <c r="AK108" s="72"/>
      <c r="AL108" s="72"/>
      <c r="AM108" s="72"/>
      <c r="AN108" s="72"/>
      <c r="AO108" s="72"/>
      <c r="AP108" s="72"/>
      <c r="AQ108" s="72"/>
      <c r="AR108" s="72"/>
      <c r="AS108" s="72"/>
      <c r="AT108" s="72"/>
      <c r="AU108" s="72"/>
      <c r="AV108" s="72"/>
    </row>
    <row r="109" spans="1:48" s="37" customFormat="1" ht="16.5" x14ac:dyDescent="0.3">
      <c r="A109" s="72"/>
      <c r="B109" s="72"/>
      <c r="C109" s="72"/>
      <c r="D109" s="72"/>
      <c r="E109" s="72"/>
      <c r="F109" s="72"/>
      <c r="G109" s="72"/>
      <c r="H109" s="72"/>
      <c r="I109" s="72"/>
      <c r="J109" s="72"/>
      <c r="K109" s="72"/>
      <c r="L109" s="72"/>
      <c r="M109" s="72"/>
      <c r="N109" s="72"/>
      <c r="O109" s="72"/>
      <c r="P109" s="72"/>
      <c r="Q109" s="72"/>
      <c r="R109" s="72"/>
      <c r="S109" s="72"/>
      <c r="T109" s="72"/>
      <c r="U109" s="72"/>
      <c r="V109" s="72"/>
      <c r="W109" s="72"/>
      <c r="X109" s="72"/>
      <c r="Y109" s="72"/>
      <c r="Z109" s="72"/>
      <c r="AA109" s="72"/>
      <c r="AB109" s="72"/>
      <c r="AC109" s="72"/>
      <c r="AD109" s="72"/>
      <c r="AE109" s="72"/>
      <c r="AF109" s="72"/>
      <c r="AG109" s="72"/>
      <c r="AH109" s="72"/>
      <c r="AI109" s="72"/>
      <c r="AJ109" s="72"/>
      <c r="AK109" s="72"/>
      <c r="AL109" s="72"/>
      <c r="AM109" s="72"/>
      <c r="AN109" s="72"/>
      <c r="AO109" s="72"/>
      <c r="AP109" s="72"/>
      <c r="AQ109" s="72"/>
      <c r="AR109" s="72"/>
      <c r="AS109" s="72"/>
      <c r="AT109" s="72"/>
      <c r="AU109" s="72"/>
      <c r="AV109" s="72"/>
    </row>
    <row r="110" spans="1:48" s="37" customFormat="1" ht="16.5" x14ac:dyDescent="0.3">
      <c r="A110" s="72"/>
      <c r="B110" s="72"/>
      <c r="C110" s="72"/>
      <c r="D110" s="72"/>
      <c r="E110" s="72"/>
      <c r="F110" s="72"/>
      <c r="G110" s="72"/>
      <c r="H110" s="72"/>
      <c r="I110" s="72"/>
      <c r="J110" s="72"/>
      <c r="K110" s="72"/>
      <c r="L110" s="72"/>
      <c r="M110" s="72"/>
      <c r="N110" s="72"/>
      <c r="O110" s="72"/>
      <c r="P110" s="72"/>
      <c r="Q110" s="72"/>
      <c r="R110" s="72"/>
      <c r="S110" s="72"/>
      <c r="T110" s="72"/>
      <c r="U110" s="72"/>
      <c r="V110" s="72"/>
      <c r="W110" s="72"/>
      <c r="X110" s="72"/>
      <c r="Y110" s="72"/>
      <c r="Z110" s="72"/>
      <c r="AA110" s="72"/>
      <c r="AB110" s="72"/>
      <c r="AC110" s="72"/>
      <c r="AD110" s="72"/>
      <c r="AE110" s="72"/>
      <c r="AF110" s="72"/>
      <c r="AG110" s="72"/>
      <c r="AH110" s="72"/>
      <c r="AI110" s="72"/>
      <c r="AJ110" s="72"/>
      <c r="AK110" s="72"/>
      <c r="AL110" s="72"/>
      <c r="AM110" s="72"/>
      <c r="AN110" s="72"/>
      <c r="AO110" s="72"/>
      <c r="AP110" s="72"/>
      <c r="AQ110" s="72"/>
      <c r="AR110" s="72"/>
      <c r="AS110" s="72"/>
      <c r="AT110" s="72"/>
      <c r="AU110" s="72"/>
      <c r="AV110" s="72"/>
    </row>
    <row r="111" spans="1:48" s="37" customFormat="1" ht="16.5" x14ac:dyDescent="0.3">
      <c r="A111" s="72"/>
      <c r="B111" s="72"/>
      <c r="C111" s="72"/>
      <c r="D111" s="72"/>
      <c r="E111" s="72"/>
      <c r="F111" s="72"/>
      <c r="G111" s="72"/>
      <c r="H111" s="72"/>
      <c r="I111" s="72"/>
      <c r="J111" s="72"/>
      <c r="K111" s="72"/>
      <c r="L111" s="72"/>
      <c r="M111" s="72"/>
      <c r="N111" s="72"/>
      <c r="O111" s="72"/>
      <c r="P111" s="72"/>
      <c r="Q111" s="72"/>
      <c r="R111" s="72"/>
      <c r="S111" s="72"/>
      <c r="T111" s="72"/>
      <c r="U111" s="72"/>
      <c r="V111" s="72"/>
      <c r="W111" s="72"/>
      <c r="X111" s="72"/>
      <c r="Y111" s="72"/>
      <c r="Z111" s="72"/>
      <c r="AA111" s="72"/>
      <c r="AB111" s="72"/>
      <c r="AC111" s="72"/>
      <c r="AD111" s="72"/>
      <c r="AE111" s="72"/>
      <c r="AF111" s="72"/>
      <c r="AG111" s="72"/>
      <c r="AH111" s="72"/>
      <c r="AI111" s="72"/>
      <c r="AJ111" s="72"/>
      <c r="AK111" s="72"/>
      <c r="AL111" s="72"/>
      <c r="AM111" s="72"/>
      <c r="AN111" s="72"/>
      <c r="AO111" s="72"/>
      <c r="AP111" s="72"/>
      <c r="AQ111" s="72"/>
      <c r="AR111" s="72"/>
      <c r="AS111" s="72"/>
      <c r="AT111" s="72"/>
      <c r="AU111" s="72"/>
      <c r="AV111" s="72"/>
    </row>
    <row r="112" spans="1:48" s="37" customFormat="1" ht="16.5" x14ac:dyDescent="0.3">
      <c r="A112" s="72"/>
      <c r="B112" s="72"/>
      <c r="C112" s="72"/>
      <c r="D112" s="72"/>
      <c r="E112" s="72"/>
      <c r="F112" s="72"/>
      <c r="G112" s="72"/>
      <c r="H112" s="72"/>
      <c r="I112" s="72"/>
      <c r="J112" s="72"/>
      <c r="K112" s="72"/>
      <c r="L112" s="72"/>
      <c r="M112" s="72"/>
      <c r="N112" s="72"/>
      <c r="O112" s="72"/>
      <c r="P112" s="72"/>
      <c r="Q112" s="72"/>
      <c r="R112" s="72"/>
      <c r="S112" s="72"/>
      <c r="T112" s="72"/>
      <c r="U112" s="72"/>
      <c r="V112" s="72"/>
      <c r="W112" s="72"/>
      <c r="X112" s="72"/>
      <c r="Y112" s="72"/>
      <c r="Z112" s="72"/>
      <c r="AA112" s="72"/>
      <c r="AB112" s="72"/>
      <c r="AC112" s="72"/>
      <c r="AD112" s="72"/>
      <c r="AE112" s="72"/>
      <c r="AF112" s="72"/>
      <c r="AG112" s="72"/>
      <c r="AH112" s="72"/>
      <c r="AI112" s="72"/>
      <c r="AJ112" s="72"/>
      <c r="AK112" s="72"/>
      <c r="AL112" s="72"/>
      <c r="AM112" s="72"/>
      <c r="AN112" s="72"/>
      <c r="AO112" s="72"/>
      <c r="AP112" s="72"/>
      <c r="AQ112" s="72"/>
      <c r="AR112" s="72"/>
      <c r="AS112" s="72"/>
      <c r="AT112" s="72"/>
      <c r="AU112" s="72"/>
      <c r="AV112" s="72"/>
    </row>
    <row r="113" spans="1:48" s="37" customFormat="1" ht="16.5" x14ac:dyDescent="0.3">
      <c r="A113" s="72"/>
      <c r="B113" s="72"/>
      <c r="C113" s="72"/>
      <c r="D113" s="72"/>
      <c r="E113" s="72"/>
      <c r="F113" s="72"/>
      <c r="G113" s="72"/>
      <c r="H113" s="72"/>
      <c r="I113" s="72"/>
      <c r="J113" s="72"/>
      <c r="K113" s="72"/>
      <c r="L113" s="72"/>
      <c r="M113" s="72"/>
      <c r="N113" s="72"/>
      <c r="O113" s="72"/>
      <c r="P113" s="72"/>
      <c r="Q113" s="72"/>
      <c r="R113" s="72"/>
      <c r="S113" s="72"/>
      <c r="T113" s="72"/>
      <c r="U113" s="72"/>
      <c r="V113" s="72"/>
      <c r="W113" s="72"/>
      <c r="X113" s="72"/>
      <c r="Y113" s="72"/>
      <c r="Z113" s="72"/>
      <c r="AA113" s="72"/>
      <c r="AB113" s="72"/>
      <c r="AC113" s="72"/>
      <c r="AD113" s="72"/>
      <c r="AE113" s="72"/>
      <c r="AF113" s="72"/>
      <c r="AG113" s="72"/>
      <c r="AH113" s="72"/>
      <c r="AI113" s="72"/>
      <c r="AJ113" s="72"/>
      <c r="AK113" s="72"/>
      <c r="AL113" s="72"/>
      <c r="AM113" s="72"/>
      <c r="AN113" s="72"/>
      <c r="AO113" s="72"/>
      <c r="AP113" s="72"/>
      <c r="AQ113" s="72"/>
      <c r="AR113" s="72"/>
      <c r="AS113" s="72"/>
      <c r="AT113" s="72"/>
      <c r="AU113" s="72"/>
      <c r="AV113" s="72"/>
    </row>
    <row r="114" spans="1:48" s="37" customFormat="1" ht="16.5" x14ac:dyDescent="0.3">
      <c r="A114" s="72"/>
      <c r="B114" s="72"/>
      <c r="C114" s="72"/>
      <c r="D114" s="72"/>
      <c r="E114" s="72"/>
      <c r="F114" s="72"/>
      <c r="G114" s="72"/>
      <c r="H114" s="72"/>
      <c r="I114" s="72"/>
      <c r="J114" s="72"/>
      <c r="K114" s="72"/>
      <c r="L114" s="72"/>
      <c r="M114" s="72"/>
      <c r="N114" s="72"/>
      <c r="O114" s="72"/>
      <c r="P114" s="72"/>
      <c r="Q114" s="72"/>
      <c r="R114" s="72"/>
      <c r="S114" s="72"/>
      <c r="T114" s="72"/>
      <c r="U114" s="72"/>
      <c r="V114" s="72"/>
      <c r="W114" s="72"/>
      <c r="X114" s="72"/>
      <c r="Y114" s="72"/>
      <c r="Z114" s="72"/>
      <c r="AA114" s="72"/>
      <c r="AB114" s="72"/>
      <c r="AC114" s="72"/>
      <c r="AD114" s="72"/>
      <c r="AE114" s="72"/>
      <c r="AF114" s="72"/>
      <c r="AG114" s="72"/>
      <c r="AH114" s="72"/>
      <c r="AI114" s="72"/>
      <c r="AJ114" s="72"/>
      <c r="AK114" s="72"/>
      <c r="AL114" s="72"/>
      <c r="AM114" s="72"/>
      <c r="AN114" s="72"/>
      <c r="AO114" s="72"/>
      <c r="AP114" s="72"/>
      <c r="AQ114" s="72"/>
      <c r="AR114" s="72"/>
      <c r="AS114" s="72"/>
      <c r="AT114" s="72"/>
      <c r="AU114" s="72"/>
      <c r="AV114" s="72"/>
    </row>
    <row r="115" spans="1:48" s="37" customFormat="1" ht="16.5" x14ac:dyDescent="0.3">
      <c r="A115" s="72"/>
      <c r="B115" s="72"/>
      <c r="C115" s="72"/>
      <c r="D115" s="72"/>
      <c r="E115" s="72"/>
      <c r="F115" s="72"/>
      <c r="G115" s="72"/>
      <c r="H115" s="72"/>
      <c r="I115" s="72"/>
      <c r="J115" s="72"/>
      <c r="K115" s="72"/>
      <c r="L115" s="72"/>
      <c r="M115" s="72"/>
      <c r="N115" s="72"/>
      <c r="O115" s="72"/>
      <c r="P115" s="72"/>
      <c r="Q115" s="72"/>
      <c r="R115" s="72"/>
      <c r="S115" s="72"/>
      <c r="T115" s="72"/>
      <c r="U115" s="72"/>
      <c r="V115" s="72"/>
      <c r="W115" s="72"/>
      <c r="X115" s="72"/>
      <c r="Y115" s="72"/>
      <c r="Z115" s="72"/>
      <c r="AA115" s="72"/>
      <c r="AB115" s="72"/>
      <c r="AC115" s="72"/>
      <c r="AD115" s="72"/>
      <c r="AE115" s="72"/>
      <c r="AF115" s="72"/>
      <c r="AG115" s="72"/>
      <c r="AH115" s="72"/>
      <c r="AI115" s="72"/>
      <c r="AJ115" s="72"/>
      <c r="AK115" s="72"/>
      <c r="AL115" s="72"/>
      <c r="AM115" s="72"/>
      <c r="AN115" s="72"/>
      <c r="AO115" s="72"/>
      <c r="AP115" s="72"/>
      <c r="AQ115" s="72"/>
      <c r="AR115" s="72"/>
      <c r="AS115" s="72"/>
      <c r="AT115" s="72"/>
      <c r="AU115" s="72"/>
      <c r="AV115" s="72"/>
    </row>
    <row r="116" spans="1:48" s="37" customFormat="1" ht="16.5" x14ac:dyDescent="0.3">
      <c r="A116" s="72"/>
      <c r="B116" s="72"/>
      <c r="C116" s="72"/>
      <c r="D116" s="72"/>
      <c r="E116" s="72"/>
      <c r="F116" s="72"/>
      <c r="G116" s="72"/>
      <c r="H116" s="72"/>
      <c r="I116" s="72"/>
      <c r="J116" s="72"/>
      <c r="K116" s="72"/>
      <c r="L116" s="72"/>
      <c r="M116" s="72"/>
      <c r="N116" s="72"/>
      <c r="O116" s="72"/>
      <c r="P116" s="72"/>
      <c r="Q116" s="72"/>
      <c r="R116" s="72"/>
      <c r="S116" s="72"/>
      <c r="T116" s="72"/>
      <c r="U116" s="72"/>
      <c r="V116" s="72"/>
      <c r="W116" s="72"/>
      <c r="X116" s="72"/>
      <c r="Y116" s="72"/>
      <c r="Z116" s="72"/>
      <c r="AA116" s="72"/>
      <c r="AB116" s="72"/>
      <c r="AC116" s="72"/>
      <c r="AD116" s="72"/>
      <c r="AE116" s="72"/>
      <c r="AF116" s="72"/>
      <c r="AG116" s="72"/>
      <c r="AH116" s="72"/>
      <c r="AI116" s="72"/>
      <c r="AJ116" s="72"/>
      <c r="AK116" s="72"/>
      <c r="AL116" s="72"/>
      <c r="AM116" s="72"/>
      <c r="AN116" s="72"/>
      <c r="AO116" s="72"/>
      <c r="AP116" s="72"/>
      <c r="AQ116" s="72"/>
      <c r="AR116" s="72"/>
      <c r="AS116" s="72"/>
      <c r="AT116" s="72"/>
      <c r="AU116" s="72"/>
      <c r="AV116" s="72"/>
    </row>
    <row r="117" spans="1:48" s="37" customFormat="1" ht="16.5" x14ac:dyDescent="0.3">
      <c r="A117" s="72"/>
      <c r="B117" s="72"/>
      <c r="C117" s="72"/>
      <c r="D117" s="72"/>
      <c r="E117" s="72"/>
      <c r="F117" s="72"/>
      <c r="G117" s="72"/>
      <c r="H117" s="72"/>
      <c r="I117" s="72"/>
      <c r="J117" s="72"/>
      <c r="K117" s="72"/>
      <c r="L117" s="72"/>
      <c r="M117" s="72"/>
      <c r="N117" s="72"/>
      <c r="O117" s="72"/>
      <c r="P117" s="72"/>
      <c r="Q117" s="72"/>
      <c r="R117" s="72"/>
      <c r="S117" s="72"/>
      <c r="T117" s="72"/>
      <c r="U117" s="72"/>
      <c r="V117" s="72"/>
      <c r="W117" s="72"/>
      <c r="X117" s="72"/>
      <c r="Y117" s="72"/>
      <c r="Z117" s="72"/>
      <c r="AA117" s="72"/>
      <c r="AB117" s="72"/>
      <c r="AC117" s="72"/>
      <c r="AD117" s="72"/>
      <c r="AE117" s="72"/>
      <c r="AF117" s="72"/>
      <c r="AG117" s="72"/>
      <c r="AH117" s="72"/>
      <c r="AI117" s="72"/>
      <c r="AJ117" s="72"/>
      <c r="AK117" s="72"/>
      <c r="AL117" s="72"/>
      <c r="AM117" s="72"/>
      <c r="AN117" s="72"/>
      <c r="AO117" s="72"/>
      <c r="AP117" s="72"/>
      <c r="AQ117" s="72"/>
      <c r="AR117" s="72"/>
      <c r="AS117" s="72"/>
      <c r="AT117" s="72"/>
      <c r="AU117" s="72"/>
      <c r="AV117" s="72"/>
    </row>
    <row r="118" spans="1:48" s="37" customFormat="1" ht="16.5" x14ac:dyDescent="0.3">
      <c r="A118" s="72"/>
      <c r="B118" s="72"/>
      <c r="C118" s="72"/>
      <c r="D118" s="72"/>
      <c r="E118" s="72"/>
      <c r="F118" s="72"/>
      <c r="G118" s="72"/>
      <c r="H118" s="72"/>
      <c r="I118" s="72"/>
      <c r="J118" s="72"/>
      <c r="K118" s="72"/>
      <c r="L118" s="72"/>
      <c r="M118" s="72"/>
      <c r="N118" s="72"/>
      <c r="O118" s="72"/>
      <c r="P118" s="72"/>
      <c r="Q118" s="72"/>
      <c r="R118" s="72"/>
      <c r="S118" s="72"/>
      <c r="T118" s="72"/>
      <c r="U118" s="72"/>
      <c r="V118" s="72"/>
      <c r="W118" s="72"/>
      <c r="X118" s="72"/>
      <c r="Y118" s="72"/>
      <c r="Z118" s="72"/>
      <c r="AA118" s="72"/>
      <c r="AB118" s="72"/>
      <c r="AC118" s="72"/>
      <c r="AD118" s="72"/>
      <c r="AE118" s="72"/>
      <c r="AF118" s="72"/>
      <c r="AG118" s="72"/>
      <c r="AH118" s="72"/>
      <c r="AI118" s="72"/>
      <c r="AJ118" s="72"/>
      <c r="AK118" s="72"/>
      <c r="AL118" s="72"/>
      <c r="AM118" s="72"/>
      <c r="AN118" s="72"/>
      <c r="AO118" s="72"/>
      <c r="AP118" s="72"/>
      <c r="AQ118" s="72"/>
      <c r="AR118" s="72"/>
      <c r="AS118" s="72"/>
      <c r="AT118" s="72"/>
      <c r="AU118" s="72"/>
      <c r="AV118" s="72"/>
    </row>
    <row r="119" spans="1:48" s="37" customFormat="1" ht="16.5" x14ac:dyDescent="0.3">
      <c r="A119" s="72"/>
      <c r="B119" s="72"/>
      <c r="C119" s="72"/>
      <c r="D119" s="72"/>
      <c r="E119" s="72"/>
      <c r="F119" s="72"/>
      <c r="G119" s="72"/>
      <c r="H119" s="72"/>
      <c r="I119" s="72"/>
      <c r="J119" s="72"/>
      <c r="K119" s="72"/>
      <c r="L119" s="72"/>
      <c r="M119" s="72"/>
      <c r="N119" s="72"/>
      <c r="O119" s="72"/>
      <c r="P119" s="72"/>
      <c r="Q119" s="72"/>
      <c r="R119" s="72"/>
      <c r="S119" s="72"/>
      <c r="T119" s="72"/>
      <c r="U119" s="72"/>
      <c r="V119" s="72"/>
      <c r="W119" s="72"/>
      <c r="X119" s="72"/>
      <c r="Y119" s="72"/>
      <c r="Z119" s="72"/>
      <c r="AA119" s="72"/>
      <c r="AB119" s="72"/>
      <c r="AC119" s="72"/>
      <c r="AD119" s="72"/>
      <c r="AE119" s="72"/>
      <c r="AF119" s="72"/>
      <c r="AG119" s="72"/>
      <c r="AH119" s="72"/>
      <c r="AI119" s="72"/>
      <c r="AJ119" s="72"/>
      <c r="AK119" s="72"/>
      <c r="AL119" s="72"/>
      <c r="AM119" s="72"/>
      <c r="AN119" s="72"/>
      <c r="AO119" s="72"/>
      <c r="AP119" s="72"/>
      <c r="AQ119" s="72"/>
      <c r="AR119" s="72"/>
      <c r="AS119" s="72"/>
      <c r="AT119" s="72"/>
      <c r="AU119" s="72"/>
      <c r="AV119" s="72"/>
    </row>
    <row r="120" spans="1:48" s="37" customFormat="1" ht="16.5" x14ac:dyDescent="0.3">
      <c r="A120" s="72"/>
      <c r="B120" s="72"/>
      <c r="C120" s="72"/>
      <c r="D120" s="72"/>
      <c r="E120" s="72"/>
      <c r="F120" s="72"/>
      <c r="G120" s="72"/>
      <c r="H120" s="72"/>
      <c r="I120" s="72"/>
      <c r="J120" s="72"/>
      <c r="K120" s="72"/>
      <c r="L120" s="72"/>
      <c r="M120" s="72"/>
      <c r="N120" s="72"/>
      <c r="O120" s="72"/>
      <c r="P120" s="72"/>
      <c r="Q120" s="72"/>
      <c r="R120" s="72"/>
      <c r="S120" s="72"/>
      <c r="T120" s="72"/>
      <c r="U120" s="72"/>
      <c r="V120" s="72"/>
      <c r="W120" s="72"/>
      <c r="X120" s="72"/>
      <c r="Y120" s="72"/>
      <c r="Z120" s="72"/>
      <c r="AA120" s="72"/>
      <c r="AB120" s="72"/>
      <c r="AC120" s="72"/>
      <c r="AD120" s="72"/>
      <c r="AE120" s="72"/>
      <c r="AF120" s="72"/>
      <c r="AG120" s="72"/>
      <c r="AH120" s="72"/>
      <c r="AI120" s="72"/>
      <c r="AJ120" s="72"/>
      <c r="AK120" s="72"/>
      <c r="AL120" s="72"/>
      <c r="AM120" s="72"/>
      <c r="AN120" s="72"/>
      <c r="AO120" s="72"/>
      <c r="AP120" s="72"/>
      <c r="AQ120" s="72"/>
      <c r="AR120" s="72"/>
      <c r="AS120" s="72"/>
      <c r="AT120" s="72"/>
      <c r="AU120" s="72"/>
      <c r="AV120" s="72"/>
    </row>
    <row r="121" spans="1:48" s="37" customFormat="1" ht="16.5" x14ac:dyDescent="0.3">
      <c r="A121" s="72"/>
      <c r="B121" s="72"/>
      <c r="C121" s="72"/>
      <c r="D121" s="72"/>
      <c r="E121" s="72"/>
      <c r="F121" s="72"/>
      <c r="G121" s="72"/>
      <c r="H121" s="72"/>
      <c r="I121" s="72"/>
      <c r="J121" s="72"/>
      <c r="K121" s="72"/>
      <c r="L121" s="72"/>
      <c r="M121" s="72"/>
      <c r="N121" s="72"/>
      <c r="O121" s="72"/>
      <c r="P121" s="72"/>
      <c r="Q121" s="72"/>
      <c r="R121" s="72"/>
      <c r="S121" s="72"/>
      <c r="T121" s="72"/>
      <c r="U121" s="72"/>
      <c r="V121" s="72"/>
      <c r="W121" s="72"/>
      <c r="X121" s="72"/>
      <c r="Y121" s="72"/>
      <c r="Z121" s="72"/>
      <c r="AA121" s="72"/>
      <c r="AB121" s="72"/>
      <c r="AC121" s="72"/>
      <c r="AD121" s="72"/>
      <c r="AE121" s="72"/>
      <c r="AF121" s="72"/>
      <c r="AG121" s="72"/>
      <c r="AH121" s="72"/>
      <c r="AI121" s="72"/>
      <c r="AJ121" s="72"/>
      <c r="AK121" s="72"/>
      <c r="AL121" s="72"/>
      <c r="AM121" s="72"/>
      <c r="AN121" s="72"/>
      <c r="AO121" s="72"/>
      <c r="AP121" s="72"/>
      <c r="AQ121" s="72"/>
      <c r="AR121" s="72"/>
      <c r="AS121" s="72"/>
      <c r="AT121" s="72"/>
      <c r="AU121" s="72"/>
      <c r="AV121" s="72"/>
    </row>
    <row r="122" spans="1:48" s="37" customFormat="1" ht="16.5" x14ac:dyDescent="0.3">
      <c r="A122" s="72"/>
      <c r="B122" s="72"/>
      <c r="C122" s="72"/>
      <c r="D122" s="72"/>
      <c r="E122" s="72"/>
      <c r="F122" s="72"/>
      <c r="G122" s="72"/>
      <c r="H122" s="72"/>
      <c r="I122" s="72"/>
      <c r="J122" s="72"/>
      <c r="K122" s="72"/>
      <c r="L122" s="72"/>
      <c r="M122" s="72"/>
      <c r="N122" s="72"/>
      <c r="O122" s="72"/>
      <c r="P122" s="72"/>
      <c r="Q122" s="72"/>
      <c r="R122" s="72"/>
      <c r="S122" s="72"/>
      <c r="T122" s="72"/>
      <c r="U122" s="72"/>
      <c r="V122" s="72"/>
      <c r="W122" s="72"/>
      <c r="X122" s="72"/>
      <c r="Y122" s="72"/>
      <c r="Z122" s="72"/>
      <c r="AA122" s="72"/>
      <c r="AB122" s="72"/>
      <c r="AC122" s="72"/>
      <c r="AD122" s="72"/>
      <c r="AE122" s="72"/>
      <c r="AF122" s="72"/>
      <c r="AG122" s="72"/>
      <c r="AH122" s="72"/>
      <c r="AI122" s="72"/>
      <c r="AJ122" s="72"/>
      <c r="AK122" s="72"/>
      <c r="AL122" s="72"/>
      <c r="AM122" s="72"/>
      <c r="AN122" s="72"/>
      <c r="AO122" s="72"/>
      <c r="AP122" s="72"/>
      <c r="AQ122" s="72"/>
      <c r="AR122" s="72"/>
      <c r="AS122" s="72"/>
      <c r="AT122" s="72"/>
      <c r="AU122" s="72"/>
      <c r="AV122" s="72"/>
    </row>
    <row r="123" spans="1:48" s="37" customFormat="1" ht="16.5" x14ac:dyDescent="0.3">
      <c r="A123" s="72"/>
      <c r="B123" s="72"/>
      <c r="C123" s="72"/>
      <c r="D123" s="72"/>
      <c r="E123" s="72"/>
      <c r="F123" s="72"/>
      <c r="G123" s="72"/>
      <c r="H123" s="72"/>
      <c r="I123" s="72"/>
      <c r="J123" s="72"/>
      <c r="K123" s="72"/>
      <c r="L123" s="72"/>
      <c r="M123" s="72"/>
      <c r="N123" s="72"/>
      <c r="O123" s="72"/>
      <c r="P123" s="72"/>
      <c r="Q123" s="72"/>
      <c r="R123" s="72"/>
      <c r="S123" s="72"/>
      <c r="T123" s="72"/>
      <c r="U123" s="72"/>
      <c r="V123" s="72"/>
      <c r="W123" s="72"/>
      <c r="X123" s="72"/>
      <c r="Y123" s="72"/>
      <c r="Z123" s="72"/>
      <c r="AA123" s="72"/>
      <c r="AB123" s="72"/>
      <c r="AC123" s="72"/>
      <c r="AD123" s="72"/>
      <c r="AE123" s="72"/>
      <c r="AF123" s="72"/>
      <c r="AG123" s="72"/>
      <c r="AH123" s="72"/>
      <c r="AI123" s="72"/>
      <c r="AJ123" s="72"/>
      <c r="AK123" s="72"/>
      <c r="AL123" s="72"/>
      <c r="AM123" s="72"/>
      <c r="AN123" s="72"/>
      <c r="AO123" s="72"/>
      <c r="AP123" s="72"/>
      <c r="AQ123" s="72"/>
      <c r="AR123" s="72"/>
      <c r="AS123" s="72"/>
      <c r="AT123" s="72"/>
      <c r="AU123" s="72"/>
      <c r="AV123" s="72"/>
    </row>
    <row r="124" spans="1:48" s="37" customFormat="1" ht="16.5" x14ac:dyDescent="0.3">
      <c r="A124" s="72"/>
      <c r="B124" s="72"/>
      <c r="C124" s="72"/>
      <c r="D124" s="72"/>
      <c r="E124" s="72"/>
      <c r="F124" s="72"/>
      <c r="G124" s="72"/>
      <c r="H124" s="72"/>
      <c r="I124" s="72"/>
      <c r="J124" s="72"/>
      <c r="K124" s="72"/>
      <c r="L124" s="72"/>
      <c r="M124" s="72"/>
      <c r="N124" s="72"/>
      <c r="O124" s="72"/>
      <c r="P124" s="72"/>
      <c r="Q124" s="72"/>
      <c r="R124" s="72"/>
      <c r="S124" s="72"/>
      <c r="T124" s="72"/>
      <c r="U124" s="72"/>
      <c r="V124" s="72"/>
      <c r="W124" s="72"/>
      <c r="X124" s="72"/>
      <c r="Y124" s="72"/>
      <c r="Z124" s="72"/>
      <c r="AA124" s="72"/>
      <c r="AB124" s="72"/>
      <c r="AC124" s="72"/>
      <c r="AD124" s="72"/>
      <c r="AE124" s="72"/>
      <c r="AF124" s="72"/>
      <c r="AG124" s="72"/>
      <c r="AH124" s="72"/>
      <c r="AI124" s="72"/>
      <c r="AJ124" s="72"/>
      <c r="AK124" s="72"/>
      <c r="AL124" s="72"/>
      <c r="AM124" s="72"/>
      <c r="AN124" s="72"/>
      <c r="AO124" s="72"/>
      <c r="AP124" s="72"/>
      <c r="AQ124" s="72"/>
      <c r="AR124" s="72"/>
      <c r="AS124" s="72"/>
      <c r="AT124" s="72"/>
      <c r="AU124" s="72"/>
      <c r="AV124" s="72"/>
    </row>
    <row r="125" spans="1:48" s="37" customFormat="1" ht="16.5" x14ac:dyDescent="0.3">
      <c r="A125" s="72"/>
      <c r="B125" s="72"/>
      <c r="C125" s="72"/>
      <c r="D125" s="72"/>
      <c r="E125" s="72"/>
      <c r="F125" s="72"/>
      <c r="G125" s="72"/>
      <c r="H125" s="72"/>
      <c r="I125" s="72"/>
      <c r="J125" s="72"/>
      <c r="K125" s="72"/>
      <c r="L125" s="72"/>
      <c r="M125" s="72"/>
      <c r="N125" s="72"/>
      <c r="O125" s="72"/>
      <c r="P125" s="72"/>
      <c r="Q125" s="72"/>
      <c r="R125" s="72"/>
      <c r="S125" s="72"/>
      <c r="T125" s="72"/>
      <c r="U125" s="72"/>
      <c r="V125" s="72"/>
      <c r="W125" s="72"/>
      <c r="X125" s="72"/>
      <c r="Y125" s="72"/>
      <c r="Z125" s="72"/>
      <c r="AA125" s="72"/>
      <c r="AB125" s="72"/>
      <c r="AC125" s="72"/>
      <c r="AD125" s="72"/>
      <c r="AE125" s="72"/>
      <c r="AF125" s="72"/>
      <c r="AG125" s="72"/>
      <c r="AH125" s="72"/>
      <c r="AI125" s="72"/>
      <c r="AJ125" s="72"/>
      <c r="AK125" s="72"/>
      <c r="AL125" s="72"/>
      <c r="AM125" s="72"/>
      <c r="AN125" s="72"/>
      <c r="AO125" s="72"/>
      <c r="AP125" s="72"/>
      <c r="AQ125" s="72"/>
      <c r="AR125" s="72"/>
      <c r="AS125" s="72"/>
      <c r="AT125" s="72"/>
      <c r="AU125" s="72"/>
      <c r="AV125" s="72"/>
    </row>
    <row r="126" spans="1:48" s="37" customFormat="1" ht="16.5" x14ac:dyDescent="0.3">
      <c r="A126" s="72"/>
      <c r="B126" s="72"/>
      <c r="C126" s="72"/>
      <c r="D126" s="72"/>
      <c r="E126" s="72"/>
      <c r="F126" s="72"/>
      <c r="G126" s="72"/>
      <c r="H126" s="72"/>
      <c r="I126" s="72"/>
      <c r="J126" s="72"/>
      <c r="K126" s="72"/>
      <c r="L126" s="72"/>
      <c r="M126" s="72"/>
      <c r="N126" s="72"/>
      <c r="O126" s="72"/>
      <c r="P126" s="72"/>
      <c r="Q126" s="72"/>
      <c r="R126" s="72"/>
      <c r="S126" s="72"/>
      <c r="T126" s="72"/>
      <c r="U126" s="72"/>
      <c r="V126" s="72"/>
      <c r="W126" s="72"/>
      <c r="X126" s="72"/>
      <c r="Y126" s="72"/>
      <c r="Z126" s="72"/>
      <c r="AA126" s="72"/>
      <c r="AB126" s="72"/>
      <c r="AC126" s="72"/>
      <c r="AD126" s="72"/>
      <c r="AE126" s="72"/>
      <c r="AF126" s="72"/>
      <c r="AG126" s="72"/>
      <c r="AH126" s="72"/>
      <c r="AI126" s="72"/>
      <c r="AJ126" s="72"/>
      <c r="AK126" s="72"/>
      <c r="AL126" s="72"/>
      <c r="AM126" s="72"/>
      <c r="AN126" s="72"/>
      <c r="AO126" s="72"/>
      <c r="AP126" s="72"/>
      <c r="AQ126" s="72"/>
      <c r="AR126" s="72"/>
      <c r="AS126" s="72"/>
      <c r="AT126" s="72"/>
      <c r="AU126" s="72"/>
      <c r="AV126" s="72"/>
    </row>
    <row r="127" spans="1:48" s="37" customFormat="1" ht="16.5" x14ac:dyDescent="0.3">
      <c r="A127" s="72"/>
      <c r="B127" s="72"/>
      <c r="C127" s="72"/>
      <c r="D127" s="72"/>
      <c r="E127" s="72"/>
      <c r="F127" s="72"/>
      <c r="G127" s="72"/>
      <c r="H127" s="72"/>
      <c r="I127" s="72"/>
      <c r="J127" s="72"/>
      <c r="K127" s="72"/>
      <c r="L127" s="72"/>
      <c r="M127" s="72"/>
      <c r="N127" s="72"/>
      <c r="O127" s="72"/>
      <c r="P127" s="72"/>
      <c r="Q127" s="72"/>
      <c r="R127" s="72"/>
      <c r="S127" s="72"/>
      <c r="T127" s="72"/>
      <c r="U127" s="72"/>
      <c r="V127" s="72"/>
      <c r="W127" s="72"/>
      <c r="X127" s="72"/>
      <c r="Y127" s="72"/>
      <c r="Z127" s="72"/>
      <c r="AA127" s="72"/>
      <c r="AB127" s="72"/>
      <c r="AC127" s="72"/>
      <c r="AD127" s="72"/>
      <c r="AE127" s="72"/>
      <c r="AF127" s="72"/>
      <c r="AG127" s="72"/>
      <c r="AH127" s="72"/>
      <c r="AI127" s="72"/>
      <c r="AJ127" s="72"/>
      <c r="AK127" s="72"/>
      <c r="AL127" s="72"/>
      <c r="AM127" s="72"/>
      <c r="AN127" s="72"/>
      <c r="AO127" s="72"/>
      <c r="AP127" s="72"/>
      <c r="AQ127" s="72"/>
      <c r="AR127" s="72"/>
      <c r="AS127" s="72"/>
      <c r="AT127" s="72"/>
      <c r="AU127" s="72"/>
      <c r="AV127" s="72"/>
    </row>
    <row r="128" spans="1:48" s="37" customFormat="1" ht="16.5" x14ac:dyDescent="0.3">
      <c r="A128" s="72"/>
      <c r="B128" s="72"/>
      <c r="C128" s="72"/>
      <c r="D128" s="72"/>
      <c r="E128" s="72"/>
      <c r="F128" s="72"/>
      <c r="G128" s="72"/>
      <c r="H128" s="72"/>
      <c r="I128" s="72"/>
      <c r="J128" s="72"/>
      <c r="K128" s="72"/>
      <c r="L128" s="72"/>
      <c r="M128" s="72"/>
      <c r="N128" s="72"/>
      <c r="O128" s="72"/>
      <c r="P128" s="72"/>
      <c r="Q128" s="72"/>
      <c r="R128" s="72"/>
      <c r="S128" s="72"/>
      <c r="T128" s="72"/>
      <c r="U128" s="72"/>
      <c r="V128" s="72"/>
      <c r="W128" s="72"/>
      <c r="X128" s="72"/>
      <c r="Y128" s="72"/>
      <c r="Z128" s="72"/>
      <c r="AA128" s="72"/>
      <c r="AB128" s="72"/>
      <c r="AC128" s="72"/>
      <c r="AD128" s="72"/>
      <c r="AE128" s="72"/>
      <c r="AF128" s="72"/>
      <c r="AG128" s="72"/>
      <c r="AH128" s="72"/>
      <c r="AI128" s="72"/>
      <c r="AJ128" s="72"/>
      <c r="AK128" s="72"/>
      <c r="AL128" s="72"/>
      <c r="AM128" s="72"/>
      <c r="AN128" s="72"/>
      <c r="AO128" s="72"/>
      <c r="AP128" s="72"/>
      <c r="AQ128" s="72"/>
      <c r="AR128" s="72"/>
      <c r="AS128" s="72"/>
      <c r="AT128" s="72"/>
      <c r="AU128" s="72"/>
      <c r="AV128" s="72"/>
    </row>
    <row r="129" spans="1:48" s="37" customFormat="1" ht="16.5" x14ac:dyDescent="0.3">
      <c r="A129" s="72"/>
      <c r="B129" s="72"/>
      <c r="C129" s="72"/>
      <c r="D129" s="72"/>
      <c r="E129" s="72"/>
      <c r="F129" s="72"/>
      <c r="G129" s="72"/>
      <c r="H129" s="72"/>
      <c r="I129" s="72"/>
      <c r="J129" s="72"/>
      <c r="K129" s="72"/>
      <c r="L129" s="72"/>
      <c r="M129" s="72"/>
      <c r="N129" s="72"/>
      <c r="O129" s="72"/>
      <c r="P129" s="72"/>
      <c r="Q129" s="72"/>
      <c r="R129" s="72"/>
      <c r="S129" s="72"/>
      <c r="T129" s="72"/>
      <c r="U129" s="72"/>
      <c r="V129" s="72"/>
      <c r="W129" s="72"/>
      <c r="X129" s="72"/>
      <c r="Y129" s="72"/>
      <c r="Z129" s="72"/>
      <c r="AA129" s="72"/>
      <c r="AB129" s="72"/>
      <c r="AC129" s="72"/>
      <c r="AD129" s="72"/>
      <c r="AE129" s="72"/>
      <c r="AF129" s="72"/>
      <c r="AG129" s="72"/>
      <c r="AH129" s="72"/>
      <c r="AI129" s="72"/>
      <c r="AJ129" s="72"/>
      <c r="AK129" s="72"/>
      <c r="AL129" s="72"/>
      <c r="AM129" s="72"/>
      <c r="AN129" s="72"/>
      <c r="AO129" s="72"/>
      <c r="AP129" s="72"/>
      <c r="AQ129" s="72"/>
      <c r="AR129" s="72"/>
      <c r="AS129" s="72"/>
      <c r="AT129" s="72"/>
      <c r="AU129" s="72"/>
      <c r="AV129" s="72"/>
    </row>
    <row r="130" spans="1:48" s="37" customFormat="1" ht="16.5" x14ac:dyDescent="0.3">
      <c r="A130" s="72"/>
      <c r="B130" s="72"/>
      <c r="C130" s="72"/>
      <c r="D130" s="72"/>
      <c r="E130" s="72"/>
      <c r="F130" s="72"/>
      <c r="G130" s="72"/>
      <c r="H130" s="72"/>
      <c r="I130" s="72"/>
      <c r="J130" s="72"/>
      <c r="K130" s="72"/>
      <c r="L130" s="72"/>
      <c r="M130" s="72"/>
      <c r="N130" s="72"/>
      <c r="O130" s="72"/>
      <c r="P130" s="72"/>
      <c r="Q130" s="72"/>
      <c r="R130" s="72"/>
      <c r="S130" s="72"/>
      <c r="T130" s="72"/>
      <c r="U130" s="72"/>
      <c r="V130" s="72"/>
      <c r="W130" s="72"/>
      <c r="X130" s="72"/>
      <c r="Y130" s="72"/>
      <c r="Z130" s="72"/>
      <c r="AA130" s="72"/>
      <c r="AB130" s="72"/>
      <c r="AC130" s="72"/>
      <c r="AD130" s="72"/>
      <c r="AE130" s="72"/>
      <c r="AF130" s="72"/>
      <c r="AG130" s="72"/>
      <c r="AH130" s="72"/>
      <c r="AI130" s="72"/>
      <c r="AJ130" s="72"/>
      <c r="AK130" s="72"/>
      <c r="AL130" s="72"/>
      <c r="AM130" s="72"/>
      <c r="AN130" s="72"/>
      <c r="AO130" s="72"/>
      <c r="AP130" s="72"/>
      <c r="AQ130" s="72"/>
      <c r="AR130" s="72"/>
      <c r="AS130" s="72"/>
      <c r="AT130" s="72"/>
      <c r="AU130" s="72"/>
      <c r="AV130" s="72"/>
    </row>
    <row r="131" spans="1:48" s="37" customFormat="1" ht="16.5" x14ac:dyDescent="0.3">
      <c r="A131" s="72"/>
      <c r="B131" s="72"/>
      <c r="C131" s="72"/>
      <c r="D131" s="72"/>
      <c r="E131" s="72"/>
      <c r="F131" s="72"/>
      <c r="G131" s="72"/>
      <c r="H131" s="72"/>
      <c r="I131" s="72"/>
      <c r="J131" s="72"/>
      <c r="K131" s="72"/>
      <c r="L131" s="72"/>
      <c r="M131" s="72"/>
      <c r="N131" s="72"/>
      <c r="O131" s="72"/>
      <c r="P131" s="72"/>
      <c r="Q131" s="72"/>
      <c r="R131" s="72"/>
      <c r="S131" s="72"/>
      <c r="T131" s="72"/>
      <c r="U131" s="72"/>
      <c r="V131" s="72"/>
      <c r="W131" s="72"/>
      <c r="X131" s="72"/>
      <c r="Y131" s="72"/>
      <c r="Z131" s="72"/>
      <c r="AA131" s="72"/>
      <c r="AB131" s="72"/>
      <c r="AC131" s="72"/>
      <c r="AD131" s="72"/>
      <c r="AE131" s="72"/>
      <c r="AF131" s="72"/>
      <c r="AG131" s="72"/>
      <c r="AH131" s="72"/>
      <c r="AI131" s="72"/>
      <c r="AJ131" s="72"/>
      <c r="AK131" s="72"/>
      <c r="AL131" s="72"/>
      <c r="AM131" s="72"/>
      <c r="AN131" s="72"/>
      <c r="AO131" s="72"/>
      <c r="AP131" s="72"/>
      <c r="AQ131" s="72"/>
      <c r="AR131" s="72"/>
      <c r="AS131" s="72"/>
      <c r="AT131" s="72"/>
      <c r="AU131" s="72"/>
      <c r="AV131" s="72"/>
    </row>
    <row r="132" spans="1:48" s="37" customFormat="1" ht="16.5" x14ac:dyDescent="0.3">
      <c r="A132" s="72"/>
      <c r="B132" s="72"/>
      <c r="C132" s="72"/>
      <c r="D132" s="72"/>
      <c r="E132" s="72"/>
      <c r="F132" s="72"/>
      <c r="G132" s="72"/>
      <c r="H132" s="72"/>
      <c r="I132" s="72"/>
      <c r="J132" s="72"/>
      <c r="K132" s="72"/>
      <c r="L132" s="72"/>
      <c r="M132" s="72"/>
      <c r="N132" s="72"/>
      <c r="O132" s="72"/>
      <c r="P132" s="72"/>
      <c r="Q132" s="72"/>
      <c r="R132" s="72"/>
      <c r="S132" s="72"/>
      <c r="T132" s="72"/>
      <c r="U132" s="72"/>
      <c r="V132" s="72"/>
      <c r="W132" s="72"/>
      <c r="X132" s="72"/>
      <c r="Y132" s="72"/>
      <c r="Z132" s="72"/>
      <c r="AA132" s="72"/>
      <c r="AB132" s="72"/>
      <c r="AC132" s="72"/>
      <c r="AD132" s="72"/>
      <c r="AE132" s="72"/>
      <c r="AF132" s="72"/>
      <c r="AG132" s="72"/>
      <c r="AH132" s="72"/>
      <c r="AI132" s="72"/>
      <c r="AJ132" s="72"/>
      <c r="AK132" s="72"/>
      <c r="AL132" s="72"/>
      <c r="AM132" s="72"/>
      <c r="AN132" s="72"/>
      <c r="AO132" s="72"/>
      <c r="AP132" s="72"/>
      <c r="AQ132" s="72"/>
      <c r="AR132" s="72"/>
      <c r="AS132" s="72"/>
      <c r="AT132" s="72"/>
      <c r="AU132" s="72"/>
      <c r="AV132" s="72"/>
    </row>
    <row r="133" spans="1:48" s="37" customFormat="1" ht="16.5" x14ac:dyDescent="0.3">
      <c r="A133" s="72"/>
      <c r="B133" s="72"/>
      <c r="C133" s="72"/>
      <c r="D133" s="72"/>
      <c r="E133" s="72"/>
      <c r="F133" s="72"/>
      <c r="G133" s="72"/>
      <c r="H133" s="72"/>
      <c r="I133" s="72"/>
      <c r="J133" s="72"/>
      <c r="K133" s="72"/>
      <c r="L133" s="72"/>
      <c r="M133" s="72"/>
      <c r="N133" s="72"/>
      <c r="O133" s="72"/>
      <c r="P133" s="72"/>
      <c r="Q133" s="72"/>
      <c r="R133" s="72"/>
      <c r="S133" s="72"/>
      <c r="T133" s="72"/>
      <c r="U133" s="72"/>
      <c r="V133" s="72"/>
      <c r="W133" s="72"/>
      <c r="X133" s="72"/>
      <c r="Y133" s="72"/>
      <c r="Z133" s="72"/>
      <c r="AA133" s="72"/>
      <c r="AB133" s="72"/>
      <c r="AC133" s="72"/>
      <c r="AD133" s="72"/>
      <c r="AE133" s="72"/>
      <c r="AF133" s="72"/>
      <c r="AG133" s="72"/>
      <c r="AH133" s="72"/>
      <c r="AI133" s="72"/>
      <c r="AJ133" s="72"/>
      <c r="AK133" s="72"/>
      <c r="AL133" s="72"/>
      <c r="AM133" s="72"/>
      <c r="AN133" s="72"/>
      <c r="AO133" s="72"/>
      <c r="AP133" s="72"/>
      <c r="AQ133" s="72"/>
      <c r="AR133" s="72"/>
      <c r="AS133" s="72"/>
      <c r="AT133" s="72"/>
      <c r="AU133" s="72"/>
      <c r="AV133" s="72"/>
    </row>
    <row r="134" spans="1:48" s="37" customFormat="1" ht="16.5" x14ac:dyDescent="0.3">
      <c r="A134" s="72"/>
      <c r="B134" s="72"/>
      <c r="C134" s="72"/>
      <c r="D134" s="72"/>
      <c r="E134" s="72"/>
      <c r="F134" s="72"/>
      <c r="G134" s="72"/>
      <c r="H134" s="72"/>
      <c r="I134" s="72"/>
      <c r="J134" s="72"/>
      <c r="K134" s="72"/>
      <c r="L134" s="72"/>
      <c r="M134" s="72"/>
      <c r="N134" s="72"/>
      <c r="O134" s="72"/>
      <c r="P134" s="72"/>
      <c r="Q134" s="72"/>
      <c r="R134" s="72"/>
      <c r="S134" s="72"/>
      <c r="T134" s="72"/>
      <c r="U134" s="72"/>
      <c r="V134" s="72"/>
      <c r="W134" s="72"/>
      <c r="X134" s="72"/>
      <c r="Y134" s="72"/>
      <c r="Z134" s="72"/>
      <c r="AA134" s="72"/>
      <c r="AB134" s="72"/>
      <c r="AC134" s="72"/>
      <c r="AD134" s="72"/>
      <c r="AE134" s="72"/>
      <c r="AF134" s="72"/>
      <c r="AG134" s="72"/>
      <c r="AH134" s="72"/>
      <c r="AI134" s="72"/>
      <c r="AJ134" s="72"/>
      <c r="AK134" s="72"/>
      <c r="AL134" s="72"/>
      <c r="AM134" s="72"/>
      <c r="AN134" s="72"/>
      <c r="AO134" s="72"/>
      <c r="AP134" s="72"/>
      <c r="AQ134" s="72"/>
      <c r="AR134" s="72"/>
      <c r="AS134" s="72"/>
      <c r="AT134" s="72"/>
      <c r="AU134" s="72"/>
      <c r="AV134" s="72"/>
    </row>
    <row r="135" spans="1:48" s="37" customFormat="1" ht="16.5" x14ac:dyDescent="0.3">
      <c r="A135" s="72"/>
      <c r="B135" s="72"/>
      <c r="C135" s="72"/>
      <c r="D135" s="72"/>
      <c r="E135" s="72"/>
      <c r="F135" s="72"/>
      <c r="G135" s="72"/>
      <c r="H135" s="72"/>
      <c r="I135" s="72"/>
      <c r="J135" s="72"/>
      <c r="K135" s="72"/>
      <c r="L135" s="72"/>
      <c r="M135" s="72"/>
      <c r="N135" s="72"/>
      <c r="O135" s="72"/>
      <c r="P135" s="72"/>
      <c r="Q135" s="72"/>
      <c r="R135" s="72"/>
      <c r="S135" s="72"/>
      <c r="T135" s="72"/>
      <c r="U135" s="72"/>
      <c r="V135" s="72"/>
      <c r="W135" s="72"/>
      <c r="X135" s="72"/>
      <c r="Y135" s="72"/>
      <c r="Z135" s="72"/>
      <c r="AA135" s="72"/>
      <c r="AB135" s="72"/>
      <c r="AC135" s="72"/>
      <c r="AD135" s="72"/>
      <c r="AE135" s="72"/>
      <c r="AF135" s="72"/>
      <c r="AG135" s="72"/>
      <c r="AH135" s="72"/>
      <c r="AI135" s="72"/>
      <c r="AJ135" s="72"/>
      <c r="AK135" s="72"/>
      <c r="AL135" s="72"/>
      <c r="AM135" s="72"/>
      <c r="AN135" s="72"/>
      <c r="AO135" s="72"/>
      <c r="AP135" s="72"/>
      <c r="AQ135" s="72"/>
      <c r="AR135" s="72"/>
      <c r="AS135" s="72"/>
      <c r="AT135" s="72"/>
      <c r="AU135" s="72"/>
      <c r="AV135" s="72"/>
    </row>
    <row r="136" spans="1:48" s="37" customFormat="1" ht="16.5" x14ac:dyDescent="0.3">
      <c r="A136" s="72"/>
      <c r="B136" s="72"/>
      <c r="C136" s="72"/>
      <c r="D136" s="72"/>
      <c r="E136" s="72"/>
      <c r="F136" s="72"/>
      <c r="G136" s="72"/>
      <c r="H136" s="72"/>
      <c r="I136" s="72"/>
      <c r="J136" s="72"/>
      <c r="K136" s="72"/>
      <c r="L136" s="72"/>
      <c r="M136" s="72"/>
      <c r="N136" s="72"/>
      <c r="O136" s="72"/>
      <c r="P136" s="72"/>
      <c r="Q136" s="72"/>
      <c r="R136" s="72"/>
      <c r="S136" s="72"/>
      <c r="T136" s="72"/>
      <c r="U136" s="72"/>
      <c r="V136" s="72"/>
      <c r="W136" s="72"/>
      <c r="X136" s="72"/>
      <c r="Y136" s="72"/>
      <c r="Z136" s="72"/>
      <c r="AA136" s="72"/>
      <c r="AB136" s="72"/>
      <c r="AC136" s="72"/>
      <c r="AD136" s="72"/>
      <c r="AE136" s="72"/>
      <c r="AF136" s="72"/>
      <c r="AG136" s="72"/>
      <c r="AH136" s="72"/>
      <c r="AI136" s="72"/>
      <c r="AJ136" s="72"/>
      <c r="AK136" s="72"/>
      <c r="AL136" s="72"/>
      <c r="AM136" s="72"/>
      <c r="AN136" s="72"/>
      <c r="AO136" s="72"/>
      <c r="AP136" s="72"/>
      <c r="AQ136" s="72"/>
      <c r="AR136" s="72"/>
      <c r="AS136" s="72"/>
      <c r="AT136" s="72"/>
      <c r="AU136" s="72"/>
      <c r="AV136" s="72"/>
    </row>
    <row r="137" spans="1:48" s="37" customFormat="1" ht="16.5" x14ac:dyDescent="0.3">
      <c r="A137" s="72"/>
      <c r="B137" s="72"/>
      <c r="C137" s="72"/>
      <c r="D137" s="72"/>
      <c r="E137" s="72"/>
      <c r="F137" s="72"/>
      <c r="G137" s="72"/>
      <c r="H137" s="72"/>
      <c r="I137" s="72"/>
      <c r="J137" s="72"/>
      <c r="K137" s="72"/>
      <c r="L137" s="72"/>
      <c r="M137" s="72"/>
      <c r="N137" s="72"/>
      <c r="O137" s="72"/>
      <c r="P137" s="72"/>
      <c r="Q137" s="72"/>
      <c r="R137" s="72"/>
      <c r="S137" s="72"/>
      <c r="T137" s="72"/>
      <c r="U137" s="72"/>
      <c r="V137" s="72"/>
      <c r="W137" s="72"/>
      <c r="X137" s="72"/>
      <c r="Y137" s="72"/>
      <c r="Z137" s="72"/>
      <c r="AA137" s="72"/>
      <c r="AB137" s="72"/>
      <c r="AC137" s="72"/>
      <c r="AD137" s="72"/>
      <c r="AE137" s="72"/>
      <c r="AF137" s="72"/>
      <c r="AG137" s="72"/>
      <c r="AH137" s="72"/>
      <c r="AI137" s="72"/>
      <c r="AJ137" s="72"/>
      <c r="AK137" s="72"/>
      <c r="AL137" s="72"/>
      <c r="AM137" s="72"/>
      <c r="AN137" s="72"/>
      <c r="AO137" s="72"/>
      <c r="AP137" s="72"/>
      <c r="AQ137" s="72"/>
      <c r="AR137" s="72"/>
      <c r="AS137" s="72"/>
      <c r="AT137" s="72"/>
      <c r="AU137" s="72"/>
      <c r="AV137" s="72"/>
    </row>
    <row r="138" spans="1:48" s="37" customFormat="1" ht="16.5" x14ac:dyDescent="0.3">
      <c r="A138" s="72"/>
      <c r="B138" s="72"/>
      <c r="C138" s="72"/>
      <c r="D138" s="72"/>
      <c r="E138" s="72"/>
      <c r="F138" s="72"/>
      <c r="G138" s="72"/>
      <c r="H138" s="72"/>
      <c r="I138" s="72"/>
      <c r="J138" s="72"/>
      <c r="K138" s="72"/>
      <c r="L138" s="72"/>
      <c r="M138" s="72"/>
      <c r="N138" s="72"/>
      <c r="O138" s="72"/>
      <c r="P138" s="72"/>
      <c r="Q138" s="72"/>
      <c r="R138" s="72"/>
      <c r="S138" s="72"/>
      <c r="T138" s="72"/>
      <c r="U138" s="72"/>
      <c r="V138" s="72"/>
      <c r="W138" s="72"/>
      <c r="X138" s="72"/>
      <c r="Y138" s="72"/>
      <c r="Z138" s="72"/>
      <c r="AA138" s="72"/>
      <c r="AB138" s="72"/>
      <c r="AC138" s="72"/>
      <c r="AD138" s="72"/>
      <c r="AE138" s="72"/>
      <c r="AF138" s="72"/>
      <c r="AG138" s="72"/>
      <c r="AH138" s="72"/>
      <c r="AI138" s="72"/>
      <c r="AJ138" s="72"/>
      <c r="AK138" s="72"/>
      <c r="AL138" s="72"/>
      <c r="AM138" s="72"/>
      <c r="AN138" s="72"/>
      <c r="AO138" s="72"/>
      <c r="AP138" s="72"/>
      <c r="AQ138" s="72"/>
      <c r="AR138" s="72"/>
      <c r="AS138" s="72"/>
      <c r="AT138" s="72"/>
      <c r="AU138" s="72"/>
      <c r="AV138" s="72"/>
    </row>
    <row r="139" spans="1:48" s="37" customFormat="1" ht="16.5" x14ac:dyDescent="0.3">
      <c r="A139" s="72"/>
      <c r="B139" s="72"/>
      <c r="C139" s="72"/>
      <c r="D139" s="72"/>
      <c r="E139" s="72"/>
      <c r="F139" s="72"/>
      <c r="G139" s="72"/>
      <c r="H139" s="72"/>
      <c r="I139" s="72"/>
      <c r="J139" s="72"/>
      <c r="K139" s="72"/>
      <c r="L139" s="72"/>
      <c r="M139" s="72"/>
      <c r="N139" s="72"/>
      <c r="O139" s="72"/>
      <c r="P139" s="72"/>
      <c r="Q139" s="72"/>
      <c r="R139" s="72"/>
      <c r="S139" s="72"/>
      <c r="T139" s="72"/>
      <c r="U139" s="72"/>
      <c r="V139" s="72"/>
      <c r="W139" s="72"/>
      <c r="X139" s="72"/>
      <c r="Y139" s="72"/>
      <c r="Z139" s="72"/>
      <c r="AA139" s="72"/>
      <c r="AB139" s="72"/>
      <c r="AC139" s="72"/>
      <c r="AD139" s="72"/>
      <c r="AE139" s="72"/>
      <c r="AF139" s="72"/>
      <c r="AG139" s="72"/>
      <c r="AH139" s="72"/>
      <c r="AI139" s="72"/>
      <c r="AJ139" s="72"/>
      <c r="AK139" s="72"/>
      <c r="AL139" s="72"/>
      <c r="AM139" s="72"/>
      <c r="AN139" s="72"/>
      <c r="AO139" s="72"/>
      <c r="AP139" s="72"/>
      <c r="AQ139" s="72"/>
      <c r="AR139" s="72"/>
      <c r="AS139" s="72"/>
      <c r="AT139" s="72"/>
      <c r="AU139" s="72"/>
      <c r="AV139" s="72"/>
    </row>
    <row r="140" spans="1:48" s="37" customFormat="1" ht="16.5" x14ac:dyDescent="0.3">
      <c r="A140" s="72"/>
      <c r="B140" s="72"/>
      <c r="C140" s="72"/>
      <c r="D140" s="72"/>
      <c r="E140" s="72"/>
      <c r="F140" s="72"/>
      <c r="G140" s="72"/>
      <c r="H140" s="72"/>
      <c r="I140" s="72"/>
      <c r="J140" s="72"/>
      <c r="K140" s="72"/>
      <c r="L140" s="72"/>
      <c r="M140" s="72"/>
      <c r="N140" s="72"/>
      <c r="O140" s="72"/>
      <c r="P140" s="72"/>
      <c r="Q140" s="72"/>
      <c r="R140" s="72"/>
      <c r="S140" s="72"/>
      <c r="T140" s="72"/>
      <c r="U140" s="72"/>
      <c r="V140" s="72"/>
      <c r="W140" s="72"/>
      <c r="X140" s="72"/>
      <c r="Y140" s="72"/>
      <c r="Z140" s="72"/>
      <c r="AA140" s="72"/>
      <c r="AB140" s="72"/>
      <c r="AC140" s="72"/>
      <c r="AD140" s="72"/>
      <c r="AE140" s="72"/>
      <c r="AF140" s="72"/>
      <c r="AG140" s="72"/>
      <c r="AH140" s="72"/>
      <c r="AI140" s="72"/>
      <c r="AJ140" s="72"/>
      <c r="AK140" s="72"/>
      <c r="AL140" s="72"/>
      <c r="AM140" s="72"/>
      <c r="AN140" s="72"/>
      <c r="AO140" s="72"/>
      <c r="AP140" s="72"/>
      <c r="AQ140" s="72"/>
      <c r="AR140" s="72"/>
      <c r="AS140" s="72"/>
      <c r="AT140" s="72"/>
      <c r="AU140" s="72"/>
      <c r="AV140" s="72"/>
    </row>
    <row r="141" spans="1:48" s="37" customFormat="1" ht="16.5" x14ac:dyDescent="0.3">
      <c r="A141" s="72"/>
      <c r="B141" s="72"/>
      <c r="C141" s="72"/>
      <c r="D141" s="72"/>
      <c r="E141" s="72"/>
      <c r="F141" s="72"/>
      <c r="G141" s="72"/>
      <c r="H141" s="72"/>
      <c r="I141" s="72"/>
      <c r="J141" s="72"/>
      <c r="K141" s="72"/>
      <c r="L141" s="72"/>
      <c r="M141" s="72"/>
      <c r="N141" s="72"/>
      <c r="O141" s="72"/>
      <c r="P141" s="72"/>
      <c r="Q141" s="72"/>
      <c r="R141" s="72"/>
      <c r="S141" s="72"/>
      <c r="T141" s="72"/>
      <c r="U141" s="72"/>
      <c r="V141" s="72"/>
      <c r="W141" s="72"/>
      <c r="X141" s="72"/>
      <c r="Y141" s="72"/>
      <c r="Z141" s="72"/>
      <c r="AA141" s="72"/>
      <c r="AB141" s="72"/>
      <c r="AC141" s="72"/>
      <c r="AD141" s="72"/>
      <c r="AE141" s="72"/>
      <c r="AF141" s="72"/>
      <c r="AG141" s="72"/>
      <c r="AH141" s="72"/>
      <c r="AI141" s="72"/>
      <c r="AJ141" s="72"/>
      <c r="AK141" s="72"/>
      <c r="AL141" s="72"/>
      <c r="AM141" s="72"/>
      <c r="AN141" s="72"/>
      <c r="AO141" s="72"/>
      <c r="AP141" s="72"/>
      <c r="AQ141" s="72"/>
      <c r="AR141" s="72"/>
      <c r="AS141" s="72"/>
      <c r="AT141" s="72"/>
      <c r="AU141" s="72"/>
      <c r="AV141" s="72"/>
    </row>
    <row r="142" spans="1:48" s="37" customFormat="1" ht="16.5" x14ac:dyDescent="0.3">
      <c r="A142" s="72"/>
      <c r="B142" s="72"/>
      <c r="C142" s="72"/>
      <c r="D142" s="72"/>
      <c r="E142" s="72"/>
      <c r="F142" s="72"/>
      <c r="G142" s="72"/>
      <c r="H142" s="72"/>
      <c r="I142" s="72"/>
      <c r="J142" s="72"/>
      <c r="K142" s="72"/>
      <c r="L142" s="72"/>
      <c r="M142" s="72"/>
      <c r="N142" s="72"/>
      <c r="O142" s="72"/>
      <c r="P142" s="72"/>
      <c r="Q142" s="72"/>
      <c r="R142" s="72"/>
      <c r="S142" s="72"/>
      <c r="T142" s="72"/>
      <c r="U142" s="72"/>
      <c r="V142" s="72"/>
      <c r="W142" s="72"/>
      <c r="X142" s="72"/>
      <c r="Y142" s="72"/>
      <c r="Z142" s="72"/>
      <c r="AA142" s="72"/>
      <c r="AB142" s="72"/>
      <c r="AC142" s="72"/>
      <c r="AD142" s="72"/>
      <c r="AE142" s="72"/>
      <c r="AF142" s="72"/>
      <c r="AG142" s="72"/>
      <c r="AH142" s="72"/>
      <c r="AI142" s="72"/>
      <c r="AJ142" s="72"/>
      <c r="AK142" s="72"/>
      <c r="AL142" s="72"/>
      <c r="AM142" s="72"/>
      <c r="AN142" s="72"/>
      <c r="AO142" s="72"/>
      <c r="AP142" s="72"/>
      <c r="AQ142" s="72"/>
      <c r="AR142" s="72"/>
      <c r="AS142" s="72"/>
      <c r="AT142" s="72"/>
      <c r="AU142" s="72"/>
      <c r="AV142" s="72"/>
    </row>
    <row r="143" spans="1:48" s="37" customFormat="1" ht="16.5" x14ac:dyDescent="0.3">
      <c r="A143" s="72"/>
      <c r="B143" s="72"/>
      <c r="C143" s="72"/>
      <c r="D143" s="72"/>
      <c r="E143" s="72"/>
      <c r="F143" s="72"/>
      <c r="G143" s="72"/>
      <c r="H143" s="72"/>
      <c r="I143" s="72"/>
      <c r="J143" s="72"/>
      <c r="K143" s="72"/>
      <c r="L143" s="72"/>
      <c r="M143" s="72"/>
      <c r="N143" s="72"/>
      <c r="O143" s="72"/>
      <c r="P143" s="72"/>
      <c r="Q143" s="72"/>
      <c r="R143" s="72"/>
      <c r="S143" s="72"/>
      <c r="T143" s="72"/>
      <c r="U143" s="72"/>
      <c r="V143" s="72"/>
      <c r="W143" s="72"/>
      <c r="X143" s="72"/>
      <c r="Y143" s="72"/>
      <c r="Z143" s="72"/>
      <c r="AA143" s="72"/>
      <c r="AB143" s="72"/>
      <c r="AC143" s="72"/>
      <c r="AD143" s="72"/>
      <c r="AE143" s="72"/>
      <c r="AF143" s="72"/>
      <c r="AG143" s="72"/>
      <c r="AH143" s="72"/>
      <c r="AI143" s="72"/>
      <c r="AJ143" s="72"/>
      <c r="AK143" s="72"/>
      <c r="AL143" s="72"/>
      <c r="AM143" s="72"/>
      <c r="AN143" s="72"/>
      <c r="AO143" s="72"/>
      <c r="AP143" s="72"/>
      <c r="AQ143" s="72"/>
      <c r="AR143" s="72"/>
      <c r="AS143" s="72"/>
      <c r="AT143" s="72"/>
      <c r="AU143" s="72"/>
      <c r="AV143" s="72"/>
    </row>
    <row r="144" spans="1:48" s="37" customFormat="1" ht="16.5" x14ac:dyDescent="0.3">
      <c r="A144" s="72"/>
      <c r="B144" s="72"/>
      <c r="C144" s="72"/>
      <c r="D144" s="72"/>
      <c r="E144" s="72"/>
      <c r="F144" s="72"/>
      <c r="G144" s="72"/>
      <c r="H144" s="72"/>
      <c r="I144" s="72"/>
      <c r="J144" s="72"/>
      <c r="K144" s="72"/>
      <c r="L144" s="72"/>
      <c r="M144" s="72"/>
      <c r="N144" s="72"/>
      <c r="O144" s="72"/>
      <c r="P144" s="72"/>
      <c r="Q144" s="72"/>
      <c r="R144" s="72"/>
      <c r="S144" s="72"/>
      <c r="T144" s="72"/>
      <c r="U144" s="72"/>
      <c r="V144" s="72"/>
      <c r="W144" s="72"/>
      <c r="X144" s="72"/>
      <c r="Y144" s="72"/>
      <c r="Z144" s="72"/>
      <c r="AA144" s="72"/>
      <c r="AB144" s="72"/>
      <c r="AC144" s="72"/>
      <c r="AD144" s="72"/>
      <c r="AE144" s="72"/>
      <c r="AF144" s="72"/>
      <c r="AG144" s="72"/>
      <c r="AH144" s="72"/>
      <c r="AI144" s="72"/>
      <c r="AJ144" s="72"/>
      <c r="AK144" s="72"/>
      <c r="AL144" s="72"/>
      <c r="AM144" s="72"/>
      <c r="AN144" s="72"/>
      <c r="AO144" s="72"/>
      <c r="AP144" s="72"/>
      <c r="AQ144" s="72"/>
      <c r="AR144" s="72"/>
      <c r="AS144" s="72"/>
      <c r="AT144" s="72"/>
      <c r="AU144" s="72"/>
      <c r="AV144" s="72"/>
    </row>
    <row r="145" spans="1:48" s="37" customFormat="1" ht="16.5" x14ac:dyDescent="0.3">
      <c r="A145" s="72"/>
      <c r="B145" s="72"/>
      <c r="C145" s="72"/>
      <c r="D145" s="72"/>
      <c r="E145" s="72"/>
      <c r="F145" s="72"/>
      <c r="G145" s="72"/>
      <c r="H145" s="72"/>
      <c r="I145" s="72"/>
      <c r="J145" s="72"/>
      <c r="K145" s="72"/>
      <c r="L145" s="72"/>
      <c r="M145" s="72"/>
      <c r="N145" s="72"/>
      <c r="O145" s="72"/>
      <c r="P145" s="72"/>
      <c r="Q145" s="72"/>
      <c r="R145" s="72"/>
      <c r="S145" s="72"/>
      <c r="T145" s="72"/>
      <c r="U145" s="72"/>
      <c r="V145" s="72"/>
      <c r="W145" s="72"/>
      <c r="X145" s="72"/>
      <c r="Y145" s="72"/>
      <c r="Z145" s="72"/>
      <c r="AA145" s="72"/>
      <c r="AB145" s="72"/>
      <c r="AC145" s="72"/>
      <c r="AD145" s="72"/>
      <c r="AE145" s="72"/>
      <c r="AF145" s="72"/>
      <c r="AG145" s="72"/>
      <c r="AH145" s="72"/>
      <c r="AI145" s="72"/>
      <c r="AJ145" s="72"/>
      <c r="AK145" s="72"/>
      <c r="AL145" s="72"/>
      <c r="AM145" s="72"/>
      <c r="AN145" s="72"/>
      <c r="AO145" s="72"/>
      <c r="AP145" s="72"/>
      <c r="AQ145" s="72"/>
      <c r="AR145" s="72"/>
      <c r="AS145" s="72"/>
      <c r="AT145" s="72"/>
      <c r="AU145" s="72"/>
      <c r="AV145" s="72"/>
    </row>
    <row r="146" spans="1:48" s="37" customFormat="1" ht="16.5" x14ac:dyDescent="0.3">
      <c r="A146" s="72"/>
      <c r="B146" s="72"/>
      <c r="C146" s="72"/>
      <c r="D146" s="72"/>
      <c r="E146" s="72"/>
      <c r="F146" s="72"/>
      <c r="G146" s="72"/>
      <c r="H146" s="72"/>
      <c r="I146" s="72"/>
      <c r="J146" s="72"/>
      <c r="K146" s="72"/>
      <c r="L146" s="72"/>
      <c r="M146" s="72"/>
      <c r="N146" s="72"/>
      <c r="O146" s="72"/>
      <c r="P146" s="72"/>
      <c r="Q146" s="72"/>
      <c r="R146" s="72"/>
      <c r="S146" s="72"/>
      <c r="T146" s="72"/>
      <c r="U146" s="72"/>
      <c r="V146" s="72"/>
      <c r="W146" s="72"/>
      <c r="X146" s="72"/>
      <c r="Y146" s="72"/>
      <c r="Z146" s="72"/>
      <c r="AA146" s="72"/>
      <c r="AB146" s="72"/>
      <c r="AC146" s="72"/>
      <c r="AD146" s="72"/>
      <c r="AE146" s="72"/>
      <c r="AF146" s="72"/>
      <c r="AG146" s="72"/>
      <c r="AH146" s="72"/>
      <c r="AI146" s="72"/>
      <c r="AJ146" s="72"/>
      <c r="AK146" s="72"/>
      <c r="AL146" s="72"/>
      <c r="AM146" s="72"/>
      <c r="AN146" s="72"/>
      <c r="AO146" s="72"/>
      <c r="AP146" s="72"/>
      <c r="AQ146" s="72"/>
      <c r="AR146" s="72"/>
      <c r="AS146" s="72"/>
      <c r="AT146" s="72"/>
      <c r="AU146" s="72"/>
      <c r="AV146" s="72"/>
    </row>
    <row r="147" spans="1:48" s="37" customFormat="1" ht="16.5" x14ac:dyDescent="0.3">
      <c r="A147" s="72"/>
      <c r="B147" s="72"/>
      <c r="C147" s="72"/>
      <c r="D147" s="72"/>
      <c r="E147" s="72"/>
      <c r="F147" s="72"/>
      <c r="G147" s="72"/>
      <c r="H147" s="72"/>
      <c r="I147" s="72"/>
      <c r="J147" s="72"/>
      <c r="K147" s="72"/>
      <c r="L147" s="72"/>
      <c r="M147" s="72"/>
      <c r="N147" s="72"/>
      <c r="O147" s="72"/>
      <c r="P147" s="72"/>
      <c r="Q147" s="72"/>
      <c r="R147" s="72"/>
      <c r="S147" s="72"/>
      <c r="T147" s="72"/>
      <c r="U147" s="72"/>
      <c r="V147" s="72"/>
      <c r="W147" s="72"/>
      <c r="X147" s="72"/>
      <c r="Y147" s="72"/>
      <c r="Z147" s="72"/>
      <c r="AA147" s="72"/>
      <c r="AB147" s="72"/>
      <c r="AC147" s="72"/>
      <c r="AD147" s="72"/>
      <c r="AE147" s="72"/>
      <c r="AF147" s="72"/>
      <c r="AG147" s="72"/>
      <c r="AH147" s="72"/>
      <c r="AI147" s="72"/>
      <c r="AJ147" s="72"/>
      <c r="AK147" s="72"/>
      <c r="AL147" s="72"/>
      <c r="AM147" s="72"/>
      <c r="AN147" s="72"/>
      <c r="AO147" s="72"/>
      <c r="AP147" s="72"/>
      <c r="AQ147" s="72"/>
      <c r="AR147" s="72"/>
      <c r="AS147" s="72"/>
      <c r="AT147" s="72"/>
      <c r="AU147" s="72"/>
      <c r="AV147" s="72"/>
    </row>
    <row r="148" spans="1:48" s="37" customFormat="1" ht="16.5" x14ac:dyDescent="0.3">
      <c r="A148" s="72"/>
      <c r="B148" s="72"/>
      <c r="C148" s="72"/>
      <c r="D148" s="72"/>
      <c r="E148" s="72"/>
      <c r="F148" s="72"/>
      <c r="G148" s="72"/>
      <c r="H148" s="72"/>
      <c r="I148" s="72"/>
      <c r="J148" s="72"/>
      <c r="K148" s="72"/>
      <c r="L148" s="72"/>
      <c r="M148" s="72"/>
      <c r="N148" s="72"/>
      <c r="O148" s="72"/>
      <c r="P148" s="72"/>
      <c r="Q148" s="72"/>
      <c r="R148" s="72"/>
      <c r="S148" s="72"/>
      <c r="T148" s="72"/>
      <c r="U148" s="72"/>
      <c r="V148" s="72"/>
      <c r="W148" s="72"/>
      <c r="X148" s="72"/>
      <c r="Y148" s="72"/>
      <c r="Z148" s="72"/>
      <c r="AA148" s="72"/>
      <c r="AB148" s="72"/>
      <c r="AC148" s="72"/>
      <c r="AD148" s="72"/>
      <c r="AE148" s="72"/>
      <c r="AF148" s="72"/>
      <c r="AG148" s="72"/>
      <c r="AH148" s="72"/>
      <c r="AI148" s="72"/>
      <c r="AJ148" s="72"/>
      <c r="AK148" s="72"/>
      <c r="AL148" s="72"/>
      <c r="AM148" s="72"/>
      <c r="AN148" s="72"/>
      <c r="AO148" s="72"/>
      <c r="AP148" s="72"/>
      <c r="AQ148" s="72"/>
      <c r="AR148" s="72"/>
      <c r="AS148" s="72"/>
      <c r="AT148" s="72"/>
      <c r="AU148" s="72"/>
      <c r="AV148" s="72"/>
    </row>
    <row r="149" spans="1:48" s="37" customFormat="1" ht="16.5" x14ac:dyDescent="0.3">
      <c r="A149" s="72"/>
      <c r="B149" s="72"/>
      <c r="C149" s="72"/>
      <c r="D149" s="72"/>
      <c r="E149" s="72"/>
      <c r="F149" s="72"/>
      <c r="G149" s="72"/>
      <c r="H149" s="72"/>
      <c r="I149" s="72"/>
      <c r="J149" s="72"/>
      <c r="K149" s="72"/>
      <c r="L149" s="72"/>
      <c r="M149" s="72"/>
      <c r="N149" s="72"/>
      <c r="O149" s="72"/>
      <c r="P149" s="72"/>
      <c r="Q149" s="72"/>
      <c r="R149" s="72"/>
      <c r="S149" s="72"/>
      <c r="T149" s="72"/>
      <c r="U149" s="72"/>
      <c r="V149" s="72"/>
      <c r="W149" s="72"/>
      <c r="X149" s="72"/>
      <c r="Y149" s="72"/>
      <c r="Z149" s="72"/>
      <c r="AA149" s="72"/>
      <c r="AB149" s="72"/>
      <c r="AC149" s="72"/>
      <c r="AD149" s="72"/>
      <c r="AE149" s="72"/>
      <c r="AF149" s="72"/>
      <c r="AG149" s="72"/>
      <c r="AH149" s="72"/>
      <c r="AI149" s="72"/>
      <c r="AJ149" s="72"/>
      <c r="AK149" s="72"/>
      <c r="AL149" s="72"/>
      <c r="AM149" s="72"/>
      <c r="AN149" s="72"/>
      <c r="AO149" s="72"/>
      <c r="AP149" s="72"/>
      <c r="AQ149" s="72"/>
      <c r="AR149" s="72"/>
      <c r="AS149" s="72"/>
      <c r="AT149" s="72"/>
      <c r="AU149" s="72"/>
      <c r="AV149" s="72"/>
    </row>
    <row r="150" spans="1:48" s="37" customFormat="1" ht="16.5" x14ac:dyDescent="0.3">
      <c r="A150" s="72"/>
      <c r="B150" s="72"/>
      <c r="C150" s="72"/>
      <c r="D150" s="72"/>
      <c r="E150" s="72"/>
      <c r="F150" s="72"/>
      <c r="G150" s="72"/>
      <c r="H150" s="72"/>
      <c r="I150" s="72"/>
      <c r="J150" s="72"/>
      <c r="K150" s="72"/>
      <c r="L150" s="72"/>
      <c r="M150" s="72"/>
      <c r="N150" s="72"/>
      <c r="O150" s="72"/>
      <c r="P150" s="72"/>
      <c r="Q150" s="72"/>
      <c r="R150" s="72"/>
      <c r="S150" s="72"/>
      <c r="T150" s="72"/>
      <c r="U150" s="72"/>
      <c r="V150" s="72"/>
      <c r="W150" s="72"/>
      <c r="X150" s="72"/>
      <c r="Y150" s="72"/>
      <c r="Z150" s="72"/>
      <c r="AA150" s="72"/>
      <c r="AB150" s="72"/>
      <c r="AC150" s="72"/>
      <c r="AD150" s="72"/>
      <c r="AE150" s="72"/>
      <c r="AF150" s="72"/>
      <c r="AG150" s="72"/>
      <c r="AH150" s="72"/>
      <c r="AI150" s="72"/>
      <c r="AJ150" s="72"/>
      <c r="AK150" s="72"/>
      <c r="AL150" s="72"/>
      <c r="AM150" s="72"/>
      <c r="AN150" s="72"/>
      <c r="AO150" s="72"/>
      <c r="AP150" s="72"/>
      <c r="AQ150" s="72"/>
      <c r="AR150" s="72"/>
      <c r="AS150" s="72"/>
      <c r="AT150" s="72"/>
      <c r="AU150" s="72"/>
      <c r="AV150" s="72"/>
    </row>
    <row r="151" spans="1:48" s="37" customFormat="1" ht="16.5" x14ac:dyDescent="0.3">
      <c r="A151" s="72"/>
      <c r="B151" s="72"/>
      <c r="C151" s="72"/>
      <c r="D151" s="72"/>
      <c r="E151" s="72"/>
      <c r="F151" s="72"/>
      <c r="G151" s="72"/>
      <c r="H151" s="72"/>
      <c r="I151" s="72"/>
      <c r="J151" s="72"/>
      <c r="K151" s="72"/>
      <c r="L151" s="72"/>
      <c r="M151" s="72"/>
      <c r="N151" s="72"/>
      <c r="O151" s="72"/>
      <c r="P151" s="72"/>
      <c r="Q151" s="72"/>
      <c r="R151" s="72"/>
      <c r="S151" s="72"/>
      <c r="T151" s="72"/>
      <c r="U151" s="72"/>
      <c r="V151" s="72"/>
      <c r="W151" s="72"/>
      <c r="X151" s="72"/>
      <c r="Y151" s="72"/>
      <c r="Z151" s="72"/>
      <c r="AA151" s="72"/>
      <c r="AB151" s="72"/>
      <c r="AC151" s="72"/>
      <c r="AD151" s="72"/>
      <c r="AE151" s="72"/>
      <c r="AF151" s="72"/>
      <c r="AG151" s="72"/>
      <c r="AH151" s="72"/>
      <c r="AI151" s="72"/>
      <c r="AJ151" s="72"/>
      <c r="AK151" s="72"/>
      <c r="AL151" s="72"/>
      <c r="AM151" s="72"/>
      <c r="AN151" s="72"/>
      <c r="AO151" s="72"/>
      <c r="AP151" s="72"/>
      <c r="AQ151" s="72"/>
      <c r="AR151" s="72"/>
      <c r="AS151" s="72"/>
      <c r="AT151" s="72"/>
      <c r="AU151" s="72"/>
      <c r="AV151" s="72"/>
    </row>
    <row r="152" spans="1:48" s="37" customFormat="1" ht="16.5" x14ac:dyDescent="0.3">
      <c r="A152" s="72"/>
      <c r="B152" s="72"/>
      <c r="C152" s="72"/>
      <c r="D152" s="72"/>
      <c r="E152" s="72"/>
      <c r="F152" s="72"/>
      <c r="G152" s="72"/>
      <c r="H152" s="72"/>
      <c r="I152" s="72"/>
      <c r="J152" s="72"/>
      <c r="K152" s="72"/>
      <c r="L152" s="72"/>
      <c r="M152" s="72"/>
      <c r="N152" s="72"/>
      <c r="O152" s="72"/>
      <c r="P152" s="72"/>
      <c r="Q152" s="72"/>
      <c r="R152" s="72"/>
      <c r="S152" s="72"/>
      <c r="T152" s="72"/>
      <c r="U152" s="72"/>
      <c r="V152" s="72"/>
      <c r="W152" s="72"/>
      <c r="X152" s="72"/>
      <c r="Y152" s="72"/>
      <c r="Z152" s="72"/>
      <c r="AA152" s="72"/>
      <c r="AB152" s="72"/>
      <c r="AC152" s="72"/>
      <c r="AD152" s="72"/>
      <c r="AE152" s="72"/>
      <c r="AF152" s="72"/>
      <c r="AG152" s="72"/>
      <c r="AH152" s="72"/>
      <c r="AI152" s="72"/>
      <c r="AJ152" s="72"/>
      <c r="AK152" s="72"/>
      <c r="AL152" s="72"/>
      <c r="AM152" s="72"/>
      <c r="AN152" s="72"/>
      <c r="AO152" s="72"/>
      <c r="AP152" s="72"/>
      <c r="AQ152" s="72"/>
      <c r="AR152" s="72"/>
      <c r="AS152" s="72"/>
      <c r="AT152" s="72"/>
      <c r="AU152" s="72"/>
      <c r="AV152" s="72"/>
    </row>
    <row r="153" spans="1:48" s="37" customFormat="1" ht="16.5" x14ac:dyDescent="0.3">
      <c r="A153" s="72"/>
      <c r="B153" s="72"/>
      <c r="C153" s="72"/>
      <c r="D153" s="72"/>
      <c r="E153" s="72"/>
      <c r="F153" s="72"/>
      <c r="G153" s="72"/>
      <c r="H153" s="72"/>
      <c r="I153" s="72"/>
      <c r="J153" s="72"/>
      <c r="K153" s="72"/>
      <c r="L153" s="72"/>
      <c r="M153" s="72"/>
      <c r="N153" s="72"/>
      <c r="O153" s="72"/>
      <c r="P153" s="72"/>
      <c r="Q153" s="72"/>
      <c r="R153" s="72"/>
      <c r="S153" s="72"/>
      <c r="T153" s="72"/>
      <c r="U153" s="72"/>
      <c r="V153" s="72"/>
      <c r="W153" s="72"/>
      <c r="X153" s="72"/>
      <c r="Y153" s="72"/>
      <c r="Z153" s="72"/>
      <c r="AA153" s="72"/>
      <c r="AB153" s="72"/>
      <c r="AC153" s="72"/>
      <c r="AD153" s="72"/>
      <c r="AE153" s="72"/>
      <c r="AF153" s="72"/>
      <c r="AG153" s="72"/>
      <c r="AH153" s="72"/>
      <c r="AI153" s="72"/>
      <c r="AJ153" s="72"/>
      <c r="AK153" s="72"/>
      <c r="AL153" s="72"/>
      <c r="AM153" s="72"/>
      <c r="AN153" s="72"/>
      <c r="AO153" s="72"/>
      <c r="AP153" s="72"/>
      <c r="AQ153" s="72"/>
      <c r="AR153" s="72"/>
      <c r="AS153" s="72"/>
      <c r="AT153" s="72"/>
      <c r="AU153" s="72"/>
      <c r="AV153" s="72"/>
    </row>
    <row r="154" spans="1:48" s="37" customFormat="1" ht="16.5" x14ac:dyDescent="0.3">
      <c r="A154" s="72"/>
      <c r="B154" s="72"/>
      <c r="C154" s="72"/>
      <c r="D154" s="72"/>
      <c r="E154" s="72"/>
      <c r="F154" s="72"/>
      <c r="G154" s="72"/>
      <c r="H154" s="72"/>
      <c r="I154" s="72"/>
      <c r="J154" s="72"/>
      <c r="K154" s="72"/>
      <c r="L154" s="72"/>
      <c r="M154" s="72"/>
      <c r="N154" s="72"/>
      <c r="O154" s="72"/>
      <c r="P154" s="72"/>
      <c r="Q154" s="72"/>
      <c r="R154" s="72"/>
      <c r="S154" s="72"/>
      <c r="T154" s="72"/>
      <c r="U154" s="72"/>
      <c r="V154" s="72"/>
      <c r="W154" s="72"/>
      <c r="X154" s="72"/>
      <c r="Y154" s="72"/>
      <c r="Z154" s="72"/>
      <c r="AA154" s="72"/>
      <c r="AB154" s="72"/>
      <c r="AC154" s="72"/>
      <c r="AD154" s="72"/>
      <c r="AE154" s="72"/>
      <c r="AF154" s="72"/>
      <c r="AG154" s="72"/>
      <c r="AH154" s="72"/>
      <c r="AI154" s="72"/>
      <c r="AJ154" s="72"/>
      <c r="AK154" s="72"/>
      <c r="AL154" s="72"/>
      <c r="AM154" s="72"/>
      <c r="AN154" s="72"/>
      <c r="AO154" s="72"/>
      <c r="AP154" s="72"/>
      <c r="AQ154" s="72"/>
      <c r="AR154" s="72"/>
      <c r="AS154" s="72"/>
      <c r="AT154" s="72"/>
      <c r="AU154" s="72"/>
      <c r="AV154" s="72"/>
    </row>
    <row r="155" spans="1:48" s="37" customFormat="1" ht="16.5" x14ac:dyDescent="0.3">
      <c r="A155" s="72"/>
      <c r="B155" s="72"/>
      <c r="C155" s="72"/>
      <c r="D155" s="72"/>
      <c r="E155" s="72"/>
      <c r="F155" s="72"/>
      <c r="G155" s="72"/>
      <c r="H155" s="72"/>
      <c r="I155" s="72"/>
      <c r="J155" s="72"/>
      <c r="K155" s="72"/>
      <c r="L155" s="72"/>
      <c r="M155" s="72"/>
      <c r="N155" s="72"/>
      <c r="O155" s="72"/>
      <c r="P155" s="72"/>
      <c r="Q155" s="72"/>
      <c r="R155" s="72"/>
      <c r="S155" s="72"/>
      <c r="T155" s="72"/>
      <c r="U155" s="72"/>
      <c r="V155" s="72"/>
      <c r="W155" s="72"/>
      <c r="X155" s="72"/>
      <c r="Y155" s="72"/>
      <c r="Z155" s="72"/>
      <c r="AA155" s="72"/>
      <c r="AB155" s="72"/>
      <c r="AC155" s="72"/>
      <c r="AD155" s="72"/>
      <c r="AE155" s="72"/>
      <c r="AF155" s="72"/>
      <c r="AG155" s="72"/>
      <c r="AH155" s="72"/>
      <c r="AI155" s="72"/>
      <c r="AJ155" s="72"/>
      <c r="AK155" s="72"/>
      <c r="AL155" s="72"/>
      <c r="AM155" s="72"/>
      <c r="AN155" s="72"/>
      <c r="AO155" s="72"/>
      <c r="AP155" s="72"/>
      <c r="AQ155" s="72"/>
      <c r="AR155" s="72"/>
      <c r="AS155" s="72"/>
      <c r="AT155" s="72"/>
      <c r="AU155" s="72"/>
      <c r="AV155" s="72"/>
    </row>
    <row r="156" spans="1:48" s="37" customFormat="1" ht="16.5" x14ac:dyDescent="0.3">
      <c r="A156" s="72"/>
      <c r="B156" s="72"/>
      <c r="C156" s="72"/>
      <c r="D156" s="72"/>
      <c r="E156" s="72"/>
      <c r="F156" s="72"/>
      <c r="G156" s="72"/>
      <c r="H156" s="72"/>
      <c r="I156" s="72"/>
      <c r="J156" s="72"/>
      <c r="K156" s="72"/>
      <c r="L156" s="72"/>
      <c r="M156" s="72"/>
      <c r="N156" s="72"/>
      <c r="O156" s="72"/>
      <c r="P156" s="72"/>
      <c r="Q156" s="72"/>
      <c r="R156" s="72"/>
      <c r="S156" s="72"/>
      <c r="T156" s="72"/>
      <c r="U156" s="72"/>
      <c r="V156" s="72"/>
      <c r="W156" s="72"/>
      <c r="X156" s="72"/>
      <c r="Y156" s="72"/>
      <c r="Z156" s="72"/>
      <c r="AA156" s="72"/>
      <c r="AB156" s="72"/>
      <c r="AC156" s="72"/>
      <c r="AD156" s="72"/>
      <c r="AE156" s="72"/>
      <c r="AF156" s="72"/>
      <c r="AG156" s="72"/>
      <c r="AH156" s="72"/>
      <c r="AI156" s="72"/>
      <c r="AJ156" s="72"/>
      <c r="AK156" s="72"/>
      <c r="AL156" s="72"/>
      <c r="AM156" s="72"/>
      <c r="AN156" s="72"/>
      <c r="AO156" s="72"/>
      <c r="AP156" s="72"/>
      <c r="AQ156" s="72"/>
      <c r="AR156" s="72"/>
      <c r="AS156" s="72"/>
      <c r="AT156" s="72"/>
      <c r="AU156" s="72"/>
      <c r="AV156" s="72"/>
    </row>
    <row r="157" spans="1:48" s="37" customFormat="1" ht="16.5" x14ac:dyDescent="0.3">
      <c r="A157" s="72"/>
      <c r="B157" s="72"/>
      <c r="C157" s="72"/>
      <c r="D157" s="72"/>
      <c r="E157" s="72"/>
      <c r="F157" s="72"/>
      <c r="G157" s="72"/>
      <c r="H157" s="72"/>
      <c r="I157" s="72"/>
      <c r="J157" s="72"/>
      <c r="K157" s="72"/>
      <c r="L157" s="72"/>
      <c r="M157" s="72"/>
      <c r="N157" s="72"/>
      <c r="O157" s="72"/>
      <c r="P157" s="72"/>
      <c r="Q157" s="72"/>
      <c r="R157" s="72"/>
      <c r="S157" s="72"/>
      <c r="T157" s="72"/>
      <c r="U157" s="72"/>
      <c r="V157" s="72"/>
      <c r="W157" s="72"/>
      <c r="X157" s="72"/>
      <c r="Y157" s="72"/>
      <c r="Z157" s="72"/>
      <c r="AA157" s="72"/>
      <c r="AB157" s="72"/>
      <c r="AC157" s="72"/>
      <c r="AD157" s="72"/>
      <c r="AE157" s="72"/>
      <c r="AF157" s="72"/>
      <c r="AG157" s="72"/>
      <c r="AH157" s="72"/>
      <c r="AI157" s="72"/>
      <c r="AJ157" s="72"/>
      <c r="AK157" s="72"/>
      <c r="AL157" s="72"/>
      <c r="AM157" s="72"/>
      <c r="AN157" s="72"/>
      <c r="AO157" s="72"/>
      <c r="AP157" s="72"/>
      <c r="AQ157" s="72"/>
      <c r="AR157" s="72"/>
      <c r="AS157" s="72"/>
      <c r="AT157" s="72"/>
      <c r="AU157" s="72"/>
      <c r="AV157" s="72"/>
    </row>
    <row r="158" spans="1:48" s="37" customFormat="1" ht="16.5" x14ac:dyDescent="0.3">
      <c r="A158" s="72"/>
      <c r="B158" s="72"/>
      <c r="C158" s="72"/>
      <c r="D158" s="72"/>
      <c r="E158" s="72"/>
      <c r="F158" s="72"/>
      <c r="G158" s="72"/>
      <c r="H158" s="72"/>
      <c r="I158" s="72"/>
      <c r="J158" s="72"/>
      <c r="K158" s="72"/>
      <c r="L158" s="72"/>
      <c r="M158" s="72"/>
      <c r="N158" s="72"/>
      <c r="O158" s="72"/>
      <c r="P158" s="72"/>
      <c r="Q158" s="72"/>
      <c r="R158" s="72"/>
      <c r="S158" s="72"/>
      <c r="T158" s="72"/>
      <c r="U158" s="72"/>
      <c r="V158" s="72"/>
      <c r="W158" s="72"/>
      <c r="X158" s="72"/>
      <c r="Y158" s="72"/>
      <c r="Z158" s="72"/>
      <c r="AA158" s="72"/>
      <c r="AB158" s="72"/>
      <c r="AC158" s="72"/>
      <c r="AD158" s="72"/>
      <c r="AE158" s="72"/>
      <c r="AF158" s="72"/>
      <c r="AG158" s="72"/>
      <c r="AH158" s="72"/>
      <c r="AI158" s="72"/>
      <c r="AJ158" s="72"/>
      <c r="AK158" s="72"/>
      <c r="AL158" s="72"/>
      <c r="AM158" s="72"/>
      <c r="AN158" s="72"/>
      <c r="AO158" s="72"/>
      <c r="AP158" s="72"/>
      <c r="AQ158" s="72"/>
      <c r="AR158" s="72"/>
      <c r="AS158" s="72"/>
      <c r="AT158" s="72"/>
      <c r="AU158" s="72"/>
      <c r="AV158" s="72"/>
    </row>
    <row r="159" spans="1:48" s="37" customFormat="1" ht="16.5" x14ac:dyDescent="0.3">
      <c r="A159" s="72"/>
      <c r="B159" s="72"/>
      <c r="C159" s="72"/>
      <c r="D159" s="72"/>
      <c r="E159" s="72"/>
      <c r="F159" s="72"/>
      <c r="G159" s="72"/>
      <c r="H159" s="72"/>
      <c r="I159" s="72"/>
      <c r="J159" s="72"/>
      <c r="K159" s="72"/>
      <c r="L159" s="72"/>
      <c r="M159" s="72"/>
      <c r="N159" s="72"/>
      <c r="O159" s="72"/>
      <c r="P159" s="72"/>
      <c r="Q159" s="72"/>
      <c r="R159" s="72"/>
      <c r="S159" s="72"/>
      <c r="T159" s="72"/>
      <c r="U159" s="72"/>
      <c r="V159" s="72"/>
      <c r="W159" s="72"/>
      <c r="X159" s="72"/>
      <c r="Y159" s="72"/>
      <c r="Z159" s="72"/>
      <c r="AA159" s="72"/>
      <c r="AB159" s="72"/>
      <c r="AC159" s="72"/>
      <c r="AD159" s="72"/>
      <c r="AE159" s="72"/>
      <c r="AF159" s="72"/>
      <c r="AG159" s="72"/>
      <c r="AH159" s="72"/>
      <c r="AI159" s="72"/>
      <c r="AJ159" s="72"/>
      <c r="AK159" s="72"/>
      <c r="AL159" s="72"/>
      <c r="AM159" s="72"/>
      <c r="AN159" s="72"/>
      <c r="AO159" s="72"/>
      <c r="AP159" s="72"/>
      <c r="AQ159" s="72"/>
      <c r="AR159" s="72"/>
      <c r="AS159" s="72"/>
      <c r="AT159" s="72"/>
      <c r="AU159" s="72"/>
      <c r="AV159" s="72"/>
    </row>
    <row r="160" spans="1:48" s="37" customFormat="1" ht="16.5" x14ac:dyDescent="0.3">
      <c r="A160" s="72"/>
      <c r="B160" s="72"/>
      <c r="C160" s="72"/>
      <c r="D160" s="72"/>
      <c r="E160" s="72"/>
      <c r="F160" s="72"/>
      <c r="G160" s="72"/>
      <c r="H160" s="72"/>
      <c r="I160" s="72"/>
      <c r="J160" s="72"/>
      <c r="K160" s="72"/>
      <c r="L160" s="72"/>
      <c r="M160" s="72"/>
      <c r="N160" s="72"/>
      <c r="O160" s="72"/>
      <c r="P160" s="72"/>
      <c r="Q160" s="72"/>
      <c r="R160" s="72"/>
      <c r="S160" s="72"/>
      <c r="T160" s="72"/>
      <c r="U160" s="72"/>
      <c r="V160" s="72"/>
      <c r="W160" s="72"/>
      <c r="X160" s="72"/>
      <c r="Y160" s="72"/>
      <c r="Z160" s="72"/>
      <c r="AA160" s="72"/>
      <c r="AB160" s="72"/>
      <c r="AC160" s="72"/>
      <c r="AD160" s="72"/>
      <c r="AE160" s="72"/>
      <c r="AF160" s="72"/>
      <c r="AG160" s="72"/>
      <c r="AH160" s="72"/>
      <c r="AI160" s="72"/>
      <c r="AJ160" s="72"/>
      <c r="AK160" s="72"/>
      <c r="AL160" s="72"/>
      <c r="AM160" s="72"/>
      <c r="AN160" s="72"/>
      <c r="AO160" s="72"/>
      <c r="AP160" s="72"/>
      <c r="AQ160" s="72"/>
      <c r="AR160" s="72"/>
      <c r="AS160" s="72"/>
      <c r="AT160" s="72"/>
      <c r="AU160" s="72"/>
      <c r="AV160" s="72"/>
    </row>
    <row r="161" spans="1:48" s="37" customFormat="1" ht="16.5" x14ac:dyDescent="0.3">
      <c r="A161" s="72"/>
      <c r="B161" s="72"/>
      <c r="C161" s="72"/>
      <c r="D161" s="72"/>
      <c r="E161" s="72"/>
      <c r="F161" s="72"/>
      <c r="G161" s="72"/>
      <c r="H161" s="72"/>
      <c r="I161" s="72"/>
      <c r="J161" s="72"/>
      <c r="K161" s="72"/>
      <c r="L161" s="72"/>
      <c r="M161" s="72"/>
      <c r="N161" s="72"/>
      <c r="O161" s="72"/>
      <c r="P161" s="72"/>
      <c r="Q161" s="72"/>
      <c r="R161" s="72"/>
      <c r="S161" s="72"/>
      <c r="T161" s="72"/>
      <c r="U161" s="72"/>
      <c r="V161" s="72"/>
      <c r="W161" s="72"/>
      <c r="X161" s="72"/>
      <c r="Y161" s="72"/>
      <c r="Z161" s="72"/>
      <c r="AA161" s="72"/>
      <c r="AB161" s="72"/>
      <c r="AC161" s="72"/>
      <c r="AD161" s="72"/>
      <c r="AE161" s="72"/>
      <c r="AF161" s="72"/>
      <c r="AG161" s="72"/>
      <c r="AH161" s="72"/>
      <c r="AI161" s="72"/>
      <c r="AJ161" s="72"/>
      <c r="AK161" s="72"/>
      <c r="AL161" s="72"/>
      <c r="AM161" s="72"/>
      <c r="AN161" s="72"/>
      <c r="AO161" s="72"/>
      <c r="AP161" s="72"/>
      <c r="AQ161" s="72"/>
      <c r="AR161" s="72"/>
      <c r="AS161" s="72"/>
      <c r="AT161" s="72"/>
      <c r="AU161" s="72"/>
      <c r="AV161" s="72"/>
    </row>
    <row r="162" spans="1:48" s="37" customFormat="1" ht="16.5" x14ac:dyDescent="0.3">
      <c r="A162" s="72"/>
      <c r="B162" s="72"/>
      <c r="C162" s="72"/>
      <c r="D162" s="72"/>
      <c r="E162" s="72"/>
      <c r="F162" s="72"/>
      <c r="G162" s="72"/>
      <c r="H162" s="72"/>
      <c r="I162" s="72"/>
      <c r="J162" s="72"/>
      <c r="K162" s="72"/>
      <c r="L162" s="72"/>
      <c r="M162" s="72"/>
      <c r="N162" s="72"/>
      <c r="O162" s="72"/>
      <c r="P162" s="72"/>
      <c r="Q162" s="72"/>
      <c r="R162" s="72"/>
      <c r="S162" s="72"/>
      <c r="T162" s="72"/>
      <c r="U162" s="72"/>
      <c r="V162" s="72"/>
      <c r="W162" s="72"/>
      <c r="X162" s="72"/>
      <c r="Y162" s="72"/>
      <c r="Z162" s="72"/>
      <c r="AA162" s="72"/>
      <c r="AB162" s="72"/>
      <c r="AC162" s="72"/>
      <c r="AD162" s="72"/>
      <c r="AE162" s="72"/>
      <c r="AF162" s="72"/>
      <c r="AG162" s="72"/>
      <c r="AH162" s="72"/>
      <c r="AI162" s="72"/>
      <c r="AJ162" s="72"/>
      <c r="AK162" s="72"/>
      <c r="AL162" s="72"/>
      <c r="AM162" s="72"/>
      <c r="AN162" s="72"/>
      <c r="AO162" s="72"/>
      <c r="AP162" s="72"/>
      <c r="AQ162" s="72"/>
      <c r="AR162" s="72"/>
      <c r="AS162" s="72"/>
      <c r="AT162" s="72"/>
      <c r="AU162" s="72"/>
      <c r="AV162" s="72"/>
    </row>
    <row r="163" spans="1:48" s="37" customFormat="1" ht="16.5" x14ac:dyDescent="0.3">
      <c r="A163" s="72"/>
      <c r="B163" s="72"/>
      <c r="C163" s="72"/>
      <c r="D163" s="72"/>
      <c r="E163" s="72"/>
      <c r="F163" s="72"/>
      <c r="G163" s="72"/>
      <c r="H163" s="72"/>
      <c r="I163" s="72"/>
      <c r="J163" s="72"/>
      <c r="K163" s="72"/>
      <c r="L163" s="72"/>
      <c r="M163" s="72"/>
      <c r="N163" s="72"/>
      <c r="O163" s="72"/>
      <c r="P163" s="72"/>
      <c r="Q163" s="72"/>
      <c r="R163" s="72"/>
      <c r="S163" s="72"/>
      <c r="T163" s="72"/>
      <c r="U163" s="72"/>
      <c r="V163" s="72"/>
      <c r="W163" s="72"/>
      <c r="X163" s="72"/>
      <c r="Y163" s="72"/>
      <c r="Z163" s="72"/>
      <c r="AA163" s="72"/>
      <c r="AB163" s="72"/>
      <c r="AC163" s="72"/>
      <c r="AD163" s="72"/>
      <c r="AE163" s="72"/>
      <c r="AF163" s="72"/>
      <c r="AG163" s="72"/>
      <c r="AH163" s="72"/>
      <c r="AI163" s="72"/>
      <c r="AJ163" s="72"/>
      <c r="AK163" s="72"/>
      <c r="AL163" s="72"/>
      <c r="AM163" s="72"/>
      <c r="AN163" s="72"/>
      <c r="AO163" s="72"/>
      <c r="AP163" s="72"/>
      <c r="AQ163" s="72"/>
      <c r="AR163" s="72"/>
      <c r="AS163" s="72"/>
      <c r="AT163" s="72"/>
      <c r="AU163" s="72"/>
      <c r="AV163" s="72"/>
    </row>
    <row r="164" spans="1:48" s="37" customFormat="1" ht="16.5" x14ac:dyDescent="0.3">
      <c r="A164" s="72"/>
      <c r="B164" s="72"/>
      <c r="C164" s="72"/>
      <c r="D164" s="72"/>
      <c r="E164" s="72"/>
      <c r="F164" s="72"/>
      <c r="G164" s="72"/>
      <c r="H164" s="72"/>
      <c r="I164" s="72"/>
      <c r="J164" s="72"/>
      <c r="K164" s="72"/>
      <c r="L164" s="72"/>
      <c r="M164" s="72"/>
      <c r="N164" s="72"/>
      <c r="O164" s="72"/>
      <c r="P164" s="72"/>
      <c r="Q164" s="72"/>
      <c r="R164" s="72"/>
      <c r="S164" s="72"/>
      <c r="T164" s="72"/>
      <c r="U164" s="72"/>
      <c r="V164" s="72"/>
      <c r="W164" s="72"/>
      <c r="X164" s="72"/>
      <c r="Y164" s="72"/>
      <c r="Z164" s="72"/>
      <c r="AA164" s="72"/>
      <c r="AB164" s="72"/>
      <c r="AC164" s="72"/>
      <c r="AD164" s="72"/>
      <c r="AE164" s="72"/>
      <c r="AF164" s="72"/>
      <c r="AG164" s="72"/>
      <c r="AH164" s="72"/>
      <c r="AI164" s="72"/>
      <c r="AJ164" s="72"/>
      <c r="AK164" s="72"/>
      <c r="AL164" s="72"/>
      <c r="AM164" s="72"/>
      <c r="AN164" s="72"/>
      <c r="AO164" s="72"/>
      <c r="AP164" s="72"/>
      <c r="AQ164" s="72"/>
      <c r="AR164" s="72"/>
      <c r="AS164" s="72"/>
      <c r="AT164" s="72"/>
      <c r="AU164" s="72"/>
      <c r="AV164" s="72"/>
    </row>
    <row r="165" spans="1:48" s="37" customFormat="1" ht="16.5" x14ac:dyDescent="0.3">
      <c r="A165" s="72"/>
      <c r="B165" s="72"/>
      <c r="C165" s="72"/>
      <c r="D165" s="72"/>
      <c r="E165" s="72"/>
      <c r="F165" s="72"/>
      <c r="G165" s="72"/>
      <c r="H165" s="72"/>
      <c r="I165" s="72"/>
      <c r="J165" s="72"/>
      <c r="K165" s="72"/>
      <c r="L165" s="72"/>
      <c r="M165" s="72"/>
      <c r="N165" s="72"/>
      <c r="O165" s="72"/>
      <c r="P165" s="72"/>
      <c r="Q165" s="72"/>
      <c r="R165" s="72"/>
      <c r="S165" s="72"/>
      <c r="T165" s="72"/>
      <c r="U165" s="72"/>
      <c r="V165" s="72"/>
      <c r="W165" s="72"/>
      <c r="X165" s="72"/>
      <c r="Y165" s="72"/>
      <c r="Z165" s="72"/>
      <c r="AA165" s="72"/>
      <c r="AB165" s="72"/>
      <c r="AC165" s="72"/>
      <c r="AD165" s="72"/>
      <c r="AE165" s="72"/>
      <c r="AF165" s="72"/>
      <c r="AG165" s="72"/>
      <c r="AH165" s="72"/>
      <c r="AI165" s="72"/>
      <c r="AJ165" s="72"/>
      <c r="AK165" s="72"/>
      <c r="AL165" s="72"/>
      <c r="AM165" s="72"/>
      <c r="AN165" s="72"/>
      <c r="AO165" s="72"/>
      <c r="AP165" s="72"/>
      <c r="AQ165" s="72"/>
      <c r="AR165" s="72"/>
      <c r="AS165" s="72"/>
      <c r="AT165" s="72"/>
      <c r="AU165" s="72"/>
      <c r="AV165" s="72"/>
    </row>
    <row r="166" spans="1:48" s="37" customFormat="1" ht="16.5" x14ac:dyDescent="0.3">
      <c r="A166" s="72"/>
      <c r="B166" s="72"/>
      <c r="C166" s="72"/>
      <c r="D166" s="72"/>
      <c r="E166" s="72"/>
      <c r="F166" s="72"/>
      <c r="G166" s="72"/>
      <c r="H166" s="72"/>
      <c r="I166" s="72"/>
      <c r="J166" s="72"/>
      <c r="K166" s="72"/>
      <c r="L166" s="72"/>
      <c r="M166" s="72"/>
      <c r="N166" s="72"/>
      <c r="O166" s="72"/>
      <c r="P166" s="72"/>
      <c r="Q166" s="72"/>
      <c r="R166" s="72"/>
      <c r="S166" s="72"/>
      <c r="T166" s="72"/>
      <c r="U166" s="72"/>
      <c r="V166" s="72"/>
      <c r="W166" s="72"/>
      <c r="X166" s="72"/>
      <c r="Y166" s="72"/>
      <c r="Z166" s="72"/>
      <c r="AA166" s="72"/>
      <c r="AB166" s="72"/>
      <c r="AC166" s="72"/>
      <c r="AD166" s="72"/>
      <c r="AE166" s="72"/>
      <c r="AF166" s="72"/>
      <c r="AG166" s="72"/>
      <c r="AH166" s="72"/>
      <c r="AI166" s="72"/>
      <c r="AJ166" s="72"/>
      <c r="AK166" s="72"/>
      <c r="AL166" s="72"/>
      <c r="AM166" s="72"/>
      <c r="AN166" s="72"/>
      <c r="AO166" s="72"/>
      <c r="AP166" s="72"/>
      <c r="AQ166" s="72"/>
      <c r="AR166" s="72"/>
      <c r="AS166" s="72"/>
      <c r="AT166" s="72"/>
      <c r="AU166" s="72"/>
      <c r="AV166" s="72"/>
    </row>
    <row r="167" spans="1:48" s="37" customFormat="1" ht="16.5" x14ac:dyDescent="0.3">
      <c r="A167" s="72"/>
      <c r="B167" s="72"/>
      <c r="C167" s="72"/>
      <c r="D167" s="72"/>
      <c r="E167" s="72"/>
      <c r="F167" s="72"/>
      <c r="G167" s="72"/>
      <c r="H167" s="72"/>
      <c r="I167" s="72"/>
      <c r="J167" s="72"/>
      <c r="K167" s="72"/>
      <c r="L167" s="72"/>
      <c r="M167" s="72"/>
      <c r="N167" s="72"/>
      <c r="O167" s="72"/>
      <c r="P167" s="72"/>
      <c r="Q167" s="72"/>
      <c r="R167" s="72"/>
      <c r="S167" s="72"/>
      <c r="T167" s="72"/>
      <c r="U167" s="72"/>
      <c r="V167" s="72"/>
      <c r="W167" s="72"/>
      <c r="X167" s="72"/>
      <c r="Y167" s="72"/>
      <c r="Z167" s="72"/>
      <c r="AA167" s="72"/>
      <c r="AB167" s="72"/>
      <c r="AC167" s="72"/>
      <c r="AD167" s="72"/>
      <c r="AE167" s="72"/>
      <c r="AF167" s="72"/>
      <c r="AG167" s="72"/>
      <c r="AH167" s="72"/>
      <c r="AI167" s="72"/>
      <c r="AJ167" s="72"/>
      <c r="AK167" s="72"/>
      <c r="AL167" s="72"/>
      <c r="AM167" s="72"/>
      <c r="AN167" s="72"/>
      <c r="AO167" s="72"/>
      <c r="AP167" s="72"/>
      <c r="AQ167" s="72"/>
      <c r="AR167" s="72"/>
      <c r="AS167" s="72"/>
      <c r="AT167" s="72"/>
      <c r="AU167" s="72"/>
      <c r="AV167" s="72"/>
    </row>
    <row r="168" spans="1:48" s="37" customFormat="1" ht="16.5" x14ac:dyDescent="0.3">
      <c r="A168" s="72"/>
      <c r="B168" s="72"/>
      <c r="C168" s="72"/>
      <c r="D168" s="72"/>
      <c r="E168" s="72"/>
      <c r="F168" s="72"/>
      <c r="G168" s="72"/>
      <c r="H168" s="72"/>
      <c r="I168" s="72"/>
      <c r="J168" s="72"/>
      <c r="K168" s="72"/>
      <c r="L168" s="72"/>
      <c r="M168" s="72"/>
      <c r="N168" s="72"/>
      <c r="O168" s="72"/>
      <c r="P168" s="72"/>
      <c r="Q168" s="72"/>
      <c r="R168" s="72"/>
      <c r="S168" s="72"/>
      <c r="T168" s="72"/>
      <c r="U168" s="72"/>
      <c r="V168" s="72"/>
      <c r="W168" s="72"/>
      <c r="X168" s="72"/>
      <c r="Y168" s="72"/>
      <c r="Z168" s="72"/>
      <c r="AA168" s="72"/>
      <c r="AB168" s="72"/>
      <c r="AC168" s="72"/>
      <c r="AD168" s="72"/>
      <c r="AE168" s="72"/>
      <c r="AF168" s="72"/>
      <c r="AG168" s="72"/>
      <c r="AH168" s="72"/>
      <c r="AI168" s="72"/>
      <c r="AJ168" s="72"/>
      <c r="AK168" s="72"/>
      <c r="AL168" s="72"/>
      <c r="AM168" s="72"/>
      <c r="AN168" s="72"/>
      <c r="AO168" s="72"/>
      <c r="AP168" s="72"/>
      <c r="AQ168" s="72"/>
      <c r="AR168" s="72"/>
      <c r="AS168" s="72"/>
      <c r="AT168" s="72"/>
      <c r="AU168" s="72"/>
      <c r="AV168" s="72"/>
    </row>
    <row r="169" spans="1:48" s="37" customFormat="1" ht="16.5" x14ac:dyDescent="0.3">
      <c r="A169" s="72"/>
      <c r="B169" s="72"/>
      <c r="C169" s="72"/>
      <c r="D169" s="72"/>
      <c r="E169" s="72"/>
      <c r="F169" s="72"/>
      <c r="G169" s="72"/>
      <c r="H169" s="72"/>
      <c r="I169" s="72"/>
      <c r="J169" s="72"/>
      <c r="K169" s="72"/>
      <c r="L169" s="72"/>
      <c r="M169" s="72"/>
      <c r="N169" s="72"/>
      <c r="O169" s="72"/>
      <c r="P169" s="72"/>
      <c r="Q169" s="72"/>
      <c r="R169" s="72"/>
      <c r="S169" s="72"/>
      <c r="T169" s="72"/>
      <c r="U169" s="72"/>
      <c r="V169" s="72"/>
      <c r="W169" s="72"/>
      <c r="X169" s="72"/>
      <c r="Y169" s="72"/>
      <c r="Z169" s="72"/>
      <c r="AA169" s="72"/>
      <c r="AB169" s="72"/>
      <c r="AC169" s="72"/>
      <c r="AD169" s="72"/>
      <c r="AE169" s="72"/>
      <c r="AF169" s="72"/>
      <c r="AG169" s="72"/>
      <c r="AH169" s="72"/>
      <c r="AI169" s="72"/>
      <c r="AJ169" s="72"/>
      <c r="AK169" s="72"/>
      <c r="AL169" s="72"/>
      <c r="AM169" s="72"/>
      <c r="AN169" s="72"/>
      <c r="AO169" s="72"/>
      <c r="AP169" s="72"/>
      <c r="AQ169" s="72"/>
      <c r="AR169" s="72"/>
      <c r="AS169" s="72"/>
      <c r="AT169" s="72"/>
      <c r="AU169" s="72"/>
      <c r="AV169" s="72"/>
    </row>
    <row r="170" spans="1:48" s="37" customFormat="1" ht="16.5" x14ac:dyDescent="0.3">
      <c r="A170" s="72"/>
      <c r="B170" s="72"/>
      <c r="C170" s="72"/>
      <c r="D170" s="72"/>
      <c r="E170" s="72"/>
      <c r="F170" s="72"/>
      <c r="G170" s="72"/>
      <c r="H170" s="72"/>
      <c r="I170" s="72"/>
      <c r="J170" s="72"/>
      <c r="K170" s="72"/>
      <c r="L170" s="72"/>
      <c r="M170" s="72"/>
      <c r="N170" s="72"/>
      <c r="O170" s="72"/>
      <c r="P170" s="72"/>
      <c r="Q170" s="72"/>
      <c r="R170" s="72"/>
      <c r="S170" s="72"/>
      <c r="T170" s="72"/>
      <c r="U170" s="72"/>
      <c r="V170" s="72"/>
      <c r="W170" s="72"/>
      <c r="X170" s="72"/>
      <c r="Y170" s="72"/>
      <c r="Z170" s="72"/>
      <c r="AA170" s="72"/>
      <c r="AB170" s="72"/>
      <c r="AC170" s="72"/>
      <c r="AD170" s="72"/>
      <c r="AE170" s="72"/>
      <c r="AF170" s="72"/>
      <c r="AG170" s="72"/>
      <c r="AH170" s="72"/>
      <c r="AI170" s="72"/>
      <c r="AJ170" s="72"/>
      <c r="AK170" s="72"/>
      <c r="AL170" s="72"/>
      <c r="AM170" s="72"/>
      <c r="AN170" s="72"/>
      <c r="AO170" s="72"/>
      <c r="AP170" s="72"/>
      <c r="AQ170" s="72"/>
      <c r="AR170" s="72"/>
      <c r="AS170" s="72"/>
      <c r="AT170" s="72"/>
      <c r="AU170" s="72"/>
      <c r="AV170" s="72"/>
    </row>
    <row r="171" spans="1:48" s="37" customFormat="1" ht="16.5" x14ac:dyDescent="0.3">
      <c r="A171" s="72"/>
      <c r="B171" s="72"/>
      <c r="C171" s="72"/>
      <c r="D171" s="72"/>
      <c r="E171" s="72"/>
      <c r="F171" s="72"/>
      <c r="G171" s="72"/>
      <c r="H171" s="72"/>
      <c r="I171" s="72"/>
      <c r="J171" s="72"/>
      <c r="K171" s="72"/>
      <c r="L171" s="72"/>
      <c r="M171" s="72"/>
      <c r="N171" s="72"/>
      <c r="O171" s="72"/>
      <c r="P171" s="72"/>
      <c r="Q171" s="72"/>
      <c r="R171" s="72"/>
      <c r="S171" s="72"/>
      <c r="T171" s="72"/>
      <c r="U171" s="72"/>
      <c r="V171" s="72"/>
      <c r="W171" s="72"/>
      <c r="X171" s="72"/>
      <c r="Y171" s="72"/>
      <c r="Z171" s="72"/>
      <c r="AA171" s="72"/>
      <c r="AB171" s="72"/>
      <c r="AC171" s="72"/>
      <c r="AD171" s="72"/>
      <c r="AE171" s="72"/>
      <c r="AF171" s="72"/>
      <c r="AG171" s="72"/>
      <c r="AH171" s="72"/>
      <c r="AI171" s="72"/>
      <c r="AJ171" s="72"/>
      <c r="AK171" s="72"/>
      <c r="AL171" s="72"/>
      <c r="AM171" s="72"/>
      <c r="AN171" s="72"/>
      <c r="AO171" s="72"/>
      <c r="AP171" s="72"/>
      <c r="AQ171" s="72"/>
      <c r="AR171" s="72"/>
      <c r="AS171" s="72"/>
      <c r="AT171" s="72"/>
      <c r="AU171" s="72"/>
      <c r="AV171" s="72"/>
    </row>
    <row r="172" spans="1:48" s="37" customFormat="1" ht="16.5" x14ac:dyDescent="0.3">
      <c r="A172" s="72"/>
      <c r="B172" s="72"/>
      <c r="C172" s="72"/>
      <c r="D172" s="72"/>
      <c r="E172" s="72"/>
      <c r="F172" s="72"/>
      <c r="G172" s="72"/>
      <c r="H172" s="72"/>
      <c r="I172" s="72"/>
      <c r="J172" s="72"/>
      <c r="K172" s="72"/>
      <c r="L172" s="72"/>
      <c r="M172" s="72"/>
      <c r="N172" s="72"/>
      <c r="O172" s="72"/>
      <c r="P172" s="72"/>
      <c r="Q172" s="72"/>
      <c r="R172" s="72"/>
      <c r="S172" s="72"/>
      <c r="T172" s="72"/>
      <c r="U172" s="72"/>
      <c r="V172" s="72"/>
      <c r="W172" s="72"/>
      <c r="X172" s="72"/>
      <c r="Y172" s="72"/>
      <c r="Z172" s="72"/>
      <c r="AA172" s="72"/>
      <c r="AB172" s="72"/>
      <c r="AC172" s="72"/>
      <c r="AD172" s="72"/>
      <c r="AE172" s="72"/>
      <c r="AF172" s="72"/>
      <c r="AG172" s="72"/>
      <c r="AH172" s="72"/>
      <c r="AI172" s="72"/>
      <c r="AJ172" s="72"/>
      <c r="AK172" s="72"/>
      <c r="AL172" s="72"/>
      <c r="AM172" s="72"/>
      <c r="AN172" s="72"/>
      <c r="AO172" s="72"/>
      <c r="AP172" s="72"/>
      <c r="AQ172" s="72"/>
      <c r="AR172" s="72"/>
      <c r="AS172" s="72"/>
      <c r="AT172" s="72"/>
      <c r="AU172" s="72"/>
      <c r="AV172" s="72"/>
    </row>
    <row r="173" spans="1:48" s="37" customFormat="1" ht="16.5" x14ac:dyDescent="0.3">
      <c r="A173" s="72"/>
      <c r="B173" s="72"/>
      <c r="C173" s="72"/>
      <c r="D173" s="72"/>
      <c r="E173" s="72"/>
      <c r="F173" s="72"/>
      <c r="G173" s="72"/>
      <c r="H173" s="72"/>
      <c r="I173" s="72"/>
      <c r="J173" s="72"/>
      <c r="K173" s="72"/>
      <c r="L173" s="72"/>
      <c r="M173" s="72"/>
      <c r="N173" s="72"/>
      <c r="O173" s="72"/>
      <c r="P173" s="72"/>
      <c r="Q173" s="72"/>
      <c r="R173" s="72"/>
      <c r="S173" s="72"/>
      <c r="T173" s="72"/>
      <c r="U173" s="72"/>
      <c r="V173" s="72"/>
      <c r="W173" s="72"/>
      <c r="X173" s="72"/>
      <c r="Y173" s="72"/>
      <c r="Z173" s="72"/>
      <c r="AA173" s="72"/>
      <c r="AB173" s="72"/>
      <c r="AC173" s="72"/>
      <c r="AD173" s="72"/>
      <c r="AE173" s="72"/>
      <c r="AF173" s="72"/>
      <c r="AG173" s="72"/>
      <c r="AH173" s="72"/>
      <c r="AI173" s="72"/>
      <c r="AJ173" s="72"/>
      <c r="AK173" s="72"/>
      <c r="AL173" s="72"/>
      <c r="AM173" s="72"/>
      <c r="AN173" s="72"/>
      <c r="AO173" s="72"/>
      <c r="AP173" s="72"/>
      <c r="AQ173" s="72"/>
      <c r="AR173" s="72"/>
      <c r="AS173" s="72"/>
      <c r="AT173" s="72"/>
      <c r="AU173" s="72"/>
      <c r="AV173" s="72"/>
    </row>
    <row r="174" spans="1:48" s="37" customFormat="1" ht="16.5" x14ac:dyDescent="0.3">
      <c r="A174" s="72"/>
      <c r="B174" s="72"/>
      <c r="C174" s="72"/>
      <c r="D174" s="72"/>
      <c r="E174" s="72"/>
      <c r="F174" s="72"/>
      <c r="G174" s="72"/>
      <c r="H174" s="72"/>
      <c r="I174" s="72"/>
      <c r="J174" s="72"/>
      <c r="K174" s="72"/>
      <c r="L174" s="72"/>
      <c r="M174" s="72"/>
      <c r="N174" s="72"/>
      <c r="O174" s="72"/>
      <c r="P174" s="72"/>
      <c r="Q174" s="72"/>
      <c r="R174" s="72"/>
      <c r="S174" s="72"/>
      <c r="T174" s="72"/>
      <c r="U174" s="72"/>
      <c r="V174" s="72"/>
      <c r="W174" s="72"/>
      <c r="X174" s="72"/>
      <c r="Y174" s="72"/>
      <c r="Z174" s="72"/>
      <c r="AA174" s="72"/>
      <c r="AB174" s="72"/>
      <c r="AC174" s="72"/>
      <c r="AD174" s="72"/>
      <c r="AE174" s="72"/>
      <c r="AF174" s="72"/>
      <c r="AG174" s="72"/>
      <c r="AH174" s="72"/>
      <c r="AI174" s="72"/>
      <c r="AJ174" s="72"/>
      <c r="AK174" s="72"/>
      <c r="AL174" s="72"/>
      <c r="AM174" s="72"/>
      <c r="AN174" s="72"/>
      <c r="AO174" s="72"/>
      <c r="AP174" s="72"/>
      <c r="AQ174" s="72"/>
      <c r="AR174" s="72"/>
      <c r="AS174" s="72"/>
      <c r="AT174" s="72"/>
      <c r="AU174" s="72"/>
      <c r="AV174" s="72"/>
    </row>
    <row r="175" spans="1:48" s="37" customFormat="1" ht="16.5" x14ac:dyDescent="0.3">
      <c r="A175" s="72"/>
      <c r="B175" s="72"/>
      <c r="C175" s="72"/>
      <c r="D175" s="72"/>
      <c r="E175" s="72"/>
      <c r="F175" s="72"/>
      <c r="G175" s="72"/>
      <c r="H175" s="72"/>
      <c r="I175" s="72"/>
      <c r="J175" s="72"/>
      <c r="K175" s="72"/>
      <c r="L175" s="72"/>
      <c r="M175" s="72"/>
      <c r="N175" s="72"/>
      <c r="O175" s="72"/>
      <c r="P175" s="72"/>
      <c r="Q175" s="72"/>
      <c r="R175" s="72"/>
      <c r="S175" s="72"/>
      <c r="T175" s="72"/>
      <c r="U175" s="72"/>
      <c r="V175" s="72"/>
      <c r="W175" s="72"/>
      <c r="X175" s="72"/>
      <c r="Y175" s="72"/>
      <c r="Z175" s="72"/>
      <c r="AA175" s="72"/>
      <c r="AB175" s="72"/>
      <c r="AC175" s="72"/>
      <c r="AD175" s="72"/>
      <c r="AE175" s="72"/>
      <c r="AF175" s="72"/>
      <c r="AG175" s="72"/>
      <c r="AH175" s="72"/>
      <c r="AI175" s="72"/>
      <c r="AJ175" s="72"/>
      <c r="AK175" s="72"/>
      <c r="AL175" s="72"/>
      <c r="AM175" s="72"/>
      <c r="AN175" s="72"/>
      <c r="AO175" s="72"/>
      <c r="AP175" s="72"/>
      <c r="AQ175" s="72"/>
      <c r="AR175" s="72"/>
      <c r="AS175" s="72"/>
      <c r="AT175" s="72"/>
      <c r="AU175" s="72"/>
      <c r="AV175" s="72"/>
    </row>
    <row r="176" spans="1:48" s="37" customFormat="1" ht="16.5" x14ac:dyDescent="0.3">
      <c r="A176" s="72"/>
      <c r="B176" s="72"/>
      <c r="C176" s="72"/>
      <c r="D176" s="72"/>
      <c r="E176" s="72"/>
      <c r="F176" s="72"/>
      <c r="G176" s="72"/>
      <c r="H176" s="72"/>
      <c r="I176" s="72"/>
      <c r="J176" s="72"/>
      <c r="K176" s="72"/>
      <c r="L176" s="72"/>
      <c r="M176" s="72"/>
      <c r="N176" s="72"/>
      <c r="O176" s="72"/>
      <c r="P176" s="72"/>
      <c r="Q176" s="72"/>
      <c r="R176" s="72"/>
      <c r="S176" s="72"/>
      <c r="T176" s="72"/>
      <c r="U176" s="72"/>
      <c r="V176" s="72"/>
      <c r="W176" s="72"/>
      <c r="X176" s="72"/>
      <c r="Y176" s="72"/>
      <c r="Z176" s="72"/>
      <c r="AA176" s="72"/>
      <c r="AB176" s="72"/>
      <c r="AC176" s="72"/>
      <c r="AD176" s="72"/>
      <c r="AE176" s="72"/>
      <c r="AF176" s="72"/>
      <c r="AG176" s="72"/>
      <c r="AH176" s="72"/>
      <c r="AI176" s="72"/>
      <c r="AJ176" s="72"/>
      <c r="AK176" s="72"/>
      <c r="AL176" s="72"/>
      <c r="AM176" s="72"/>
      <c r="AN176" s="72"/>
      <c r="AO176" s="72"/>
      <c r="AP176" s="72"/>
      <c r="AQ176" s="72"/>
      <c r="AR176" s="72"/>
      <c r="AS176" s="72"/>
      <c r="AT176" s="72"/>
      <c r="AU176" s="72"/>
      <c r="AV176" s="72"/>
    </row>
    <row r="177" spans="1:48" s="37" customFormat="1" ht="16.5" x14ac:dyDescent="0.3">
      <c r="A177" s="72"/>
      <c r="B177" s="72"/>
      <c r="C177" s="72"/>
      <c r="D177" s="72"/>
      <c r="E177" s="72"/>
      <c r="F177" s="72"/>
      <c r="G177" s="72"/>
      <c r="H177" s="72"/>
      <c r="I177" s="72"/>
      <c r="J177" s="72"/>
      <c r="K177" s="72"/>
      <c r="L177" s="72"/>
      <c r="M177" s="72"/>
      <c r="N177" s="72"/>
      <c r="O177" s="72"/>
      <c r="P177" s="72"/>
      <c r="Q177" s="72"/>
      <c r="R177" s="72"/>
      <c r="S177" s="72"/>
      <c r="T177" s="72"/>
      <c r="U177" s="72"/>
      <c r="V177" s="72"/>
      <c r="W177" s="72"/>
      <c r="X177" s="72"/>
      <c r="Y177" s="72"/>
      <c r="Z177" s="72"/>
      <c r="AA177" s="72"/>
      <c r="AB177" s="72"/>
      <c r="AC177" s="72"/>
      <c r="AD177" s="72"/>
      <c r="AE177" s="72"/>
      <c r="AF177" s="72"/>
      <c r="AG177" s="72"/>
      <c r="AH177" s="72"/>
      <c r="AI177" s="72"/>
      <c r="AJ177" s="72"/>
      <c r="AK177" s="72"/>
      <c r="AL177" s="72"/>
      <c r="AM177" s="72"/>
      <c r="AN177" s="72"/>
      <c r="AO177" s="72"/>
      <c r="AP177" s="72"/>
      <c r="AQ177" s="72"/>
      <c r="AR177" s="72"/>
      <c r="AS177" s="72"/>
      <c r="AT177" s="72"/>
      <c r="AU177" s="72"/>
      <c r="AV177" s="72"/>
    </row>
    <row r="178" spans="1:48" s="37" customFormat="1" ht="16.5" x14ac:dyDescent="0.3">
      <c r="A178" s="72"/>
      <c r="B178" s="72"/>
      <c r="C178" s="72"/>
      <c r="D178" s="72"/>
      <c r="E178" s="72"/>
      <c r="F178" s="72"/>
      <c r="G178" s="72"/>
      <c r="H178" s="72"/>
      <c r="I178" s="72"/>
      <c r="J178" s="72"/>
      <c r="K178" s="72"/>
      <c r="L178" s="72"/>
      <c r="M178" s="72"/>
      <c r="N178" s="72"/>
      <c r="O178" s="72"/>
      <c r="P178" s="72"/>
      <c r="Q178" s="72"/>
      <c r="R178" s="72"/>
      <c r="S178" s="72"/>
      <c r="T178" s="72"/>
      <c r="U178" s="72"/>
      <c r="V178" s="72"/>
      <c r="W178" s="72"/>
      <c r="X178" s="72"/>
      <c r="Y178" s="72"/>
      <c r="Z178" s="72"/>
      <c r="AA178" s="72"/>
      <c r="AB178" s="72"/>
      <c r="AC178" s="72"/>
      <c r="AD178" s="72"/>
      <c r="AE178" s="72"/>
      <c r="AF178" s="72"/>
      <c r="AG178" s="72"/>
      <c r="AH178" s="72"/>
      <c r="AI178" s="72"/>
      <c r="AJ178" s="72"/>
      <c r="AK178" s="72"/>
      <c r="AL178" s="72"/>
      <c r="AM178" s="72"/>
      <c r="AN178" s="72"/>
      <c r="AO178" s="72"/>
      <c r="AP178" s="72"/>
      <c r="AQ178" s="72"/>
      <c r="AR178" s="72"/>
      <c r="AS178" s="72"/>
      <c r="AT178" s="72"/>
      <c r="AU178" s="72"/>
      <c r="AV178" s="72"/>
    </row>
    <row r="179" spans="1:48" s="37" customFormat="1" ht="16.5" x14ac:dyDescent="0.3">
      <c r="A179" s="72"/>
      <c r="B179" s="72"/>
      <c r="C179" s="72"/>
      <c r="D179" s="72"/>
      <c r="E179" s="72"/>
      <c r="F179" s="72"/>
      <c r="G179" s="72"/>
      <c r="H179" s="72"/>
      <c r="I179" s="72"/>
      <c r="J179" s="72"/>
      <c r="K179" s="72"/>
      <c r="L179" s="72"/>
      <c r="M179" s="72"/>
      <c r="N179" s="72"/>
      <c r="O179" s="72"/>
      <c r="P179" s="72"/>
      <c r="Q179" s="72"/>
      <c r="R179" s="72"/>
      <c r="S179" s="72"/>
      <c r="T179" s="72"/>
      <c r="U179" s="72"/>
      <c r="V179" s="72"/>
      <c r="W179" s="72"/>
      <c r="X179" s="72"/>
      <c r="Y179" s="72"/>
      <c r="Z179" s="72"/>
      <c r="AA179" s="72"/>
      <c r="AB179" s="72"/>
      <c r="AC179" s="72"/>
      <c r="AD179" s="72"/>
      <c r="AE179" s="72"/>
      <c r="AF179" s="72"/>
      <c r="AG179" s="72"/>
      <c r="AH179" s="72"/>
      <c r="AI179" s="72"/>
      <c r="AJ179" s="72"/>
      <c r="AK179" s="72"/>
      <c r="AL179" s="72"/>
      <c r="AM179" s="72"/>
      <c r="AN179" s="72"/>
      <c r="AO179" s="72"/>
      <c r="AP179" s="72"/>
      <c r="AQ179" s="72"/>
      <c r="AR179" s="72"/>
      <c r="AS179" s="72"/>
      <c r="AT179" s="72"/>
      <c r="AU179" s="72"/>
      <c r="AV179" s="72"/>
    </row>
    <row r="180" spans="1:48" s="37" customFormat="1" ht="16.5" x14ac:dyDescent="0.3">
      <c r="A180" s="72"/>
      <c r="B180" s="72"/>
      <c r="C180" s="72"/>
      <c r="D180" s="72"/>
      <c r="E180" s="72"/>
      <c r="F180" s="72"/>
      <c r="G180" s="72"/>
      <c r="H180" s="72"/>
      <c r="I180" s="72"/>
      <c r="J180" s="72"/>
      <c r="K180" s="72"/>
      <c r="L180" s="72"/>
      <c r="M180" s="72"/>
      <c r="N180" s="72"/>
      <c r="O180" s="72"/>
      <c r="P180" s="72"/>
      <c r="Q180" s="72"/>
      <c r="R180" s="72"/>
      <c r="S180" s="72"/>
      <c r="T180" s="72"/>
      <c r="U180" s="72"/>
      <c r="V180" s="72"/>
      <c r="W180" s="72"/>
      <c r="X180" s="72"/>
      <c r="Y180" s="72"/>
      <c r="Z180" s="72"/>
      <c r="AA180" s="72"/>
      <c r="AB180" s="72"/>
      <c r="AC180" s="72"/>
      <c r="AD180" s="72"/>
      <c r="AE180" s="72"/>
      <c r="AF180" s="72"/>
      <c r="AG180" s="72"/>
      <c r="AH180" s="72"/>
      <c r="AI180" s="72"/>
      <c r="AJ180" s="72"/>
      <c r="AK180" s="72"/>
      <c r="AL180" s="72"/>
      <c r="AM180" s="72"/>
      <c r="AN180" s="72"/>
      <c r="AO180" s="72"/>
      <c r="AP180" s="72"/>
      <c r="AQ180" s="72"/>
      <c r="AR180" s="72"/>
      <c r="AS180" s="72"/>
      <c r="AT180" s="72"/>
      <c r="AU180" s="72"/>
      <c r="AV180" s="72"/>
    </row>
    <row r="181" spans="1:48" s="37" customFormat="1" ht="16.5" x14ac:dyDescent="0.3">
      <c r="A181" s="72"/>
      <c r="B181" s="72"/>
      <c r="C181" s="72"/>
      <c r="D181" s="72"/>
      <c r="E181" s="72"/>
      <c r="F181" s="72"/>
      <c r="G181" s="72"/>
      <c r="H181" s="72"/>
      <c r="I181" s="72"/>
      <c r="J181" s="72"/>
      <c r="K181" s="72"/>
      <c r="L181" s="72"/>
      <c r="M181" s="72"/>
      <c r="N181" s="72"/>
      <c r="O181" s="72"/>
      <c r="P181" s="72"/>
      <c r="Q181" s="72"/>
      <c r="R181" s="72"/>
      <c r="S181" s="72"/>
      <c r="T181" s="72"/>
      <c r="U181" s="72"/>
      <c r="V181" s="72"/>
      <c r="W181" s="72"/>
      <c r="X181" s="72"/>
      <c r="Y181" s="72"/>
      <c r="Z181" s="72"/>
      <c r="AA181" s="72"/>
      <c r="AB181" s="72"/>
      <c r="AC181" s="72"/>
      <c r="AD181" s="72"/>
      <c r="AE181" s="72"/>
      <c r="AF181" s="72"/>
      <c r="AG181" s="72"/>
      <c r="AH181" s="72"/>
      <c r="AI181" s="72"/>
      <c r="AJ181" s="72"/>
      <c r="AK181" s="72"/>
      <c r="AL181" s="72"/>
      <c r="AM181" s="72"/>
      <c r="AN181" s="72"/>
      <c r="AO181" s="72"/>
      <c r="AP181" s="72"/>
      <c r="AQ181" s="72"/>
      <c r="AR181" s="72"/>
      <c r="AS181" s="72"/>
      <c r="AT181" s="72"/>
      <c r="AU181" s="72"/>
      <c r="AV181" s="72"/>
    </row>
    <row r="182" spans="1:48" s="37" customFormat="1" ht="16.5" x14ac:dyDescent="0.3">
      <c r="A182" s="72"/>
      <c r="B182" s="72"/>
      <c r="C182" s="72"/>
      <c r="D182" s="72"/>
      <c r="E182" s="72"/>
      <c r="F182" s="72"/>
      <c r="G182" s="72"/>
      <c r="H182" s="72"/>
      <c r="I182" s="72"/>
      <c r="J182" s="72"/>
      <c r="K182" s="72"/>
      <c r="L182" s="72"/>
      <c r="M182" s="72"/>
      <c r="N182" s="72"/>
      <c r="O182" s="72"/>
      <c r="P182" s="72"/>
      <c r="Q182" s="72"/>
      <c r="R182" s="72"/>
      <c r="S182" s="72"/>
      <c r="T182" s="72"/>
      <c r="U182" s="72"/>
      <c r="V182" s="72"/>
      <c r="W182" s="72"/>
      <c r="X182" s="72"/>
      <c r="Y182" s="72"/>
      <c r="Z182" s="72"/>
      <c r="AA182" s="72"/>
      <c r="AB182" s="72"/>
      <c r="AC182" s="72"/>
      <c r="AD182" s="72"/>
      <c r="AE182" s="72"/>
      <c r="AF182" s="72"/>
      <c r="AG182" s="72"/>
      <c r="AH182" s="72"/>
      <c r="AI182" s="72"/>
      <c r="AJ182" s="72"/>
      <c r="AK182" s="72"/>
      <c r="AL182" s="72"/>
      <c r="AM182" s="72"/>
      <c r="AN182" s="72"/>
      <c r="AO182" s="72"/>
      <c r="AP182" s="72"/>
      <c r="AQ182" s="72"/>
      <c r="AR182" s="72"/>
      <c r="AS182" s="72"/>
      <c r="AT182" s="72"/>
      <c r="AU182" s="72"/>
      <c r="AV182" s="72"/>
    </row>
    <row r="183" spans="1:48" s="37" customFormat="1" ht="16.5" x14ac:dyDescent="0.3">
      <c r="A183" s="72"/>
      <c r="B183" s="72"/>
      <c r="C183" s="72"/>
      <c r="D183" s="72"/>
      <c r="E183" s="72"/>
      <c r="F183" s="72"/>
      <c r="G183" s="72"/>
      <c r="H183" s="72"/>
      <c r="I183" s="72"/>
      <c r="J183" s="72"/>
      <c r="K183" s="72"/>
      <c r="L183" s="72"/>
      <c r="M183" s="72"/>
      <c r="N183" s="72"/>
      <c r="O183" s="72"/>
      <c r="P183" s="72"/>
      <c r="Q183" s="72"/>
      <c r="R183" s="72"/>
      <c r="S183" s="72"/>
      <c r="T183" s="72"/>
      <c r="U183" s="72"/>
      <c r="V183" s="72"/>
      <c r="W183" s="72"/>
      <c r="X183" s="72"/>
      <c r="Y183" s="72"/>
      <c r="Z183" s="72"/>
      <c r="AA183" s="72"/>
      <c r="AB183" s="72"/>
      <c r="AC183" s="72"/>
      <c r="AD183" s="72"/>
      <c r="AE183" s="72"/>
      <c r="AF183" s="72"/>
      <c r="AG183" s="72"/>
      <c r="AH183" s="72"/>
      <c r="AI183" s="72"/>
      <c r="AJ183" s="72"/>
      <c r="AK183" s="72"/>
      <c r="AL183" s="72"/>
      <c r="AM183" s="72"/>
      <c r="AN183" s="72"/>
      <c r="AO183" s="72"/>
      <c r="AP183" s="72"/>
      <c r="AQ183" s="72"/>
      <c r="AR183" s="72"/>
      <c r="AS183" s="72"/>
      <c r="AT183" s="72"/>
      <c r="AU183" s="72"/>
      <c r="AV183" s="72"/>
    </row>
    <row r="184" spans="1:48" s="37" customFormat="1" ht="16.5" x14ac:dyDescent="0.3">
      <c r="A184" s="72"/>
      <c r="B184" s="72"/>
      <c r="C184" s="72"/>
      <c r="D184" s="72"/>
      <c r="E184" s="72"/>
      <c r="F184" s="72"/>
      <c r="G184" s="72"/>
      <c r="H184" s="72"/>
      <c r="I184" s="72"/>
      <c r="J184" s="72"/>
      <c r="K184" s="72"/>
      <c r="L184" s="72"/>
      <c r="M184" s="72"/>
      <c r="N184" s="72"/>
      <c r="O184" s="72"/>
      <c r="P184" s="72"/>
      <c r="Q184" s="72"/>
      <c r="R184" s="72"/>
      <c r="S184" s="72"/>
      <c r="T184" s="72"/>
      <c r="U184" s="72"/>
      <c r="V184" s="72"/>
      <c r="W184" s="72"/>
      <c r="X184" s="72"/>
      <c r="Y184" s="72"/>
      <c r="Z184" s="72"/>
      <c r="AA184" s="72"/>
      <c r="AB184" s="72"/>
      <c r="AC184" s="72"/>
      <c r="AD184" s="72"/>
      <c r="AE184" s="72"/>
      <c r="AF184" s="72"/>
      <c r="AG184" s="72"/>
      <c r="AH184" s="72"/>
      <c r="AI184" s="72"/>
      <c r="AJ184" s="72"/>
      <c r="AK184" s="72"/>
      <c r="AL184" s="72"/>
      <c r="AM184" s="72"/>
      <c r="AN184" s="72"/>
      <c r="AO184" s="72"/>
      <c r="AP184" s="72"/>
      <c r="AQ184" s="72"/>
      <c r="AR184" s="72"/>
      <c r="AS184" s="72"/>
      <c r="AT184" s="72"/>
      <c r="AU184" s="72"/>
      <c r="AV184" s="72"/>
    </row>
    <row r="185" spans="1:48" s="37" customFormat="1" ht="16.5" x14ac:dyDescent="0.3">
      <c r="A185" s="72"/>
      <c r="B185" s="72"/>
      <c r="C185" s="72"/>
      <c r="D185" s="72"/>
      <c r="E185" s="72"/>
      <c r="F185" s="72"/>
      <c r="G185" s="72"/>
      <c r="H185" s="72"/>
      <c r="I185" s="72"/>
      <c r="J185" s="72"/>
      <c r="K185" s="72"/>
      <c r="L185" s="72"/>
      <c r="M185" s="72"/>
      <c r="N185" s="72"/>
      <c r="O185" s="72"/>
      <c r="P185" s="72"/>
      <c r="Q185" s="72"/>
      <c r="R185" s="72"/>
      <c r="S185" s="72"/>
      <c r="T185" s="72"/>
      <c r="U185" s="72"/>
      <c r="V185" s="72"/>
      <c r="W185" s="72"/>
      <c r="X185" s="72"/>
      <c r="Y185" s="72"/>
      <c r="Z185" s="72"/>
      <c r="AA185" s="72"/>
      <c r="AB185" s="72"/>
      <c r="AC185" s="72"/>
      <c r="AD185" s="72"/>
      <c r="AE185" s="72"/>
      <c r="AF185" s="72"/>
      <c r="AG185" s="72"/>
      <c r="AH185" s="72"/>
      <c r="AI185" s="72"/>
      <c r="AJ185" s="72"/>
      <c r="AK185" s="72"/>
      <c r="AL185" s="72"/>
      <c r="AM185" s="72"/>
      <c r="AN185" s="72"/>
      <c r="AO185" s="72"/>
      <c r="AP185" s="72"/>
      <c r="AQ185" s="72"/>
      <c r="AR185" s="72"/>
      <c r="AS185" s="72"/>
      <c r="AT185" s="72"/>
      <c r="AU185" s="72"/>
      <c r="AV185" s="72"/>
    </row>
    <row r="186" spans="1:48" s="37" customFormat="1" ht="16.5" x14ac:dyDescent="0.3">
      <c r="A186" s="72"/>
      <c r="B186" s="72"/>
      <c r="C186" s="72"/>
      <c r="D186" s="72"/>
      <c r="E186" s="72"/>
      <c r="F186" s="72"/>
      <c r="G186" s="72"/>
      <c r="H186" s="72"/>
      <c r="I186" s="72"/>
      <c r="J186" s="72"/>
      <c r="K186" s="72"/>
      <c r="L186" s="72"/>
      <c r="M186" s="72"/>
      <c r="N186" s="72"/>
      <c r="O186" s="72"/>
      <c r="P186" s="72"/>
      <c r="Q186" s="72"/>
      <c r="R186" s="72"/>
      <c r="S186" s="72"/>
      <c r="T186" s="72"/>
      <c r="U186" s="72"/>
      <c r="V186" s="72"/>
      <c r="W186" s="72"/>
      <c r="X186" s="72"/>
      <c r="Y186" s="72"/>
      <c r="Z186" s="72"/>
      <c r="AA186" s="72"/>
      <c r="AB186" s="72"/>
      <c r="AC186" s="72"/>
      <c r="AD186" s="72"/>
      <c r="AE186" s="72"/>
      <c r="AF186" s="72"/>
      <c r="AG186" s="72"/>
      <c r="AH186" s="72"/>
      <c r="AI186" s="72"/>
      <c r="AJ186" s="72"/>
      <c r="AK186" s="72"/>
      <c r="AL186" s="72"/>
      <c r="AM186" s="72"/>
      <c r="AN186" s="72"/>
      <c r="AO186" s="72"/>
      <c r="AP186" s="72"/>
      <c r="AQ186" s="72"/>
      <c r="AR186" s="72"/>
      <c r="AS186" s="72"/>
      <c r="AT186" s="72"/>
      <c r="AU186" s="72"/>
      <c r="AV186" s="72"/>
    </row>
    <row r="187" spans="1:48" s="37" customFormat="1" ht="16.5" x14ac:dyDescent="0.3">
      <c r="A187" s="72"/>
      <c r="B187" s="72"/>
      <c r="C187" s="72"/>
      <c r="D187" s="72"/>
      <c r="E187" s="72"/>
      <c r="F187" s="72"/>
      <c r="G187" s="72"/>
      <c r="H187" s="72"/>
      <c r="I187" s="72"/>
      <c r="J187" s="72"/>
      <c r="K187" s="72"/>
      <c r="L187" s="72"/>
      <c r="M187" s="72"/>
      <c r="N187" s="72"/>
      <c r="O187" s="72"/>
      <c r="P187" s="72"/>
      <c r="Q187" s="72"/>
      <c r="R187" s="72"/>
      <c r="S187" s="72"/>
      <c r="T187" s="72"/>
      <c r="U187" s="72"/>
      <c r="V187" s="72"/>
      <c r="W187" s="72"/>
      <c r="X187" s="72"/>
      <c r="Y187" s="72"/>
      <c r="Z187" s="72"/>
      <c r="AA187" s="72"/>
      <c r="AB187" s="72"/>
      <c r="AC187" s="72"/>
      <c r="AD187" s="72"/>
      <c r="AE187" s="72"/>
      <c r="AF187" s="72"/>
      <c r="AG187" s="72"/>
      <c r="AH187" s="72"/>
      <c r="AI187" s="72"/>
      <c r="AJ187" s="72"/>
      <c r="AK187" s="72"/>
      <c r="AL187" s="72"/>
      <c r="AM187" s="72"/>
      <c r="AN187" s="72"/>
      <c r="AO187" s="72"/>
      <c r="AP187" s="72"/>
      <c r="AQ187" s="72"/>
      <c r="AR187" s="72"/>
      <c r="AS187" s="72"/>
      <c r="AT187" s="72"/>
      <c r="AU187" s="72"/>
      <c r="AV187" s="72"/>
    </row>
    <row r="188" spans="1:48" s="37" customFormat="1" ht="16.5" x14ac:dyDescent="0.3">
      <c r="A188" s="72"/>
      <c r="B188" s="72"/>
      <c r="C188" s="72"/>
      <c r="D188" s="72"/>
      <c r="E188" s="72"/>
      <c r="F188" s="72"/>
      <c r="G188" s="72"/>
      <c r="H188" s="72"/>
      <c r="I188" s="72"/>
      <c r="J188" s="72"/>
      <c r="K188" s="72"/>
      <c r="L188" s="72"/>
      <c r="M188" s="72"/>
      <c r="N188" s="72"/>
      <c r="O188" s="72"/>
      <c r="P188" s="72"/>
      <c r="Q188" s="72"/>
      <c r="R188" s="72"/>
      <c r="S188" s="72"/>
      <c r="T188" s="72"/>
      <c r="U188" s="72"/>
      <c r="V188" s="72"/>
      <c r="W188" s="72"/>
      <c r="X188" s="72"/>
      <c r="Y188" s="72"/>
      <c r="Z188" s="72"/>
      <c r="AA188" s="72"/>
      <c r="AB188" s="72"/>
      <c r="AC188" s="72"/>
      <c r="AD188" s="72"/>
      <c r="AE188" s="72"/>
      <c r="AF188" s="72"/>
      <c r="AG188" s="72"/>
      <c r="AH188" s="72"/>
      <c r="AI188" s="72"/>
      <c r="AJ188" s="72"/>
      <c r="AK188" s="72"/>
      <c r="AL188" s="72"/>
      <c r="AM188" s="72"/>
      <c r="AN188" s="72"/>
      <c r="AO188" s="72"/>
      <c r="AP188" s="72"/>
      <c r="AQ188" s="72"/>
      <c r="AR188" s="72"/>
      <c r="AS188" s="72"/>
      <c r="AT188" s="72"/>
      <c r="AU188" s="72"/>
      <c r="AV188" s="72"/>
    </row>
    <row r="189" spans="1:48" s="37" customFormat="1" ht="16.5" x14ac:dyDescent="0.3">
      <c r="A189" s="72"/>
      <c r="B189" s="72"/>
      <c r="C189" s="72"/>
      <c r="D189" s="72"/>
      <c r="E189" s="72"/>
      <c r="F189" s="72"/>
      <c r="G189" s="72"/>
      <c r="H189" s="72"/>
      <c r="I189" s="72"/>
      <c r="J189" s="72"/>
      <c r="K189" s="72"/>
      <c r="L189" s="72"/>
      <c r="M189" s="72"/>
      <c r="N189" s="72"/>
      <c r="O189" s="72"/>
      <c r="P189" s="72"/>
      <c r="Q189" s="72"/>
      <c r="R189" s="72"/>
      <c r="S189" s="72"/>
      <c r="T189" s="72"/>
      <c r="U189" s="72"/>
      <c r="V189" s="72"/>
      <c r="W189" s="72"/>
      <c r="X189" s="72"/>
      <c r="Y189" s="72"/>
      <c r="Z189" s="72"/>
      <c r="AA189" s="72"/>
      <c r="AB189" s="72"/>
      <c r="AC189" s="72"/>
      <c r="AD189" s="72"/>
      <c r="AE189" s="72"/>
      <c r="AF189" s="72"/>
      <c r="AG189" s="72"/>
      <c r="AH189" s="72"/>
      <c r="AI189" s="72"/>
      <c r="AJ189" s="72"/>
      <c r="AK189" s="72"/>
      <c r="AL189" s="72"/>
      <c r="AM189" s="72"/>
      <c r="AN189" s="72"/>
      <c r="AO189" s="72"/>
      <c r="AP189" s="72"/>
      <c r="AQ189" s="72"/>
      <c r="AR189" s="72"/>
      <c r="AS189" s="72"/>
      <c r="AT189" s="72"/>
      <c r="AU189" s="72"/>
      <c r="AV189" s="72"/>
    </row>
    <row r="190" spans="1:48" s="37" customFormat="1" ht="16.5" x14ac:dyDescent="0.3">
      <c r="A190" s="72"/>
      <c r="B190" s="72"/>
      <c r="C190" s="72"/>
      <c r="D190" s="72"/>
      <c r="E190" s="72"/>
      <c r="F190" s="72"/>
      <c r="G190" s="72"/>
      <c r="H190" s="72"/>
      <c r="I190" s="72"/>
      <c r="J190" s="72"/>
      <c r="K190" s="72"/>
      <c r="L190" s="72"/>
      <c r="M190" s="72"/>
      <c r="N190" s="72"/>
      <c r="O190" s="72"/>
      <c r="P190" s="72"/>
      <c r="Q190" s="72"/>
      <c r="R190" s="72"/>
      <c r="S190" s="72"/>
      <c r="T190" s="72"/>
      <c r="U190" s="72"/>
      <c r="V190" s="72"/>
      <c r="W190" s="72"/>
      <c r="X190" s="72"/>
      <c r="Y190" s="72"/>
      <c r="Z190" s="72"/>
      <c r="AA190" s="72"/>
      <c r="AB190" s="72"/>
      <c r="AC190" s="72"/>
      <c r="AD190" s="72"/>
      <c r="AE190" s="72"/>
      <c r="AF190" s="72"/>
      <c r="AG190" s="72"/>
      <c r="AH190" s="72"/>
      <c r="AI190" s="72"/>
      <c r="AJ190" s="72"/>
      <c r="AK190" s="72"/>
      <c r="AL190" s="72"/>
      <c r="AM190" s="72"/>
      <c r="AN190" s="72"/>
      <c r="AO190" s="72"/>
      <c r="AP190" s="72"/>
      <c r="AQ190" s="72"/>
      <c r="AR190" s="72"/>
      <c r="AS190" s="72"/>
      <c r="AT190" s="72"/>
      <c r="AU190" s="72"/>
      <c r="AV190" s="72"/>
    </row>
    <row r="191" spans="1:48" s="37" customFormat="1" ht="16.5" x14ac:dyDescent="0.3">
      <c r="A191" s="72"/>
      <c r="B191" s="72"/>
      <c r="C191" s="72"/>
      <c r="D191" s="72"/>
      <c r="E191" s="72"/>
      <c r="F191" s="72"/>
      <c r="G191" s="72"/>
      <c r="H191" s="72"/>
      <c r="I191" s="72"/>
      <c r="J191" s="72"/>
      <c r="K191" s="72"/>
      <c r="L191" s="72"/>
      <c r="M191" s="72"/>
      <c r="N191" s="72"/>
      <c r="O191" s="72"/>
      <c r="P191" s="72"/>
      <c r="Q191" s="72"/>
      <c r="R191" s="72"/>
      <c r="S191" s="72"/>
      <c r="T191" s="72"/>
      <c r="U191" s="72"/>
      <c r="V191" s="72"/>
      <c r="W191" s="72"/>
      <c r="X191" s="72"/>
      <c r="Y191" s="72"/>
      <c r="Z191" s="72"/>
      <c r="AA191" s="72"/>
      <c r="AB191" s="72"/>
      <c r="AC191" s="72"/>
      <c r="AD191" s="72"/>
      <c r="AE191" s="72"/>
      <c r="AF191" s="72"/>
      <c r="AG191" s="72"/>
      <c r="AH191" s="72"/>
      <c r="AI191" s="72"/>
      <c r="AJ191" s="72"/>
      <c r="AK191" s="72"/>
      <c r="AL191" s="72"/>
      <c r="AM191" s="72"/>
      <c r="AN191" s="72"/>
      <c r="AO191" s="72"/>
      <c r="AP191" s="72"/>
      <c r="AQ191" s="72"/>
      <c r="AR191" s="72"/>
      <c r="AS191" s="72"/>
      <c r="AT191" s="72"/>
      <c r="AU191" s="72"/>
      <c r="AV191" s="72"/>
    </row>
    <row r="192" spans="1:48" s="37" customFormat="1" ht="16.5" x14ac:dyDescent="0.3">
      <c r="A192" s="72"/>
      <c r="B192" s="72"/>
      <c r="C192" s="72"/>
      <c r="D192" s="72"/>
      <c r="E192" s="72"/>
      <c r="F192" s="72"/>
      <c r="G192" s="72"/>
      <c r="H192" s="72"/>
      <c r="I192" s="72"/>
      <c r="J192" s="72"/>
      <c r="K192" s="72"/>
      <c r="L192" s="72"/>
      <c r="M192" s="72"/>
      <c r="N192" s="72"/>
      <c r="O192" s="72"/>
      <c r="P192" s="72"/>
      <c r="Q192" s="72"/>
      <c r="R192" s="72"/>
      <c r="S192" s="72"/>
      <c r="T192" s="72"/>
      <c r="U192" s="72"/>
      <c r="V192" s="72"/>
      <c r="W192" s="72"/>
      <c r="X192" s="72"/>
      <c r="Y192" s="72"/>
      <c r="Z192" s="72"/>
      <c r="AA192" s="72"/>
      <c r="AB192" s="72"/>
      <c r="AC192" s="72"/>
      <c r="AD192" s="72"/>
      <c r="AE192" s="72"/>
      <c r="AF192" s="72"/>
      <c r="AG192" s="72"/>
      <c r="AH192" s="72"/>
      <c r="AI192" s="72"/>
      <c r="AJ192" s="72"/>
      <c r="AK192" s="72"/>
      <c r="AL192" s="72"/>
      <c r="AM192" s="72"/>
      <c r="AN192" s="72"/>
      <c r="AO192" s="72"/>
      <c r="AP192" s="72"/>
      <c r="AQ192" s="72"/>
      <c r="AR192" s="72"/>
      <c r="AS192" s="72"/>
      <c r="AT192" s="72"/>
      <c r="AU192" s="72"/>
      <c r="AV192" s="72"/>
    </row>
    <row r="193" spans="1:48" s="37" customFormat="1" ht="16.5" x14ac:dyDescent="0.3">
      <c r="A193" s="72"/>
      <c r="B193" s="72"/>
      <c r="C193" s="72"/>
      <c r="D193" s="72"/>
      <c r="E193" s="72"/>
      <c r="F193" s="72"/>
      <c r="G193" s="72"/>
      <c r="H193" s="72"/>
      <c r="I193" s="72"/>
      <c r="J193" s="72"/>
      <c r="K193" s="72"/>
      <c r="L193" s="72"/>
      <c r="M193" s="72"/>
      <c r="N193" s="72"/>
      <c r="O193" s="72"/>
      <c r="P193" s="72"/>
      <c r="Q193" s="72"/>
      <c r="R193" s="72"/>
      <c r="S193" s="72"/>
      <c r="T193" s="72"/>
      <c r="U193" s="72"/>
      <c r="V193" s="72"/>
      <c r="W193" s="72"/>
      <c r="X193" s="72"/>
      <c r="Y193" s="72"/>
      <c r="Z193" s="72"/>
      <c r="AA193" s="72"/>
      <c r="AB193" s="72"/>
      <c r="AC193" s="72"/>
      <c r="AD193" s="72"/>
      <c r="AE193" s="72"/>
      <c r="AF193" s="72"/>
      <c r="AG193" s="72"/>
      <c r="AH193" s="72"/>
      <c r="AI193" s="72"/>
      <c r="AJ193" s="72"/>
      <c r="AK193" s="72"/>
      <c r="AL193" s="72"/>
      <c r="AM193" s="72"/>
      <c r="AN193" s="72"/>
      <c r="AO193" s="72"/>
      <c r="AP193" s="72"/>
      <c r="AQ193" s="72"/>
      <c r="AR193" s="72"/>
      <c r="AS193" s="72"/>
      <c r="AT193" s="72"/>
      <c r="AU193" s="72"/>
      <c r="AV193" s="72"/>
    </row>
    <row r="194" spans="1:48" s="37" customFormat="1" ht="16.5" x14ac:dyDescent="0.3">
      <c r="A194" s="72"/>
      <c r="B194" s="72"/>
      <c r="C194" s="72"/>
      <c r="D194" s="72"/>
      <c r="E194" s="72"/>
      <c r="F194" s="72"/>
      <c r="G194" s="72"/>
      <c r="H194" s="72"/>
      <c r="I194" s="72"/>
      <c r="J194" s="72"/>
      <c r="K194" s="72"/>
      <c r="L194" s="72"/>
      <c r="M194" s="72"/>
      <c r="N194" s="72"/>
      <c r="O194" s="72"/>
      <c r="P194" s="72"/>
      <c r="Q194" s="72"/>
      <c r="R194" s="72"/>
      <c r="S194" s="72"/>
      <c r="T194" s="72"/>
      <c r="U194" s="72"/>
      <c r="V194" s="72"/>
      <c r="W194" s="72"/>
      <c r="X194" s="72"/>
      <c r="Y194" s="72"/>
      <c r="Z194" s="72"/>
      <c r="AA194" s="72"/>
      <c r="AB194" s="72"/>
      <c r="AC194" s="72"/>
      <c r="AD194" s="72"/>
      <c r="AE194" s="72"/>
      <c r="AF194" s="72"/>
      <c r="AG194" s="72"/>
      <c r="AH194" s="72"/>
      <c r="AI194" s="72"/>
      <c r="AJ194" s="72"/>
      <c r="AK194" s="72"/>
      <c r="AL194" s="72"/>
      <c r="AM194" s="72"/>
      <c r="AN194" s="72"/>
      <c r="AO194" s="72"/>
      <c r="AP194" s="72"/>
      <c r="AQ194" s="72"/>
      <c r="AR194" s="72"/>
      <c r="AS194" s="72"/>
      <c r="AT194" s="72"/>
      <c r="AU194" s="72"/>
      <c r="AV194" s="72"/>
    </row>
    <row r="195" spans="1:48" s="37" customFormat="1" ht="16.5" x14ac:dyDescent="0.3">
      <c r="A195" s="72"/>
      <c r="B195" s="72"/>
      <c r="C195" s="72"/>
      <c r="D195" s="72"/>
      <c r="E195" s="72"/>
      <c r="F195" s="72"/>
      <c r="G195" s="72"/>
      <c r="H195" s="72"/>
      <c r="I195" s="72"/>
      <c r="J195" s="72"/>
      <c r="K195" s="72"/>
      <c r="L195" s="72"/>
      <c r="M195" s="72"/>
      <c r="N195" s="72"/>
      <c r="O195" s="72"/>
      <c r="P195" s="72"/>
      <c r="Q195" s="72"/>
      <c r="R195" s="72"/>
      <c r="S195" s="72"/>
      <c r="T195" s="72"/>
      <c r="U195" s="72"/>
      <c r="V195" s="72"/>
      <c r="W195" s="72"/>
      <c r="X195" s="72"/>
      <c r="Y195" s="72"/>
      <c r="Z195" s="72"/>
      <c r="AA195" s="72"/>
      <c r="AB195" s="72"/>
      <c r="AC195" s="72"/>
      <c r="AD195" s="72"/>
      <c r="AE195" s="72"/>
      <c r="AF195" s="72"/>
      <c r="AG195" s="72"/>
      <c r="AH195" s="72"/>
      <c r="AI195" s="72"/>
      <c r="AJ195" s="72"/>
      <c r="AK195" s="72"/>
      <c r="AL195" s="72"/>
      <c r="AM195" s="72"/>
      <c r="AN195" s="72"/>
      <c r="AO195" s="72"/>
      <c r="AP195" s="72"/>
      <c r="AQ195" s="72"/>
      <c r="AR195" s="72"/>
      <c r="AS195" s="72"/>
      <c r="AT195" s="72"/>
      <c r="AU195" s="72"/>
      <c r="AV195" s="72"/>
    </row>
    <row r="196" spans="1:48" s="37" customFormat="1" ht="16.5" x14ac:dyDescent="0.3">
      <c r="A196" s="72"/>
      <c r="B196" s="72"/>
      <c r="C196" s="72"/>
      <c r="D196" s="72"/>
      <c r="E196" s="72"/>
      <c r="F196" s="72"/>
      <c r="G196" s="72"/>
      <c r="H196" s="72"/>
      <c r="I196" s="72"/>
      <c r="J196" s="72"/>
      <c r="K196" s="72"/>
      <c r="L196" s="72"/>
      <c r="M196" s="72"/>
      <c r="N196" s="72"/>
      <c r="O196" s="72"/>
      <c r="P196" s="72"/>
      <c r="Q196" s="72"/>
      <c r="R196" s="72"/>
      <c r="S196" s="72"/>
      <c r="T196" s="72"/>
      <c r="U196" s="72"/>
      <c r="V196" s="72"/>
      <c r="W196" s="72"/>
      <c r="X196" s="72"/>
      <c r="Y196" s="72"/>
      <c r="Z196" s="72"/>
      <c r="AA196" s="72"/>
      <c r="AB196" s="72"/>
      <c r="AC196" s="72"/>
      <c r="AD196" s="72"/>
      <c r="AE196" s="72"/>
      <c r="AF196" s="72"/>
      <c r="AG196" s="72"/>
      <c r="AH196" s="72"/>
      <c r="AI196" s="72"/>
      <c r="AJ196" s="72"/>
      <c r="AK196" s="72"/>
      <c r="AL196" s="72"/>
      <c r="AM196" s="72"/>
      <c r="AN196" s="72"/>
      <c r="AO196" s="72"/>
      <c r="AP196" s="72"/>
      <c r="AQ196" s="72"/>
      <c r="AR196" s="72"/>
      <c r="AS196" s="72"/>
      <c r="AT196" s="72"/>
      <c r="AU196" s="72"/>
      <c r="AV196" s="72"/>
    </row>
    <row r="197" spans="1:48" s="37" customFormat="1" ht="16.5" x14ac:dyDescent="0.3">
      <c r="A197" s="72"/>
      <c r="B197" s="72"/>
      <c r="C197" s="72"/>
      <c r="D197" s="72"/>
      <c r="E197" s="72"/>
      <c r="F197" s="72"/>
      <c r="G197" s="72"/>
      <c r="H197" s="72"/>
      <c r="I197" s="72"/>
      <c r="J197" s="72"/>
      <c r="K197" s="72"/>
      <c r="L197" s="72"/>
      <c r="M197" s="72"/>
      <c r="N197" s="72"/>
      <c r="O197" s="72"/>
      <c r="P197" s="72"/>
      <c r="Q197" s="72"/>
      <c r="R197" s="72"/>
      <c r="S197" s="72"/>
      <c r="T197" s="72"/>
      <c r="U197" s="72"/>
      <c r="V197" s="72"/>
      <c r="W197" s="72"/>
      <c r="X197" s="72"/>
      <c r="Y197" s="72"/>
      <c r="Z197" s="72"/>
      <c r="AA197" s="72"/>
      <c r="AB197" s="72"/>
      <c r="AC197" s="72"/>
      <c r="AD197" s="72"/>
      <c r="AE197" s="72"/>
      <c r="AF197" s="72"/>
      <c r="AG197" s="72"/>
      <c r="AH197" s="72"/>
      <c r="AI197" s="72"/>
      <c r="AJ197" s="72"/>
      <c r="AK197" s="72"/>
      <c r="AL197" s="72"/>
      <c r="AM197" s="72"/>
      <c r="AN197" s="72"/>
      <c r="AO197" s="72"/>
      <c r="AP197" s="72"/>
      <c r="AQ197" s="72"/>
      <c r="AR197" s="72"/>
      <c r="AS197" s="72"/>
      <c r="AT197" s="72"/>
      <c r="AU197" s="72"/>
      <c r="AV197" s="72"/>
    </row>
    <row r="198" spans="1:48" s="37" customFormat="1" ht="16.5" x14ac:dyDescent="0.3">
      <c r="A198" s="72"/>
      <c r="B198" s="72"/>
      <c r="C198" s="72"/>
      <c r="D198" s="72"/>
      <c r="E198" s="72"/>
      <c r="F198" s="72"/>
      <c r="G198" s="72"/>
      <c r="H198" s="72"/>
      <c r="I198" s="72"/>
      <c r="J198" s="72"/>
      <c r="K198" s="72"/>
      <c r="L198" s="72"/>
      <c r="M198" s="72"/>
      <c r="N198" s="72"/>
      <c r="O198" s="72"/>
      <c r="P198" s="72"/>
      <c r="Q198" s="72"/>
      <c r="R198" s="72"/>
      <c r="S198" s="72"/>
      <c r="T198" s="72"/>
      <c r="U198" s="72"/>
      <c r="V198" s="72"/>
      <c r="W198" s="72"/>
      <c r="X198" s="72"/>
      <c r="Y198" s="72"/>
      <c r="Z198" s="72"/>
      <c r="AA198" s="72"/>
      <c r="AB198" s="72"/>
      <c r="AC198" s="72"/>
      <c r="AD198" s="72"/>
      <c r="AE198" s="72"/>
      <c r="AF198" s="72"/>
      <c r="AG198" s="72"/>
      <c r="AH198" s="72"/>
      <c r="AI198" s="72"/>
      <c r="AJ198" s="72"/>
      <c r="AK198" s="72"/>
      <c r="AL198" s="72"/>
      <c r="AM198" s="72"/>
      <c r="AN198" s="72"/>
      <c r="AO198" s="72"/>
      <c r="AP198" s="72"/>
      <c r="AQ198" s="72"/>
      <c r="AR198" s="72"/>
      <c r="AS198" s="72"/>
      <c r="AT198" s="72"/>
      <c r="AU198" s="72"/>
      <c r="AV198" s="72"/>
    </row>
    <row r="199" spans="1:48" s="37" customFormat="1" ht="16.5" x14ac:dyDescent="0.3">
      <c r="A199" s="72"/>
      <c r="B199" s="72"/>
      <c r="C199" s="72"/>
      <c r="D199" s="72"/>
      <c r="E199" s="72"/>
      <c r="F199" s="72"/>
      <c r="G199" s="72"/>
      <c r="H199" s="72"/>
      <c r="I199" s="72"/>
      <c r="J199" s="72"/>
      <c r="K199" s="72"/>
      <c r="L199" s="72"/>
      <c r="M199" s="72"/>
      <c r="N199" s="72"/>
      <c r="O199" s="72"/>
      <c r="P199" s="72"/>
      <c r="Q199" s="72"/>
      <c r="R199" s="72"/>
      <c r="S199" s="72"/>
      <c r="T199" s="72"/>
      <c r="U199" s="72"/>
      <c r="V199" s="72"/>
      <c r="W199" s="72"/>
      <c r="X199" s="72"/>
      <c r="Y199" s="72"/>
      <c r="Z199" s="72"/>
      <c r="AA199" s="72"/>
      <c r="AB199" s="72"/>
      <c r="AC199" s="72"/>
      <c r="AD199" s="72"/>
      <c r="AE199" s="72"/>
      <c r="AF199" s="72"/>
      <c r="AG199" s="72"/>
      <c r="AH199" s="72"/>
      <c r="AI199" s="72"/>
      <c r="AJ199" s="72"/>
      <c r="AK199" s="72"/>
      <c r="AL199" s="72"/>
      <c r="AM199" s="72"/>
      <c r="AN199" s="72"/>
      <c r="AO199" s="72"/>
      <c r="AP199" s="72"/>
      <c r="AQ199" s="72"/>
      <c r="AR199" s="72"/>
      <c r="AS199" s="72"/>
      <c r="AT199" s="72"/>
      <c r="AU199" s="72"/>
      <c r="AV199" s="72"/>
    </row>
    <row r="200" spans="1:48" s="37" customFormat="1" ht="16.5" x14ac:dyDescent="0.3">
      <c r="A200" s="72"/>
      <c r="B200" s="72"/>
      <c r="C200" s="72"/>
      <c r="D200" s="72"/>
      <c r="E200" s="72"/>
      <c r="F200" s="72"/>
      <c r="G200" s="72"/>
      <c r="H200" s="72"/>
      <c r="I200" s="72"/>
      <c r="J200" s="72"/>
      <c r="K200" s="72"/>
      <c r="L200" s="72"/>
      <c r="M200" s="72"/>
      <c r="N200" s="72"/>
      <c r="O200" s="72"/>
      <c r="P200" s="72"/>
      <c r="Q200" s="72"/>
      <c r="R200" s="72"/>
      <c r="S200" s="72"/>
      <c r="T200" s="72"/>
      <c r="U200" s="72"/>
      <c r="V200" s="72"/>
      <c r="W200" s="72"/>
      <c r="X200" s="72"/>
      <c r="Y200" s="72"/>
      <c r="Z200" s="72"/>
      <c r="AA200" s="72"/>
      <c r="AB200" s="72"/>
      <c r="AC200" s="72"/>
      <c r="AD200" s="72"/>
      <c r="AE200" s="72"/>
      <c r="AF200" s="72"/>
      <c r="AG200" s="72"/>
      <c r="AH200" s="72"/>
      <c r="AI200" s="72"/>
      <c r="AJ200" s="72"/>
      <c r="AK200" s="72"/>
      <c r="AL200" s="72"/>
      <c r="AM200" s="72"/>
      <c r="AN200" s="72"/>
      <c r="AO200" s="72"/>
      <c r="AP200" s="72"/>
      <c r="AQ200" s="72"/>
      <c r="AR200" s="72"/>
      <c r="AS200" s="72"/>
      <c r="AT200" s="72"/>
      <c r="AU200" s="72"/>
      <c r="AV200" s="72"/>
    </row>
    <row r="201" spans="1:48" s="37" customFormat="1" ht="16.5" x14ac:dyDescent="0.3">
      <c r="A201" s="72"/>
      <c r="B201" s="72"/>
      <c r="C201" s="72"/>
      <c r="D201" s="72"/>
      <c r="E201" s="72"/>
      <c r="F201" s="72"/>
      <c r="G201" s="72"/>
      <c r="H201" s="72"/>
      <c r="I201" s="72"/>
      <c r="J201" s="72"/>
      <c r="K201" s="72"/>
      <c r="L201" s="72"/>
      <c r="M201" s="72"/>
      <c r="N201" s="72"/>
      <c r="O201" s="72"/>
      <c r="P201" s="72"/>
      <c r="Q201" s="72"/>
      <c r="R201" s="72"/>
      <c r="S201" s="72"/>
      <c r="T201" s="72"/>
      <c r="U201" s="72"/>
      <c r="V201" s="72"/>
      <c r="W201" s="72"/>
      <c r="X201" s="72"/>
      <c r="Y201" s="72"/>
      <c r="Z201" s="72"/>
      <c r="AA201" s="72"/>
      <c r="AB201" s="72"/>
      <c r="AC201" s="72"/>
      <c r="AD201" s="72"/>
      <c r="AE201" s="72"/>
      <c r="AF201" s="72"/>
      <c r="AG201" s="72"/>
      <c r="AH201" s="72"/>
      <c r="AI201" s="72"/>
      <c r="AJ201" s="72"/>
      <c r="AK201" s="72"/>
      <c r="AL201" s="72"/>
      <c r="AM201" s="72"/>
      <c r="AN201" s="72"/>
      <c r="AO201" s="72"/>
      <c r="AP201" s="72"/>
      <c r="AQ201" s="72"/>
      <c r="AR201" s="72"/>
      <c r="AS201" s="72"/>
      <c r="AT201" s="72"/>
      <c r="AU201" s="72"/>
      <c r="AV201" s="72"/>
    </row>
    <row r="202" spans="1:48" s="37" customFormat="1" ht="16.5" x14ac:dyDescent="0.3">
      <c r="A202" s="72"/>
      <c r="B202" s="72"/>
      <c r="C202" s="72"/>
      <c r="D202" s="72"/>
      <c r="E202" s="72"/>
      <c r="F202" s="72"/>
      <c r="G202" s="72"/>
      <c r="H202" s="72"/>
      <c r="I202" s="72"/>
      <c r="J202" s="72"/>
      <c r="K202" s="72"/>
      <c r="L202" s="72"/>
      <c r="M202" s="72"/>
      <c r="N202" s="72"/>
      <c r="O202" s="72"/>
      <c r="P202" s="72"/>
      <c r="Q202" s="72"/>
      <c r="R202" s="72"/>
      <c r="S202" s="72"/>
      <c r="T202" s="72"/>
      <c r="U202" s="72"/>
      <c r="V202" s="72"/>
      <c r="W202" s="72"/>
      <c r="X202" s="72"/>
      <c r="Y202" s="72"/>
      <c r="Z202" s="72"/>
      <c r="AA202" s="72"/>
      <c r="AB202" s="72"/>
      <c r="AC202" s="72"/>
      <c r="AD202" s="72"/>
      <c r="AE202" s="72"/>
      <c r="AF202" s="72"/>
      <c r="AG202" s="72"/>
      <c r="AH202" s="72"/>
      <c r="AI202" s="72"/>
      <c r="AJ202" s="72"/>
      <c r="AK202" s="72"/>
      <c r="AL202" s="72"/>
      <c r="AM202" s="72"/>
      <c r="AN202" s="72"/>
      <c r="AO202" s="72"/>
      <c r="AP202" s="72"/>
      <c r="AQ202" s="72"/>
      <c r="AR202" s="72"/>
      <c r="AS202" s="72"/>
      <c r="AT202" s="72"/>
      <c r="AU202" s="72"/>
      <c r="AV202" s="72"/>
    </row>
    <row r="203" spans="1:48" s="37" customFormat="1" ht="16.5" x14ac:dyDescent="0.3">
      <c r="A203" s="72"/>
      <c r="B203" s="72"/>
      <c r="C203" s="72"/>
      <c r="D203" s="72"/>
      <c r="E203" s="72"/>
      <c r="F203" s="72"/>
      <c r="G203" s="72"/>
      <c r="H203" s="72"/>
      <c r="I203" s="72"/>
      <c r="J203" s="72"/>
      <c r="K203" s="72"/>
      <c r="L203" s="72"/>
      <c r="M203" s="72"/>
      <c r="N203" s="72"/>
      <c r="O203" s="72"/>
      <c r="P203" s="72"/>
      <c r="Q203" s="72"/>
      <c r="R203" s="72"/>
      <c r="S203" s="72"/>
      <c r="T203" s="72"/>
      <c r="U203" s="72"/>
      <c r="V203" s="72"/>
      <c r="W203" s="72"/>
      <c r="X203" s="72"/>
      <c r="Y203" s="72"/>
      <c r="Z203" s="72"/>
      <c r="AA203" s="72"/>
      <c r="AB203" s="72"/>
      <c r="AC203" s="72"/>
      <c r="AD203" s="72"/>
      <c r="AE203" s="72"/>
      <c r="AF203" s="72"/>
      <c r="AG203" s="72"/>
      <c r="AH203" s="72"/>
      <c r="AI203" s="72"/>
      <c r="AJ203" s="72"/>
      <c r="AK203" s="72"/>
      <c r="AL203" s="72"/>
      <c r="AM203" s="72"/>
      <c r="AN203" s="72"/>
      <c r="AO203" s="72"/>
      <c r="AP203" s="72"/>
      <c r="AQ203" s="72"/>
      <c r="AR203" s="72"/>
      <c r="AS203" s="72"/>
      <c r="AT203" s="72"/>
      <c r="AU203" s="72"/>
      <c r="AV203" s="72"/>
    </row>
    <row r="204" spans="1:48" s="37" customFormat="1" ht="16.5" x14ac:dyDescent="0.3">
      <c r="A204" s="72"/>
      <c r="B204" s="72"/>
      <c r="C204" s="72"/>
      <c r="D204" s="72"/>
      <c r="E204" s="72"/>
      <c r="F204" s="72"/>
      <c r="G204" s="72"/>
      <c r="H204" s="72"/>
      <c r="I204" s="72"/>
      <c r="J204" s="72"/>
      <c r="K204" s="72"/>
      <c r="L204" s="72"/>
      <c r="M204" s="72"/>
      <c r="N204" s="72"/>
      <c r="O204" s="72"/>
      <c r="P204" s="72"/>
      <c r="Q204" s="72"/>
      <c r="R204" s="72"/>
      <c r="S204" s="72"/>
      <c r="T204" s="72"/>
      <c r="U204" s="72"/>
      <c r="V204" s="72"/>
      <c r="W204" s="72"/>
      <c r="X204" s="72"/>
      <c r="Y204" s="72"/>
      <c r="Z204" s="72"/>
      <c r="AA204" s="72"/>
      <c r="AB204" s="72"/>
      <c r="AC204" s="72"/>
      <c r="AD204" s="72"/>
      <c r="AE204" s="72"/>
      <c r="AF204" s="72"/>
      <c r="AG204" s="72"/>
      <c r="AH204" s="72"/>
      <c r="AI204" s="72"/>
      <c r="AJ204" s="72"/>
      <c r="AK204" s="72"/>
      <c r="AL204" s="72"/>
      <c r="AM204" s="72"/>
      <c r="AN204" s="72"/>
      <c r="AO204" s="72"/>
      <c r="AP204" s="72"/>
      <c r="AQ204" s="72"/>
      <c r="AR204" s="72"/>
      <c r="AS204" s="72"/>
      <c r="AT204" s="72"/>
      <c r="AU204" s="72"/>
      <c r="AV204" s="72"/>
    </row>
    <row r="205" spans="1:48" s="37" customFormat="1" ht="16.5" x14ac:dyDescent="0.3">
      <c r="A205" s="72"/>
      <c r="B205" s="72"/>
      <c r="C205" s="72"/>
      <c r="D205" s="72"/>
      <c r="E205" s="72"/>
      <c r="F205" s="72"/>
      <c r="G205" s="72"/>
      <c r="H205" s="72"/>
      <c r="I205" s="72"/>
      <c r="J205" s="72"/>
      <c r="K205" s="72"/>
      <c r="L205" s="72"/>
      <c r="M205" s="72"/>
      <c r="N205" s="72"/>
      <c r="O205" s="72"/>
      <c r="P205" s="72"/>
      <c r="Q205" s="72"/>
      <c r="R205" s="72"/>
      <c r="S205" s="72"/>
      <c r="T205" s="72"/>
      <c r="U205" s="72"/>
      <c r="V205" s="72"/>
      <c r="W205" s="72"/>
      <c r="X205" s="72"/>
      <c r="Y205" s="72"/>
      <c r="Z205" s="72"/>
      <c r="AA205" s="72"/>
      <c r="AB205" s="72"/>
      <c r="AC205" s="72"/>
      <c r="AD205" s="72"/>
      <c r="AE205" s="72"/>
      <c r="AF205" s="72"/>
      <c r="AG205" s="72"/>
      <c r="AH205" s="72"/>
      <c r="AI205" s="72"/>
      <c r="AJ205" s="72"/>
      <c r="AK205" s="72"/>
      <c r="AL205" s="72"/>
      <c r="AM205" s="72"/>
      <c r="AN205" s="72"/>
      <c r="AO205" s="72"/>
      <c r="AP205" s="72"/>
      <c r="AQ205" s="72"/>
      <c r="AR205" s="72"/>
      <c r="AS205" s="72"/>
      <c r="AT205" s="72"/>
      <c r="AU205" s="72"/>
      <c r="AV205" s="72"/>
    </row>
    <row r="206" spans="1:48" s="37" customFormat="1" ht="16.5" x14ac:dyDescent="0.3">
      <c r="A206" s="72"/>
      <c r="B206" s="72"/>
      <c r="C206" s="72"/>
      <c r="D206" s="72"/>
      <c r="E206" s="72"/>
      <c r="F206" s="72"/>
      <c r="G206" s="72"/>
      <c r="H206" s="72"/>
      <c r="I206" s="72"/>
      <c r="J206" s="72"/>
      <c r="K206" s="72"/>
      <c r="L206" s="72"/>
      <c r="M206" s="72"/>
      <c r="N206" s="72"/>
      <c r="O206" s="72"/>
      <c r="P206" s="72"/>
      <c r="Q206" s="72"/>
      <c r="R206" s="72"/>
      <c r="S206" s="72"/>
      <c r="T206" s="72"/>
      <c r="U206" s="72"/>
      <c r="V206" s="72"/>
      <c r="W206" s="72"/>
      <c r="X206" s="72"/>
      <c r="Y206" s="72"/>
      <c r="Z206" s="72"/>
      <c r="AA206" s="72"/>
      <c r="AB206" s="72"/>
      <c r="AC206" s="72"/>
      <c r="AD206" s="72"/>
      <c r="AE206" s="72"/>
      <c r="AF206" s="72"/>
      <c r="AG206" s="72"/>
      <c r="AH206" s="72"/>
      <c r="AI206" s="72"/>
      <c r="AJ206" s="72"/>
      <c r="AK206" s="72"/>
      <c r="AL206" s="72"/>
      <c r="AM206" s="72"/>
      <c r="AN206" s="72"/>
      <c r="AO206" s="72"/>
      <c r="AP206" s="72"/>
      <c r="AQ206" s="72"/>
      <c r="AR206" s="72"/>
      <c r="AS206" s="72"/>
      <c r="AT206" s="72"/>
      <c r="AU206" s="72"/>
      <c r="AV206" s="72"/>
    </row>
    <row r="207" spans="1:48" s="37" customFormat="1" ht="16.5" x14ac:dyDescent="0.3">
      <c r="A207" s="72"/>
      <c r="B207" s="72"/>
      <c r="C207" s="72"/>
      <c r="D207" s="72"/>
      <c r="E207" s="72"/>
      <c r="F207" s="72"/>
      <c r="G207" s="72"/>
      <c r="H207" s="72"/>
      <c r="I207" s="72"/>
      <c r="J207" s="72"/>
      <c r="K207" s="72"/>
      <c r="L207" s="72"/>
      <c r="M207" s="72"/>
      <c r="N207" s="72"/>
      <c r="O207" s="72"/>
      <c r="P207" s="72"/>
      <c r="Q207" s="72"/>
      <c r="R207" s="72"/>
      <c r="S207" s="72"/>
      <c r="T207" s="72"/>
      <c r="U207" s="72"/>
      <c r="V207" s="72"/>
      <c r="W207" s="72"/>
      <c r="X207" s="72"/>
      <c r="Y207" s="72"/>
      <c r="Z207" s="72"/>
      <c r="AA207" s="72"/>
      <c r="AB207" s="72"/>
      <c r="AC207" s="72"/>
      <c r="AD207" s="72"/>
      <c r="AE207" s="72"/>
      <c r="AF207" s="72"/>
      <c r="AG207" s="72"/>
      <c r="AH207" s="72"/>
      <c r="AI207" s="72"/>
      <c r="AJ207" s="72"/>
      <c r="AK207" s="72"/>
      <c r="AL207" s="72"/>
      <c r="AM207" s="72"/>
      <c r="AN207" s="72"/>
      <c r="AO207" s="72"/>
      <c r="AP207" s="72"/>
      <c r="AQ207" s="72"/>
      <c r="AR207" s="72"/>
      <c r="AS207" s="72"/>
      <c r="AT207" s="72"/>
      <c r="AU207" s="72"/>
      <c r="AV207" s="72"/>
    </row>
    <row r="208" spans="1:48" s="37" customFormat="1" ht="16.5" x14ac:dyDescent="0.3">
      <c r="A208" s="72"/>
      <c r="B208" s="72"/>
      <c r="C208" s="72"/>
      <c r="D208" s="72"/>
      <c r="E208" s="72"/>
      <c r="F208" s="72"/>
      <c r="G208" s="72"/>
      <c r="H208" s="72"/>
      <c r="I208" s="72"/>
      <c r="J208" s="72"/>
      <c r="K208" s="72"/>
      <c r="L208" s="72"/>
      <c r="M208" s="72"/>
      <c r="N208" s="72"/>
      <c r="O208" s="72"/>
      <c r="P208" s="72"/>
      <c r="Q208" s="72"/>
      <c r="R208" s="72"/>
      <c r="S208" s="72"/>
      <c r="T208" s="72"/>
      <c r="U208" s="72"/>
      <c r="V208" s="72"/>
      <c r="W208" s="72"/>
      <c r="X208" s="72"/>
      <c r="Y208" s="72"/>
      <c r="Z208" s="72"/>
      <c r="AA208" s="72"/>
      <c r="AB208" s="72"/>
      <c r="AC208" s="72"/>
      <c r="AD208" s="72"/>
      <c r="AE208" s="72"/>
      <c r="AF208" s="72"/>
      <c r="AG208" s="72"/>
      <c r="AH208" s="72"/>
      <c r="AI208" s="72"/>
      <c r="AJ208" s="72"/>
      <c r="AK208" s="72"/>
      <c r="AL208" s="72"/>
      <c r="AM208" s="72"/>
      <c r="AN208" s="72"/>
      <c r="AO208" s="72"/>
      <c r="AP208" s="72"/>
      <c r="AQ208" s="72"/>
      <c r="AR208" s="72"/>
      <c r="AS208" s="72"/>
      <c r="AT208" s="72"/>
      <c r="AU208" s="72"/>
      <c r="AV208" s="72"/>
    </row>
    <row r="209" spans="1:48" s="37" customFormat="1" ht="16.5" x14ac:dyDescent="0.3">
      <c r="A209" s="72"/>
      <c r="B209" s="72"/>
      <c r="C209" s="72"/>
      <c r="D209" s="72"/>
      <c r="E209" s="72"/>
      <c r="F209" s="72"/>
      <c r="G209" s="72"/>
      <c r="H209" s="72"/>
      <c r="I209" s="72"/>
      <c r="J209" s="72"/>
      <c r="K209" s="72"/>
      <c r="L209" s="72"/>
      <c r="M209" s="72"/>
      <c r="N209" s="72"/>
      <c r="O209" s="72"/>
      <c r="P209" s="72"/>
      <c r="Q209" s="72"/>
      <c r="R209" s="72"/>
      <c r="S209" s="72"/>
      <c r="T209" s="72"/>
      <c r="U209" s="72"/>
      <c r="V209" s="72"/>
      <c r="W209" s="72"/>
      <c r="X209" s="72"/>
      <c r="Y209" s="72"/>
      <c r="Z209" s="72"/>
      <c r="AA209" s="72"/>
      <c r="AB209" s="72"/>
      <c r="AC209" s="72"/>
      <c r="AD209" s="72"/>
      <c r="AE209" s="72"/>
      <c r="AF209" s="72"/>
      <c r="AG209" s="72"/>
      <c r="AH209" s="72"/>
      <c r="AI209" s="72"/>
      <c r="AJ209" s="72"/>
      <c r="AK209" s="72"/>
      <c r="AL209" s="72"/>
      <c r="AM209" s="72"/>
      <c r="AN209" s="72"/>
      <c r="AO209" s="72"/>
      <c r="AP209" s="72"/>
      <c r="AQ209" s="72"/>
      <c r="AR209" s="72"/>
      <c r="AS209" s="72"/>
      <c r="AT209" s="72"/>
      <c r="AU209" s="72"/>
      <c r="AV209" s="72"/>
    </row>
    <row r="210" spans="1:48" s="37" customFormat="1" ht="16.5" x14ac:dyDescent="0.3">
      <c r="A210" s="72"/>
      <c r="B210" s="72"/>
      <c r="C210" s="72"/>
      <c r="D210" s="72"/>
      <c r="E210" s="72"/>
      <c r="F210" s="72"/>
      <c r="G210" s="72"/>
      <c r="H210" s="72"/>
      <c r="I210" s="72"/>
      <c r="J210" s="72"/>
      <c r="K210" s="72"/>
      <c r="L210" s="72"/>
      <c r="M210" s="72"/>
      <c r="N210" s="72"/>
      <c r="O210" s="72"/>
      <c r="P210" s="72"/>
      <c r="Q210" s="72"/>
      <c r="R210" s="72"/>
      <c r="S210" s="72"/>
      <c r="T210" s="72"/>
      <c r="U210" s="72"/>
      <c r="V210" s="72"/>
      <c r="W210" s="72"/>
      <c r="X210" s="72"/>
      <c r="Y210" s="72"/>
      <c r="Z210" s="72"/>
      <c r="AA210" s="72"/>
      <c r="AB210" s="72"/>
      <c r="AC210" s="72"/>
      <c r="AD210" s="72"/>
      <c r="AE210" s="72"/>
      <c r="AF210" s="72"/>
      <c r="AG210" s="72"/>
      <c r="AH210" s="72"/>
      <c r="AI210" s="72"/>
      <c r="AJ210" s="72"/>
      <c r="AK210" s="72"/>
      <c r="AL210" s="72"/>
      <c r="AM210" s="72"/>
      <c r="AN210" s="72"/>
      <c r="AO210" s="72"/>
      <c r="AP210" s="72"/>
      <c r="AQ210" s="72"/>
      <c r="AR210" s="72"/>
      <c r="AS210" s="72"/>
      <c r="AT210" s="72"/>
      <c r="AU210" s="72"/>
      <c r="AV210" s="72"/>
    </row>
    <row r="211" spans="1:48" s="37" customFormat="1" ht="16.5" x14ac:dyDescent="0.3">
      <c r="A211" s="72"/>
      <c r="B211" s="72"/>
      <c r="C211" s="72"/>
      <c r="D211" s="72"/>
      <c r="E211" s="72"/>
      <c r="F211" s="72"/>
      <c r="G211" s="72"/>
      <c r="H211" s="72"/>
      <c r="I211" s="72"/>
      <c r="J211" s="72"/>
      <c r="K211" s="72"/>
      <c r="L211" s="72"/>
      <c r="M211" s="72"/>
      <c r="N211" s="72"/>
      <c r="O211" s="72"/>
      <c r="P211" s="72"/>
      <c r="Q211" s="72"/>
      <c r="R211" s="72"/>
      <c r="S211" s="72"/>
      <c r="T211" s="72"/>
      <c r="U211" s="72"/>
      <c r="V211" s="72"/>
      <c r="W211" s="72"/>
      <c r="X211" s="72"/>
      <c r="Y211" s="72"/>
      <c r="Z211" s="72"/>
      <c r="AA211" s="72"/>
      <c r="AB211" s="72"/>
      <c r="AC211" s="72"/>
      <c r="AD211" s="72"/>
      <c r="AE211" s="72"/>
      <c r="AF211" s="72"/>
      <c r="AG211" s="72"/>
      <c r="AH211" s="72"/>
      <c r="AI211" s="72"/>
      <c r="AJ211" s="72"/>
      <c r="AK211" s="72"/>
      <c r="AL211" s="72"/>
      <c r="AM211" s="72"/>
      <c r="AN211" s="72"/>
      <c r="AO211" s="72"/>
      <c r="AP211" s="72"/>
      <c r="AQ211" s="72"/>
      <c r="AR211" s="72"/>
      <c r="AS211" s="72"/>
      <c r="AT211" s="72"/>
      <c r="AU211" s="72"/>
      <c r="AV211" s="72"/>
    </row>
    <row r="212" spans="1:48" s="37" customFormat="1" ht="16.5" x14ac:dyDescent="0.3">
      <c r="A212" s="72"/>
      <c r="B212" s="72"/>
      <c r="C212" s="72"/>
      <c r="D212" s="72"/>
      <c r="E212" s="72"/>
      <c r="F212" s="72"/>
      <c r="G212" s="72"/>
      <c r="H212" s="72"/>
      <c r="I212" s="72"/>
      <c r="J212" s="72"/>
      <c r="K212" s="72"/>
      <c r="L212" s="72"/>
      <c r="M212" s="72"/>
      <c r="N212" s="72"/>
      <c r="O212" s="72"/>
      <c r="P212" s="72"/>
      <c r="Q212" s="72"/>
      <c r="R212" s="72"/>
      <c r="S212" s="72"/>
      <c r="T212" s="72"/>
      <c r="U212" s="72"/>
      <c r="V212" s="72"/>
      <c r="W212" s="72"/>
      <c r="X212" s="72"/>
      <c r="Y212" s="72"/>
      <c r="Z212" s="72"/>
      <c r="AA212" s="72"/>
      <c r="AB212" s="72"/>
      <c r="AC212" s="72"/>
      <c r="AD212" s="72"/>
      <c r="AE212" s="72"/>
      <c r="AF212" s="72"/>
      <c r="AG212" s="72"/>
      <c r="AH212" s="72"/>
      <c r="AI212" s="72"/>
      <c r="AJ212" s="72"/>
      <c r="AK212" s="72"/>
      <c r="AL212" s="72"/>
      <c r="AM212" s="72"/>
      <c r="AN212" s="72"/>
      <c r="AO212" s="72"/>
      <c r="AP212" s="72"/>
      <c r="AQ212" s="72"/>
      <c r="AR212" s="72"/>
      <c r="AS212" s="72"/>
      <c r="AT212" s="72"/>
      <c r="AU212" s="72"/>
      <c r="AV212" s="72"/>
    </row>
    <row r="213" spans="1:48" s="37" customFormat="1" ht="16.5" x14ac:dyDescent="0.3">
      <c r="A213" s="72"/>
      <c r="B213" s="72"/>
      <c r="C213" s="72"/>
      <c r="D213" s="72"/>
      <c r="E213" s="72"/>
      <c r="F213" s="72"/>
      <c r="G213" s="72"/>
      <c r="H213" s="72"/>
      <c r="I213" s="72"/>
      <c r="J213" s="72"/>
      <c r="K213" s="72"/>
      <c r="L213" s="72"/>
      <c r="M213" s="72"/>
      <c r="N213" s="72"/>
      <c r="O213" s="72"/>
      <c r="P213" s="72"/>
      <c r="Q213" s="72"/>
      <c r="R213" s="72"/>
      <c r="S213" s="72"/>
      <c r="T213" s="72"/>
      <c r="U213" s="72"/>
      <c r="V213" s="72"/>
      <c r="W213" s="72"/>
      <c r="X213" s="72"/>
      <c r="Y213" s="72"/>
      <c r="Z213" s="72"/>
      <c r="AA213" s="72"/>
      <c r="AB213" s="72"/>
      <c r="AC213" s="72"/>
      <c r="AD213" s="72"/>
      <c r="AE213" s="72"/>
      <c r="AF213" s="72"/>
      <c r="AG213" s="72"/>
      <c r="AH213" s="72"/>
      <c r="AI213" s="72"/>
      <c r="AJ213" s="72"/>
      <c r="AK213" s="72"/>
      <c r="AL213" s="72"/>
      <c r="AM213" s="72"/>
      <c r="AN213" s="72"/>
      <c r="AO213" s="72"/>
      <c r="AP213" s="72"/>
      <c r="AQ213" s="72"/>
      <c r="AR213" s="72"/>
      <c r="AS213" s="72"/>
      <c r="AT213" s="72"/>
      <c r="AU213" s="72"/>
      <c r="AV213" s="72"/>
    </row>
    <row r="214" spans="1:48" s="37" customFormat="1" ht="16.5" x14ac:dyDescent="0.3">
      <c r="A214" s="72"/>
      <c r="B214" s="72"/>
      <c r="C214" s="72"/>
      <c r="D214" s="72"/>
      <c r="E214" s="72"/>
      <c r="F214" s="72"/>
      <c r="G214" s="72"/>
      <c r="H214" s="72"/>
      <c r="I214" s="72"/>
      <c r="J214" s="72"/>
      <c r="K214" s="72"/>
      <c r="L214" s="72"/>
      <c r="M214" s="72"/>
      <c r="N214" s="72"/>
      <c r="O214" s="72"/>
      <c r="P214" s="72"/>
      <c r="Q214" s="72"/>
      <c r="R214" s="72"/>
      <c r="S214" s="72"/>
      <c r="T214" s="72"/>
      <c r="U214" s="72"/>
      <c r="V214" s="72"/>
      <c r="W214" s="72"/>
      <c r="X214" s="72"/>
      <c r="Y214" s="72"/>
      <c r="Z214" s="72"/>
      <c r="AA214" s="72"/>
      <c r="AB214" s="72"/>
      <c r="AC214" s="72"/>
      <c r="AD214" s="72"/>
      <c r="AE214" s="72"/>
      <c r="AF214" s="72"/>
      <c r="AG214" s="72"/>
      <c r="AH214" s="72"/>
      <c r="AI214" s="72"/>
      <c r="AJ214" s="72"/>
      <c r="AK214" s="72"/>
      <c r="AL214" s="72"/>
      <c r="AM214" s="72"/>
      <c r="AN214" s="72"/>
      <c r="AO214" s="72"/>
      <c r="AP214" s="72"/>
      <c r="AQ214" s="72"/>
      <c r="AR214" s="72"/>
      <c r="AS214" s="72"/>
      <c r="AT214" s="72"/>
      <c r="AU214" s="72"/>
      <c r="AV214" s="72"/>
    </row>
    <row r="215" spans="1:48" s="37" customFormat="1" ht="16.5" x14ac:dyDescent="0.3">
      <c r="A215" s="72"/>
      <c r="B215" s="72"/>
      <c r="C215" s="72"/>
      <c r="D215" s="72"/>
      <c r="E215" s="72"/>
      <c r="F215" s="72"/>
      <c r="G215" s="72"/>
      <c r="H215" s="72"/>
      <c r="I215" s="72"/>
      <c r="J215" s="72"/>
      <c r="K215" s="72"/>
      <c r="L215" s="72"/>
      <c r="M215" s="72"/>
      <c r="N215" s="72"/>
      <c r="O215" s="72"/>
      <c r="P215" s="72"/>
      <c r="Q215" s="72"/>
      <c r="R215" s="72"/>
      <c r="S215" s="72"/>
      <c r="T215" s="72"/>
      <c r="U215" s="72"/>
      <c r="V215" s="72"/>
      <c r="W215" s="72"/>
      <c r="X215" s="72"/>
      <c r="Y215" s="72"/>
      <c r="Z215" s="72"/>
      <c r="AA215" s="72"/>
      <c r="AB215" s="72"/>
      <c r="AC215" s="72"/>
      <c r="AD215" s="72"/>
      <c r="AE215" s="72"/>
      <c r="AF215" s="72"/>
      <c r="AG215" s="72"/>
      <c r="AH215" s="72"/>
      <c r="AI215" s="72"/>
      <c r="AJ215" s="72"/>
      <c r="AK215" s="72"/>
      <c r="AL215" s="72"/>
      <c r="AM215" s="72"/>
      <c r="AN215" s="72"/>
      <c r="AO215" s="72"/>
      <c r="AP215" s="72"/>
      <c r="AQ215" s="72"/>
      <c r="AR215" s="72"/>
      <c r="AS215" s="72"/>
      <c r="AT215" s="72"/>
      <c r="AU215" s="72"/>
      <c r="AV215" s="72"/>
    </row>
    <row r="216" spans="1:48" s="37" customFormat="1" ht="16.5" x14ac:dyDescent="0.3">
      <c r="A216" s="72"/>
      <c r="B216" s="72"/>
      <c r="C216" s="72"/>
      <c r="D216" s="72"/>
      <c r="E216" s="72"/>
      <c r="F216" s="72"/>
      <c r="G216" s="72"/>
      <c r="H216" s="72"/>
      <c r="I216" s="72"/>
      <c r="J216" s="72"/>
      <c r="K216" s="72"/>
      <c r="L216" s="72"/>
      <c r="M216" s="72"/>
      <c r="N216" s="72"/>
      <c r="O216" s="72"/>
      <c r="P216" s="72"/>
      <c r="Q216" s="72"/>
      <c r="R216" s="72"/>
      <c r="S216" s="72"/>
      <c r="T216" s="72"/>
      <c r="U216" s="72"/>
      <c r="V216" s="72"/>
      <c r="W216" s="72"/>
      <c r="X216" s="72"/>
      <c r="Y216" s="72"/>
      <c r="Z216" s="72"/>
      <c r="AA216" s="72"/>
      <c r="AB216" s="72"/>
      <c r="AC216" s="72"/>
      <c r="AD216" s="72"/>
      <c r="AE216" s="72"/>
      <c r="AF216" s="72"/>
      <c r="AG216" s="72"/>
      <c r="AH216" s="72"/>
      <c r="AI216" s="72"/>
      <c r="AJ216" s="72"/>
      <c r="AK216" s="72"/>
      <c r="AL216" s="72"/>
      <c r="AM216" s="72"/>
      <c r="AN216" s="72"/>
      <c r="AO216" s="72"/>
      <c r="AP216" s="72"/>
      <c r="AQ216" s="72"/>
      <c r="AR216" s="72"/>
      <c r="AS216" s="72"/>
      <c r="AT216" s="72"/>
      <c r="AU216" s="72"/>
      <c r="AV216" s="72"/>
    </row>
    <row r="217" spans="1:48" s="37" customFormat="1" ht="16.5" x14ac:dyDescent="0.3">
      <c r="A217" s="72"/>
      <c r="B217" s="72"/>
      <c r="C217" s="72"/>
      <c r="D217" s="72"/>
      <c r="E217" s="72"/>
      <c r="F217" s="72"/>
      <c r="G217" s="72"/>
      <c r="H217" s="72"/>
      <c r="I217" s="72"/>
      <c r="J217" s="72"/>
      <c r="K217" s="72"/>
      <c r="L217" s="72"/>
      <c r="M217" s="72"/>
      <c r="N217" s="72"/>
      <c r="O217" s="72"/>
      <c r="P217" s="72"/>
      <c r="Q217" s="72"/>
      <c r="R217" s="72"/>
      <c r="S217" s="72"/>
      <c r="T217" s="72"/>
      <c r="U217" s="72"/>
      <c r="V217" s="72"/>
      <c r="W217" s="72"/>
      <c r="X217" s="72"/>
      <c r="Y217" s="72"/>
      <c r="Z217" s="72"/>
      <c r="AA217" s="72"/>
      <c r="AB217" s="72"/>
      <c r="AC217" s="72"/>
      <c r="AD217" s="72"/>
      <c r="AE217" s="72"/>
      <c r="AF217" s="72"/>
      <c r="AG217" s="72"/>
      <c r="AH217" s="72"/>
      <c r="AI217" s="72"/>
      <c r="AJ217" s="72"/>
      <c r="AK217" s="72"/>
      <c r="AL217" s="72"/>
      <c r="AM217" s="72"/>
      <c r="AN217" s="72"/>
      <c r="AO217" s="72"/>
      <c r="AP217" s="72"/>
      <c r="AQ217" s="72"/>
      <c r="AR217" s="72"/>
      <c r="AS217" s="72"/>
      <c r="AT217" s="72"/>
      <c r="AU217" s="72"/>
      <c r="AV217" s="72"/>
    </row>
    <row r="218" spans="1:48" s="37" customFormat="1" ht="16.5" x14ac:dyDescent="0.3">
      <c r="A218" s="72"/>
      <c r="B218" s="72"/>
      <c r="C218" s="72"/>
      <c r="D218" s="72"/>
      <c r="E218" s="72"/>
      <c r="F218" s="72"/>
      <c r="G218" s="72"/>
      <c r="H218" s="72"/>
      <c r="I218" s="72"/>
      <c r="J218" s="72"/>
      <c r="K218" s="72"/>
      <c r="L218" s="72"/>
      <c r="M218" s="72"/>
      <c r="N218" s="72"/>
      <c r="O218" s="72"/>
      <c r="P218" s="72"/>
      <c r="Q218" s="72"/>
      <c r="R218" s="72"/>
      <c r="S218" s="72"/>
      <c r="T218" s="72"/>
      <c r="U218" s="72"/>
      <c r="V218" s="72"/>
      <c r="W218" s="72"/>
      <c r="X218" s="72"/>
      <c r="Y218" s="72"/>
      <c r="Z218" s="72"/>
      <c r="AA218" s="72"/>
      <c r="AB218" s="72"/>
      <c r="AC218" s="72"/>
      <c r="AD218" s="72"/>
      <c r="AE218" s="72"/>
      <c r="AF218" s="72"/>
      <c r="AG218" s="72"/>
      <c r="AH218" s="72"/>
      <c r="AI218" s="72"/>
      <c r="AJ218" s="72"/>
      <c r="AK218" s="72"/>
      <c r="AL218" s="72"/>
      <c r="AM218" s="72"/>
      <c r="AN218" s="72"/>
      <c r="AO218" s="72"/>
      <c r="AP218" s="72"/>
      <c r="AQ218" s="72"/>
      <c r="AR218" s="72"/>
      <c r="AS218" s="72"/>
      <c r="AT218" s="72"/>
      <c r="AU218" s="72"/>
      <c r="AV218" s="72"/>
    </row>
    <row r="219" spans="1:48" s="37" customFormat="1" ht="16.5" x14ac:dyDescent="0.3">
      <c r="A219" s="72"/>
      <c r="B219" s="72"/>
      <c r="C219" s="72"/>
      <c r="D219" s="72"/>
      <c r="E219" s="72"/>
      <c r="F219" s="72"/>
      <c r="G219" s="72"/>
      <c r="H219" s="72"/>
      <c r="I219" s="72"/>
      <c r="J219" s="72"/>
      <c r="K219" s="72"/>
      <c r="L219" s="72"/>
      <c r="M219" s="72"/>
      <c r="N219" s="72"/>
      <c r="O219" s="72"/>
      <c r="P219" s="72"/>
      <c r="Q219" s="72"/>
      <c r="R219" s="72"/>
      <c r="S219" s="72"/>
      <c r="T219" s="72"/>
      <c r="U219" s="72"/>
      <c r="V219" s="72"/>
      <c r="W219" s="72"/>
      <c r="X219" s="72"/>
      <c r="Y219" s="72"/>
      <c r="Z219" s="72"/>
      <c r="AA219" s="72"/>
      <c r="AB219" s="72"/>
      <c r="AC219" s="72"/>
      <c r="AD219" s="72"/>
      <c r="AE219" s="72"/>
      <c r="AF219" s="72"/>
      <c r="AG219" s="72"/>
      <c r="AH219" s="72"/>
      <c r="AI219" s="72"/>
      <c r="AJ219" s="72"/>
      <c r="AK219" s="72"/>
      <c r="AL219" s="72"/>
      <c r="AM219" s="72"/>
      <c r="AN219" s="72"/>
      <c r="AO219" s="72"/>
      <c r="AP219" s="72"/>
      <c r="AQ219" s="72"/>
      <c r="AR219" s="72"/>
      <c r="AS219" s="72"/>
      <c r="AT219" s="72"/>
      <c r="AU219" s="72"/>
      <c r="AV219" s="72"/>
    </row>
    <row r="220" spans="1:48" s="37" customFormat="1" ht="16.5" x14ac:dyDescent="0.3">
      <c r="A220" s="72"/>
      <c r="B220" s="72"/>
      <c r="C220" s="72"/>
      <c r="D220" s="72"/>
      <c r="E220" s="72"/>
      <c r="F220" s="72"/>
      <c r="G220" s="72"/>
      <c r="H220" s="72"/>
      <c r="I220" s="72"/>
      <c r="J220" s="72"/>
      <c r="K220" s="72"/>
      <c r="L220" s="72"/>
      <c r="M220" s="72"/>
      <c r="N220" s="72"/>
      <c r="O220" s="72"/>
      <c r="P220" s="72"/>
      <c r="Q220" s="72"/>
      <c r="R220" s="72"/>
      <c r="S220" s="72"/>
      <c r="T220" s="72"/>
      <c r="U220" s="72"/>
      <c r="V220" s="72"/>
      <c r="W220" s="72"/>
      <c r="X220" s="72"/>
      <c r="Y220" s="72"/>
      <c r="Z220" s="72"/>
      <c r="AA220" s="72"/>
      <c r="AB220" s="72"/>
      <c r="AC220" s="72"/>
      <c r="AD220" s="72"/>
      <c r="AE220" s="72"/>
      <c r="AF220" s="72"/>
      <c r="AG220" s="72"/>
      <c r="AH220" s="72"/>
      <c r="AI220" s="72"/>
      <c r="AJ220" s="72"/>
      <c r="AK220" s="72"/>
      <c r="AL220" s="72"/>
      <c r="AM220" s="72"/>
      <c r="AN220" s="72"/>
      <c r="AO220" s="72"/>
      <c r="AP220" s="72"/>
      <c r="AQ220" s="72"/>
      <c r="AR220" s="72"/>
      <c r="AS220" s="72"/>
      <c r="AT220" s="72"/>
      <c r="AU220" s="72"/>
      <c r="AV220" s="72"/>
    </row>
    <row r="221" spans="1:48" s="37" customFormat="1" ht="16.5" x14ac:dyDescent="0.3">
      <c r="A221" s="72"/>
      <c r="B221" s="72"/>
      <c r="C221" s="72"/>
      <c r="D221" s="72"/>
      <c r="E221" s="72"/>
      <c r="F221" s="72"/>
      <c r="G221" s="72"/>
      <c r="H221" s="72"/>
      <c r="I221" s="72"/>
      <c r="J221" s="72"/>
      <c r="K221" s="72"/>
      <c r="L221" s="72"/>
      <c r="M221" s="72"/>
      <c r="N221" s="72"/>
      <c r="O221" s="72"/>
      <c r="P221" s="72"/>
      <c r="Q221" s="72"/>
      <c r="R221" s="72"/>
      <c r="S221" s="72"/>
      <c r="T221" s="72"/>
      <c r="U221" s="72"/>
      <c r="V221" s="72"/>
      <c r="W221" s="72"/>
      <c r="X221" s="72"/>
      <c r="Y221" s="72"/>
      <c r="Z221" s="72"/>
      <c r="AA221" s="72"/>
      <c r="AB221" s="72"/>
      <c r="AC221" s="72"/>
      <c r="AD221" s="72"/>
      <c r="AE221" s="72"/>
      <c r="AF221" s="72"/>
      <c r="AG221" s="72"/>
      <c r="AH221" s="72"/>
      <c r="AI221" s="72"/>
      <c r="AJ221" s="72"/>
      <c r="AK221" s="72"/>
      <c r="AL221" s="72"/>
      <c r="AM221" s="72"/>
      <c r="AN221" s="72"/>
      <c r="AO221" s="72"/>
      <c r="AP221" s="72"/>
      <c r="AQ221" s="72"/>
      <c r="AR221" s="72"/>
      <c r="AS221" s="72"/>
      <c r="AT221" s="72"/>
      <c r="AU221" s="72"/>
      <c r="AV221" s="72"/>
    </row>
    <row r="222" spans="1:48" s="37" customFormat="1" ht="16.5" x14ac:dyDescent="0.3">
      <c r="A222" s="72"/>
      <c r="B222" s="72"/>
      <c r="C222" s="72"/>
      <c r="D222" s="72"/>
      <c r="E222" s="72"/>
      <c r="F222" s="72"/>
      <c r="G222" s="72"/>
      <c r="H222" s="72"/>
      <c r="I222" s="72"/>
      <c r="J222" s="72"/>
      <c r="K222" s="72"/>
      <c r="L222" s="72"/>
      <c r="M222" s="72"/>
      <c r="N222" s="72"/>
      <c r="O222" s="72"/>
      <c r="P222" s="72"/>
      <c r="Q222" s="72"/>
      <c r="R222" s="72"/>
      <c r="S222" s="72"/>
      <c r="T222" s="72"/>
      <c r="U222" s="72"/>
      <c r="V222" s="72"/>
      <c r="W222" s="72"/>
      <c r="X222" s="72"/>
      <c r="Y222" s="72"/>
      <c r="Z222" s="72"/>
      <c r="AA222" s="72"/>
      <c r="AB222" s="72"/>
      <c r="AC222" s="72"/>
      <c r="AD222" s="72"/>
      <c r="AE222" s="72"/>
      <c r="AF222" s="72"/>
      <c r="AG222" s="72"/>
      <c r="AH222" s="72"/>
      <c r="AI222" s="72"/>
      <c r="AJ222" s="72"/>
      <c r="AK222" s="72"/>
      <c r="AL222" s="72"/>
      <c r="AM222" s="72"/>
      <c r="AN222" s="72"/>
      <c r="AO222" s="72"/>
      <c r="AP222" s="72"/>
      <c r="AQ222" s="72"/>
      <c r="AR222" s="72"/>
      <c r="AS222" s="72"/>
      <c r="AT222" s="72"/>
      <c r="AU222" s="72"/>
      <c r="AV222" s="72"/>
    </row>
    <row r="223" spans="1:48" s="37" customFormat="1" ht="16.5" x14ac:dyDescent="0.3">
      <c r="A223" s="72"/>
      <c r="B223" s="72"/>
      <c r="C223" s="72"/>
      <c r="D223" s="72"/>
      <c r="E223" s="72"/>
      <c r="F223" s="72"/>
      <c r="G223" s="72"/>
      <c r="H223" s="72"/>
      <c r="I223" s="72"/>
      <c r="J223" s="72"/>
      <c r="K223" s="72"/>
      <c r="L223" s="72"/>
      <c r="M223" s="72"/>
      <c r="N223" s="72"/>
      <c r="O223" s="72"/>
      <c r="P223" s="72"/>
      <c r="Q223" s="72"/>
      <c r="R223" s="72"/>
      <c r="S223" s="72"/>
      <c r="T223" s="72"/>
      <c r="U223" s="72"/>
      <c r="V223" s="72"/>
      <c r="W223" s="72"/>
      <c r="X223" s="72"/>
      <c r="Y223" s="72"/>
      <c r="Z223" s="72"/>
      <c r="AA223" s="72"/>
      <c r="AB223" s="72"/>
      <c r="AC223" s="72"/>
      <c r="AD223" s="72"/>
      <c r="AE223" s="72"/>
      <c r="AF223" s="72"/>
      <c r="AG223" s="72"/>
      <c r="AH223" s="72"/>
      <c r="AI223" s="72"/>
      <c r="AJ223" s="72"/>
      <c r="AK223" s="72"/>
      <c r="AL223" s="72"/>
      <c r="AM223" s="72"/>
      <c r="AN223" s="72"/>
      <c r="AO223" s="72"/>
      <c r="AP223" s="72"/>
      <c r="AQ223" s="72"/>
      <c r="AR223" s="72"/>
      <c r="AS223" s="72"/>
      <c r="AT223" s="72"/>
      <c r="AU223" s="72"/>
      <c r="AV223" s="72"/>
    </row>
    <row r="224" spans="1:48" s="37" customFormat="1" ht="16.5" x14ac:dyDescent="0.3">
      <c r="A224" s="72"/>
      <c r="B224" s="72"/>
      <c r="C224" s="72"/>
      <c r="D224" s="72"/>
      <c r="E224" s="72"/>
      <c r="F224" s="72"/>
      <c r="G224" s="72"/>
      <c r="H224" s="72"/>
      <c r="I224" s="72"/>
      <c r="J224" s="72"/>
      <c r="K224" s="72"/>
      <c r="L224" s="72"/>
      <c r="M224" s="72"/>
      <c r="N224" s="72"/>
      <c r="O224" s="72"/>
      <c r="P224" s="72"/>
      <c r="Q224" s="72"/>
      <c r="R224" s="72"/>
      <c r="S224" s="72"/>
      <c r="T224" s="72"/>
      <c r="U224" s="72"/>
      <c r="V224" s="72"/>
      <c r="W224" s="72"/>
      <c r="X224" s="72"/>
      <c r="Y224" s="72"/>
      <c r="Z224" s="72"/>
      <c r="AA224" s="72"/>
      <c r="AB224" s="72"/>
      <c r="AC224" s="72"/>
      <c r="AD224" s="72"/>
      <c r="AE224" s="72"/>
      <c r="AF224" s="72"/>
      <c r="AG224" s="72"/>
      <c r="AH224" s="72"/>
      <c r="AI224" s="72"/>
      <c r="AJ224" s="72"/>
      <c r="AK224" s="72"/>
      <c r="AL224" s="72"/>
      <c r="AM224" s="72"/>
      <c r="AN224" s="72"/>
      <c r="AO224" s="72"/>
      <c r="AP224" s="72"/>
      <c r="AQ224" s="72"/>
      <c r="AR224" s="72"/>
      <c r="AS224" s="72"/>
      <c r="AT224" s="72"/>
      <c r="AU224" s="72"/>
      <c r="AV224" s="72"/>
    </row>
    <row r="225" spans="1:48" s="37" customFormat="1" ht="16.5" x14ac:dyDescent="0.3">
      <c r="A225" s="72"/>
      <c r="B225" s="72"/>
      <c r="C225" s="72"/>
      <c r="D225" s="72"/>
      <c r="E225" s="72"/>
      <c r="F225" s="72"/>
      <c r="G225" s="72"/>
      <c r="H225" s="72"/>
      <c r="I225" s="72"/>
      <c r="J225" s="72"/>
      <c r="K225" s="72"/>
      <c r="L225" s="72"/>
      <c r="M225" s="72"/>
      <c r="N225" s="72"/>
      <c r="O225" s="72"/>
      <c r="P225" s="72"/>
      <c r="Q225" s="72"/>
      <c r="R225" s="72"/>
      <c r="S225" s="72"/>
      <c r="T225" s="72"/>
      <c r="U225" s="72"/>
      <c r="V225" s="72"/>
      <c r="W225" s="72"/>
      <c r="X225" s="72"/>
      <c r="Y225" s="72"/>
      <c r="Z225" s="72"/>
      <c r="AA225" s="72"/>
      <c r="AB225" s="72"/>
      <c r="AC225" s="72"/>
      <c r="AD225" s="72"/>
      <c r="AE225" s="72"/>
      <c r="AF225" s="72"/>
      <c r="AG225" s="72"/>
      <c r="AH225" s="72"/>
      <c r="AI225" s="72"/>
      <c r="AJ225" s="72"/>
      <c r="AK225" s="72"/>
      <c r="AL225" s="72"/>
      <c r="AM225" s="72"/>
      <c r="AN225" s="72"/>
      <c r="AO225" s="72"/>
      <c r="AP225" s="72"/>
      <c r="AQ225" s="72"/>
      <c r="AR225" s="72"/>
      <c r="AS225" s="72"/>
      <c r="AT225" s="72"/>
      <c r="AU225" s="72"/>
      <c r="AV225" s="72"/>
    </row>
    <row r="226" spans="1:48" s="37" customFormat="1" ht="16.5" x14ac:dyDescent="0.3">
      <c r="A226" s="72"/>
      <c r="B226" s="72"/>
      <c r="C226" s="72"/>
      <c r="D226" s="72"/>
      <c r="E226" s="72"/>
      <c r="F226" s="72"/>
      <c r="G226" s="72"/>
      <c r="H226" s="72"/>
      <c r="I226" s="72"/>
      <c r="J226" s="72"/>
      <c r="K226" s="72"/>
      <c r="L226" s="72"/>
      <c r="M226" s="72"/>
      <c r="N226" s="72"/>
      <c r="O226" s="72"/>
      <c r="P226" s="72"/>
      <c r="Q226" s="72"/>
      <c r="R226" s="72"/>
      <c r="S226" s="72"/>
      <c r="T226" s="72"/>
      <c r="U226" s="72"/>
      <c r="V226" s="72"/>
      <c r="W226" s="72"/>
      <c r="X226" s="72"/>
      <c r="Y226" s="72"/>
      <c r="Z226" s="72"/>
      <c r="AA226" s="72"/>
      <c r="AB226" s="72"/>
      <c r="AC226" s="72"/>
      <c r="AD226" s="72"/>
      <c r="AE226" s="72"/>
      <c r="AF226" s="72"/>
      <c r="AG226" s="72"/>
      <c r="AH226" s="72"/>
      <c r="AI226" s="72"/>
      <c r="AJ226" s="72"/>
      <c r="AK226" s="72"/>
      <c r="AL226" s="72"/>
      <c r="AM226" s="72"/>
      <c r="AN226" s="72"/>
      <c r="AO226" s="72"/>
      <c r="AP226" s="72"/>
      <c r="AQ226" s="72"/>
      <c r="AR226" s="72"/>
      <c r="AS226" s="72"/>
      <c r="AT226" s="72"/>
      <c r="AU226" s="72"/>
      <c r="AV226" s="72"/>
    </row>
    <row r="227" spans="1:48" s="37" customFormat="1" ht="16.5" x14ac:dyDescent="0.3">
      <c r="A227" s="72"/>
      <c r="B227" s="72"/>
      <c r="C227" s="72"/>
      <c r="D227" s="72"/>
      <c r="E227" s="72"/>
      <c r="F227" s="72"/>
      <c r="G227" s="72"/>
      <c r="H227" s="72"/>
      <c r="I227" s="72"/>
      <c r="J227" s="72"/>
      <c r="K227" s="72"/>
      <c r="L227" s="72"/>
      <c r="M227" s="72"/>
      <c r="N227" s="72"/>
      <c r="O227" s="72"/>
      <c r="P227" s="72"/>
      <c r="Q227" s="72"/>
      <c r="R227" s="72"/>
      <c r="S227" s="72"/>
      <c r="T227" s="72"/>
      <c r="U227" s="72"/>
      <c r="V227" s="72"/>
      <c r="W227" s="72"/>
      <c r="X227" s="72"/>
      <c r="Y227" s="72"/>
      <c r="Z227" s="72"/>
      <c r="AA227" s="72"/>
      <c r="AB227" s="72"/>
      <c r="AC227" s="72"/>
      <c r="AD227" s="72"/>
      <c r="AE227" s="72"/>
      <c r="AF227" s="72"/>
      <c r="AG227" s="72"/>
      <c r="AH227" s="72"/>
      <c r="AI227" s="72"/>
      <c r="AJ227" s="72"/>
      <c r="AK227" s="72"/>
      <c r="AL227" s="72"/>
      <c r="AM227" s="72"/>
      <c r="AN227" s="72"/>
      <c r="AO227" s="72"/>
      <c r="AP227" s="72"/>
      <c r="AQ227" s="72"/>
      <c r="AR227" s="72"/>
      <c r="AS227" s="72"/>
      <c r="AT227" s="72"/>
      <c r="AU227" s="72"/>
      <c r="AV227" s="72"/>
    </row>
    <row r="228" spans="1:48" s="37" customFormat="1" ht="16.5" x14ac:dyDescent="0.3">
      <c r="A228" s="72"/>
      <c r="B228" s="72"/>
      <c r="C228" s="72"/>
      <c r="D228" s="72"/>
      <c r="E228" s="72"/>
      <c r="F228" s="72"/>
      <c r="G228" s="72"/>
      <c r="H228" s="72"/>
      <c r="I228" s="72"/>
      <c r="J228" s="72"/>
      <c r="K228" s="72"/>
      <c r="L228" s="72"/>
      <c r="M228" s="72"/>
      <c r="N228" s="72"/>
      <c r="O228" s="72"/>
      <c r="P228" s="72"/>
      <c r="Q228" s="72"/>
      <c r="R228" s="72"/>
      <c r="S228" s="72"/>
      <c r="T228" s="72"/>
      <c r="U228" s="72"/>
      <c r="V228" s="72"/>
      <c r="W228" s="72"/>
      <c r="X228" s="72"/>
      <c r="Y228" s="72"/>
      <c r="Z228" s="72"/>
      <c r="AA228" s="72"/>
      <c r="AB228" s="72"/>
      <c r="AC228" s="72"/>
      <c r="AD228" s="72"/>
      <c r="AE228" s="72"/>
      <c r="AF228" s="72"/>
      <c r="AG228" s="72"/>
      <c r="AH228" s="72"/>
      <c r="AI228" s="72"/>
      <c r="AJ228" s="72"/>
      <c r="AK228" s="72"/>
      <c r="AL228" s="72"/>
      <c r="AM228" s="72"/>
      <c r="AN228" s="72"/>
      <c r="AO228" s="72"/>
      <c r="AP228" s="72"/>
      <c r="AQ228" s="72"/>
      <c r="AR228" s="72"/>
      <c r="AS228" s="72"/>
      <c r="AT228" s="72"/>
      <c r="AU228" s="72"/>
      <c r="AV228" s="72"/>
    </row>
    <row r="229" spans="1:48" s="37" customFormat="1" ht="16.5" x14ac:dyDescent="0.3">
      <c r="A229" s="72"/>
      <c r="B229" s="72"/>
      <c r="C229" s="72"/>
      <c r="D229" s="72"/>
      <c r="E229" s="72"/>
      <c r="F229" s="72"/>
      <c r="G229" s="72"/>
      <c r="H229" s="72"/>
      <c r="I229" s="72"/>
      <c r="J229" s="72"/>
      <c r="K229" s="72"/>
      <c r="L229" s="72"/>
      <c r="M229" s="72"/>
      <c r="N229" s="72"/>
      <c r="O229" s="72"/>
      <c r="P229" s="72"/>
      <c r="Q229" s="72"/>
      <c r="R229" s="72"/>
      <c r="S229" s="72"/>
      <c r="T229" s="72"/>
      <c r="U229" s="72"/>
      <c r="V229" s="72"/>
      <c r="W229" s="72"/>
      <c r="X229" s="72"/>
      <c r="Y229" s="72"/>
      <c r="Z229" s="72"/>
      <c r="AA229" s="72"/>
      <c r="AB229" s="72"/>
      <c r="AC229" s="72"/>
      <c r="AD229" s="72"/>
      <c r="AE229" s="72"/>
      <c r="AF229" s="72"/>
      <c r="AG229" s="72"/>
      <c r="AH229" s="72"/>
      <c r="AI229" s="72"/>
      <c r="AJ229" s="72"/>
      <c r="AK229" s="72"/>
      <c r="AL229" s="72"/>
      <c r="AM229" s="72"/>
      <c r="AN229" s="72"/>
      <c r="AO229" s="72"/>
      <c r="AP229" s="72"/>
      <c r="AQ229" s="72"/>
      <c r="AR229" s="72"/>
      <c r="AS229" s="72"/>
      <c r="AT229" s="72"/>
      <c r="AU229" s="72"/>
      <c r="AV229" s="72"/>
    </row>
    <row r="230" spans="1:48" s="37" customFormat="1" ht="16.5" x14ac:dyDescent="0.3">
      <c r="A230" s="72"/>
      <c r="B230" s="72"/>
      <c r="C230" s="72"/>
      <c r="D230" s="72"/>
      <c r="E230" s="72"/>
      <c r="F230" s="72"/>
      <c r="G230" s="72"/>
      <c r="H230" s="72"/>
      <c r="I230" s="72"/>
      <c r="J230" s="72"/>
      <c r="K230" s="72"/>
      <c r="L230" s="72"/>
      <c r="M230" s="72"/>
      <c r="N230" s="72"/>
      <c r="O230" s="72"/>
      <c r="P230" s="72"/>
      <c r="Q230" s="72"/>
      <c r="R230" s="72"/>
      <c r="S230" s="72"/>
      <c r="T230" s="72"/>
      <c r="U230" s="72"/>
      <c r="V230" s="72"/>
      <c r="W230" s="72"/>
      <c r="X230" s="72"/>
      <c r="Y230" s="72"/>
      <c r="Z230" s="72"/>
      <c r="AA230" s="72"/>
      <c r="AB230" s="72"/>
      <c r="AC230" s="72"/>
      <c r="AD230" s="72"/>
      <c r="AE230" s="72"/>
      <c r="AF230" s="72"/>
      <c r="AG230" s="72"/>
      <c r="AH230" s="72"/>
      <c r="AI230" s="72"/>
      <c r="AJ230" s="72"/>
      <c r="AK230" s="72"/>
      <c r="AL230" s="72"/>
      <c r="AM230" s="72"/>
      <c r="AN230" s="72"/>
      <c r="AO230" s="72"/>
      <c r="AP230" s="72"/>
      <c r="AQ230" s="72"/>
      <c r="AR230" s="72"/>
      <c r="AS230" s="72"/>
      <c r="AT230" s="72"/>
      <c r="AU230" s="72"/>
      <c r="AV230" s="72"/>
    </row>
    <row r="231" spans="1:48" s="37" customFormat="1" ht="16.5" x14ac:dyDescent="0.3">
      <c r="A231" s="72"/>
      <c r="B231" s="72"/>
      <c r="C231" s="72"/>
      <c r="D231" s="72"/>
      <c r="E231" s="72"/>
      <c r="F231" s="72"/>
      <c r="G231" s="72"/>
      <c r="H231" s="72"/>
      <c r="I231" s="72"/>
      <c r="J231" s="72"/>
      <c r="K231" s="72"/>
      <c r="L231" s="72"/>
      <c r="M231" s="72"/>
      <c r="N231" s="72"/>
      <c r="O231" s="72"/>
      <c r="P231" s="72"/>
      <c r="Q231" s="72"/>
      <c r="R231" s="72"/>
      <c r="S231" s="72"/>
      <c r="T231" s="72"/>
      <c r="U231" s="72"/>
      <c r="V231" s="72"/>
      <c r="W231" s="72"/>
      <c r="X231" s="72"/>
      <c r="Y231" s="72"/>
      <c r="Z231" s="72"/>
      <c r="AA231" s="72"/>
      <c r="AB231" s="72"/>
      <c r="AC231" s="72"/>
      <c r="AD231" s="72"/>
      <c r="AE231" s="72"/>
      <c r="AF231" s="72"/>
      <c r="AG231" s="72"/>
      <c r="AH231" s="72"/>
      <c r="AI231" s="72"/>
      <c r="AJ231" s="72"/>
      <c r="AK231" s="72"/>
      <c r="AL231" s="72"/>
      <c r="AM231" s="72"/>
      <c r="AN231" s="72"/>
      <c r="AO231" s="72"/>
      <c r="AP231" s="72"/>
      <c r="AQ231" s="72"/>
      <c r="AR231" s="72"/>
      <c r="AS231" s="72"/>
      <c r="AT231" s="72"/>
      <c r="AU231" s="72"/>
      <c r="AV231" s="72"/>
    </row>
    <row r="232" spans="1:48" s="37" customFormat="1" ht="16.5" x14ac:dyDescent="0.3">
      <c r="A232" s="72"/>
      <c r="B232" s="72"/>
      <c r="C232" s="72"/>
      <c r="D232" s="72"/>
      <c r="E232" s="72"/>
      <c r="F232" s="72"/>
      <c r="G232" s="72"/>
      <c r="H232" s="72"/>
      <c r="I232" s="72"/>
      <c r="J232" s="72"/>
      <c r="K232" s="72"/>
      <c r="L232" s="72"/>
      <c r="M232" s="72"/>
      <c r="N232" s="72"/>
      <c r="O232" s="72"/>
      <c r="P232" s="72"/>
      <c r="Q232" s="72"/>
      <c r="R232" s="72"/>
      <c r="S232" s="72"/>
      <c r="T232" s="72"/>
      <c r="U232" s="72"/>
      <c r="V232" s="72"/>
      <c r="W232" s="72"/>
      <c r="X232" s="72"/>
      <c r="Y232" s="72"/>
      <c r="Z232" s="72"/>
      <c r="AA232" s="72"/>
      <c r="AB232" s="72"/>
      <c r="AC232" s="72"/>
      <c r="AD232" s="72"/>
      <c r="AE232" s="72"/>
      <c r="AF232" s="72"/>
      <c r="AG232" s="72"/>
      <c r="AH232" s="72"/>
      <c r="AI232" s="72"/>
      <c r="AJ232" s="72"/>
      <c r="AK232" s="72"/>
      <c r="AL232" s="72"/>
      <c r="AM232" s="72"/>
      <c r="AN232" s="72"/>
      <c r="AO232" s="72"/>
      <c r="AP232" s="72"/>
      <c r="AQ232" s="72"/>
      <c r="AR232" s="72"/>
      <c r="AS232" s="72"/>
      <c r="AT232" s="72"/>
      <c r="AU232" s="72"/>
      <c r="AV232" s="72"/>
    </row>
    <row r="233" spans="1:48" s="37" customFormat="1" ht="16.5" x14ac:dyDescent="0.3">
      <c r="A233" s="72"/>
      <c r="B233" s="72"/>
      <c r="C233" s="72"/>
      <c r="D233" s="72"/>
      <c r="E233" s="72"/>
      <c r="F233" s="72"/>
      <c r="G233" s="72"/>
      <c r="H233" s="72"/>
      <c r="I233" s="72"/>
      <c r="J233" s="72"/>
      <c r="K233" s="72"/>
      <c r="L233" s="72"/>
      <c r="M233" s="72"/>
      <c r="N233" s="72"/>
      <c r="O233" s="72"/>
      <c r="P233" s="72"/>
      <c r="Q233" s="72"/>
      <c r="R233" s="72"/>
      <c r="S233" s="72"/>
      <c r="T233" s="72"/>
      <c r="U233" s="72"/>
      <c r="V233" s="72"/>
      <c r="W233" s="72"/>
      <c r="X233" s="72"/>
      <c r="Y233" s="72"/>
      <c r="Z233" s="72"/>
      <c r="AA233" s="72"/>
      <c r="AB233" s="72"/>
      <c r="AC233" s="72"/>
      <c r="AD233" s="72"/>
      <c r="AE233" s="72"/>
      <c r="AF233" s="72"/>
      <c r="AG233" s="72"/>
      <c r="AH233" s="72"/>
      <c r="AI233" s="72"/>
      <c r="AJ233" s="72"/>
      <c r="AK233" s="72"/>
      <c r="AL233" s="72"/>
      <c r="AM233" s="72"/>
      <c r="AN233" s="72"/>
      <c r="AO233" s="72"/>
      <c r="AP233" s="72"/>
      <c r="AQ233" s="72"/>
      <c r="AR233" s="72"/>
      <c r="AS233" s="72"/>
      <c r="AT233" s="72"/>
      <c r="AU233" s="72"/>
      <c r="AV233" s="72"/>
    </row>
    <row r="234" spans="1:48" s="37" customFormat="1" ht="16.5" x14ac:dyDescent="0.3">
      <c r="A234" s="72"/>
      <c r="B234" s="72"/>
      <c r="C234" s="72"/>
      <c r="D234" s="72"/>
      <c r="E234" s="72"/>
      <c r="F234" s="72"/>
      <c r="G234" s="72"/>
      <c r="H234" s="72"/>
      <c r="I234" s="72"/>
      <c r="J234" s="72"/>
      <c r="K234" s="72"/>
      <c r="L234" s="72"/>
      <c r="M234" s="72"/>
      <c r="N234" s="72"/>
      <c r="O234" s="72"/>
      <c r="P234" s="72"/>
      <c r="Q234" s="72"/>
      <c r="R234" s="72"/>
      <c r="S234" s="72"/>
      <c r="T234" s="72"/>
      <c r="U234" s="72"/>
      <c r="V234" s="72"/>
      <c r="W234" s="72"/>
      <c r="X234" s="72"/>
      <c r="Y234" s="72"/>
      <c r="Z234" s="72"/>
      <c r="AA234" s="72"/>
      <c r="AB234" s="72"/>
      <c r="AC234" s="72"/>
      <c r="AD234" s="72"/>
      <c r="AE234" s="72"/>
      <c r="AF234" s="72"/>
      <c r="AG234" s="72"/>
      <c r="AH234" s="72"/>
      <c r="AI234" s="72"/>
      <c r="AJ234" s="72"/>
      <c r="AK234" s="72"/>
      <c r="AL234" s="72"/>
      <c r="AM234" s="72"/>
      <c r="AN234" s="72"/>
      <c r="AO234" s="72"/>
      <c r="AP234" s="72"/>
      <c r="AQ234" s="72"/>
      <c r="AR234" s="72"/>
      <c r="AS234" s="72"/>
      <c r="AT234" s="72"/>
      <c r="AU234" s="72"/>
      <c r="AV234" s="72"/>
    </row>
    <row r="235" spans="1:48" s="37" customFormat="1" ht="16.5" x14ac:dyDescent="0.3">
      <c r="A235" s="72"/>
      <c r="B235" s="72"/>
      <c r="C235" s="72"/>
      <c r="D235" s="72"/>
      <c r="E235" s="72"/>
      <c r="F235" s="72"/>
      <c r="G235" s="72"/>
      <c r="H235" s="72"/>
      <c r="I235" s="72"/>
      <c r="J235" s="72"/>
      <c r="K235" s="72"/>
      <c r="L235" s="72"/>
      <c r="M235" s="72"/>
      <c r="N235" s="72"/>
      <c r="O235" s="72"/>
      <c r="P235" s="72"/>
      <c r="Q235" s="72"/>
      <c r="R235" s="72"/>
      <c r="S235" s="72"/>
      <c r="T235" s="72"/>
      <c r="U235" s="72"/>
      <c r="V235" s="72"/>
      <c r="W235" s="72"/>
      <c r="X235" s="72"/>
      <c r="Y235" s="72"/>
      <c r="Z235" s="72"/>
      <c r="AA235" s="72"/>
      <c r="AB235" s="72"/>
      <c r="AC235" s="72"/>
      <c r="AD235" s="72"/>
      <c r="AE235" s="72"/>
      <c r="AF235" s="72"/>
      <c r="AG235" s="72"/>
      <c r="AH235" s="72"/>
      <c r="AI235" s="72"/>
      <c r="AJ235" s="72"/>
      <c r="AK235" s="72"/>
      <c r="AL235" s="72"/>
      <c r="AM235" s="72"/>
      <c r="AN235" s="72"/>
      <c r="AO235" s="72"/>
      <c r="AP235" s="72"/>
      <c r="AQ235" s="72"/>
      <c r="AR235" s="72"/>
      <c r="AS235" s="72"/>
      <c r="AT235" s="72"/>
      <c r="AU235" s="72"/>
      <c r="AV235" s="72"/>
    </row>
    <row r="236" spans="1:48" s="37" customFormat="1" ht="16.5" x14ac:dyDescent="0.3">
      <c r="A236" s="72"/>
      <c r="B236" s="72"/>
      <c r="C236" s="72"/>
      <c r="D236" s="72"/>
      <c r="E236" s="72"/>
      <c r="F236" s="72"/>
      <c r="G236" s="72"/>
      <c r="H236" s="72"/>
      <c r="I236" s="72"/>
      <c r="J236" s="72"/>
      <c r="K236" s="72"/>
      <c r="L236" s="72"/>
      <c r="M236" s="72"/>
      <c r="N236" s="72"/>
      <c r="O236" s="72"/>
      <c r="P236" s="72"/>
      <c r="Q236" s="72"/>
      <c r="R236" s="72"/>
      <c r="S236" s="72"/>
      <c r="T236" s="72"/>
      <c r="U236" s="72"/>
      <c r="V236" s="72"/>
      <c r="W236" s="72"/>
      <c r="X236" s="72"/>
      <c r="Y236" s="72"/>
      <c r="Z236" s="72"/>
      <c r="AA236" s="72"/>
      <c r="AB236" s="72"/>
      <c r="AC236" s="72"/>
      <c r="AD236" s="72"/>
      <c r="AE236" s="72"/>
      <c r="AF236" s="72"/>
      <c r="AG236" s="72"/>
      <c r="AH236" s="72"/>
      <c r="AI236" s="72"/>
      <c r="AJ236" s="72"/>
      <c r="AK236" s="72"/>
      <c r="AL236" s="72"/>
      <c r="AM236" s="72"/>
      <c r="AN236" s="72"/>
      <c r="AO236" s="72"/>
      <c r="AP236" s="72"/>
      <c r="AQ236" s="72"/>
      <c r="AR236" s="72"/>
      <c r="AS236" s="72"/>
      <c r="AT236" s="72"/>
      <c r="AU236" s="72"/>
      <c r="AV236" s="72"/>
    </row>
    <row r="237" spans="1:48" s="37" customFormat="1" ht="16.5" x14ac:dyDescent="0.3">
      <c r="A237" s="72"/>
      <c r="B237" s="72"/>
      <c r="C237" s="72"/>
      <c r="D237" s="72"/>
      <c r="E237" s="72"/>
      <c r="F237" s="72"/>
      <c r="G237" s="72"/>
      <c r="H237" s="72"/>
      <c r="I237" s="72"/>
      <c r="J237" s="72"/>
      <c r="K237" s="72"/>
      <c r="L237" s="72"/>
      <c r="M237" s="72"/>
      <c r="N237" s="72"/>
      <c r="O237" s="72"/>
      <c r="P237" s="72"/>
      <c r="Q237" s="72"/>
      <c r="R237" s="72"/>
      <c r="S237" s="72"/>
      <c r="T237" s="72"/>
      <c r="U237" s="72"/>
      <c r="V237" s="72"/>
      <c r="W237" s="72"/>
      <c r="X237" s="72"/>
      <c r="Y237" s="72"/>
      <c r="Z237" s="72"/>
      <c r="AA237" s="72"/>
      <c r="AB237" s="72"/>
      <c r="AC237" s="72"/>
      <c r="AD237" s="72"/>
      <c r="AE237" s="72"/>
      <c r="AF237" s="72"/>
      <c r="AG237" s="72"/>
      <c r="AH237" s="72"/>
      <c r="AI237" s="72"/>
      <c r="AJ237" s="72"/>
      <c r="AK237" s="72"/>
      <c r="AL237" s="72"/>
      <c r="AM237" s="72"/>
      <c r="AN237" s="72"/>
      <c r="AO237" s="72"/>
      <c r="AP237" s="72"/>
      <c r="AQ237" s="72"/>
      <c r="AR237" s="72"/>
      <c r="AS237" s="72"/>
      <c r="AT237" s="72"/>
      <c r="AU237" s="72"/>
      <c r="AV237" s="72"/>
    </row>
    <row r="238" spans="1:48" s="37" customFormat="1" ht="16.5" x14ac:dyDescent="0.3">
      <c r="A238" s="72"/>
      <c r="B238" s="72"/>
      <c r="C238" s="72"/>
      <c r="D238" s="72"/>
      <c r="E238" s="72"/>
      <c r="F238" s="72"/>
      <c r="G238" s="72"/>
      <c r="H238" s="72"/>
      <c r="I238" s="72"/>
      <c r="J238" s="72"/>
      <c r="K238" s="72"/>
      <c r="L238" s="72"/>
      <c r="M238" s="72"/>
      <c r="N238" s="72"/>
      <c r="O238" s="72"/>
      <c r="P238" s="72"/>
      <c r="Q238" s="72"/>
      <c r="R238" s="72"/>
      <c r="S238" s="72"/>
      <c r="T238" s="72"/>
      <c r="U238" s="72"/>
      <c r="V238" s="72"/>
      <c r="W238" s="72"/>
      <c r="X238" s="72"/>
      <c r="Y238" s="72"/>
      <c r="Z238" s="72"/>
      <c r="AA238" s="72"/>
      <c r="AB238" s="72"/>
      <c r="AC238" s="72"/>
      <c r="AD238" s="72"/>
      <c r="AE238" s="72"/>
      <c r="AF238" s="72"/>
      <c r="AG238" s="72"/>
      <c r="AH238" s="72"/>
      <c r="AI238" s="72"/>
      <c r="AJ238" s="72"/>
      <c r="AK238" s="72"/>
      <c r="AL238" s="72"/>
      <c r="AM238" s="72"/>
      <c r="AN238" s="72"/>
      <c r="AO238" s="72"/>
      <c r="AP238" s="72"/>
      <c r="AQ238" s="72"/>
      <c r="AR238" s="72"/>
      <c r="AS238" s="72"/>
      <c r="AT238" s="72"/>
      <c r="AU238" s="72"/>
      <c r="AV238" s="72"/>
    </row>
    <row r="239" spans="1:48" s="37" customFormat="1" ht="16.5" x14ac:dyDescent="0.3">
      <c r="A239" s="72"/>
      <c r="B239" s="72"/>
      <c r="C239" s="72"/>
      <c r="D239" s="72"/>
      <c r="E239" s="72"/>
      <c r="F239" s="72"/>
      <c r="G239" s="72"/>
      <c r="H239" s="72"/>
      <c r="I239" s="72"/>
      <c r="J239" s="72"/>
      <c r="K239" s="72"/>
      <c r="L239" s="72"/>
      <c r="M239" s="72"/>
      <c r="N239" s="72"/>
      <c r="O239" s="72"/>
      <c r="P239" s="72"/>
      <c r="Q239" s="72"/>
      <c r="R239" s="72"/>
      <c r="S239" s="72"/>
      <c r="T239" s="72"/>
      <c r="U239" s="72"/>
      <c r="V239" s="72"/>
      <c r="W239" s="72"/>
      <c r="X239" s="72"/>
      <c r="Y239" s="72"/>
      <c r="Z239" s="72"/>
      <c r="AA239" s="72"/>
      <c r="AB239" s="72"/>
      <c r="AC239" s="72"/>
      <c r="AD239" s="72"/>
      <c r="AE239" s="72"/>
      <c r="AF239" s="72"/>
      <c r="AG239" s="72"/>
      <c r="AH239" s="72"/>
      <c r="AI239" s="72"/>
      <c r="AJ239" s="72"/>
      <c r="AK239" s="72"/>
      <c r="AL239" s="72"/>
      <c r="AM239" s="72"/>
      <c r="AN239" s="72"/>
      <c r="AO239" s="72"/>
      <c r="AP239" s="72"/>
      <c r="AQ239" s="72"/>
      <c r="AR239" s="72"/>
      <c r="AS239" s="72"/>
      <c r="AT239" s="72"/>
      <c r="AU239" s="72"/>
      <c r="AV239" s="72"/>
    </row>
    <row r="240" spans="1:48" s="37" customFormat="1" ht="16.5" x14ac:dyDescent="0.3">
      <c r="A240" s="72"/>
      <c r="B240" s="72"/>
      <c r="C240" s="72"/>
      <c r="D240" s="72"/>
      <c r="E240" s="72"/>
      <c r="F240" s="72"/>
      <c r="G240" s="72"/>
      <c r="H240" s="72"/>
      <c r="I240" s="72"/>
      <c r="J240" s="72"/>
      <c r="K240" s="72"/>
      <c r="L240" s="72"/>
      <c r="M240" s="72"/>
      <c r="N240" s="72"/>
      <c r="O240" s="72"/>
      <c r="P240" s="72"/>
      <c r="Q240" s="72"/>
      <c r="R240" s="72"/>
      <c r="S240" s="72"/>
      <c r="T240" s="72"/>
      <c r="U240" s="72"/>
      <c r="V240" s="72"/>
      <c r="W240" s="72"/>
      <c r="X240" s="72"/>
      <c r="Y240" s="72"/>
      <c r="Z240" s="72"/>
      <c r="AA240" s="72"/>
      <c r="AB240" s="72"/>
      <c r="AC240" s="72"/>
      <c r="AD240" s="72"/>
      <c r="AE240" s="72"/>
      <c r="AF240" s="72"/>
      <c r="AG240" s="72"/>
      <c r="AH240" s="72"/>
      <c r="AI240" s="72"/>
      <c r="AJ240" s="72"/>
      <c r="AK240" s="72"/>
      <c r="AL240" s="72"/>
      <c r="AM240" s="72"/>
      <c r="AN240" s="72"/>
      <c r="AO240" s="72"/>
      <c r="AP240" s="72"/>
      <c r="AQ240" s="72"/>
      <c r="AR240" s="72"/>
      <c r="AS240" s="72"/>
      <c r="AT240" s="72"/>
      <c r="AU240" s="72"/>
      <c r="AV240" s="72"/>
    </row>
    <row r="241" spans="1:48" s="37" customFormat="1" ht="16.5" x14ac:dyDescent="0.3">
      <c r="A241" s="72"/>
      <c r="B241" s="72"/>
      <c r="C241" s="72"/>
      <c r="D241" s="72"/>
      <c r="E241" s="72"/>
      <c r="F241" s="72"/>
      <c r="G241" s="72"/>
      <c r="H241" s="72"/>
      <c r="I241" s="72"/>
      <c r="J241" s="72"/>
      <c r="K241" s="72"/>
      <c r="L241" s="72"/>
      <c r="M241" s="72"/>
      <c r="N241" s="72"/>
      <c r="O241" s="72"/>
      <c r="P241" s="72"/>
      <c r="Q241" s="72"/>
      <c r="R241" s="72"/>
      <c r="S241" s="72"/>
      <c r="T241" s="72"/>
      <c r="U241" s="72"/>
      <c r="V241" s="72"/>
      <c r="W241" s="72"/>
      <c r="X241" s="72"/>
      <c r="Y241" s="72"/>
      <c r="Z241" s="72"/>
      <c r="AA241" s="72"/>
      <c r="AB241" s="72"/>
      <c r="AC241" s="72"/>
      <c r="AD241" s="72"/>
      <c r="AE241" s="72"/>
      <c r="AF241" s="72"/>
      <c r="AG241" s="72"/>
      <c r="AH241" s="72"/>
      <c r="AI241" s="72"/>
      <c r="AJ241" s="72"/>
      <c r="AK241" s="72"/>
      <c r="AL241" s="72"/>
      <c r="AM241" s="72"/>
      <c r="AN241" s="72"/>
      <c r="AO241" s="72"/>
      <c r="AP241" s="72"/>
      <c r="AQ241" s="72"/>
      <c r="AR241" s="72"/>
      <c r="AS241" s="72"/>
      <c r="AT241" s="72"/>
      <c r="AU241" s="72"/>
      <c r="AV241" s="72"/>
    </row>
    <row r="242" spans="1:48" s="37" customFormat="1" ht="16.5" x14ac:dyDescent="0.3">
      <c r="A242" s="72"/>
      <c r="B242" s="72"/>
      <c r="C242" s="72"/>
      <c r="D242" s="72"/>
      <c r="E242" s="72"/>
      <c r="F242" s="72"/>
      <c r="G242" s="72"/>
      <c r="H242" s="72"/>
      <c r="I242" s="72"/>
      <c r="J242" s="72"/>
      <c r="K242" s="72"/>
      <c r="L242" s="72"/>
      <c r="M242" s="72"/>
      <c r="N242" s="72"/>
      <c r="O242" s="72"/>
      <c r="P242" s="72"/>
      <c r="Q242" s="72"/>
      <c r="R242" s="72"/>
      <c r="S242" s="72"/>
      <c r="T242" s="72"/>
      <c r="U242" s="72"/>
      <c r="V242" s="72"/>
      <c r="W242" s="72"/>
      <c r="X242" s="72"/>
      <c r="Y242" s="72"/>
      <c r="Z242" s="72"/>
      <c r="AA242" s="72"/>
      <c r="AB242" s="72"/>
      <c r="AC242" s="72"/>
      <c r="AD242" s="72"/>
      <c r="AE242" s="72"/>
      <c r="AF242" s="72"/>
      <c r="AG242" s="72"/>
      <c r="AH242" s="72"/>
      <c r="AI242" s="72"/>
      <c r="AJ242" s="72"/>
      <c r="AK242" s="72"/>
      <c r="AL242" s="72"/>
      <c r="AM242" s="72"/>
      <c r="AN242" s="72"/>
      <c r="AO242" s="72"/>
      <c r="AP242" s="72"/>
      <c r="AQ242" s="72"/>
      <c r="AR242" s="72"/>
      <c r="AS242" s="72"/>
      <c r="AT242" s="72"/>
      <c r="AU242" s="72"/>
      <c r="AV242" s="72"/>
    </row>
    <row r="243" spans="1:48" s="37" customFormat="1" ht="16.5" x14ac:dyDescent="0.3">
      <c r="A243" s="72"/>
      <c r="B243" s="72"/>
      <c r="C243" s="72"/>
      <c r="D243" s="72"/>
      <c r="E243" s="72"/>
      <c r="F243" s="72"/>
      <c r="G243" s="72"/>
      <c r="H243" s="72"/>
      <c r="I243" s="72"/>
      <c r="J243" s="72"/>
      <c r="K243" s="72"/>
      <c r="L243" s="72"/>
      <c r="M243" s="72"/>
      <c r="N243" s="72"/>
      <c r="O243" s="72"/>
      <c r="P243" s="72"/>
      <c r="Q243" s="72"/>
      <c r="R243" s="72"/>
      <c r="S243" s="72"/>
      <c r="T243" s="72"/>
      <c r="U243" s="72"/>
      <c r="V243" s="72"/>
      <c r="W243" s="72"/>
      <c r="X243" s="72"/>
      <c r="Y243" s="72"/>
      <c r="Z243" s="72"/>
      <c r="AA243" s="72"/>
      <c r="AB243" s="72"/>
      <c r="AC243" s="72"/>
      <c r="AD243" s="72"/>
      <c r="AE243" s="72"/>
      <c r="AF243" s="72"/>
      <c r="AG243" s="72"/>
      <c r="AH243" s="72"/>
      <c r="AI243" s="72"/>
      <c r="AJ243" s="72"/>
      <c r="AK243" s="72"/>
      <c r="AL243" s="72"/>
      <c r="AM243" s="72"/>
      <c r="AN243" s="72"/>
      <c r="AO243" s="72"/>
      <c r="AP243" s="72"/>
      <c r="AQ243" s="72"/>
      <c r="AR243" s="72"/>
      <c r="AS243" s="72"/>
      <c r="AT243" s="72"/>
      <c r="AU243" s="72"/>
      <c r="AV243" s="72"/>
    </row>
    <row r="244" spans="1:48" s="37" customFormat="1" ht="16.5" x14ac:dyDescent="0.3">
      <c r="A244" s="72"/>
      <c r="B244" s="72"/>
      <c r="C244" s="72"/>
      <c r="D244" s="72"/>
      <c r="E244" s="72"/>
      <c r="F244" s="72"/>
      <c r="G244" s="72"/>
      <c r="H244" s="72"/>
      <c r="I244" s="72"/>
      <c r="J244" s="72"/>
      <c r="K244" s="72"/>
      <c r="L244" s="72"/>
      <c r="M244" s="72"/>
      <c r="N244" s="72"/>
      <c r="O244" s="72"/>
      <c r="P244" s="72"/>
      <c r="Q244" s="72"/>
      <c r="R244" s="72"/>
      <c r="S244" s="72"/>
      <c r="T244" s="72"/>
      <c r="U244" s="72"/>
      <c r="V244" s="72"/>
      <c r="W244" s="72"/>
      <c r="X244" s="72"/>
      <c r="Y244" s="72"/>
      <c r="Z244" s="72"/>
      <c r="AA244" s="72"/>
      <c r="AB244" s="72"/>
      <c r="AC244" s="72"/>
      <c r="AD244" s="72"/>
      <c r="AE244" s="72"/>
      <c r="AF244" s="72"/>
      <c r="AG244" s="72"/>
      <c r="AH244" s="72"/>
      <c r="AI244" s="72"/>
      <c r="AJ244" s="72"/>
      <c r="AK244" s="72"/>
      <c r="AL244" s="72"/>
      <c r="AM244" s="72"/>
      <c r="AN244" s="72"/>
      <c r="AO244" s="72"/>
      <c r="AP244" s="72"/>
      <c r="AQ244" s="72"/>
      <c r="AR244" s="72"/>
      <c r="AS244" s="72"/>
      <c r="AT244" s="72"/>
      <c r="AU244" s="72"/>
      <c r="AV244" s="72"/>
    </row>
    <row r="245" spans="1:48" s="37" customFormat="1" ht="16.5" x14ac:dyDescent="0.3">
      <c r="A245" s="72"/>
      <c r="B245" s="72"/>
      <c r="C245" s="72"/>
      <c r="D245" s="72"/>
      <c r="E245" s="72"/>
      <c r="F245" s="72"/>
      <c r="G245" s="72"/>
      <c r="H245" s="72"/>
      <c r="I245" s="72"/>
      <c r="J245" s="72"/>
      <c r="K245" s="72"/>
      <c r="L245" s="72"/>
      <c r="M245" s="72"/>
      <c r="N245" s="72"/>
      <c r="O245" s="72"/>
      <c r="P245" s="72"/>
      <c r="Q245" s="72"/>
      <c r="R245" s="72"/>
      <c r="S245" s="72"/>
      <c r="T245" s="72"/>
      <c r="U245" s="72"/>
      <c r="V245" s="72"/>
      <c r="W245" s="72"/>
      <c r="X245" s="72"/>
      <c r="Y245" s="72"/>
      <c r="Z245" s="72"/>
      <c r="AA245" s="72"/>
      <c r="AB245" s="72"/>
      <c r="AC245" s="72"/>
      <c r="AD245" s="72"/>
      <c r="AE245" s="72"/>
      <c r="AF245" s="72"/>
      <c r="AG245" s="72"/>
      <c r="AH245" s="72"/>
      <c r="AI245" s="72"/>
      <c r="AJ245" s="72"/>
      <c r="AK245" s="72"/>
      <c r="AL245" s="72"/>
      <c r="AM245" s="72"/>
      <c r="AN245" s="72"/>
      <c r="AO245" s="72"/>
      <c r="AP245" s="72"/>
      <c r="AQ245" s="72"/>
      <c r="AR245" s="72"/>
      <c r="AS245" s="72"/>
      <c r="AT245" s="72"/>
      <c r="AU245" s="72"/>
      <c r="AV245" s="72"/>
    </row>
    <row r="246" spans="1:48" s="37" customFormat="1" ht="16.5" x14ac:dyDescent="0.3">
      <c r="A246" s="72"/>
      <c r="B246" s="72"/>
      <c r="C246" s="72"/>
      <c r="D246" s="72"/>
      <c r="E246" s="72"/>
      <c r="F246" s="72"/>
      <c r="G246" s="72"/>
      <c r="H246" s="72"/>
      <c r="I246" s="72"/>
      <c r="J246" s="72"/>
      <c r="K246" s="72"/>
      <c r="L246" s="72"/>
      <c r="M246" s="72"/>
      <c r="N246" s="72"/>
      <c r="O246" s="72"/>
      <c r="P246" s="72"/>
      <c r="Q246" s="72"/>
      <c r="R246" s="72"/>
      <c r="S246" s="72"/>
      <c r="T246" s="72"/>
      <c r="U246" s="72"/>
      <c r="V246" s="72"/>
      <c r="W246" s="72"/>
      <c r="X246" s="72"/>
      <c r="Y246" s="72"/>
      <c r="Z246" s="72"/>
      <c r="AA246" s="72"/>
      <c r="AB246" s="72"/>
      <c r="AC246" s="72"/>
      <c r="AD246" s="72"/>
      <c r="AE246" s="72"/>
      <c r="AF246" s="72"/>
      <c r="AG246" s="72"/>
      <c r="AH246" s="72"/>
      <c r="AI246" s="72"/>
      <c r="AJ246" s="72"/>
      <c r="AK246" s="72"/>
      <c r="AL246" s="72"/>
      <c r="AM246" s="72"/>
      <c r="AN246" s="72"/>
      <c r="AO246" s="72"/>
      <c r="AP246" s="72"/>
      <c r="AQ246" s="72"/>
      <c r="AR246" s="72"/>
      <c r="AS246" s="72"/>
      <c r="AT246" s="72"/>
      <c r="AU246" s="72"/>
      <c r="AV246" s="72"/>
    </row>
    <row r="247" spans="1:48" s="37" customFormat="1" ht="16.5" x14ac:dyDescent="0.3">
      <c r="A247" s="72"/>
      <c r="B247" s="72"/>
      <c r="C247" s="72"/>
      <c r="D247" s="72"/>
      <c r="E247" s="72"/>
      <c r="F247" s="72"/>
      <c r="G247" s="72"/>
      <c r="H247" s="72"/>
      <c r="I247" s="72"/>
      <c r="J247" s="72"/>
      <c r="K247" s="72"/>
      <c r="L247" s="72"/>
      <c r="M247" s="72"/>
      <c r="N247" s="72"/>
      <c r="O247" s="72"/>
      <c r="P247" s="72"/>
      <c r="Q247" s="72"/>
      <c r="R247" s="72"/>
      <c r="S247" s="72"/>
      <c r="T247" s="72"/>
      <c r="U247" s="72"/>
      <c r="V247" s="72"/>
      <c r="W247" s="72"/>
      <c r="X247" s="72"/>
      <c r="Y247" s="72"/>
      <c r="Z247" s="72"/>
      <c r="AA247" s="72"/>
      <c r="AB247" s="72"/>
      <c r="AC247" s="72"/>
      <c r="AD247" s="72"/>
      <c r="AE247" s="72"/>
      <c r="AF247" s="72"/>
      <c r="AG247" s="72"/>
      <c r="AH247" s="72"/>
      <c r="AI247" s="72"/>
      <c r="AJ247" s="72"/>
      <c r="AK247" s="72"/>
      <c r="AL247" s="72"/>
      <c r="AM247" s="72"/>
      <c r="AN247" s="72"/>
      <c r="AO247" s="72"/>
      <c r="AP247" s="72"/>
      <c r="AQ247" s="72"/>
      <c r="AR247" s="72"/>
      <c r="AS247" s="72"/>
      <c r="AT247" s="72"/>
      <c r="AU247" s="72"/>
      <c r="AV247" s="72"/>
    </row>
    <row r="248" spans="1:48" s="37" customFormat="1" ht="16.5" x14ac:dyDescent="0.3">
      <c r="A248" s="72"/>
      <c r="B248" s="72"/>
      <c r="C248" s="72"/>
      <c r="D248" s="72"/>
      <c r="E248" s="72"/>
      <c r="F248" s="72"/>
      <c r="G248" s="72"/>
      <c r="H248" s="72"/>
      <c r="I248" s="72"/>
      <c r="J248" s="72"/>
      <c r="K248" s="72"/>
      <c r="L248" s="72"/>
      <c r="M248" s="72"/>
      <c r="N248" s="72"/>
      <c r="O248" s="72"/>
      <c r="P248" s="72"/>
      <c r="Q248" s="72"/>
      <c r="R248" s="72"/>
      <c r="S248" s="72"/>
      <c r="T248" s="72"/>
      <c r="U248" s="72"/>
      <c r="V248" s="72"/>
      <c r="W248" s="72"/>
      <c r="X248" s="72"/>
      <c r="Y248" s="72"/>
      <c r="Z248" s="72"/>
      <c r="AA248" s="72"/>
      <c r="AB248" s="72"/>
      <c r="AC248" s="72"/>
      <c r="AD248" s="72"/>
      <c r="AE248" s="72"/>
      <c r="AF248" s="72"/>
      <c r="AG248" s="72"/>
      <c r="AH248" s="72"/>
      <c r="AI248" s="72"/>
      <c r="AJ248" s="72"/>
      <c r="AK248" s="72"/>
      <c r="AL248" s="72"/>
      <c r="AM248" s="72"/>
      <c r="AN248" s="72"/>
      <c r="AO248" s="72"/>
      <c r="AP248" s="72"/>
      <c r="AQ248" s="72"/>
      <c r="AR248" s="72"/>
      <c r="AS248" s="72"/>
      <c r="AT248" s="72"/>
      <c r="AU248" s="72"/>
      <c r="AV248" s="72"/>
    </row>
    <row r="249" spans="1:48" s="37" customFormat="1" ht="16.5" x14ac:dyDescent="0.3">
      <c r="A249" s="72"/>
      <c r="B249" s="72"/>
      <c r="C249" s="72"/>
      <c r="D249" s="72"/>
      <c r="E249" s="72"/>
      <c r="F249" s="72"/>
      <c r="G249" s="72"/>
      <c r="H249" s="72"/>
      <c r="I249" s="72"/>
      <c r="J249" s="72"/>
      <c r="K249" s="72"/>
      <c r="L249" s="72"/>
      <c r="M249" s="72"/>
      <c r="N249" s="72"/>
      <c r="O249" s="72"/>
      <c r="P249" s="72"/>
      <c r="Q249" s="72"/>
      <c r="R249" s="72"/>
      <c r="S249" s="72"/>
      <c r="T249" s="72"/>
      <c r="U249" s="72"/>
      <c r="V249" s="72"/>
      <c r="W249" s="72"/>
      <c r="X249" s="72"/>
      <c r="Y249" s="72"/>
      <c r="Z249" s="72"/>
      <c r="AA249" s="72"/>
      <c r="AB249" s="72"/>
      <c r="AC249" s="72"/>
      <c r="AD249" s="72"/>
      <c r="AE249" s="72"/>
      <c r="AF249" s="72"/>
      <c r="AG249" s="72"/>
      <c r="AH249" s="72"/>
      <c r="AI249" s="72"/>
      <c r="AJ249" s="72"/>
      <c r="AK249" s="72"/>
      <c r="AL249" s="72"/>
      <c r="AM249" s="72"/>
      <c r="AN249" s="72"/>
      <c r="AO249" s="72"/>
      <c r="AP249" s="72"/>
      <c r="AQ249" s="72"/>
      <c r="AR249" s="72"/>
      <c r="AS249" s="72"/>
      <c r="AT249" s="72"/>
      <c r="AU249" s="72"/>
      <c r="AV249" s="72"/>
    </row>
    <row r="250" spans="1:48" s="37" customFormat="1" ht="16.5" x14ac:dyDescent="0.3">
      <c r="A250" s="72"/>
      <c r="B250" s="72"/>
      <c r="C250" s="72"/>
      <c r="D250" s="72"/>
      <c r="E250" s="72"/>
      <c r="F250" s="72"/>
      <c r="G250" s="72"/>
      <c r="H250" s="72"/>
      <c r="I250" s="72"/>
      <c r="J250" s="72"/>
      <c r="K250" s="72"/>
      <c r="L250" s="72"/>
      <c r="M250" s="72"/>
      <c r="N250" s="72"/>
      <c r="O250" s="72"/>
      <c r="P250" s="72"/>
      <c r="Q250" s="72"/>
      <c r="R250" s="72"/>
      <c r="S250" s="72"/>
      <c r="T250" s="72"/>
      <c r="U250" s="72"/>
      <c r="V250" s="72"/>
      <c r="W250" s="72"/>
      <c r="X250" s="72"/>
      <c r="Y250" s="72"/>
      <c r="Z250" s="72"/>
      <c r="AA250" s="72"/>
      <c r="AB250" s="72"/>
      <c r="AC250" s="72"/>
      <c r="AD250" s="72"/>
      <c r="AE250" s="72"/>
      <c r="AF250" s="72"/>
      <c r="AG250" s="72"/>
      <c r="AH250" s="72"/>
      <c r="AI250" s="72"/>
      <c r="AJ250" s="72"/>
      <c r="AK250" s="72"/>
      <c r="AL250" s="72"/>
      <c r="AM250" s="72"/>
      <c r="AN250" s="72"/>
      <c r="AO250" s="72"/>
      <c r="AP250" s="72"/>
      <c r="AQ250" s="72"/>
      <c r="AR250" s="72"/>
      <c r="AS250" s="72"/>
      <c r="AT250" s="72"/>
      <c r="AU250" s="72"/>
      <c r="AV250" s="72"/>
    </row>
    <row r="251" spans="1:48" s="37" customFormat="1" ht="16.5" x14ac:dyDescent="0.3">
      <c r="A251" s="72"/>
      <c r="B251" s="72"/>
      <c r="C251" s="72"/>
      <c r="D251" s="72"/>
      <c r="E251" s="72"/>
      <c r="F251" s="72"/>
      <c r="G251" s="72"/>
      <c r="H251" s="72"/>
      <c r="I251" s="72"/>
      <c r="J251" s="72"/>
      <c r="K251" s="72"/>
      <c r="L251" s="72"/>
      <c r="M251" s="72"/>
      <c r="N251" s="72"/>
      <c r="O251" s="72"/>
      <c r="P251" s="72"/>
      <c r="Q251" s="72"/>
      <c r="R251" s="72"/>
      <c r="S251" s="72"/>
      <c r="T251" s="72"/>
      <c r="U251" s="72"/>
      <c r="V251" s="72"/>
      <c r="W251" s="72"/>
      <c r="X251" s="72"/>
      <c r="Y251" s="72"/>
      <c r="Z251" s="72"/>
      <c r="AA251" s="72"/>
      <c r="AB251" s="72"/>
      <c r="AC251" s="72"/>
      <c r="AD251" s="72"/>
      <c r="AE251" s="72"/>
      <c r="AF251" s="72"/>
      <c r="AG251" s="72"/>
      <c r="AH251" s="72"/>
      <c r="AI251" s="72"/>
      <c r="AJ251" s="72"/>
      <c r="AK251" s="72"/>
      <c r="AL251" s="72"/>
      <c r="AM251" s="72"/>
      <c r="AN251" s="72"/>
      <c r="AO251" s="72"/>
      <c r="AP251" s="72"/>
      <c r="AQ251" s="72"/>
      <c r="AR251" s="72"/>
      <c r="AS251" s="72"/>
      <c r="AT251" s="72"/>
      <c r="AU251" s="72"/>
      <c r="AV251" s="72"/>
    </row>
    <row r="252" spans="1:48" s="37" customFormat="1" ht="16.5" x14ac:dyDescent="0.3">
      <c r="A252" s="72"/>
      <c r="B252" s="72"/>
      <c r="C252" s="72"/>
      <c r="D252" s="72"/>
      <c r="E252" s="72"/>
      <c r="F252" s="72"/>
      <c r="G252" s="72"/>
      <c r="H252" s="72"/>
      <c r="I252" s="72"/>
      <c r="J252" s="72"/>
      <c r="K252" s="72"/>
      <c r="L252" s="72"/>
      <c r="M252" s="72"/>
      <c r="N252" s="72"/>
      <c r="O252" s="72"/>
      <c r="P252" s="72"/>
      <c r="Q252" s="72"/>
      <c r="R252" s="72"/>
      <c r="S252" s="72"/>
      <c r="T252" s="72"/>
      <c r="U252" s="72"/>
      <c r="V252" s="72"/>
      <c r="W252" s="72"/>
      <c r="X252" s="72"/>
      <c r="Y252" s="72"/>
      <c r="Z252" s="72"/>
      <c r="AA252" s="72"/>
      <c r="AB252" s="72"/>
      <c r="AC252" s="72"/>
      <c r="AD252" s="72"/>
      <c r="AE252" s="72"/>
      <c r="AF252" s="72"/>
      <c r="AG252" s="72"/>
      <c r="AH252" s="72"/>
      <c r="AI252" s="72"/>
      <c r="AJ252" s="72"/>
      <c r="AK252" s="72"/>
      <c r="AL252" s="72"/>
      <c r="AM252" s="72"/>
      <c r="AN252" s="72"/>
      <c r="AO252" s="72"/>
      <c r="AP252" s="72"/>
      <c r="AQ252" s="72"/>
      <c r="AR252" s="72"/>
      <c r="AS252" s="72"/>
      <c r="AT252" s="72"/>
      <c r="AU252" s="72"/>
      <c r="AV252" s="72"/>
    </row>
    <row r="253" spans="1:48" s="37" customFormat="1" ht="16.5" x14ac:dyDescent="0.3">
      <c r="A253" s="72"/>
      <c r="B253" s="72"/>
      <c r="C253" s="72"/>
      <c r="D253" s="72"/>
      <c r="E253" s="72"/>
      <c r="F253" s="72"/>
      <c r="G253" s="72"/>
      <c r="H253" s="72"/>
      <c r="I253" s="72"/>
      <c r="J253" s="72"/>
      <c r="K253" s="72"/>
      <c r="L253" s="72"/>
      <c r="M253" s="72"/>
      <c r="N253" s="72"/>
      <c r="O253" s="72"/>
      <c r="P253" s="72"/>
      <c r="Q253" s="72"/>
      <c r="R253" s="72"/>
      <c r="S253" s="72"/>
      <c r="T253" s="72"/>
      <c r="U253" s="72"/>
      <c r="V253" s="72"/>
      <c r="W253" s="72"/>
      <c r="X253" s="72"/>
      <c r="Y253" s="72"/>
      <c r="Z253" s="72"/>
      <c r="AA253" s="72"/>
      <c r="AB253" s="72"/>
      <c r="AC253" s="72"/>
      <c r="AD253" s="72"/>
      <c r="AE253" s="72"/>
      <c r="AF253" s="72"/>
      <c r="AG253" s="72"/>
      <c r="AH253" s="72"/>
      <c r="AI253" s="72"/>
      <c r="AJ253" s="72"/>
      <c r="AK253" s="72"/>
      <c r="AL253" s="72"/>
      <c r="AM253" s="72"/>
      <c r="AN253" s="72"/>
      <c r="AO253" s="72"/>
      <c r="AP253" s="72"/>
      <c r="AQ253" s="72"/>
      <c r="AR253" s="72"/>
      <c r="AS253" s="72"/>
      <c r="AT253" s="72"/>
      <c r="AU253" s="72"/>
      <c r="AV253" s="72"/>
    </row>
    <row r="254" spans="1:48" s="37" customFormat="1" ht="16.5" x14ac:dyDescent="0.3">
      <c r="A254" s="72"/>
      <c r="B254" s="72"/>
      <c r="C254" s="72"/>
      <c r="D254" s="72"/>
      <c r="E254" s="72"/>
      <c r="F254" s="72"/>
      <c r="G254" s="72"/>
      <c r="H254" s="72"/>
      <c r="I254" s="72"/>
      <c r="J254" s="72"/>
      <c r="K254" s="72"/>
      <c r="L254" s="72"/>
      <c r="M254" s="72"/>
      <c r="N254" s="72"/>
      <c r="O254" s="72"/>
      <c r="P254" s="72"/>
      <c r="Q254" s="72"/>
      <c r="R254" s="72"/>
      <c r="S254" s="72"/>
      <c r="T254" s="72"/>
      <c r="U254" s="72"/>
      <c r="V254" s="72"/>
      <c r="W254" s="72"/>
      <c r="X254" s="72"/>
      <c r="Y254" s="72"/>
      <c r="Z254" s="72"/>
      <c r="AA254" s="72"/>
      <c r="AB254" s="72"/>
      <c r="AC254" s="72"/>
      <c r="AD254" s="72"/>
      <c r="AE254" s="72"/>
      <c r="AF254" s="72"/>
      <c r="AG254" s="72"/>
      <c r="AH254" s="72"/>
      <c r="AI254" s="72"/>
      <c r="AJ254" s="72"/>
      <c r="AK254" s="72"/>
      <c r="AL254" s="72"/>
      <c r="AM254" s="72"/>
      <c r="AN254" s="72"/>
      <c r="AO254" s="72"/>
      <c r="AP254" s="72"/>
      <c r="AQ254" s="72"/>
      <c r="AR254" s="72"/>
      <c r="AS254" s="72"/>
      <c r="AT254" s="72"/>
      <c r="AU254" s="72"/>
      <c r="AV254" s="72"/>
    </row>
    <row r="255" spans="1:48" s="37" customFormat="1" ht="16.5" x14ac:dyDescent="0.3">
      <c r="A255" s="72"/>
      <c r="B255" s="72"/>
      <c r="C255" s="72"/>
      <c r="D255" s="72"/>
      <c r="E255" s="72"/>
      <c r="F255" s="72"/>
      <c r="G255" s="72"/>
      <c r="H255" s="72"/>
      <c r="I255" s="72"/>
      <c r="J255" s="72"/>
      <c r="K255" s="72"/>
      <c r="L255" s="72"/>
      <c r="M255" s="72"/>
      <c r="N255" s="72"/>
      <c r="O255" s="72"/>
      <c r="P255" s="72"/>
      <c r="Q255" s="72"/>
      <c r="R255" s="72"/>
      <c r="S255" s="72"/>
      <c r="T255" s="72"/>
      <c r="U255" s="72"/>
      <c r="V255" s="72"/>
      <c r="W255" s="72"/>
      <c r="X255" s="72"/>
      <c r="Y255" s="72"/>
      <c r="Z255" s="72"/>
      <c r="AA255" s="72"/>
      <c r="AB255" s="72"/>
      <c r="AC255" s="72"/>
      <c r="AD255" s="72"/>
      <c r="AE255" s="72"/>
      <c r="AF255" s="72"/>
      <c r="AG255" s="72"/>
      <c r="AH255" s="72"/>
      <c r="AI255" s="72"/>
      <c r="AJ255" s="72"/>
      <c r="AK255" s="72"/>
      <c r="AL255" s="72"/>
      <c r="AM255" s="72"/>
      <c r="AN255" s="72"/>
      <c r="AO255" s="72"/>
      <c r="AP255" s="72"/>
      <c r="AQ255" s="72"/>
      <c r="AR255" s="72"/>
      <c r="AS255" s="72"/>
      <c r="AT255" s="72"/>
      <c r="AU255" s="72"/>
      <c r="AV255" s="72"/>
    </row>
    <row r="256" spans="1:48" s="37" customFormat="1" ht="16.5" x14ac:dyDescent="0.3">
      <c r="A256" s="72"/>
      <c r="B256" s="72"/>
      <c r="C256" s="72"/>
      <c r="D256" s="72"/>
      <c r="E256" s="72"/>
      <c r="F256" s="72"/>
      <c r="G256" s="72"/>
      <c r="H256" s="72"/>
      <c r="I256" s="72"/>
      <c r="J256" s="72"/>
      <c r="K256" s="72"/>
      <c r="L256" s="72"/>
      <c r="M256" s="72"/>
      <c r="N256" s="72"/>
      <c r="O256" s="72"/>
      <c r="P256" s="72"/>
      <c r="Q256" s="72"/>
      <c r="R256" s="72"/>
      <c r="S256" s="72"/>
      <c r="T256" s="72"/>
      <c r="U256" s="72"/>
      <c r="V256" s="72"/>
      <c r="W256" s="72"/>
      <c r="X256" s="72"/>
      <c r="Y256" s="72"/>
      <c r="Z256" s="72"/>
      <c r="AA256" s="72"/>
      <c r="AB256" s="72"/>
      <c r="AC256" s="72"/>
      <c r="AD256" s="72"/>
      <c r="AE256" s="72"/>
      <c r="AF256" s="72"/>
      <c r="AG256" s="72"/>
      <c r="AH256" s="72"/>
      <c r="AI256" s="72"/>
      <c r="AJ256" s="72"/>
      <c r="AK256" s="72"/>
      <c r="AL256" s="72"/>
      <c r="AM256" s="72"/>
      <c r="AN256" s="72"/>
      <c r="AO256" s="72"/>
      <c r="AP256" s="72"/>
      <c r="AQ256" s="72"/>
      <c r="AR256" s="72"/>
      <c r="AS256" s="72"/>
      <c r="AT256" s="72"/>
      <c r="AU256" s="72"/>
      <c r="AV256" s="72"/>
    </row>
    <row r="257" spans="1:48" s="37" customFormat="1" ht="16.5" x14ac:dyDescent="0.3">
      <c r="A257" s="72"/>
      <c r="B257" s="72"/>
      <c r="C257" s="72"/>
      <c r="D257" s="72"/>
      <c r="E257" s="72"/>
      <c r="F257" s="72"/>
      <c r="G257" s="72"/>
      <c r="H257" s="72"/>
      <c r="I257" s="72"/>
      <c r="J257" s="72"/>
      <c r="K257" s="72"/>
      <c r="L257" s="72"/>
      <c r="M257" s="72"/>
      <c r="N257" s="72"/>
      <c r="O257" s="72"/>
      <c r="P257" s="72"/>
      <c r="Q257" s="72"/>
      <c r="R257" s="72"/>
      <c r="S257" s="72"/>
      <c r="T257" s="72"/>
      <c r="U257" s="72"/>
      <c r="V257" s="72"/>
      <c r="W257" s="72"/>
      <c r="X257" s="72"/>
      <c r="Y257" s="72"/>
      <c r="Z257" s="72"/>
      <c r="AA257" s="72"/>
      <c r="AB257" s="72"/>
      <c r="AC257" s="72"/>
      <c r="AD257" s="72"/>
      <c r="AE257" s="72"/>
      <c r="AF257" s="72"/>
      <c r="AG257" s="72"/>
      <c r="AH257" s="72"/>
      <c r="AI257" s="72"/>
      <c r="AJ257" s="72"/>
      <c r="AK257" s="72"/>
      <c r="AL257" s="72"/>
      <c r="AM257" s="72"/>
      <c r="AN257" s="72"/>
      <c r="AO257" s="72"/>
      <c r="AP257" s="72"/>
      <c r="AQ257" s="72"/>
      <c r="AR257" s="72"/>
      <c r="AS257" s="72"/>
      <c r="AT257" s="72"/>
      <c r="AU257" s="72"/>
      <c r="AV257" s="72"/>
    </row>
    <row r="258" spans="1:48" s="37" customFormat="1" ht="16.5" x14ac:dyDescent="0.3">
      <c r="A258" s="72"/>
      <c r="B258" s="72"/>
      <c r="C258" s="72"/>
      <c r="D258" s="72"/>
      <c r="E258" s="72"/>
      <c r="F258" s="72"/>
      <c r="G258" s="72"/>
      <c r="H258" s="72"/>
      <c r="I258" s="72"/>
      <c r="J258" s="72"/>
      <c r="K258" s="72"/>
      <c r="L258" s="72"/>
      <c r="M258" s="72"/>
      <c r="N258" s="72"/>
      <c r="O258" s="72"/>
      <c r="P258" s="72"/>
      <c r="Q258" s="72"/>
      <c r="R258" s="72"/>
      <c r="S258" s="72"/>
      <c r="T258" s="72"/>
      <c r="U258" s="72"/>
      <c r="V258" s="72"/>
      <c r="W258" s="72"/>
      <c r="X258" s="72"/>
      <c r="Y258" s="72"/>
      <c r="Z258" s="72"/>
      <c r="AA258" s="72"/>
      <c r="AB258" s="72"/>
      <c r="AC258" s="72"/>
      <c r="AD258" s="72"/>
      <c r="AE258" s="72"/>
      <c r="AF258" s="72"/>
      <c r="AG258" s="72"/>
      <c r="AH258" s="72"/>
      <c r="AI258" s="72"/>
      <c r="AJ258" s="72"/>
      <c r="AK258" s="72"/>
      <c r="AL258" s="72"/>
      <c r="AM258" s="72"/>
      <c r="AN258" s="72"/>
      <c r="AO258" s="72"/>
      <c r="AP258" s="72"/>
      <c r="AQ258" s="72"/>
      <c r="AR258" s="72"/>
      <c r="AS258" s="72"/>
      <c r="AT258" s="72"/>
      <c r="AU258" s="72"/>
      <c r="AV258" s="72"/>
    </row>
    <row r="259" spans="1:48" s="37" customFormat="1" ht="16.5" x14ac:dyDescent="0.3">
      <c r="A259" s="72"/>
      <c r="B259" s="72"/>
      <c r="C259" s="72"/>
      <c r="D259" s="72"/>
      <c r="E259" s="72"/>
      <c r="F259" s="72"/>
      <c r="G259" s="72"/>
      <c r="H259" s="72"/>
      <c r="I259" s="72"/>
      <c r="J259" s="72"/>
      <c r="K259" s="72"/>
      <c r="L259" s="72"/>
      <c r="M259" s="72"/>
      <c r="N259" s="72"/>
      <c r="O259" s="72"/>
      <c r="P259" s="72"/>
      <c r="Q259" s="72"/>
      <c r="R259" s="72"/>
      <c r="S259" s="72"/>
      <c r="T259" s="72"/>
      <c r="U259" s="72"/>
      <c r="V259" s="72"/>
      <c r="W259" s="72"/>
      <c r="X259" s="72"/>
      <c r="Y259" s="72"/>
      <c r="Z259" s="72"/>
      <c r="AA259" s="72"/>
      <c r="AB259" s="72"/>
      <c r="AC259" s="72"/>
      <c r="AD259" s="72"/>
      <c r="AE259" s="72"/>
      <c r="AF259" s="72"/>
      <c r="AG259" s="72"/>
      <c r="AH259" s="72"/>
      <c r="AI259" s="72"/>
      <c r="AJ259" s="72"/>
      <c r="AK259" s="72"/>
      <c r="AL259" s="72"/>
      <c r="AM259" s="72"/>
      <c r="AN259" s="72"/>
      <c r="AO259" s="72"/>
      <c r="AP259" s="72"/>
      <c r="AQ259" s="72"/>
      <c r="AR259" s="72"/>
      <c r="AS259" s="72"/>
      <c r="AT259" s="72"/>
      <c r="AU259" s="72"/>
      <c r="AV259" s="72"/>
    </row>
    <row r="260" spans="1:48" s="37" customFormat="1" ht="16.5" x14ac:dyDescent="0.3">
      <c r="A260" s="72"/>
      <c r="B260" s="72"/>
      <c r="C260" s="72"/>
      <c r="D260" s="72"/>
      <c r="E260" s="72"/>
      <c r="F260" s="72"/>
      <c r="G260" s="72"/>
      <c r="H260" s="72"/>
      <c r="I260" s="72"/>
      <c r="J260" s="72"/>
      <c r="K260" s="72"/>
      <c r="L260" s="72"/>
      <c r="M260" s="72"/>
      <c r="N260" s="72"/>
      <c r="O260" s="72"/>
      <c r="P260" s="72"/>
      <c r="Q260" s="72"/>
      <c r="R260" s="72"/>
      <c r="S260" s="72"/>
      <c r="T260" s="72"/>
      <c r="U260" s="72"/>
      <c r="V260" s="72"/>
      <c r="W260" s="72"/>
      <c r="X260" s="72"/>
      <c r="Y260" s="72"/>
      <c r="Z260" s="72"/>
      <c r="AA260" s="72"/>
      <c r="AB260" s="72"/>
      <c r="AC260" s="72"/>
      <c r="AD260" s="72"/>
      <c r="AE260" s="72"/>
      <c r="AF260" s="72"/>
      <c r="AG260" s="72"/>
      <c r="AH260" s="72"/>
      <c r="AI260" s="72"/>
      <c r="AJ260" s="72"/>
      <c r="AK260" s="72"/>
      <c r="AL260" s="72"/>
      <c r="AM260" s="72"/>
      <c r="AN260" s="72"/>
      <c r="AO260" s="72"/>
      <c r="AP260" s="72"/>
      <c r="AQ260" s="72"/>
      <c r="AR260" s="72"/>
      <c r="AS260" s="72"/>
      <c r="AT260" s="72"/>
      <c r="AU260" s="72"/>
      <c r="AV260" s="72"/>
    </row>
    <row r="261" spans="1:48" s="37" customFormat="1" ht="16.5" x14ac:dyDescent="0.3">
      <c r="A261" s="72"/>
      <c r="B261" s="72"/>
      <c r="C261" s="72"/>
      <c r="D261" s="72"/>
      <c r="E261" s="72"/>
      <c r="F261" s="72"/>
      <c r="G261" s="72"/>
      <c r="H261" s="72"/>
      <c r="I261" s="72"/>
      <c r="J261" s="72"/>
      <c r="K261" s="72"/>
      <c r="L261" s="72"/>
      <c r="M261" s="72"/>
      <c r="N261" s="72"/>
      <c r="O261" s="72"/>
      <c r="P261" s="72"/>
      <c r="Q261" s="72"/>
      <c r="R261" s="72"/>
      <c r="S261" s="72"/>
      <c r="T261" s="72"/>
      <c r="U261" s="72"/>
      <c r="V261" s="72"/>
      <c r="W261" s="72"/>
      <c r="X261" s="72"/>
      <c r="Y261" s="72"/>
      <c r="Z261" s="72"/>
      <c r="AA261" s="72"/>
      <c r="AB261" s="72"/>
      <c r="AC261" s="72"/>
      <c r="AD261" s="72"/>
      <c r="AE261" s="72"/>
      <c r="AF261" s="72"/>
      <c r="AG261" s="72"/>
      <c r="AH261" s="72"/>
      <c r="AI261" s="72"/>
      <c r="AJ261" s="72"/>
      <c r="AK261" s="72"/>
      <c r="AL261" s="72"/>
      <c r="AM261" s="72"/>
      <c r="AN261" s="72"/>
      <c r="AO261" s="72"/>
      <c r="AP261" s="72"/>
      <c r="AQ261" s="72"/>
      <c r="AR261" s="72"/>
      <c r="AS261" s="72"/>
      <c r="AT261" s="72"/>
      <c r="AU261" s="72"/>
      <c r="AV261" s="72"/>
    </row>
    <row r="262" spans="1:48" s="37" customFormat="1" ht="16.5" x14ac:dyDescent="0.3">
      <c r="A262" s="72"/>
      <c r="B262" s="72"/>
      <c r="C262" s="72"/>
      <c r="D262" s="72"/>
      <c r="E262" s="72"/>
      <c r="F262" s="72"/>
      <c r="G262" s="72"/>
      <c r="H262" s="72"/>
      <c r="I262" s="72"/>
      <c r="J262" s="72"/>
      <c r="K262" s="72"/>
      <c r="L262" s="72"/>
      <c r="M262" s="72"/>
      <c r="N262" s="72"/>
      <c r="O262" s="72"/>
      <c r="P262" s="72"/>
      <c r="Q262" s="72"/>
      <c r="R262" s="72"/>
      <c r="S262" s="72"/>
      <c r="T262" s="72"/>
      <c r="U262" s="72"/>
      <c r="V262" s="72"/>
      <c r="W262" s="72"/>
      <c r="X262" s="72"/>
      <c r="Y262" s="72"/>
      <c r="Z262" s="72"/>
      <c r="AA262" s="72"/>
      <c r="AB262" s="72"/>
      <c r="AC262" s="72"/>
      <c r="AD262" s="72"/>
      <c r="AE262" s="72"/>
      <c r="AF262" s="72"/>
      <c r="AG262" s="72"/>
      <c r="AH262" s="72"/>
      <c r="AI262" s="72"/>
      <c r="AJ262" s="72"/>
      <c r="AK262" s="72"/>
      <c r="AL262" s="72"/>
      <c r="AM262" s="72"/>
      <c r="AN262" s="72"/>
      <c r="AO262" s="72"/>
      <c r="AP262" s="72"/>
      <c r="AQ262" s="72"/>
      <c r="AR262" s="72"/>
      <c r="AS262" s="72"/>
      <c r="AT262" s="72"/>
      <c r="AU262" s="72"/>
      <c r="AV262" s="72"/>
    </row>
    <row r="263" spans="1:48" s="37" customFormat="1" ht="16.5" x14ac:dyDescent="0.3">
      <c r="A263" s="72"/>
      <c r="B263" s="72"/>
      <c r="C263" s="72"/>
      <c r="D263" s="72"/>
      <c r="E263" s="72"/>
      <c r="F263" s="72"/>
      <c r="G263" s="72"/>
      <c r="H263" s="72"/>
      <c r="I263" s="72"/>
      <c r="J263" s="72"/>
      <c r="K263" s="72"/>
      <c r="L263" s="72"/>
      <c r="M263" s="72"/>
      <c r="N263" s="72"/>
      <c r="O263" s="72"/>
      <c r="P263" s="72"/>
      <c r="Q263" s="72"/>
      <c r="R263" s="72"/>
      <c r="S263" s="72"/>
      <c r="T263" s="72"/>
      <c r="U263" s="72"/>
      <c r="V263" s="72"/>
      <c r="W263" s="72"/>
      <c r="X263" s="72"/>
      <c r="Y263" s="72"/>
      <c r="Z263" s="72"/>
      <c r="AA263" s="72"/>
      <c r="AB263" s="72"/>
      <c r="AC263" s="72"/>
      <c r="AD263" s="72"/>
      <c r="AE263" s="72"/>
      <c r="AF263" s="72"/>
      <c r="AG263" s="72"/>
      <c r="AH263" s="72"/>
      <c r="AI263" s="72"/>
      <c r="AJ263" s="72"/>
      <c r="AK263" s="72"/>
      <c r="AL263" s="72"/>
      <c r="AM263" s="72"/>
      <c r="AN263" s="72"/>
      <c r="AO263" s="72"/>
      <c r="AP263" s="72"/>
      <c r="AQ263" s="72"/>
      <c r="AR263" s="72"/>
      <c r="AS263" s="72"/>
      <c r="AT263" s="72"/>
      <c r="AU263" s="72"/>
      <c r="AV263" s="72"/>
    </row>
    <row r="264" spans="1:48" s="37" customFormat="1" ht="16.5" x14ac:dyDescent="0.3">
      <c r="A264" s="72"/>
      <c r="B264" s="72"/>
      <c r="C264" s="72"/>
      <c r="D264" s="72"/>
      <c r="E264" s="72"/>
      <c r="F264" s="72"/>
      <c r="G264" s="72"/>
      <c r="H264" s="72"/>
      <c r="I264" s="72"/>
      <c r="J264" s="72"/>
      <c r="K264" s="72"/>
      <c r="L264" s="72"/>
      <c r="M264" s="72"/>
      <c r="N264" s="72"/>
      <c r="O264" s="72"/>
      <c r="P264" s="72"/>
      <c r="Q264" s="72"/>
      <c r="R264" s="72"/>
      <c r="S264" s="72"/>
      <c r="T264" s="72"/>
      <c r="U264" s="72"/>
      <c r="V264" s="72"/>
      <c r="W264" s="72"/>
      <c r="X264" s="72"/>
      <c r="Y264" s="72"/>
      <c r="Z264" s="72"/>
      <c r="AA264" s="72"/>
      <c r="AB264" s="72"/>
      <c r="AC264" s="72"/>
      <c r="AD264" s="72"/>
      <c r="AE264" s="72"/>
      <c r="AF264" s="72"/>
      <c r="AG264" s="72"/>
      <c r="AH264" s="72"/>
      <c r="AI264" s="72"/>
      <c r="AJ264" s="72"/>
      <c r="AK264" s="72"/>
      <c r="AL264" s="72"/>
      <c r="AM264" s="72"/>
      <c r="AN264" s="72"/>
      <c r="AO264" s="72"/>
      <c r="AP264" s="72"/>
      <c r="AQ264" s="72"/>
      <c r="AR264" s="72"/>
      <c r="AS264" s="72"/>
      <c r="AT264" s="72"/>
      <c r="AU264" s="72"/>
      <c r="AV264" s="72"/>
    </row>
    <row r="265" spans="1:48" s="37" customFormat="1" ht="16.5" x14ac:dyDescent="0.3">
      <c r="A265" s="72"/>
      <c r="B265" s="72"/>
      <c r="C265" s="72"/>
      <c r="D265" s="72"/>
      <c r="E265" s="72"/>
      <c r="F265" s="72"/>
      <c r="G265" s="72"/>
      <c r="H265" s="72"/>
      <c r="I265" s="72"/>
      <c r="J265" s="72"/>
      <c r="K265" s="72"/>
      <c r="L265" s="72"/>
      <c r="M265" s="72"/>
      <c r="N265" s="72"/>
      <c r="O265" s="72"/>
      <c r="P265" s="72"/>
      <c r="Q265" s="72"/>
      <c r="R265" s="72"/>
      <c r="S265" s="72"/>
      <c r="T265" s="72"/>
      <c r="U265" s="72"/>
      <c r="V265" s="72"/>
      <c r="W265" s="72"/>
      <c r="X265" s="72"/>
      <c r="Y265" s="72"/>
      <c r="Z265" s="72"/>
      <c r="AA265" s="72"/>
      <c r="AB265" s="72"/>
      <c r="AC265" s="72"/>
      <c r="AD265" s="72"/>
      <c r="AE265" s="72"/>
      <c r="AF265" s="72"/>
      <c r="AG265" s="72"/>
      <c r="AH265" s="72"/>
      <c r="AI265" s="72"/>
      <c r="AJ265" s="72"/>
      <c r="AK265" s="72"/>
      <c r="AL265" s="72"/>
      <c r="AM265" s="72"/>
      <c r="AN265" s="72"/>
      <c r="AO265" s="72"/>
      <c r="AP265" s="72"/>
      <c r="AQ265" s="72"/>
      <c r="AR265" s="72"/>
      <c r="AS265" s="72"/>
      <c r="AT265" s="72"/>
      <c r="AU265" s="72"/>
      <c r="AV265" s="72"/>
    </row>
    <row r="266" spans="1:48" s="37" customFormat="1" ht="16.5" x14ac:dyDescent="0.3">
      <c r="A266" s="72"/>
      <c r="B266" s="72"/>
      <c r="C266" s="72"/>
      <c r="D266" s="72"/>
      <c r="E266" s="72"/>
      <c r="F266" s="72"/>
      <c r="G266" s="72"/>
      <c r="H266" s="72"/>
      <c r="I266" s="72"/>
      <c r="J266" s="72"/>
      <c r="K266" s="72"/>
      <c r="L266" s="72"/>
      <c r="M266" s="72"/>
      <c r="N266" s="72"/>
      <c r="O266" s="72"/>
      <c r="P266" s="72"/>
      <c r="Q266" s="72"/>
      <c r="R266" s="72"/>
      <c r="S266" s="72"/>
      <c r="T266" s="72"/>
      <c r="U266" s="72"/>
      <c r="V266" s="72"/>
      <c r="W266" s="72"/>
      <c r="X266" s="72"/>
      <c r="Y266" s="72"/>
      <c r="Z266" s="72"/>
      <c r="AA266" s="72"/>
      <c r="AB266" s="72"/>
      <c r="AC266" s="72"/>
      <c r="AD266" s="72"/>
      <c r="AE266" s="72"/>
      <c r="AF266" s="72"/>
      <c r="AG266" s="72"/>
      <c r="AH266" s="72"/>
      <c r="AI266" s="72"/>
      <c r="AJ266" s="72"/>
      <c r="AK266" s="72"/>
      <c r="AL266" s="72"/>
      <c r="AM266" s="72"/>
      <c r="AN266" s="72"/>
      <c r="AO266" s="72"/>
      <c r="AP266" s="72"/>
      <c r="AQ266" s="72"/>
      <c r="AR266" s="72"/>
      <c r="AS266" s="72"/>
      <c r="AT266" s="72"/>
      <c r="AU266" s="72"/>
      <c r="AV266" s="72"/>
    </row>
    <row r="267" spans="1:48" s="37" customFormat="1" ht="16.5" x14ac:dyDescent="0.3">
      <c r="A267" s="72"/>
      <c r="B267" s="72"/>
      <c r="C267" s="72"/>
      <c r="D267" s="72"/>
      <c r="E267" s="72"/>
      <c r="F267" s="72"/>
      <c r="G267" s="72"/>
      <c r="H267" s="72"/>
      <c r="I267" s="72"/>
      <c r="J267" s="72"/>
      <c r="K267" s="72"/>
      <c r="L267" s="72"/>
      <c r="M267" s="72"/>
      <c r="N267" s="72"/>
      <c r="O267" s="72"/>
      <c r="P267" s="72"/>
      <c r="Q267" s="72"/>
      <c r="R267" s="72"/>
      <c r="S267" s="72"/>
      <c r="T267" s="72"/>
      <c r="U267" s="72"/>
      <c r="V267" s="72"/>
      <c r="W267" s="72"/>
      <c r="X267" s="72"/>
      <c r="Y267" s="72"/>
      <c r="Z267" s="72"/>
      <c r="AA267" s="72"/>
      <c r="AB267" s="72"/>
      <c r="AC267" s="72"/>
      <c r="AD267" s="72"/>
      <c r="AE267" s="72"/>
      <c r="AF267" s="72"/>
      <c r="AG267" s="72"/>
      <c r="AH267" s="72"/>
      <c r="AI267" s="72"/>
      <c r="AJ267" s="72"/>
      <c r="AK267" s="72"/>
      <c r="AL267" s="72"/>
      <c r="AM267" s="72"/>
      <c r="AN267" s="72"/>
      <c r="AO267" s="72"/>
      <c r="AP267" s="72"/>
      <c r="AQ267" s="72"/>
      <c r="AR267" s="72"/>
      <c r="AS267" s="72"/>
      <c r="AT267" s="72"/>
      <c r="AU267" s="72"/>
      <c r="AV267" s="72"/>
    </row>
    <row r="268" spans="1:48" s="37" customFormat="1" ht="16.5" x14ac:dyDescent="0.3">
      <c r="A268" s="72"/>
      <c r="B268" s="72"/>
      <c r="C268" s="72"/>
      <c r="D268" s="72"/>
      <c r="E268" s="72"/>
      <c r="F268" s="72"/>
      <c r="G268" s="72"/>
      <c r="H268" s="72"/>
      <c r="I268" s="72"/>
      <c r="J268" s="72"/>
      <c r="K268" s="72"/>
      <c r="L268" s="72"/>
      <c r="M268" s="72"/>
      <c r="N268" s="72"/>
      <c r="O268" s="72"/>
      <c r="P268" s="72"/>
      <c r="Q268" s="72"/>
      <c r="R268" s="72"/>
      <c r="S268" s="72"/>
      <c r="T268" s="72"/>
      <c r="U268" s="72"/>
      <c r="V268" s="72"/>
      <c r="W268" s="72"/>
      <c r="X268" s="72"/>
      <c r="Y268" s="72"/>
      <c r="Z268" s="72"/>
      <c r="AA268" s="72"/>
      <c r="AB268" s="72"/>
      <c r="AC268" s="72"/>
      <c r="AD268" s="72"/>
      <c r="AE268" s="72"/>
      <c r="AF268" s="72"/>
      <c r="AG268" s="72"/>
      <c r="AH268" s="72"/>
      <c r="AI268" s="72"/>
      <c r="AJ268" s="72"/>
      <c r="AK268" s="72"/>
      <c r="AL268" s="72"/>
      <c r="AM268" s="72"/>
      <c r="AN268" s="72"/>
      <c r="AO268" s="72"/>
      <c r="AP268" s="72"/>
      <c r="AQ268" s="72"/>
      <c r="AR268" s="72"/>
      <c r="AS268" s="72"/>
      <c r="AT268" s="72"/>
      <c r="AU268" s="72"/>
      <c r="AV268" s="72"/>
    </row>
    <row r="269" spans="1:48" s="37" customFormat="1" ht="16.5" x14ac:dyDescent="0.3">
      <c r="A269" s="72"/>
      <c r="B269" s="72"/>
      <c r="C269" s="72"/>
      <c r="D269" s="72"/>
      <c r="E269" s="72"/>
      <c r="F269" s="72"/>
      <c r="G269" s="72"/>
      <c r="H269" s="72"/>
      <c r="I269" s="72"/>
      <c r="J269" s="72"/>
      <c r="K269" s="72"/>
      <c r="L269" s="72"/>
      <c r="M269" s="72"/>
      <c r="N269" s="72"/>
      <c r="O269" s="72"/>
      <c r="P269" s="72"/>
      <c r="Q269" s="72"/>
      <c r="R269" s="72"/>
      <c r="S269" s="72"/>
      <c r="T269" s="72"/>
      <c r="U269" s="72"/>
      <c r="V269" s="72"/>
      <c r="W269" s="72"/>
      <c r="X269" s="72"/>
      <c r="Y269" s="72"/>
      <c r="Z269" s="72"/>
      <c r="AA269" s="72"/>
      <c r="AB269" s="72"/>
      <c r="AC269" s="72"/>
      <c r="AD269" s="72"/>
      <c r="AE269" s="72"/>
      <c r="AF269" s="72"/>
      <c r="AG269" s="72"/>
      <c r="AH269" s="72"/>
      <c r="AI269" s="72"/>
      <c r="AJ269" s="72"/>
      <c r="AK269" s="72"/>
      <c r="AL269" s="72"/>
      <c r="AM269" s="72"/>
      <c r="AN269" s="72"/>
      <c r="AO269" s="72"/>
      <c r="AP269" s="72"/>
      <c r="AQ269" s="72"/>
      <c r="AR269" s="72"/>
      <c r="AS269" s="72"/>
      <c r="AT269" s="72"/>
      <c r="AU269" s="72"/>
      <c r="AV269" s="72"/>
    </row>
    <row r="270" spans="1:48" s="37" customFormat="1" ht="16.5" x14ac:dyDescent="0.3">
      <c r="A270" s="72"/>
      <c r="B270" s="72"/>
      <c r="C270" s="72"/>
      <c r="D270" s="72"/>
      <c r="E270" s="72"/>
      <c r="F270" s="72"/>
      <c r="G270" s="72"/>
      <c r="H270" s="72"/>
      <c r="I270" s="72"/>
      <c r="J270" s="72"/>
      <c r="K270" s="72"/>
      <c r="L270" s="72"/>
      <c r="M270" s="72"/>
      <c r="N270" s="72"/>
      <c r="O270" s="72"/>
      <c r="P270" s="72"/>
      <c r="Q270" s="72"/>
      <c r="R270" s="72"/>
      <c r="S270" s="72"/>
      <c r="T270" s="72"/>
      <c r="U270" s="72"/>
      <c r="V270" s="72"/>
      <c r="W270" s="72"/>
      <c r="X270" s="72"/>
      <c r="Y270" s="72"/>
      <c r="Z270" s="72"/>
      <c r="AA270" s="72"/>
      <c r="AB270" s="72"/>
      <c r="AC270" s="72"/>
      <c r="AD270" s="72"/>
      <c r="AE270" s="72"/>
      <c r="AF270" s="72"/>
      <c r="AG270" s="72"/>
      <c r="AH270" s="72"/>
      <c r="AI270" s="72"/>
      <c r="AJ270" s="72"/>
      <c r="AK270" s="72"/>
      <c r="AL270" s="72"/>
      <c r="AM270" s="72"/>
      <c r="AN270" s="72"/>
      <c r="AO270" s="72"/>
      <c r="AP270" s="72"/>
      <c r="AQ270" s="72"/>
      <c r="AR270" s="72"/>
      <c r="AS270" s="72"/>
      <c r="AT270" s="72"/>
      <c r="AU270" s="72"/>
      <c r="AV270" s="72"/>
    </row>
    <row r="271" spans="1:48" s="37" customFormat="1" ht="16.5" x14ac:dyDescent="0.3">
      <c r="A271" s="72"/>
      <c r="B271" s="72"/>
      <c r="C271" s="72"/>
      <c r="D271" s="72"/>
      <c r="E271" s="72"/>
      <c r="F271" s="72"/>
      <c r="G271" s="72"/>
      <c r="H271" s="72"/>
      <c r="I271" s="72"/>
      <c r="J271" s="72"/>
      <c r="K271" s="72"/>
      <c r="L271" s="72"/>
      <c r="M271" s="72"/>
      <c r="N271" s="72"/>
      <c r="O271" s="72"/>
      <c r="P271" s="72"/>
      <c r="Q271" s="72"/>
      <c r="R271" s="72"/>
      <c r="S271" s="72"/>
      <c r="T271" s="72"/>
      <c r="U271" s="72"/>
      <c r="V271" s="72"/>
      <c r="W271" s="72"/>
      <c r="X271" s="72"/>
      <c r="Y271" s="72"/>
      <c r="Z271" s="72"/>
      <c r="AA271" s="72"/>
      <c r="AB271" s="72"/>
      <c r="AC271" s="72"/>
      <c r="AD271" s="72"/>
      <c r="AE271" s="72"/>
      <c r="AF271" s="72"/>
      <c r="AG271" s="72"/>
      <c r="AH271" s="72"/>
      <c r="AI271" s="72"/>
      <c r="AJ271" s="72"/>
      <c r="AK271" s="72"/>
      <c r="AL271" s="72"/>
      <c r="AM271" s="72"/>
      <c r="AN271" s="72"/>
      <c r="AO271" s="72"/>
      <c r="AP271" s="72"/>
      <c r="AQ271" s="72"/>
      <c r="AR271" s="72"/>
      <c r="AS271" s="72"/>
      <c r="AT271" s="72"/>
      <c r="AU271" s="72"/>
      <c r="AV271" s="72"/>
    </row>
    <row r="272" spans="1:48" s="37" customFormat="1" ht="16.5" x14ac:dyDescent="0.3">
      <c r="A272" s="72"/>
      <c r="B272" s="72"/>
      <c r="C272" s="72"/>
      <c r="D272" s="72"/>
      <c r="E272" s="72"/>
      <c r="F272" s="72"/>
      <c r="G272" s="72"/>
      <c r="H272" s="72"/>
      <c r="I272" s="72"/>
      <c r="J272" s="72"/>
      <c r="K272" s="72"/>
      <c r="L272" s="72"/>
      <c r="M272" s="72"/>
      <c r="N272" s="72"/>
      <c r="O272" s="72"/>
      <c r="P272" s="72"/>
      <c r="Q272" s="72"/>
      <c r="R272" s="72"/>
      <c r="S272" s="72"/>
      <c r="T272" s="72"/>
      <c r="U272" s="72"/>
      <c r="V272" s="72"/>
      <c r="W272" s="72"/>
      <c r="X272" s="72"/>
      <c r="Y272" s="72"/>
      <c r="Z272" s="72"/>
      <c r="AA272" s="72"/>
      <c r="AB272" s="72"/>
      <c r="AC272" s="72"/>
      <c r="AD272" s="72"/>
      <c r="AE272" s="72"/>
      <c r="AF272" s="72"/>
      <c r="AG272" s="72"/>
      <c r="AH272" s="72"/>
      <c r="AI272" s="72"/>
      <c r="AJ272" s="72"/>
      <c r="AK272" s="72"/>
      <c r="AL272" s="72"/>
      <c r="AM272" s="72"/>
      <c r="AN272" s="72"/>
      <c r="AO272" s="72"/>
      <c r="AP272" s="72"/>
      <c r="AQ272" s="72"/>
      <c r="AR272" s="72"/>
      <c r="AS272" s="72"/>
      <c r="AT272" s="72"/>
      <c r="AU272" s="72"/>
      <c r="AV272" s="72"/>
    </row>
    <row r="273" spans="1:48" s="37" customFormat="1" ht="16.5" x14ac:dyDescent="0.3">
      <c r="A273" s="72"/>
      <c r="B273" s="72"/>
      <c r="C273" s="72"/>
      <c r="D273" s="72"/>
      <c r="E273" s="72"/>
      <c r="F273" s="72"/>
      <c r="G273" s="72"/>
      <c r="H273" s="72"/>
      <c r="I273" s="72"/>
      <c r="J273" s="72"/>
      <c r="K273" s="72"/>
      <c r="L273" s="72"/>
      <c r="M273" s="72"/>
      <c r="N273" s="72"/>
      <c r="O273" s="72"/>
      <c r="P273" s="72"/>
      <c r="Q273" s="72"/>
      <c r="R273" s="72"/>
      <c r="S273" s="72"/>
      <c r="T273" s="72"/>
      <c r="U273" s="72"/>
      <c r="V273" s="72"/>
      <c r="W273" s="72"/>
      <c r="X273" s="72"/>
      <c r="Y273" s="72"/>
      <c r="Z273" s="72"/>
      <c r="AA273" s="72"/>
      <c r="AB273" s="72"/>
      <c r="AC273" s="72"/>
      <c r="AD273" s="72"/>
      <c r="AE273" s="72"/>
      <c r="AF273" s="72"/>
      <c r="AG273" s="72"/>
      <c r="AH273" s="72"/>
      <c r="AI273" s="72"/>
      <c r="AJ273" s="72"/>
      <c r="AK273" s="72"/>
      <c r="AL273" s="72"/>
      <c r="AM273" s="72"/>
      <c r="AN273" s="72"/>
      <c r="AO273" s="72"/>
      <c r="AP273" s="72"/>
      <c r="AQ273" s="72"/>
      <c r="AR273" s="72"/>
      <c r="AS273" s="72"/>
      <c r="AT273" s="72"/>
      <c r="AU273" s="72"/>
      <c r="AV273" s="72"/>
    </row>
    <row r="274" spans="1:48" s="37" customFormat="1" ht="16.5" x14ac:dyDescent="0.3">
      <c r="A274" s="72"/>
      <c r="B274" s="72"/>
      <c r="C274" s="72"/>
      <c r="D274" s="72"/>
      <c r="E274" s="72"/>
      <c r="F274" s="72"/>
      <c r="G274" s="72"/>
      <c r="H274" s="72"/>
      <c r="I274" s="72"/>
      <c r="J274" s="72"/>
      <c r="K274" s="72"/>
      <c r="L274" s="72"/>
      <c r="M274" s="72"/>
      <c r="N274" s="72"/>
      <c r="O274" s="72"/>
      <c r="P274" s="72"/>
      <c r="Q274" s="72"/>
      <c r="R274" s="72"/>
      <c r="S274" s="72"/>
      <c r="T274" s="72"/>
      <c r="U274" s="72"/>
      <c r="V274" s="72"/>
      <c r="W274" s="72"/>
      <c r="X274" s="72"/>
      <c r="Y274" s="72"/>
      <c r="Z274" s="72"/>
      <c r="AA274" s="72"/>
      <c r="AB274" s="72"/>
      <c r="AC274" s="72"/>
      <c r="AD274" s="72"/>
      <c r="AE274" s="72"/>
      <c r="AF274" s="72"/>
      <c r="AG274" s="72"/>
      <c r="AH274" s="72"/>
      <c r="AI274" s="72"/>
      <c r="AJ274" s="72"/>
      <c r="AK274" s="72"/>
      <c r="AL274" s="72"/>
      <c r="AM274" s="72"/>
      <c r="AN274" s="72"/>
      <c r="AO274" s="72"/>
      <c r="AP274" s="72"/>
      <c r="AQ274" s="72"/>
      <c r="AR274" s="72"/>
      <c r="AS274" s="72"/>
      <c r="AT274" s="72"/>
      <c r="AU274" s="72"/>
      <c r="AV274" s="72"/>
    </row>
    <row r="275" spans="1:48" s="37" customFormat="1" ht="16.5" x14ac:dyDescent="0.3">
      <c r="A275" s="72"/>
      <c r="B275" s="72"/>
      <c r="C275" s="72"/>
      <c r="D275" s="72"/>
      <c r="E275" s="72"/>
      <c r="F275" s="72"/>
      <c r="G275" s="72"/>
      <c r="H275" s="72"/>
      <c r="I275" s="72"/>
      <c r="J275" s="72"/>
      <c r="K275" s="72"/>
      <c r="L275" s="72"/>
      <c r="M275" s="72"/>
      <c r="N275" s="72"/>
      <c r="O275" s="72"/>
      <c r="P275" s="72"/>
      <c r="Q275" s="72"/>
      <c r="R275" s="72"/>
      <c r="S275" s="72"/>
      <c r="T275" s="72"/>
      <c r="U275" s="72"/>
      <c r="V275" s="72"/>
      <c r="W275" s="72"/>
      <c r="X275" s="72"/>
      <c r="Y275" s="72"/>
      <c r="Z275" s="72"/>
      <c r="AA275" s="72"/>
      <c r="AB275" s="72"/>
      <c r="AC275" s="72"/>
      <c r="AD275" s="72"/>
      <c r="AE275" s="72"/>
      <c r="AF275" s="72"/>
      <c r="AG275" s="72"/>
      <c r="AH275" s="72"/>
      <c r="AI275" s="72"/>
      <c r="AJ275" s="72"/>
      <c r="AK275" s="72"/>
      <c r="AL275" s="72"/>
      <c r="AM275" s="72"/>
      <c r="AN275" s="72"/>
      <c r="AO275" s="72"/>
      <c r="AP275" s="72"/>
      <c r="AQ275" s="72"/>
      <c r="AR275" s="72"/>
      <c r="AS275" s="72"/>
      <c r="AT275" s="72"/>
      <c r="AU275" s="72"/>
      <c r="AV275" s="72"/>
    </row>
    <row r="276" spans="1:48" s="37" customFormat="1" ht="16.5" x14ac:dyDescent="0.3">
      <c r="A276" s="72"/>
      <c r="B276" s="72"/>
      <c r="C276" s="72"/>
      <c r="D276" s="72"/>
      <c r="E276" s="72"/>
      <c r="F276" s="72"/>
      <c r="G276" s="72"/>
      <c r="H276" s="72"/>
      <c r="I276" s="72"/>
      <c r="J276" s="72"/>
      <c r="K276" s="72"/>
      <c r="L276" s="72"/>
      <c r="M276" s="72"/>
      <c r="N276" s="72"/>
      <c r="O276" s="72"/>
      <c r="P276" s="72"/>
      <c r="Q276" s="72"/>
      <c r="R276" s="72"/>
      <c r="S276" s="72"/>
      <c r="T276" s="72"/>
      <c r="U276" s="72"/>
      <c r="V276" s="72"/>
      <c r="W276" s="72"/>
      <c r="X276" s="72"/>
      <c r="Y276" s="72"/>
      <c r="Z276" s="72"/>
      <c r="AA276" s="72"/>
      <c r="AB276" s="72"/>
      <c r="AC276" s="72"/>
      <c r="AD276" s="72"/>
      <c r="AE276" s="72"/>
      <c r="AF276" s="72"/>
      <c r="AG276" s="72"/>
      <c r="AH276" s="72"/>
      <c r="AI276" s="72"/>
      <c r="AJ276" s="72"/>
      <c r="AK276" s="72"/>
      <c r="AL276" s="72"/>
      <c r="AM276" s="72"/>
      <c r="AN276" s="72"/>
      <c r="AO276" s="72"/>
      <c r="AP276" s="72"/>
      <c r="AQ276" s="72"/>
      <c r="AR276" s="72"/>
      <c r="AS276" s="72"/>
      <c r="AT276" s="72"/>
      <c r="AU276" s="72"/>
      <c r="AV276" s="72"/>
    </row>
    <row r="277" spans="1:48" s="37" customFormat="1" ht="16.5" x14ac:dyDescent="0.3">
      <c r="A277" s="72"/>
      <c r="B277" s="72"/>
      <c r="C277" s="72"/>
      <c r="D277" s="72"/>
      <c r="E277" s="72"/>
      <c r="F277" s="72"/>
      <c r="G277" s="72"/>
      <c r="H277" s="72"/>
      <c r="I277" s="72"/>
      <c r="J277" s="72"/>
      <c r="K277" s="72"/>
      <c r="L277" s="72"/>
      <c r="M277" s="72"/>
      <c r="N277" s="72"/>
      <c r="O277" s="72"/>
      <c r="P277" s="72"/>
      <c r="Q277" s="72"/>
      <c r="R277" s="72"/>
      <c r="S277" s="72"/>
      <c r="T277" s="72"/>
      <c r="U277" s="72"/>
      <c r="V277" s="72"/>
      <c r="W277" s="72"/>
      <c r="X277" s="72"/>
      <c r="Y277" s="72"/>
      <c r="Z277" s="72"/>
      <c r="AA277" s="72"/>
      <c r="AB277" s="72"/>
      <c r="AC277" s="72"/>
      <c r="AD277" s="72"/>
      <c r="AE277" s="72"/>
      <c r="AF277" s="72"/>
      <c r="AG277" s="72"/>
      <c r="AH277" s="72"/>
      <c r="AI277" s="72"/>
      <c r="AJ277" s="72"/>
      <c r="AK277" s="72"/>
      <c r="AL277" s="72"/>
      <c r="AM277" s="72"/>
      <c r="AN277" s="72"/>
      <c r="AO277" s="72"/>
      <c r="AP277" s="72"/>
      <c r="AQ277" s="72"/>
      <c r="AR277" s="72"/>
      <c r="AS277" s="72"/>
      <c r="AT277" s="72"/>
      <c r="AU277" s="72"/>
      <c r="AV277" s="72"/>
    </row>
    <row r="278" spans="1:48" s="37" customFormat="1" ht="16.5" x14ac:dyDescent="0.3">
      <c r="A278" s="72"/>
      <c r="B278" s="72"/>
      <c r="C278" s="72"/>
      <c r="D278" s="72"/>
      <c r="E278" s="72"/>
      <c r="F278" s="72"/>
      <c r="G278" s="72"/>
      <c r="H278" s="72"/>
      <c r="I278" s="72"/>
      <c r="J278" s="72"/>
      <c r="K278" s="72"/>
      <c r="L278" s="72"/>
      <c r="M278" s="72"/>
      <c r="N278" s="72"/>
      <c r="O278" s="72"/>
      <c r="P278" s="72"/>
      <c r="Q278" s="72"/>
      <c r="R278" s="72"/>
      <c r="S278" s="72"/>
      <c r="T278" s="72"/>
      <c r="U278" s="72"/>
      <c r="V278" s="72"/>
      <c r="W278" s="72"/>
      <c r="X278" s="72"/>
      <c r="Y278" s="72"/>
      <c r="Z278" s="72"/>
      <c r="AA278" s="72"/>
      <c r="AB278" s="72"/>
      <c r="AC278" s="72"/>
      <c r="AD278" s="72"/>
      <c r="AE278" s="72"/>
      <c r="AF278" s="72"/>
      <c r="AG278" s="72"/>
      <c r="AH278" s="72"/>
      <c r="AI278" s="72"/>
      <c r="AJ278" s="72"/>
      <c r="AK278" s="72"/>
      <c r="AL278" s="72"/>
      <c r="AM278" s="72"/>
      <c r="AN278" s="72"/>
      <c r="AO278" s="72"/>
      <c r="AP278" s="72"/>
      <c r="AQ278" s="72"/>
      <c r="AR278" s="72"/>
      <c r="AS278" s="72"/>
      <c r="AT278" s="72"/>
      <c r="AU278" s="72"/>
      <c r="AV278" s="72"/>
    </row>
    <row r="279" spans="1:48" s="37" customFormat="1" ht="16.5" x14ac:dyDescent="0.3">
      <c r="A279" s="72"/>
      <c r="B279" s="72"/>
      <c r="C279" s="72"/>
      <c r="D279" s="72"/>
      <c r="E279" s="72"/>
      <c r="F279" s="72"/>
      <c r="G279" s="72"/>
      <c r="H279" s="72"/>
      <c r="I279" s="72"/>
      <c r="J279" s="72"/>
      <c r="K279" s="72"/>
      <c r="L279" s="72"/>
      <c r="M279" s="72"/>
      <c r="N279" s="72"/>
      <c r="O279" s="72"/>
      <c r="P279" s="72"/>
      <c r="Q279" s="72"/>
      <c r="R279" s="72"/>
      <c r="S279" s="72"/>
      <c r="T279" s="72"/>
      <c r="U279" s="72"/>
      <c r="V279" s="72"/>
      <c r="W279" s="72"/>
      <c r="X279" s="72"/>
      <c r="Y279" s="72"/>
      <c r="Z279" s="72"/>
      <c r="AA279" s="72"/>
      <c r="AB279" s="72"/>
      <c r="AC279" s="72"/>
      <c r="AD279" s="72"/>
      <c r="AE279" s="72"/>
      <c r="AF279" s="72"/>
      <c r="AG279" s="72"/>
      <c r="AH279" s="72"/>
      <c r="AI279" s="72"/>
      <c r="AJ279" s="72"/>
      <c r="AK279" s="72"/>
      <c r="AL279" s="72"/>
      <c r="AM279" s="72"/>
      <c r="AN279" s="72"/>
      <c r="AO279" s="72"/>
      <c r="AP279" s="72"/>
      <c r="AQ279" s="72"/>
      <c r="AR279" s="72"/>
      <c r="AS279" s="72"/>
      <c r="AT279" s="72"/>
      <c r="AU279" s="72"/>
      <c r="AV279" s="72"/>
    </row>
    <row r="280" spans="1:48" s="37" customFormat="1" ht="16.5" x14ac:dyDescent="0.3">
      <c r="A280" s="72"/>
      <c r="B280" s="72"/>
      <c r="C280" s="72"/>
      <c r="D280" s="72"/>
      <c r="E280" s="72"/>
      <c r="F280" s="72"/>
      <c r="G280" s="72"/>
      <c r="H280" s="72"/>
      <c r="I280" s="72"/>
      <c r="J280" s="72"/>
      <c r="K280" s="72"/>
      <c r="L280" s="72"/>
      <c r="M280" s="72"/>
      <c r="N280" s="72"/>
      <c r="O280" s="72"/>
      <c r="P280" s="72"/>
      <c r="Q280" s="72"/>
      <c r="R280" s="72"/>
      <c r="S280" s="72"/>
      <c r="T280" s="72"/>
      <c r="U280" s="72"/>
      <c r="V280" s="72"/>
      <c r="W280" s="72"/>
      <c r="X280" s="72"/>
      <c r="Y280" s="72"/>
      <c r="Z280" s="72"/>
      <c r="AA280" s="72"/>
      <c r="AB280" s="72"/>
      <c r="AC280" s="72"/>
      <c r="AD280" s="72"/>
      <c r="AE280" s="72"/>
      <c r="AF280" s="72"/>
      <c r="AG280" s="72"/>
      <c r="AH280" s="72"/>
      <c r="AI280" s="72"/>
      <c r="AJ280" s="72"/>
      <c r="AK280" s="72"/>
      <c r="AL280" s="72"/>
      <c r="AM280" s="72"/>
      <c r="AN280" s="72"/>
      <c r="AO280" s="72"/>
      <c r="AP280" s="72"/>
      <c r="AQ280" s="72"/>
      <c r="AR280" s="72"/>
      <c r="AS280" s="72"/>
      <c r="AT280" s="72"/>
      <c r="AU280" s="72"/>
      <c r="AV280" s="72"/>
    </row>
    <row r="281" spans="1:48" s="37" customFormat="1" ht="16.5" x14ac:dyDescent="0.3">
      <c r="A281" s="72"/>
      <c r="B281" s="72"/>
      <c r="C281" s="72"/>
      <c r="D281" s="72"/>
      <c r="E281" s="72"/>
      <c r="F281" s="72"/>
      <c r="G281" s="72"/>
      <c r="H281" s="72"/>
      <c r="I281" s="72"/>
      <c r="J281" s="72"/>
      <c r="K281" s="72"/>
      <c r="L281" s="72"/>
      <c r="M281" s="72"/>
      <c r="N281" s="72"/>
      <c r="O281" s="72"/>
      <c r="P281" s="72"/>
      <c r="Q281" s="72"/>
      <c r="R281" s="72"/>
      <c r="S281" s="72"/>
      <c r="T281" s="72"/>
      <c r="U281" s="72"/>
      <c r="V281" s="72"/>
      <c r="W281" s="72"/>
      <c r="X281" s="72"/>
      <c r="Y281" s="72"/>
      <c r="Z281" s="72"/>
      <c r="AA281" s="72"/>
      <c r="AB281" s="72"/>
      <c r="AC281" s="72"/>
      <c r="AD281" s="72"/>
      <c r="AE281" s="72"/>
      <c r="AF281" s="72"/>
      <c r="AG281" s="72"/>
      <c r="AH281" s="72"/>
      <c r="AI281" s="72"/>
      <c r="AJ281" s="72"/>
      <c r="AK281" s="72"/>
      <c r="AL281" s="72"/>
      <c r="AM281" s="72"/>
      <c r="AN281" s="72"/>
      <c r="AO281" s="72"/>
      <c r="AP281" s="72"/>
      <c r="AQ281" s="72"/>
      <c r="AR281" s="72"/>
      <c r="AS281" s="72"/>
      <c r="AT281" s="72"/>
      <c r="AU281" s="72"/>
      <c r="AV281" s="72"/>
    </row>
    <row r="282" spans="1:48" s="37" customFormat="1" ht="16.5" x14ac:dyDescent="0.3">
      <c r="A282" s="72"/>
      <c r="B282" s="72"/>
      <c r="C282" s="72"/>
      <c r="D282" s="72"/>
      <c r="E282" s="72"/>
      <c r="F282" s="72"/>
      <c r="G282" s="72"/>
      <c r="H282" s="72"/>
      <c r="I282" s="72"/>
      <c r="J282" s="72"/>
      <c r="K282" s="72"/>
      <c r="L282" s="72"/>
      <c r="M282" s="72"/>
      <c r="N282" s="72"/>
      <c r="O282" s="72"/>
      <c r="P282" s="72"/>
      <c r="Q282" s="72"/>
      <c r="R282" s="72"/>
      <c r="S282" s="72"/>
      <c r="T282" s="72"/>
      <c r="U282" s="72"/>
      <c r="V282" s="72"/>
      <c r="W282" s="72"/>
      <c r="X282" s="72"/>
      <c r="Y282" s="72"/>
      <c r="Z282" s="72"/>
      <c r="AA282" s="72"/>
      <c r="AB282" s="72"/>
      <c r="AC282" s="72"/>
      <c r="AD282" s="72"/>
      <c r="AE282" s="72"/>
      <c r="AF282" s="72"/>
      <c r="AG282" s="72"/>
      <c r="AH282" s="72"/>
      <c r="AI282" s="72"/>
      <c r="AJ282" s="72"/>
      <c r="AK282" s="72"/>
      <c r="AL282" s="72"/>
      <c r="AM282" s="72"/>
      <c r="AN282" s="72"/>
      <c r="AO282" s="72"/>
      <c r="AP282" s="72"/>
      <c r="AQ282" s="72"/>
      <c r="AR282" s="72"/>
      <c r="AS282" s="72"/>
      <c r="AT282" s="72"/>
      <c r="AU282" s="72"/>
      <c r="AV282" s="72"/>
    </row>
    <row r="283" spans="1:48" s="37" customFormat="1" ht="16.5" x14ac:dyDescent="0.3">
      <c r="A283" s="72"/>
      <c r="B283" s="72"/>
      <c r="C283" s="72"/>
      <c r="D283" s="72"/>
      <c r="E283" s="72"/>
      <c r="F283" s="72"/>
      <c r="G283" s="72"/>
      <c r="H283" s="72"/>
      <c r="I283" s="72"/>
      <c r="J283" s="72"/>
      <c r="K283" s="72"/>
      <c r="L283" s="72"/>
      <c r="M283" s="72"/>
      <c r="N283" s="72"/>
      <c r="O283" s="72"/>
      <c r="P283" s="72"/>
      <c r="Q283" s="72"/>
      <c r="R283" s="72"/>
      <c r="S283" s="72"/>
      <c r="T283" s="72"/>
      <c r="U283" s="72"/>
      <c r="V283" s="72"/>
      <c r="W283" s="72"/>
      <c r="X283" s="72"/>
      <c r="Y283" s="72"/>
      <c r="Z283" s="72"/>
      <c r="AA283" s="72"/>
      <c r="AB283" s="72"/>
      <c r="AC283" s="72"/>
      <c r="AD283" s="72"/>
      <c r="AE283" s="72"/>
      <c r="AF283" s="72"/>
      <c r="AG283" s="72"/>
      <c r="AH283" s="72"/>
      <c r="AI283" s="72"/>
      <c r="AJ283" s="72"/>
      <c r="AK283" s="72"/>
      <c r="AL283" s="72"/>
      <c r="AM283" s="72"/>
      <c r="AN283" s="72"/>
      <c r="AO283" s="72"/>
      <c r="AP283" s="72"/>
      <c r="AQ283" s="72"/>
      <c r="AR283" s="72"/>
      <c r="AS283" s="72"/>
      <c r="AT283" s="72"/>
      <c r="AU283" s="72"/>
      <c r="AV283" s="72"/>
    </row>
    <row r="284" spans="1:48" s="37" customFormat="1" ht="16.5" x14ac:dyDescent="0.3">
      <c r="A284" s="72"/>
      <c r="B284" s="72"/>
      <c r="C284" s="72"/>
      <c r="D284" s="72"/>
      <c r="E284" s="72"/>
      <c r="F284" s="72"/>
      <c r="G284" s="72"/>
      <c r="H284" s="72"/>
      <c r="I284" s="72"/>
      <c r="J284" s="72"/>
      <c r="K284" s="72"/>
      <c r="L284" s="72"/>
      <c r="M284" s="72"/>
      <c r="N284" s="72"/>
      <c r="O284" s="72"/>
      <c r="P284" s="72"/>
      <c r="Q284" s="72"/>
      <c r="R284" s="72"/>
      <c r="S284" s="72"/>
      <c r="T284" s="72"/>
      <c r="U284" s="72"/>
      <c r="V284" s="72"/>
      <c r="W284" s="72"/>
      <c r="X284" s="72"/>
      <c r="Y284" s="72"/>
      <c r="Z284" s="72"/>
      <c r="AA284" s="72"/>
      <c r="AB284" s="72"/>
      <c r="AC284" s="72"/>
      <c r="AD284" s="72"/>
      <c r="AE284" s="72"/>
      <c r="AF284" s="72"/>
      <c r="AG284" s="72"/>
      <c r="AH284" s="72"/>
      <c r="AI284" s="72"/>
      <c r="AJ284" s="72"/>
      <c r="AK284" s="72"/>
      <c r="AL284" s="72"/>
      <c r="AM284" s="72"/>
      <c r="AN284" s="72"/>
      <c r="AO284" s="72"/>
      <c r="AP284" s="72"/>
      <c r="AQ284" s="72"/>
      <c r="AR284" s="72"/>
      <c r="AS284" s="72"/>
      <c r="AT284" s="72"/>
      <c r="AU284" s="72"/>
      <c r="AV284" s="72"/>
    </row>
    <row r="285" spans="1:48" s="37" customFormat="1" ht="16.5" x14ac:dyDescent="0.3">
      <c r="A285" s="72"/>
      <c r="B285" s="72"/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72"/>
      <c r="AI285" s="72"/>
      <c r="AJ285" s="72"/>
      <c r="AK285" s="72"/>
      <c r="AL285" s="72"/>
      <c r="AM285" s="72"/>
      <c r="AN285" s="72"/>
      <c r="AO285" s="72"/>
      <c r="AP285" s="72"/>
      <c r="AQ285" s="72"/>
      <c r="AR285" s="72"/>
      <c r="AS285" s="72"/>
      <c r="AT285" s="72"/>
      <c r="AU285" s="72"/>
      <c r="AV285" s="72"/>
    </row>
    <row r="286" spans="1:48" s="37" customFormat="1" ht="16.5" x14ac:dyDescent="0.3">
      <c r="A286" s="72"/>
      <c r="B286" s="72"/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72"/>
      <c r="AI286" s="72"/>
      <c r="AJ286" s="72"/>
      <c r="AK286" s="72"/>
      <c r="AL286" s="72"/>
      <c r="AM286" s="72"/>
      <c r="AN286" s="72"/>
      <c r="AO286" s="72"/>
      <c r="AP286" s="72"/>
      <c r="AQ286" s="72"/>
      <c r="AR286" s="72"/>
      <c r="AS286" s="72"/>
      <c r="AT286" s="72"/>
      <c r="AU286" s="72"/>
      <c r="AV286" s="72"/>
    </row>
    <row r="287" spans="1:48" s="37" customFormat="1" ht="16.5" x14ac:dyDescent="0.3">
      <c r="A287" s="72"/>
      <c r="B287" s="72"/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72"/>
      <c r="AI287" s="72"/>
      <c r="AJ287" s="72"/>
      <c r="AK287" s="72"/>
      <c r="AL287" s="72"/>
      <c r="AM287" s="72"/>
      <c r="AN287" s="72"/>
      <c r="AO287" s="72"/>
      <c r="AP287" s="72"/>
      <c r="AQ287" s="72"/>
      <c r="AR287" s="72"/>
      <c r="AS287" s="72"/>
      <c r="AT287" s="72"/>
      <c r="AU287" s="72"/>
      <c r="AV287" s="72"/>
    </row>
    <row r="288" spans="1:48" s="37" customFormat="1" ht="16.5" x14ac:dyDescent="0.3">
      <c r="A288" s="72"/>
      <c r="B288" s="72"/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72"/>
      <c r="AI288" s="72"/>
      <c r="AJ288" s="72"/>
      <c r="AK288" s="72"/>
      <c r="AL288" s="72"/>
      <c r="AM288" s="72"/>
      <c r="AN288" s="72"/>
      <c r="AO288" s="72"/>
      <c r="AP288" s="72"/>
      <c r="AQ288" s="72"/>
      <c r="AR288" s="72"/>
      <c r="AS288" s="72"/>
      <c r="AT288" s="72"/>
      <c r="AU288" s="72"/>
      <c r="AV288" s="72"/>
    </row>
    <row r="289" spans="1:48" s="37" customFormat="1" ht="16.5" x14ac:dyDescent="0.3">
      <c r="A289" s="72"/>
      <c r="B289" s="72"/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72"/>
      <c r="AI289" s="72"/>
      <c r="AJ289" s="72"/>
      <c r="AK289" s="72"/>
      <c r="AL289" s="72"/>
      <c r="AM289" s="72"/>
      <c r="AN289" s="72"/>
      <c r="AO289" s="72"/>
      <c r="AP289" s="72"/>
      <c r="AQ289" s="72"/>
      <c r="AR289" s="72"/>
      <c r="AS289" s="72"/>
      <c r="AT289" s="72"/>
      <c r="AU289" s="72"/>
      <c r="AV289" s="72"/>
    </row>
    <row r="290" spans="1:48" s="37" customFormat="1" ht="16.5" x14ac:dyDescent="0.3">
      <c r="A290" s="72"/>
      <c r="B290" s="72"/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72"/>
      <c r="AI290" s="72"/>
      <c r="AJ290" s="72"/>
      <c r="AK290" s="72"/>
      <c r="AL290" s="72"/>
      <c r="AM290" s="72"/>
      <c r="AN290" s="72"/>
      <c r="AO290" s="72"/>
      <c r="AP290" s="72"/>
      <c r="AQ290" s="72"/>
      <c r="AR290" s="72"/>
      <c r="AS290" s="72"/>
      <c r="AT290" s="72"/>
      <c r="AU290" s="72"/>
      <c r="AV290" s="72"/>
    </row>
    <row r="291" spans="1:48" s="37" customFormat="1" ht="16.5" x14ac:dyDescent="0.3">
      <c r="A291" s="72"/>
      <c r="B291" s="72"/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72"/>
      <c r="AI291" s="72"/>
      <c r="AJ291" s="72"/>
      <c r="AK291" s="72"/>
      <c r="AL291" s="72"/>
      <c r="AM291" s="72"/>
      <c r="AN291" s="72"/>
      <c r="AO291" s="72"/>
      <c r="AP291" s="72"/>
      <c r="AQ291" s="72"/>
      <c r="AR291" s="72"/>
      <c r="AS291" s="72"/>
      <c r="AT291" s="72"/>
      <c r="AU291" s="72"/>
      <c r="AV291" s="72"/>
    </row>
    <row r="292" spans="1:48" s="37" customFormat="1" ht="16.5" x14ac:dyDescent="0.3">
      <c r="A292" s="72"/>
      <c r="B292" s="72"/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72"/>
      <c r="AI292" s="72"/>
      <c r="AJ292" s="72"/>
      <c r="AK292" s="72"/>
      <c r="AL292" s="72"/>
      <c r="AM292" s="72"/>
      <c r="AN292" s="72"/>
      <c r="AO292" s="72"/>
      <c r="AP292" s="72"/>
      <c r="AQ292" s="72"/>
      <c r="AR292" s="72"/>
      <c r="AS292" s="72"/>
      <c r="AT292" s="72"/>
      <c r="AU292" s="72"/>
      <c r="AV292" s="72"/>
    </row>
    <row r="293" spans="1:48" s="37" customFormat="1" ht="16.5" x14ac:dyDescent="0.3">
      <c r="A293" s="72"/>
      <c r="B293" s="72"/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72"/>
      <c r="AI293" s="72"/>
      <c r="AJ293" s="72"/>
      <c r="AK293" s="72"/>
      <c r="AL293" s="72"/>
      <c r="AM293" s="72"/>
      <c r="AN293" s="72"/>
      <c r="AO293" s="72"/>
      <c r="AP293" s="72"/>
      <c r="AQ293" s="72"/>
      <c r="AR293" s="72"/>
      <c r="AS293" s="72"/>
      <c r="AT293" s="72"/>
      <c r="AU293" s="72"/>
      <c r="AV293" s="72"/>
    </row>
    <row r="294" spans="1:48" s="37" customFormat="1" ht="16.5" x14ac:dyDescent="0.3">
      <c r="A294" s="72"/>
      <c r="B294" s="72"/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72"/>
      <c r="AI294" s="72"/>
      <c r="AJ294" s="72"/>
      <c r="AK294" s="72"/>
      <c r="AL294" s="72"/>
      <c r="AM294" s="72"/>
      <c r="AN294" s="72"/>
      <c r="AO294" s="72"/>
      <c r="AP294" s="72"/>
      <c r="AQ294" s="72"/>
      <c r="AR294" s="72"/>
      <c r="AS294" s="72"/>
      <c r="AT294" s="72"/>
      <c r="AU294" s="72"/>
      <c r="AV294" s="72"/>
    </row>
    <row r="295" spans="1:48" s="37" customFormat="1" ht="16.5" x14ac:dyDescent="0.3">
      <c r="A295" s="72"/>
      <c r="B295" s="72"/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72"/>
      <c r="AI295" s="72"/>
      <c r="AJ295" s="72"/>
      <c r="AK295" s="72"/>
      <c r="AL295" s="72"/>
      <c r="AM295" s="72"/>
      <c r="AN295" s="72"/>
      <c r="AO295" s="72"/>
      <c r="AP295" s="72"/>
      <c r="AQ295" s="72"/>
      <c r="AR295" s="72"/>
      <c r="AS295" s="72"/>
      <c r="AT295" s="72"/>
      <c r="AU295" s="72"/>
      <c r="AV295" s="72"/>
    </row>
    <row r="296" spans="1:48" s="37" customFormat="1" ht="16.5" x14ac:dyDescent="0.3">
      <c r="A296" s="72"/>
      <c r="B296" s="72"/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72"/>
      <c r="AI296" s="72"/>
      <c r="AJ296" s="72"/>
      <c r="AK296" s="72"/>
      <c r="AL296" s="72"/>
      <c r="AM296" s="72"/>
      <c r="AN296" s="72"/>
      <c r="AO296" s="72"/>
      <c r="AP296" s="72"/>
      <c r="AQ296" s="72"/>
      <c r="AR296" s="72"/>
      <c r="AS296" s="72"/>
      <c r="AT296" s="72"/>
      <c r="AU296" s="72"/>
      <c r="AV296" s="72"/>
    </row>
    <row r="297" spans="1:48" s="37" customFormat="1" ht="16.5" x14ac:dyDescent="0.3">
      <c r="A297" s="72"/>
      <c r="B297" s="72"/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72"/>
      <c r="AI297" s="72"/>
      <c r="AJ297" s="72"/>
      <c r="AK297" s="72"/>
      <c r="AL297" s="72"/>
      <c r="AM297" s="72"/>
      <c r="AN297" s="72"/>
      <c r="AO297" s="72"/>
      <c r="AP297" s="72"/>
      <c r="AQ297" s="72"/>
      <c r="AR297" s="72"/>
      <c r="AS297" s="72"/>
      <c r="AT297" s="72"/>
      <c r="AU297" s="72"/>
      <c r="AV297" s="72"/>
    </row>
    <row r="298" spans="1:48" s="37" customFormat="1" ht="16.5" x14ac:dyDescent="0.3">
      <c r="A298" s="72"/>
      <c r="B298" s="72"/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72"/>
      <c r="AI298" s="72"/>
      <c r="AJ298" s="72"/>
      <c r="AK298" s="72"/>
      <c r="AL298" s="72"/>
      <c r="AM298" s="72"/>
      <c r="AN298" s="72"/>
      <c r="AO298" s="72"/>
      <c r="AP298" s="72"/>
      <c r="AQ298" s="72"/>
      <c r="AR298" s="72"/>
      <c r="AS298" s="72"/>
      <c r="AT298" s="72"/>
      <c r="AU298" s="72"/>
      <c r="AV298" s="72"/>
    </row>
    <row r="299" spans="1:48" s="37" customFormat="1" ht="16.5" x14ac:dyDescent="0.3">
      <c r="A299" s="72"/>
      <c r="B299" s="72"/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72"/>
      <c r="AI299" s="72"/>
      <c r="AJ299" s="72"/>
      <c r="AK299" s="72"/>
      <c r="AL299" s="72"/>
      <c r="AM299" s="72"/>
      <c r="AN299" s="72"/>
      <c r="AO299" s="72"/>
      <c r="AP299" s="72"/>
      <c r="AQ299" s="72"/>
      <c r="AR299" s="72"/>
      <c r="AS299" s="72"/>
      <c r="AT299" s="72"/>
      <c r="AU299" s="72"/>
      <c r="AV299" s="72"/>
    </row>
    <row r="300" spans="1:48" s="37" customFormat="1" ht="16.5" x14ac:dyDescent="0.3">
      <c r="A300" s="72"/>
      <c r="B300" s="72"/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72"/>
      <c r="AI300" s="72"/>
      <c r="AJ300" s="72"/>
      <c r="AK300" s="72"/>
      <c r="AL300" s="72"/>
      <c r="AM300" s="72"/>
      <c r="AN300" s="72"/>
      <c r="AO300" s="72"/>
      <c r="AP300" s="72"/>
      <c r="AQ300" s="72"/>
      <c r="AR300" s="72"/>
      <c r="AS300" s="72"/>
      <c r="AT300" s="72"/>
      <c r="AU300" s="72"/>
      <c r="AV300" s="72"/>
    </row>
    <row r="301" spans="1:48" s="37" customFormat="1" ht="16.5" x14ac:dyDescent="0.3">
      <c r="A301" s="72"/>
      <c r="B301" s="72"/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72"/>
      <c r="AI301" s="72"/>
      <c r="AJ301" s="72"/>
      <c r="AK301" s="72"/>
      <c r="AL301" s="72"/>
      <c r="AM301" s="72"/>
      <c r="AN301" s="72"/>
      <c r="AO301" s="72"/>
      <c r="AP301" s="72"/>
      <c r="AQ301" s="72"/>
      <c r="AR301" s="72"/>
      <c r="AS301" s="72"/>
      <c r="AT301" s="72"/>
      <c r="AU301" s="72"/>
      <c r="AV301" s="72"/>
    </row>
    <row r="302" spans="1:48" s="37" customFormat="1" ht="16.5" x14ac:dyDescent="0.3">
      <c r="A302" s="72"/>
      <c r="B302" s="72"/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72"/>
      <c r="AI302" s="72"/>
      <c r="AJ302" s="72"/>
      <c r="AK302" s="72"/>
      <c r="AL302" s="72"/>
      <c r="AM302" s="72"/>
      <c r="AN302" s="72"/>
      <c r="AO302" s="72"/>
      <c r="AP302" s="72"/>
      <c r="AQ302" s="72"/>
      <c r="AR302" s="72"/>
      <c r="AS302" s="72"/>
      <c r="AT302" s="72"/>
      <c r="AU302" s="72"/>
      <c r="AV302" s="72"/>
    </row>
    <row r="303" spans="1:48" s="37" customFormat="1" ht="16.5" x14ac:dyDescent="0.3">
      <c r="A303" s="72"/>
      <c r="B303" s="72"/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72"/>
      <c r="AI303" s="72"/>
      <c r="AJ303" s="72"/>
      <c r="AK303" s="72"/>
      <c r="AL303" s="72"/>
      <c r="AM303" s="72"/>
      <c r="AN303" s="72"/>
      <c r="AO303" s="72"/>
      <c r="AP303" s="72"/>
      <c r="AQ303" s="72"/>
      <c r="AR303" s="72"/>
      <c r="AS303" s="72"/>
      <c r="AT303" s="72"/>
      <c r="AU303" s="72"/>
      <c r="AV303" s="72"/>
    </row>
    <row r="304" spans="1:48" s="37" customFormat="1" ht="16.5" x14ac:dyDescent="0.3">
      <c r="A304" s="72"/>
      <c r="B304" s="72"/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72"/>
      <c r="AI304" s="72"/>
      <c r="AJ304" s="72"/>
      <c r="AK304" s="72"/>
      <c r="AL304" s="72"/>
      <c r="AM304" s="72"/>
      <c r="AN304" s="72"/>
      <c r="AO304" s="72"/>
      <c r="AP304" s="72"/>
      <c r="AQ304" s="72"/>
      <c r="AR304" s="72"/>
      <c r="AS304" s="72"/>
      <c r="AT304" s="72"/>
      <c r="AU304" s="72"/>
      <c r="AV304" s="72"/>
    </row>
    <row r="305" spans="1:48" s="37" customFormat="1" ht="16.5" x14ac:dyDescent="0.3">
      <c r="A305" s="72"/>
      <c r="B305" s="72"/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72"/>
      <c r="AI305" s="72"/>
      <c r="AJ305" s="72"/>
      <c r="AK305" s="72"/>
      <c r="AL305" s="72"/>
      <c r="AM305" s="72"/>
      <c r="AN305" s="72"/>
      <c r="AO305" s="72"/>
      <c r="AP305" s="72"/>
      <c r="AQ305" s="72"/>
      <c r="AR305" s="72"/>
      <c r="AS305" s="72"/>
      <c r="AT305" s="72"/>
      <c r="AU305" s="72"/>
      <c r="AV305" s="72"/>
    </row>
    <row r="306" spans="1:48" s="37" customFormat="1" ht="16.5" x14ac:dyDescent="0.3">
      <c r="A306" s="72"/>
      <c r="B306" s="72"/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72"/>
      <c r="AI306" s="72"/>
      <c r="AJ306" s="72"/>
      <c r="AK306" s="72"/>
      <c r="AL306" s="72"/>
      <c r="AM306" s="72"/>
      <c r="AN306" s="72"/>
      <c r="AO306" s="72"/>
      <c r="AP306" s="72"/>
      <c r="AQ306" s="72"/>
      <c r="AR306" s="72"/>
      <c r="AS306" s="72"/>
      <c r="AT306" s="72"/>
      <c r="AU306" s="72"/>
      <c r="AV306" s="72"/>
    </row>
    <row r="307" spans="1:48" s="37" customFormat="1" ht="16.5" x14ac:dyDescent="0.3">
      <c r="A307" s="72"/>
      <c r="B307" s="72"/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72"/>
      <c r="AI307" s="72"/>
      <c r="AJ307" s="72"/>
      <c r="AK307" s="72"/>
      <c r="AL307" s="72"/>
      <c r="AM307" s="72"/>
      <c r="AN307" s="72"/>
      <c r="AO307" s="72"/>
      <c r="AP307" s="72"/>
      <c r="AQ307" s="72"/>
      <c r="AR307" s="72"/>
      <c r="AS307" s="72"/>
      <c r="AT307" s="72"/>
      <c r="AU307" s="72"/>
      <c r="AV307" s="72"/>
    </row>
    <row r="308" spans="1:48" s="37" customFormat="1" ht="16.5" x14ac:dyDescent="0.3">
      <c r="A308" s="72"/>
      <c r="B308" s="72"/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72"/>
      <c r="AI308" s="72"/>
      <c r="AJ308" s="72"/>
      <c r="AK308" s="72"/>
      <c r="AL308" s="72"/>
      <c r="AM308" s="72"/>
      <c r="AN308" s="72"/>
      <c r="AO308" s="72"/>
      <c r="AP308" s="72"/>
      <c r="AQ308" s="72"/>
      <c r="AR308" s="72"/>
      <c r="AS308" s="72"/>
      <c r="AT308" s="72"/>
      <c r="AU308" s="72"/>
      <c r="AV308" s="72"/>
    </row>
    <row r="309" spans="1:48" s="37" customFormat="1" ht="16.5" x14ac:dyDescent="0.3">
      <c r="A309" s="72"/>
      <c r="B309" s="72"/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72"/>
      <c r="AI309" s="72"/>
      <c r="AJ309" s="72"/>
      <c r="AK309" s="72"/>
      <c r="AL309" s="72"/>
      <c r="AM309" s="72"/>
      <c r="AN309" s="72"/>
      <c r="AO309" s="72"/>
      <c r="AP309" s="72"/>
      <c r="AQ309" s="72"/>
      <c r="AR309" s="72"/>
      <c r="AS309" s="72"/>
      <c r="AT309" s="72"/>
      <c r="AU309" s="72"/>
      <c r="AV309" s="72"/>
    </row>
    <row r="310" spans="1:48" s="37" customFormat="1" ht="16.5" x14ac:dyDescent="0.3">
      <c r="A310" s="72"/>
      <c r="B310" s="72"/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72"/>
      <c r="AI310" s="72"/>
      <c r="AJ310" s="72"/>
      <c r="AK310" s="72"/>
      <c r="AL310" s="72"/>
      <c r="AM310" s="72"/>
      <c r="AN310" s="72"/>
      <c r="AO310" s="72"/>
      <c r="AP310" s="72"/>
      <c r="AQ310" s="72"/>
      <c r="AR310" s="72"/>
      <c r="AS310" s="72"/>
      <c r="AT310" s="72"/>
      <c r="AU310" s="72"/>
      <c r="AV310" s="72"/>
    </row>
    <row r="311" spans="1:48" s="37" customFormat="1" ht="16.5" x14ac:dyDescent="0.3">
      <c r="A311" s="72"/>
      <c r="B311" s="72"/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72"/>
      <c r="AI311" s="72"/>
      <c r="AJ311" s="72"/>
      <c r="AK311" s="72"/>
      <c r="AL311" s="72"/>
      <c r="AM311" s="72"/>
      <c r="AN311" s="72"/>
      <c r="AO311" s="72"/>
      <c r="AP311" s="72"/>
      <c r="AQ311" s="72"/>
      <c r="AR311" s="72"/>
      <c r="AS311" s="72"/>
      <c r="AT311" s="72"/>
      <c r="AU311" s="72"/>
      <c r="AV311" s="72"/>
    </row>
    <row r="312" spans="1:48" s="37" customFormat="1" ht="16.5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72"/>
      <c r="AI312" s="72"/>
      <c r="AJ312" s="72"/>
      <c r="AK312" s="72"/>
      <c r="AL312" s="72"/>
      <c r="AM312" s="72"/>
      <c r="AN312" s="72"/>
      <c r="AO312" s="72"/>
      <c r="AP312" s="72"/>
      <c r="AQ312" s="72"/>
      <c r="AR312" s="72"/>
      <c r="AS312" s="72"/>
      <c r="AT312" s="72"/>
      <c r="AU312" s="72"/>
      <c r="AV312" s="72"/>
    </row>
    <row r="313" spans="1:48" s="37" customFormat="1" ht="16.5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72"/>
      <c r="AI313" s="72"/>
      <c r="AJ313" s="72"/>
      <c r="AK313" s="72"/>
      <c r="AL313" s="72"/>
      <c r="AM313" s="72"/>
      <c r="AN313" s="72"/>
      <c r="AO313" s="72"/>
      <c r="AP313" s="72"/>
      <c r="AQ313" s="72"/>
      <c r="AR313" s="72"/>
      <c r="AS313" s="72"/>
      <c r="AT313" s="72"/>
      <c r="AU313" s="72"/>
      <c r="AV313" s="72"/>
    </row>
    <row r="314" spans="1:48" s="37" customFormat="1" ht="16.5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72"/>
      <c r="AI314" s="72"/>
      <c r="AJ314" s="72"/>
      <c r="AK314" s="72"/>
      <c r="AL314" s="72"/>
      <c r="AM314" s="72"/>
      <c r="AN314" s="72"/>
      <c r="AO314" s="72"/>
      <c r="AP314" s="72"/>
      <c r="AQ314" s="72"/>
      <c r="AR314" s="72"/>
      <c r="AS314" s="72"/>
      <c r="AT314" s="72"/>
      <c r="AU314" s="72"/>
      <c r="AV314" s="72"/>
    </row>
    <row r="315" spans="1:48" s="37" customFormat="1" ht="16.5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72"/>
      <c r="AI315" s="72"/>
      <c r="AJ315" s="72"/>
      <c r="AK315" s="72"/>
      <c r="AL315" s="72"/>
      <c r="AM315" s="72"/>
      <c r="AN315" s="72"/>
      <c r="AO315" s="72"/>
      <c r="AP315" s="72"/>
      <c r="AQ315" s="72"/>
      <c r="AR315" s="72"/>
      <c r="AS315" s="72"/>
      <c r="AT315" s="72"/>
      <c r="AU315" s="72"/>
      <c r="AV315" s="72"/>
    </row>
    <row r="316" spans="1:48" s="37" customFormat="1" ht="16.5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72"/>
      <c r="AI316" s="72"/>
      <c r="AJ316" s="72"/>
      <c r="AK316" s="72"/>
      <c r="AL316" s="72"/>
      <c r="AM316" s="72"/>
      <c r="AN316" s="72"/>
      <c r="AO316" s="72"/>
      <c r="AP316" s="72"/>
      <c r="AQ316" s="72"/>
      <c r="AR316" s="72"/>
      <c r="AS316" s="72"/>
      <c r="AT316" s="72"/>
      <c r="AU316" s="72"/>
      <c r="AV316" s="72"/>
    </row>
    <row r="317" spans="1:48" s="37" customFormat="1" ht="16.5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72"/>
      <c r="AI317" s="72"/>
      <c r="AJ317" s="72"/>
      <c r="AK317" s="72"/>
      <c r="AL317" s="72"/>
      <c r="AM317" s="72"/>
      <c r="AN317" s="72"/>
      <c r="AO317" s="72"/>
      <c r="AP317" s="72"/>
      <c r="AQ317" s="72"/>
      <c r="AR317" s="72"/>
      <c r="AS317" s="72"/>
      <c r="AT317" s="72"/>
      <c r="AU317" s="72"/>
      <c r="AV317" s="72"/>
    </row>
    <row r="318" spans="1:48" s="37" customFormat="1" ht="16.5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72"/>
      <c r="AI318" s="72"/>
      <c r="AJ318" s="72"/>
      <c r="AK318" s="72"/>
      <c r="AL318" s="72"/>
      <c r="AM318" s="72"/>
      <c r="AN318" s="72"/>
      <c r="AO318" s="72"/>
      <c r="AP318" s="72"/>
      <c r="AQ318" s="72"/>
      <c r="AR318" s="72"/>
      <c r="AS318" s="72"/>
      <c r="AT318" s="72"/>
      <c r="AU318" s="72"/>
      <c r="AV318" s="72"/>
    </row>
    <row r="319" spans="1:48" s="37" customFormat="1" ht="16.5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72"/>
      <c r="AI319" s="72"/>
      <c r="AJ319" s="72"/>
      <c r="AK319" s="72"/>
      <c r="AL319" s="72"/>
      <c r="AM319" s="72"/>
      <c r="AN319" s="72"/>
      <c r="AO319" s="72"/>
      <c r="AP319" s="72"/>
      <c r="AQ319" s="72"/>
      <c r="AR319" s="72"/>
      <c r="AS319" s="72"/>
      <c r="AT319" s="72"/>
      <c r="AU319" s="72"/>
      <c r="AV319" s="72"/>
    </row>
    <row r="320" spans="1:48" s="37" customFormat="1" ht="16.5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72"/>
      <c r="AI320" s="72"/>
      <c r="AJ320" s="72"/>
      <c r="AK320" s="72"/>
      <c r="AL320" s="72"/>
      <c r="AM320" s="72"/>
      <c r="AN320" s="72"/>
      <c r="AO320" s="72"/>
      <c r="AP320" s="72"/>
      <c r="AQ320" s="72"/>
      <c r="AR320" s="72"/>
      <c r="AS320" s="72"/>
      <c r="AT320" s="72"/>
      <c r="AU320" s="72"/>
      <c r="AV320" s="72"/>
    </row>
    <row r="321" spans="1:48" s="37" customFormat="1" ht="16.5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72"/>
      <c r="AI321" s="72"/>
      <c r="AJ321" s="72"/>
      <c r="AK321" s="72"/>
      <c r="AL321" s="72"/>
      <c r="AM321" s="72"/>
      <c r="AN321" s="72"/>
      <c r="AO321" s="72"/>
      <c r="AP321" s="72"/>
      <c r="AQ321" s="72"/>
      <c r="AR321" s="72"/>
      <c r="AS321" s="72"/>
      <c r="AT321" s="72"/>
      <c r="AU321" s="72"/>
      <c r="AV321" s="72"/>
    </row>
    <row r="322" spans="1:48" s="37" customFormat="1" ht="16.5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72"/>
      <c r="AI322" s="72"/>
      <c r="AJ322" s="72"/>
      <c r="AK322" s="72"/>
      <c r="AL322" s="72"/>
      <c r="AM322" s="72"/>
      <c r="AN322" s="72"/>
      <c r="AO322" s="72"/>
      <c r="AP322" s="72"/>
      <c r="AQ322" s="72"/>
      <c r="AR322" s="72"/>
      <c r="AS322" s="72"/>
      <c r="AT322" s="72"/>
      <c r="AU322" s="72"/>
      <c r="AV322" s="72"/>
    </row>
    <row r="323" spans="1:48" s="37" customFormat="1" ht="16.5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72"/>
      <c r="AI323" s="72"/>
      <c r="AJ323" s="72"/>
      <c r="AK323" s="72"/>
      <c r="AL323" s="72"/>
      <c r="AM323" s="72"/>
      <c r="AN323" s="72"/>
      <c r="AO323" s="72"/>
      <c r="AP323" s="72"/>
      <c r="AQ323" s="72"/>
      <c r="AR323" s="72"/>
      <c r="AS323" s="72"/>
      <c r="AT323" s="72"/>
      <c r="AU323" s="72"/>
      <c r="AV323" s="72"/>
    </row>
    <row r="324" spans="1:48" s="37" customFormat="1" ht="16.5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72"/>
      <c r="AI324" s="72"/>
      <c r="AJ324" s="72"/>
      <c r="AK324" s="72"/>
      <c r="AL324" s="72"/>
      <c r="AM324" s="72"/>
      <c r="AN324" s="72"/>
      <c r="AO324" s="72"/>
      <c r="AP324" s="72"/>
      <c r="AQ324" s="72"/>
      <c r="AR324" s="72"/>
      <c r="AS324" s="72"/>
      <c r="AT324" s="72"/>
      <c r="AU324" s="72"/>
      <c r="AV324" s="72"/>
    </row>
    <row r="325" spans="1:48" s="37" customFormat="1" ht="16.5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72"/>
      <c r="AI325" s="72"/>
      <c r="AJ325" s="72"/>
      <c r="AK325" s="72"/>
      <c r="AL325" s="72"/>
      <c r="AM325" s="72"/>
      <c r="AN325" s="72"/>
      <c r="AO325" s="72"/>
      <c r="AP325" s="72"/>
      <c r="AQ325" s="72"/>
      <c r="AR325" s="72"/>
      <c r="AS325" s="72"/>
      <c r="AT325" s="72"/>
      <c r="AU325" s="72"/>
      <c r="AV325" s="72"/>
    </row>
    <row r="326" spans="1:48" s="37" customFormat="1" ht="16.5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72"/>
      <c r="AI326" s="72"/>
      <c r="AJ326" s="72"/>
      <c r="AK326" s="72"/>
      <c r="AL326" s="72"/>
      <c r="AM326" s="72"/>
      <c r="AN326" s="72"/>
      <c r="AO326" s="72"/>
      <c r="AP326" s="72"/>
      <c r="AQ326" s="72"/>
      <c r="AR326" s="72"/>
      <c r="AS326" s="72"/>
      <c r="AT326" s="72"/>
      <c r="AU326" s="72"/>
      <c r="AV326" s="72"/>
    </row>
    <row r="327" spans="1:48" s="37" customFormat="1" ht="16.5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72"/>
      <c r="AI327" s="72"/>
      <c r="AJ327" s="72"/>
      <c r="AK327" s="72"/>
      <c r="AL327" s="72"/>
      <c r="AM327" s="72"/>
      <c r="AN327" s="72"/>
      <c r="AO327" s="72"/>
      <c r="AP327" s="72"/>
      <c r="AQ327" s="72"/>
      <c r="AR327" s="72"/>
      <c r="AS327" s="72"/>
      <c r="AT327" s="72"/>
      <c r="AU327" s="72"/>
      <c r="AV327" s="72"/>
    </row>
    <row r="328" spans="1:48" s="37" customFormat="1" ht="16.5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72"/>
      <c r="AI328" s="72"/>
      <c r="AJ328" s="72"/>
      <c r="AK328" s="72"/>
      <c r="AL328" s="72"/>
      <c r="AM328" s="72"/>
      <c r="AN328" s="72"/>
      <c r="AO328" s="72"/>
      <c r="AP328" s="72"/>
      <c r="AQ328" s="72"/>
      <c r="AR328" s="72"/>
      <c r="AS328" s="72"/>
      <c r="AT328" s="72"/>
      <c r="AU328" s="72"/>
      <c r="AV328" s="72"/>
    </row>
    <row r="329" spans="1:48" s="37" customFormat="1" ht="16.5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72"/>
      <c r="AI329" s="72"/>
      <c r="AJ329" s="72"/>
      <c r="AK329" s="72"/>
      <c r="AL329" s="72"/>
      <c r="AM329" s="72"/>
      <c r="AN329" s="72"/>
      <c r="AO329" s="72"/>
      <c r="AP329" s="72"/>
      <c r="AQ329" s="72"/>
      <c r="AR329" s="72"/>
      <c r="AS329" s="72"/>
      <c r="AT329" s="72"/>
      <c r="AU329" s="72"/>
      <c r="AV329" s="72"/>
    </row>
    <row r="330" spans="1:48" s="37" customFormat="1" ht="16.5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72"/>
      <c r="AI330" s="72"/>
      <c r="AJ330" s="72"/>
      <c r="AK330" s="72"/>
      <c r="AL330" s="72"/>
      <c r="AM330" s="72"/>
      <c r="AN330" s="72"/>
      <c r="AO330" s="72"/>
      <c r="AP330" s="72"/>
      <c r="AQ330" s="72"/>
      <c r="AR330" s="72"/>
      <c r="AS330" s="72"/>
      <c r="AT330" s="72"/>
      <c r="AU330" s="72"/>
      <c r="AV330" s="72"/>
    </row>
    <row r="331" spans="1:48" s="37" customFormat="1" ht="16.5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72"/>
      <c r="AI331" s="72"/>
      <c r="AJ331" s="72"/>
      <c r="AK331" s="72"/>
      <c r="AL331" s="72"/>
      <c r="AM331" s="72"/>
      <c r="AN331" s="72"/>
      <c r="AO331" s="72"/>
      <c r="AP331" s="72"/>
      <c r="AQ331" s="72"/>
      <c r="AR331" s="72"/>
      <c r="AS331" s="72"/>
      <c r="AT331" s="72"/>
      <c r="AU331" s="72"/>
      <c r="AV331" s="72"/>
    </row>
    <row r="332" spans="1:48" s="37" customFormat="1" ht="16.5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72"/>
      <c r="AI332" s="72"/>
      <c r="AJ332" s="72"/>
      <c r="AK332" s="72"/>
      <c r="AL332" s="72"/>
      <c r="AM332" s="72"/>
      <c r="AN332" s="72"/>
      <c r="AO332" s="72"/>
      <c r="AP332" s="72"/>
      <c r="AQ332" s="72"/>
      <c r="AR332" s="72"/>
      <c r="AS332" s="72"/>
      <c r="AT332" s="72"/>
      <c r="AU332" s="72"/>
      <c r="AV332" s="72"/>
    </row>
    <row r="333" spans="1:48" s="37" customFormat="1" ht="16.5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72"/>
      <c r="AI333" s="72"/>
      <c r="AJ333" s="72"/>
      <c r="AK333" s="72"/>
      <c r="AL333" s="72"/>
      <c r="AM333" s="72"/>
      <c r="AN333" s="72"/>
      <c r="AO333" s="72"/>
      <c r="AP333" s="72"/>
      <c r="AQ333" s="72"/>
      <c r="AR333" s="72"/>
      <c r="AS333" s="72"/>
      <c r="AT333" s="72"/>
      <c r="AU333" s="72"/>
      <c r="AV333" s="72"/>
    </row>
    <row r="334" spans="1:48" s="37" customFormat="1" ht="16.5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72"/>
      <c r="AI334" s="72"/>
      <c r="AJ334" s="72"/>
      <c r="AK334" s="72"/>
      <c r="AL334" s="72"/>
      <c r="AM334" s="72"/>
      <c r="AN334" s="72"/>
      <c r="AO334" s="72"/>
      <c r="AP334" s="72"/>
      <c r="AQ334" s="72"/>
      <c r="AR334" s="72"/>
      <c r="AS334" s="72"/>
      <c r="AT334" s="72"/>
      <c r="AU334" s="72"/>
      <c r="AV334" s="72"/>
    </row>
    <row r="335" spans="1:48" s="37" customFormat="1" ht="16.5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72"/>
      <c r="AI335" s="72"/>
      <c r="AJ335" s="72"/>
      <c r="AK335" s="72"/>
      <c r="AL335" s="72"/>
      <c r="AM335" s="72"/>
      <c r="AN335" s="72"/>
      <c r="AO335" s="72"/>
      <c r="AP335" s="72"/>
      <c r="AQ335" s="72"/>
      <c r="AR335" s="72"/>
      <c r="AS335" s="72"/>
      <c r="AT335" s="72"/>
      <c r="AU335" s="72"/>
      <c r="AV335" s="72"/>
    </row>
    <row r="336" spans="1:48" s="37" customFormat="1" ht="16.5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72"/>
      <c r="AI336" s="72"/>
      <c r="AJ336" s="72"/>
      <c r="AK336" s="72"/>
      <c r="AL336" s="72"/>
      <c r="AM336" s="72"/>
      <c r="AN336" s="72"/>
      <c r="AO336" s="72"/>
      <c r="AP336" s="72"/>
      <c r="AQ336" s="72"/>
      <c r="AR336" s="72"/>
      <c r="AS336" s="72"/>
      <c r="AT336" s="72"/>
      <c r="AU336" s="72"/>
      <c r="AV336" s="72"/>
    </row>
    <row r="337" spans="1:48" s="37" customFormat="1" ht="16.5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72"/>
      <c r="AI337" s="72"/>
      <c r="AJ337" s="72"/>
      <c r="AK337" s="72"/>
      <c r="AL337" s="72"/>
      <c r="AM337" s="72"/>
      <c r="AN337" s="72"/>
      <c r="AO337" s="72"/>
      <c r="AP337" s="72"/>
      <c r="AQ337" s="72"/>
      <c r="AR337" s="72"/>
      <c r="AS337" s="72"/>
      <c r="AT337" s="72"/>
      <c r="AU337" s="72"/>
      <c r="AV337" s="72"/>
    </row>
    <row r="338" spans="1:48" s="37" customFormat="1" ht="16.5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72"/>
      <c r="AI338" s="72"/>
      <c r="AJ338" s="72"/>
      <c r="AK338" s="72"/>
      <c r="AL338" s="72"/>
      <c r="AM338" s="72"/>
      <c r="AN338" s="72"/>
      <c r="AO338" s="72"/>
      <c r="AP338" s="72"/>
      <c r="AQ338" s="72"/>
      <c r="AR338" s="72"/>
      <c r="AS338" s="72"/>
      <c r="AT338" s="72"/>
      <c r="AU338" s="72"/>
      <c r="AV338" s="72"/>
    </row>
    <row r="339" spans="1:48" s="37" customFormat="1" ht="16.5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72"/>
      <c r="AI339" s="72"/>
      <c r="AJ339" s="72"/>
      <c r="AK339" s="72"/>
      <c r="AL339" s="72"/>
      <c r="AM339" s="72"/>
      <c r="AN339" s="72"/>
      <c r="AO339" s="72"/>
      <c r="AP339" s="72"/>
      <c r="AQ339" s="72"/>
      <c r="AR339" s="72"/>
      <c r="AS339" s="72"/>
      <c r="AT339" s="72"/>
      <c r="AU339" s="72"/>
      <c r="AV339" s="72"/>
    </row>
    <row r="340" spans="1:48" s="37" customFormat="1" ht="16.5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72"/>
      <c r="AI340" s="72"/>
      <c r="AJ340" s="72"/>
      <c r="AK340" s="72"/>
      <c r="AL340" s="72"/>
      <c r="AM340" s="72"/>
      <c r="AN340" s="72"/>
      <c r="AO340" s="72"/>
      <c r="AP340" s="72"/>
      <c r="AQ340" s="72"/>
      <c r="AR340" s="72"/>
      <c r="AS340" s="72"/>
      <c r="AT340" s="72"/>
      <c r="AU340" s="72"/>
      <c r="AV340" s="72"/>
    </row>
    <row r="341" spans="1:48" s="37" customFormat="1" ht="16.5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72"/>
      <c r="AI341" s="72"/>
      <c r="AJ341" s="72"/>
      <c r="AK341" s="72"/>
      <c r="AL341" s="72"/>
      <c r="AM341" s="72"/>
      <c r="AN341" s="72"/>
      <c r="AO341" s="72"/>
      <c r="AP341" s="72"/>
      <c r="AQ341" s="72"/>
      <c r="AR341" s="72"/>
      <c r="AS341" s="72"/>
      <c r="AT341" s="72"/>
      <c r="AU341" s="72"/>
      <c r="AV341" s="72"/>
    </row>
    <row r="342" spans="1:48" s="37" customFormat="1" ht="16.5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72"/>
      <c r="AI342" s="72"/>
      <c r="AJ342" s="72"/>
      <c r="AK342" s="72"/>
      <c r="AL342" s="72"/>
      <c r="AM342" s="72"/>
      <c r="AN342" s="72"/>
      <c r="AO342" s="72"/>
      <c r="AP342" s="72"/>
      <c r="AQ342" s="72"/>
      <c r="AR342" s="72"/>
      <c r="AS342" s="72"/>
      <c r="AT342" s="72"/>
      <c r="AU342" s="72"/>
      <c r="AV342" s="72"/>
    </row>
    <row r="343" spans="1:48" s="37" customFormat="1" ht="16.5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72"/>
      <c r="AI343" s="72"/>
      <c r="AJ343" s="72"/>
      <c r="AK343" s="72"/>
      <c r="AL343" s="72"/>
      <c r="AM343" s="72"/>
      <c r="AN343" s="72"/>
      <c r="AO343" s="72"/>
      <c r="AP343" s="72"/>
      <c r="AQ343" s="72"/>
      <c r="AR343" s="72"/>
      <c r="AS343" s="72"/>
      <c r="AT343" s="72"/>
      <c r="AU343" s="72"/>
      <c r="AV343" s="72"/>
    </row>
    <row r="344" spans="1:48" s="37" customFormat="1" ht="16.5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72"/>
      <c r="AI344" s="72"/>
      <c r="AJ344" s="72"/>
      <c r="AK344" s="72"/>
      <c r="AL344" s="72"/>
      <c r="AM344" s="72"/>
      <c r="AN344" s="72"/>
      <c r="AO344" s="72"/>
      <c r="AP344" s="72"/>
      <c r="AQ344" s="72"/>
      <c r="AR344" s="72"/>
      <c r="AS344" s="72"/>
      <c r="AT344" s="72"/>
      <c r="AU344" s="72"/>
      <c r="AV344" s="72"/>
    </row>
    <row r="345" spans="1:48" s="37" customFormat="1" ht="16.5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72"/>
      <c r="AI345" s="72"/>
      <c r="AJ345" s="72"/>
      <c r="AK345" s="72"/>
      <c r="AL345" s="72"/>
      <c r="AM345" s="72"/>
      <c r="AN345" s="72"/>
      <c r="AO345" s="72"/>
      <c r="AP345" s="72"/>
      <c r="AQ345" s="72"/>
      <c r="AR345" s="72"/>
      <c r="AS345" s="72"/>
      <c r="AT345" s="72"/>
      <c r="AU345" s="72"/>
      <c r="AV345" s="72"/>
    </row>
    <row r="346" spans="1:48" s="37" customFormat="1" ht="16.5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72"/>
      <c r="AI346" s="72"/>
      <c r="AJ346" s="72"/>
      <c r="AK346" s="72"/>
      <c r="AL346" s="72"/>
      <c r="AM346" s="72"/>
      <c r="AN346" s="72"/>
      <c r="AO346" s="72"/>
      <c r="AP346" s="72"/>
      <c r="AQ346" s="72"/>
      <c r="AR346" s="72"/>
      <c r="AS346" s="72"/>
      <c r="AT346" s="72"/>
      <c r="AU346" s="72"/>
      <c r="AV346" s="72"/>
    </row>
    <row r="347" spans="1:48" s="37" customFormat="1" ht="16.5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72"/>
      <c r="AI347" s="72"/>
      <c r="AJ347" s="72"/>
      <c r="AK347" s="72"/>
      <c r="AL347" s="72"/>
      <c r="AM347" s="72"/>
      <c r="AN347" s="72"/>
      <c r="AO347" s="72"/>
      <c r="AP347" s="72"/>
      <c r="AQ347" s="72"/>
      <c r="AR347" s="72"/>
      <c r="AS347" s="72"/>
      <c r="AT347" s="72"/>
      <c r="AU347" s="72"/>
      <c r="AV347" s="72"/>
    </row>
    <row r="348" spans="1:48" s="37" customFormat="1" ht="16.5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72"/>
      <c r="AI348" s="72"/>
      <c r="AJ348" s="72"/>
      <c r="AK348" s="72"/>
      <c r="AL348" s="72"/>
      <c r="AM348" s="72"/>
      <c r="AN348" s="72"/>
      <c r="AO348" s="72"/>
      <c r="AP348" s="72"/>
      <c r="AQ348" s="72"/>
      <c r="AR348" s="72"/>
      <c r="AS348" s="72"/>
      <c r="AT348" s="72"/>
      <c r="AU348" s="72"/>
      <c r="AV348" s="72"/>
    </row>
    <row r="349" spans="1:48" s="37" customFormat="1" ht="16.5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72"/>
      <c r="AI349" s="72"/>
      <c r="AJ349" s="72"/>
      <c r="AK349" s="72"/>
      <c r="AL349" s="72"/>
      <c r="AM349" s="72"/>
      <c r="AN349" s="72"/>
      <c r="AO349" s="72"/>
      <c r="AP349" s="72"/>
      <c r="AQ349" s="72"/>
      <c r="AR349" s="72"/>
      <c r="AS349" s="72"/>
      <c r="AT349" s="72"/>
      <c r="AU349" s="72"/>
      <c r="AV349" s="72"/>
    </row>
    <row r="350" spans="1:48" s="37" customFormat="1" ht="16.5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72"/>
      <c r="AI350" s="72"/>
      <c r="AJ350" s="72"/>
      <c r="AK350" s="72"/>
      <c r="AL350" s="72"/>
      <c r="AM350" s="72"/>
      <c r="AN350" s="72"/>
      <c r="AO350" s="72"/>
      <c r="AP350" s="72"/>
      <c r="AQ350" s="72"/>
      <c r="AR350" s="72"/>
      <c r="AS350" s="72"/>
      <c r="AT350" s="72"/>
      <c r="AU350" s="72"/>
      <c r="AV350" s="72"/>
    </row>
    <row r="351" spans="1:48" s="37" customFormat="1" ht="16.5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72"/>
      <c r="AI351" s="72"/>
      <c r="AJ351" s="72"/>
      <c r="AK351" s="72"/>
      <c r="AL351" s="72"/>
      <c r="AM351" s="72"/>
      <c r="AN351" s="72"/>
      <c r="AO351" s="72"/>
      <c r="AP351" s="72"/>
      <c r="AQ351" s="72"/>
      <c r="AR351" s="72"/>
      <c r="AS351" s="72"/>
      <c r="AT351" s="72"/>
      <c r="AU351" s="72"/>
      <c r="AV351" s="72"/>
    </row>
    <row r="352" spans="1:48" s="37" customFormat="1" ht="16.5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72"/>
      <c r="AI352" s="72"/>
      <c r="AJ352" s="72"/>
      <c r="AK352" s="72"/>
      <c r="AL352" s="72"/>
      <c r="AM352" s="72"/>
      <c r="AN352" s="72"/>
      <c r="AO352" s="72"/>
      <c r="AP352" s="72"/>
      <c r="AQ352" s="72"/>
      <c r="AR352" s="72"/>
      <c r="AS352" s="72"/>
      <c r="AT352" s="72"/>
      <c r="AU352" s="72"/>
      <c r="AV352" s="72"/>
    </row>
    <row r="353" spans="1:48" s="37" customFormat="1" ht="16.5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72"/>
      <c r="AI353" s="72"/>
      <c r="AJ353" s="72"/>
      <c r="AK353" s="72"/>
      <c r="AL353" s="72"/>
      <c r="AM353" s="72"/>
      <c r="AN353" s="72"/>
      <c r="AO353" s="72"/>
      <c r="AP353" s="72"/>
      <c r="AQ353" s="72"/>
      <c r="AR353" s="72"/>
      <c r="AS353" s="72"/>
      <c r="AT353" s="72"/>
      <c r="AU353" s="72"/>
      <c r="AV353" s="72"/>
    </row>
    <row r="354" spans="1:48" s="37" customFormat="1" ht="16.5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72"/>
      <c r="AI354" s="72"/>
      <c r="AJ354" s="72"/>
      <c r="AK354" s="72"/>
      <c r="AL354" s="72"/>
      <c r="AM354" s="72"/>
      <c r="AN354" s="72"/>
      <c r="AO354" s="72"/>
      <c r="AP354" s="72"/>
      <c r="AQ354" s="72"/>
      <c r="AR354" s="72"/>
      <c r="AS354" s="72"/>
      <c r="AT354" s="72"/>
      <c r="AU354" s="72"/>
      <c r="AV354" s="72"/>
    </row>
    <row r="355" spans="1:48" s="37" customFormat="1" ht="16.5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72"/>
      <c r="AI355" s="72"/>
      <c r="AJ355" s="72"/>
      <c r="AK355" s="72"/>
      <c r="AL355" s="72"/>
      <c r="AM355" s="72"/>
      <c r="AN355" s="72"/>
      <c r="AO355" s="72"/>
      <c r="AP355" s="72"/>
      <c r="AQ355" s="72"/>
      <c r="AR355" s="72"/>
      <c r="AS355" s="72"/>
      <c r="AT355" s="72"/>
      <c r="AU355" s="72"/>
      <c r="AV355" s="72"/>
    </row>
    <row r="356" spans="1:48" s="37" customFormat="1" ht="16.5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72"/>
      <c r="AI356" s="72"/>
      <c r="AJ356" s="72"/>
      <c r="AK356" s="72"/>
      <c r="AL356" s="72"/>
      <c r="AM356" s="72"/>
      <c r="AN356" s="72"/>
      <c r="AO356" s="72"/>
      <c r="AP356" s="72"/>
      <c r="AQ356" s="72"/>
      <c r="AR356" s="72"/>
      <c r="AS356" s="72"/>
      <c r="AT356" s="72"/>
      <c r="AU356" s="72"/>
      <c r="AV356" s="72"/>
    </row>
    <row r="357" spans="1:48" s="37" customFormat="1" ht="16.5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72"/>
      <c r="AI357" s="72"/>
      <c r="AJ357" s="72"/>
      <c r="AK357" s="72"/>
      <c r="AL357" s="72"/>
      <c r="AM357" s="72"/>
      <c r="AN357" s="72"/>
      <c r="AO357" s="72"/>
      <c r="AP357" s="72"/>
      <c r="AQ357" s="72"/>
      <c r="AR357" s="72"/>
      <c r="AS357" s="72"/>
      <c r="AT357" s="72"/>
      <c r="AU357" s="72"/>
      <c r="AV357" s="72"/>
    </row>
    <row r="358" spans="1:48" s="37" customFormat="1" ht="16.5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72"/>
      <c r="AI358" s="72"/>
      <c r="AJ358" s="72"/>
      <c r="AK358" s="72"/>
      <c r="AL358" s="72"/>
      <c r="AM358" s="72"/>
      <c r="AN358" s="72"/>
      <c r="AO358" s="72"/>
      <c r="AP358" s="72"/>
      <c r="AQ358" s="72"/>
      <c r="AR358" s="72"/>
      <c r="AS358" s="72"/>
      <c r="AT358" s="72"/>
      <c r="AU358" s="72"/>
      <c r="AV358" s="72"/>
    </row>
    <row r="359" spans="1:48" s="37" customFormat="1" ht="16.5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72"/>
      <c r="AI359" s="72"/>
      <c r="AJ359" s="72"/>
      <c r="AK359" s="72"/>
      <c r="AL359" s="72"/>
      <c r="AM359" s="72"/>
      <c r="AN359" s="72"/>
      <c r="AO359" s="72"/>
      <c r="AP359" s="72"/>
      <c r="AQ359" s="72"/>
      <c r="AR359" s="72"/>
      <c r="AS359" s="72"/>
      <c r="AT359" s="72"/>
      <c r="AU359" s="72"/>
      <c r="AV359" s="72"/>
    </row>
    <row r="360" spans="1:48" s="37" customFormat="1" ht="16.5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72"/>
      <c r="AI360" s="72"/>
      <c r="AJ360" s="72"/>
      <c r="AK360" s="72"/>
      <c r="AL360" s="72"/>
      <c r="AM360" s="72"/>
      <c r="AN360" s="72"/>
      <c r="AO360" s="72"/>
      <c r="AP360" s="72"/>
      <c r="AQ360" s="72"/>
      <c r="AR360" s="72"/>
      <c r="AS360" s="72"/>
      <c r="AT360" s="72"/>
      <c r="AU360" s="72"/>
      <c r="AV360" s="72"/>
    </row>
    <row r="361" spans="1:48" s="37" customFormat="1" ht="16.5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72"/>
      <c r="AI361" s="72"/>
      <c r="AJ361" s="72"/>
      <c r="AK361" s="72"/>
      <c r="AL361" s="72"/>
      <c r="AM361" s="72"/>
      <c r="AN361" s="72"/>
      <c r="AO361" s="72"/>
      <c r="AP361" s="72"/>
      <c r="AQ361" s="72"/>
      <c r="AR361" s="72"/>
      <c r="AS361" s="72"/>
      <c r="AT361" s="72"/>
      <c r="AU361" s="72"/>
      <c r="AV361" s="72"/>
    </row>
    <row r="362" spans="1:48" s="37" customFormat="1" ht="16.5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72"/>
      <c r="AI362" s="72"/>
      <c r="AJ362" s="72"/>
      <c r="AK362" s="72"/>
      <c r="AL362" s="72"/>
      <c r="AM362" s="72"/>
      <c r="AN362" s="72"/>
      <c r="AO362" s="72"/>
      <c r="AP362" s="72"/>
      <c r="AQ362" s="72"/>
      <c r="AR362" s="72"/>
      <c r="AS362" s="72"/>
      <c r="AT362" s="72"/>
      <c r="AU362" s="72"/>
      <c r="AV362" s="72"/>
    </row>
    <row r="363" spans="1:48" s="37" customFormat="1" ht="16.5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72"/>
      <c r="AI363" s="72"/>
      <c r="AJ363" s="72"/>
      <c r="AK363" s="72"/>
      <c r="AL363" s="72"/>
      <c r="AM363" s="72"/>
      <c r="AN363" s="72"/>
      <c r="AO363" s="72"/>
      <c r="AP363" s="72"/>
      <c r="AQ363" s="72"/>
      <c r="AR363" s="72"/>
      <c r="AS363" s="72"/>
      <c r="AT363" s="72"/>
      <c r="AU363" s="72"/>
      <c r="AV363" s="72"/>
    </row>
    <row r="364" spans="1:48" s="37" customFormat="1" ht="16.5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72"/>
      <c r="AI364" s="72"/>
      <c r="AJ364" s="72"/>
      <c r="AK364" s="72"/>
      <c r="AL364" s="72"/>
      <c r="AM364" s="72"/>
      <c r="AN364" s="72"/>
      <c r="AO364" s="72"/>
      <c r="AP364" s="72"/>
      <c r="AQ364" s="72"/>
      <c r="AR364" s="72"/>
      <c r="AS364" s="72"/>
      <c r="AT364" s="72"/>
      <c r="AU364" s="72"/>
      <c r="AV364" s="72"/>
    </row>
    <row r="365" spans="1:48" s="37" customFormat="1" ht="16.5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72"/>
      <c r="AI365" s="72"/>
      <c r="AJ365" s="72"/>
      <c r="AK365" s="72"/>
      <c r="AL365" s="72"/>
      <c r="AM365" s="72"/>
      <c r="AN365" s="72"/>
      <c r="AO365" s="72"/>
      <c r="AP365" s="72"/>
      <c r="AQ365" s="72"/>
      <c r="AR365" s="72"/>
      <c r="AS365" s="72"/>
      <c r="AT365" s="72"/>
      <c r="AU365" s="72"/>
      <c r="AV365" s="72"/>
    </row>
    <row r="366" spans="1:48" s="37" customFormat="1" ht="16.5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72"/>
      <c r="AI366" s="72"/>
      <c r="AJ366" s="72"/>
      <c r="AK366" s="72"/>
      <c r="AL366" s="72"/>
      <c r="AM366" s="72"/>
      <c r="AN366" s="72"/>
      <c r="AO366" s="72"/>
      <c r="AP366" s="72"/>
      <c r="AQ366" s="72"/>
      <c r="AR366" s="72"/>
      <c r="AS366" s="72"/>
      <c r="AT366" s="72"/>
      <c r="AU366" s="72"/>
      <c r="AV366" s="72"/>
    </row>
    <row r="367" spans="1:48" s="37" customFormat="1" ht="16.5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72"/>
      <c r="AI367" s="72"/>
      <c r="AJ367" s="72"/>
      <c r="AK367" s="72"/>
      <c r="AL367" s="72"/>
      <c r="AM367" s="72"/>
      <c r="AN367" s="72"/>
      <c r="AO367" s="72"/>
      <c r="AP367" s="72"/>
      <c r="AQ367" s="72"/>
      <c r="AR367" s="72"/>
      <c r="AS367" s="72"/>
      <c r="AT367" s="72"/>
      <c r="AU367" s="72"/>
      <c r="AV367" s="72"/>
    </row>
    <row r="368" spans="1:48" s="37" customFormat="1" ht="16.5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72"/>
      <c r="AI368" s="72"/>
      <c r="AJ368" s="72"/>
      <c r="AK368" s="72"/>
      <c r="AL368" s="72"/>
      <c r="AM368" s="72"/>
      <c r="AN368" s="72"/>
      <c r="AO368" s="72"/>
      <c r="AP368" s="72"/>
      <c r="AQ368" s="72"/>
      <c r="AR368" s="72"/>
      <c r="AS368" s="72"/>
      <c r="AT368" s="72"/>
      <c r="AU368" s="72"/>
      <c r="AV368" s="72"/>
    </row>
    <row r="369" spans="1:48" s="37" customFormat="1" ht="16.5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72"/>
      <c r="AI369" s="72"/>
      <c r="AJ369" s="72"/>
      <c r="AK369" s="72"/>
      <c r="AL369" s="72"/>
      <c r="AM369" s="72"/>
      <c r="AN369" s="72"/>
      <c r="AO369" s="72"/>
      <c r="AP369" s="72"/>
      <c r="AQ369" s="72"/>
      <c r="AR369" s="72"/>
      <c r="AS369" s="72"/>
      <c r="AT369" s="72"/>
      <c r="AU369" s="72"/>
      <c r="AV369" s="72"/>
    </row>
    <row r="370" spans="1:48" s="37" customFormat="1" ht="16.5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72"/>
      <c r="AI370" s="72"/>
      <c r="AJ370" s="72"/>
      <c r="AK370" s="72"/>
      <c r="AL370" s="72"/>
      <c r="AM370" s="72"/>
      <c r="AN370" s="72"/>
      <c r="AO370" s="72"/>
      <c r="AP370" s="72"/>
      <c r="AQ370" s="72"/>
      <c r="AR370" s="72"/>
      <c r="AS370" s="72"/>
      <c r="AT370" s="72"/>
      <c r="AU370" s="72"/>
      <c r="AV370" s="72"/>
    </row>
    <row r="371" spans="1:48" s="37" customFormat="1" ht="16.5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72"/>
      <c r="AI371" s="72"/>
      <c r="AJ371" s="72"/>
      <c r="AK371" s="72"/>
      <c r="AL371" s="72"/>
      <c r="AM371" s="72"/>
      <c r="AN371" s="72"/>
      <c r="AO371" s="72"/>
      <c r="AP371" s="72"/>
      <c r="AQ371" s="72"/>
      <c r="AR371" s="72"/>
      <c r="AS371" s="72"/>
      <c r="AT371" s="72"/>
      <c r="AU371" s="72"/>
      <c r="AV371" s="72"/>
    </row>
    <row r="372" spans="1:48" s="37" customFormat="1" ht="16.5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72"/>
      <c r="AI372" s="72"/>
      <c r="AJ372" s="72"/>
      <c r="AK372" s="72"/>
      <c r="AL372" s="72"/>
      <c r="AM372" s="72"/>
      <c r="AN372" s="72"/>
      <c r="AO372" s="72"/>
      <c r="AP372" s="72"/>
      <c r="AQ372" s="72"/>
      <c r="AR372" s="72"/>
      <c r="AS372" s="72"/>
      <c r="AT372" s="72"/>
      <c r="AU372" s="72"/>
      <c r="AV372" s="72"/>
    </row>
    <row r="373" spans="1:48" s="37" customFormat="1" ht="16.5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72"/>
      <c r="AI373" s="72"/>
      <c r="AJ373" s="72"/>
      <c r="AK373" s="72"/>
      <c r="AL373" s="72"/>
      <c r="AM373" s="72"/>
      <c r="AN373" s="72"/>
      <c r="AO373" s="72"/>
      <c r="AP373" s="72"/>
      <c r="AQ373" s="72"/>
      <c r="AR373" s="72"/>
      <c r="AS373" s="72"/>
      <c r="AT373" s="72"/>
      <c r="AU373" s="72"/>
      <c r="AV373" s="72"/>
    </row>
    <row r="374" spans="1:48" s="37" customFormat="1" ht="16.5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72"/>
      <c r="AI374" s="72"/>
      <c r="AJ374" s="72"/>
      <c r="AK374" s="72"/>
      <c r="AL374" s="72"/>
      <c r="AM374" s="72"/>
      <c r="AN374" s="72"/>
      <c r="AO374" s="72"/>
      <c r="AP374" s="72"/>
      <c r="AQ374" s="72"/>
      <c r="AR374" s="72"/>
      <c r="AS374" s="72"/>
      <c r="AT374" s="72"/>
      <c r="AU374" s="72"/>
      <c r="AV374" s="72"/>
    </row>
    <row r="375" spans="1:48" s="37" customFormat="1" ht="16.5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72"/>
      <c r="AI375" s="72"/>
      <c r="AJ375" s="72"/>
      <c r="AK375" s="72"/>
      <c r="AL375" s="72"/>
      <c r="AM375" s="72"/>
      <c r="AN375" s="72"/>
      <c r="AO375" s="72"/>
      <c r="AP375" s="72"/>
      <c r="AQ375" s="72"/>
      <c r="AR375" s="72"/>
      <c r="AS375" s="72"/>
      <c r="AT375" s="72"/>
      <c r="AU375" s="72"/>
      <c r="AV375" s="72"/>
    </row>
    <row r="376" spans="1:48" s="37" customFormat="1" ht="16.5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72"/>
      <c r="AI376" s="72"/>
      <c r="AJ376" s="72"/>
      <c r="AK376" s="72"/>
      <c r="AL376" s="72"/>
      <c r="AM376" s="72"/>
      <c r="AN376" s="72"/>
      <c r="AO376" s="72"/>
      <c r="AP376" s="72"/>
      <c r="AQ376" s="72"/>
      <c r="AR376" s="72"/>
      <c r="AS376" s="72"/>
      <c r="AT376" s="72"/>
      <c r="AU376" s="72"/>
      <c r="AV376" s="72"/>
    </row>
    <row r="377" spans="1:48" s="37" customFormat="1" ht="16.5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72"/>
      <c r="AI377" s="72"/>
      <c r="AJ377" s="72"/>
      <c r="AK377" s="72"/>
      <c r="AL377" s="72"/>
      <c r="AM377" s="72"/>
      <c r="AN377" s="72"/>
      <c r="AO377" s="72"/>
      <c r="AP377" s="72"/>
      <c r="AQ377" s="72"/>
      <c r="AR377" s="72"/>
      <c r="AS377" s="72"/>
      <c r="AT377" s="72"/>
      <c r="AU377" s="72"/>
      <c r="AV377" s="72"/>
    </row>
    <row r="378" spans="1:48" s="37" customFormat="1" ht="16.5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72"/>
      <c r="AI378" s="72"/>
      <c r="AJ378" s="72"/>
      <c r="AK378" s="72"/>
      <c r="AL378" s="72"/>
      <c r="AM378" s="72"/>
      <c r="AN378" s="72"/>
      <c r="AO378" s="72"/>
      <c r="AP378" s="72"/>
      <c r="AQ378" s="72"/>
      <c r="AR378" s="72"/>
      <c r="AS378" s="72"/>
      <c r="AT378" s="72"/>
      <c r="AU378" s="72"/>
      <c r="AV378" s="72"/>
    </row>
    <row r="379" spans="1:48" s="37" customFormat="1" ht="16.5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72"/>
      <c r="AI379" s="72"/>
      <c r="AJ379" s="72"/>
      <c r="AK379" s="72"/>
      <c r="AL379" s="72"/>
      <c r="AM379" s="72"/>
      <c r="AN379" s="72"/>
      <c r="AO379" s="72"/>
      <c r="AP379" s="72"/>
      <c r="AQ379" s="72"/>
      <c r="AR379" s="72"/>
      <c r="AS379" s="72"/>
      <c r="AT379" s="72"/>
      <c r="AU379" s="72"/>
      <c r="AV379" s="72"/>
    </row>
    <row r="380" spans="1:48" s="37" customFormat="1" ht="16.5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72"/>
      <c r="AI380" s="72"/>
      <c r="AJ380" s="72"/>
      <c r="AK380" s="72"/>
      <c r="AL380" s="72"/>
      <c r="AM380" s="72"/>
      <c r="AN380" s="72"/>
      <c r="AO380" s="72"/>
      <c r="AP380" s="72"/>
      <c r="AQ380" s="72"/>
      <c r="AR380" s="72"/>
      <c r="AS380" s="72"/>
      <c r="AT380" s="72"/>
      <c r="AU380" s="72"/>
      <c r="AV380" s="72"/>
    </row>
    <row r="381" spans="1:48" s="37" customFormat="1" ht="16.5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72"/>
      <c r="AI381" s="72"/>
      <c r="AJ381" s="72"/>
      <c r="AK381" s="72"/>
      <c r="AL381" s="72"/>
      <c r="AM381" s="72"/>
      <c r="AN381" s="72"/>
      <c r="AO381" s="72"/>
      <c r="AP381" s="72"/>
      <c r="AQ381" s="72"/>
      <c r="AR381" s="72"/>
      <c r="AS381" s="72"/>
      <c r="AT381" s="72"/>
      <c r="AU381" s="72"/>
      <c r="AV381" s="72"/>
    </row>
    <row r="382" spans="1:48" s="37" customFormat="1" ht="16.5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72"/>
      <c r="AI382" s="72"/>
      <c r="AJ382" s="72"/>
      <c r="AK382" s="72"/>
      <c r="AL382" s="72"/>
      <c r="AM382" s="72"/>
      <c r="AN382" s="72"/>
      <c r="AO382" s="72"/>
      <c r="AP382" s="72"/>
      <c r="AQ382" s="72"/>
      <c r="AR382" s="72"/>
      <c r="AS382" s="72"/>
      <c r="AT382" s="72"/>
      <c r="AU382" s="72"/>
      <c r="AV382" s="72"/>
    </row>
    <row r="383" spans="1:48" s="37" customFormat="1" ht="16.5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72"/>
      <c r="AI383" s="72"/>
      <c r="AJ383" s="72"/>
      <c r="AK383" s="72"/>
      <c r="AL383" s="72"/>
      <c r="AM383" s="72"/>
      <c r="AN383" s="72"/>
      <c r="AO383" s="72"/>
      <c r="AP383" s="72"/>
      <c r="AQ383" s="72"/>
      <c r="AR383" s="72"/>
      <c r="AS383" s="72"/>
      <c r="AT383" s="72"/>
      <c r="AU383" s="72"/>
      <c r="AV383" s="72"/>
    </row>
    <row r="384" spans="1:48" s="37" customFormat="1" ht="16.5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72"/>
      <c r="AI384" s="72"/>
      <c r="AJ384" s="72"/>
      <c r="AK384" s="72"/>
      <c r="AL384" s="72"/>
      <c r="AM384" s="72"/>
      <c r="AN384" s="72"/>
      <c r="AO384" s="72"/>
      <c r="AP384" s="72"/>
      <c r="AQ384" s="72"/>
      <c r="AR384" s="72"/>
      <c r="AS384" s="72"/>
      <c r="AT384" s="72"/>
      <c r="AU384" s="72"/>
      <c r="AV384" s="72"/>
    </row>
    <row r="385" spans="1:48" s="37" customFormat="1" ht="16.5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72"/>
      <c r="AI385" s="72"/>
      <c r="AJ385" s="72"/>
      <c r="AK385" s="72"/>
      <c r="AL385" s="72"/>
      <c r="AM385" s="72"/>
      <c r="AN385" s="72"/>
      <c r="AO385" s="72"/>
      <c r="AP385" s="72"/>
      <c r="AQ385" s="72"/>
      <c r="AR385" s="72"/>
      <c r="AS385" s="72"/>
      <c r="AT385" s="72"/>
      <c r="AU385" s="72"/>
      <c r="AV385" s="72"/>
    </row>
    <row r="386" spans="1:48" s="37" customFormat="1" ht="16.5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72"/>
      <c r="AI386" s="72"/>
      <c r="AJ386" s="72"/>
      <c r="AK386" s="72"/>
      <c r="AL386" s="72"/>
      <c r="AM386" s="72"/>
      <c r="AN386" s="72"/>
      <c r="AO386" s="72"/>
      <c r="AP386" s="72"/>
      <c r="AQ386" s="72"/>
      <c r="AR386" s="72"/>
      <c r="AS386" s="72"/>
      <c r="AT386" s="72"/>
      <c r="AU386" s="72"/>
      <c r="AV386" s="72"/>
    </row>
    <row r="387" spans="1:48" s="37" customFormat="1" ht="16.5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72"/>
      <c r="AI387" s="72"/>
      <c r="AJ387" s="72"/>
      <c r="AK387" s="72"/>
      <c r="AL387" s="72"/>
      <c r="AM387" s="72"/>
      <c r="AN387" s="72"/>
      <c r="AO387" s="72"/>
      <c r="AP387" s="72"/>
      <c r="AQ387" s="72"/>
      <c r="AR387" s="72"/>
      <c r="AS387" s="72"/>
      <c r="AT387" s="72"/>
      <c r="AU387" s="72"/>
      <c r="AV387" s="72"/>
    </row>
    <row r="388" spans="1:48" s="37" customFormat="1" ht="16.5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72"/>
      <c r="AI388" s="72"/>
      <c r="AJ388" s="72"/>
      <c r="AK388" s="72"/>
      <c r="AL388" s="72"/>
      <c r="AM388" s="72"/>
      <c r="AN388" s="72"/>
      <c r="AO388" s="72"/>
      <c r="AP388" s="72"/>
      <c r="AQ388" s="72"/>
      <c r="AR388" s="72"/>
      <c r="AS388" s="72"/>
      <c r="AT388" s="72"/>
      <c r="AU388" s="72"/>
      <c r="AV388" s="72"/>
    </row>
    <row r="389" spans="1:48" s="37" customFormat="1" ht="16.5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72"/>
      <c r="AI389" s="72"/>
      <c r="AJ389" s="72"/>
      <c r="AK389" s="72"/>
      <c r="AL389" s="72"/>
      <c r="AM389" s="72"/>
      <c r="AN389" s="72"/>
      <c r="AO389" s="72"/>
      <c r="AP389" s="72"/>
      <c r="AQ389" s="72"/>
      <c r="AR389" s="72"/>
      <c r="AS389" s="72"/>
      <c r="AT389" s="72"/>
      <c r="AU389" s="72"/>
      <c r="AV389" s="72"/>
    </row>
    <row r="390" spans="1:48" s="37" customFormat="1" ht="16.5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72"/>
      <c r="AI390" s="72"/>
      <c r="AJ390" s="72"/>
      <c r="AK390" s="72"/>
      <c r="AL390" s="72"/>
      <c r="AM390" s="72"/>
      <c r="AN390" s="72"/>
      <c r="AO390" s="72"/>
      <c r="AP390" s="72"/>
      <c r="AQ390" s="72"/>
      <c r="AR390" s="72"/>
      <c r="AS390" s="72"/>
      <c r="AT390" s="72"/>
      <c r="AU390" s="72"/>
      <c r="AV390" s="72"/>
    </row>
    <row r="391" spans="1:48" s="37" customFormat="1" ht="16.5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72"/>
      <c r="AI391" s="72"/>
      <c r="AJ391" s="72"/>
      <c r="AK391" s="72"/>
      <c r="AL391" s="72"/>
      <c r="AM391" s="72"/>
      <c r="AN391" s="72"/>
      <c r="AO391" s="72"/>
      <c r="AP391" s="72"/>
      <c r="AQ391" s="72"/>
      <c r="AR391" s="72"/>
      <c r="AS391" s="72"/>
      <c r="AT391" s="72"/>
      <c r="AU391" s="72"/>
      <c r="AV391" s="72"/>
    </row>
    <row r="392" spans="1:48" s="37" customFormat="1" ht="16.5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72"/>
      <c r="AI392" s="72"/>
      <c r="AJ392" s="72"/>
      <c r="AK392" s="72"/>
      <c r="AL392" s="72"/>
      <c r="AM392" s="72"/>
      <c r="AN392" s="72"/>
      <c r="AO392" s="72"/>
      <c r="AP392" s="72"/>
      <c r="AQ392" s="72"/>
      <c r="AR392" s="72"/>
      <c r="AS392" s="72"/>
      <c r="AT392" s="72"/>
      <c r="AU392" s="72"/>
      <c r="AV392" s="72"/>
    </row>
    <row r="393" spans="1:48" s="37" customFormat="1" ht="16.5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72"/>
      <c r="AI393" s="72"/>
      <c r="AJ393" s="72"/>
      <c r="AK393" s="72"/>
      <c r="AL393" s="72"/>
      <c r="AM393" s="72"/>
      <c r="AN393" s="72"/>
      <c r="AO393" s="72"/>
      <c r="AP393" s="72"/>
      <c r="AQ393" s="72"/>
      <c r="AR393" s="72"/>
      <c r="AS393" s="72"/>
      <c r="AT393" s="72"/>
      <c r="AU393" s="72"/>
      <c r="AV393" s="72"/>
    </row>
    <row r="394" spans="1:48" s="37" customFormat="1" ht="16.5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72"/>
      <c r="AI394" s="72"/>
      <c r="AJ394" s="72"/>
      <c r="AK394" s="72"/>
      <c r="AL394" s="72"/>
      <c r="AM394" s="72"/>
      <c r="AN394" s="72"/>
      <c r="AO394" s="72"/>
      <c r="AP394" s="72"/>
      <c r="AQ394" s="72"/>
      <c r="AR394" s="72"/>
      <c r="AS394" s="72"/>
      <c r="AT394" s="72"/>
      <c r="AU394" s="72"/>
      <c r="AV394" s="72"/>
    </row>
    <row r="395" spans="1:48" s="37" customFormat="1" ht="16.5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72"/>
      <c r="AI395" s="72"/>
      <c r="AJ395" s="72"/>
      <c r="AK395" s="72"/>
      <c r="AL395" s="72"/>
      <c r="AM395" s="72"/>
      <c r="AN395" s="72"/>
      <c r="AO395" s="72"/>
      <c r="AP395" s="72"/>
      <c r="AQ395" s="72"/>
      <c r="AR395" s="72"/>
      <c r="AS395" s="72"/>
      <c r="AT395" s="72"/>
      <c r="AU395" s="72"/>
      <c r="AV395" s="72"/>
    </row>
    <row r="396" spans="1:48" s="37" customFormat="1" ht="16.5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72"/>
      <c r="AI396" s="72"/>
      <c r="AJ396" s="72"/>
      <c r="AK396" s="72"/>
      <c r="AL396" s="72"/>
      <c r="AM396" s="72"/>
      <c r="AN396" s="72"/>
      <c r="AO396" s="72"/>
      <c r="AP396" s="72"/>
      <c r="AQ396" s="72"/>
      <c r="AR396" s="72"/>
      <c r="AS396" s="72"/>
      <c r="AT396" s="72"/>
      <c r="AU396" s="72"/>
      <c r="AV396" s="72"/>
    </row>
    <row r="397" spans="1:48" s="37" customFormat="1" ht="16.5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72"/>
      <c r="AI397" s="72"/>
      <c r="AJ397" s="72"/>
      <c r="AK397" s="72"/>
      <c r="AL397" s="72"/>
      <c r="AM397" s="72"/>
      <c r="AN397" s="72"/>
      <c r="AO397" s="72"/>
      <c r="AP397" s="72"/>
      <c r="AQ397" s="72"/>
      <c r="AR397" s="72"/>
      <c r="AS397" s="72"/>
      <c r="AT397" s="72"/>
      <c r="AU397" s="72"/>
      <c r="AV397" s="72"/>
    </row>
    <row r="398" spans="1:48" s="37" customFormat="1" ht="16.5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72"/>
      <c r="AI398" s="72"/>
      <c r="AJ398" s="72"/>
      <c r="AK398" s="72"/>
      <c r="AL398" s="72"/>
      <c r="AM398" s="72"/>
      <c r="AN398" s="72"/>
      <c r="AO398" s="72"/>
      <c r="AP398" s="72"/>
      <c r="AQ398" s="72"/>
      <c r="AR398" s="72"/>
      <c r="AS398" s="72"/>
      <c r="AT398" s="72"/>
      <c r="AU398" s="72"/>
      <c r="AV398" s="72"/>
    </row>
    <row r="399" spans="1:48" s="37" customFormat="1" ht="16.5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72"/>
      <c r="AI399" s="72"/>
      <c r="AJ399" s="72"/>
      <c r="AK399" s="72"/>
      <c r="AL399" s="72"/>
      <c r="AM399" s="72"/>
      <c r="AN399" s="72"/>
      <c r="AO399" s="72"/>
      <c r="AP399" s="72"/>
      <c r="AQ399" s="72"/>
      <c r="AR399" s="72"/>
      <c r="AS399" s="72"/>
      <c r="AT399" s="72"/>
      <c r="AU399" s="72"/>
      <c r="AV399" s="72"/>
    </row>
    <row r="400" spans="1:48" s="37" customFormat="1" ht="16.5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72"/>
      <c r="AI400" s="72"/>
      <c r="AJ400" s="72"/>
      <c r="AK400" s="72"/>
      <c r="AL400" s="72"/>
      <c r="AM400" s="72"/>
      <c r="AN400" s="72"/>
      <c r="AO400" s="72"/>
      <c r="AP400" s="72"/>
      <c r="AQ400" s="72"/>
      <c r="AR400" s="72"/>
      <c r="AS400" s="72"/>
      <c r="AT400" s="72"/>
      <c r="AU400" s="72"/>
      <c r="AV400" s="72"/>
    </row>
    <row r="401" spans="1:48" s="37" customFormat="1" ht="16.5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72"/>
      <c r="AI401" s="72"/>
      <c r="AJ401" s="72"/>
      <c r="AK401" s="72"/>
      <c r="AL401" s="72"/>
      <c r="AM401" s="72"/>
      <c r="AN401" s="72"/>
      <c r="AO401" s="72"/>
      <c r="AP401" s="72"/>
      <c r="AQ401" s="72"/>
      <c r="AR401" s="72"/>
      <c r="AS401" s="72"/>
      <c r="AT401" s="72"/>
      <c r="AU401" s="72"/>
      <c r="AV401" s="72"/>
    </row>
    <row r="402" spans="1:48" s="37" customFormat="1" ht="16.5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72"/>
      <c r="AI402" s="72"/>
      <c r="AJ402" s="72"/>
      <c r="AK402" s="72"/>
      <c r="AL402" s="72"/>
      <c r="AM402" s="72"/>
      <c r="AN402" s="72"/>
      <c r="AO402" s="72"/>
      <c r="AP402" s="72"/>
      <c r="AQ402" s="72"/>
      <c r="AR402" s="72"/>
      <c r="AS402" s="72"/>
      <c r="AT402" s="72"/>
      <c r="AU402" s="72"/>
      <c r="AV402" s="72"/>
    </row>
    <row r="403" spans="1:48" s="37" customFormat="1" ht="16.5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72"/>
      <c r="AI403" s="72"/>
      <c r="AJ403" s="72"/>
      <c r="AK403" s="72"/>
      <c r="AL403" s="72"/>
      <c r="AM403" s="72"/>
      <c r="AN403" s="72"/>
      <c r="AO403" s="72"/>
      <c r="AP403" s="72"/>
      <c r="AQ403" s="72"/>
      <c r="AR403" s="72"/>
      <c r="AS403" s="72"/>
      <c r="AT403" s="72"/>
      <c r="AU403" s="72"/>
      <c r="AV403" s="72"/>
    </row>
    <row r="404" spans="1:48" s="37" customFormat="1" ht="16.5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72"/>
      <c r="AI404" s="72"/>
      <c r="AJ404" s="72"/>
      <c r="AK404" s="72"/>
      <c r="AL404" s="72"/>
      <c r="AM404" s="72"/>
      <c r="AN404" s="72"/>
      <c r="AO404" s="72"/>
      <c r="AP404" s="72"/>
      <c r="AQ404" s="72"/>
      <c r="AR404" s="72"/>
      <c r="AS404" s="72"/>
      <c r="AT404" s="72"/>
      <c r="AU404" s="72"/>
      <c r="AV404" s="72"/>
    </row>
    <row r="405" spans="1:48" s="37" customFormat="1" ht="16.5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72"/>
      <c r="AI405" s="72"/>
      <c r="AJ405" s="72"/>
      <c r="AK405" s="72"/>
      <c r="AL405" s="72"/>
      <c r="AM405" s="72"/>
      <c r="AN405" s="72"/>
      <c r="AO405" s="72"/>
      <c r="AP405" s="72"/>
      <c r="AQ405" s="72"/>
      <c r="AR405" s="72"/>
      <c r="AS405" s="72"/>
      <c r="AT405" s="72"/>
      <c r="AU405" s="72"/>
      <c r="AV405" s="72"/>
    </row>
    <row r="406" spans="1:48" s="37" customFormat="1" ht="16.5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72"/>
      <c r="AI406" s="72"/>
      <c r="AJ406" s="72"/>
      <c r="AK406" s="72"/>
      <c r="AL406" s="72"/>
      <c r="AM406" s="72"/>
      <c r="AN406" s="72"/>
      <c r="AO406" s="72"/>
      <c r="AP406" s="72"/>
      <c r="AQ406" s="72"/>
      <c r="AR406" s="72"/>
      <c r="AS406" s="72"/>
      <c r="AT406" s="72"/>
      <c r="AU406" s="72"/>
      <c r="AV406" s="72"/>
    </row>
    <row r="407" spans="1:48" s="37" customFormat="1" ht="16.5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72"/>
      <c r="AI407" s="72"/>
      <c r="AJ407" s="72"/>
      <c r="AK407" s="72"/>
      <c r="AL407" s="72"/>
      <c r="AM407" s="72"/>
      <c r="AN407" s="72"/>
      <c r="AO407" s="72"/>
      <c r="AP407" s="72"/>
      <c r="AQ407" s="72"/>
      <c r="AR407" s="72"/>
      <c r="AS407" s="72"/>
      <c r="AT407" s="72"/>
      <c r="AU407" s="72"/>
      <c r="AV407" s="72"/>
    </row>
    <row r="408" spans="1:48" s="37" customFormat="1" ht="16.5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72"/>
      <c r="AI408" s="72"/>
      <c r="AJ408" s="72"/>
      <c r="AK408" s="72"/>
      <c r="AL408" s="72"/>
      <c r="AM408" s="72"/>
      <c r="AN408" s="72"/>
      <c r="AO408" s="72"/>
      <c r="AP408" s="72"/>
      <c r="AQ408" s="72"/>
      <c r="AR408" s="72"/>
      <c r="AS408" s="72"/>
      <c r="AT408" s="72"/>
      <c r="AU408" s="72"/>
      <c r="AV408" s="72"/>
    </row>
    <row r="409" spans="1:48" s="37" customFormat="1" ht="16.5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72"/>
      <c r="AI409" s="72"/>
      <c r="AJ409" s="72"/>
      <c r="AK409" s="72"/>
      <c r="AL409" s="72"/>
      <c r="AM409" s="72"/>
      <c r="AN409" s="72"/>
      <c r="AO409" s="72"/>
      <c r="AP409" s="72"/>
      <c r="AQ409" s="72"/>
      <c r="AR409" s="72"/>
      <c r="AS409" s="72"/>
      <c r="AT409" s="72"/>
      <c r="AU409" s="72"/>
      <c r="AV409" s="72"/>
    </row>
    <row r="410" spans="1:48" s="37" customFormat="1" ht="16.5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72"/>
      <c r="AI410" s="72"/>
      <c r="AJ410" s="72"/>
      <c r="AK410" s="72"/>
      <c r="AL410" s="72"/>
      <c r="AM410" s="72"/>
      <c r="AN410" s="72"/>
      <c r="AO410" s="72"/>
      <c r="AP410" s="72"/>
      <c r="AQ410" s="72"/>
      <c r="AR410" s="72"/>
      <c r="AS410" s="72"/>
      <c r="AT410" s="72"/>
      <c r="AU410" s="72"/>
      <c r="AV410" s="72"/>
    </row>
    <row r="411" spans="1:48" s="37" customFormat="1" ht="16.5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72"/>
      <c r="AI411" s="72"/>
      <c r="AJ411" s="72"/>
      <c r="AK411" s="72"/>
      <c r="AL411" s="72"/>
      <c r="AM411" s="72"/>
      <c r="AN411" s="72"/>
      <c r="AO411" s="72"/>
      <c r="AP411" s="72"/>
      <c r="AQ411" s="72"/>
      <c r="AR411" s="72"/>
      <c r="AS411" s="72"/>
      <c r="AT411" s="72"/>
      <c r="AU411" s="72"/>
      <c r="AV411" s="72"/>
    </row>
    <row r="412" spans="1:48" s="37" customFormat="1" ht="16.5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72"/>
      <c r="AI412" s="72"/>
      <c r="AJ412" s="72"/>
      <c r="AK412" s="72"/>
      <c r="AL412" s="72"/>
      <c r="AM412" s="72"/>
      <c r="AN412" s="72"/>
      <c r="AO412" s="72"/>
      <c r="AP412" s="72"/>
      <c r="AQ412" s="72"/>
      <c r="AR412" s="72"/>
      <c r="AS412" s="72"/>
      <c r="AT412" s="72"/>
      <c r="AU412" s="72"/>
      <c r="AV412" s="72"/>
    </row>
    <row r="413" spans="1:48" s="37" customFormat="1" ht="16.5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72"/>
      <c r="AI413" s="72"/>
      <c r="AJ413" s="72"/>
      <c r="AK413" s="72"/>
      <c r="AL413" s="72"/>
      <c r="AM413" s="72"/>
      <c r="AN413" s="72"/>
      <c r="AO413" s="72"/>
      <c r="AP413" s="72"/>
      <c r="AQ413" s="72"/>
      <c r="AR413" s="72"/>
      <c r="AS413" s="72"/>
      <c r="AT413" s="72"/>
      <c r="AU413" s="72"/>
      <c r="AV413" s="72"/>
    </row>
    <row r="414" spans="1:48" s="37" customFormat="1" ht="16.5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72"/>
      <c r="AI414" s="72"/>
      <c r="AJ414" s="72"/>
      <c r="AK414" s="72"/>
      <c r="AL414" s="72"/>
      <c r="AM414" s="72"/>
      <c r="AN414" s="72"/>
      <c r="AO414" s="72"/>
      <c r="AP414" s="72"/>
      <c r="AQ414" s="72"/>
      <c r="AR414" s="72"/>
      <c r="AS414" s="72"/>
      <c r="AT414" s="72"/>
      <c r="AU414" s="72"/>
      <c r="AV414" s="72"/>
    </row>
    <row r="415" spans="1:48" s="37" customFormat="1" ht="16.5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72"/>
      <c r="AI415" s="72"/>
      <c r="AJ415" s="72"/>
      <c r="AK415" s="72"/>
      <c r="AL415" s="72"/>
      <c r="AM415" s="72"/>
      <c r="AN415" s="72"/>
      <c r="AO415" s="72"/>
      <c r="AP415" s="72"/>
      <c r="AQ415" s="72"/>
      <c r="AR415" s="72"/>
      <c r="AS415" s="72"/>
      <c r="AT415" s="72"/>
      <c r="AU415" s="72"/>
      <c r="AV415" s="72"/>
    </row>
    <row r="416" spans="1:48" s="37" customFormat="1" ht="16.5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72"/>
      <c r="AI416" s="72"/>
      <c r="AJ416" s="72"/>
      <c r="AK416" s="72"/>
      <c r="AL416" s="72"/>
      <c r="AM416" s="72"/>
      <c r="AN416" s="72"/>
      <c r="AO416" s="72"/>
      <c r="AP416" s="72"/>
      <c r="AQ416" s="72"/>
      <c r="AR416" s="72"/>
      <c r="AS416" s="72"/>
      <c r="AT416" s="72"/>
      <c r="AU416" s="72"/>
      <c r="AV416" s="72"/>
    </row>
    <row r="417" spans="1:48" s="37" customFormat="1" ht="16.5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72"/>
      <c r="AI417" s="72"/>
      <c r="AJ417" s="72"/>
      <c r="AK417" s="72"/>
      <c r="AL417" s="72"/>
      <c r="AM417" s="72"/>
      <c r="AN417" s="72"/>
      <c r="AO417" s="72"/>
      <c r="AP417" s="72"/>
      <c r="AQ417" s="72"/>
      <c r="AR417" s="72"/>
      <c r="AS417" s="72"/>
      <c r="AT417" s="72"/>
      <c r="AU417" s="72"/>
      <c r="AV417" s="72"/>
    </row>
    <row r="418" spans="1:48" s="37" customFormat="1" ht="16.5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72"/>
      <c r="AI418" s="72"/>
      <c r="AJ418" s="72"/>
      <c r="AK418" s="72"/>
      <c r="AL418" s="72"/>
      <c r="AM418" s="72"/>
      <c r="AN418" s="72"/>
      <c r="AO418" s="72"/>
      <c r="AP418" s="72"/>
      <c r="AQ418" s="72"/>
      <c r="AR418" s="72"/>
      <c r="AS418" s="72"/>
      <c r="AT418" s="72"/>
      <c r="AU418" s="72"/>
      <c r="AV418" s="72"/>
    </row>
    <row r="419" spans="1:48" s="37" customFormat="1" ht="16.5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72"/>
      <c r="AI419" s="72"/>
      <c r="AJ419" s="72"/>
      <c r="AK419" s="72"/>
      <c r="AL419" s="72"/>
      <c r="AM419" s="72"/>
      <c r="AN419" s="72"/>
      <c r="AO419" s="72"/>
      <c r="AP419" s="72"/>
      <c r="AQ419" s="72"/>
      <c r="AR419" s="72"/>
      <c r="AS419" s="72"/>
      <c r="AT419" s="72"/>
      <c r="AU419" s="72"/>
      <c r="AV419" s="72"/>
    </row>
    <row r="420" spans="1:48" s="37" customFormat="1" ht="16.5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72"/>
      <c r="AI420" s="72"/>
      <c r="AJ420" s="72"/>
      <c r="AK420" s="72"/>
      <c r="AL420" s="72"/>
      <c r="AM420" s="72"/>
      <c r="AN420" s="72"/>
      <c r="AO420" s="72"/>
      <c r="AP420" s="72"/>
      <c r="AQ420" s="72"/>
      <c r="AR420" s="72"/>
      <c r="AS420" s="72"/>
      <c r="AT420" s="72"/>
      <c r="AU420" s="72"/>
      <c r="AV420" s="72"/>
    </row>
    <row r="421" spans="1:48" s="37" customFormat="1" ht="16.5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72"/>
      <c r="AI421" s="72"/>
      <c r="AJ421" s="72"/>
      <c r="AK421" s="72"/>
      <c r="AL421" s="72"/>
      <c r="AM421" s="72"/>
      <c r="AN421" s="72"/>
      <c r="AO421" s="72"/>
      <c r="AP421" s="72"/>
      <c r="AQ421" s="72"/>
      <c r="AR421" s="72"/>
      <c r="AS421" s="72"/>
      <c r="AT421" s="72"/>
      <c r="AU421" s="72"/>
      <c r="AV421" s="72"/>
    </row>
    <row r="422" spans="1:48" s="37" customFormat="1" ht="16.5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72"/>
      <c r="AI422" s="72"/>
      <c r="AJ422" s="72"/>
      <c r="AK422" s="72"/>
      <c r="AL422" s="72"/>
      <c r="AM422" s="72"/>
      <c r="AN422" s="72"/>
      <c r="AO422" s="72"/>
      <c r="AP422" s="72"/>
      <c r="AQ422" s="72"/>
      <c r="AR422" s="72"/>
      <c r="AS422" s="72"/>
      <c r="AT422" s="72"/>
      <c r="AU422" s="72"/>
      <c r="AV422" s="72"/>
    </row>
    <row r="423" spans="1:48" s="37" customFormat="1" ht="16.5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72"/>
      <c r="AI423" s="72"/>
      <c r="AJ423" s="72"/>
      <c r="AK423" s="72"/>
      <c r="AL423" s="72"/>
      <c r="AM423" s="72"/>
      <c r="AN423" s="72"/>
      <c r="AO423" s="72"/>
      <c r="AP423" s="72"/>
      <c r="AQ423" s="72"/>
      <c r="AR423" s="72"/>
      <c r="AS423" s="72"/>
      <c r="AT423" s="72"/>
      <c r="AU423" s="72"/>
      <c r="AV423" s="72"/>
    </row>
    <row r="424" spans="1:48" s="37" customFormat="1" ht="16.5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72"/>
      <c r="AI424" s="72"/>
      <c r="AJ424" s="72"/>
      <c r="AK424" s="72"/>
      <c r="AL424" s="72"/>
      <c r="AM424" s="72"/>
      <c r="AN424" s="72"/>
      <c r="AO424" s="72"/>
      <c r="AP424" s="72"/>
      <c r="AQ424" s="72"/>
      <c r="AR424" s="72"/>
      <c r="AS424" s="72"/>
      <c r="AT424" s="72"/>
      <c r="AU424" s="72"/>
      <c r="AV424" s="72"/>
    </row>
    <row r="425" spans="1:48" s="37" customFormat="1" ht="16.5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72"/>
      <c r="AI425" s="72"/>
      <c r="AJ425" s="72"/>
      <c r="AK425" s="72"/>
      <c r="AL425" s="72"/>
      <c r="AM425" s="72"/>
      <c r="AN425" s="72"/>
      <c r="AO425" s="72"/>
      <c r="AP425" s="72"/>
      <c r="AQ425" s="72"/>
      <c r="AR425" s="72"/>
      <c r="AS425" s="72"/>
      <c r="AT425" s="72"/>
      <c r="AU425" s="72"/>
      <c r="AV425" s="72"/>
    </row>
    <row r="426" spans="1:48" s="37" customFormat="1" ht="16.5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72"/>
      <c r="AI426" s="72"/>
      <c r="AJ426" s="72"/>
      <c r="AK426" s="72"/>
      <c r="AL426" s="72"/>
      <c r="AM426" s="72"/>
      <c r="AN426" s="72"/>
      <c r="AO426" s="72"/>
      <c r="AP426" s="72"/>
      <c r="AQ426" s="72"/>
      <c r="AR426" s="72"/>
      <c r="AS426" s="72"/>
      <c r="AT426" s="72"/>
      <c r="AU426" s="72"/>
      <c r="AV426" s="72"/>
    </row>
    <row r="427" spans="1:48" s="37" customFormat="1" ht="16.5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72"/>
      <c r="AI427" s="72"/>
      <c r="AJ427" s="72"/>
      <c r="AK427" s="72"/>
      <c r="AL427" s="72"/>
      <c r="AM427" s="72"/>
      <c r="AN427" s="72"/>
      <c r="AO427" s="72"/>
      <c r="AP427" s="72"/>
      <c r="AQ427" s="72"/>
      <c r="AR427" s="72"/>
      <c r="AS427" s="72"/>
      <c r="AT427" s="72"/>
      <c r="AU427" s="72"/>
      <c r="AV427" s="72"/>
    </row>
    <row r="428" spans="1:48" s="37" customFormat="1" ht="16.5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72"/>
      <c r="AI428" s="72"/>
      <c r="AJ428" s="72"/>
      <c r="AK428" s="72"/>
      <c r="AL428" s="72"/>
      <c r="AM428" s="72"/>
      <c r="AN428" s="72"/>
      <c r="AO428" s="72"/>
      <c r="AP428" s="72"/>
      <c r="AQ428" s="72"/>
      <c r="AR428" s="72"/>
      <c r="AS428" s="72"/>
      <c r="AT428" s="72"/>
      <c r="AU428" s="72"/>
      <c r="AV428" s="72"/>
    </row>
    <row r="429" spans="1:48" s="37" customFormat="1" ht="16.5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72"/>
      <c r="AI429" s="72"/>
      <c r="AJ429" s="72"/>
      <c r="AK429" s="72"/>
      <c r="AL429" s="72"/>
      <c r="AM429" s="72"/>
      <c r="AN429" s="72"/>
      <c r="AO429" s="72"/>
      <c r="AP429" s="72"/>
      <c r="AQ429" s="72"/>
      <c r="AR429" s="72"/>
      <c r="AS429" s="72"/>
      <c r="AT429" s="72"/>
      <c r="AU429" s="72"/>
      <c r="AV429" s="72"/>
    </row>
    <row r="430" spans="1:48" s="37" customFormat="1" ht="16.5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72"/>
      <c r="AI430" s="72"/>
      <c r="AJ430" s="72"/>
      <c r="AK430" s="72"/>
      <c r="AL430" s="72"/>
      <c r="AM430" s="72"/>
      <c r="AN430" s="72"/>
      <c r="AO430" s="72"/>
      <c r="AP430" s="72"/>
      <c r="AQ430" s="72"/>
      <c r="AR430" s="72"/>
      <c r="AS430" s="72"/>
      <c r="AT430" s="72"/>
      <c r="AU430" s="72"/>
      <c r="AV430" s="72"/>
    </row>
    <row r="431" spans="1:48" s="37" customFormat="1" ht="16.5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72"/>
      <c r="AI431" s="72"/>
      <c r="AJ431" s="72"/>
      <c r="AK431" s="72"/>
      <c r="AL431" s="72"/>
      <c r="AM431" s="72"/>
      <c r="AN431" s="72"/>
      <c r="AO431" s="72"/>
      <c r="AP431" s="72"/>
      <c r="AQ431" s="72"/>
      <c r="AR431" s="72"/>
      <c r="AS431" s="72"/>
      <c r="AT431" s="72"/>
      <c r="AU431" s="72"/>
      <c r="AV431" s="72"/>
    </row>
    <row r="432" spans="1:48" s="37" customFormat="1" ht="16.5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72"/>
      <c r="AI432" s="72"/>
      <c r="AJ432" s="72"/>
      <c r="AK432" s="72"/>
      <c r="AL432" s="72"/>
      <c r="AM432" s="72"/>
      <c r="AN432" s="72"/>
      <c r="AO432" s="72"/>
      <c r="AP432" s="72"/>
      <c r="AQ432" s="72"/>
      <c r="AR432" s="72"/>
      <c r="AS432" s="72"/>
      <c r="AT432" s="72"/>
      <c r="AU432" s="72"/>
      <c r="AV432" s="72"/>
    </row>
    <row r="433" spans="1:48" s="37" customFormat="1" ht="16.5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72"/>
      <c r="AI433" s="72"/>
      <c r="AJ433" s="72"/>
      <c r="AK433" s="72"/>
      <c r="AL433" s="72"/>
      <c r="AM433" s="72"/>
      <c r="AN433" s="72"/>
      <c r="AO433" s="72"/>
      <c r="AP433" s="72"/>
      <c r="AQ433" s="72"/>
      <c r="AR433" s="72"/>
      <c r="AS433" s="72"/>
      <c r="AT433" s="72"/>
      <c r="AU433" s="72"/>
      <c r="AV433" s="72"/>
    </row>
    <row r="434" spans="1:48" s="37" customFormat="1" ht="16.5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72"/>
      <c r="AI434" s="72"/>
      <c r="AJ434" s="72"/>
      <c r="AK434" s="72"/>
      <c r="AL434" s="72"/>
      <c r="AM434" s="72"/>
      <c r="AN434" s="72"/>
      <c r="AO434" s="72"/>
      <c r="AP434" s="72"/>
      <c r="AQ434" s="72"/>
      <c r="AR434" s="72"/>
      <c r="AS434" s="72"/>
      <c r="AT434" s="72"/>
      <c r="AU434" s="72"/>
      <c r="AV434" s="72"/>
    </row>
    <row r="435" spans="1:48" s="37" customFormat="1" ht="16.5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72"/>
      <c r="AI435" s="72"/>
      <c r="AJ435" s="72"/>
      <c r="AK435" s="72"/>
      <c r="AL435" s="72"/>
      <c r="AM435" s="72"/>
      <c r="AN435" s="72"/>
      <c r="AO435" s="72"/>
      <c r="AP435" s="72"/>
      <c r="AQ435" s="72"/>
      <c r="AR435" s="72"/>
      <c r="AS435" s="72"/>
      <c r="AT435" s="72"/>
      <c r="AU435" s="72"/>
      <c r="AV435" s="72"/>
    </row>
    <row r="436" spans="1:48" s="37" customFormat="1" ht="16.5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72"/>
      <c r="AI436" s="72"/>
      <c r="AJ436" s="72"/>
      <c r="AK436" s="72"/>
      <c r="AL436" s="72"/>
      <c r="AM436" s="72"/>
      <c r="AN436" s="72"/>
      <c r="AO436" s="72"/>
      <c r="AP436" s="72"/>
      <c r="AQ436" s="72"/>
      <c r="AR436" s="72"/>
      <c r="AS436" s="72"/>
      <c r="AT436" s="72"/>
      <c r="AU436" s="72"/>
      <c r="AV436" s="72"/>
    </row>
    <row r="437" spans="1:48" s="37" customFormat="1" ht="16.5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72"/>
      <c r="AI437" s="72"/>
      <c r="AJ437" s="72"/>
      <c r="AK437" s="72"/>
      <c r="AL437" s="72"/>
      <c r="AM437" s="72"/>
      <c r="AN437" s="72"/>
      <c r="AO437" s="72"/>
      <c r="AP437" s="72"/>
      <c r="AQ437" s="72"/>
      <c r="AR437" s="72"/>
      <c r="AS437" s="72"/>
      <c r="AT437" s="72"/>
      <c r="AU437" s="72"/>
      <c r="AV437" s="72"/>
    </row>
    <row r="438" spans="1:48" s="37" customFormat="1" ht="16.5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72"/>
      <c r="AI438" s="72"/>
      <c r="AJ438" s="72"/>
      <c r="AK438" s="72"/>
      <c r="AL438" s="72"/>
      <c r="AM438" s="72"/>
      <c r="AN438" s="72"/>
      <c r="AO438" s="72"/>
      <c r="AP438" s="72"/>
      <c r="AQ438" s="72"/>
      <c r="AR438" s="72"/>
      <c r="AS438" s="72"/>
      <c r="AT438" s="72"/>
      <c r="AU438" s="72"/>
      <c r="AV438" s="72"/>
    </row>
    <row r="439" spans="1:48" s="37" customFormat="1" ht="16.5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72"/>
      <c r="AI439" s="72"/>
      <c r="AJ439" s="72"/>
      <c r="AK439" s="72"/>
      <c r="AL439" s="72"/>
      <c r="AM439" s="72"/>
      <c r="AN439" s="72"/>
      <c r="AO439" s="72"/>
      <c r="AP439" s="72"/>
      <c r="AQ439" s="72"/>
      <c r="AR439" s="72"/>
      <c r="AS439" s="72"/>
      <c r="AT439" s="72"/>
      <c r="AU439" s="72"/>
      <c r="AV439" s="72"/>
    </row>
    <row r="440" spans="1:48" s="37" customFormat="1" ht="16.5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72"/>
      <c r="AI440" s="72"/>
      <c r="AJ440" s="72"/>
      <c r="AK440" s="72"/>
      <c r="AL440" s="72"/>
      <c r="AM440" s="72"/>
      <c r="AN440" s="72"/>
      <c r="AO440" s="72"/>
      <c r="AP440" s="72"/>
      <c r="AQ440" s="72"/>
      <c r="AR440" s="72"/>
      <c r="AS440" s="72"/>
      <c r="AT440" s="72"/>
      <c r="AU440" s="72"/>
      <c r="AV440" s="72"/>
    </row>
    <row r="441" spans="1:48" s="37" customFormat="1" ht="16.5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72"/>
      <c r="AI441" s="72"/>
      <c r="AJ441" s="72"/>
      <c r="AK441" s="72"/>
      <c r="AL441" s="72"/>
      <c r="AM441" s="72"/>
      <c r="AN441" s="72"/>
      <c r="AO441" s="72"/>
      <c r="AP441" s="72"/>
      <c r="AQ441" s="72"/>
      <c r="AR441" s="72"/>
      <c r="AS441" s="72"/>
      <c r="AT441" s="72"/>
      <c r="AU441" s="72"/>
      <c r="AV441" s="72"/>
    </row>
    <row r="442" spans="1:48" s="37" customFormat="1" ht="16.5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72"/>
      <c r="AI442" s="72"/>
      <c r="AJ442" s="72"/>
      <c r="AK442" s="72"/>
      <c r="AL442" s="72"/>
      <c r="AM442" s="72"/>
      <c r="AN442" s="72"/>
      <c r="AO442" s="72"/>
      <c r="AP442" s="72"/>
      <c r="AQ442" s="72"/>
      <c r="AR442" s="72"/>
      <c r="AS442" s="72"/>
      <c r="AT442" s="72"/>
      <c r="AU442" s="72"/>
      <c r="AV442" s="72"/>
    </row>
    <row r="443" spans="1:48" s="37" customFormat="1" ht="16.5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72"/>
      <c r="AI443" s="72"/>
      <c r="AJ443" s="72"/>
      <c r="AK443" s="72"/>
      <c r="AL443" s="72"/>
      <c r="AM443" s="72"/>
      <c r="AN443" s="72"/>
      <c r="AO443" s="72"/>
      <c r="AP443" s="72"/>
      <c r="AQ443" s="72"/>
      <c r="AR443" s="72"/>
      <c r="AS443" s="72"/>
      <c r="AT443" s="72"/>
      <c r="AU443" s="72"/>
      <c r="AV443" s="72"/>
    </row>
    <row r="444" spans="1:48" s="37" customFormat="1" ht="16.5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72"/>
      <c r="AI444" s="72"/>
      <c r="AJ444" s="72"/>
      <c r="AK444" s="72"/>
      <c r="AL444" s="72"/>
      <c r="AM444" s="72"/>
      <c r="AN444" s="72"/>
      <c r="AO444" s="72"/>
      <c r="AP444" s="72"/>
      <c r="AQ444" s="72"/>
      <c r="AR444" s="72"/>
      <c r="AS444" s="72"/>
      <c r="AT444" s="72"/>
      <c r="AU444" s="72"/>
      <c r="AV444" s="72"/>
    </row>
    <row r="445" spans="1:48" s="37" customFormat="1" ht="16.5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72"/>
      <c r="AI445" s="72"/>
      <c r="AJ445" s="72"/>
      <c r="AK445" s="72"/>
      <c r="AL445" s="72"/>
      <c r="AM445" s="72"/>
      <c r="AN445" s="72"/>
      <c r="AO445" s="72"/>
      <c r="AP445" s="72"/>
      <c r="AQ445" s="72"/>
      <c r="AR445" s="72"/>
      <c r="AS445" s="72"/>
      <c r="AT445" s="72"/>
      <c r="AU445" s="72"/>
      <c r="AV445" s="72"/>
    </row>
    <row r="446" spans="1:48" s="37" customFormat="1" ht="16.5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72"/>
      <c r="AI446" s="72"/>
      <c r="AJ446" s="72"/>
      <c r="AK446" s="72"/>
      <c r="AL446" s="72"/>
      <c r="AM446" s="72"/>
      <c r="AN446" s="72"/>
      <c r="AO446" s="72"/>
      <c r="AP446" s="72"/>
      <c r="AQ446" s="72"/>
      <c r="AR446" s="72"/>
      <c r="AS446" s="72"/>
      <c r="AT446" s="72"/>
      <c r="AU446" s="72"/>
      <c r="AV446" s="72"/>
    </row>
    <row r="447" spans="1:48" s="37" customFormat="1" ht="16.5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72"/>
      <c r="AI447" s="72"/>
      <c r="AJ447" s="72"/>
      <c r="AK447" s="72"/>
      <c r="AL447" s="72"/>
      <c r="AM447" s="72"/>
      <c r="AN447" s="72"/>
      <c r="AO447" s="72"/>
      <c r="AP447" s="72"/>
      <c r="AQ447" s="72"/>
      <c r="AR447" s="72"/>
      <c r="AS447" s="72"/>
      <c r="AT447" s="72"/>
      <c r="AU447" s="72"/>
      <c r="AV447" s="72"/>
    </row>
    <row r="448" spans="1:48" s="37" customFormat="1" ht="16.5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72"/>
      <c r="AI448" s="72"/>
      <c r="AJ448" s="72"/>
      <c r="AK448" s="72"/>
      <c r="AL448" s="72"/>
      <c r="AM448" s="72"/>
      <c r="AN448" s="72"/>
      <c r="AO448" s="72"/>
      <c r="AP448" s="72"/>
      <c r="AQ448" s="72"/>
      <c r="AR448" s="72"/>
      <c r="AS448" s="72"/>
      <c r="AT448" s="72"/>
      <c r="AU448" s="72"/>
      <c r="AV448" s="72"/>
    </row>
    <row r="449" spans="1:48" s="37" customFormat="1" ht="16.5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72"/>
      <c r="AI449" s="72"/>
      <c r="AJ449" s="72"/>
      <c r="AK449" s="72"/>
      <c r="AL449" s="72"/>
      <c r="AM449" s="72"/>
      <c r="AN449" s="72"/>
      <c r="AO449" s="72"/>
      <c r="AP449" s="72"/>
      <c r="AQ449" s="72"/>
      <c r="AR449" s="72"/>
      <c r="AS449" s="72"/>
      <c r="AT449" s="72"/>
      <c r="AU449" s="72"/>
      <c r="AV449" s="72"/>
    </row>
    <row r="450" spans="1:48" s="37" customFormat="1" ht="16.5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72"/>
      <c r="AI450" s="72"/>
      <c r="AJ450" s="72"/>
      <c r="AK450" s="72"/>
      <c r="AL450" s="72"/>
      <c r="AM450" s="72"/>
      <c r="AN450" s="72"/>
      <c r="AO450" s="72"/>
      <c r="AP450" s="72"/>
      <c r="AQ450" s="72"/>
      <c r="AR450" s="72"/>
      <c r="AS450" s="72"/>
      <c r="AT450" s="72"/>
      <c r="AU450" s="72"/>
      <c r="AV450" s="72"/>
    </row>
    <row r="451" spans="1:48" s="37" customFormat="1" ht="16.5" x14ac:dyDescent="0.3">
      <c r="A451" s="72"/>
      <c r="B451" s="72"/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72"/>
      <c r="AI451" s="72"/>
      <c r="AJ451" s="72"/>
      <c r="AK451" s="72"/>
      <c r="AL451" s="72"/>
      <c r="AM451" s="72"/>
      <c r="AN451" s="72"/>
      <c r="AO451" s="72"/>
      <c r="AP451" s="72"/>
      <c r="AQ451" s="72"/>
      <c r="AR451" s="72"/>
      <c r="AS451" s="72"/>
      <c r="AT451" s="72"/>
      <c r="AU451" s="72"/>
      <c r="AV451" s="72"/>
    </row>
    <row r="452" spans="1:48" s="37" customFormat="1" ht="16.5" x14ac:dyDescent="0.3">
      <c r="A452" s="72"/>
      <c r="B452" s="72"/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72"/>
      <c r="AI452" s="72"/>
      <c r="AJ452" s="72"/>
      <c r="AK452" s="72"/>
      <c r="AL452" s="72"/>
      <c r="AM452" s="72"/>
      <c r="AN452" s="72"/>
      <c r="AO452" s="72"/>
      <c r="AP452" s="72"/>
      <c r="AQ452" s="72"/>
      <c r="AR452" s="72"/>
      <c r="AS452" s="72"/>
      <c r="AT452" s="72"/>
      <c r="AU452" s="72"/>
      <c r="AV452" s="72"/>
    </row>
    <row r="453" spans="1:48" s="37" customFormat="1" ht="16.5" x14ac:dyDescent="0.3">
      <c r="A453" s="72"/>
      <c r="B453" s="72"/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72"/>
      <c r="AI453" s="72"/>
      <c r="AJ453" s="72"/>
      <c r="AK453" s="72"/>
      <c r="AL453" s="72"/>
      <c r="AM453" s="72"/>
      <c r="AN453" s="72"/>
      <c r="AO453" s="72"/>
      <c r="AP453" s="72"/>
      <c r="AQ453" s="72"/>
      <c r="AR453" s="72"/>
      <c r="AS453" s="72"/>
      <c r="AT453" s="72"/>
      <c r="AU453" s="72"/>
      <c r="AV453" s="72"/>
    </row>
    <row r="454" spans="1:48" s="37" customFormat="1" ht="16.5" x14ac:dyDescent="0.3">
      <c r="A454" s="72"/>
      <c r="B454" s="72"/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72"/>
      <c r="AI454" s="72"/>
      <c r="AJ454" s="72"/>
      <c r="AK454" s="72"/>
      <c r="AL454" s="72"/>
      <c r="AM454" s="72"/>
      <c r="AN454" s="72"/>
      <c r="AO454" s="72"/>
      <c r="AP454" s="72"/>
      <c r="AQ454" s="72"/>
      <c r="AR454" s="72"/>
      <c r="AS454" s="72"/>
      <c r="AT454" s="72"/>
      <c r="AU454" s="72"/>
      <c r="AV454" s="72"/>
    </row>
    <row r="455" spans="1:48" s="37" customFormat="1" ht="16.5" x14ac:dyDescent="0.3">
      <c r="A455" s="72"/>
      <c r="B455" s="72"/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72"/>
      <c r="AI455" s="72"/>
      <c r="AJ455" s="72"/>
      <c r="AK455" s="72"/>
      <c r="AL455" s="72"/>
      <c r="AM455" s="72"/>
      <c r="AN455" s="72"/>
      <c r="AO455" s="72"/>
      <c r="AP455" s="72"/>
      <c r="AQ455" s="72"/>
      <c r="AR455" s="72"/>
      <c r="AS455" s="72"/>
      <c r="AT455" s="72"/>
      <c r="AU455" s="72"/>
      <c r="AV455" s="72"/>
    </row>
    <row r="456" spans="1:48" s="37" customFormat="1" ht="16.5" x14ac:dyDescent="0.3">
      <c r="A456" s="72"/>
      <c r="B456" s="72"/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72"/>
      <c r="AI456" s="72"/>
      <c r="AJ456" s="72"/>
      <c r="AK456" s="72"/>
      <c r="AL456" s="72"/>
      <c r="AM456" s="72"/>
      <c r="AN456" s="72"/>
      <c r="AO456" s="72"/>
      <c r="AP456" s="72"/>
      <c r="AQ456" s="72"/>
      <c r="AR456" s="72"/>
      <c r="AS456" s="72"/>
      <c r="AT456" s="72"/>
      <c r="AU456" s="72"/>
      <c r="AV456" s="72"/>
    </row>
    <row r="457" spans="1:48" s="37" customFormat="1" ht="16.5" x14ac:dyDescent="0.3">
      <c r="A457" s="72"/>
      <c r="B457" s="72"/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72"/>
      <c r="AI457" s="72"/>
      <c r="AJ457" s="72"/>
      <c r="AK457" s="72"/>
      <c r="AL457" s="72"/>
      <c r="AM457" s="72"/>
      <c r="AN457" s="72"/>
      <c r="AO457" s="72"/>
      <c r="AP457" s="72"/>
      <c r="AQ457" s="72"/>
      <c r="AR457" s="72"/>
      <c r="AS457" s="72"/>
      <c r="AT457" s="72"/>
      <c r="AU457" s="72"/>
      <c r="AV457" s="72"/>
    </row>
    <row r="458" spans="1:48" s="37" customFormat="1" ht="16.5" x14ac:dyDescent="0.3">
      <c r="A458" s="72"/>
      <c r="B458" s="72"/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72"/>
      <c r="AI458" s="72"/>
      <c r="AJ458" s="72"/>
      <c r="AK458" s="72"/>
      <c r="AL458" s="72"/>
      <c r="AM458" s="72"/>
      <c r="AN458" s="72"/>
      <c r="AO458" s="72"/>
      <c r="AP458" s="72"/>
      <c r="AQ458" s="72"/>
      <c r="AR458" s="72"/>
      <c r="AS458" s="72"/>
      <c r="AT458" s="72"/>
      <c r="AU458" s="72"/>
      <c r="AV458" s="72"/>
    </row>
    <row r="459" spans="1:48" s="37" customFormat="1" ht="16.5" x14ac:dyDescent="0.3">
      <c r="A459" s="72"/>
      <c r="B459" s="72"/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72"/>
      <c r="AI459" s="72"/>
      <c r="AJ459" s="72"/>
      <c r="AK459" s="72"/>
      <c r="AL459" s="72"/>
      <c r="AM459" s="72"/>
      <c r="AN459" s="72"/>
      <c r="AO459" s="72"/>
      <c r="AP459" s="72"/>
      <c r="AQ459" s="72"/>
      <c r="AR459" s="72"/>
      <c r="AS459" s="72"/>
      <c r="AT459" s="72"/>
      <c r="AU459" s="72"/>
      <c r="AV459" s="72"/>
    </row>
    <row r="460" spans="1:48" s="37" customFormat="1" ht="16.5" x14ac:dyDescent="0.3">
      <c r="A460" s="72"/>
      <c r="B460" s="72"/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72"/>
      <c r="AI460" s="72"/>
      <c r="AJ460" s="72"/>
      <c r="AK460" s="72"/>
      <c r="AL460" s="72"/>
      <c r="AM460" s="72"/>
      <c r="AN460" s="72"/>
      <c r="AO460" s="72"/>
      <c r="AP460" s="72"/>
      <c r="AQ460" s="72"/>
      <c r="AR460" s="72"/>
      <c r="AS460" s="72"/>
      <c r="AT460" s="72"/>
      <c r="AU460" s="72"/>
      <c r="AV460" s="72"/>
    </row>
    <row r="461" spans="1:48" s="37" customFormat="1" ht="16.5" x14ac:dyDescent="0.3">
      <c r="A461" s="72"/>
      <c r="B461" s="72"/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72"/>
      <c r="AI461" s="72"/>
      <c r="AJ461" s="72"/>
      <c r="AK461" s="72"/>
      <c r="AL461" s="72"/>
      <c r="AM461" s="72"/>
      <c r="AN461" s="72"/>
      <c r="AO461" s="72"/>
      <c r="AP461" s="72"/>
      <c r="AQ461" s="72"/>
      <c r="AR461" s="72"/>
      <c r="AS461" s="72"/>
      <c r="AT461" s="72"/>
      <c r="AU461" s="72"/>
      <c r="AV461" s="72"/>
    </row>
    <row r="462" spans="1:48" s="37" customFormat="1" ht="16.5" x14ac:dyDescent="0.3">
      <c r="A462" s="72"/>
      <c r="B462" s="72"/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72"/>
      <c r="AI462" s="72"/>
      <c r="AJ462" s="72"/>
      <c r="AK462" s="72"/>
      <c r="AL462" s="72"/>
      <c r="AM462" s="72"/>
      <c r="AN462" s="72"/>
      <c r="AO462" s="72"/>
      <c r="AP462" s="72"/>
      <c r="AQ462" s="72"/>
      <c r="AR462" s="72"/>
      <c r="AS462" s="72"/>
      <c r="AT462" s="72"/>
      <c r="AU462" s="72"/>
      <c r="AV462" s="72"/>
    </row>
    <row r="463" spans="1:48" s="37" customFormat="1" ht="16.5" x14ac:dyDescent="0.3">
      <c r="A463" s="72"/>
      <c r="B463" s="72"/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72"/>
      <c r="AI463" s="72"/>
      <c r="AJ463" s="72"/>
      <c r="AK463" s="72"/>
      <c r="AL463" s="72"/>
      <c r="AM463" s="72"/>
      <c r="AN463" s="72"/>
      <c r="AO463" s="72"/>
      <c r="AP463" s="72"/>
      <c r="AQ463" s="72"/>
      <c r="AR463" s="72"/>
      <c r="AS463" s="72"/>
      <c r="AT463" s="72"/>
      <c r="AU463" s="72"/>
      <c r="AV463" s="72"/>
    </row>
    <row r="464" spans="1:48" s="37" customFormat="1" ht="16.5" x14ac:dyDescent="0.3">
      <c r="A464" s="72"/>
      <c r="B464" s="72"/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72"/>
      <c r="AI464" s="72"/>
      <c r="AJ464" s="72"/>
      <c r="AK464" s="72"/>
      <c r="AL464" s="72"/>
      <c r="AM464" s="72"/>
      <c r="AN464" s="72"/>
      <c r="AO464" s="72"/>
      <c r="AP464" s="72"/>
      <c r="AQ464" s="72"/>
      <c r="AR464" s="72"/>
      <c r="AS464" s="72"/>
      <c r="AT464" s="72"/>
      <c r="AU464" s="72"/>
      <c r="AV464" s="72"/>
    </row>
    <row r="465" spans="1:48" s="37" customFormat="1" ht="16.5" x14ac:dyDescent="0.3">
      <c r="A465" s="72"/>
      <c r="B465" s="72"/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72"/>
      <c r="AI465" s="72"/>
      <c r="AJ465" s="72"/>
      <c r="AK465" s="72"/>
      <c r="AL465" s="72"/>
      <c r="AM465" s="72"/>
      <c r="AN465" s="72"/>
      <c r="AO465" s="72"/>
      <c r="AP465" s="72"/>
      <c r="AQ465" s="72"/>
      <c r="AR465" s="72"/>
      <c r="AS465" s="72"/>
      <c r="AT465" s="72"/>
      <c r="AU465" s="72"/>
      <c r="AV465" s="72"/>
    </row>
    <row r="466" spans="1:48" s="37" customFormat="1" ht="16.5" x14ac:dyDescent="0.3">
      <c r="A466" s="72"/>
      <c r="B466" s="72"/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72"/>
      <c r="AI466" s="72"/>
      <c r="AJ466" s="72"/>
      <c r="AK466" s="72"/>
      <c r="AL466" s="72"/>
      <c r="AM466" s="72"/>
      <c r="AN466" s="72"/>
      <c r="AO466" s="72"/>
      <c r="AP466" s="72"/>
      <c r="AQ466" s="72"/>
      <c r="AR466" s="72"/>
      <c r="AS466" s="72"/>
      <c r="AT466" s="72"/>
      <c r="AU466" s="72"/>
      <c r="AV466" s="72"/>
    </row>
    <row r="467" spans="1:48" s="37" customFormat="1" ht="16.5" x14ac:dyDescent="0.3">
      <c r="A467" s="72"/>
      <c r="B467" s="72"/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72"/>
      <c r="AI467" s="72"/>
      <c r="AJ467" s="72"/>
      <c r="AK467" s="72"/>
      <c r="AL467" s="72"/>
      <c r="AM467" s="72"/>
      <c r="AN467" s="72"/>
      <c r="AO467" s="72"/>
      <c r="AP467" s="72"/>
      <c r="AQ467" s="72"/>
      <c r="AR467" s="72"/>
      <c r="AS467" s="72"/>
      <c r="AT467" s="72"/>
      <c r="AU467" s="72"/>
      <c r="AV467" s="72"/>
    </row>
    <row r="468" spans="1:48" s="37" customFormat="1" ht="16.5" x14ac:dyDescent="0.3">
      <c r="A468" s="72"/>
      <c r="B468" s="72"/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72"/>
      <c r="AI468" s="72"/>
      <c r="AJ468" s="72"/>
      <c r="AK468" s="72"/>
      <c r="AL468" s="72"/>
      <c r="AM468" s="72"/>
      <c r="AN468" s="72"/>
      <c r="AO468" s="72"/>
      <c r="AP468" s="72"/>
      <c r="AQ468" s="72"/>
      <c r="AR468" s="72"/>
      <c r="AS468" s="72"/>
      <c r="AT468" s="72"/>
      <c r="AU468" s="72"/>
      <c r="AV468" s="72"/>
    </row>
    <row r="469" spans="1:48" s="37" customFormat="1" ht="16.5" x14ac:dyDescent="0.3">
      <c r="A469" s="72"/>
      <c r="B469" s="72"/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72"/>
      <c r="AI469" s="72"/>
      <c r="AJ469" s="72"/>
      <c r="AK469" s="72"/>
      <c r="AL469" s="72"/>
      <c r="AM469" s="72"/>
      <c r="AN469" s="72"/>
      <c r="AO469" s="72"/>
      <c r="AP469" s="72"/>
      <c r="AQ469" s="72"/>
      <c r="AR469" s="72"/>
      <c r="AS469" s="72"/>
      <c r="AT469" s="72"/>
      <c r="AU469" s="72"/>
      <c r="AV469" s="72"/>
    </row>
    <row r="470" spans="1:48" s="37" customFormat="1" ht="16.5" x14ac:dyDescent="0.3">
      <c r="A470" s="72"/>
      <c r="B470" s="72"/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72"/>
      <c r="AI470" s="72"/>
      <c r="AJ470" s="72"/>
      <c r="AK470" s="72"/>
      <c r="AL470" s="72"/>
      <c r="AM470" s="72"/>
      <c r="AN470" s="72"/>
      <c r="AO470" s="72"/>
      <c r="AP470" s="72"/>
      <c r="AQ470" s="72"/>
      <c r="AR470" s="72"/>
      <c r="AS470" s="72"/>
      <c r="AT470" s="72"/>
      <c r="AU470" s="72"/>
      <c r="AV470" s="72"/>
    </row>
    <row r="471" spans="1:48" s="37" customFormat="1" ht="16.5" x14ac:dyDescent="0.3">
      <c r="A471" s="72"/>
      <c r="B471" s="72"/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72"/>
      <c r="AI471" s="72"/>
      <c r="AJ471" s="72"/>
      <c r="AK471" s="72"/>
      <c r="AL471" s="72"/>
      <c r="AM471" s="72"/>
      <c r="AN471" s="72"/>
      <c r="AO471" s="72"/>
      <c r="AP471" s="72"/>
      <c r="AQ471" s="72"/>
      <c r="AR471" s="72"/>
      <c r="AS471" s="72"/>
      <c r="AT471" s="72"/>
      <c r="AU471" s="72"/>
      <c r="AV471" s="72"/>
    </row>
    <row r="472" spans="1:48" s="37" customFormat="1" ht="16.5" x14ac:dyDescent="0.3">
      <c r="A472" s="72"/>
      <c r="B472" s="72"/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72"/>
      <c r="AI472" s="72"/>
      <c r="AJ472" s="72"/>
      <c r="AK472" s="72"/>
      <c r="AL472" s="72"/>
      <c r="AM472" s="72"/>
      <c r="AN472" s="72"/>
      <c r="AO472" s="72"/>
      <c r="AP472" s="72"/>
      <c r="AQ472" s="72"/>
      <c r="AR472" s="72"/>
      <c r="AS472" s="72"/>
      <c r="AT472" s="72"/>
      <c r="AU472" s="72"/>
      <c r="AV472" s="72"/>
    </row>
    <row r="473" spans="1:48" s="37" customFormat="1" ht="16.5" x14ac:dyDescent="0.3">
      <c r="A473" s="72"/>
      <c r="B473" s="72"/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72"/>
      <c r="AI473" s="72"/>
      <c r="AJ473" s="72"/>
      <c r="AK473" s="72"/>
      <c r="AL473" s="72"/>
      <c r="AM473" s="72"/>
      <c r="AN473" s="72"/>
      <c r="AO473" s="72"/>
      <c r="AP473" s="72"/>
      <c r="AQ473" s="72"/>
      <c r="AR473" s="72"/>
      <c r="AS473" s="72"/>
      <c r="AT473" s="72"/>
      <c r="AU473" s="72"/>
      <c r="AV473" s="72"/>
    </row>
    <row r="474" spans="1:48" s="37" customFormat="1" ht="16.5" x14ac:dyDescent="0.3">
      <c r="A474" s="72"/>
      <c r="B474" s="72"/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72"/>
      <c r="AI474" s="72"/>
      <c r="AJ474" s="72"/>
      <c r="AK474" s="72"/>
      <c r="AL474" s="72"/>
      <c r="AM474" s="72"/>
      <c r="AN474" s="72"/>
      <c r="AO474" s="72"/>
      <c r="AP474" s="72"/>
      <c r="AQ474" s="72"/>
      <c r="AR474" s="72"/>
      <c r="AS474" s="72"/>
      <c r="AT474" s="72"/>
      <c r="AU474" s="72"/>
      <c r="AV474" s="72"/>
    </row>
    <row r="475" spans="1:48" s="37" customFormat="1" ht="16.5" x14ac:dyDescent="0.3">
      <c r="A475" s="72"/>
      <c r="B475" s="72"/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72"/>
      <c r="AI475" s="72"/>
      <c r="AJ475" s="72"/>
      <c r="AK475" s="72"/>
      <c r="AL475" s="72"/>
      <c r="AM475" s="72"/>
      <c r="AN475" s="72"/>
      <c r="AO475" s="72"/>
      <c r="AP475" s="72"/>
      <c r="AQ475" s="72"/>
      <c r="AR475" s="72"/>
      <c r="AS475" s="72"/>
      <c r="AT475" s="72"/>
      <c r="AU475" s="72"/>
      <c r="AV475" s="72"/>
    </row>
    <row r="476" spans="1:48" s="37" customFormat="1" ht="16.5" x14ac:dyDescent="0.3">
      <c r="A476" s="72"/>
      <c r="B476" s="72"/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72"/>
      <c r="AI476" s="72"/>
      <c r="AJ476" s="72"/>
      <c r="AK476" s="72"/>
      <c r="AL476" s="72"/>
      <c r="AM476" s="72"/>
      <c r="AN476" s="72"/>
      <c r="AO476" s="72"/>
      <c r="AP476" s="72"/>
      <c r="AQ476" s="72"/>
      <c r="AR476" s="72"/>
      <c r="AS476" s="72"/>
      <c r="AT476" s="72"/>
      <c r="AU476" s="72"/>
      <c r="AV476" s="72"/>
    </row>
    <row r="477" spans="1:48" s="37" customFormat="1" ht="16.5" x14ac:dyDescent="0.3">
      <c r="A477" s="72"/>
      <c r="B477" s="72"/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72"/>
      <c r="AI477" s="72"/>
      <c r="AJ477" s="72"/>
      <c r="AK477" s="72"/>
      <c r="AL477" s="72"/>
      <c r="AM477" s="72"/>
      <c r="AN477" s="72"/>
      <c r="AO477" s="72"/>
      <c r="AP477" s="72"/>
      <c r="AQ477" s="72"/>
      <c r="AR477" s="72"/>
      <c r="AS477" s="72"/>
      <c r="AT477" s="72"/>
      <c r="AU477" s="72"/>
      <c r="AV477" s="72"/>
    </row>
    <row r="478" spans="1:48" s="37" customFormat="1" ht="16.5" x14ac:dyDescent="0.3">
      <c r="A478" s="72"/>
      <c r="B478" s="72"/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72"/>
      <c r="AI478" s="72"/>
      <c r="AJ478" s="72"/>
      <c r="AK478" s="72"/>
      <c r="AL478" s="72"/>
      <c r="AM478" s="72"/>
      <c r="AN478" s="72"/>
      <c r="AO478" s="72"/>
      <c r="AP478" s="72"/>
      <c r="AQ478" s="72"/>
      <c r="AR478" s="72"/>
      <c r="AS478" s="72"/>
      <c r="AT478" s="72"/>
      <c r="AU478" s="72"/>
      <c r="AV478" s="72"/>
    </row>
    <row r="479" spans="1:48" s="37" customFormat="1" ht="16.5" x14ac:dyDescent="0.3">
      <c r="A479" s="72"/>
      <c r="B479" s="72"/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72"/>
      <c r="AI479" s="72"/>
      <c r="AJ479" s="72"/>
      <c r="AK479" s="72"/>
      <c r="AL479" s="72"/>
      <c r="AM479" s="72"/>
      <c r="AN479" s="72"/>
      <c r="AO479" s="72"/>
      <c r="AP479" s="72"/>
      <c r="AQ479" s="72"/>
      <c r="AR479" s="72"/>
      <c r="AS479" s="72"/>
      <c r="AT479" s="72"/>
      <c r="AU479" s="72"/>
      <c r="AV479" s="72"/>
    </row>
    <row r="480" spans="1:48" s="37" customFormat="1" ht="16.5" x14ac:dyDescent="0.3">
      <c r="A480" s="72"/>
      <c r="B480" s="72"/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72"/>
      <c r="AI480" s="72"/>
      <c r="AJ480" s="72"/>
      <c r="AK480" s="72"/>
      <c r="AL480" s="72"/>
      <c r="AM480" s="72"/>
      <c r="AN480" s="72"/>
      <c r="AO480" s="72"/>
      <c r="AP480" s="72"/>
      <c r="AQ480" s="72"/>
      <c r="AR480" s="72"/>
      <c r="AS480" s="72"/>
      <c r="AT480" s="72"/>
      <c r="AU480" s="72"/>
      <c r="AV480" s="72"/>
    </row>
    <row r="481" spans="1:48" s="37" customFormat="1" ht="16.5" x14ac:dyDescent="0.3">
      <c r="A481" s="72"/>
      <c r="B481" s="72"/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72"/>
      <c r="AI481" s="72"/>
      <c r="AJ481" s="72"/>
      <c r="AK481" s="72"/>
      <c r="AL481" s="72"/>
      <c r="AM481" s="72"/>
      <c r="AN481" s="72"/>
      <c r="AO481" s="72"/>
      <c r="AP481" s="72"/>
      <c r="AQ481" s="72"/>
      <c r="AR481" s="72"/>
      <c r="AS481" s="72"/>
      <c r="AT481" s="72"/>
      <c r="AU481" s="72"/>
      <c r="AV481" s="72"/>
    </row>
    <row r="482" spans="1:48" s="37" customFormat="1" ht="16.5" x14ac:dyDescent="0.3">
      <c r="A482" s="72"/>
      <c r="B482" s="72"/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72"/>
      <c r="AI482" s="72"/>
      <c r="AJ482" s="72"/>
      <c r="AK482" s="72"/>
      <c r="AL482" s="72"/>
      <c r="AM482" s="72"/>
      <c r="AN482" s="72"/>
      <c r="AO482" s="72"/>
      <c r="AP482" s="72"/>
      <c r="AQ482" s="72"/>
      <c r="AR482" s="72"/>
      <c r="AS482" s="72"/>
      <c r="AT482" s="72"/>
      <c r="AU482" s="72"/>
      <c r="AV482" s="72"/>
    </row>
    <row r="483" spans="1:48" s="37" customFormat="1" ht="16.5" x14ac:dyDescent="0.3">
      <c r="A483" s="72"/>
      <c r="B483" s="72"/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72"/>
      <c r="AI483" s="72"/>
      <c r="AJ483" s="72"/>
      <c r="AK483" s="72"/>
      <c r="AL483" s="72"/>
      <c r="AM483" s="72"/>
      <c r="AN483" s="72"/>
      <c r="AO483" s="72"/>
      <c r="AP483" s="72"/>
      <c r="AQ483" s="72"/>
      <c r="AR483" s="72"/>
      <c r="AS483" s="72"/>
      <c r="AT483" s="72"/>
      <c r="AU483" s="72"/>
      <c r="AV483" s="72"/>
    </row>
    <row r="484" spans="1:48" s="37" customFormat="1" ht="16.5" x14ac:dyDescent="0.3">
      <c r="A484" s="72"/>
      <c r="B484" s="72"/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72"/>
      <c r="AI484" s="72"/>
      <c r="AJ484" s="72"/>
      <c r="AK484" s="72"/>
      <c r="AL484" s="72"/>
      <c r="AM484" s="72"/>
      <c r="AN484" s="72"/>
      <c r="AO484" s="72"/>
      <c r="AP484" s="72"/>
      <c r="AQ484" s="72"/>
      <c r="AR484" s="72"/>
      <c r="AS484" s="72"/>
      <c r="AT484" s="72"/>
      <c r="AU484" s="72"/>
      <c r="AV484" s="72"/>
    </row>
    <row r="485" spans="1:48" s="37" customFormat="1" ht="16.5" x14ac:dyDescent="0.3">
      <c r="A485" s="72"/>
      <c r="B485" s="72"/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72"/>
      <c r="AI485" s="72"/>
      <c r="AJ485" s="72"/>
      <c r="AK485" s="72"/>
      <c r="AL485" s="72"/>
      <c r="AM485" s="72"/>
      <c r="AN485" s="72"/>
      <c r="AO485" s="72"/>
      <c r="AP485" s="72"/>
      <c r="AQ485" s="72"/>
      <c r="AR485" s="72"/>
      <c r="AS485" s="72"/>
      <c r="AT485" s="72"/>
      <c r="AU485" s="72"/>
      <c r="AV485" s="72"/>
    </row>
    <row r="486" spans="1:48" s="37" customFormat="1" ht="16.5" x14ac:dyDescent="0.3">
      <c r="A486" s="72"/>
      <c r="B486" s="72"/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72"/>
      <c r="AI486" s="72"/>
      <c r="AJ486" s="72"/>
      <c r="AK486" s="72"/>
      <c r="AL486" s="72"/>
      <c r="AM486" s="72"/>
      <c r="AN486" s="72"/>
      <c r="AO486" s="72"/>
      <c r="AP486" s="72"/>
      <c r="AQ486" s="72"/>
      <c r="AR486" s="72"/>
      <c r="AS486" s="72"/>
      <c r="AT486" s="72"/>
      <c r="AU486" s="72"/>
      <c r="AV486" s="72"/>
    </row>
    <row r="487" spans="1:48" s="37" customFormat="1" ht="16.5" x14ac:dyDescent="0.3">
      <c r="A487" s="72"/>
      <c r="B487" s="72"/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72"/>
      <c r="AI487" s="72"/>
      <c r="AJ487" s="72"/>
      <c r="AK487" s="72"/>
      <c r="AL487" s="72"/>
      <c r="AM487" s="72"/>
      <c r="AN487" s="72"/>
      <c r="AO487" s="72"/>
      <c r="AP487" s="72"/>
      <c r="AQ487" s="72"/>
      <c r="AR487" s="72"/>
      <c r="AS487" s="72"/>
      <c r="AT487" s="72"/>
      <c r="AU487" s="72"/>
      <c r="AV487" s="72"/>
    </row>
    <row r="488" spans="1:48" s="37" customFormat="1" ht="16.5" x14ac:dyDescent="0.3">
      <c r="A488" s="72"/>
      <c r="B488" s="72"/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72"/>
      <c r="AI488" s="72"/>
      <c r="AJ488" s="72"/>
      <c r="AK488" s="72"/>
      <c r="AL488" s="72"/>
      <c r="AM488" s="72"/>
      <c r="AN488" s="72"/>
      <c r="AO488" s="72"/>
      <c r="AP488" s="72"/>
      <c r="AQ488" s="72"/>
      <c r="AR488" s="72"/>
      <c r="AS488" s="72"/>
      <c r="AT488" s="72"/>
      <c r="AU488" s="72"/>
      <c r="AV488" s="72"/>
    </row>
    <row r="489" spans="1:48" s="37" customFormat="1" ht="16.5" x14ac:dyDescent="0.3">
      <c r="A489" s="72"/>
      <c r="B489" s="72"/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72"/>
      <c r="AI489" s="72"/>
      <c r="AJ489" s="72"/>
      <c r="AK489" s="72"/>
      <c r="AL489" s="72"/>
      <c r="AM489" s="72"/>
      <c r="AN489" s="72"/>
      <c r="AO489" s="72"/>
      <c r="AP489" s="72"/>
      <c r="AQ489" s="72"/>
      <c r="AR489" s="72"/>
      <c r="AS489" s="72"/>
      <c r="AT489" s="72"/>
      <c r="AU489" s="72"/>
      <c r="AV489" s="72"/>
    </row>
    <row r="490" spans="1:48" s="37" customFormat="1" ht="16.5" x14ac:dyDescent="0.3">
      <c r="A490" s="72"/>
      <c r="B490" s="72"/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72"/>
      <c r="AI490" s="72"/>
      <c r="AJ490" s="72"/>
      <c r="AK490" s="72"/>
      <c r="AL490" s="72"/>
      <c r="AM490" s="72"/>
      <c r="AN490" s="72"/>
      <c r="AO490" s="72"/>
      <c r="AP490" s="72"/>
      <c r="AQ490" s="72"/>
      <c r="AR490" s="72"/>
      <c r="AS490" s="72"/>
      <c r="AT490" s="72"/>
      <c r="AU490" s="72"/>
      <c r="AV490" s="72"/>
    </row>
    <row r="491" spans="1:48" s="37" customFormat="1" ht="16.5" x14ac:dyDescent="0.3">
      <c r="A491" s="72"/>
      <c r="B491" s="72"/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72"/>
      <c r="AI491" s="72"/>
      <c r="AJ491" s="72"/>
      <c r="AK491" s="72"/>
      <c r="AL491" s="72"/>
      <c r="AM491" s="72"/>
      <c r="AN491" s="72"/>
      <c r="AO491" s="72"/>
      <c r="AP491" s="72"/>
      <c r="AQ491" s="72"/>
      <c r="AR491" s="72"/>
      <c r="AS491" s="72"/>
      <c r="AT491" s="72"/>
      <c r="AU491" s="72"/>
      <c r="AV491" s="72"/>
    </row>
    <row r="492" spans="1:48" s="37" customFormat="1" ht="16.5" x14ac:dyDescent="0.3">
      <c r="A492" s="72"/>
      <c r="B492" s="72"/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72"/>
      <c r="AI492" s="72"/>
      <c r="AJ492" s="72"/>
      <c r="AK492" s="72"/>
      <c r="AL492" s="72"/>
      <c r="AM492" s="72"/>
      <c r="AN492" s="72"/>
      <c r="AO492" s="72"/>
      <c r="AP492" s="72"/>
      <c r="AQ492" s="72"/>
      <c r="AR492" s="72"/>
      <c r="AS492" s="72"/>
      <c r="AT492" s="72"/>
      <c r="AU492" s="72"/>
      <c r="AV492" s="72"/>
    </row>
    <row r="493" spans="1:48" s="37" customFormat="1" ht="16.5" x14ac:dyDescent="0.3">
      <c r="A493" s="72"/>
      <c r="B493" s="72"/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72"/>
      <c r="AI493" s="72"/>
      <c r="AJ493" s="72"/>
      <c r="AK493" s="72"/>
      <c r="AL493" s="72"/>
      <c r="AM493" s="72"/>
      <c r="AN493" s="72"/>
      <c r="AO493" s="72"/>
      <c r="AP493" s="72"/>
      <c r="AQ493" s="72"/>
      <c r="AR493" s="72"/>
      <c r="AS493" s="72"/>
      <c r="AT493" s="72"/>
      <c r="AU493" s="72"/>
      <c r="AV493" s="72"/>
    </row>
    <row r="494" spans="1:48" s="37" customFormat="1" ht="16.5" x14ac:dyDescent="0.3">
      <c r="A494" s="72"/>
      <c r="B494" s="72"/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72"/>
      <c r="AI494" s="72"/>
      <c r="AJ494" s="72"/>
      <c r="AK494" s="72"/>
      <c r="AL494" s="72"/>
      <c r="AM494" s="72"/>
      <c r="AN494" s="72"/>
      <c r="AO494" s="72"/>
      <c r="AP494" s="72"/>
      <c r="AQ494" s="72"/>
      <c r="AR494" s="72"/>
      <c r="AS494" s="72"/>
      <c r="AT494" s="72"/>
      <c r="AU494" s="72"/>
      <c r="AV494" s="72"/>
    </row>
    <row r="495" spans="1:48" s="37" customFormat="1" ht="16.5" x14ac:dyDescent="0.3">
      <c r="A495" s="72"/>
      <c r="B495" s="72"/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72"/>
      <c r="AI495" s="72"/>
      <c r="AJ495" s="72"/>
      <c r="AK495" s="72"/>
      <c r="AL495" s="72"/>
      <c r="AM495" s="72"/>
      <c r="AN495" s="72"/>
      <c r="AO495" s="72"/>
      <c r="AP495" s="72"/>
      <c r="AQ495" s="72"/>
      <c r="AR495" s="72"/>
      <c r="AS495" s="72"/>
      <c r="AT495" s="72"/>
      <c r="AU495" s="72"/>
      <c r="AV495" s="72"/>
    </row>
    <row r="496" spans="1:48" s="37" customFormat="1" ht="16.5" x14ac:dyDescent="0.3">
      <c r="A496" s="72"/>
      <c r="B496" s="72"/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72"/>
      <c r="AI496" s="72"/>
      <c r="AJ496" s="72"/>
      <c r="AK496" s="72"/>
      <c r="AL496" s="72"/>
      <c r="AM496" s="72"/>
      <c r="AN496" s="72"/>
      <c r="AO496" s="72"/>
      <c r="AP496" s="72"/>
      <c r="AQ496" s="72"/>
      <c r="AR496" s="72"/>
      <c r="AS496" s="72"/>
      <c r="AT496" s="72"/>
      <c r="AU496" s="72"/>
      <c r="AV496" s="72"/>
    </row>
    <row r="497" spans="1:51" s="37" customFormat="1" ht="16.5" x14ac:dyDescent="0.3">
      <c r="A497" s="72"/>
      <c r="B497" s="72"/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72"/>
      <c r="AI497" s="72"/>
      <c r="AJ497" s="72"/>
      <c r="AK497" s="72"/>
      <c r="AL497" s="72"/>
      <c r="AM497" s="72"/>
      <c r="AN497" s="72"/>
      <c r="AO497" s="72"/>
      <c r="AP497" s="72"/>
      <c r="AQ497" s="72"/>
      <c r="AR497" s="72"/>
      <c r="AS497" s="72"/>
      <c r="AT497" s="72"/>
      <c r="AU497" s="72"/>
      <c r="AV497" s="72"/>
    </row>
    <row r="498" spans="1:51" s="37" customFormat="1" ht="16.5" x14ac:dyDescent="0.3">
      <c r="A498" s="72"/>
      <c r="B498" s="72"/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72"/>
      <c r="AI498" s="72"/>
      <c r="AJ498" s="72"/>
      <c r="AK498" s="72"/>
      <c r="AL498" s="72"/>
      <c r="AM498" s="72"/>
      <c r="AN498" s="72"/>
      <c r="AO498" s="72"/>
      <c r="AP498" s="72"/>
      <c r="AQ498" s="72"/>
      <c r="AR498" s="72"/>
      <c r="AS498" s="72"/>
      <c r="AT498" s="72"/>
      <c r="AU498" s="72"/>
      <c r="AV498" s="72"/>
    </row>
    <row r="499" spans="1:51" s="37" customFormat="1" ht="16.5" x14ac:dyDescent="0.3">
      <c r="A499" s="72"/>
      <c r="B499" s="72"/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72"/>
      <c r="AI499" s="72"/>
      <c r="AJ499" s="72"/>
      <c r="AK499" s="72"/>
      <c r="AL499" s="72"/>
      <c r="AM499" s="72"/>
      <c r="AN499" s="72"/>
      <c r="AO499" s="72"/>
      <c r="AP499" s="72"/>
      <c r="AQ499" s="72"/>
      <c r="AR499" s="72"/>
      <c r="AS499" s="72"/>
      <c r="AT499" s="72"/>
      <c r="AU499" s="72"/>
      <c r="AV499" s="72"/>
    </row>
    <row r="500" spans="1:51" s="37" customFormat="1" ht="16.5" x14ac:dyDescent="0.3">
      <c r="A500" s="72"/>
      <c r="B500" s="72"/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72"/>
      <c r="AI500" s="72"/>
      <c r="AJ500" s="72"/>
      <c r="AK500" s="72"/>
      <c r="AL500" s="72"/>
      <c r="AM500" s="72"/>
      <c r="AN500" s="72"/>
      <c r="AO500" s="72"/>
      <c r="AP500" s="72"/>
      <c r="AQ500" s="72"/>
      <c r="AR500" s="72"/>
      <c r="AS500" s="72"/>
      <c r="AT500" s="72"/>
      <c r="AU500" s="72"/>
      <c r="AV500" s="72"/>
    </row>
    <row r="501" spans="1:51" s="37" customFormat="1" ht="16.5" x14ac:dyDescent="0.3">
      <c r="A501" s="72"/>
      <c r="B501" s="72"/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72"/>
      <c r="AI501" s="72"/>
      <c r="AJ501" s="72"/>
      <c r="AK501" s="72"/>
      <c r="AL501" s="72"/>
      <c r="AM501" s="72"/>
      <c r="AN501" s="72"/>
      <c r="AO501" s="72"/>
      <c r="AP501" s="72"/>
      <c r="AQ501" s="72"/>
      <c r="AR501" s="72"/>
      <c r="AS501" s="72"/>
      <c r="AT501" s="72"/>
      <c r="AU501" s="72"/>
      <c r="AV501" s="72"/>
    </row>
    <row r="502" spans="1:51" s="37" customFormat="1" ht="16.5" x14ac:dyDescent="0.3">
      <c r="A502" s="72"/>
      <c r="B502" s="72"/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72"/>
      <c r="AI502" s="72"/>
      <c r="AJ502" s="72"/>
      <c r="AK502" s="72"/>
      <c r="AL502" s="72"/>
      <c r="AM502" s="72"/>
      <c r="AN502" s="72"/>
      <c r="AO502" s="72"/>
      <c r="AP502" s="72"/>
      <c r="AQ502" s="72"/>
      <c r="AR502" s="72"/>
      <c r="AS502" s="72"/>
      <c r="AT502" s="72"/>
      <c r="AU502" s="72"/>
      <c r="AV502" s="72"/>
    </row>
    <row r="503" spans="1:51" s="37" customFormat="1" ht="16.5" x14ac:dyDescent="0.3">
      <c r="A503" s="72"/>
      <c r="B503" s="72"/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72"/>
      <c r="AI503" s="72"/>
      <c r="AJ503" s="72"/>
      <c r="AK503" s="72"/>
      <c r="AL503" s="72"/>
      <c r="AM503" s="72"/>
      <c r="AN503" s="72"/>
      <c r="AO503" s="72"/>
      <c r="AP503" s="72"/>
      <c r="AQ503" s="72"/>
      <c r="AR503" s="72"/>
      <c r="AS503" s="72"/>
      <c r="AT503" s="72"/>
      <c r="AU503" s="72"/>
      <c r="AV503" s="72"/>
    </row>
    <row r="504" spans="1:51" s="37" customFormat="1" ht="16.5" x14ac:dyDescent="0.3">
      <c r="A504" s="72"/>
      <c r="B504" s="72"/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72"/>
      <c r="AI504" s="72"/>
      <c r="AJ504" s="72"/>
      <c r="AK504" s="72"/>
      <c r="AL504" s="72"/>
      <c r="AM504" s="72"/>
      <c r="AN504" s="72"/>
      <c r="AO504" s="72"/>
      <c r="AP504" s="72"/>
      <c r="AQ504" s="72"/>
      <c r="AR504" s="72"/>
      <c r="AS504" s="72"/>
      <c r="AT504" s="72"/>
      <c r="AU504" s="72"/>
      <c r="AV504" s="72"/>
    </row>
    <row r="505" spans="1:51" s="37" customFormat="1" ht="16.5" x14ac:dyDescent="0.3">
      <c r="A505" s="72"/>
      <c r="B505" s="72"/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72"/>
      <c r="AI505" s="72"/>
      <c r="AJ505" s="72"/>
      <c r="AK505" s="72"/>
      <c r="AL505" s="72"/>
      <c r="AM505" s="72"/>
      <c r="AN505" s="72"/>
      <c r="AO505" s="72"/>
      <c r="AP505" s="72"/>
      <c r="AQ505" s="72"/>
      <c r="AR505" s="72"/>
      <c r="AS505" s="72"/>
      <c r="AT505" s="72"/>
      <c r="AU505" s="72"/>
      <c r="AV505" s="72"/>
    </row>
    <row r="506" spans="1:51" s="37" customFormat="1" ht="16.5" x14ac:dyDescent="0.3">
      <c r="A506" s="72"/>
      <c r="B506" s="72"/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72"/>
      <c r="AI506" s="72"/>
      <c r="AJ506" s="72"/>
      <c r="AK506" s="72"/>
      <c r="AL506" s="72"/>
      <c r="AM506" s="72"/>
      <c r="AN506" s="72"/>
      <c r="AO506" s="72"/>
      <c r="AP506" s="72"/>
      <c r="AQ506" s="72"/>
      <c r="AR506" s="72"/>
      <c r="AS506" s="72"/>
      <c r="AT506" s="72"/>
      <c r="AU506" s="72"/>
      <c r="AV506" s="72"/>
    </row>
    <row r="507" spans="1:51" s="37" customFormat="1" ht="16.5" x14ac:dyDescent="0.3">
      <c r="A507" s="72"/>
      <c r="B507" s="72"/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72"/>
      <c r="AI507" s="72"/>
      <c r="AJ507" s="72"/>
      <c r="AK507" s="72"/>
      <c r="AL507" s="72"/>
      <c r="AM507" s="72"/>
      <c r="AN507" s="72"/>
      <c r="AO507" s="72"/>
      <c r="AP507" s="72"/>
      <c r="AQ507" s="72"/>
      <c r="AR507" s="72"/>
      <c r="AS507" s="72"/>
      <c r="AT507" s="72"/>
      <c r="AU507" s="72"/>
      <c r="AV507" s="72"/>
    </row>
    <row r="508" spans="1:51" s="37" customFormat="1" ht="16.5" x14ac:dyDescent="0.3">
      <c r="A508" s="72"/>
      <c r="B508" s="72"/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72"/>
      <c r="AI508" s="72"/>
      <c r="AJ508" s="72"/>
      <c r="AK508" s="72"/>
      <c r="AL508" s="72"/>
      <c r="AM508" s="72"/>
      <c r="AN508" s="72"/>
      <c r="AO508" s="72"/>
      <c r="AP508" s="72"/>
      <c r="AQ508" s="72"/>
      <c r="AR508" s="72"/>
      <c r="AS508" s="72"/>
      <c r="AT508" s="72"/>
      <c r="AU508" s="72"/>
      <c r="AV508" s="72"/>
    </row>
    <row r="509" spans="1:51" s="37" customFormat="1" ht="16.5" customHeight="1" x14ac:dyDescent="0.3">
      <c r="A509" s="72"/>
      <c r="B509" s="72"/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72"/>
      <c r="AI509" s="72"/>
      <c r="AJ509" s="72"/>
      <c r="AK509" s="72"/>
      <c r="AL509" s="72"/>
      <c r="AM509" s="72"/>
      <c r="AN509" s="72"/>
      <c r="AO509" s="72"/>
      <c r="AP509" s="72"/>
      <c r="AQ509" s="72"/>
      <c r="AR509" s="72"/>
      <c r="AS509" s="72"/>
      <c r="AT509" s="72"/>
      <c r="AU509" s="72"/>
      <c r="AV509" s="72"/>
      <c r="AX509" s="92"/>
      <c r="AY509" s="92"/>
    </row>
    <row r="510" spans="1:51" s="37" customFormat="1" ht="16.5" customHeight="1" x14ac:dyDescent="0.3">
      <c r="A510" s="72"/>
      <c r="B510" s="72"/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72"/>
      <c r="AI510" s="72"/>
      <c r="AJ510" s="72"/>
      <c r="AK510" s="72"/>
      <c r="AL510" s="72"/>
      <c r="AM510" s="72"/>
      <c r="AN510" s="72"/>
      <c r="AO510" s="72"/>
      <c r="AP510" s="72"/>
      <c r="AQ510" s="72"/>
      <c r="AR510" s="72"/>
      <c r="AS510" s="72"/>
      <c r="AT510" s="72"/>
      <c r="AU510" s="72"/>
      <c r="AV510" s="72"/>
      <c r="AX510" s="92"/>
      <c r="AY510" s="92"/>
    </row>
    <row r="511" spans="1:51" s="37" customFormat="1" ht="16.5" customHeight="1" x14ac:dyDescent="0.3">
      <c r="A511" s="72"/>
      <c r="B511" s="72"/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72"/>
      <c r="AI511" s="72"/>
      <c r="AJ511" s="72"/>
      <c r="AK511" s="72"/>
      <c r="AL511" s="72"/>
      <c r="AM511" s="72"/>
      <c r="AN511" s="72"/>
      <c r="AO511" s="72"/>
      <c r="AP511" s="72"/>
      <c r="AQ511" s="72"/>
      <c r="AR511" s="72"/>
      <c r="AS511" s="72"/>
      <c r="AT511" s="72"/>
      <c r="AU511" s="72"/>
      <c r="AV511" s="72"/>
      <c r="AX511" s="92"/>
      <c r="AY511" s="92"/>
    </row>
    <row r="512" spans="1:51" s="37" customFormat="1" ht="16.5" customHeight="1" x14ac:dyDescent="0.3">
      <c r="A512" s="72"/>
      <c r="B512" s="72"/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72"/>
      <c r="AI512" s="72"/>
      <c r="AJ512" s="72"/>
      <c r="AK512" s="72"/>
      <c r="AL512" s="72"/>
      <c r="AM512" s="72"/>
      <c r="AN512" s="72"/>
      <c r="AO512" s="72"/>
      <c r="AP512" s="72"/>
      <c r="AQ512" s="72"/>
      <c r="AR512" s="72"/>
      <c r="AS512" s="72"/>
      <c r="AT512" s="72"/>
      <c r="AU512" s="72"/>
      <c r="AV512" s="72"/>
      <c r="AX512" s="92"/>
      <c r="AY512" s="92"/>
    </row>
    <row r="513" spans="1:58" s="37" customFormat="1" ht="16.5" customHeight="1" x14ac:dyDescent="0.3">
      <c r="A513" s="72"/>
      <c r="B513" s="72"/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72"/>
      <c r="AI513" s="72"/>
      <c r="AJ513" s="72"/>
      <c r="AK513" s="72"/>
      <c r="AL513" s="72"/>
      <c r="AM513" s="72"/>
      <c r="AN513" s="72"/>
      <c r="AO513" s="72"/>
      <c r="AP513" s="72"/>
      <c r="AQ513" s="72"/>
      <c r="AR513" s="72"/>
      <c r="AS513" s="72"/>
      <c r="AT513" s="72"/>
      <c r="AU513" s="72"/>
      <c r="AV513" s="72"/>
      <c r="AX513" s="92"/>
      <c r="AY513" s="92"/>
    </row>
    <row r="514" spans="1:58" s="37" customFormat="1" ht="16.5" customHeight="1" x14ac:dyDescent="0.3">
      <c r="A514" s="72"/>
      <c r="B514" s="72"/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72"/>
      <c r="AI514" s="72"/>
      <c r="AJ514" s="72"/>
      <c r="AK514" s="72"/>
      <c r="AL514" s="72"/>
      <c r="AM514" s="72"/>
      <c r="AN514" s="72"/>
      <c r="AO514" s="72"/>
      <c r="AP514" s="72"/>
      <c r="AQ514" s="72"/>
      <c r="AR514" s="72"/>
      <c r="AS514" s="72"/>
      <c r="AT514" s="72"/>
      <c r="AU514" s="72"/>
      <c r="AV514" s="72"/>
      <c r="AX514" s="92"/>
      <c r="AY514" s="92"/>
    </row>
    <row r="515" spans="1:58" s="37" customFormat="1" ht="16.5" customHeight="1" x14ac:dyDescent="0.3">
      <c r="A515" s="72"/>
      <c r="B515" s="72"/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72"/>
      <c r="AI515" s="72"/>
      <c r="AJ515" s="72"/>
      <c r="AK515" s="72"/>
      <c r="AL515" s="72"/>
      <c r="AM515" s="72"/>
      <c r="AN515" s="72"/>
      <c r="AO515" s="72"/>
      <c r="AP515" s="72"/>
      <c r="AQ515" s="72"/>
      <c r="AR515" s="72"/>
      <c r="AS515" s="72"/>
      <c r="AT515" s="72"/>
      <c r="AU515" s="72"/>
      <c r="AV515" s="72"/>
      <c r="AX515" s="92"/>
      <c r="AY515" s="92"/>
    </row>
    <row r="516" spans="1:58" s="37" customFormat="1" ht="16.5" customHeight="1" x14ac:dyDescent="0.3">
      <c r="A516" s="72"/>
      <c r="B516" s="72"/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72"/>
      <c r="AI516" s="72"/>
      <c r="AJ516" s="72"/>
      <c r="AK516" s="72"/>
      <c r="AL516" s="72"/>
      <c r="AM516" s="72"/>
      <c r="AN516" s="72"/>
      <c r="AO516" s="72"/>
      <c r="AP516" s="72"/>
      <c r="AQ516" s="72"/>
      <c r="AR516" s="72"/>
      <c r="AS516" s="72"/>
      <c r="AT516" s="72"/>
      <c r="AU516" s="72"/>
      <c r="AV516" s="72"/>
      <c r="AX516" s="92"/>
      <c r="AY516" s="92"/>
    </row>
    <row r="517" spans="1:58" s="37" customFormat="1" ht="16.5" customHeight="1" x14ac:dyDescent="0.3">
      <c r="A517" s="72"/>
      <c r="B517" s="72"/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72"/>
      <c r="AI517" s="72"/>
      <c r="AJ517" s="72"/>
      <c r="AK517" s="72"/>
      <c r="AL517" s="72"/>
      <c r="AM517" s="72"/>
      <c r="AN517" s="72"/>
      <c r="AO517" s="72"/>
      <c r="AP517" s="72"/>
      <c r="AQ517" s="72"/>
      <c r="AR517" s="72"/>
      <c r="AS517" s="72"/>
      <c r="AT517" s="72"/>
      <c r="AU517" s="72"/>
      <c r="AV517" s="72"/>
      <c r="AX517" s="92"/>
      <c r="AY517" s="92"/>
    </row>
    <row r="518" spans="1:58" s="37" customFormat="1" ht="16.5" customHeight="1" x14ac:dyDescent="0.3">
      <c r="A518" s="72"/>
      <c r="B518" s="72"/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72"/>
      <c r="AI518" s="72"/>
      <c r="AJ518" s="72"/>
      <c r="AK518" s="72"/>
      <c r="AL518" s="72"/>
      <c r="AM518" s="72"/>
      <c r="AN518" s="72"/>
      <c r="AO518" s="72"/>
      <c r="AP518" s="72"/>
      <c r="AQ518" s="72"/>
      <c r="AR518" s="72"/>
      <c r="AS518" s="72"/>
      <c r="AT518" s="72"/>
      <c r="AU518" s="72"/>
      <c r="AV518" s="72"/>
      <c r="AX518" s="92"/>
      <c r="AY518" s="92"/>
    </row>
    <row r="519" spans="1:58" s="37" customFormat="1" ht="16.5" customHeight="1" x14ac:dyDescent="0.3">
      <c r="A519" s="72"/>
      <c r="B519" s="72"/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72"/>
      <c r="AI519" s="72"/>
      <c r="AJ519" s="72"/>
      <c r="AK519" s="72"/>
      <c r="AL519" s="72"/>
      <c r="AM519" s="72"/>
      <c r="AN519" s="72"/>
      <c r="AO519" s="72"/>
      <c r="AP519" s="72"/>
      <c r="AQ519" s="72"/>
      <c r="AR519" s="72"/>
      <c r="AS519" s="72"/>
      <c r="AT519" s="72"/>
      <c r="AU519" s="72"/>
      <c r="AV519" s="72"/>
      <c r="AX519" s="92"/>
      <c r="AY519" s="92"/>
    </row>
    <row r="520" spans="1:58" s="37" customFormat="1" ht="16.5" customHeight="1" x14ac:dyDescent="0.3">
      <c r="A520" s="72"/>
      <c r="B520" s="72"/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72"/>
      <c r="AI520" s="72"/>
      <c r="AJ520" s="72"/>
      <c r="AK520" s="72"/>
      <c r="AL520" s="72"/>
      <c r="AM520" s="72"/>
      <c r="AN520" s="72"/>
      <c r="AO520" s="72"/>
      <c r="AP520" s="72"/>
      <c r="AQ520" s="72"/>
      <c r="AR520" s="72"/>
      <c r="AS520" s="72"/>
      <c r="AT520" s="72"/>
      <c r="AU520" s="72"/>
      <c r="AV520" s="72"/>
      <c r="AX520" s="92"/>
      <c r="AY520" s="92"/>
    </row>
    <row r="521" spans="1:58" s="37" customFormat="1" ht="16.5" customHeight="1" x14ac:dyDescent="0.3">
      <c r="A521" s="72"/>
      <c r="B521" s="72"/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72"/>
      <c r="AI521" s="72"/>
      <c r="AJ521" s="72"/>
      <c r="AK521" s="72"/>
      <c r="AL521" s="72"/>
      <c r="AM521" s="72"/>
      <c r="AN521" s="72"/>
      <c r="AO521" s="72"/>
      <c r="AP521" s="72"/>
      <c r="AQ521" s="72"/>
      <c r="AR521" s="72"/>
      <c r="AS521" s="72"/>
      <c r="AT521" s="72"/>
      <c r="AU521" s="72"/>
      <c r="AV521" s="72"/>
      <c r="AX521" s="92"/>
      <c r="AY521" s="92"/>
    </row>
    <row r="522" spans="1:58" s="37" customFormat="1" ht="16.5" customHeight="1" x14ac:dyDescent="0.3">
      <c r="A522" s="72"/>
      <c r="B522" s="72"/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72"/>
      <c r="AI522" s="72"/>
      <c r="AJ522" s="72"/>
      <c r="AK522" s="72"/>
      <c r="AL522" s="72"/>
      <c r="AM522" s="72"/>
      <c r="AN522" s="72"/>
      <c r="AO522" s="72"/>
      <c r="AP522" s="72"/>
      <c r="AQ522" s="72"/>
      <c r="AR522" s="72"/>
      <c r="AS522" s="72"/>
      <c r="AT522" s="72"/>
      <c r="AU522" s="72"/>
      <c r="AV522" s="72"/>
      <c r="AX522" s="92"/>
      <c r="AY522" s="92"/>
    </row>
    <row r="523" spans="1:58" s="37" customFormat="1" ht="16.5" customHeight="1" x14ac:dyDescent="0.3">
      <c r="A523" s="72"/>
      <c r="B523" s="72"/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72"/>
      <c r="AI523" s="72"/>
      <c r="AJ523" s="72"/>
      <c r="AK523" s="72"/>
      <c r="AL523" s="72"/>
      <c r="AM523" s="72"/>
      <c r="AN523" s="72"/>
      <c r="AO523" s="72"/>
      <c r="AP523" s="72"/>
      <c r="AQ523" s="72"/>
      <c r="AR523" s="72"/>
      <c r="AS523" s="72"/>
      <c r="AT523" s="72"/>
      <c r="AU523" s="72"/>
      <c r="AV523" s="72"/>
      <c r="AX523" s="92"/>
      <c r="AY523" s="92"/>
    </row>
    <row r="524" spans="1:58" s="37" customFormat="1" ht="16.5" customHeight="1" x14ac:dyDescent="0.3">
      <c r="A524" s="72"/>
      <c r="B524" s="72"/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72"/>
      <c r="AI524" s="72"/>
      <c r="AJ524" s="72"/>
      <c r="AK524" s="72"/>
      <c r="AL524" s="72"/>
      <c r="AM524" s="72"/>
      <c r="AN524" s="72"/>
      <c r="AO524" s="72"/>
      <c r="AP524" s="72"/>
      <c r="AQ524" s="72"/>
      <c r="AR524" s="72"/>
      <c r="AS524" s="72"/>
      <c r="AT524" s="72"/>
      <c r="AU524" s="72"/>
      <c r="AV524" s="72"/>
      <c r="AX524" s="92"/>
      <c r="AY524" s="92"/>
    </row>
    <row r="525" spans="1:58" s="37" customFormat="1" ht="16.5" customHeight="1" x14ac:dyDescent="0.3">
      <c r="A525" s="72"/>
      <c r="B525" s="72"/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72"/>
      <c r="AI525" s="72"/>
      <c r="AJ525" s="72"/>
      <c r="AK525" s="72"/>
      <c r="AL525" s="72"/>
      <c r="AM525" s="72"/>
      <c r="AN525" s="72"/>
      <c r="AO525" s="72"/>
      <c r="AP525" s="72"/>
      <c r="AQ525" s="72"/>
      <c r="AR525" s="72"/>
      <c r="AS525" s="72"/>
      <c r="AT525" s="72"/>
      <c r="AU525" s="72"/>
      <c r="AV525" s="72"/>
      <c r="AX525" s="92"/>
      <c r="AY525" s="92"/>
    </row>
    <row r="526" spans="1:58" s="37" customFormat="1" ht="16.5" customHeight="1" x14ac:dyDescent="0.3">
      <c r="A526" s="72"/>
      <c r="B526" s="72"/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72"/>
      <c r="AI526" s="72"/>
      <c r="AJ526" s="72"/>
      <c r="AK526" s="72"/>
      <c r="AL526" s="72"/>
      <c r="AM526" s="72"/>
      <c r="AN526" s="72"/>
      <c r="AO526" s="72"/>
      <c r="AP526" s="72"/>
      <c r="AQ526" s="72"/>
      <c r="AR526" s="72"/>
      <c r="AS526" s="72"/>
      <c r="AT526" s="72"/>
      <c r="AU526" s="72"/>
      <c r="AV526" s="72"/>
      <c r="AX526" s="92"/>
      <c r="AY526" s="92"/>
    </row>
    <row r="527" spans="1:58" s="37" customFormat="1" ht="16.5" customHeight="1" x14ac:dyDescent="0.3">
      <c r="A527" s="72"/>
      <c r="B527" s="72"/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72"/>
      <c r="AI527" s="72"/>
      <c r="AJ527" s="72"/>
      <c r="AK527" s="72"/>
      <c r="AL527" s="72"/>
      <c r="AM527" s="72"/>
      <c r="AN527" s="72"/>
      <c r="AO527" s="72"/>
      <c r="AP527" s="72"/>
      <c r="AQ527" s="72"/>
      <c r="AR527" s="72"/>
      <c r="AS527" s="72"/>
      <c r="AT527" s="72"/>
      <c r="AU527" s="72"/>
      <c r="AV527" s="72"/>
      <c r="AX527" s="92"/>
      <c r="AY527" s="92"/>
    </row>
    <row r="528" spans="1:58" s="37" customFormat="1" ht="16.5" customHeight="1" x14ac:dyDescent="0.3">
      <c r="A528" s="72"/>
      <c r="B528" s="72"/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72"/>
      <c r="AI528" s="72"/>
      <c r="AJ528" s="72"/>
      <c r="AK528" s="72"/>
      <c r="AL528" s="72"/>
      <c r="AM528" s="72"/>
      <c r="AN528" s="72"/>
      <c r="AO528" s="72"/>
      <c r="AP528" s="72"/>
      <c r="AQ528" s="72"/>
      <c r="AR528" s="72"/>
      <c r="AS528" s="72"/>
      <c r="AT528" s="72"/>
      <c r="AU528" s="72"/>
      <c r="AV528" s="72"/>
      <c r="AX528" s="92"/>
      <c r="AY528" s="92"/>
      <c r="AZ528" s="92"/>
      <c r="BA528" s="78" t="s">
        <v>230</v>
      </c>
      <c r="BB528" s="93">
        <v>0</v>
      </c>
      <c r="BC528" s="93">
        <v>0</v>
      </c>
      <c r="BD528" s="93">
        <v>0</v>
      </c>
      <c r="BE528" s="93">
        <v>0</v>
      </c>
      <c r="BF528" s="93">
        <v>0</v>
      </c>
    </row>
    <row r="529" spans="1:58" s="37" customFormat="1" ht="16.5" customHeight="1" x14ac:dyDescent="0.3">
      <c r="A529" s="72"/>
      <c r="B529" s="72"/>
      <c r="C529" s="72"/>
      <c r="D529" s="72"/>
      <c r="E529" s="72"/>
      <c r="F529" s="72"/>
      <c r="G529" s="72"/>
      <c r="H529" s="72"/>
      <c r="I529" s="72"/>
      <c r="J529" s="72"/>
      <c r="K529" s="72"/>
      <c r="L529" s="72"/>
      <c r="M529" s="72"/>
      <c r="N529" s="72"/>
      <c r="O529" s="72"/>
      <c r="P529" s="72"/>
      <c r="Q529" s="72"/>
      <c r="R529" s="72"/>
      <c r="S529" s="72"/>
      <c r="T529" s="72"/>
      <c r="U529" s="72"/>
      <c r="V529" s="72"/>
      <c r="W529" s="72"/>
      <c r="X529" s="72"/>
      <c r="Y529" s="72"/>
      <c r="Z529" s="72"/>
      <c r="AA529" s="72"/>
      <c r="AB529" s="72"/>
      <c r="AC529" s="72"/>
      <c r="AD529" s="72"/>
      <c r="AE529" s="72"/>
      <c r="AF529" s="72"/>
      <c r="AG529" s="72"/>
      <c r="AH529" s="72"/>
      <c r="AI529" s="72"/>
      <c r="AJ529" s="72"/>
      <c r="AK529" s="72"/>
      <c r="AL529" s="72"/>
      <c r="AM529" s="72"/>
      <c r="AN529" s="72"/>
      <c r="AO529" s="72"/>
      <c r="AP529" s="72"/>
      <c r="AQ529" s="72"/>
      <c r="AR529" s="72"/>
      <c r="AS529" s="72"/>
      <c r="AT529" s="72"/>
      <c r="AU529" s="72"/>
      <c r="AV529" s="72"/>
      <c r="AX529" s="92"/>
      <c r="AY529" s="92"/>
      <c r="AZ529" s="92"/>
      <c r="BA529" s="78" t="s">
        <v>231</v>
      </c>
      <c r="BB529" s="93">
        <v>0</v>
      </c>
      <c r="BC529" s="93">
        <v>0</v>
      </c>
      <c r="BD529" s="93">
        <v>0</v>
      </c>
      <c r="BE529" s="93">
        <v>0</v>
      </c>
      <c r="BF529" s="93">
        <v>0</v>
      </c>
    </row>
    <row r="530" spans="1:58" s="37" customFormat="1" ht="16.5" customHeight="1" x14ac:dyDescent="0.3">
      <c r="A530" s="72"/>
      <c r="B530" s="72"/>
      <c r="C530" s="72"/>
      <c r="D530" s="72"/>
      <c r="E530" s="72"/>
      <c r="F530" s="72"/>
      <c r="G530" s="72"/>
      <c r="H530" s="72"/>
      <c r="I530" s="72"/>
      <c r="J530" s="72"/>
      <c r="K530" s="72"/>
      <c r="L530" s="72"/>
      <c r="M530" s="72"/>
      <c r="N530" s="72"/>
      <c r="O530" s="72"/>
      <c r="P530" s="72"/>
      <c r="Q530" s="72"/>
      <c r="R530" s="72"/>
      <c r="S530" s="72"/>
      <c r="T530" s="72"/>
      <c r="U530" s="72"/>
      <c r="V530" s="72"/>
      <c r="W530" s="72"/>
      <c r="X530" s="72"/>
      <c r="Y530" s="72"/>
      <c r="Z530" s="72"/>
      <c r="AA530" s="72"/>
      <c r="AB530" s="72"/>
      <c r="AC530" s="72"/>
      <c r="AD530" s="72"/>
      <c r="AE530" s="72"/>
      <c r="AF530" s="72"/>
      <c r="AG530" s="72"/>
      <c r="AH530" s="72"/>
      <c r="AI530" s="72"/>
      <c r="AJ530" s="72"/>
      <c r="AK530" s="72"/>
      <c r="AL530" s="72"/>
      <c r="AM530" s="72"/>
      <c r="AN530" s="72"/>
      <c r="AO530" s="72"/>
      <c r="AP530" s="72"/>
      <c r="AQ530" s="72"/>
      <c r="AR530" s="72"/>
      <c r="AS530" s="72"/>
      <c r="AT530" s="72"/>
      <c r="AU530" s="72"/>
      <c r="AV530" s="72"/>
      <c r="AX530" s="92"/>
      <c r="AY530" s="92"/>
      <c r="AZ530" s="92"/>
      <c r="BA530" s="78" t="s">
        <v>232</v>
      </c>
      <c r="BB530" s="93">
        <v>0</v>
      </c>
      <c r="BC530" s="93">
        <v>0</v>
      </c>
      <c r="BD530" s="93">
        <v>0</v>
      </c>
      <c r="BE530" s="93">
        <v>0</v>
      </c>
      <c r="BF530" s="93">
        <v>0</v>
      </c>
    </row>
    <row r="531" spans="1:58" s="37" customFormat="1" ht="16.5" customHeight="1" x14ac:dyDescent="0.3">
      <c r="A531" s="72"/>
      <c r="B531" s="72"/>
      <c r="C531" s="72"/>
      <c r="D531" s="72"/>
      <c r="E531" s="72"/>
      <c r="F531" s="72"/>
      <c r="G531" s="72"/>
      <c r="H531" s="72"/>
      <c r="I531" s="72"/>
      <c r="J531" s="72"/>
      <c r="K531" s="72"/>
      <c r="L531" s="72"/>
      <c r="M531" s="72"/>
      <c r="N531" s="72"/>
      <c r="O531" s="72"/>
      <c r="P531" s="72"/>
      <c r="Q531" s="72"/>
      <c r="R531" s="72"/>
      <c r="S531" s="72"/>
      <c r="T531" s="72"/>
      <c r="U531" s="72"/>
      <c r="V531" s="72"/>
      <c r="W531" s="72"/>
      <c r="X531" s="72"/>
      <c r="Y531" s="72"/>
      <c r="Z531" s="72"/>
      <c r="AA531" s="72"/>
      <c r="AB531" s="72"/>
      <c r="AC531" s="72"/>
      <c r="AD531" s="72"/>
      <c r="AE531" s="72"/>
      <c r="AF531" s="72"/>
      <c r="AG531" s="72"/>
      <c r="AH531" s="72"/>
      <c r="AI531" s="72"/>
      <c r="AJ531" s="72"/>
      <c r="AK531" s="72"/>
      <c r="AL531" s="72"/>
      <c r="AM531" s="72"/>
      <c r="AN531" s="72"/>
      <c r="AO531" s="72"/>
      <c r="AP531" s="72"/>
      <c r="AQ531" s="72"/>
      <c r="AR531" s="72"/>
      <c r="AS531" s="72"/>
      <c r="AT531" s="72"/>
      <c r="AU531" s="72"/>
      <c r="AV531" s="72"/>
      <c r="AX531" s="92"/>
      <c r="AY531" s="92"/>
      <c r="AZ531" s="92"/>
      <c r="BA531" s="2"/>
    </row>
    <row r="532" spans="1:58" s="37" customFormat="1" ht="16.5" customHeight="1" x14ac:dyDescent="0.3">
      <c r="A532" s="72"/>
      <c r="B532" s="72"/>
      <c r="C532" s="72"/>
      <c r="D532" s="72"/>
      <c r="E532" s="72"/>
      <c r="F532" s="72"/>
      <c r="G532" s="72"/>
      <c r="H532" s="72"/>
      <c r="I532" s="72"/>
      <c r="J532" s="72"/>
      <c r="K532" s="72"/>
      <c r="L532" s="72"/>
      <c r="M532" s="72"/>
      <c r="N532" s="72"/>
      <c r="O532" s="72"/>
      <c r="P532" s="72"/>
      <c r="Q532" s="72"/>
      <c r="R532" s="72"/>
      <c r="S532" s="72"/>
      <c r="T532" s="72"/>
      <c r="U532" s="72"/>
      <c r="V532" s="72"/>
      <c r="W532" s="72"/>
      <c r="X532" s="72"/>
      <c r="Y532" s="72"/>
      <c r="Z532" s="72"/>
      <c r="AA532" s="72"/>
      <c r="AB532" s="72"/>
      <c r="AC532" s="72"/>
      <c r="AD532" s="72"/>
      <c r="AE532" s="72"/>
      <c r="AF532" s="72"/>
      <c r="AG532" s="72"/>
      <c r="AH532" s="72"/>
      <c r="AI532" s="72"/>
      <c r="AJ532" s="72"/>
      <c r="AK532" s="72"/>
      <c r="AL532" s="72"/>
      <c r="AM532" s="72"/>
      <c r="AN532" s="72"/>
      <c r="AO532" s="72"/>
      <c r="AP532" s="72"/>
      <c r="AQ532" s="72"/>
      <c r="AR532" s="72"/>
      <c r="AS532" s="72"/>
      <c r="AT532" s="72"/>
      <c r="AU532" s="72"/>
      <c r="AV532" s="72"/>
      <c r="AX532" s="92"/>
      <c r="AY532" s="92"/>
      <c r="AZ532" s="92"/>
      <c r="BA532" s="78"/>
      <c r="BB532" s="78" t="s">
        <v>233</v>
      </c>
      <c r="BC532" s="78" t="s">
        <v>234</v>
      </c>
      <c r="BD532" s="78" t="s">
        <v>235</v>
      </c>
      <c r="BE532" s="78" t="s">
        <v>236</v>
      </c>
      <c r="BF532" s="78" t="s">
        <v>232</v>
      </c>
    </row>
    <row r="533" spans="1:58" s="37" customFormat="1" ht="16.5" customHeight="1" x14ac:dyDescent="0.3">
      <c r="A533" s="72"/>
      <c r="B533" s="72"/>
      <c r="C533" s="72"/>
      <c r="D533" s="72"/>
      <c r="E533" s="72"/>
      <c r="F533" s="72"/>
      <c r="G533" s="72"/>
      <c r="H533" s="72"/>
      <c r="I533" s="72"/>
      <c r="J533" s="72"/>
      <c r="K533" s="72"/>
      <c r="L533" s="72"/>
      <c r="M533" s="72"/>
      <c r="N533" s="72"/>
      <c r="O533" s="72"/>
      <c r="P533" s="72"/>
      <c r="Q533" s="72"/>
      <c r="R533" s="72"/>
      <c r="S533" s="72"/>
      <c r="T533" s="72"/>
      <c r="U533" s="72"/>
      <c r="V533" s="72"/>
      <c r="W533" s="72"/>
      <c r="X533" s="72"/>
      <c r="Y533" s="72"/>
      <c r="Z533" s="72"/>
      <c r="AA533" s="72"/>
      <c r="AB533" s="72"/>
      <c r="AC533" s="72"/>
      <c r="AD533" s="72"/>
      <c r="AE533" s="72"/>
      <c r="AF533" s="72"/>
      <c r="AG533" s="72"/>
      <c r="AH533" s="72"/>
      <c r="AI533" s="72"/>
      <c r="AJ533" s="72"/>
      <c r="AK533" s="72"/>
      <c r="AL533" s="72"/>
      <c r="AM533" s="72"/>
      <c r="AN533" s="72"/>
      <c r="AO533" s="72"/>
      <c r="AP533" s="72"/>
      <c r="AQ533" s="72"/>
      <c r="AR533" s="72"/>
      <c r="AS533" s="72"/>
      <c r="AT533" s="72"/>
      <c r="AU533" s="72"/>
      <c r="AV533" s="72"/>
      <c r="AX533" s="92"/>
      <c r="AY533" s="92"/>
      <c r="BA533" s="78" t="s">
        <v>230</v>
      </c>
      <c r="BB533" s="94" t="e">
        <v>#DIV/0!</v>
      </c>
      <c r="BC533" s="94" t="e">
        <v>#DIV/0!</v>
      </c>
      <c r="BD533" s="94" t="e">
        <v>#DIV/0!</v>
      </c>
      <c r="BE533" s="94" t="e">
        <v>#DIV/0!</v>
      </c>
      <c r="BF533" s="94" t="e">
        <v>#DIV/0!</v>
      </c>
    </row>
    <row r="534" spans="1:58" s="37" customFormat="1" ht="16.5" customHeight="1" x14ac:dyDescent="0.3">
      <c r="A534" s="72"/>
      <c r="B534" s="72"/>
      <c r="C534" s="72"/>
      <c r="D534" s="72"/>
      <c r="E534" s="72"/>
      <c r="F534" s="72"/>
      <c r="G534" s="72"/>
      <c r="H534" s="72"/>
      <c r="I534" s="72"/>
      <c r="J534" s="72"/>
      <c r="K534" s="72"/>
      <c r="L534" s="72"/>
      <c r="M534" s="72"/>
      <c r="N534" s="72"/>
      <c r="O534" s="72"/>
      <c r="P534" s="72"/>
      <c r="Q534" s="72"/>
      <c r="R534" s="72"/>
      <c r="S534" s="72"/>
      <c r="T534" s="72"/>
      <c r="U534" s="72"/>
      <c r="V534" s="72"/>
      <c r="W534" s="72"/>
      <c r="X534" s="72"/>
      <c r="Y534" s="72"/>
      <c r="Z534" s="72"/>
      <c r="AA534" s="72"/>
      <c r="AB534" s="72"/>
      <c r="AC534" s="72"/>
      <c r="AD534" s="72"/>
      <c r="AE534" s="72"/>
      <c r="AF534" s="72"/>
      <c r="AG534" s="72"/>
      <c r="AH534" s="72"/>
      <c r="AI534" s="72"/>
      <c r="AJ534" s="72"/>
      <c r="AK534" s="72"/>
      <c r="AL534" s="72"/>
      <c r="AM534" s="72"/>
      <c r="AN534" s="72"/>
      <c r="AO534" s="72"/>
      <c r="AP534" s="72"/>
      <c r="AQ534" s="72"/>
      <c r="AR534" s="72"/>
      <c r="AS534" s="72"/>
      <c r="AT534" s="72"/>
      <c r="AU534" s="72"/>
      <c r="AV534" s="72"/>
      <c r="AX534" s="92"/>
      <c r="AY534" s="92"/>
      <c r="BA534" s="78" t="s">
        <v>231</v>
      </c>
      <c r="BB534" s="94" t="e">
        <v>#DIV/0!</v>
      </c>
      <c r="BC534" s="94" t="e">
        <v>#DIV/0!</v>
      </c>
      <c r="BD534" s="94" t="e">
        <v>#DIV/0!</v>
      </c>
      <c r="BE534" s="94" t="e">
        <v>#DIV/0!</v>
      </c>
      <c r="BF534" s="94" t="e">
        <v>#DIV/0!</v>
      </c>
    </row>
    <row r="535" spans="1:58" s="37" customFormat="1" ht="16.5" customHeight="1" x14ac:dyDescent="0.3">
      <c r="A535" s="72"/>
      <c r="B535" s="72"/>
      <c r="C535" s="72"/>
      <c r="D535" s="72"/>
      <c r="E535" s="72"/>
      <c r="F535" s="72"/>
      <c r="G535" s="72"/>
      <c r="H535" s="72"/>
      <c r="I535" s="72"/>
      <c r="J535" s="72"/>
      <c r="K535" s="72"/>
      <c r="L535" s="72"/>
      <c r="M535" s="72"/>
      <c r="N535" s="72"/>
      <c r="O535" s="72"/>
      <c r="P535" s="72"/>
      <c r="Q535" s="72"/>
      <c r="R535" s="72"/>
      <c r="S535" s="72"/>
      <c r="T535" s="72"/>
      <c r="U535" s="72"/>
      <c r="V535" s="72"/>
      <c r="W535" s="72"/>
      <c r="X535" s="72"/>
      <c r="Y535" s="72"/>
      <c r="Z535" s="72"/>
      <c r="AA535" s="72"/>
      <c r="AB535" s="72"/>
      <c r="AC535" s="72"/>
      <c r="AD535" s="72"/>
      <c r="AE535" s="72"/>
      <c r="AF535" s="72"/>
      <c r="AG535" s="72"/>
      <c r="AH535" s="72"/>
      <c r="AI535" s="72"/>
      <c r="AJ535" s="72"/>
      <c r="AK535" s="72"/>
      <c r="AL535" s="72"/>
      <c r="AM535" s="72"/>
      <c r="AN535" s="72"/>
      <c r="AO535" s="72"/>
      <c r="AP535" s="72"/>
      <c r="AQ535" s="72"/>
      <c r="AR535" s="72"/>
      <c r="AS535" s="72"/>
      <c r="AT535" s="72"/>
      <c r="AU535" s="72"/>
      <c r="AV535" s="72"/>
      <c r="AX535" s="92"/>
      <c r="AY535" s="92"/>
      <c r="BA535" s="78" t="s">
        <v>232</v>
      </c>
      <c r="BB535" s="94" t="e">
        <v>#DIV/0!</v>
      </c>
      <c r="BC535" s="94" t="e">
        <v>#DIV/0!</v>
      </c>
      <c r="BD535" s="94" t="e">
        <v>#DIV/0!</v>
      </c>
      <c r="BE535" s="94" t="e">
        <v>#DIV/0!</v>
      </c>
      <c r="BF535" s="94" t="e">
        <v>#DIV/0!</v>
      </c>
    </row>
    <row r="536" spans="1:58" s="37" customFormat="1" ht="16.5" customHeight="1" x14ac:dyDescent="0.3">
      <c r="A536" s="72"/>
      <c r="B536" s="72"/>
      <c r="C536" s="72"/>
      <c r="D536" s="72"/>
      <c r="E536" s="72"/>
      <c r="F536" s="72"/>
      <c r="G536" s="72"/>
      <c r="H536" s="72"/>
      <c r="I536" s="72"/>
      <c r="J536" s="72"/>
      <c r="K536" s="72"/>
      <c r="L536" s="72"/>
      <c r="M536" s="72"/>
      <c r="N536" s="72"/>
      <c r="O536" s="72"/>
      <c r="P536" s="72"/>
      <c r="Q536" s="72"/>
      <c r="R536" s="72"/>
      <c r="S536" s="72"/>
      <c r="T536" s="72"/>
      <c r="U536" s="72"/>
      <c r="V536" s="72"/>
      <c r="W536" s="72"/>
      <c r="X536" s="72"/>
      <c r="Y536" s="72"/>
      <c r="Z536" s="72"/>
      <c r="AA536" s="72"/>
      <c r="AB536" s="72"/>
      <c r="AC536" s="72"/>
      <c r="AD536" s="72"/>
      <c r="AE536" s="72"/>
      <c r="AF536" s="72"/>
      <c r="AG536" s="72"/>
      <c r="AH536" s="72"/>
      <c r="AI536" s="72"/>
      <c r="AJ536" s="72"/>
      <c r="AK536" s="72"/>
      <c r="AL536" s="72"/>
      <c r="AM536" s="72"/>
      <c r="AN536" s="72"/>
      <c r="AO536" s="72"/>
      <c r="AP536" s="72"/>
      <c r="AQ536" s="72"/>
      <c r="AR536" s="72"/>
      <c r="AS536" s="72"/>
      <c r="AT536" s="72"/>
      <c r="AU536" s="72"/>
      <c r="AV536" s="72"/>
      <c r="AX536" s="92"/>
      <c r="AY536" s="92"/>
    </row>
    <row r="537" spans="1:58" s="37" customFormat="1" ht="16.5" customHeight="1" x14ac:dyDescent="0.3">
      <c r="A537" s="72"/>
      <c r="B537" s="72"/>
      <c r="C537" s="72"/>
      <c r="D537" s="72"/>
      <c r="E537" s="72"/>
      <c r="F537" s="72"/>
      <c r="G537" s="72"/>
      <c r="H537" s="72"/>
      <c r="I537" s="72"/>
      <c r="J537" s="72"/>
      <c r="K537" s="72"/>
      <c r="L537" s="72"/>
      <c r="M537" s="72"/>
      <c r="N537" s="72"/>
      <c r="O537" s="72"/>
      <c r="P537" s="72"/>
      <c r="Q537" s="72"/>
      <c r="R537" s="72"/>
      <c r="S537" s="72"/>
      <c r="T537" s="72"/>
      <c r="U537" s="72"/>
      <c r="V537" s="72"/>
      <c r="W537" s="72"/>
      <c r="X537" s="72"/>
      <c r="Y537" s="72"/>
      <c r="Z537" s="72"/>
      <c r="AA537" s="72"/>
      <c r="AB537" s="72"/>
      <c r="AC537" s="72"/>
      <c r="AD537" s="72"/>
      <c r="AE537" s="72"/>
      <c r="AF537" s="72"/>
      <c r="AG537" s="72"/>
      <c r="AH537" s="72"/>
      <c r="AI537" s="72"/>
      <c r="AJ537" s="72"/>
      <c r="AK537" s="72"/>
      <c r="AL537" s="72"/>
      <c r="AM537" s="72"/>
      <c r="AN537" s="72"/>
      <c r="AO537" s="72"/>
      <c r="AP537" s="72"/>
      <c r="AQ537" s="72"/>
      <c r="AR537" s="72"/>
      <c r="AS537" s="72"/>
      <c r="AT537" s="72"/>
      <c r="AU537" s="72"/>
      <c r="AV537" s="72"/>
      <c r="AX537" s="92"/>
      <c r="AY537" s="92"/>
    </row>
    <row r="538" spans="1:58" s="37" customFormat="1" ht="16.5" customHeight="1" x14ac:dyDescent="0.3">
      <c r="A538" s="72"/>
      <c r="B538" s="72"/>
      <c r="C538" s="72"/>
      <c r="D538" s="72"/>
      <c r="E538" s="72"/>
      <c r="F538" s="72"/>
      <c r="G538" s="72"/>
      <c r="H538" s="72"/>
      <c r="I538" s="72"/>
      <c r="J538" s="72"/>
      <c r="K538" s="72"/>
      <c r="L538" s="72"/>
      <c r="M538" s="72"/>
      <c r="N538" s="72"/>
      <c r="O538" s="72"/>
      <c r="P538" s="72"/>
      <c r="Q538" s="72"/>
      <c r="R538" s="72"/>
      <c r="S538" s="72"/>
      <c r="T538" s="72"/>
      <c r="U538" s="72"/>
      <c r="V538" s="72"/>
      <c r="W538" s="72"/>
      <c r="X538" s="72"/>
      <c r="Y538" s="72"/>
      <c r="Z538" s="72"/>
      <c r="AA538" s="72"/>
      <c r="AB538" s="72"/>
      <c r="AC538" s="72"/>
      <c r="AD538" s="72"/>
      <c r="AE538" s="72"/>
      <c r="AF538" s="72"/>
      <c r="AG538" s="72"/>
      <c r="AH538" s="72"/>
      <c r="AI538" s="72"/>
      <c r="AJ538" s="72"/>
      <c r="AK538" s="72"/>
      <c r="AL538" s="72"/>
      <c r="AM538" s="72"/>
      <c r="AN538" s="72"/>
      <c r="AO538" s="72"/>
      <c r="AP538" s="72"/>
      <c r="AQ538" s="72"/>
      <c r="AR538" s="72"/>
      <c r="AS538" s="72"/>
      <c r="AT538" s="72"/>
      <c r="AU538" s="72"/>
      <c r="AV538" s="72"/>
      <c r="AX538" s="92"/>
      <c r="AY538" s="92"/>
    </row>
    <row r="539" spans="1:58" s="37" customFormat="1" ht="16.5" customHeight="1" x14ac:dyDescent="0.3">
      <c r="A539" s="72"/>
      <c r="B539" s="72"/>
      <c r="C539" s="72"/>
      <c r="D539" s="72"/>
      <c r="E539" s="72"/>
      <c r="F539" s="72"/>
      <c r="G539" s="72"/>
      <c r="H539" s="72"/>
      <c r="I539" s="72"/>
      <c r="J539" s="72"/>
      <c r="K539" s="72"/>
      <c r="L539" s="72"/>
      <c r="M539" s="72"/>
      <c r="N539" s="72"/>
      <c r="O539" s="72"/>
      <c r="P539" s="72"/>
      <c r="Q539" s="72"/>
      <c r="R539" s="72"/>
      <c r="S539" s="72"/>
      <c r="T539" s="72"/>
      <c r="U539" s="72"/>
      <c r="V539" s="72"/>
      <c r="W539" s="72"/>
      <c r="X539" s="72"/>
      <c r="Y539" s="72"/>
      <c r="Z539" s="72"/>
      <c r="AA539" s="72"/>
      <c r="AB539" s="72"/>
      <c r="AC539" s="72"/>
      <c r="AD539" s="72"/>
      <c r="AE539" s="72"/>
      <c r="AF539" s="72"/>
      <c r="AG539" s="72"/>
      <c r="AH539" s="72"/>
      <c r="AI539" s="72"/>
      <c r="AJ539" s="72"/>
      <c r="AK539" s="72"/>
      <c r="AL539" s="72"/>
      <c r="AM539" s="72"/>
      <c r="AN539" s="72"/>
      <c r="AO539" s="72"/>
      <c r="AP539" s="72"/>
      <c r="AQ539" s="72"/>
      <c r="AR539" s="72"/>
      <c r="AS539" s="72"/>
      <c r="AT539" s="72"/>
      <c r="AU539" s="72"/>
      <c r="AV539" s="72"/>
      <c r="AX539" s="92"/>
      <c r="AY539" s="92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11107" priority="117154" operator="lessThan">
      <formula>15.1</formula>
    </cfRule>
    <cfRule type="cellIs" dxfId="11106" priority="117155" operator="lessThan">
      <formula>18.1</formula>
    </cfRule>
    <cfRule type="cellIs" dxfId="11105" priority="117156" operator="lessThan">
      <formula>21.1</formula>
    </cfRule>
    <cfRule type="cellIs" dxfId="11104" priority="117157" operator="lessThan">
      <formula>24.1</formula>
    </cfRule>
    <cfRule type="cellIs" dxfId="11103" priority="117158" operator="lessThan">
      <formula>30</formula>
    </cfRule>
    <cfRule type="cellIs" dxfId="11102" priority="117159" operator="lessThan">
      <formula>34.1</formula>
    </cfRule>
  </conditionalFormatting>
  <conditionalFormatting sqref="Z3">
    <cfRule type="colorScale" priority="117153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11101" priority="117151" operator="greaterThan">
      <formula>0.9</formula>
    </cfRule>
    <cfRule type="cellIs" dxfId="11100" priority="117152" operator="greaterThan">
      <formula>0.85</formula>
    </cfRule>
  </conditionalFormatting>
  <conditionalFormatting sqref="N2">
    <cfRule type="cellIs" dxfId="11099" priority="117149" operator="greaterThan">
      <formula>0.9</formula>
    </cfRule>
    <cfRule type="cellIs" dxfId="11098" priority="117150" operator="greaterThan">
      <formula>0.85</formula>
    </cfRule>
  </conditionalFormatting>
  <conditionalFormatting sqref="AV4">
    <cfRule type="expression" dxfId="11097" priority="845">
      <formula>AV4="X"</formula>
    </cfRule>
    <cfRule type="expression" dxfId="11096" priority="846">
      <formula>AV4="후보"</formula>
    </cfRule>
  </conditionalFormatting>
  <conditionalFormatting sqref="AC4">
    <cfRule type="cellIs" dxfId="11095" priority="843" operator="greaterThan">
      <formula>0.9</formula>
    </cfRule>
    <cfRule type="cellIs" dxfId="11094" priority="844" operator="greaterThan">
      <formula>0.85</formula>
    </cfRule>
  </conditionalFormatting>
  <conditionalFormatting sqref="N4">
    <cfRule type="cellIs" dxfId="11093" priority="841" operator="greaterThan">
      <formula>0.9</formula>
    </cfRule>
    <cfRule type="cellIs" dxfId="11092" priority="842" operator="greaterThan">
      <formula>0.85</formula>
    </cfRule>
  </conditionalFormatting>
  <conditionalFormatting sqref="E4">
    <cfRule type="expression" dxfId="11091" priority="837">
      <formula>AND(IF(OR($Q4=1,$Q4=2),1,0),IF($X4&lt;=20,1,0))</formula>
    </cfRule>
    <cfRule type="expression" dxfId="11090" priority="838">
      <formula>AND(IF($Q4=2,1,0),IF($X4&lt;30,1,0))</formula>
    </cfRule>
    <cfRule type="expression" dxfId="11089" priority="839">
      <formula>AND(IF($Q4=3,1,0),IF($X4&lt;30,1,0))</formula>
    </cfRule>
    <cfRule type="expression" dxfId="11088" priority="840">
      <formula>AND(IF($Q4=3,1,IF($Q4=4,1,0)),IF($F4&lt;=85,1,0))</formula>
    </cfRule>
  </conditionalFormatting>
  <conditionalFormatting sqref="X4">
    <cfRule type="expression" dxfId="11087" priority="833">
      <formula>AND(IF(OR($Q4=1,$Q4=2),1,0),IF($X4&lt;=20,1,0))</formula>
    </cfRule>
    <cfRule type="expression" dxfId="11086" priority="834">
      <formula>AND(IF($Q4=2,1,0),IF($X4&lt;30,1,0))</formula>
    </cfRule>
    <cfRule type="expression" dxfId="11085" priority="835">
      <formula>AND(IF($Q4=3,1,0),IF($X4&lt;30,1,0))</formula>
    </cfRule>
    <cfRule type="expression" dxfId="11084" priority="836">
      <formula>AND(IF($Q4=3,1,IF($Q4=4,1,0)),IF($F4&lt;=85,1,0))</formula>
    </cfRule>
  </conditionalFormatting>
  <conditionalFormatting sqref="AI4">
    <cfRule type="expression" dxfId="11083" priority="829">
      <formula>AND(IF(OR($Q4=1,$Q4=2),1,0),IF($X4&lt;=20,1,0))</formula>
    </cfRule>
    <cfRule type="expression" dxfId="11082" priority="830">
      <formula>AND(IF($Q4=2,1,0),IF($X4&lt;30,1,0))</formula>
    </cfRule>
    <cfRule type="expression" dxfId="11081" priority="831">
      <formula>AND(IF($Q4=3,1,0),IF($X4&lt;30,1,0))</formula>
    </cfRule>
    <cfRule type="expression" dxfId="11080" priority="832">
      <formula>AND(IF($Q4=3,1,IF($Q4=4,1,0)),IF($F4&lt;=85,1,0))</formula>
    </cfRule>
  </conditionalFormatting>
  <conditionalFormatting sqref="AV5">
    <cfRule type="expression" dxfId="11079" priority="827">
      <formula>AV5="X"</formula>
    </cfRule>
    <cfRule type="expression" dxfId="11078" priority="828">
      <formula>AV5="후보"</formula>
    </cfRule>
  </conditionalFormatting>
  <conditionalFormatting sqref="AC5">
    <cfRule type="cellIs" dxfId="11077" priority="825" operator="greaterThan">
      <formula>0.9</formula>
    </cfRule>
    <cfRule type="cellIs" dxfId="11076" priority="826" operator="greaterThan">
      <formula>0.85</formula>
    </cfRule>
  </conditionalFormatting>
  <conditionalFormatting sqref="N5">
    <cfRule type="cellIs" dxfId="11075" priority="823" operator="greaterThan">
      <formula>0.9</formula>
    </cfRule>
    <cfRule type="cellIs" dxfId="11074" priority="824" operator="greaterThan">
      <formula>0.85</formula>
    </cfRule>
  </conditionalFormatting>
  <conditionalFormatting sqref="E5">
    <cfRule type="expression" dxfId="11073" priority="819">
      <formula>AND(IF(OR($Q5=1,$Q5=2),1,0),IF($X5&lt;=20,1,0))</formula>
    </cfRule>
    <cfRule type="expression" dxfId="11072" priority="820">
      <formula>AND(IF($Q5=2,1,0),IF($X5&lt;30,1,0))</formula>
    </cfRule>
    <cfRule type="expression" dxfId="11071" priority="821">
      <formula>AND(IF($Q5=3,1,0),IF($X5&lt;30,1,0))</formula>
    </cfRule>
    <cfRule type="expression" dxfId="11070" priority="822">
      <formula>AND(IF($Q5=3,1,IF($Q5=4,1,0)),IF($F5&lt;=85,1,0))</formula>
    </cfRule>
  </conditionalFormatting>
  <conditionalFormatting sqref="X5">
    <cfRule type="expression" dxfId="11069" priority="815">
      <formula>AND(IF(OR($Q5=1,$Q5=2),1,0),IF($X5&lt;=20,1,0))</formula>
    </cfRule>
    <cfRule type="expression" dxfId="11068" priority="816">
      <formula>AND(IF($Q5=2,1,0),IF($X5&lt;30,1,0))</formula>
    </cfRule>
    <cfRule type="expression" dxfId="11067" priority="817">
      <formula>AND(IF($Q5=3,1,0),IF($X5&lt;30,1,0))</formula>
    </cfRule>
    <cfRule type="expression" dxfId="11066" priority="818">
      <formula>AND(IF($Q5=3,1,IF($Q5=4,1,0)),IF($F5&lt;=85,1,0))</formula>
    </cfRule>
  </conditionalFormatting>
  <conditionalFormatting sqref="AI5">
    <cfRule type="expression" dxfId="11065" priority="811">
      <formula>AND(IF(OR($Q5=1,$Q5=2),1,0),IF($X5&lt;=20,1,0))</formula>
    </cfRule>
    <cfRule type="expression" dxfId="11064" priority="812">
      <formula>AND(IF($Q5=2,1,0),IF($X5&lt;30,1,0))</formula>
    </cfRule>
    <cfRule type="expression" dxfId="11063" priority="813">
      <formula>AND(IF($Q5=3,1,0),IF($X5&lt;30,1,0))</formula>
    </cfRule>
    <cfRule type="expression" dxfId="11062" priority="814">
      <formula>AND(IF($Q5=3,1,IF($Q5=4,1,0)),IF($F5&lt;=85,1,0))</formula>
    </cfRule>
  </conditionalFormatting>
  <conditionalFormatting sqref="AV6">
    <cfRule type="expression" dxfId="11061" priority="809">
      <formula>AV6="X"</formula>
    </cfRule>
    <cfRule type="expression" dxfId="11060" priority="810">
      <formula>AV6="후보"</formula>
    </cfRule>
  </conditionalFormatting>
  <conditionalFormatting sqref="AC6">
    <cfRule type="cellIs" dxfId="11059" priority="807" operator="greaterThan">
      <formula>0.9</formula>
    </cfRule>
    <cfRule type="cellIs" dxfId="11058" priority="808" operator="greaterThan">
      <formula>0.85</formula>
    </cfRule>
  </conditionalFormatting>
  <conditionalFormatting sqref="N6">
    <cfRule type="cellIs" dxfId="11057" priority="805" operator="greaterThan">
      <formula>0.9</formula>
    </cfRule>
    <cfRule type="cellIs" dxfId="11056" priority="806" operator="greaterThan">
      <formula>0.85</formula>
    </cfRule>
  </conditionalFormatting>
  <conditionalFormatting sqref="E6">
    <cfRule type="expression" dxfId="11055" priority="801">
      <formula>AND(IF(OR($Q6=1,$Q6=2),1,0),IF($X6&lt;=20,1,0))</formula>
    </cfRule>
    <cfRule type="expression" dxfId="11054" priority="802">
      <formula>AND(IF($Q6=2,1,0),IF($X6&lt;30,1,0))</formula>
    </cfRule>
    <cfRule type="expression" dxfId="11053" priority="803">
      <formula>AND(IF($Q6=3,1,0),IF($X6&lt;30,1,0))</formula>
    </cfRule>
    <cfRule type="expression" dxfId="11052" priority="804">
      <formula>AND(IF($Q6=3,1,IF($Q6=4,1,0)),IF($F6&lt;=85,1,0))</formula>
    </cfRule>
  </conditionalFormatting>
  <conditionalFormatting sqref="X6">
    <cfRule type="expression" dxfId="11051" priority="797">
      <formula>AND(IF(OR($Q6=1,$Q6=2),1,0),IF($X6&lt;=20,1,0))</formula>
    </cfRule>
    <cfRule type="expression" dxfId="11050" priority="798">
      <formula>AND(IF($Q6=2,1,0),IF($X6&lt;30,1,0))</formula>
    </cfRule>
    <cfRule type="expression" dxfId="11049" priority="799">
      <formula>AND(IF($Q6=3,1,0),IF($X6&lt;30,1,0))</formula>
    </cfRule>
    <cfRule type="expression" dxfId="11048" priority="800">
      <formula>AND(IF($Q6=3,1,IF($Q6=4,1,0)),IF($F6&lt;=85,1,0))</formula>
    </cfRule>
  </conditionalFormatting>
  <conditionalFormatting sqref="AI6">
    <cfRule type="expression" dxfId="11047" priority="793">
      <formula>AND(IF(OR($Q6=1,$Q6=2),1,0),IF($X6&lt;=20,1,0))</formula>
    </cfRule>
    <cfRule type="expression" dxfId="11046" priority="794">
      <formula>AND(IF($Q6=2,1,0),IF($X6&lt;30,1,0))</formula>
    </cfRule>
    <cfRule type="expression" dxfId="11045" priority="795">
      <formula>AND(IF($Q6=3,1,0),IF($X6&lt;30,1,0))</formula>
    </cfRule>
    <cfRule type="expression" dxfId="11044" priority="796">
      <formula>AND(IF($Q6=3,1,IF($Q6=4,1,0)),IF($F6&lt;=85,1,0))</formula>
    </cfRule>
  </conditionalFormatting>
  <conditionalFormatting sqref="AV7">
    <cfRule type="expression" dxfId="11043" priority="791">
      <formula>AV7="X"</formula>
    </cfRule>
    <cfRule type="expression" dxfId="11042" priority="792">
      <formula>AV7="후보"</formula>
    </cfRule>
  </conditionalFormatting>
  <conditionalFormatting sqref="AC7">
    <cfRule type="cellIs" dxfId="11041" priority="789" operator="greaterThan">
      <formula>0.9</formula>
    </cfRule>
    <cfRule type="cellIs" dxfId="11040" priority="790" operator="greaterThan">
      <formula>0.85</formula>
    </cfRule>
  </conditionalFormatting>
  <conditionalFormatting sqref="N7">
    <cfRule type="cellIs" dxfId="11039" priority="787" operator="greaterThan">
      <formula>0.9</formula>
    </cfRule>
    <cfRule type="cellIs" dxfId="11038" priority="788" operator="greaterThan">
      <formula>0.85</formula>
    </cfRule>
  </conditionalFormatting>
  <conditionalFormatting sqref="E7">
    <cfRule type="expression" dxfId="11037" priority="783">
      <formula>AND(IF(OR($Q7=1,$Q7=2),1,0),IF($X7&lt;=20,1,0))</formula>
    </cfRule>
    <cfRule type="expression" dxfId="11036" priority="784">
      <formula>AND(IF($Q7=2,1,0),IF($X7&lt;30,1,0))</formula>
    </cfRule>
    <cfRule type="expression" dxfId="11035" priority="785">
      <formula>AND(IF($Q7=3,1,0),IF($X7&lt;30,1,0))</formula>
    </cfRule>
    <cfRule type="expression" dxfId="11034" priority="786">
      <formula>AND(IF($Q7=3,1,IF($Q7=4,1,0)),IF($F7&lt;=85,1,0))</formula>
    </cfRule>
  </conditionalFormatting>
  <conditionalFormatting sqref="X7">
    <cfRule type="expression" dxfId="11033" priority="779">
      <formula>AND(IF(OR($Q7=1,$Q7=2),1,0),IF($X7&lt;=20,1,0))</formula>
    </cfRule>
    <cfRule type="expression" dxfId="11032" priority="780">
      <formula>AND(IF($Q7=2,1,0),IF($X7&lt;30,1,0))</formula>
    </cfRule>
    <cfRule type="expression" dxfId="11031" priority="781">
      <formula>AND(IF($Q7=3,1,0),IF($X7&lt;30,1,0))</formula>
    </cfRule>
    <cfRule type="expression" dxfId="11030" priority="782">
      <formula>AND(IF($Q7=3,1,IF($Q7=4,1,0)),IF($F7&lt;=85,1,0))</formula>
    </cfRule>
  </conditionalFormatting>
  <conditionalFormatting sqref="AI7">
    <cfRule type="expression" dxfId="11029" priority="775">
      <formula>AND(IF(OR($Q7=1,$Q7=2),1,0),IF($X7&lt;=20,1,0))</formula>
    </cfRule>
    <cfRule type="expression" dxfId="11028" priority="776">
      <formula>AND(IF($Q7=2,1,0),IF($X7&lt;30,1,0))</formula>
    </cfRule>
    <cfRule type="expression" dxfId="11027" priority="777">
      <formula>AND(IF($Q7=3,1,0),IF($X7&lt;30,1,0))</formula>
    </cfRule>
    <cfRule type="expression" dxfId="11026" priority="778">
      <formula>AND(IF($Q7=3,1,IF($Q7=4,1,0)),IF($F7&lt;=85,1,0))</formula>
    </cfRule>
  </conditionalFormatting>
  <conditionalFormatting sqref="AV8">
    <cfRule type="expression" dxfId="11025" priority="773">
      <formula>AV8="X"</formula>
    </cfRule>
    <cfRule type="expression" dxfId="11024" priority="774">
      <formula>AV8="후보"</formula>
    </cfRule>
  </conditionalFormatting>
  <conditionalFormatting sqref="AC8">
    <cfRule type="cellIs" dxfId="11023" priority="771" operator="greaterThan">
      <formula>0.9</formula>
    </cfRule>
    <cfRule type="cellIs" dxfId="11022" priority="772" operator="greaterThan">
      <formula>0.85</formula>
    </cfRule>
  </conditionalFormatting>
  <conditionalFormatting sqref="N8">
    <cfRule type="cellIs" dxfId="11021" priority="769" operator="greaterThan">
      <formula>0.9</formula>
    </cfRule>
    <cfRule type="cellIs" dxfId="11020" priority="770" operator="greaterThan">
      <formula>0.85</formula>
    </cfRule>
  </conditionalFormatting>
  <conditionalFormatting sqref="E8">
    <cfRule type="expression" dxfId="11019" priority="765">
      <formula>AND(IF(OR($Q8=1,$Q8=2),1,0),IF($X8&lt;=20,1,0))</formula>
    </cfRule>
    <cfRule type="expression" dxfId="11018" priority="766">
      <formula>AND(IF($Q8=2,1,0),IF($X8&lt;30,1,0))</formula>
    </cfRule>
    <cfRule type="expression" dxfId="11017" priority="767">
      <formula>AND(IF($Q8=3,1,0),IF($X8&lt;30,1,0))</formula>
    </cfRule>
    <cfRule type="expression" dxfId="11016" priority="768">
      <formula>AND(IF($Q8=3,1,IF($Q8=4,1,0)),IF($F8&lt;=85,1,0))</formula>
    </cfRule>
  </conditionalFormatting>
  <conditionalFormatting sqref="X8">
    <cfRule type="expression" dxfId="11015" priority="761">
      <formula>AND(IF(OR($Q8=1,$Q8=2),1,0),IF($X8&lt;=20,1,0))</formula>
    </cfRule>
    <cfRule type="expression" dxfId="11014" priority="762">
      <formula>AND(IF($Q8=2,1,0),IF($X8&lt;30,1,0))</formula>
    </cfRule>
    <cfRule type="expression" dxfId="11013" priority="763">
      <formula>AND(IF($Q8=3,1,0),IF($X8&lt;30,1,0))</formula>
    </cfRule>
    <cfRule type="expression" dxfId="11012" priority="764">
      <formula>AND(IF($Q8=3,1,IF($Q8=4,1,0)),IF($F8&lt;=85,1,0))</formula>
    </cfRule>
  </conditionalFormatting>
  <conditionalFormatting sqref="AI8">
    <cfRule type="expression" dxfId="11011" priority="757">
      <formula>AND(IF(OR($Q8=1,$Q8=2),1,0),IF($X8&lt;=20,1,0))</formula>
    </cfRule>
    <cfRule type="expression" dxfId="11010" priority="758">
      <formula>AND(IF($Q8=2,1,0),IF($X8&lt;30,1,0))</formula>
    </cfRule>
    <cfRule type="expression" dxfId="11009" priority="759">
      <formula>AND(IF($Q8=3,1,0),IF($X8&lt;30,1,0))</formula>
    </cfRule>
    <cfRule type="expression" dxfId="11008" priority="760">
      <formula>AND(IF($Q8=3,1,IF($Q8=4,1,0)),IF($F8&lt;=85,1,0))</formula>
    </cfRule>
  </conditionalFormatting>
  <conditionalFormatting sqref="AV9">
    <cfRule type="expression" dxfId="11007" priority="755">
      <formula>AV9="X"</formula>
    </cfRule>
    <cfRule type="expression" dxfId="11006" priority="756">
      <formula>AV9="후보"</formula>
    </cfRule>
  </conditionalFormatting>
  <conditionalFormatting sqref="AC9">
    <cfRule type="cellIs" dxfId="11005" priority="753" operator="greaterThan">
      <formula>0.9</formula>
    </cfRule>
    <cfRule type="cellIs" dxfId="11004" priority="754" operator="greaterThan">
      <formula>0.85</formula>
    </cfRule>
  </conditionalFormatting>
  <conditionalFormatting sqref="N9">
    <cfRule type="cellIs" dxfId="11003" priority="751" operator="greaterThan">
      <formula>0.9</formula>
    </cfRule>
    <cfRule type="cellIs" dxfId="11002" priority="752" operator="greaterThan">
      <formula>0.85</formula>
    </cfRule>
  </conditionalFormatting>
  <conditionalFormatting sqref="E9">
    <cfRule type="expression" dxfId="11001" priority="747">
      <formula>AND(IF(OR($Q9=1,$Q9=2),1,0),IF($X9&lt;=20,1,0))</formula>
    </cfRule>
    <cfRule type="expression" dxfId="11000" priority="748">
      <formula>AND(IF($Q9=2,1,0),IF($X9&lt;30,1,0))</formula>
    </cfRule>
    <cfRule type="expression" dxfId="10999" priority="749">
      <formula>AND(IF($Q9=3,1,0),IF($X9&lt;30,1,0))</formula>
    </cfRule>
    <cfRule type="expression" dxfId="10998" priority="750">
      <formula>AND(IF($Q9=3,1,IF($Q9=4,1,0)),IF($F9&lt;=85,1,0))</formula>
    </cfRule>
  </conditionalFormatting>
  <conditionalFormatting sqref="X9">
    <cfRule type="expression" dxfId="10997" priority="743">
      <formula>AND(IF(OR($Q9=1,$Q9=2),1,0),IF($X9&lt;=20,1,0))</formula>
    </cfRule>
    <cfRule type="expression" dxfId="10996" priority="744">
      <formula>AND(IF($Q9=2,1,0),IF($X9&lt;30,1,0))</formula>
    </cfRule>
    <cfRule type="expression" dxfId="10995" priority="745">
      <formula>AND(IF($Q9=3,1,0),IF($X9&lt;30,1,0))</formula>
    </cfRule>
    <cfRule type="expression" dxfId="10994" priority="746">
      <formula>AND(IF($Q9=3,1,IF($Q9=4,1,0)),IF($F9&lt;=85,1,0))</formula>
    </cfRule>
  </conditionalFormatting>
  <conditionalFormatting sqref="AI9">
    <cfRule type="expression" dxfId="10993" priority="739">
      <formula>AND(IF(OR($Q9=1,$Q9=2),1,0),IF($X9&lt;=20,1,0))</formula>
    </cfRule>
    <cfRule type="expression" dxfId="10992" priority="740">
      <formula>AND(IF($Q9=2,1,0),IF($X9&lt;30,1,0))</formula>
    </cfRule>
    <cfRule type="expression" dxfId="10991" priority="741">
      <formula>AND(IF($Q9=3,1,0),IF($X9&lt;30,1,0))</formula>
    </cfRule>
    <cfRule type="expression" dxfId="10990" priority="742">
      <formula>AND(IF($Q9=3,1,IF($Q9=4,1,0)),IF($F9&lt;=85,1,0))</formula>
    </cfRule>
  </conditionalFormatting>
  <conditionalFormatting sqref="AV10">
    <cfRule type="expression" dxfId="10989" priority="737">
      <formula>AV10="X"</formula>
    </cfRule>
    <cfRule type="expression" dxfId="10988" priority="738">
      <formula>AV10="후보"</formula>
    </cfRule>
  </conditionalFormatting>
  <conditionalFormatting sqref="AC10">
    <cfRule type="cellIs" dxfId="10987" priority="735" operator="greaterThan">
      <formula>0.9</formula>
    </cfRule>
    <cfRule type="cellIs" dxfId="10986" priority="736" operator="greaterThan">
      <formula>0.85</formula>
    </cfRule>
  </conditionalFormatting>
  <conditionalFormatting sqref="N10">
    <cfRule type="cellIs" dxfId="10985" priority="733" operator="greaterThan">
      <formula>0.9</formula>
    </cfRule>
    <cfRule type="cellIs" dxfId="10984" priority="734" operator="greaterThan">
      <formula>0.85</formula>
    </cfRule>
  </conditionalFormatting>
  <conditionalFormatting sqref="E10">
    <cfRule type="expression" dxfId="10983" priority="729">
      <formula>AND(IF(OR($Q10=1,$Q10=2),1,0),IF($X10&lt;=20,1,0))</formula>
    </cfRule>
    <cfRule type="expression" dxfId="10982" priority="730">
      <formula>AND(IF($Q10=2,1,0),IF($X10&lt;30,1,0))</formula>
    </cfRule>
    <cfRule type="expression" dxfId="10981" priority="731">
      <formula>AND(IF($Q10=3,1,0),IF($X10&lt;30,1,0))</formula>
    </cfRule>
    <cfRule type="expression" dxfId="10980" priority="732">
      <formula>AND(IF($Q10=3,1,IF($Q10=4,1,0)),IF($F10&lt;=85,1,0))</formula>
    </cfRule>
  </conditionalFormatting>
  <conditionalFormatting sqref="X10">
    <cfRule type="expression" dxfId="10979" priority="725">
      <formula>AND(IF(OR($Q10=1,$Q10=2),1,0),IF($X10&lt;=20,1,0))</formula>
    </cfRule>
    <cfRule type="expression" dxfId="10978" priority="726">
      <formula>AND(IF($Q10=2,1,0),IF($X10&lt;30,1,0))</formula>
    </cfRule>
    <cfRule type="expression" dxfId="10977" priority="727">
      <formula>AND(IF($Q10=3,1,0),IF($X10&lt;30,1,0))</formula>
    </cfRule>
    <cfRule type="expression" dxfId="10976" priority="728">
      <formula>AND(IF($Q10=3,1,IF($Q10=4,1,0)),IF($F10&lt;=85,1,0))</formula>
    </cfRule>
  </conditionalFormatting>
  <conditionalFormatting sqref="AI10">
    <cfRule type="expression" dxfId="10975" priority="721">
      <formula>AND(IF(OR($Q10=1,$Q10=2),1,0),IF($X10&lt;=20,1,0))</formula>
    </cfRule>
    <cfRule type="expression" dxfId="10974" priority="722">
      <formula>AND(IF($Q10=2,1,0),IF($X10&lt;30,1,0))</formula>
    </cfRule>
    <cfRule type="expression" dxfId="10973" priority="723">
      <formula>AND(IF($Q10=3,1,0),IF($X10&lt;30,1,0))</formula>
    </cfRule>
    <cfRule type="expression" dxfId="10972" priority="724">
      <formula>AND(IF($Q10=3,1,IF($Q10=4,1,0)),IF($F10&lt;=85,1,0))</formula>
    </cfRule>
  </conditionalFormatting>
  <conditionalFormatting sqref="AV11">
    <cfRule type="expression" dxfId="10971" priority="719">
      <formula>AV11="X"</formula>
    </cfRule>
    <cfRule type="expression" dxfId="10970" priority="720">
      <formula>AV11="후보"</formula>
    </cfRule>
  </conditionalFormatting>
  <conditionalFormatting sqref="AC11">
    <cfRule type="cellIs" dxfId="10969" priority="717" operator="greaterThan">
      <formula>0.9</formula>
    </cfRule>
    <cfRule type="cellIs" dxfId="10968" priority="718" operator="greaterThan">
      <formula>0.85</formula>
    </cfRule>
  </conditionalFormatting>
  <conditionalFormatting sqref="N11">
    <cfRule type="cellIs" dxfId="10967" priority="715" operator="greaterThan">
      <formula>0.9</formula>
    </cfRule>
    <cfRule type="cellIs" dxfId="10966" priority="716" operator="greaterThan">
      <formula>0.85</formula>
    </cfRule>
  </conditionalFormatting>
  <conditionalFormatting sqref="E11">
    <cfRule type="expression" dxfId="10965" priority="711">
      <formula>AND(IF(OR($Q11=1,$Q11=2),1,0),IF($X11&lt;=20,1,0))</formula>
    </cfRule>
    <cfRule type="expression" dxfId="10964" priority="712">
      <formula>AND(IF($Q11=2,1,0),IF($X11&lt;30,1,0))</formula>
    </cfRule>
    <cfRule type="expression" dxfId="10963" priority="713">
      <formula>AND(IF($Q11=3,1,0),IF($X11&lt;30,1,0))</formula>
    </cfRule>
    <cfRule type="expression" dxfId="10962" priority="714">
      <formula>AND(IF($Q11=3,1,IF($Q11=4,1,0)),IF($F11&lt;=85,1,0))</formula>
    </cfRule>
  </conditionalFormatting>
  <conditionalFormatting sqref="X11">
    <cfRule type="expression" dxfId="10961" priority="707">
      <formula>AND(IF(OR($Q11=1,$Q11=2),1,0),IF($X11&lt;=20,1,0))</formula>
    </cfRule>
    <cfRule type="expression" dxfId="10960" priority="708">
      <formula>AND(IF($Q11=2,1,0),IF($X11&lt;30,1,0))</formula>
    </cfRule>
    <cfRule type="expression" dxfId="10959" priority="709">
      <formula>AND(IF($Q11=3,1,0),IF($X11&lt;30,1,0))</formula>
    </cfRule>
    <cfRule type="expression" dxfId="10958" priority="710">
      <formula>AND(IF($Q11=3,1,IF($Q11=4,1,0)),IF($F11&lt;=85,1,0))</formula>
    </cfRule>
  </conditionalFormatting>
  <conditionalFormatting sqref="AI11">
    <cfRule type="expression" dxfId="10957" priority="703">
      <formula>AND(IF(OR($Q11=1,$Q11=2),1,0),IF($X11&lt;=20,1,0))</formula>
    </cfRule>
    <cfRule type="expression" dxfId="10956" priority="704">
      <formula>AND(IF($Q11=2,1,0),IF($X11&lt;30,1,0))</formula>
    </cfRule>
    <cfRule type="expression" dxfId="10955" priority="705">
      <formula>AND(IF($Q11=3,1,0),IF($X11&lt;30,1,0))</formula>
    </cfRule>
    <cfRule type="expression" dxfId="10954" priority="706">
      <formula>AND(IF($Q11=3,1,IF($Q11=4,1,0)),IF($F11&lt;=85,1,0))</formula>
    </cfRule>
  </conditionalFormatting>
  <conditionalFormatting sqref="AV12">
    <cfRule type="expression" dxfId="10953" priority="701">
      <formula>AV12="X"</formula>
    </cfRule>
    <cfRule type="expression" dxfId="10952" priority="702">
      <formula>AV12="후보"</formula>
    </cfRule>
  </conditionalFormatting>
  <conditionalFormatting sqref="AC12">
    <cfRule type="cellIs" dxfId="10951" priority="699" operator="greaterThan">
      <formula>0.9</formula>
    </cfRule>
    <cfRule type="cellIs" dxfId="10950" priority="700" operator="greaterThan">
      <formula>0.85</formula>
    </cfRule>
  </conditionalFormatting>
  <conditionalFormatting sqref="N12">
    <cfRule type="cellIs" dxfId="10949" priority="697" operator="greaterThan">
      <formula>0.9</formula>
    </cfRule>
    <cfRule type="cellIs" dxfId="10948" priority="698" operator="greaterThan">
      <formula>0.85</formula>
    </cfRule>
  </conditionalFormatting>
  <conditionalFormatting sqref="E12">
    <cfRule type="expression" dxfId="10947" priority="693">
      <formula>AND(IF(OR($Q12=1,$Q12=2),1,0),IF($X12&lt;=20,1,0))</formula>
    </cfRule>
    <cfRule type="expression" dxfId="10946" priority="694">
      <formula>AND(IF($Q12=2,1,0),IF($X12&lt;30,1,0))</formula>
    </cfRule>
    <cfRule type="expression" dxfId="10945" priority="695">
      <formula>AND(IF($Q12=3,1,0),IF($X12&lt;30,1,0))</formula>
    </cfRule>
    <cfRule type="expression" dxfId="10944" priority="696">
      <formula>AND(IF($Q12=3,1,IF($Q12=4,1,0)),IF($F12&lt;=85,1,0))</formula>
    </cfRule>
  </conditionalFormatting>
  <conditionalFormatting sqref="X12">
    <cfRule type="expression" dxfId="10943" priority="689">
      <formula>AND(IF(OR($Q12=1,$Q12=2),1,0),IF($X12&lt;=20,1,0))</formula>
    </cfRule>
    <cfRule type="expression" dxfId="10942" priority="690">
      <formula>AND(IF($Q12=2,1,0),IF($X12&lt;30,1,0))</formula>
    </cfRule>
    <cfRule type="expression" dxfId="10941" priority="691">
      <formula>AND(IF($Q12=3,1,0),IF($X12&lt;30,1,0))</formula>
    </cfRule>
    <cfRule type="expression" dxfId="10940" priority="692">
      <formula>AND(IF($Q12=3,1,IF($Q12=4,1,0)),IF($F12&lt;=85,1,0))</formula>
    </cfRule>
  </conditionalFormatting>
  <conditionalFormatting sqref="AI12">
    <cfRule type="expression" dxfId="10939" priority="685">
      <formula>AND(IF(OR($Q12=1,$Q12=2),1,0),IF($X12&lt;=20,1,0))</formula>
    </cfRule>
    <cfRule type="expression" dxfId="10938" priority="686">
      <formula>AND(IF($Q12=2,1,0),IF($X12&lt;30,1,0))</formula>
    </cfRule>
    <cfRule type="expression" dxfId="10937" priority="687">
      <formula>AND(IF($Q12=3,1,0),IF($X12&lt;30,1,0))</formula>
    </cfRule>
    <cfRule type="expression" dxfId="10936" priority="688">
      <formula>AND(IF($Q12=3,1,IF($Q12=4,1,0)),IF($F12&lt;=85,1,0))</formula>
    </cfRule>
  </conditionalFormatting>
  <conditionalFormatting sqref="AV13">
    <cfRule type="expression" dxfId="10935" priority="683">
      <formula>AV13="X"</formula>
    </cfRule>
    <cfRule type="expression" dxfId="10934" priority="684">
      <formula>AV13="후보"</formula>
    </cfRule>
  </conditionalFormatting>
  <conditionalFormatting sqref="AC13">
    <cfRule type="cellIs" dxfId="10933" priority="681" operator="greaterThan">
      <formula>0.9</formula>
    </cfRule>
    <cfRule type="cellIs" dxfId="10932" priority="682" operator="greaterThan">
      <formula>0.85</formula>
    </cfRule>
  </conditionalFormatting>
  <conditionalFormatting sqref="N13">
    <cfRule type="cellIs" dxfId="10931" priority="679" operator="greaterThan">
      <formula>0.9</formula>
    </cfRule>
    <cfRule type="cellIs" dxfId="10930" priority="680" operator="greaterThan">
      <formula>0.85</formula>
    </cfRule>
  </conditionalFormatting>
  <conditionalFormatting sqref="E13">
    <cfRule type="expression" dxfId="10929" priority="675">
      <formula>AND(IF(OR($Q13=1,$Q13=2),1,0),IF($X13&lt;=20,1,0))</formula>
    </cfRule>
    <cfRule type="expression" dxfId="10928" priority="676">
      <formula>AND(IF($Q13=2,1,0),IF($X13&lt;30,1,0))</formula>
    </cfRule>
    <cfRule type="expression" dxfId="10927" priority="677">
      <formula>AND(IF($Q13=3,1,0),IF($X13&lt;30,1,0))</formula>
    </cfRule>
    <cfRule type="expression" dxfId="10926" priority="678">
      <formula>AND(IF($Q13=3,1,IF($Q13=4,1,0)),IF($F13&lt;=85,1,0))</formula>
    </cfRule>
  </conditionalFormatting>
  <conditionalFormatting sqref="X13">
    <cfRule type="expression" dxfId="10925" priority="671">
      <formula>AND(IF(OR($Q13=1,$Q13=2),1,0),IF($X13&lt;=20,1,0))</formula>
    </cfRule>
    <cfRule type="expression" dxfId="10924" priority="672">
      <formula>AND(IF($Q13=2,1,0),IF($X13&lt;30,1,0))</formula>
    </cfRule>
    <cfRule type="expression" dxfId="10923" priority="673">
      <formula>AND(IF($Q13=3,1,0),IF($X13&lt;30,1,0))</formula>
    </cfRule>
    <cfRule type="expression" dxfId="10922" priority="674">
      <formula>AND(IF($Q13=3,1,IF($Q13=4,1,0)),IF($F13&lt;=85,1,0))</formula>
    </cfRule>
  </conditionalFormatting>
  <conditionalFormatting sqref="AI13">
    <cfRule type="expression" dxfId="10921" priority="667">
      <formula>AND(IF(OR($Q13=1,$Q13=2),1,0),IF($X13&lt;=20,1,0))</formula>
    </cfRule>
    <cfRule type="expression" dxfId="10920" priority="668">
      <formula>AND(IF($Q13=2,1,0),IF($X13&lt;30,1,0))</formula>
    </cfRule>
    <cfRule type="expression" dxfId="10919" priority="669">
      <formula>AND(IF($Q13=3,1,0),IF($X13&lt;30,1,0))</formula>
    </cfRule>
    <cfRule type="expression" dxfId="10918" priority="670">
      <formula>AND(IF($Q13=3,1,IF($Q13=4,1,0)),IF($F13&lt;=85,1,0))</formula>
    </cfRule>
  </conditionalFormatting>
  <conditionalFormatting sqref="AV14">
    <cfRule type="expression" dxfId="10917" priority="665">
      <formula>AV14="X"</formula>
    </cfRule>
    <cfRule type="expression" dxfId="10916" priority="666">
      <formula>AV14="후보"</formula>
    </cfRule>
  </conditionalFormatting>
  <conditionalFormatting sqref="AC14">
    <cfRule type="cellIs" dxfId="10915" priority="663" operator="greaterThan">
      <formula>0.9</formula>
    </cfRule>
    <cfRule type="cellIs" dxfId="10914" priority="664" operator="greaterThan">
      <formula>0.85</formula>
    </cfRule>
  </conditionalFormatting>
  <conditionalFormatting sqref="N14">
    <cfRule type="cellIs" dxfId="10913" priority="661" operator="greaterThan">
      <formula>0.9</formula>
    </cfRule>
    <cfRule type="cellIs" dxfId="10912" priority="662" operator="greaterThan">
      <formula>0.85</formula>
    </cfRule>
  </conditionalFormatting>
  <conditionalFormatting sqref="E14">
    <cfRule type="expression" dxfId="10911" priority="657">
      <formula>AND(IF(OR($Q14=1,$Q14=2),1,0),IF($X14&lt;=20,1,0))</formula>
    </cfRule>
    <cfRule type="expression" dxfId="10910" priority="658">
      <formula>AND(IF($Q14=2,1,0),IF($X14&lt;30,1,0))</formula>
    </cfRule>
    <cfRule type="expression" dxfId="10909" priority="659">
      <formula>AND(IF($Q14=3,1,0),IF($X14&lt;30,1,0))</formula>
    </cfRule>
    <cfRule type="expression" dxfId="10908" priority="660">
      <formula>AND(IF($Q14=3,1,IF($Q14=4,1,0)),IF($F14&lt;=85,1,0))</formula>
    </cfRule>
  </conditionalFormatting>
  <conditionalFormatting sqref="X14">
    <cfRule type="expression" dxfId="10907" priority="653">
      <formula>AND(IF(OR($Q14=1,$Q14=2),1,0),IF($X14&lt;=20,1,0))</formula>
    </cfRule>
    <cfRule type="expression" dxfId="10906" priority="654">
      <formula>AND(IF($Q14=2,1,0),IF($X14&lt;30,1,0))</formula>
    </cfRule>
    <cfRule type="expression" dxfId="10905" priority="655">
      <formula>AND(IF($Q14=3,1,0),IF($X14&lt;30,1,0))</formula>
    </cfRule>
    <cfRule type="expression" dxfId="10904" priority="656">
      <formula>AND(IF($Q14=3,1,IF($Q14=4,1,0)),IF($F14&lt;=85,1,0))</formula>
    </cfRule>
  </conditionalFormatting>
  <conditionalFormatting sqref="AI14">
    <cfRule type="expression" dxfId="10903" priority="649">
      <formula>AND(IF(OR($Q14=1,$Q14=2),1,0),IF($X14&lt;=20,1,0))</formula>
    </cfRule>
    <cfRule type="expression" dxfId="10902" priority="650">
      <formula>AND(IF($Q14=2,1,0),IF($X14&lt;30,1,0))</formula>
    </cfRule>
    <cfRule type="expression" dxfId="10901" priority="651">
      <formula>AND(IF($Q14=3,1,0),IF($X14&lt;30,1,0))</formula>
    </cfRule>
    <cfRule type="expression" dxfId="10900" priority="652">
      <formula>AND(IF($Q14=3,1,IF($Q14=4,1,0)),IF($F14&lt;=85,1,0))</formula>
    </cfRule>
  </conditionalFormatting>
  <conditionalFormatting sqref="AV15">
    <cfRule type="expression" dxfId="10899" priority="647">
      <formula>AV15="X"</formula>
    </cfRule>
    <cfRule type="expression" dxfId="10898" priority="648">
      <formula>AV15="후보"</formula>
    </cfRule>
  </conditionalFormatting>
  <conditionalFormatting sqref="AC15">
    <cfRule type="cellIs" dxfId="10897" priority="645" operator="greaterThan">
      <formula>0.9</formula>
    </cfRule>
    <cfRule type="cellIs" dxfId="10896" priority="646" operator="greaterThan">
      <formula>0.85</formula>
    </cfRule>
  </conditionalFormatting>
  <conditionalFormatting sqref="N15">
    <cfRule type="cellIs" dxfId="10895" priority="643" operator="greaterThan">
      <formula>0.9</formula>
    </cfRule>
    <cfRule type="cellIs" dxfId="10894" priority="644" operator="greaterThan">
      <formula>0.85</formula>
    </cfRule>
  </conditionalFormatting>
  <conditionalFormatting sqref="E15">
    <cfRule type="expression" dxfId="10893" priority="639">
      <formula>AND(IF(OR($Q15=1,$Q15=2),1,0),IF($X15&lt;=20,1,0))</formula>
    </cfRule>
    <cfRule type="expression" dxfId="10892" priority="640">
      <formula>AND(IF($Q15=2,1,0),IF($X15&lt;30,1,0))</formula>
    </cfRule>
    <cfRule type="expression" dxfId="10891" priority="641">
      <formula>AND(IF($Q15=3,1,0),IF($X15&lt;30,1,0))</formula>
    </cfRule>
    <cfRule type="expression" dxfId="10890" priority="642">
      <formula>AND(IF($Q15=3,1,IF($Q15=4,1,0)),IF($F15&lt;=85,1,0))</formula>
    </cfRule>
  </conditionalFormatting>
  <conditionalFormatting sqref="X15">
    <cfRule type="expression" dxfId="10889" priority="635">
      <formula>AND(IF(OR($Q15=1,$Q15=2),1,0),IF($X15&lt;=20,1,0))</formula>
    </cfRule>
    <cfRule type="expression" dxfId="10888" priority="636">
      <formula>AND(IF($Q15=2,1,0),IF($X15&lt;30,1,0))</formula>
    </cfRule>
    <cfRule type="expression" dxfId="10887" priority="637">
      <formula>AND(IF($Q15=3,1,0),IF($X15&lt;30,1,0))</formula>
    </cfRule>
    <cfRule type="expression" dxfId="10886" priority="638">
      <formula>AND(IF($Q15=3,1,IF($Q15=4,1,0)),IF($F15&lt;=85,1,0))</formula>
    </cfRule>
  </conditionalFormatting>
  <conditionalFormatting sqref="AI15">
    <cfRule type="expression" dxfId="10885" priority="631">
      <formula>AND(IF(OR($Q15=1,$Q15=2),1,0),IF($X15&lt;=20,1,0))</formula>
    </cfRule>
    <cfRule type="expression" dxfId="10884" priority="632">
      <formula>AND(IF($Q15=2,1,0),IF($X15&lt;30,1,0))</formula>
    </cfRule>
    <cfRule type="expression" dxfId="10883" priority="633">
      <formula>AND(IF($Q15=3,1,0),IF($X15&lt;30,1,0))</formula>
    </cfRule>
    <cfRule type="expression" dxfId="10882" priority="634">
      <formula>AND(IF($Q15=3,1,IF($Q15=4,1,0)),IF($F15&lt;=85,1,0))</formula>
    </cfRule>
  </conditionalFormatting>
  <conditionalFormatting sqref="AV16">
    <cfRule type="expression" dxfId="10881" priority="629">
      <formula>AV16="X"</formula>
    </cfRule>
    <cfRule type="expression" dxfId="10880" priority="630">
      <formula>AV16="후보"</formula>
    </cfRule>
  </conditionalFormatting>
  <conditionalFormatting sqref="AC16">
    <cfRule type="cellIs" dxfId="10879" priority="627" operator="greaterThan">
      <formula>0.9</formula>
    </cfRule>
    <cfRule type="cellIs" dxfId="10878" priority="628" operator="greaterThan">
      <formula>0.85</formula>
    </cfRule>
  </conditionalFormatting>
  <conditionalFormatting sqref="N16">
    <cfRule type="cellIs" dxfId="10877" priority="625" operator="greaterThan">
      <formula>0.9</formula>
    </cfRule>
    <cfRule type="cellIs" dxfId="10876" priority="626" operator="greaterThan">
      <formula>0.85</formula>
    </cfRule>
  </conditionalFormatting>
  <conditionalFormatting sqref="E16">
    <cfRule type="expression" dxfId="10875" priority="621">
      <formula>AND(IF(OR($Q16=1,$Q16=2),1,0),IF($X16&lt;=20,1,0))</formula>
    </cfRule>
    <cfRule type="expression" dxfId="10874" priority="622">
      <formula>AND(IF($Q16=2,1,0),IF($X16&lt;30,1,0))</formula>
    </cfRule>
    <cfRule type="expression" dxfId="10873" priority="623">
      <formula>AND(IF($Q16=3,1,0),IF($X16&lt;30,1,0))</formula>
    </cfRule>
    <cfRule type="expression" dxfId="10872" priority="624">
      <formula>AND(IF($Q16=3,1,IF($Q16=4,1,0)),IF($F16&lt;=85,1,0))</formula>
    </cfRule>
  </conditionalFormatting>
  <conditionalFormatting sqref="X16">
    <cfRule type="expression" dxfId="10871" priority="617">
      <formula>AND(IF(OR($Q16=1,$Q16=2),1,0),IF($X16&lt;=20,1,0))</formula>
    </cfRule>
    <cfRule type="expression" dxfId="10870" priority="618">
      <formula>AND(IF($Q16=2,1,0),IF($X16&lt;30,1,0))</formula>
    </cfRule>
    <cfRule type="expression" dxfId="10869" priority="619">
      <formula>AND(IF($Q16=3,1,0),IF($X16&lt;30,1,0))</formula>
    </cfRule>
    <cfRule type="expression" dxfId="10868" priority="620">
      <formula>AND(IF($Q16=3,1,IF($Q16=4,1,0)),IF($F16&lt;=85,1,0))</formula>
    </cfRule>
  </conditionalFormatting>
  <conditionalFormatting sqref="AI16">
    <cfRule type="expression" dxfId="10867" priority="613">
      <formula>AND(IF(OR($Q16=1,$Q16=2),1,0),IF($X16&lt;=20,1,0))</formula>
    </cfRule>
    <cfRule type="expression" dxfId="10866" priority="614">
      <formula>AND(IF($Q16=2,1,0),IF($X16&lt;30,1,0))</formula>
    </cfRule>
    <cfRule type="expression" dxfId="10865" priority="615">
      <formula>AND(IF($Q16=3,1,0),IF($X16&lt;30,1,0))</formula>
    </cfRule>
    <cfRule type="expression" dxfId="10864" priority="616">
      <formula>AND(IF($Q16=3,1,IF($Q16=4,1,0)),IF($F16&lt;=85,1,0))</formula>
    </cfRule>
  </conditionalFormatting>
  <conditionalFormatting sqref="AV17">
    <cfRule type="expression" dxfId="10863" priority="611">
      <formula>AV17="X"</formula>
    </cfRule>
    <cfRule type="expression" dxfId="10862" priority="612">
      <formula>AV17="후보"</formula>
    </cfRule>
  </conditionalFormatting>
  <conditionalFormatting sqref="AC17">
    <cfRule type="cellIs" dxfId="10861" priority="609" operator="greaterThan">
      <formula>0.9</formula>
    </cfRule>
    <cfRule type="cellIs" dxfId="10860" priority="610" operator="greaterThan">
      <formula>0.85</formula>
    </cfRule>
  </conditionalFormatting>
  <conditionalFormatting sqref="N17">
    <cfRule type="cellIs" dxfId="10859" priority="607" operator="greaterThan">
      <formula>0.9</formula>
    </cfRule>
    <cfRule type="cellIs" dxfId="10858" priority="608" operator="greaterThan">
      <formula>0.85</formula>
    </cfRule>
  </conditionalFormatting>
  <conditionalFormatting sqref="E17">
    <cfRule type="expression" dxfId="10857" priority="603">
      <formula>AND(IF(OR($Q17=1,$Q17=2),1,0),IF($X17&lt;=20,1,0))</formula>
    </cfRule>
    <cfRule type="expression" dxfId="10856" priority="604">
      <formula>AND(IF($Q17=2,1,0),IF($X17&lt;30,1,0))</formula>
    </cfRule>
    <cfRule type="expression" dxfId="10855" priority="605">
      <formula>AND(IF($Q17=3,1,0),IF($X17&lt;30,1,0))</formula>
    </cfRule>
    <cfRule type="expression" dxfId="10854" priority="606">
      <formula>AND(IF($Q17=3,1,IF($Q17=4,1,0)),IF($F17&lt;=85,1,0))</formula>
    </cfRule>
  </conditionalFormatting>
  <conditionalFormatting sqref="X17">
    <cfRule type="expression" dxfId="10853" priority="599">
      <formula>AND(IF(OR($Q17=1,$Q17=2),1,0),IF($X17&lt;=20,1,0))</formula>
    </cfRule>
    <cfRule type="expression" dxfId="10852" priority="600">
      <formula>AND(IF($Q17=2,1,0),IF($X17&lt;30,1,0))</formula>
    </cfRule>
    <cfRule type="expression" dxfId="10851" priority="601">
      <formula>AND(IF($Q17=3,1,0),IF($X17&lt;30,1,0))</formula>
    </cfRule>
    <cfRule type="expression" dxfId="10850" priority="602">
      <formula>AND(IF($Q17=3,1,IF($Q17=4,1,0)),IF($F17&lt;=85,1,0))</formula>
    </cfRule>
  </conditionalFormatting>
  <conditionalFormatting sqref="AI17">
    <cfRule type="expression" dxfId="10849" priority="595">
      <formula>AND(IF(OR($Q17=1,$Q17=2),1,0),IF($X17&lt;=20,1,0))</formula>
    </cfRule>
    <cfRule type="expression" dxfId="10848" priority="596">
      <formula>AND(IF($Q17=2,1,0),IF($X17&lt;30,1,0))</formula>
    </cfRule>
    <cfRule type="expression" dxfId="10847" priority="597">
      <formula>AND(IF($Q17=3,1,0),IF($X17&lt;30,1,0))</formula>
    </cfRule>
    <cfRule type="expression" dxfId="10846" priority="598">
      <formula>AND(IF($Q17=3,1,IF($Q17=4,1,0)),IF($F17&lt;=85,1,0))</formula>
    </cfRule>
  </conditionalFormatting>
  <conditionalFormatting sqref="AV18">
    <cfRule type="expression" dxfId="10845" priority="593">
      <formula>AV18="X"</formula>
    </cfRule>
    <cfRule type="expression" dxfId="10844" priority="594">
      <formula>AV18="후보"</formula>
    </cfRule>
  </conditionalFormatting>
  <conditionalFormatting sqref="AC18">
    <cfRule type="cellIs" dxfId="10843" priority="591" operator="greaterThan">
      <formula>0.9</formula>
    </cfRule>
    <cfRule type="cellIs" dxfId="10842" priority="592" operator="greaterThan">
      <formula>0.85</formula>
    </cfRule>
  </conditionalFormatting>
  <conditionalFormatting sqref="N18">
    <cfRule type="cellIs" dxfId="10841" priority="589" operator="greaterThan">
      <formula>0.9</formula>
    </cfRule>
    <cfRule type="cellIs" dxfId="10840" priority="590" operator="greaterThan">
      <formula>0.85</formula>
    </cfRule>
  </conditionalFormatting>
  <conditionalFormatting sqref="E18">
    <cfRule type="expression" dxfId="10839" priority="585">
      <formula>AND(IF(OR($Q18=1,$Q18=2),1,0),IF($X18&lt;=20,1,0))</formula>
    </cfRule>
    <cfRule type="expression" dxfId="10838" priority="586">
      <formula>AND(IF($Q18=2,1,0),IF($X18&lt;30,1,0))</formula>
    </cfRule>
    <cfRule type="expression" dxfId="10837" priority="587">
      <formula>AND(IF($Q18=3,1,0),IF($X18&lt;30,1,0))</formula>
    </cfRule>
    <cfRule type="expression" dxfId="10836" priority="588">
      <formula>AND(IF($Q18=3,1,IF($Q18=4,1,0)),IF($F18&lt;=85,1,0))</formula>
    </cfRule>
  </conditionalFormatting>
  <conditionalFormatting sqref="X18">
    <cfRule type="expression" dxfId="10835" priority="581">
      <formula>AND(IF(OR($Q18=1,$Q18=2),1,0),IF($X18&lt;=20,1,0))</formula>
    </cfRule>
    <cfRule type="expression" dxfId="10834" priority="582">
      <formula>AND(IF($Q18=2,1,0),IF($X18&lt;30,1,0))</formula>
    </cfRule>
    <cfRule type="expression" dxfId="10833" priority="583">
      <formula>AND(IF($Q18=3,1,0),IF($X18&lt;30,1,0))</formula>
    </cfRule>
    <cfRule type="expression" dxfId="10832" priority="584">
      <formula>AND(IF($Q18=3,1,IF($Q18=4,1,0)),IF($F18&lt;=85,1,0))</formula>
    </cfRule>
  </conditionalFormatting>
  <conditionalFormatting sqref="AI18">
    <cfRule type="expression" dxfId="10831" priority="577">
      <formula>AND(IF(OR($Q18=1,$Q18=2),1,0),IF($X18&lt;=20,1,0))</formula>
    </cfRule>
    <cfRule type="expression" dxfId="10830" priority="578">
      <formula>AND(IF($Q18=2,1,0),IF($X18&lt;30,1,0))</formula>
    </cfRule>
    <cfRule type="expression" dxfId="10829" priority="579">
      <formula>AND(IF($Q18=3,1,0),IF($X18&lt;30,1,0))</formula>
    </cfRule>
    <cfRule type="expression" dxfId="10828" priority="580">
      <formula>AND(IF($Q18=3,1,IF($Q18=4,1,0)),IF($F18&lt;=85,1,0))</formula>
    </cfRule>
  </conditionalFormatting>
  <conditionalFormatting sqref="AV19">
    <cfRule type="expression" dxfId="10827" priority="575">
      <formula>AV19="X"</formula>
    </cfRule>
    <cfRule type="expression" dxfId="10826" priority="576">
      <formula>AV19="후보"</formula>
    </cfRule>
  </conditionalFormatting>
  <conditionalFormatting sqref="AC19">
    <cfRule type="cellIs" dxfId="10825" priority="573" operator="greaterThan">
      <formula>0.9</formula>
    </cfRule>
    <cfRule type="cellIs" dxfId="10824" priority="574" operator="greaterThan">
      <formula>0.85</formula>
    </cfRule>
  </conditionalFormatting>
  <conditionalFormatting sqref="N19">
    <cfRule type="cellIs" dxfId="10823" priority="571" operator="greaterThan">
      <formula>0.9</formula>
    </cfRule>
    <cfRule type="cellIs" dxfId="10822" priority="572" operator="greaterThan">
      <formula>0.85</formula>
    </cfRule>
  </conditionalFormatting>
  <conditionalFormatting sqref="E19">
    <cfRule type="expression" dxfId="10821" priority="567">
      <formula>AND(IF(OR($Q19=1,$Q19=2),1,0),IF($X19&lt;=20,1,0))</formula>
    </cfRule>
    <cfRule type="expression" dxfId="10820" priority="568">
      <formula>AND(IF($Q19=2,1,0),IF($X19&lt;30,1,0))</formula>
    </cfRule>
    <cfRule type="expression" dxfId="10819" priority="569">
      <formula>AND(IF($Q19=3,1,0),IF($X19&lt;30,1,0))</formula>
    </cfRule>
    <cfRule type="expression" dxfId="10818" priority="570">
      <formula>AND(IF($Q19=3,1,IF($Q19=4,1,0)),IF($F19&lt;=85,1,0))</formula>
    </cfRule>
  </conditionalFormatting>
  <conditionalFormatting sqref="X19">
    <cfRule type="expression" dxfId="10817" priority="563">
      <formula>AND(IF(OR($Q19=1,$Q19=2),1,0),IF($X19&lt;=20,1,0))</formula>
    </cfRule>
    <cfRule type="expression" dxfId="10816" priority="564">
      <formula>AND(IF($Q19=2,1,0),IF($X19&lt;30,1,0))</formula>
    </cfRule>
    <cfRule type="expression" dxfId="10815" priority="565">
      <formula>AND(IF($Q19=3,1,0),IF($X19&lt;30,1,0))</formula>
    </cfRule>
    <cfRule type="expression" dxfId="10814" priority="566">
      <formula>AND(IF($Q19=3,1,IF($Q19=4,1,0)),IF($F19&lt;=85,1,0))</formula>
    </cfRule>
  </conditionalFormatting>
  <conditionalFormatting sqref="AI19">
    <cfRule type="expression" dxfId="10813" priority="559">
      <formula>AND(IF(OR($Q19=1,$Q19=2),1,0),IF($X19&lt;=20,1,0))</formula>
    </cfRule>
    <cfRule type="expression" dxfId="10812" priority="560">
      <formula>AND(IF($Q19=2,1,0),IF($X19&lt;30,1,0))</formula>
    </cfRule>
    <cfRule type="expression" dxfId="10811" priority="561">
      <formula>AND(IF($Q19=3,1,0),IF($X19&lt;30,1,0))</formula>
    </cfRule>
    <cfRule type="expression" dxfId="10810" priority="562">
      <formula>AND(IF($Q19=3,1,IF($Q19=4,1,0)),IF($F19&lt;=85,1,0))</formula>
    </cfRule>
  </conditionalFormatting>
  <conditionalFormatting sqref="AV20">
    <cfRule type="expression" dxfId="10809" priority="557">
      <formula>AV20="X"</formula>
    </cfRule>
    <cfRule type="expression" dxfId="10808" priority="558">
      <formula>AV20="후보"</formula>
    </cfRule>
  </conditionalFormatting>
  <conditionalFormatting sqref="AC20">
    <cfRule type="cellIs" dxfId="10807" priority="555" operator="greaterThan">
      <formula>0.9</formula>
    </cfRule>
    <cfRule type="cellIs" dxfId="10806" priority="556" operator="greaterThan">
      <formula>0.85</formula>
    </cfRule>
  </conditionalFormatting>
  <conditionalFormatting sqref="N20">
    <cfRule type="cellIs" dxfId="10805" priority="553" operator="greaterThan">
      <formula>0.9</formula>
    </cfRule>
    <cfRule type="cellIs" dxfId="10804" priority="554" operator="greaterThan">
      <formula>0.85</formula>
    </cfRule>
  </conditionalFormatting>
  <conditionalFormatting sqref="E20">
    <cfRule type="expression" dxfId="10803" priority="549">
      <formula>AND(IF(OR($Q20=1,$Q20=2),1,0),IF($X20&lt;=20,1,0))</formula>
    </cfRule>
    <cfRule type="expression" dxfId="10802" priority="550">
      <formula>AND(IF($Q20=2,1,0),IF($X20&lt;30,1,0))</formula>
    </cfRule>
    <cfRule type="expression" dxfId="10801" priority="551">
      <formula>AND(IF($Q20=3,1,0),IF($X20&lt;30,1,0))</formula>
    </cfRule>
    <cfRule type="expression" dxfId="10800" priority="552">
      <formula>AND(IF($Q20=3,1,IF($Q20=4,1,0)),IF($F20&lt;=85,1,0))</formula>
    </cfRule>
  </conditionalFormatting>
  <conditionalFormatting sqref="X20">
    <cfRule type="expression" dxfId="10799" priority="545">
      <formula>AND(IF(OR($Q20=1,$Q20=2),1,0),IF($X20&lt;=20,1,0))</formula>
    </cfRule>
    <cfRule type="expression" dxfId="10798" priority="546">
      <formula>AND(IF($Q20=2,1,0),IF($X20&lt;30,1,0))</formula>
    </cfRule>
    <cfRule type="expression" dxfId="10797" priority="547">
      <formula>AND(IF($Q20=3,1,0),IF($X20&lt;30,1,0))</formula>
    </cfRule>
    <cfRule type="expression" dxfId="10796" priority="548">
      <formula>AND(IF($Q20=3,1,IF($Q20=4,1,0)),IF($F20&lt;=85,1,0))</formula>
    </cfRule>
  </conditionalFormatting>
  <conditionalFormatting sqref="AI20">
    <cfRule type="expression" dxfId="10795" priority="541">
      <formula>AND(IF(OR($Q20=1,$Q20=2),1,0),IF($X20&lt;=20,1,0))</formula>
    </cfRule>
    <cfRule type="expression" dxfId="10794" priority="542">
      <formula>AND(IF($Q20=2,1,0),IF($X20&lt;30,1,0))</formula>
    </cfRule>
    <cfRule type="expression" dxfId="10793" priority="543">
      <formula>AND(IF($Q20=3,1,0),IF($X20&lt;30,1,0))</formula>
    </cfRule>
    <cfRule type="expression" dxfId="10792" priority="544">
      <formula>AND(IF($Q20=3,1,IF($Q20=4,1,0)),IF($F20&lt;=85,1,0))</formula>
    </cfRule>
  </conditionalFormatting>
  <conditionalFormatting sqref="AV21">
    <cfRule type="expression" dxfId="10791" priority="539">
      <formula>AV21="X"</formula>
    </cfRule>
    <cfRule type="expression" dxfId="10790" priority="540">
      <formula>AV21="후보"</formula>
    </cfRule>
  </conditionalFormatting>
  <conditionalFormatting sqref="AC21">
    <cfRule type="cellIs" dxfId="10789" priority="537" operator="greaterThan">
      <formula>0.9</formula>
    </cfRule>
    <cfRule type="cellIs" dxfId="10788" priority="538" operator="greaterThan">
      <formula>0.85</formula>
    </cfRule>
  </conditionalFormatting>
  <conditionalFormatting sqref="N21">
    <cfRule type="cellIs" dxfId="10787" priority="535" operator="greaterThan">
      <formula>0.9</formula>
    </cfRule>
    <cfRule type="cellIs" dxfId="10786" priority="536" operator="greaterThan">
      <formula>0.85</formula>
    </cfRule>
  </conditionalFormatting>
  <conditionalFormatting sqref="E21">
    <cfRule type="expression" dxfId="10785" priority="531">
      <formula>AND(IF(OR($Q21=1,$Q21=2),1,0),IF($X21&lt;=20,1,0))</formula>
    </cfRule>
    <cfRule type="expression" dxfId="10784" priority="532">
      <formula>AND(IF($Q21=2,1,0),IF($X21&lt;30,1,0))</formula>
    </cfRule>
    <cfRule type="expression" dxfId="10783" priority="533">
      <formula>AND(IF($Q21=3,1,0),IF($X21&lt;30,1,0))</formula>
    </cfRule>
    <cfRule type="expression" dxfId="10782" priority="534">
      <formula>AND(IF($Q21=3,1,IF($Q21=4,1,0)),IF($F21&lt;=85,1,0))</formula>
    </cfRule>
  </conditionalFormatting>
  <conditionalFormatting sqref="X21">
    <cfRule type="expression" dxfId="10781" priority="527">
      <formula>AND(IF(OR($Q21=1,$Q21=2),1,0),IF($X21&lt;=20,1,0))</formula>
    </cfRule>
    <cfRule type="expression" dxfId="10780" priority="528">
      <formula>AND(IF($Q21=2,1,0),IF($X21&lt;30,1,0))</formula>
    </cfRule>
    <cfRule type="expression" dxfId="10779" priority="529">
      <formula>AND(IF($Q21=3,1,0),IF($X21&lt;30,1,0))</formula>
    </cfRule>
    <cfRule type="expression" dxfId="10778" priority="530">
      <formula>AND(IF($Q21=3,1,IF($Q21=4,1,0)),IF($F21&lt;=85,1,0))</formula>
    </cfRule>
  </conditionalFormatting>
  <conditionalFormatting sqref="AI21">
    <cfRule type="expression" dxfId="10777" priority="523">
      <formula>AND(IF(OR($Q21=1,$Q21=2),1,0),IF($X21&lt;=20,1,0))</formula>
    </cfRule>
    <cfRule type="expression" dxfId="10776" priority="524">
      <formula>AND(IF($Q21=2,1,0),IF($X21&lt;30,1,0))</formula>
    </cfRule>
    <cfRule type="expression" dxfId="10775" priority="525">
      <formula>AND(IF($Q21=3,1,0),IF($X21&lt;30,1,0))</formula>
    </cfRule>
    <cfRule type="expression" dxfId="10774" priority="526">
      <formula>AND(IF($Q21=3,1,IF($Q21=4,1,0)),IF($F21&lt;=85,1,0))</formula>
    </cfRule>
  </conditionalFormatting>
  <conditionalFormatting sqref="AV22">
    <cfRule type="expression" dxfId="10773" priority="521">
      <formula>AV22="X"</formula>
    </cfRule>
    <cfRule type="expression" dxfId="10772" priority="522">
      <formula>AV22="후보"</formula>
    </cfRule>
  </conditionalFormatting>
  <conditionalFormatting sqref="AC22">
    <cfRule type="cellIs" dxfId="10771" priority="519" operator="greaterThan">
      <formula>0.9</formula>
    </cfRule>
    <cfRule type="cellIs" dxfId="10770" priority="520" operator="greaterThan">
      <formula>0.85</formula>
    </cfRule>
  </conditionalFormatting>
  <conditionalFormatting sqref="N22">
    <cfRule type="cellIs" dxfId="10769" priority="517" operator="greaterThan">
      <formula>0.9</formula>
    </cfRule>
    <cfRule type="cellIs" dxfId="10768" priority="518" operator="greaterThan">
      <formula>0.85</formula>
    </cfRule>
  </conditionalFormatting>
  <conditionalFormatting sqref="E22">
    <cfRule type="expression" dxfId="10767" priority="513">
      <formula>AND(IF(OR($Q22=1,$Q22=2),1,0),IF($X22&lt;=20,1,0))</formula>
    </cfRule>
    <cfRule type="expression" dxfId="10766" priority="514">
      <formula>AND(IF($Q22=2,1,0),IF($X22&lt;30,1,0))</formula>
    </cfRule>
    <cfRule type="expression" dxfId="10765" priority="515">
      <formula>AND(IF($Q22=3,1,0),IF($X22&lt;30,1,0))</formula>
    </cfRule>
    <cfRule type="expression" dxfId="10764" priority="516">
      <formula>AND(IF($Q22=3,1,IF($Q22=4,1,0)),IF($F22&lt;=85,1,0))</formula>
    </cfRule>
  </conditionalFormatting>
  <conditionalFormatting sqref="X22">
    <cfRule type="expression" dxfId="10763" priority="509">
      <formula>AND(IF(OR($Q22=1,$Q22=2),1,0),IF($X22&lt;=20,1,0))</formula>
    </cfRule>
    <cfRule type="expression" dxfId="10762" priority="510">
      <formula>AND(IF($Q22=2,1,0),IF($X22&lt;30,1,0))</formula>
    </cfRule>
    <cfRule type="expression" dxfId="10761" priority="511">
      <formula>AND(IF($Q22=3,1,0),IF($X22&lt;30,1,0))</formula>
    </cfRule>
    <cfRule type="expression" dxfId="10760" priority="512">
      <formula>AND(IF($Q22=3,1,IF($Q22=4,1,0)),IF($F22&lt;=85,1,0))</formula>
    </cfRule>
  </conditionalFormatting>
  <conditionalFormatting sqref="AI22">
    <cfRule type="expression" dxfId="10759" priority="505">
      <formula>AND(IF(OR($Q22=1,$Q22=2),1,0),IF($X22&lt;=20,1,0))</formula>
    </cfRule>
    <cfRule type="expression" dxfId="10758" priority="506">
      <formula>AND(IF($Q22=2,1,0),IF($X22&lt;30,1,0))</formula>
    </cfRule>
    <cfRule type="expression" dxfId="10757" priority="507">
      <formula>AND(IF($Q22=3,1,0),IF($X22&lt;30,1,0))</formula>
    </cfRule>
    <cfRule type="expression" dxfId="10756" priority="508">
      <formula>AND(IF($Q22=3,1,IF($Q22=4,1,0)),IF($F22&lt;=85,1,0))</formula>
    </cfRule>
  </conditionalFormatting>
  <conditionalFormatting sqref="AV23">
    <cfRule type="expression" dxfId="10755" priority="503">
      <formula>AV23="X"</formula>
    </cfRule>
    <cfRule type="expression" dxfId="10754" priority="504">
      <formula>AV23="후보"</formula>
    </cfRule>
  </conditionalFormatting>
  <conditionalFormatting sqref="AC23">
    <cfRule type="cellIs" dxfId="10753" priority="501" operator="greaterThan">
      <formula>0.9</formula>
    </cfRule>
    <cfRule type="cellIs" dxfId="10752" priority="502" operator="greaterThan">
      <formula>0.85</formula>
    </cfRule>
  </conditionalFormatting>
  <conditionalFormatting sqref="N23">
    <cfRule type="cellIs" dxfId="10751" priority="499" operator="greaterThan">
      <formula>0.9</formula>
    </cfRule>
    <cfRule type="cellIs" dxfId="10750" priority="500" operator="greaterThan">
      <formula>0.85</formula>
    </cfRule>
  </conditionalFormatting>
  <conditionalFormatting sqref="E23">
    <cfRule type="expression" dxfId="10749" priority="495">
      <formula>AND(IF(OR($Q23=1,$Q23=2),1,0),IF($X23&lt;=20,1,0))</formula>
    </cfRule>
    <cfRule type="expression" dxfId="10748" priority="496">
      <formula>AND(IF($Q23=2,1,0),IF($X23&lt;30,1,0))</formula>
    </cfRule>
    <cfRule type="expression" dxfId="10747" priority="497">
      <formula>AND(IF($Q23=3,1,0),IF($X23&lt;30,1,0))</formula>
    </cfRule>
    <cfRule type="expression" dxfId="10746" priority="498">
      <formula>AND(IF($Q23=3,1,IF($Q23=4,1,0)),IF($F23&lt;=85,1,0))</formula>
    </cfRule>
  </conditionalFormatting>
  <conditionalFormatting sqref="X23">
    <cfRule type="expression" dxfId="10745" priority="491">
      <formula>AND(IF(OR($Q23=1,$Q23=2),1,0),IF($X23&lt;=20,1,0))</formula>
    </cfRule>
    <cfRule type="expression" dxfId="10744" priority="492">
      <formula>AND(IF($Q23=2,1,0),IF($X23&lt;30,1,0))</formula>
    </cfRule>
    <cfRule type="expression" dxfId="10743" priority="493">
      <formula>AND(IF($Q23=3,1,0),IF($X23&lt;30,1,0))</formula>
    </cfRule>
    <cfRule type="expression" dxfId="10742" priority="494">
      <formula>AND(IF($Q23=3,1,IF($Q23=4,1,0)),IF($F23&lt;=85,1,0))</formula>
    </cfRule>
  </conditionalFormatting>
  <conditionalFormatting sqref="AI23">
    <cfRule type="expression" dxfId="10741" priority="487">
      <formula>AND(IF(OR($Q23=1,$Q23=2),1,0),IF($X23&lt;=20,1,0))</formula>
    </cfRule>
    <cfRule type="expression" dxfId="10740" priority="488">
      <formula>AND(IF($Q23=2,1,0),IF($X23&lt;30,1,0))</formula>
    </cfRule>
    <cfRule type="expression" dxfId="10739" priority="489">
      <formula>AND(IF($Q23=3,1,0),IF($X23&lt;30,1,0))</formula>
    </cfRule>
    <cfRule type="expression" dxfId="10738" priority="490">
      <formula>AND(IF($Q23=3,1,IF($Q23=4,1,0)),IF($F23&lt;=85,1,0))</formula>
    </cfRule>
  </conditionalFormatting>
  <conditionalFormatting sqref="AV24">
    <cfRule type="expression" dxfId="10737" priority="485">
      <formula>AV24="X"</formula>
    </cfRule>
    <cfRule type="expression" dxfId="10736" priority="486">
      <formula>AV24="후보"</formula>
    </cfRule>
  </conditionalFormatting>
  <conditionalFormatting sqref="AC24">
    <cfRule type="cellIs" dxfId="10735" priority="483" operator="greaterThan">
      <formula>0.9</formula>
    </cfRule>
    <cfRule type="cellIs" dxfId="10734" priority="484" operator="greaterThan">
      <formula>0.85</formula>
    </cfRule>
  </conditionalFormatting>
  <conditionalFormatting sqref="N24">
    <cfRule type="cellIs" dxfId="10733" priority="481" operator="greaterThan">
      <formula>0.9</formula>
    </cfRule>
    <cfRule type="cellIs" dxfId="10732" priority="482" operator="greaterThan">
      <formula>0.85</formula>
    </cfRule>
  </conditionalFormatting>
  <conditionalFormatting sqref="E24">
    <cfRule type="expression" dxfId="10731" priority="477">
      <formula>AND(IF(OR($Q24=1,$Q24=2),1,0),IF($X24&lt;=20,1,0))</formula>
    </cfRule>
    <cfRule type="expression" dxfId="10730" priority="478">
      <formula>AND(IF($Q24=2,1,0),IF($X24&lt;30,1,0))</formula>
    </cfRule>
    <cfRule type="expression" dxfId="10729" priority="479">
      <formula>AND(IF($Q24=3,1,0),IF($X24&lt;30,1,0))</formula>
    </cfRule>
    <cfRule type="expression" dxfId="10728" priority="480">
      <formula>AND(IF($Q24=3,1,IF($Q24=4,1,0)),IF($F24&lt;=85,1,0))</formula>
    </cfRule>
  </conditionalFormatting>
  <conditionalFormatting sqref="X24">
    <cfRule type="expression" dxfId="10727" priority="473">
      <formula>AND(IF(OR($Q24=1,$Q24=2),1,0),IF($X24&lt;=20,1,0))</formula>
    </cfRule>
    <cfRule type="expression" dxfId="10726" priority="474">
      <formula>AND(IF($Q24=2,1,0),IF($X24&lt;30,1,0))</formula>
    </cfRule>
    <cfRule type="expression" dxfId="10725" priority="475">
      <formula>AND(IF($Q24=3,1,0),IF($X24&lt;30,1,0))</formula>
    </cfRule>
    <cfRule type="expression" dxfId="10724" priority="476">
      <formula>AND(IF($Q24=3,1,IF($Q24=4,1,0)),IF($F24&lt;=85,1,0))</formula>
    </cfRule>
  </conditionalFormatting>
  <conditionalFormatting sqref="AI24">
    <cfRule type="expression" dxfId="10723" priority="469">
      <formula>AND(IF(OR($Q24=1,$Q24=2),1,0),IF($X24&lt;=20,1,0))</formula>
    </cfRule>
    <cfRule type="expression" dxfId="10722" priority="470">
      <formula>AND(IF($Q24=2,1,0),IF($X24&lt;30,1,0))</formula>
    </cfRule>
    <cfRule type="expression" dxfId="10721" priority="471">
      <formula>AND(IF($Q24=3,1,0),IF($X24&lt;30,1,0))</formula>
    </cfRule>
    <cfRule type="expression" dxfId="10720" priority="472">
      <formula>AND(IF($Q24=3,1,IF($Q24=4,1,0)),IF($F24&lt;=85,1,0))</formula>
    </cfRule>
  </conditionalFormatting>
  <conditionalFormatting sqref="AV25">
    <cfRule type="expression" dxfId="10719" priority="467">
      <formula>AV25="X"</formula>
    </cfRule>
    <cfRule type="expression" dxfId="10718" priority="468">
      <formula>AV25="후보"</formula>
    </cfRule>
  </conditionalFormatting>
  <conditionalFormatting sqref="AC25">
    <cfRule type="cellIs" dxfId="10717" priority="465" operator="greaterThan">
      <formula>0.9</formula>
    </cfRule>
    <cfRule type="cellIs" dxfId="10716" priority="466" operator="greaterThan">
      <formula>0.85</formula>
    </cfRule>
  </conditionalFormatting>
  <conditionalFormatting sqref="N25">
    <cfRule type="cellIs" dxfId="10715" priority="463" operator="greaterThan">
      <formula>0.9</formula>
    </cfRule>
    <cfRule type="cellIs" dxfId="10714" priority="464" operator="greaterThan">
      <formula>0.85</formula>
    </cfRule>
  </conditionalFormatting>
  <conditionalFormatting sqref="E25">
    <cfRule type="expression" dxfId="10713" priority="459">
      <formula>AND(IF(OR($Q25=1,$Q25=2),1,0),IF($X25&lt;=20,1,0))</formula>
    </cfRule>
    <cfRule type="expression" dxfId="10712" priority="460">
      <formula>AND(IF($Q25=2,1,0),IF($X25&lt;30,1,0))</formula>
    </cfRule>
    <cfRule type="expression" dxfId="10711" priority="461">
      <formula>AND(IF($Q25=3,1,0),IF($X25&lt;30,1,0))</formula>
    </cfRule>
    <cfRule type="expression" dxfId="10710" priority="462">
      <formula>AND(IF($Q25=3,1,IF($Q25=4,1,0)),IF($F25&lt;=85,1,0))</formula>
    </cfRule>
  </conditionalFormatting>
  <conditionalFormatting sqref="X25">
    <cfRule type="expression" dxfId="10709" priority="455">
      <formula>AND(IF(OR($Q25=1,$Q25=2),1,0),IF($X25&lt;=20,1,0))</formula>
    </cfRule>
    <cfRule type="expression" dxfId="10708" priority="456">
      <formula>AND(IF($Q25=2,1,0),IF($X25&lt;30,1,0))</formula>
    </cfRule>
    <cfRule type="expression" dxfId="10707" priority="457">
      <formula>AND(IF($Q25=3,1,0),IF($X25&lt;30,1,0))</formula>
    </cfRule>
    <cfRule type="expression" dxfId="10706" priority="458">
      <formula>AND(IF($Q25=3,1,IF($Q25=4,1,0)),IF($F25&lt;=85,1,0))</formula>
    </cfRule>
  </conditionalFormatting>
  <conditionalFormatting sqref="AI25">
    <cfRule type="expression" dxfId="10705" priority="451">
      <formula>AND(IF(OR($Q25=1,$Q25=2),1,0),IF($X25&lt;=20,1,0))</formula>
    </cfRule>
    <cfRule type="expression" dxfId="10704" priority="452">
      <formula>AND(IF($Q25=2,1,0),IF($X25&lt;30,1,0))</formula>
    </cfRule>
    <cfRule type="expression" dxfId="10703" priority="453">
      <formula>AND(IF($Q25=3,1,0),IF($X25&lt;30,1,0))</formula>
    </cfRule>
    <cfRule type="expression" dxfId="10702" priority="454">
      <formula>AND(IF($Q25=3,1,IF($Q25=4,1,0)),IF($F25&lt;=85,1,0))</formula>
    </cfRule>
  </conditionalFormatting>
  <conditionalFormatting sqref="AV26">
    <cfRule type="expression" dxfId="10701" priority="449">
      <formula>AV26="X"</formula>
    </cfRule>
    <cfRule type="expression" dxfId="10700" priority="450">
      <formula>AV26="후보"</formula>
    </cfRule>
  </conditionalFormatting>
  <conditionalFormatting sqref="AC26">
    <cfRule type="cellIs" dxfId="10699" priority="447" operator="greaterThan">
      <formula>0.9</formula>
    </cfRule>
    <cfRule type="cellIs" dxfId="10698" priority="448" operator="greaterThan">
      <formula>0.85</formula>
    </cfRule>
  </conditionalFormatting>
  <conditionalFormatting sqref="N26">
    <cfRule type="cellIs" dxfId="10697" priority="445" operator="greaterThan">
      <formula>0.9</formula>
    </cfRule>
    <cfRule type="cellIs" dxfId="10696" priority="446" operator="greaterThan">
      <formula>0.85</formula>
    </cfRule>
  </conditionalFormatting>
  <conditionalFormatting sqref="E26">
    <cfRule type="expression" dxfId="10695" priority="441">
      <formula>AND(IF(OR($Q26=1,$Q26=2),1,0),IF($X26&lt;=20,1,0))</formula>
    </cfRule>
    <cfRule type="expression" dxfId="10694" priority="442">
      <formula>AND(IF($Q26=2,1,0),IF($X26&lt;30,1,0))</formula>
    </cfRule>
    <cfRule type="expression" dxfId="10693" priority="443">
      <formula>AND(IF($Q26=3,1,0),IF($X26&lt;30,1,0))</formula>
    </cfRule>
    <cfRule type="expression" dxfId="10692" priority="444">
      <formula>AND(IF($Q26=3,1,IF($Q26=4,1,0)),IF($F26&lt;=85,1,0))</formula>
    </cfRule>
  </conditionalFormatting>
  <conditionalFormatting sqref="X26">
    <cfRule type="expression" dxfId="10691" priority="437">
      <formula>AND(IF(OR($Q26=1,$Q26=2),1,0),IF($X26&lt;=20,1,0))</formula>
    </cfRule>
    <cfRule type="expression" dxfId="10690" priority="438">
      <formula>AND(IF($Q26=2,1,0),IF($X26&lt;30,1,0))</formula>
    </cfRule>
    <cfRule type="expression" dxfId="10689" priority="439">
      <formula>AND(IF($Q26=3,1,0),IF($X26&lt;30,1,0))</formula>
    </cfRule>
    <cfRule type="expression" dxfId="10688" priority="440">
      <formula>AND(IF($Q26=3,1,IF($Q26=4,1,0)),IF($F26&lt;=85,1,0))</formula>
    </cfRule>
  </conditionalFormatting>
  <conditionalFormatting sqref="AI26">
    <cfRule type="expression" dxfId="10687" priority="433">
      <formula>AND(IF(OR($Q26=1,$Q26=2),1,0),IF($X26&lt;=20,1,0))</formula>
    </cfRule>
    <cfRule type="expression" dxfId="10686" priority="434">
      <formula>AND(IF($Q26=2,1,0),IF($X26&lt;30,1,0))</formula>
    </cfRule>
    <cfRule type="expression" dxfId="10685" priority="435">
      <formula>AND(IF($Q26=3,1,0),IF($X26&lt;30,1,0))</formula>
    </cfRule>
    <cfRule type="expression" dxfId="10684" priority="436">
      <formula>AND(IF($Q26=3,1,IF($Q26=4,1,0)),IF($F26&lt;=85,1,0))</formula>
    </cfRule>
  </conditionalFormatting>
  <conditionalFormatting sqref="AV27">
    <cfRule type="expression" dxfId="10683" priority="431">
      <formula>AV27="X"</formula>
    </cfRule>
    <cfRule type="expression" dxfId="10682" priority="432">
      <formula>AV27="후보"</formula>
    </cfRule>
  </conditionalFormatting>
  <conditionalFormatting sqref="AC27">
    <cfRule type="cellIs" dxfId="10681" priority="429" operator="greaterThan">
      <formula>0.9</formula>
    </cfRule>
    <cfRule type="cellIs" dxfId="10680" priority="430" operator="greaterThan">
      <formula>0.85</formula>
    </cfRule>
  </conditionalFormatting>
  <conditionalFormatting sqref="N27">
    <cfRule type="cellIs" dxfId="10679" priority="427" operator="greaterThan">
      <formula>0.9</formula>
    </cfRule>
    <cfRule type="cellIs" dxfId="10678" priority="428" operator="greaterThan">
      <formula>0.85</formula>
    </cfRule>
  </conditionalFormatting>
  <conditionalFormatting sqref="E27">
    <cfRule type="expression" dxfId="10677" priority="423">
      <formula>AND(IF(OR($Q27=1,$Q27=2),1,0),IF($X27&lt;=20,1,0))</formula>
    </cfRule>
    <cfRule type="expression" dxfId="10676" priority="424">
      <formula>AND(IF($Q27=2,1,0),IF($X27&lt;30,1,0))</formula>
    </cfRule>
    <cfRule type="expression" dxfId="10675" priority="425">
      <formula>AND(IF($Q27=3,1,0),IF($X27&lt;30,1,0))</formula>
    </cfRule>
    <cfRule type="expression" dxfId="10674" priority="426">
      <formula>AND(IF($Q27=3,1,IF($Q27=4,1,0)),IF($F27&lt;=85,1,0))</formula>
    </cfRule>
  </conditionalFormatting>
  <conditionalFormatting sqref="X27">
    <cfRule type="expression" dxfId="10673" priority="419">
      <formula>AND(IF(OR($Q27=1,$Q27=2),1,0),IF($X27&lt;=20,1,0))</formula>
    </cfRule>
    <cfRule type="expression" dxfId="10672" priority="420">
      <formula>AND(IF($Q27=2,1,0),IF($X27&lt;30,1,0))</formula>
    </cfRule>
    <cfRule type="expression" dxfId="10671" priority="421">
      <formula>AND(IF($Q27=3,1,0),IF($X27&lt;30,1,0))</formula>
    </cfRule>
    <cfRule type="expression" dxfId="10670" priority="422">
      <formula>AND(IF($Q27=3,1,IF($Q27=4,1,0)),IF($F27&lt;=85,1,0))</formula>
    </cfRule>
  </conditionalFormatting>
  <conditionalFormatting sqref="AI27">
    <cfRule type="expression" dxfId="10669" priority="415">
      <formula>AND(IF(OR($Q27=1,$Q27=2),1,0),IF($X27&lt;=20,1,0))</formula>
    </cfRule>
    <cfRule type="expression" dxfId="10668" priority="416">
      <formula>AND(IF($Q27=2,1,0),IF($X27&lt;30,1,0))</formula>
    </cfRule>
    <cfRule type="expression" dxfId="10667" priority="417">
      <formula>AND(IF($Q27=3,1,0),IF($X27&lt;30,1,0))</formula>
    </cfRule>
    <cfRule type="expression" dxfId="10666" priority="418">
      <formula>AND(IF($Q27=3,1,IF($Q27=4,1,0)),IF($F27&lt;=85,1,0))</formula>
    </cfRule>
  </conditionalFormatting>
  <conditionalFormatting sqref="AV28">
    <cfRule type="expression" dxfId="10665" priority="413">
      <formula>AV28="X"</formula>
    </cfRule>
    <cfRule type="expression" dxfId="10664" priority="414">
      <formula>AV28="후보"</formula>
    </cfRule>
  </conditionalFormatting>
  <conditionalFormatting sqref="AC28">
    <cfRule type="cellIs" dxfId="10663" priority="411" operator="greaterThan">
      <formula>0.9</formula>
    </cfRule>
    <cfRule type="cellIs" dxfId="10662" priority="412" operator="greaterThan">
      <formula>0.85</formula>
    </cfRule>
  </conditionalFormatting>
  <conditionalFormatting sqref="N28">
    <cfRule type="cellIs" dxfId="10661" priority="409" operator="greaterThan">
      <formula>0.9</formula>
    </cfRule>
    <cfRule type="cellIs" dxfId="10660" priority="410" operator="greaterThan">
      <formula>0.85</formula>
    </cfRule>
  </conditionalFormatting>
  <conditionalFormatting sqref="E28">
    <cfRule type="expression" dxfId="10659" priority="405">
      <formula>AND(IF(OR($Q28=1,$Q28=2),1,0),IF($X28&lt;=20,1,0))</formula>
    </cfRule>
    <cfRule type="expression" dxfId="10658" priority="406">
      <formula>AND(IF($Q28=2,1,0),IF($X28&lt;30,1,0))</formula>
    </cfRule>
    <cfRule type="expression" dxfId="10657" priority="407">
      <formula>AND(IF($Q28=3,1,0),IF($X28&lt;30,1,0))</formula>
    </cfRule>
    <cfRule type="expression" dxfId="10656" priority="408">
      <formula>AND(IF($Q28=3,1,IF($Q28=4,1,0)),IF($F28&lt;=85,1,0))</formula>
    </cfRule>
  </conditionalFormatting>
  <conditionalFormatting sqref="X28">
    <cfRule type="expression" dxfId="10655" priority="401">
      <formula>AND(IF(OR($Q28=1,$Q28=2),1,0),IF($X28&lt;=20,1,0))</formula>
    </cfRule>
    <cfRule type="expression" dxfId="10654" priority="402">
      <formula>AND(IF($Q28=2,1,0),IF($X28&lt;30,1,0))</formula>
    </cfRule>
    <cfRule type="expression" dxfId="10653" priority="403">
      <formula>AND(IF($Q28=3,1,0),IF($X28&lt;30,1,0))</formula>
    </cfRule>
    <cfRule type="expression" dxfId="10652" priority="404">
      <formula>AND(IF($Q28=3,1,IF($Q28=4,1,0)),IF($F28&lt;=85,1,0))</formula>
    </cfRule>
  </conditionalFormatting>
  <conditionalFormatting sqref="AI28">
    <cfRule type="expression" dxfId="10651" priority="397">
      <formula>AND(IF(OR($Q28=1,$Q28=2),1,0),IF($X28&lt;=20,1,0))</formula>
    </cfRule>
    <cfRule type="expression" dxfId="10650" priority="398">
      <formula>AND(IF($Q28=2,1,0),IF($X28&lt;30,1,0))</formula>
    </cfRule>
    <cfRule type="expression" dxfId="10649" priority="399">
      <formula>AND(IF($Q28=3,1,0),IF($X28&lt;30,1,0))</formula>
    </cfRule>
    <cfRule type="expression" dxfId="10648" priority="400">
      <formula>AND(IF($Q28=3,1,IF($Q28=4,1,0)),IF($F28&lt;=85,1,0))</formula>
    </cfRule>
  </conditionalFormatting>
  <conditionalFormatting sqref="AV29">
    <cfRule type="expression" dxfId="10647" priority="395">
      <formula>AV29="X"</formula>
    </cfRule>
    <cfRule type="expression" dxfId="10646" priority="396">
      <formula>AV29="후보"</formula>
    </cfRule>
  </conditionalFormatting>
  <conditionalFormatting sqref="AC29">
    <cfRule type="cellIs" dxfId="10645" priority="393" operator="greaterThan">
      <formula>0.9</formula>
    </cfRule>
    <cfRule type="cellIs" dxfId="10644" priority="394" operator="greaterThan">
      <formula>0.85</formula>
    </cfRule>
  </conditionalFormatting>
  <conditionalFormatting sqref="N29">
    <cfRule type="cellIs" dxfId="10643" priority="391" operator="greaterThan">
      <formula>0.9</formula>
    </cfRule>
    <cfRule type="cellIs" dxfId="10642" priority="392" operator="greaterThan">
      <formula>0.85</formula>
    </cfRule>
  </conditionalFormatting>
  <conditionalFormatting sqref="E29">
    <cfRule type="expression" dxfId="10641" priority="387">
      <formula>AND(IF(OR($Q29=1,$Q29=2),1,0),IF($X29&lt;=20,1,0))</formula>
    </cfRule>
    <cfRule type="expression" dxfId="10640" priority="388">
      <formula>AND(IF($Q29=2,1,0),IF($X29&lt;30,1,0))</formula>
    </cfRule>
    <cfRule type="expression" dxfId="10639" priority="389">
      <formula>AND(IF($Q29=3,1,0),IF($X29&lt;30,1,0))</formula>
    </cfRule>
    <cfRule type="expression" dxfId="10638" priority="390">
      <formula>AND(IF($Q29=3,1,IF($Q29=4,1,0)),IF($F29&lt;=85,1,0))</formula>
    </cfRule>
  </conditionalFormatting>
  <conditionalFormatting sqref="X29">
    <cfRule type="expression" dxfId="10637" priority="383">
      <formula>AND(IF(OR($Q29=1,$Q29=2),1,0),IF($X29&lt;=20,1,0))</formula>
    </cfRule>
    <cfRule type="expression" dxfId="10636" priority="384">
      <formula>AND(IF($Q29=2,1,0),IF($X29&lt;30,1,0))</formula>
    </cfRule>
    <cfRule type="expression" dxfId="10635" priority="385">
      <formula>AND(IF($Q29=3,1,0),IF($X29&lt;30,1,0))</formula>
    </cfRule>
    <cfRule type="expression" dxfId="10634" priority="386">
      <formula>AND(IF($Q29=3,1,IF($Q29=4,1,0)),IF($F29&lt;=85,1,0))</formula>
    </cfRule>
  </conditionalFormatting>
  <conditionalFormatting sqref="AI29">
    <cfRule type="expression" dxfId="10633" priority="379">
      <formula>AND(IF(OR($Q29=1,$Q29=2),1,0),IF($X29&lt;=20,1,0))</formula>
    </cfRule>
    <cfRule type="expression" dxfId="10632" priority="380">
      <formula>AND(IF($Q29=2,1,0),IF($X29&lt;30,1,0))</formula>
    </cfRule>
    <cfRule type="expression" dxfId="10631" priority="381">
      <formula>AND(IF($Q29=3,1,0),IF($X29&lt;30,1,0))</formula>
    </cfRule>
    <cfRule type="expression" dxfId="10630" priority="382">
      <formula>AND(IF($Q29=3,1,IF($Q29=4,1,0)),IF($F29&lt;=85,1,0))</formula>
    </cfRule>
  </conditionalFormatting>
  <conditionalFormatting sqref="AV30">
    <cfRule type="expression" dxfId="10629" priority="377">
      <formula>AV30="X"</formula>
    </cfRule>
    <cfRule type="expression" dxfId="10628" priority="378">
      <formula>AV30="후보"</formula>
    </cfRule>
  </conditionalFormatting>
  <conditionalFormatting sqref="AC30">
    <cfRule type="cellIs" dxfId="10627" priority="375" operator="greaterThan">
      <formula>0.9</formula>
    </cfRule>
    <cfRule type="cellIs" dxfId="10626" priority="376" operator="greaterThan">
      <formula>0.85</formula>
    </cfRule>
  </conditionalFormatting>
  <conditionalFormatting sqref="N30">
    <cfRule type="cellIs" dxfId="10625" priority="373" operator="greaterThan">
      <formula>0.9</formula>
    </cfRule>
    <cfRule type="cellIs" dxfId="10624" priority="374" operator="greaterThan">
      <formula>0.85</formula>
    </cfRule>
  </conditionalFormatting>
  <conditionalFormatting sqref="E30">
    <cfRule type="expression" dxfId="10623" priority="369">
      <formula>AND(IF(OR($Q30=1,$Q30=2),1,0),IF($X30&lt;=20,1,0))</formula>
    </cfRule>
    <cfRule type="expression" dxfId="10622" priority="370">
      <formula>AND(IF($Q30=2,1,0),IF($X30&lt;30,1,0))</formula>
    </cfRule>
    <cfRule type="expression" dxfId="10621" priority="371">
      <formula>AND(IF($Q30=3,1,0),IF($X30&lt;30,1,0))</formula>
    </cfRule>
    <cfRule type="expression" dxfId="10620" priority="372">
      <formula>AND(IF($Q30=3,1,IF($Q30=4,1,0)),IF($F30&lt;=85,1,0))</formula>
    </cfRule>
  </conditionalFormatting>
  <conditionalFormatting sqref="X30">
    <cfRule type="expression" dxfId="10619" priority="365">
      <formula>AND(IF(OR($Q30=1,$Q30=2),1,0),IF($X30&lt;=20,1,0))</formula>
    </cfRule>
    <cfRule type="expression" dxfId="10618" priority="366">
      <formula>AND(IF($Q30=2,1,0),IF($X30&lt;30,1,0))</formula>
    </cfRule>
    <cfRule type="expression" dxfId="10617" priority="367">
      <formula>AND(IF($Q30=3,1,0),IF($X30&lt;30,1,0))</formula>
    </cfRule>
    <cfRule type="expression" dxfId="10616" priority="368">
      <formula>AND(IF($Q30=3,1,IF($Q30=4,1,0)),IF($F30&lt;=85,1,0))</formula>
    </cfRule>
  </conditionalFormatting>
  <conditionalFormatting sqref="AI30">
    <cfRule type="expression" dxfId="10615" priority="361">
      <formula>AND(IF(OR($Q30=1,$Q30=2),1,0),IF($X30&lt;=20,1,0))</formula>
    </cfRule>
    <cfRule type="expression" dxfId="10614" priority="362">
      <formula>AND(IF($Q30=2,1,0),IF($X30&lt;30,1,0))</formula>
    </cfRule>
    <cfRule type="expression" dxfId="10613" priority="363">
      <formula>AND(IF($Q30=3,1,0),IF($X30&lt;30,1,0))</formula>
    </cfRule>
    <cfRule type="expression" dxfId="10612" priority="364">
      <formula>AND(IF($Q30=3,1,IF($Q30=4,1,0)),IF($F30&lt;=85,1,0))</formula>
    </cfRule>
  </conditionalFormatting>
  <conditionalFormatting sqref="AV31">
    <cfRule type="expression" dxfId="10611" priority="359">
      <formula>AV31="X"</formula>
    </cfRule>
    <cfRule type="expression" dxfId="10610" priority="360">
      <formula>AV31="후보"</formula>
    </cfRule>
  </conditionalFormatting>
  <conditionalFormatting sqref="AC31">
    <cfRule type="cellIs" dxfId="10609" priority="357" operator="greaterThan">
      <formula>0.9</formula>
    </cfRule>
    <cfRule type="cellIs" dxfId="10608" priority="358" operator="greaterThan">
      <formula>0.85</formula>
    </cfRule>
  </conditionalFormatting>
  <conditionalFormatting sqref="N31">
    <cfRule type="cellIs" dxfId="10607" priority="355" operator="greaterThan">
      <formula>0.9</formula>
    </cfRule>
    <cfRule type="cellIs" dxfId="10606" priority="356" operator="greaterThan">
      <formula>0.85</formula>
    </cfRule>
  </conditionalFormatting>
  <conditionalFormatting sqref="E31">
    <cfRule type="expression" dxfId="10605" priority="351">
      <formula>AND(IF(OR($Q31=1,$Q31=2),1,0),IF($X31&lt;=20,1,0))</formula>
    </cfRule>
    <cfRule type="expression" dxfId="10604" priority="352">
      <formula>AND(IF($Q31=2,1,0),IF($X31&lt;30,1,0))</formula>
    </cfRule>
    <cfRule type="expression" dxfId="10603" priority="353">
      <formula>AND(IF($Q31=3,1,0),IF($X31&lt;30,1,0))</formula>
    </cfRule>
    <cfRule type="expression" dxfId="10602" priority="354">
      <formula>AND(IF($Q31=3,1,IF($Q31=4,1,0)),IF($F31&lt;=85,1,0))</formula>
    </cfRule>
  </conditionalFormatting>
  <conditionalFormatting sqref="X31">
    <cfRule type="expression" dxfId="10601" priority="347">
      <formula>AND(IF(OR($Q31=1,$Q31=2),1,0),IF($X31&lt;=20,1,0))</formula>
    </cfRule>
    <cfRule type="expression" dxfId="10600" priority="348">
      <formula>AND(IF($Q31=2,1,0),IF($X31&lt;30,1,0))</formula>
    </cfRule>
    <cfRule type="expression" dxfId="10599" priority="349">
      <formula>AND(IF($Q31=3,1,0),IF($X31&lt;30,1,0))</formula>
    </cfRule>
    <cfRule type="expression" dxfId="10598" priority="350">
      <formula>AND(IF($Q31=3,1,IF($Q31=4,1,0)),IF($F31&lt;=85,1,0))</formula>
    </cfRule>
  </conditionalFormatting>
  <conditionalFormatting sqref="AI31">
    <cfRule type="expression" dxfId="10597" priority="343">
      <formula>AND(IF(OR($Q31=1,$Q31=2),1,0),IF($X31&lt;=20,1,0))</formula>
    </cfRule>
    <cfRule type="expression" dxfId="10596" priority="344">
      <formula>AND(IF($Q31=2,1,0),IF($X31&lt;30,1,0))</formula>
    </cfRule>
    <cfRule type="expression" dxfId="10595" priority="345">
      <formula>AND(IF($Q31=3,1,0),IF($X31&lt;30,1,0))</formula>
    </cfRule>
    <cfRule type="expression" dxfId="10594" priority="346">
      <formula>AND(IF($Q31=3,1,IF($Q31=4,1,0)),IF($F31&lt;=85,1,0))</formula>
    </cfRule>
  </conditionalFormatting>
  <conditionalFormatting sqref="AV32">
    <cfRule type="expression" dxfId="10593" priority="341">
      <formula>AV32="X"</formula>
    </cfRule>
    <cfRule type="expression" dxfId="10592" priority="342">
      <formula>AV32="후보"</formula>
    </cfRule>
  </conditionalFormatting>
  <conditionalFormatting sqref="AC32">
    <cfRule type="cellIs" dxfId="10591" priority="339" operator="greaterThan">
      <formula>0.9</formula>
    </cfRule>
    <cfRule type="cellIs" dxfId="10590" priority="340" operator="greaterThan">
      <formula>0.85</formula>
    </cfRule>
  </conditionalFormatting>
  <conditionalFormatting sqref="N32">
    <cfRule type="cellIs" dxfId="10589" priority="337" operator="greaterThan">
      <formula>0.9</formula>
    </cfRule>
    <cfRule type="cellIs" dxfId="10588" priority="338" operator="greaterThan">
      <formula>0.85</formula>
    </cfRule>
  </conditionalFormatting>
  <conditionalFormatting sqref="E32">
    <cfRule type="expression" dxfId="10587" priority="333">
      <formula>AND(IF(OR($Q32=1,$Q32=2),1,0),IF($X32&lt;=20,1,0))</formula>
    </cfRule>
    <cfRule type="expression" dxfId="10586" priority="334">
      <formula>AND(IF($Q32=2,1,0),IF($X32&lt;30,1,0))</formula>
    </cfRule>
    <cfRule type="expression" dxfId="10585" priority="335">
      <formula>AND(IF($Q32=3,1,0),IF($X32&lt;30,1,0))</formula>
    </cfRule>
    <cfRule type="expression" dxfId="10584" priority="336">
      <formula>AND(IF($Q32=3,1,IF($Q32=4,1,0)),IF($F32&lt;=85,1,0))</formula>
    </cfRule>
  </conditionalFormatting>
  <conditionalFormatting sqref="X32">
    <cfRule type="expression" dxfId="10583" priority="329">
      <formula>AND(IF(OR($Q32=1,$Q32=2),1,0),IF($X32&lt;=20,1,0))</formula>
    </cfRule>
    <cfRule type="expression" dxfId="10582" priority="330">
      <formula>AND(IF($Q32=2,1,0),IF($X32&lt;30,1,0))</formula>
    </cfRule>
    <cfRule type="expression" dxfId="10581" priority="331">
      <formula>AND(IF($Q32=3,1,0),IF($X32&lt;30,1,0))</formula>
    </cfRule>
    <cfRule type="expression" dxfId="10580" priority="332">
      <formula>AND(IF($Q32=3,1,IF($Q32=4,1,0)),IF($F32&lt;=85,1,0))</formula>
    </cfRule>
  </conditionalFormatting>
  <conditionalFormatting sqref="AI32">
    <cfRule type="expression" dxfId="10579" priority="325">
      <formula>AND(IF(OR($Q32=1,$Q32=2),1,0),IF($X32&lt;=20,1,0))</formula>
    </cfRule>
    <cfRule type="expression" dxfId="10578" priority="326">
      <formula>AND(IF($Q32=2,1,0),IF($X32&lt;30,1,0))</formula>
    </cfRule>
    <cfRule type="expression" dxfId="10577" priority="327">
      <formula>AND(IF($Q32=3,1,0),IF($X32&lt;30,1,0))</formula>
    </cfRule>
    <cfRule type="expression" dxfId="10576" priority="328">
      <formula>AND(IF($Q32=3,1,IF($Q32=4,1,0)),IF($F32&lt;=85,1,0))</formula>
    </cfRule>
  </conditionalFormatting>
  <conditionalFormatting sqref="AV33">
    <cfRule type="expression" dxfId="10575" priority="323">
      <formula>AV33="X"</formula>
    </cfRule>
    <cfRule type="expression" dxfId="10574" priority="324">
      <formula>AV33="후보"</formula>
    </cfRule>
  </conditionalFormatting>
  <conditionalFormatting sqref="AC33">
    <cfRule type="cellIs" dxfId="10573" priority="321" operator="greaterThan">
      <formula>0.9</formula>
    </cfRule>
    <cfRule type="cellIs" dxfId="10572" priority="322" operator="greaterThan">
      <formula>0.85</formula>
    </cfRule>
  </conditionalFormatting>
  <conditionalFormatting sqref="N33">
    <cfRule type="cellIs" dxfId="10571" priority="319" operator="greaterThan">
      <formula>0.9</formula>
    </cfRule>
    <cfRule type="cellIs" dxfId="10570" priority="320" operator="greaterThan">
      <formula>0.85</formula>
    </cfRule>
  </conditionalFormatting>
  <conditionalFormatting sqref="E33">
    <cfRule type="expression" dxfId="10569" priority="315">
      <formula>AND(IF(OR($Q33=1,$Q33=2),1,0),IF($X33&lt;=20,1,0))</formula>
    </cfRule>
    <cfRule type="expression" dxfId="10568" priority="316">
      <formula>AND(IF($Q33=2,1,0),IF($X33&lt;30,1,0))</formula>
    </cfRule>
    <cfRule type="expression" dxfId="10567" priority="317">
      <formula>AND(IF($Q33=3,1,0),IF($X33&lt;30,1,0))</formula>
    </cfRule>
    <cfRule type="expression" dxfId="10566" priority="318">
      <formula>AND(IF($Q33=3,1,IF($Q33=4,1,0)),IF($F33&lt;=85,1,0))</formula>
    </cfRule>
  </conditionalFormatting>
  <conditionalFormatting sqref="X33">
    <cfRule type="expression" dxfId="10565" priority="311">
      <formula>AND(IF(OR($Q33=1,$Q33=2),1,0),IF($X33&lt;=20,1,0))</formula>
    </cfRule>
    <cfRule type="expression" dxfId="10564" priority="312">
      <formula>AND(IF($Q33=2,1,0),IF($X33&lt;30,1,0))</formula>
    </cfRule>
    <cfRule type="expression" dxfId="10563" priority="313">
      <formula>AND(IF($Q33=3,1,0),IF($X33&lt;30,1,0))</formula>
    </cfRule>
    <cfRule type="expression" dxfId="10562" priority="314">
      <formula>AND(IF($Q33=3,1,IF($Q33=4,1,0)),IF($F33&lt;=85,1,0))</formula>
    </cfRule>
  </conditionalFormatting>
  <conditionalFormatting sqref="AI33">
    <cfRule type="expression" dxfId="10561" priority="307">
      <formula>AND(IF(OR($Q33=1,$Q33=2),1,0),IF($X33&lt;=20,1,0))</formula>
    </cfRule>
    <cfRule type="expression" dxfId="10560" priority="308">
      <formula>AND(IF($Q33=2,1,0),IF($X33&lt;30,1,0))</formula>
    </cfRule>
    <cfRule type="expression" dxfId="10559" priority="309">
      <formula>AND(IF($Q33=3,1,0),IF($X33&lt;30,1,0))</formula>
    </cfRule>
    <cfRule type="expression" dxfId="10558" priority="310">
      <formula>AND(IF($Q33=3,1,IF($Q33=4,1,0)),IF($F33&lt;=85,1,0))</formula>
    </cfRule>
  </conditionalFormatting>
  <conditionalFormatting sqref="AV34">
    <cfRule type="expression" dxfId="10557" priority="305">
      <formula>AV34="X"</formula>
    </cfRule>
    <cfRule type="expression" dxfId="10556" priority="306">
      <formula>AV34="후보"</formula>
    </cfRule>
  </conditionalFormatting>
  <conditionalFormatting sqref="AC34">
    <cfRule type="cellIs" dxfId="10555" priority="303" operator="greaterThan">
      <formula>0.9</formula>
    </cfRule>
    <cfRule type="cellIs" dxfId="10554" priority="304" operator="greaterThan">
      <formula>0.85</formula>
    </cfRule>
  </conditionalFormatting>
  <conditionalFormatting sqref="N34">
    <cfRule type="cellIs" dxfId="10553" priority="301" operator="greaterThan">
      <formula>0.9</formula>
    </cfRule>
    <cfRule type="cellIs" dxfId="10552" priority="302" operator="greaterThan">
      <formula>0.85</formula>
    </cfRule>
  </conditionalFormatting>
  <conditionalFormatting sqref="E34">
    <cfRule type="expression" dxfId="10551" priority="297">
      <formula>AND(IF(OR($Q34=1,$Q34=2),1,0),IF($X34&lt;=20,1,0))</formula>
    </cfRule>
    <cfRule type="expression" dxfId="10550" priority="298">
      <formula>AND(IF($Q34=2,1,0),IF($X34&lt;30,1,0))</formula>
    </cfRule>
    <cfRule type="expression" dxfId="10549" priority="299">
      <formula>AND(IF($Q34=3,1,0),IF($X34&lt;30,1,0))</formula>
    </cfRule>
    <cfRule type="expression" dxfId="10548" priority="300">
      <formula>AND(IF($Q34=3,1,IF($Q34=4,1,0)),IF($F34&lt;=85,1,0))</formula>
    </cfRule>
  </conditionalFormatting>
  <conditionalFormatting sqref="X34">
    <cfRule type="expression" dxfId="10547" priority="293">
      <formula>AND(IF(OR($Q34=1,$Q34=2),1,0),IF($X34&lt;=20,1,0))</formula>
    </cfRule>
    <cfRule type="expression" dxfId="10546" priority="294">
      <formula>AND(IF($Q34=2,1,0),IF($X34&lt;30,1,0))</formula>
    </cfRule>
    <cfRule type="expression" dxfId="10545" priority="295">
      <formula>AND(IF($Q34=3,1,0),IF($X34&lt;30,1,0))</formula>
    </cfRule>
    <cfRule type="expression" dxfId="10544" priority="296">
      <formula>AND(IF($Q34=3,1,IF($Q34=4,1,0)),IF($F34&lt;=85,1,0))</formula>
    </cfRule>
  </conditionalFormatting>
  <conditionalFormatting sqref="AI34">
    <cfRule type="expression" dxfId="10543" priority="289">
      <formula>AND(IF(OR($Q34=1,$Q34=2),1,0),IF($X34&lt;=20,1,0))</formula>
    </cfRule>
    <cfRule type="expression" dxfId="10542" priority="290">
      <formula>AND(IF($Q34=2,1,0),IF($X34&lt;30,1,0))</formula>
    </cfRule>
    <cfRule type="expression" dxfId="10541" priority="291">
      <formula>AND(IF($Q34=3,1,0),IF($X34&lt;30,1,0))</formula>
    </cfRule>
    <cfRule type="expression" dxfId="10540" priority="292">
      <formula>AND(IF($Q34=3,1,IF($Q34=4,1,0)),IF($F34&lt;=85,1,0))</formula>
    </cfRule>
  </conditionalFormatting>
  <conditionalFormatting sqref="AV35">
    <cfRule type="expression" dxfId="10539" priority="287">
      <formula>AV35="X"</formula>
    </cfRule>
    <cfRule type="expression" dxfId="10538" priority="288">
      <formula>AV35="후보"</formula>
    </cfRule>
  </conditionalFormatting>
  <conditionalFormatting sqref="AC35">
    <cfRule type="cellIs" dxfId="10537" priority="285" operator="greaterThan">
      <formula>0.9</formula>
    </cfRule>
    <cfRule type="cellIs" dxfId="10536" priority="286" operator="greaterThan">
      <formula>0.85</formula>
    </cfRule>
  </conditionalFormatting>
  <conditionalFormatting sqref="N35">
    <cfRule type="cellIs" dxfId="10535" priority="283" operator="greaterThan">
      <formula>0.9</formula>
    </cfRule>
    <cfRule type="cellIs" dxfId="10534" priority="284" operator="greaterThan">
      <formula>0.85</formula>
    </cfRule>
  </conditionalFormatting>
  <conditionalFormatting sqref="E35">
    <cfRule type="expression" dxfId="10533" priority="279">
      <formula>AND(IF(OR($Q35=1,$Q35=2),1,0),IF($X35&lt;=20,1,0))</formula>
    </cfRule>
    <cfRule type="expression" dxfId="10532" priority="280">
      <formula>AND(IF($Q35=2,1,0),IF($X35&lt;30,1,0))</formula>
    </cfRule>
    <cfRule type="expression" dxfId="10531" priority="281">
      <formula>AND(IF($Q35=3,1,0),IF($X35&lt;30,1,0))</formula>
    </cfRule>
    <cfRule type="expression" dxfId="10530" priority="282">
      <formula>AND(IF($Q35=3,1,IF($Q35=4,1,0)),IF($F35&lt;=85,1,0))</formula>
    </cfRule>
  </conditionalFormatting>
  <conditionalFormatting sqref="X35">
    <cfRule type="expression" dxfId="10529" priority="275">
      <formula>AND(IF(OR($Q35=1,$Q35=2),1,0),IF($X35&lt;=20,1,0))</formula>
    </cfRule>
    <cfRule type="expression" dxfId="10528" priority="276">
      <formula>AND(IF($Q35=2,1,0),IF($X35&lt;30,1,0))</formula>
    </cfRule>
    <cfRule type="expression" dxfId="10527" priority="277">
      <formula>AND(IF($Q35=3,1,0),IF($X35&lt;30,1,0))</formula>
    </cfRule>
    <cfRule type="expression" dxfId="10526" priority="278">
      <formula>AND(IF($Q35=3,1,IF($Q35=4,1,0)),IF($F35&lt;=85,1,0))</formula>
    </cfRule>
  </conditionalFormatting>
  <conditionalFormatting sqref="AI35">
    <cfRule type="expression" dxfId="10525" priority="271">
      <formula>AND(IF(OR($Q35=1,$Q35=2),1,0),IF($X35&lt;=20,1,0))</formula>
    </cfRule>
    <cfRule type="expression" dxfId="10524" priority="272">
      <formula>AND(IF($Q35=2,1,0),IF($X35&lt;30,1,0))</formula>
    </cfRule>
    <cfRule type="expression" dxfId="10523" priority="273">
      <formula>AND(IF($Q35=3,1,0),IF($X35&lt;30,1,0))</formula>
    </cfRule>
    <cfRule type="expression" dxfId="10522" priority="274">
      <formula>AND(IF($Q35=3,1,IF($Q35=4,1,0)),IF($F35&lt;=85,1,0))</formula>
    </cfRule>
  </conditionalFormatting>
  <conditionalFormatting sqref="AV36">
    <cfRule type="expression" dxfId="10521" priority="269">
      <formula>AV36="X"</formula>
    </cfRule>
    <cfRule type="expression" dxfId="10520" priority="270">
      <formula>AV36="후보"</formula>
    </cfRule>
  </conditionalFormatting>
  <conditionalFormatting sqref="AC36">
    <cfRule type="cellIs" dxfId="10519" priority="267" operator="greaterThan">
      <formula>0.9</formula>
    </cfRule>
    <cfRule type="cellIs" dxfId="10518" priority="268" operator="greaterThan">
      <formula>0.85</formula>
    </cfRule>
  </conditionalFormatting>
  <conditionalFormatting sqref="N36">
    <cfRule type="cellIs" dxfId="10517" priority="265" operator="greaterThan">
      <formula>0.9</formula>
    </cfRule>
    <cfRule type="cellIs" dxfId="10516" priority="266" operator="greaterThan">
      <formula>0.85</formula>
    </cfRule>
  </conditionalFormatting>
  <conditionalFormatting sqref="E36">
    <cfRule type="expression" dxfId="10515" priority="261">
      <formula>AND(IF(OR($Q36=1,$Q36=2),1,0),IF($X36&lt;=20,1,0))</formula>
    </cfRule>
    <cfRule type="expression" dxfId="10514" priority="262">
      <formula>AND(IF($Q36=2,1,0),IF($X36&lt;30,1,0))</formula>
    </cfRule>
    <cfRule type="expression" dxfId="10513" priority="263">
      <formula>AND(IF($Q36=3,1,0),IF($X36&lt;30,1,0))</formula>
    </cfRule>
    <cfRule type="expression" dxfId="10512" priority="264">
      <formula>AND(IF($Q36=3,1,IF($Q36=4,1,0)),IF($F36&lt;=85,1,0))</formula>
    </cfRule>
  </conditionalFormatting>
  <conditionalFormatting sqref="X36">
    <cfRule type="expression" dxfId="10511" priority="257">
      <formula>AND(IF(OR($Q36=1,$Q36=2),1,0),IF($X36&lt;=20,1,0))</formula>
    </cfRule>
    <cfRule type="expression" dxfId="10510" priority="258">
      <formula>AND(IF($Q36=2,1,0),IF($X36&lt;30,1,0))</formula>
    </cfRule>
    <cfRule type="expression" dxfId="10509" priority="259">
      <formula>AND(IF($Q36=3,1,0),IF($X36&lt;30,1,0))</formula>
    </cfRule>
    <cfRule type="expression" dxfId="10508" priority="260">
      <formula>AND(IF($Q36=3,1,IF($Q36=4,1,0)),IF($F36&lt;=85,1,0))</formula>
    </cfRule>
  </conditionalFormatting>
  <conditionalFormatting sqref="AI36">
    <cfRule type="expression" dxfId="10507" priority="253">
      <formula>AND(IF(OR($Q36=1,$Q36=2),1,0),IF($X36&lt;=20,1,0))</formula>
    </cfRule>
    <cfRule type="expression" dxfId="10506" priority="254">
      <formula>AND(IF($Q36=2,1,0),IF($X36&lt;30,1,0))</formula>
    </cfRule>
    <cfRule type="expression" dxfId="10505" priority="255">
      <formula>AND(IF($Q36=3,1,0),IF($X36&lt;30,1,0))</formula>
    </cfRule>
    <cfRule type="expression" dxfId="10504" priority="256">
      <formula>AND(IF($Q36=3,1,IF($Q36=4,1,0)),IF($F36&lt;=85,1,0))</formula>
    </cfRule>
  </conditionalFormatting>
  <conditionalFormatting sqref="AV37">
    <cfRule type="expression" dxfId="10503" priority="251">
      <formula>AV37="X"</formula>
    </cfRule>
    <cfRule type="expression" dxfId="10502" priority="252">
      <formula>AV37="후보"</formula>
    </cfRule>
  </conditionalFormatting>
  <conditionalFormatting sqref="AC37">
    <cfRule type="cellIs" dxfId="10501" priority="249" operator="greaterThan">
      <formula>0.9</formula>
    </cfRule>
    <cfRule type="cellIs" dxfId="10500" priority="250" operator="greaterThan">
      <formula>0.85</formula>
    </cfRule>
  </conditionalFormatting>
  <conditionalFormatting sqref="N37">
    <cfRule type="cellIs" dxfId="10499" priority="247" operator="greaterThan">
      <formula>0.9</formula>
    </cfRule>
    <cfRule type="cellIs" dxfId="10498" priority="248" operator="greaterThan">
      <formula>0.85</formula>
    </cfRule>
  </conditionalFormatting>
  <conditionalFormatting sqref="E37">
    <cfRule type="expression" dxfId="10497" priority="243">
      <formula>AND(IF(OR($Q37=1,$Q37=2),1,0),IF($X37&lt;=20,1,0))</formula>
    </cfRule>
    <cfRule type="expression" dxfId="10496" priority="244">
      <formula>AND(IF($Q37=2,1,0),IF($X37&lt;30,1,0))</formula>
    </cfRule>
    <cfRule type="expression" dxfId="10495" priority="245">
      <formula>AND(IF($Q37=3,1,0),IF($X37&lt;30,1,0))</formula>
    </cfRule>
    <cfRule type="expression" dxfId="10494" priority="246">
      <formula>AND(IF($Q37=3,1,IF($Q37=4,1,0)),IF($F37&lt;=85,1,0))</formula>
    </cfRule>
  </conditionalFormatting>
  <conditionalFormatting sqref="X37">
    <cfRule type="expression" dxfId="10493" priority="239">
      <formula>AND(IF(OR($Q37=1,$Q37=2),1,0),IF($X37&lt;=20,1,0))</formula>
    </cfRule>
    <cfRule type="expression" dxfId="10492" priority="240">
      <formula>AND(IF($Q37=2,1,0),IF($X37&lt;30,1,0))</formula>
    </cfRule>
    <cfRule type="expression" dxfId="10491" priority="241">
      <formula>AND(IF($Q37=3,1,0),IF($X37&lt;30,1,0))</formula>
    </cfRule>
    <cfRule type="expression" dxfId="10490" priority="242">
      <formula>AND(IF($Q37=3,1,IF($Q37=4,1,0)),IF($F37&lt;=85,1,0))</formula>
    </cfRule>
  </conditionalFormatting>
  <conditionalFormatting sqref="AI37">
    <cfRule type="expression" dxfId="10489" priority="235">
      <formula>AND(IF(OR($Q37=1,$Q37=2),1,0),IF($X37&lt;=20,1,0))</formula>
    </cfRule>
    <cfRule type="expression" dxfId="10488" priority="236">
      <formula>AND(IF($Q37=2,1,0),IF($X37&lt;30,1,0))</formula>
    </cfRule>
    <cfRule type="expression" dxfId="10487" priority="237">
      <formula>AND(IF($Q37=3,1,0),IF($X37&lt;30,1,0))</formula>
    </cfRule>
    <cfRule type="expression" dxfId="10486" priority="238">
      <formula>AND(IF($Q37=3,1,IF($Q37=4,1,0)),IF($F37&lt;=85,1,0))</formula>
    </cfRule>
  </conditionalFormatting>
  <conditionalFormatting sqref="AV38">
    <cfRule type="expression" dxfId="10485" priority="233">
      <formula>AV38="X"</formula>
    </cfRule>
    <cfRule type="expression" dxfId="10484" priority="234">
      <formula>AV38="후보"</formula>
    </cfRule>
  </conditionalFormatting>
  <conditionalFormatting sqref="AC38">
    <cfRule type="cellIs" dxfId="10483" priority="231" operator="greaterThan">
      <formula>0.9</formula>
    </cfRule>
    <cfRule type="cellIs" dxfId="10482" priority="232" operator="greaterThan">
      <formula>0.85</formula>
    </cfRule>
  </conditionalFormatting>
  <conditionalFormatting sqref="N38">
    <cfRule type="cellIs" dxfId="10481" priority="229" operator="greaterThan">
      <formula>0.9</formula>
    </cfRule>
    <cfRule type="cellIs" dxfId="10480" priority="230" operator="greaterThan">
      <formula>0.85</formula>
    </cfRule>
  </conditionalFormatting>
  <conditionalFormatting sqref="E38">
    <cfRule type="expression" dxfId="10479" priority="225">
      <formula>AND(IF(OR($Q38=1,$Q38=2),1,0),IF($X38&lt;=20,1,0))</formula>
    </cfRule>
    <cfRule type="expression" dxfId="10478" priority="226">
      <formula>AND(IF($Q38=2,1,0),IF($X38&lt;30,1,0))</formula>
    </cfRule>
    <cfRule type="expression" dxfId="10477" priority="227">
      <formula>AND(IF($Q38=3,1,0),IF($X38&lt;30,1,0))</formula>
    </cfRule>
    <cfRule type="expression" dxfId="10476" priority="228">
      <formula>AND(IF($Q38=3,1,IF($Q38=4,1,0)),IF($F38&lt;=85,1,0))</formula>
    </cfRule>
  </conditionalFormatting>
  <conditionalFormatting sqref="X38">
    <cfRule type="expression" dxfId="10475" priority="221">
      <formula>AND(IF(OR($Q38=1,$Q38=2),1,0),IF($X38&lt;=20,1,0))</formula>
    </cfRule>
    <cfRule type="expression" dxfId="10474" priority="222">
      <formula>AND(IF($Q38=2,1,0),IF($X38&lt;30,1,0))</formula>
    </cfRule>
    <cfRule type="expression" dxfId="10473" priority="223">
      <formula>AND(IF($Q38=3,1,0),IF($X38&lt;30,1,0))</formula>
    </cfRule>
    <cfRule type="expression" dxfId="10472" priority="224">
      <formula>AND(IF($Q38=3,1,IF($Q38=4,1,0)),IF($F38&lt;=85,1,0))</formula>
    </cfRule>
  </conditionalFormatting>
  <conditionalFormatting sqref="AI38">
    <cfRule type="expression" dxfId="10471" priority="217">
      <formula>AND(IF(OR($Q38=1,$Q38=2),1,0),IF($X38&lt;=20,1,0))</formula>
    </cfRule>
    <cfRule type="expression" dxfId="10470" priority="218">
      <formula>AND(IF($Q38=2,1,0),IF($X38&lt;30,1,0))</formula>
    </cfRule>
    <cfRule type="expression" dxfId="10469" priority="219">
      <formula>AND(IF($Q38=3,1,0),IF($X38&lt;30,1,0))</formula>
    </cfRule>
    <cfRule type="expression" dxfId="10468" priority="220">
      <formula>AND(IF($Q38=3,1,IF($Q38=4,1,0)),IF($F38&lt;=85,1,0))</formula>
    </cfRule>
  </conditionalFormatting>
  <conditionalFormatting sqref="AV39">
    <cfRule type="expression" dxfId="10467" priority="215">
      <formula>AV39="X"</formula>
    </cfRule>
    <cfRule type="expression" dxfId="10466" priority="216">
      <formula>AV39="후보"</formula>
    </cfRule>
  </conditionalFormatting>
  <conditionalFormatting sqref="AC39">
    <cfRule type="cellIs" dxfId="10465" priority="213" operator="greaterThan">
      <formula>0.9</formula>
    </cfRule>
    <cfRule type="cellIs" dxfId="10464" priority="214" operator="greaterThan">
      <formula>0.85</formula>
    </cfRule>
  </conditionalFormatting>
  <conditionalFormatting sqref="N39">
    <cfRule type="cellIs" dxfId="10463" priority="211" operator="greaterThan">
      <formula>0.9</formula>
    </cfRule>
    <cfRule type="cellIs" dxfId="10462" priority="212" operator="greaterThan">
      <formula>0.85</formula>
    </cfRule>
  </conditionalFormatting>
  <conditionalFormatting sqref="E39">
    <cfRule type="expression" dxfId="10461" priority="207">
      <formula>AND(IF(OR($Q39=1,$Q39=2),1,0),IF($X39&lt;=20,1,0))</formula>
    </cfRule>
    <cfRule type="expression" dxfId="10460" priority="208">
      <formula>AND(IF($Q39=2,1,0),IF($X39&lt;30,1,0))</formula>
    </cfRule>
    <cfRule type="expression" dxfId="10459" priority="209">
      <formula>AND(IF($Q39=3,1,0),IF($X39&lt;30,1,0))</formula>
    </cfRule>
    <cfRule type="expression" dxfId="10458" priority="210">
      <formula>AND(IF($Q39=3,1,IF($Q39=4,1,0)),IF($F39&lt;=85,1,0))</formula>
    </cfRule>
  </conditionalFormatting>
  <conditionalFormatting sqref="X39">
    <cfRule type="expression" dxfId="10457" priority="203">
      <formula>AND(IF(OR($Q39=1,$Q39=2),1,0),IF($X39&lt;=20,1,0))</formula>
    </cfRule>
    <cfRule type="expression" dxfId="10456" priority="204">
      <formula>AND(IF($Q39=2,1,0),IF($X39&lt;30,1,0))</formula>
    </cfRule>
    <cfRule type="expression" dxfId="10455" priority="205">
      <formula>AND(IF($Q39=3,1,0),IF($X39&lt;30,1,0))</formula>
    </cfRule>
    <cfRule type="expression" dxfId="10454" priority="206">
      <formula>AND(IF($Q39=3,1,IF($Q39=4,1,0)),IF($F39&lt;=85,1,0))</formula>
    </cfRule>
  </conditionalFormatting>
  <conditionalFormatting sqref="AI39">
    <cfRule type="expression" dxfId="10453" priority="199">
      <formula>AND(IF(OR($Q39=1,$Q39=2),1,0),IF($X39&lt;=20,1,0))</formula>
    </cfRule>
    <cfRule type="expression" dxfId="10452" priority="200">
      <formula>AND(IF($Q39=2,1,0),IF($X39&lt;30,1,0))</formula>
    </cfRule>
    <cfRule type="expression" dxfId="10451" priority="201">
      <formula>AND(IF($Q39=3,1,0),IF($X39&lt;30,1,0))</formula>
    </cfRule>
    <cfRule type="expression" dxfId="10450" priority="202">
      <formula>AND(IF($Q39=3,1,IF($Q39=4,1,0)),IF($F39&lt;=85,1,0))</formula>
    </cfRule>
  </conditionalFormatting>
  <conditionalFormatting sqref="AV40">
    <cfRule type="expression" dxfId="10449" priority="197">
      <formula>AV40="X"</formula>
    </cfRule>
    <cfRule type="expression" dxfId="10448" priority="198">
      <formula>AV40="후보"</formula>
    </cfRule>
  </conditionalFormatting>
  <conditionalFormatting sqref="AC40">
    <cfRule type="cellIs" dxfId="10447" priority="195" operator="greaterThan">
      <formula>0.9</formula>
    </cfRule>
    <cfRule type="cellIs" dxfId="10446" priority="196" operator="greaterThan">
      <formula>0.85</formula>
    </cfRule>
  </conditionalFormatting>
  <conditionalFormatting sqref="N40">
    <cfRule type="cellIs" dxfId="10445" priority="193" operator="greaterThan">
      <formula>0.9</formula>
    </cfRule>
    <cfRule type="cellIs" dxfId="10444" priority="194" operator="greaterThan">
      <formula>0.85</formula>
    </cfRule>
  </conditionalFormatting>
  <conditionalFormatting sqref="E40">
    <cfRule type="expression" dxfId="10443" priority="189">
      <formula>AND(IF(OR($Q40=1,$Q40=2),1,0),IF($X40&lt;=20,1,0))</formula>
    </cfRule>
    <cfRule type="expression" dxfId="10442" priority="190">
      <formula>AND(IF($Q40=2,1,0),IF($X40&lt;30,1,0))</formula>
    </cfRule>
    <cfRule type="expression" dxfId="10441" priority="191">
      <formula>AND(IF($Q40=3,1,0),IF($X40&lt;30,1,0))</formula>
    </cfRule>
    <cfRule type="expression" dxfId="10440" priority="192">
      <formula>AND(IF($Q40=3,1,IF($Q40=4,1,0)),IF($F40&lt;=85,1,0))</formula>
    </cfRule>
  </conditionalFormatting>
  <conditionalFormatting sqref="X40">
    <cfRule type="expression" dxfId="10439" priority="185">
      <formula>AND(IF(OR($Q40=1,$Q40=2),1,0),IF($X40&lt;=20,1,0))</formula>
    </cfRule>
    <cfRule type="expression" dxfId="10438" priority="186">
      <formula>AND(IF($Q40=2,1,0),IF($X40&lt;30,1,0))</formula>
    </cfRule>
    <cfRule type="expression" dxfId="10437" priority="187">
      <formula>AND(IF($Q40=3,1,0),IF($X40&lt;30,1,0))</formula>
    </cfRule>
    <cfRule type="expression" dxfId="10436" priority="188">
      <formula>AND(IF($Q40=3,1,IF($Q40=4,1,0)),IF($F40&lt;=85,1,0))</formula>
    </cfRule>
  </conditionalFormatting>
  <conditionalFormatting sqref="AI40">
    <cfRule type="expression" dxfId="10435" priority="181">
      <formula>AND(IF(OR($Q40=1,$Q40=2),1,0),IF($X40&lt;=20,1,0))</formula>
    </cfRule>
    <cfRule type="expression" dxfId="10434" priority="182">
      <formula>AND(IF($Q40=2,1,0),IF($X40&lt;30,1,0))</formula>
    </cfRule>
    <cfRule type="expression" dxfId="10433" priority="183">
      <formula>AND(IF($Q40=3,1,0),IF($X40&lt;30,1,0))</formula>
    </cfRule>
    <cfRule type="expression" dxfId="10432" priority="184">
      <formula>AND(IF($Q40=3,1,IF($Q40=4,1,0)),IF($F40&lt;=85,1,0))</formula>
    </cfRule>
  </conditionalFormatting>
  <conditionalFormatting sqref="AV41">
    <cfRule type="expression" dxfId="10431" priority="179">
      <formula>AV41="X"</formula>
    </cfRule>
    <cfRule type="expression" dxfId="10430" priority="180">
      <formula>AV41="후보"</formula>
    </cfRule>
  </conditionalFormatting>
  <conditionalFormatting sqref="AC41">
    <cfRule type="cellIs" dxfId="10429" priority="177" operator="greaterThan">
      <formula>0.9</formula>
    </cfRule>
    <cfRule type="cellIs" dxfId="10428" priority="178" operator="greaterThan">
      <formula>0.85</formula>
    </cfRule>
  </conditionalFormatting>
  <conditionalFormatting sqref="N41">
    <cfRule type="cellIs" dxfId="10427" priority="175" operator="greaterThan">
      <formula>0.9</formula>
    </cfRule>
    <cfRule type="cellIs" dxfId="10426" priority="176" operator="greaterThan">
      <formula>0.85</formula>
    </cfRule>
  </conditionalFormatting>
  <conditionalFormatting sqref="E41">
    <cfRule type="expression" dxfId="10425" priority="171">
      <formula>AND(IF(OR($Q41=1,$Q41=2),1,0),IF($X41&lt;=20,1,0))</formula>
    </cfRule>
    <cfRule type="expression" dxfId="10424" priority="172">
      <formula>AND(IF($Q41=2,1,0),IF($X41&lt;30,1,0))</formula>
    </cfRule>
    <cfRule type="expression" dxfId="10423" priority="173">
      <formula>AND(IF($Q41=3,1,0),IF($X41&lt;30,1,0))</formula>
    </cfRule>
    <cfRule type="expression" dxfId="10422" priority="174">
      <formula>AND(IF($Q41=3,1,IF($Q41=4,1,0)),IF($F41&lt;=85,1,0))</formula>
    </cfRule>
  </conditionalFormatting>
  <conditionalFormatting sqref="X41">
    <cfRule type="expression" dxfId="10421" priority="167">
      <formula>AND(IF(OR($Q41=1,$Q41=2),1,0),IF($X41&lt;=20,1,0))</formula>
    </cfRule>
    <cfRule type="expression" dxfId="10420" priority="168">
      <formula>AND(IF($Q41=2,1,0),IF($X41&lt;30,1,0))</formula>
    </cfRule>
    <cfRule type="expression" dxfId="10419" priority="169">
      <formula>AND(IF($Q41=3,1,0),IF($X41&lt;30,1,0))</formula>
    </cfRule>
    <cfRule type="expression" dxfId="10418" priority="170">
      <formula>AND(IF($Q41=3,1,IF($Q41=4,1,0)),IF($F41&lt;=85,1,0))</formula>
    </cfRule>
  </conditionalFormatting>
  <conditionalFormatting sqref="AI41">
    <cfRule type="expression" dxfId="10417" priority="163">
      <formula>AND(IF(OR($Q41=1,$Q41=2),1,0),IF($X41&lt;=20,1,0))</formula>
    </cfRule>
    <cfRule type="expression" dxfId="10416" priority="164">
      <formula>AND(IF($Q41=2,1,0),IF($X41&lt;30,1,0))</formula>
    </cfRule>
    <cfRule type="expression" dxfId="10415" priority="165">
      <formula>AND(IF($Q41=3,1,0),IF($X41&lt;30,1,0))</formula>
    </cfRule>
    <cfRule type="expression" dxfId="10414" priority="166">
      <formula>AND(IF($Q41=3,1,IF($Q41=4,1,0)),IF($F41&lt;=85,1,0))</formula>
    </cfRule>
  </conditionalFormatting>
  <conditionalFormatting sqref="AV42">
    <cfRule type="expression" dxfId="10413" priority="161">
      <formula>AV42="X"</formula>
    </cfRule>
    <cfRule type="expression" dxfId="10412" priority="162">
      <formula>AV42="후보"</formula>
    </cfRule>
  </conditionalFormatting>
  <conditionalFormatting sqref="AC42">
    <cfRule type="cellIs" dxfId="10411" priority="159" operator="greaterThan">
      <formula>0.9</formula>
    </cfRule>
    <cfRule type="cellIs" dxfId="10410" priority="160" operator="greaterThan">
      <formula>0.85</formula>
    </cfRule>
  </conditionalFormatting>
  <conditionalFormatting sqref="N42">
    <cfRule type="cellIs" dxfId="10409" priority="157" operator="greaterThan">
      <formula>0.9</formula>
    </cfRule>
    <cfRule type="cellIs" dxfId="10408" priority="158" operator="greaterThan">
      <formula>0.85</formula>
    </cfRule>
  </conditionalFormatting>
  <conditionalFormatting sqref="E42">
    <cfRule type="expression" dxfId="10407" priority="153">
      <formula>AND(IF(OR($Q42=1,$Q42=2),1,0),IF($X42&lt;=20,1,0))</formula>
    </cfRule>
    <cfRule type="expression" dxfId="10406" priority="154">
      <formula>AND(IF($Q42=2,1,0),IF($X42&lt;30,1,0))</formula>
    </cfRule>
    <cfRule type="expression" dxfId="10405" priority="155">
      <formula>AND(IF($Q42=3,1,0),IF($X42&lt;30,1,0))</formula>
    </cfRule>
    <cfRule type="expression" dxfId="10404" priority="156">
      <formula>AND(IF($Q42=3,1,IF($Q42=4,1,0)),IF($F42&lt;=85,1,0))</formula>
    </cfRule>
  </conditionalFormatting>
  <conditionalFormatting sqref="X42">
    <cfRule type="expression" dxfId="10403" priority="149">
      <formula>AND(IF(OR($Q42=1,$Q42=2),1,0),IF($X42&lt;=20,1,0))</formula>
    </cfRule>
    <cfRule type="expression" dxfId="10402" priority="150">
      <formula>AND(IF($Q42=2,1,0),IF($X42&lt;30,1,0))</formula>
    </cfRule>
    <cfRule type="expression" dxfId="10401" priority="151">
      <formula>AND(IF($Q42=3,1,0),IF($X42&lt;30,1,0))</formula>
    </cfRule>
    <cfRule type="expression" dxfId="10400" priority="152">
      <formula>AND(IF($Q42=3,1,IF($Q42=4,1,0)),IF($F42&lt;=85,1,0))</formula>
    </cfRule>
  </conditionalFormatting>
  <conditionalFormatting sqref="AI42">
    <cfRule type="expression" dxfId="10399" priority="145">
      <formula>AND(IF(OR($Q42=1,$Q42=2),1,0),IF($X42&lt;=20,1,0))</formula>
    </cfRule>
    <cfRule type="expression" dxfId="10398" priority="146">
      <formula>AND(IF($Q42=2,1,0),IF($X42&lt;30,1,0))</formula>
    </cfRule>
    <cfRule type="expression" dxfId="10397" priority="147">
      <formula>AND(IF($Q42=3,1,0),IF($X42&lt;30,1,0))</formula>
    </cfRule>
    <cfRule type="expression" dxfId="10396" priority="148">
      <formula>AND(IF($Q42=3,1,IF($Q42=4,1,0)),IF($F42&lt;=85,1,0))</formula>
    </cfRule>
  </conditionalFormatting>
  <conditionalFormatting sqref="AV43">
    <cfRule type="expression" dxfId="10395" priority="143">
      <formula>AV43="X"</formula>
    </cfRule>
    <cfRule type="expression" dxfId="10394" priority="144">
      <formula>AV43="후보"</formula>
    </cfRule>
  </conditionalFormatting>
  <conditionalFormatting sqref="AC43">
    <cfRule type="cellIs" dxfId="10393" priority="141" operator="greaterThan">
      <formula>0.9</formula>
    </cfRule>
    <cfRule type="cellIs" dxfId="10392" priority="142" operator="greaterThan">
      <formula>0.85</formula>
    </cfRule>
  </conditionalFormatting>
  <conditionalFormatting sqref="N43">
    <cfRule type="cellIs" dxfId="10391" priority="139" operator="greaterThan">
      <formula>0.9</formula>
    </cfRule>
    <cfRule type="cellIs" dxfId="10390" priority="140" operator="greaterThan">
      <formula>0.85</formula>
    </cfRule>
  </conditionalFormatting>
  <conditionalFormatting sqref="E43">
    <cfRule type="expression" dxfId="10389" priority="135">
      <formula>AND(IF(OR($Q43=1,$Q43=2),1,0),IF($X43&lt;=20,1,0))</formula>
    </cfRule>
    <cfRule type="expression" dxfId="10388" priority="136">
      <formula>AND(IF($Q43=2,1,0),IF($X43&lt;30,1,0))</formula>
    </cfRule>
    <cfRule type="expression" dxfId="10387" priority="137">
      <formula>AND(IF($Q43=3,1,0),IF($X43&lt;30,1,0))</formula>
    </cfRule>
    <cfRule type="expression" dxfId="10386" priority="138">
      <formula>AND(IF($Q43=3,1,IF($Q43=4,1,0)),IF($F43&lt;=85,1,0))</formula>
    </cfRule>
  </conditionalFormatting>
  <conditionalFormatting sqref="X43">
    <cfRule type="expression" dxfId="10385" priority="131">
      <formula>AND(IF(OR($Q43=1,$Q43=2),1,0),IF($X43&lt;=20,1,0))</formula>
    </cfRule>
    <cfRule type="expression" dxfId="10384" priority="132">
      <formula>AND(IF($Q43=2,1,0),IF($X43&lt;30,1,0))</formula>
    </cfRule>
    <cfRule type="expression" dxfId="10383" priority="133">
      <formula>AND(IF($Q43=3,1,0),IF($X43&lt;30,1,0))</formula>
    </cfRule>
    <cfRule type="expression" dxfId="10382" priority="134">
      <formula>AND(IF($Q43=3,1,IF($Q43=4,1,0)),IF($F43&lt;=85,1,0))</formula>
    </cfRule>
  </conditionalFormatting>
  <conditionalFormatting sqref="AI43">
    <cfRule type="expression" dxfId="10381" priority="127">
      <formula>AND(IF(OR($Q43=1,$Q43=2),1,0),IF($X43&lt;=20,1,0))</formula>
    </cfRule>
    <cfRule type="expression" dxfId="10380" priority="128">
      <formula>AND(IF($Q43=2,1,0),IF($X43&lt;30,1,0))</formula>
    </cfRule>
    <cfRule type="expression" dxfId="10379" priority="129">
      <formula>AND(IF($Q43=3,1,0),IF($X43&lt;30,1,0))</formula>
    </cfRule>
    <cfRule type="expression" dxfId="10378" priority="130">
      <formula>AND(IF($Q43=3,1,IF($Q43=4,1,0)),IF($F43&lt;=85,1,0))</formula>
    </cfRule>
  </conditionalFormatting>
  <conditionalFormatting sqref="AV44">
    <cfRule type="expression" dxfId="10377" priority="125">
      <formula>AV44="X"</formula>
    </cfRule>
    <cfRule type="expression" dxfId="10376" priority="126">
      <formula>AV44="후보"</formula>
    </cfRule>
  </conditionalFormatting>
  <conditionalFormatting sqref="AC44">
    <cfRule type="cellIs" dxfId="10375" priority="123" operator="greaterThan">
      <formula>0.9</formula>
    </cfRule>
    <cfRule type="cellIs" dxfId="10374" priority="124" operator="greaterThan">
      <formula>0.85</formula>
    </cfRule>
  </conditionalFormatting>
  <conditionalFormatting sqref="N44">
    <cfRule type="cellIs" dxfId="10373" priority="121" operator="greaterThan">
      <formula>0.9</formula>
    </cfRule>
    <cfRule type="cellIs" dxfId="10372" priority="122" operator="greaterThan">
      <formula>0.85</formula>
    </cfRule>
  </conditionalFormatting>
  <conditionalFormatting sqref="E44">
    <cfRule type="expression" dxfId="10371" priority="117">
      <formula>AND(IF(OR($Q44=1,$Q44=2),1,0),IF($X44&lt;=20,1,0))</formula>
    </cfRule>
    <cfRule type="expression" dxfId="10370" priority="118">
      <formula>AND(IF($Q44=2,1,0),IF($X44&lt;30,1,0))</formula>
    </cfRule>
    <cfRule type="expression" dxfId="10369" priority="119">
      <formula>AND(IF($Q44=3,1,0),IF($X44&lt;30,1,0))</formula>
    </cfRule>
    <cfRule type="expression" dxfId="10368" priority="120">
      <formula>AND(IF($Q44=3,1,IF($Q44=4,1,0)),IF($F44&lt;=85,1,0))</formula>
    </cfRule>
  </conditionalFormatting>
  <conditionalFormatting sqref="X44">
    <cfRule type="expression" dxfId="10367" priority="113">
      <formula>AND(IF(OR($Q44=1,$Q44=2),1,0),IF($X44&lt;=20,1,0))</formula>
    </cfRule>
    <cfRule type="expression" dxfId="10366" priority="114">
      <formula>AND(IF($Q44=2,1,0),IF($X44&lt;30,1,0))</formula>
    </cfRule>
    <cfRule type="expression" dxfId="10365" priority="115">
      <formula>AND(IF($Q44=3,1,0),IF($X44&lt;30,1,0))</formula>
    </cfRule>
    <cfRule type="expression" dxfId="10364" priority="116">
      <formula>AND(IF($Q44=3,1,IF($Q44=4,1,0)),IF($F44&lt;=85,1,0))</formula>
    </cfRule>
  </conditionalFormatting>
  <conditionalFormatting sqref="AI44">
    <cfRule type="expression" dxfId="10363" priority="109">
      <formula>AND(IF(OR($Q44=1,$Q44=2),1,0),IF($X44&lt;=20,1,0))</formula>
    </cfRule>
    <cfRule type="expression" dxfId="10362" priority="110">
      <formula>AND(IF($Q44=2,1,0),IF($X44&lt;30,1,0))</formula>
    </cfRule>
    <cfRule type="expression" dxfId="10361" priority="111">
      <formula>AND(IF($Q44=3,1,0),IF($X44&lt;30,1,0))</formula>
    </cfRule>
    <cfRule type="expression" dxfId="10360" priority="112">
      <formula>AND(IF($Q44=3,1,IF($Q44=4,1,0)),IF($F44&lt;=85,1,0))</formula>
    </cfRule>
  </conditionalFormatting>
  <conditionalFormatting sqref="AV45">
    <cfRule type="expression" dxfId="10359" priority="107">
      <formula>AV45="X"</formula>
    </cfRule>
    <cfRule type="expression" dxfId="10358" priority="108">
      <formula>AV45="후보"</formula>
    </cfRule>
  </conditionalFormatting>
  <conditionalFormatting sqref="AC45">
    <cfRule type="cellIs" dxfId="10357" priority="105" operator="greaterThan">
      <formula>0.9</formula>
    </cfRule>
    <cfRule type="cellIs" dxfId="10356" priority="106" operator="greaterThan">
      <formula>0.85</formula>
    </cfRule>
  </conditionalFormatting>
  <conditionalFormatting sqref="N45">
    <cfRule type="cellIs" dxfId="10355" priority="103" operator="greaterThan">
      <formula>0.9</formula>
    </cfRule>
    <cfRule type="cellIs" dxfId="10354" priority="104" operator="greaterThan">
      <formula>0.85</formula>
    </cfRule>
  </conditionalFormatting>
  <conditionalFormatting sqref="E45">
    <cfRule type="expression" dxfId="10353" priority="99">
      <formula>AND(IF(OR($Q45=1,$Q45=2),1,0),IF($X45&lt;=20,1,0))</formula>
    </cfRule>
    <cfRule type="expression" dxfId="10352" priority="100">
      <formula>AND(IF($Q45=2,1,0),IF($X45&lt;30,1,0))</formula>
    </cfRule>
    <cfRule type="expression" dxfId="10351" priority="101">
      <formula>AND(IF($Q45=3,1,0),IF($X45&lt;30,1,0))</formula>
    </cfRule>
    <cfRule type="expression" dxfId="10350" priority="102">
      <formula>AND(IF($Q45=3,1,IF($Q45=4,1,0)),IF($F45&lt;=85,1,0))</formula>
    </cfRule>
  </conditionalFormatting>
  <conditionalFormatting sqref="X45">
    <cfRule type="expression" dxfId="10349" priority="95">
      <formula>AND(IF(OR($Q45=1,$Q45=2),1,0),IF($X45&lt;=20,1,0))</formula>
    </cfRule>
    <cfRule type="expression" dxfId="10348" priority="96">
      <formula>AND(IF($Q45=2,1,0),IF($X45&lt;30,1,0))</formula>
    </cfRule>
    <cfRule type="expression" dxfId="10347" priority="97">
      <formula>AND(IF($Q45=3,1,0),IF($X45&lt;30,1,0))</formula>
    </cfRule>
    <cfRule type="expression" dxfId="10346" priority="98">
      <formula>AND(IF($Q45=3,1,IF($Q45=4,1,0)),IF($F45&lt;=85,1,0))</formula>
    </cfRule>
  </conditionalFormatting>
  <conditionalFormatting sqref="AI45">
    <cfRule type="expression" dxfId="10345" priority="91">
      <formula>AND(IF(OR($Q45=1,$Q45=2),1,0),IF($X45&lt;=20,1,0))</formula>
    </cfRule>
    <cfRule type="expression" dxfId="10344" priority="92">
      <formula>AND(IF($Q45=2,1,0),IF($X45&lt;30,1,0))</formula>
    </cfRule>
    <cfRule type="expression" dxfId="10343" priority="93">
      <formula>AND(IF($Q45=3,1,0),IF($X45&lt;30,1,0))</formula>
    </cfRule>
    <cfRule type="expression" dxfId="10342" priority="94">
      <formula>AND(IF($Q45=3,1,IF($Q45=4,1,0)),IF($F45&lt;=85,1,0))</formula>
    </cfRule>
  </conditionalFormatting>
  <conditionalFormatting sqref="AV46">
    <cfRule type="expression" dxfId="10341" priority="89">
      <formula>AV46="X"</formula>
    </cfRule>
    <cfRule type="expression" dxfId="10340" priority="90">
      <formula>AV46="후보"</formula>
    </cfRule>
  </conditionalFormatting>
  <conditionalFormatting sqref="AC46">
    <cfRule type="cellIs" dxfId="10339" priority="87" operator="greaterThan">
      <formula>0.9</formula>
    </cfRule>
    <cfRule type="cellIs" dxfId="10338" priority="88" operator="greaterThan">
      <formula>0.85</formula>
    </cfRule>
  </conditionalFormatting>
  <conditionalFormatting sqref="N46">
    <cfRule type="cellIs" dxfId="10337" priority="85" operator="greaterThan">
      <formula>0.9</formula>
    </cfRule>
    <cfRule type="cellIs" dxfId="10336" priority="86" operator="greaterThan">
      <formula>0.85</formula>
    </cfRule>
  </conditionalFormatting>
  <conditionalFormatting sqref="E46">
    <cfRule type="expression" dxfId="10335" priority="81">
      <formula>AND(IF(OR($Q46=1,$Q46=2),1,0),IF($X46&lt;=20,1,0))</formula>
    </cfRule>
    <cfRule type="expression" dxfId="10334" priority="82">
      <formula>AND(IF($Q46=2,1,0),IF($X46&lt;30,1,0))</formula>
    </cfRule>
    <cfRule type="expression" dxfId="10333" priority="83">
      <formula>AND(IF($Q46=3,1,0),IF($X46&lt;30,1,0))</formula>
    </cfRule>
    <cfRule type="expression" dxfId="10332" priority="84">
      <formula>AND(IF($Q46=3,1,IF($Q46=4,1,0)),IF($F46&lt;=85,1,0))</formula>
    </cfRule>
  </conditionalFormatting>
  <conditionalFormatting sqref="X46">
    <cfRule type="expression" dxfId="10331" priority="77">
      <formula>AND(IF(OR($Q46=1,$Q46=2),1,0),IF($X46&lt;=20,1,0))</formula>
    </cfRule>
    <cfRule type="expression" dxfId="10330" priority="78">
      <formula>AND(IF($Q46=2,1,0),IF($X46&lt;30,1,0))</formula>
    </cfRule>
    <cfRule type="expression" dxfId="10329" priority="79">
      <formula>AND(IF($Q46=3,1,0),IF($X46&lt;30,1,0))</formula>
    </cfRule>
    <cfRule type="expression" dxfId="10328" priority="80">
      <formula>AND(IF($Q46=3,1,IF($Q46=4,1,0)),IF($F46&lt;=85,1,0))</formula>
    </cfRule>
  </conditionalFormatting>
  <conditionalFormatting sqref="AI46">
    <cfRule type="expression" dxfId="10327" priority="73">
      <formula>AND(IF(OR($Q46=1,$Q46=2),1,0),IF($X46&lt;=20,1,0))</formula>
    </cfRule>
    <cfRule type="expression" dxfId="10326" priority="74">
      <formula>AND(IF($Q46=2,1,0),IF($X46&lt;30,1,0))</formula>
    </cfRule>
    <cfRule type="expression" dxfId="10325" priority="75">
      <formula>AND(IF($Q46=3,1,0),IF($X46&lt;30,1,0))</formula>
    </cfRule>
    <cfRule type="expression" dxfId="10324" priority="76">
      <formula>AND(IF($Q46=3,1,IF($Q46=4,1,0)),IF($F46&lt;=85,1,0))</formula>
    </cfRule>
  </conditionalFormatting>
  <conditionalFormatting sqref="AV47">
    <cfRule type="expression" dxfId="10323" priority="71">
      <formula>AV47="X"</formula>
    </cfRule>
    <cfRule type="expression" dxfId="10322" priority="72">
      <formula>AV47="후보"</formula>
    </cfRule>
  </conditionalFormatting>
  <conditionalFormatting sqref="AC47">
    <cfRule type="cellIs" dxfId="10321" priority="69" operator="greaterThan">
      <formula>0.9</formula>
    </cfRule>
    <cfRule type="cellIs" dxfId="10320" priority="70" operator="greaterThan">
      <formula>0.85</formula>
    </cfRule>
  </conditionalFormatting>
  <conditionalFormatting sqref="N47">
    <cfRule type="cellIs" dxfId="10319" priority="67" operator="greaterThan">
      <formula>0.9</formula>
    </cfRule>
    <cfRule type="cellIs" dxfId="10318" priority="68" operator="greaterThan">
      <formula>0.85</formula>
    </cfRule>
  </conditionalFormatting>
  <conditionalFormatting sqref="E47">
    <cfRule type="expression" dxfId="10317" priority="63">
      <formula>AND(IF(OR($Q47=1,$Q47=2),1,0),IF($X47&lt;=20,1,0))</formula>
    </cfRule>
    <cfRule type="expression" dxfId="10316" priority="64">
      <formula>AND(IF($Q47=2,1,0),IF($X47&lt;30,1,0))</formula>
    </cfRule>
    <cfRule type="expression" dxfId="10315" priority="65">
      <formula>AND(IF($Q47=3,1,0),IF($X47&lt;30,1,0))</formula>
    </cfRule>
    <cfRule type="expression" dxfId="10314" priority="66">
      <formula>AND(IF($Q47=3,1,IF($Q47=4,1,0)),IF($F47&lt;=85,1,0))</formula>
    </cfRule>
  </conditionalFormatting>
  <conditionalFormatting sqref="X47">
    <cfRule type="expression" dxfId="10313" priority="59">
      <formula>AND(IF(OR($Q47=1,$Q47=2),1,0),IF($X47&lt;=20,1,0))</formula>
    </cfRule>
    <cfRule type="expression" dxfId="10312" priority="60">
      <formula>AND(IF($Q47=2,1,0),IF($X47&lt;30,1,0))</formula>
    </cfRule>
    <cfRule type="expression" dxfId="10311" priority="61">
      <formula>AND(IF($Q47=3,1,0),IF($X47&lt;30,1,0))</formula>
    </cfRule>
    <cfRule type="expression" dxfId="10310" priority="62">
      <formula>AND(IF($Q47=3,1,IF($Q47=4,1,0)),IF($F47&lt;=85,1,0))</formula>
    </cfRule>
  </conditionalFormatting>
  <conditionalFormatting sqref="AI47">
    <cfRule type="expression" dxfId="10309" priority="55">
      <formula>AND(IF(OR($Q47=1,$Q47=2),1,0),IF($X47&lt;=20,1,0))</formula>
    </cfRule>
    <cfRule type="expression" dxfId="10308" priority="56">
      <formula>AND(IF($Q47=2,1,0),IF($X47&lt;30,1,0))</formula>
    </cfRule>
    <cfRule type="expression" dxfId="10307" priority="57">
      <formula>AND(IF($Q47=3,1,0),IF($X47&lt;30,1,0))</formula>
    </cfRule>
    <cfRule type="expression" dxfId="10306" priority="58">
      <formula>AND(IF($Q47=3,1,IF($Q47=4,1,0)),IF($F47&lt;=85,1,0))</formula>
    </cfRule>
  </conditionalFormatting>
  <conditionalFormatting sqref="AV48">
    <cfRule type="expression" dxfId="10305" priority="53">
      <formula>AV48="X"</formula>
    </cfRule>
    <cfRule type="expression" dxfId="10304" priority="54">
      <formula>AV48="후보"</formula>
    </cfRule>
  </conditionalFormatting>
  <conditionalFormatting sqref="AC48">
    <cfRule type="cellIs" dxfId="10303" priority="51" operator="greaterThan">
      <formula>0.9</formula>
    </cfRule>
    <cfRule type="cellIs" dxfId="10302" priority="52" operator="greaterThan">
      <formula>0.85</formula>
    </cfRule>
  </conditionalFormatting>
  <conditionalFormatting sqref="N48">
    <cfRule type="cellIs" dxfId="10301" priority="49" operator="greaterThan">
      <formula>0.9</formula>
    </cfRule>
    <cfRule type="cellIs" dxfId="10300" priority="50" operator="greaterThan">
      <formula>0.85</formula>
    </cfRule>
  </conditionalFormatting>
  <conditionalFormatting sqref="E48">
    <cfRule type="expression" dxfId="10299" priority="45">
      <formula>AND(IF(OR($Q48=1,$Q48=2),1,0),IF($X48&lt;=20,1,0))</formula>
    </cfRule>
    <cfRule type="expression" dxfId="10298" priority="46">
      <formula>AND(IF($Q48=2,1,0),IF($X48&lt;30,1,0))</formula>
    </cfRule>
    <cfRule type="expression" dxfId="10297" priority="47">
      <formula>AND(IF($Q48=3,1,0),IF($X48&lt;30,1,0))</formula>
    </cfRule>
    <cfRule type="expression" dxfId="10296" priority="48">
      <formula>AND(IF($Q48=3,1,IF($Q48=4,1,0)),IF($F48&lt;=85,1,0))</formula>
    </cfRule>
  </conditionalFormatting>
  <conditionalFormatting sqref="X48">
    <cfRule type="expression" dxfId="10295" priority="41">
      <formula>AND(IF(OR($Q48=1,$Q48=2),1,0),IF($X48&lt;=20,1,0))</formula>
    </cfRule>
    <cfRule type="expression" dxfId="10294" priority="42">
      <formula>AND(IF($Q48=2,1,0),IF($X48&lt;30,1,0))</formula>
    </cfRule>
    <cfRule type="expression" dxfId="10293" priority="43">
      <formula>AND(IF($Q48=3,1,0),IF($X48&lt;30,1,0))</formula>
    </cfRule>
    <cfRule type="expression" dxfId="10292" priority="44">
      <formula>AND(IF($Q48=3,1,IF($Q48=4,1,0)),IF($F48&lt;=85,1,0))</formula>
    </cfRule>
  </conditionalFormatting>
  <conditionalFormatting sqref="AI48">
    <cfRule type="expression" dxfId="10291" priority="37">
      <formula>AND(IF(OR($Q48=1,$Q48=2),1,0),IF($X48&lt;=20,1,0))</formula>
    </cfRule>
    <cfRule type="expression" dxfId="10290" priority="38">
      <formula>AND(IF($Q48=2,1,0),IF($X48&lt;30,1,0))</formula>
    </cfRule>
    <cfRule type="expression" dxfId="10289" priority="39">
      <formula>AND(IF($Q48=3,1,0),IF($X48&lt;30,1,0))</formula>
    </cfRule>
    <cfRule type="expression" dxfId="10288" priority="40">
      <formula>AND(IF($Q48=3,1,IF($Q48=4,1,0)),IF($F48&lt;=85,1,0))</formula>
    </cfRule>
  </conditionalFormatting>
  <conditionalFormatting sqref="AV49">
    <cfRule type="expression" dxfId="10287" priority="35">
      <formula>AV49="X"</formula>
    </cfRule>
    <cfRule type="expression" dxfId="10286" priority="36">
      <formula>AV49="후보"</formula>
    </cfRule>
  </conditionalFormatting>
  <conditionalFormatting sqref="AC49">
    <cfRule type="cellIs" dxfId="10285" priority="33" operator="greaterThan">
      <formula>0.9</formula>
    </cfRule>
    <cfRule type="cellIs" dxfId="10284" priority="34" operator="greaterThan">
      <formula>0.85</formula>
    </cfRule>
  </conditionalFormatting>
  <conditionalFormatting sqref="N49">
    <cfRule type="cellIs" dxfId="10283" priority="31" operator="greaterThan">
      <formula>0.9</formula>
    </cfRule>
    <cfRule type="cellIs" dxfId="10282" priority="32" operator="greaterThan">
      <formula>0.85</formula>
    </cfRule>
  </conditionalFormatting>
  <conditionalFormatting sqref="E49">
    <cfRule type="expression" dxfId="10281" priority="27">
      <formula>AND(IF(OR($Q49=1,$Q49=2),1,0),IF($X49&lt;=20,1,0))</formula>
    </cfRule>
    <cfRule type="expression" dxfId="10280" priority="28">
      <formula>AND(IF($Q49=2,1,0),IF($X49&lt;30,1,0))</formula>
    </cfRule>
    <cfRule type="expression" dxfId="10279" priority="29">
      <formula>AND(IF($Q49=3,1,0),IF($X49&lt;30,1,0))</formula>
    </cfRule>
    <cfRule type="expression" dxfId="10278" priority="30">
      <formula>AND(IF($Q49=3,1,IF($Q49=4,1,0)),IF($F49&lt;=85,1,0))</formula>
    </cfRule>
  </conditionalFormatting>
  <conditionalFormatting sqref="X49">
    <cfRule type="expression" dxfId="10277" priority="23">
      <formula>AND(IF(OR($Q49=1,$Q49=2),1,0),IF($X49&lt;=20,1,0))</formula>
    </cfRule>
    <cfRule type="expression" dxfId="10276" priority="24">
      <formula>AND(IF($Q49=2,1,0),IF($X49&lt;30,1,0))</formula>
    </cfRule>
    <cfRule type="expression" dxfId="10275" priority="25">
      <formula>AND(IF($Q49=3,1,0),IF($X49&lt;30,1,0))</formula>
    </cfRule>
    <cfRule type="expression" dxfId="10274" priority="26">
      <formula>AND(IF($Q49=3,1,IF($Q49=4,1,0)),IF($F49&lt;=85,1,0))</formula>
    </cfRule>
  </conditionalFormatting>
  <conditionalFormatting sqref="AI49">
    <cfRule type="expression" dxfId="10273" priority="19">
      <formula>AND(IF(OR($Q49=1,$Q49=2),1,0),IF($X49&lt;=20,1,0))</formula>
    </cfRule>
    <cfRule type="expression" dxfId="10272" priority="20">
      <formula>AND(IF($Q49=2,1,0),IF($X49&lt;30,1,0))</formula>
    </cfRule>
    <cfRule type="expression" dxfId="10271" priority="21">
      <formula>AND(IF($Q49=3,1,0),IF($X49&lt;30,1,0))</formula>
    </cfRule>
    <cfRule type="expression" dxfId="10270" priority="22">
      <formula>AND(IF($Q49=3,1,IF($Q49=4,1,0)),IF($F49&lt;=85,1,0))</formula>
    </cfRule>
  </conditionalFormatting>
  <conditionalFormatting sqref="AV50">
    <cfRule type="expression" dxfId="10269" priority="17">
      <formula>AV50="X"</formula>
    </cfRule>
    <cfRule type="expression" dxfId="10268" priority="18">
      <formula>AV50="후보"</formula>
    </cfRule>
  </conditionalFormatting>
  <conditionalFormatting sqref="AC50">
    <cfRule type="cellIs" dxfId="10267" priority="15" operator="greaterThan">
      <formula>0.9</formula>
    </cfRule>
    <cfRule type="cellIs" dxfId="10266" priority="16" operator="greaterThan">
      <formula>0.85</formula>
    </cfRule>
  </conditionalFormatting>
  <conditionalFormatting sqref="N50">
    <cfRule type="cellIs" dxfId="10265" priority="13" operator="greaterThan">
      <formula>0.9</formula>
    </cfRule>
    <cfRule type="cellIs" dxfId="10264" priority="14" operator="greaterThan">
      <formula>0.85</formula>
    </cfRule>
  </conditionalFormatting>
  <conditionalFormatting sqref="E50">
    <cfRule type="expression" dxfId="10263" priority="9">
      <formula>AND(IF(OR($Q50=1,$Q50=2),1,0),IF($X50&lt;=20,1,0))</formula>
    </cfRule>
    <cfRule type="expression" dxfId="10262" priority="10">
      <formula>AND(IF($Q50=2,1,0),IF($X50&lt;30,1,0))</formula>
    </cfRule>
    <cfRule type="expression" dxfId="10261" priority="11">
      <formula>AND(IF($Q50=3,1,0),IF($X50&lt;30,1,0))</formula>
    </cfRule>
    <cfRule type="expression" dxfId="10260" priority="12">
      <formula>AND(IF($Q50=3,1,IF($Q50=4,1,0)),IF($F50&lt;=85,1,0))</formula>
    </cfRule>
  </conditionalFormatting>
  <conditionalFormatting sqref="X50">
    <cfRule type="expression" dxfId="10259" priority="5">
      <formula>AND(IF(OR($Q50=1,$Q50=2),1,0),IF($X50&lt;=20,1,0))</formula>
    </cfRule>
    <cfRule type="expression" dxfId="10258" priority="6">
      <formula>AND(IF($Q50=2,1,0),IF($X50&lt;30,1,0))</formula>
    </cfRule>
    <cfRule type="expression" dxfId="10257" priority="7">
      <formula>AND(IF($Q50=3,1,0),IF($X50&lt;30,1,0))</formula>
    </cfRule>
    <cfRule type="expression" dxfId="10256" priority="8">
      <formula>AND(IF($Q50=3,1,IF($Q50=4,1,0)),IF($F50&lt;=85,1,0))</formula>
    </cfRule>
  </conditionalFormatting>
  <conditionalFormatting sqref="AI50">
    <cfRule type="expression" dxfId="10255" priority="1">
      <formula>AND(IF(OR($Q50=1,$Q50=2),1,0),IF($X50&lt;=20,1,0))</formula>
    </cfRule>
    <cfRule type="expression" dxfId="10254" priority="2">
      <formula>AND(IF($Q50=2,1,0),IF($X50&lt;30,1,0))</formula>
    </cfRule>
    <cfRule type="expression" dxfId="10253" priority="3">
      <formula>AND(IF($Q50=3,1,0),IF($X50&lt;30,1,0))</formula>
    </cfRule>
    <cfRule type="expression" dxfId="10252" priority="4">
      <formula>AND(IF($Q50=3,1,IF($Q50=4,1,0)),IF($F50&lt;=85,1,0))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defaultColWidth="9" defaultRowHeight="14.1" customHeight="1" x14ac:dyDescent="0.3"/>
  <cols>
    <col min="1" max="1" width="22.5" style="72" bestFit="1" customWidth="1"/>
    <col min="2" max="2" width="5.625" style="72" bestFit="1" customWidth="1"/>
    <col min="3" max="3" width="6.625" style="72" bestFit="1" customWidth="1"/>
    <col min="4" max="4" width="5.625" style="72" bestFit="1" customWidth="1"/>
    <col min="5" max="5" width="4.625" style="72" bestFit="1" customWidth="1"/>
    <col min="6" max="6" width="5.625" style="72" bestFit="1" customWidth="1"/>
    <col min="7" max="7" width="4.625" style="72" bestFit="1" customWidth="1"/>
    <col min="8" max="8" width="6.625" style="72" bestFit="1" customWidth="1"/>
    <col min="9" max="9" width="7.75" style="72" bestFit="1" customWidth="1"/>
    <col min="10" max="10" width="4" style="72" bestFit="1" customWidth="1"/>
    <col min="11" max="11" width="6.875" style="72" bestFit="1" customWidth="1"/>
    <col min="12" max="12" width="4" style="72" bestFit="1" customWidth="1"/>
    <col min="13" max="13" width="6.875" style="72" bestFit="1" customWidth="1"/>
    <col min="14" max="14" width="4.625" style="72" bestFit="1" customWidth="1"/>
    <col min="15" max="16" width="7.625" style="72" bestFit="1" customWidth="1"/>
    <col min="17" max="19" width="3.25" style="72" bestFit="1" customWidth="1"/>
    <col min="20" max="20" width="10.125" style="72" customWidth="1"/>
    <col min="21" max="21" width="25" style="72" customWidth="1"/>
    <col min="22" max="22" width="9" style="72" customWidth="1"/>
    <col min="23" max="16384" width="9" style="25"/>
  </cols>
  <sheetData>
    <row r="1" spans="1:22" ht="17.25" customHeight="1" x14ac:dyDescent="0.3">
      <c r="A1" s="24" t="str">
        <f>단지추출!A1</f>
        <v>인천광역시 연수구</v>
      </c>
      <c r="B1" s="25"/>
      <c r="C1" s="26"/>
      <c r="D1" s="25"/>
      <c r="E1" s="25"/>
      <c r="F1" s="25"/>
      <c r="G1" s="25"/>
      <c r="H1" s="26"/>
      <c r="I1" s="25"/>
      <c r="J1" s="111" t="s">
        <v>1</v>
      </c>
      <c r="K1" s="110"/>
      <c r="L1" s="43" t="s">
        <v>237</v>
      </c>
      <c r="M1"/>
      <c r="N1" s="111" t="s">
        <v>3</v>
      </c>
      <c r="O1" s="110"/>
      <c r="P1" s="79">
        <v>30</v>
      </c>
      <c r="Q1" s="112" t="s">
        <v>4</v>
      </c>
      <c r="R1" s="113"/>
      <c r="S1" s="110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75" t="s">
        <v>20</v>
      </c>
      <c r="B3" s="75" t="s">
        <v>21</v>
      </c>
      <c r="C3" s="75" t="s">
        <v>22</v>
      </c>
      <c r="D3" s="75" t="s">
        <v>23</v>
      </c>
      <c r="E3" s="75" t="s">
        <v>24</v>
      </c>
      <c r="F3" s="75" t="s">
        <v>25</v>
      </c>
      <c r="G3" s="75" t="s">
        <v>26</v>
      </c>
      <c r="H3" s="76" t="s">
        <v>27</v>
      </c>
      <c r="I3" s="33" t="s">
        <v>28</v>
      </c>
      <c r="J3" s="33" t="s">
        <v>29</v>
      </c>
      <c r="K3" s="33" t="s">
        <v>30</v>
      </c>
      <c r="L3" s="33" t="s">
        <v>29</v>
      </c>
      <c r="M3" s="76" t="s">
        <v>31</v>
      </c>
      <c r="N3" s="75" t="s">
        <v>32</v>
      </c>
      <c r="O3" s="33" t="s">
        <v>33</v>
      </c>
      <c r="P3" s="33" t="s">
        <v>34</v>
      </c>
      <c r="Q3" s="34" t="s">
        <v>35</v>
      </c>
      <c r="R3" s="34" t="s">
        <v>36</v>
      </c>
      <c r="S3" s="75" t="s">
        <v>37</v>
      </c>
      <c r="T3" s="35" t="s">
        <v>38</v>
      </c>
      <c r="U3" s="76" t="s">
        <v>39</v>
      </c>
      <c r="V3" s="25"/>
    </row>
    <row r="4" spans="1:22" s="37" customFormat="1" ht="12" x14ac:dyDescent="0.3">
      <c r="A4" s="73" t="s">
        <v>1721</v>
      </c>
      <c r="B4" s="74" t="s">
        <v>1722</v>
      </c>
      <c r="C4" s="84">
        <v>878</v>
      </c>
      <c r="D4" s="85">
        <v>167</v>
      </c>
      <c r="E4" s="86">
        <v>51</v>
      </c>
      <c r="F4" s="85">
        <v>125.7</v>
      </c>
      <c r="G4" s="17">
        <v>38</v>
      </c>
      <c r="H4" s="87">
        <v>112</v>
      </c>
      <c r="I4" s="88">
        <v>115000</v>
      </c>
      <c r="J4" s="88" t="s">
        <v>137</v>
      </c>
      <c r="K4" s="88">
        <v>52000</v>
      </c>
      <c r="L4" s="88" t="s">
        <v>93</v>
      </c>
      <c r="M4" s="89">
        <f>I4-K4</f>
        <v>63000</v>
      </c>
      <c r="N4" s="4">
        <f>IF(ISERROR(K4/I4),"",K4/I4)</f>
        <v>0.45217391304347826</v>
      </c>
      <c r="O4" s="90">
        <f>I4/E4</f>
        <v>2254.9019607843138</v>
      </c>
      <c r="P4" s="90">
        <f>K4/E4</f>
        <v>1019.6078431372549</v>
      </c>
      <c r="Q4" s="78">
        <v>4</v>
      </c>
      <c r="R4" s="78">
        <v>2</v>
      </c>
      <c r="S4" s="78" t="s">
        <v>59</v>
      </c>
      <c r="T4" s="5" t="s">
        <v>173</v>
      </c>
      <c r="U4" s="9"/>
    </row>
    <row r="5" spans="1:22" s="37" customFormat="1" ht="12" x14ac:dyDescent="0.3">
      <c r="A5" s="73" t="s">
        <v>1846</v>
      </c>
      <c r="B5" s="74" t="s">
        <v>1674</v>
      </c>
      <c r="C5" s="84">
        <v>615</v>
      </c>
      <c r="D5" s="85">
        <v>152.19999999999999</v>
      </c>
      <c r="E5" s="86">
        <v>46</v>
      </c>
      <c r="F5" s="85">
        <v>124.2</v>
      </c>
      <c r="G5" s="17">
        <v>38</v>
      </c>
      <c r="H5" s="87">
        <v>114</v>
      </c>
      <c r="I5" s="88">
        <v>110000</v>
      </c>
      <c r="J5" s="88" t="s">
        <v>104</v>
      </c>
      <c r="K5" s="88">
        <v>57000</v>
      </c>
      <c r="L5" s="88" t="s">
        <v>108</v>
      </c>
      <c r="M5" s="89">
        <f>I5-K5</f>
        <v>53000</v>
      </c>
      <c r="N5" s="4">
        <f>IF(ISERROR(K5/I5),"",K5/I5)</f>
        <v>0.51818181818181819</v>
      </c>
      <c r="O5" s="90">
        <f>I5/E5</f>
        <v>2391.304347826087</v>
      </c>
      <c r="P5" s="90">
        <f>K5/E5</f>
        <v>1239.1304347826087</v>
      </c>
      <c r="Q5" s="78">
        <v>4</v>
      </c>
      <c r="R5" s="78">
        <v>2</v>
      </c>
      <c r="S5" s="78" t="s">
        <v>59</v>
      </c>
      <c r="T5" s="5">
        <v>152</v>
      </c>
      <c r="U5" s="9"/>
    </row>
    <row r="6" spans="1:22" s="37" customFormat="1" ht="12" x14ac:dyDescent="0.3">
      <c r="A6" s="73" t="s">
        <v>1718</v>
      </c>
      <c r="B6" s="74" t="s">
        <v>1717</v>
      </c>
      <c r="C6" s="84">
        <v>644</v>
      </c>
      <c r="D6" s="85">
        <v>155.19999999999999</v>
      </c>
      <c r="E6" s="86">
        <v>47</v>
      </c>
      <c r="F6" s="85">
        <v>117.7</v>
      </c>
      <c r="G6" s="17">
        <v>36</v>
      </c>
      <c r="H6" s="87">
        <v>110</v>
      </c>
      <c r="I6" s="88">
        <v>110000</v>
      </c>
      <c r="J6" s="88" t="s">
        <v>166</v>
      </c>
      <c r="K6" s="88">
        <v>70000</v>
      </c>
      <c r="L6" s="88" t="s">
        <v>108</v>
      </c>
      <c r="M6" s="89">
        <f>I6-K6</f>
        <v>40000</v>
      </c>
      <c r="N6" s="4">
        <f>IF(ISERROR(K6/I6),"",K6/I6)</f>
        <v>0.63636363636363635</v>
      </c>
      <c r="O6" s="90">
        <f>I6/E6</f>
        <v>2340.4255319148938</v>
      </c>
      <c r="P6" s="90">
        <f>K6/E6</f>
        <v>1489.3617021276596</v>
      </c>
      <c r="Q6" s="78">
        <v>4</v>
      </c>
      <c r="R6" s="78">
        <v>2</v>
      </c>
      <c r="S6" s="78" t="s">
        <v>59</v>
      </c>
      <c r="T6" s="5" t="s">
        <v>170</v>
      </c>
      <c r="U6" s="9"/>
    </row>
    <row r="7" spans="1:22" s="37" customFormat="1" ht="12" x14ac:dyDescent="0.3">
      <c r="A7" s="73" t="s">
        <v>1735</v>
      </c>
      <c r="B7" s="74" t="s">
        <v>1671</v>
      </c>
      <c r="C7" s="84">
        <v>702</v>
      </c>
      <c r="D7" s="85">
        <v>151.69999999999999</v>
      </c>
      <c r="E7" s="86">
        <v>46</v>
      </c>
      <c r="F7" s="85">
        <v>117.9</v>
      </c>
      <c r="G7" s="17">
        <v>36</v>
      </c>
      <c r="H7" s="87">
        <v>54</v>
      </c>
      <c r="I7" s="88">
        <v>105000</v>
      </c>
      <c r="J7" s="88" t="s">
        <v>93</v>
      </c>
      <c r="K7" s="88"/>
      <c r="L7" s="88"/>
      <c r="M7" s="89">
        <f>I7-K7</f>
        <v>105000</v>
      </c>
      <c r="N7" s="4">
        <f>IF(ISERROR(K7/I7),"",K7/I7)</f>
        <v>0</v>
      </c>
      <c r="O7" s="90">
        <f>I7/E7</f>
        <v>2282.608695652174</v>
      </c>
      <c r="P7" s="90">
        <f>K7/E7</f>
        <v>0</v>
      </c>
      <c r="Q7" s="78">
        <v>4</v>
      </c>
      <c r="R7" s="78">
        <v>2</v>
      </c>
      <c r="S7" s="78" t="s">
        <v>59</v>
      </c>
      <c r="T7" s="5" t="s">
        <v>183</v>
      </c>
      <c r="U7" s="9"/>
    </row>
    <row r="8" spans="1:22" s="37" customFormat="1" ht="12" x14ac:dyDescent="0.3">
      <c r="A8" s="73" t="s">
        <v>1731</v>
      </c>
      <c r="B8" s="74" t="s">
        <v>1732</v>
      </c>
      <c r="C8" s="84">
        <v>490</v>
      </c>
      <c r="D8" s="85">
        <v>155</v>
      </c>
      <c r="E8" s="86">
        <v>47</v>
      </c>
      <c r="F8" s="85">
        <v>118.9</v>
      </c>
      <c r="G8" s="17">
        <v>36</v>
      </c>
      <c r="H8" s="87">
        <v>56</v>
      </c>
      <c r="I8" s="88">
        <v>100000</v>
      </c>
      <c r="J8" s="88" t="s">
        <v>69</v>
      </c>
      <c r="K8" s="88"/>
      <c r="L8" s="88"/>
      <c r="M8" s="89">
        <f>I8-K8</f>
        <v>100000</v>
      </c>
      <c r="N8" s="4">
        <f>IF(ISERROR(K8/I8),"",K8/I8)</f>
        <v>0</v>
      </c>
      <c r="O8" s="90">
        <f>I8/E8</f>
        <v>2127.6595744680849</v>
      </c>
      <c r="P8" s="90">
        <f>K8/E8</f>
        <v>0</v>
      </c>
      <c r="Q8" s="78">
        <v>4</v>
      </c>
      <c r="R8" s="78">
        <v>2</v>
      </c>
      <c r="S8" s="78" t="s">
        <v>59</v>
      </c>
      <c r="T8" s="5">
        <v>154</v>
      </c>
      <c r="U8" s="9"/>
    </row>
    <row r="9" spans="1:22" s="37" customFormat="1" ht="12" x14ac:dyDescent="0.3">
      <c r="A9" s="73" t="s">
        <v>1965</v>
      </c>
      <c r="B9" s="74" t="s">
        <v>1794</v>
      </c>
      <c r="C9" s="84">
        <v>455</v>
      </c>
      <c r="D9" s="85">
        <v>146.6</v>
      </c>
      <c r="E9" s="86">
        <v>44</v>
      </c>
      <c r="F9" s="85">
        <v>118.2</v>
      </c>
      <c r="G9" s="17">
        <v>36</v>
      </c>
      <c r="H9" s="87">
        <v>87</v>
      </c>
      <c r="I9" s="88">
        <v>100000</v>
      </c>
      <c r="J9" s="88" t="s">
        <v>89</v>
      </c>
      <c r="K9" s="88"/>
      <c r="L9" s="88"/>
      <c r="M9" s="89">
        <f>I9-K9</f>
        <v>100000</v>
      </c>
      <c r="N9" s="4">
        <f>IF(ISERROR(K9/I9),"",K9/I9)</f>
        <v>0</v>
      </c>
      <c r="O9" s="90">
        <f>I9/E9</f>
        <v>2272.7272727272725</v>
      </c>
      <c r="P9" s="90">
        <f>K9/E9</f>
        <v>0</v>
      </c>
      <c r="Q9" s="78">
        <v>4</v>
      </c>
      <c r="R9" s="78">
        <v>2</v>
      </c>
      <c r="S9" s="78" t="s">
        <v>59</v>
      </c>
      <c r="T9" s="5">
        <v>146</v>
      </c>
      <c r="U9" s="9"/>
    </row>
    <row r="10" spans="1:22" s="37" customFormat="1" ht="12" x14ac:dyDescent="0.3">
      <c r="A10" s="73" t="s">
        <v>1907</v>
      </c>
      <c r="B10" s="74" t="s">
        <v>1717</v>
      </c>
      <c r="C10" s="84">
        <v>644</v>
      </c>
      <c r="D10" s="85">
        <v>132.19999999999999</v>
      </c>
      <c r="E10" s="86">
        <v>40</v>
      </c>
      <c r="F10" s="85">
        <v>99.5</v>
      </c>
      <c r="G10" s="17">
        <v>30</v>
      </c>
      <c r="H10" s="87">
        <v>110</v>
      </c>
      <c r="I10" s="88">
        <v>88500</v>
      </c>
      <c r="J10" s="88" t="s">
        <v>68</v>
      </c>
      <c r="K10" s="88">
        <v>56000</v>
      </c>
      <c r="L10" s="88" t="s">
        <v>82</v>
      </c>
      <c r="M10" s="89">
        <f>I10-K10</f>
        <v>32500</v>
      </c>
      <c r="N10" s="4">
        <f>IF(ISERROR(K10/I10),"",K10/I10)</f>
        <v>0.63276836158192096</v>
      </c>
      <c r="O10" s="90">
        <f>I10/E10</f>
        <v>2212.5</v>
      </c>
      <c r="P10" s="90">
        <f>K10/E10</f>
        <v>1400</v>
      </c>
      <c r="Q10" s="78">
        <v>3</v>
      </c>
      <c r="R10" s="78">
        <v>2</v>
      </c>
      <c r="S10" s="78" t="s">
        <v>59</v>
      </c>
      <c r="T10" s="5">
        <v>132</v>
      </c>
      <c r="U10" s="9"/>
    </row>
    <row r="11" spans="1:22" s="37" customFormat="1" ht="12" x14ac:dyDescent="0.3">
      <c r="A11" s="73" t="s">
        <v>1735</v>
      </c>
      <c r="B11" s="74" t="s">
        <v>1671</v>
      </c>
      <c r="C11" s="84">
        <v>702</v>
      </c>
      <c r="D11" s="85">
        <v>131.1</v>
      </c>
      <c r="E11" s="86">
        <v>40</v>
      </c>
      <c r="F11" s="85">
        <v>101</v>
      </c>
      <c r="G11" s="17">
        <v>31</v>
      </c>
      <c r="H11" s="87">
        <v>114</v>
      </c>
      <c r="I11" s="88">
        <v>88000</v>
      </c>
      <c r="J11" s="88" t="s">
        <v>83</v>
      </c>
      <c r="K11" s="88">
        <v>50000</v>
      </c>
      <c r="L11" s="88" t="s">
        <v>153</v>
      </c>
      <c r="M11" s="89">
        <f>I11-K11</f>
        <v>38000</v>
      </c>
      <c r="N11" s="4">
        <f>IF(ISERROR(K11/I11),"",K11/I11)</f>
        <v>0.56818181818181823</v>
      </c>
      <c r="O11" s="90">
        <f>I11/E11</f>
        <v>2200</v>
      </c>
      <c r="P11" s="90">
        <f>K11/E11</f>
        <v>1250</v>
      </c>
      <c r="Q11" s="78">
        <v>3</v>
      </c>
      <c r="R11" s="78">
        <v>2</v>
      </c>
      <c r="S11" s="78" t="s">
        <v>59</v>
      </c>
      <c r="T11" s="5" t="s">
        <v>181</v>
      </c>
      <c r="U11" s="9"/>
    </row>
    <row r="12" spans="1:22" s="37" customFormat="1" ht="12" x14ac:dyDescent="0.3">
      <c r="A12" s="73" t="s">
        <v>1845</v>
      </c>
      <c r="B12" s="74" t="s">
        <v>1674</v>
      </c>
      <c r="C12" s="84">
        <v>615</v>
      </c>
      <c r="D12" s="85">
        <v>142.1</v>
      </c>
      <c r="E12" s="86">
        <v>43</v>
      </c>
      <c r="F12" s="85">
        <v>115.9</v>
      </c>
      <c r="G12" s="17">
        <v>35</v>
      </c>
      <c r="H12" s="87">
        <v>189</v>
      </c>
      <c r="I12" s="88">
        <v>86000</v>
      </c>
      <c r="J12" s="88" t="s">
        <v>68</v>
      </c>
      <c r="K12" s="88">
        <v>50000</v>
      </c>
      <c r="L12" s="88" t="s">
        <v>72</v>
      </c>
      <c r="M12" s="89">
        <f>I12-K12</f>
        <v>36000</v>
      </c>
      <c r="N12" s="4">
        <f>IF(ISERROR(K12/I12),"",K12/I12)</f>
        <v>0.58139534883720934</v>
      </c>
      <c r="O12" s="90">
        <f>I12/E12</f>
        <v>2000</v>
      </c>
      <c r="P12" s="90">
        <f>K12/E12</f>
        <v>1162.7906976744187</v>
      </c>
      <c r="Q12" s="78">
        <v>4</v>
      </c>
      <c r="R12" s="78">
        <v>2</v>
      </c>
      <c r="S12" s="78" t="s">
        <v>59</v>
      </c>
      <c r="T12" s="5">
        <v>142</v>
      </c>
      <c r="U12" s="9"/>
    </row>
    <row r="13" spans="1:22" s="37" customFormat="1" ht="12" x14ac:dyDescent="0.3">
      <c r="A13" s="73" t="s">
        <v>1946</v>
      </c>
      <c r="B13" s="74" t="s">
        <v>1789</v>
      </c>
      <c r="C13" s="84">
        <v>481</v>
      </c>
      <c r="D13" s="85">
        <v>140.69999999999999</v>
      </c>
      <c r="E13" s="86">
        <v>43</v>
      </c>
      <c r="F13" s="85">
        <v>115.1</v>
      </c>
      <c r="G13" s="17">
        <v>35</v>
      </c>
      <c r="H13" s="87">
        <v>126</v>
      </c>
      <c r="I13" s="88">
        <v>85000</v>
      </c>
      <c r="J13" s="88" t="s">
        <v>72</v>
      </c>
      <c r="K13" s="88">
        <v>60000</v>
      </c>
      <c r="L13" s="88" t="s">
        <v>69</v>
      </c>
      <c r="M13" s="89">
        <f>I13-K13</f>
        <v>25000</v>
      </c>
      <c r="N13" s="4">
        <f>IF(ISERROR(K13/I13),"",K13/I13)</f>
        <v>0.70588235294117652</v>
      </c>
      <c r="O13" s="90">
        <f>I13/E13</f>
        <v>1976.7441860465117</v>
      </c>
      <c r="P13" s="90">
        <f>K13/E13</f>
        <v>1395.3488372093022</v>
      </c>
      <c r="Q13" s="78">
        <v>4</v>
      </c>
      <c r="R13" s="78">
        <v>2</v>
      </c>
      <c r="S13" s="78" t="s">
        <v>59</v>
      </c>
      <c r="T13" s="5">
        <v>140</v>
      </c>
      <c r="U13" s="9"/>
    </row>
    <row r="14" spans="1:22" s="37" customFormat="1" ht="12" x14ac:dyDescent="0.3">
      <c r="A14" s="73" t="s">
        <v>1704</v>
      </c>
      <c r="B14" s="74" t="s">
        <v>1671</v>
      </c>
      <c r="C14" s="84">
        <v>662</v>
      </c>
      <c r="D14" s="85">
        <v>133</v>
      </c>
      <c r="E14" s="86">
        <v>40</v>
      </c>
      <c r="F14" s="85">
        <v>98.7</v>
      </c>
      <c r="G14" s="17">
        <v>30</v>
      </c>
      <c r="H14" s="87">
        <v>60</v>
      </c>
      <c r="I14" s="88">
        <v>84000</v>
      </c>
      <c r="J14" s="88" t="s">
        <v>93</v>
      </c>
      <c r="K14" s="88">
        <v>60000</v>
      </c>
      <c r="L14" s="88" t="s">
        <v>68</v>
      </c>
      <c r="M14" s="89">
        <f>I14-K14</f>
        <v>24000</v>
      </c>
      <c r="N14" s="4">
        <f>IF(ISERROR(K14/I14),"",K14/I14)</f>
        <v>0.7142857142857143</v>
      </c>
      <c r="O14" s="90">
        <f>I14/E14</f>
        <v>2100</v>
      </c>
      <c r="P14" s="90">
        <f>K14/E14</f>
        <v>1500</v>
      </c>
      <c r="Q14" s="78">
        <v>4</v>
      </c>
      <c r="R14" s="78">
        <v>2</v>
      </c>
      <c r="S14" s="78" t="s">
        <v>59</v>
      </c>
      <c r="T14" s="5">
        <v>133</v>
      </c>
      <c r="U14" s="9"/>
    </row>
    <row r="15" spans="1:22" s="37" customFormat="1" ht="12" x14ac:dyDescent="0.3">
      <c r="A15" s="73" t="s">
        <v>1897</v>
      </c>
      <c r="B15" s="74" t="s">
        <v>1898</v>
      </c>
      <c r="C15" s="84">
        <v>402</v>
      </c>
      <c r="D15" s="85">
        <v>145.4</v>
      </c>
      <c r="E15" s="86">
        <v>44</v>
      </c>
      <c r="F15" s="85">
        <v>120.2</v>
      </c>
      <c r="G15" s="17">
        <v>36</v>
      </c>
      <c r="H15" s="87">
        <v>68</v>
      </c>
      <c r="I15" s="88">
        <v>83000</v>
      </c>
      <c r="J15" s="88" t="s">
        <v>72</v>
      </c>
      <c r="K15" s="88"/>
      <c r="L15" s="88"/>
      <c r="M15" s="89">
        <f>I15-K15</f>
        <v>83000</v>
      </c>
      <c r="N15" s="4">
        <f>IF(ISERROR(K15/I15),"",K15/I15)</f>
        <v>0</v>
      </c>
      <c r="O15" s="90">
        <f>I15/E15</f>
        <v>1886.3636363636363</v>
      </c>
      <c r="P15" s="90">
        <f>K15/E15</f>
        <v>0</v>
      </c>
      <c r="Q15" s="78">
        <v>5</v>
      </c>
      <c r="R15" s="78">
        <v>2</v>
      </c>
      <c r="S15" s="78" t="s">
        <v>59</v>
      </c>
      <c r="T15" s="5">
        <v>145</v>
      </c>
      <c r="U15" s="9"/>
    </row>
    <row r="16" spans="1:22" s="37" customFormat="1" ht="12" x14ac:dyDescent="0.3">
      <c r="A16" s="73" t="s">
        <v>1953</v>
      </c>
      <c r="B16" s="74" t="s">
        <v>1790</v>
      </c>
      <c r="C16" s="84">
        <v>457</v>
      </c>
      <c r="D16" s="85">
        <v>139.4</v>
      </c>
      <c r="E16" s="86">
        <v>42</v>
      </c>
      <c r="F16" s="85">
        <v>111</v>
      </c>
      <c r="G16" s="17">
        <v>34</v>
      </c>
      <c r="H16" s="87">
        <v>201</v>
      </c>
      <c r="I16" s="88">
        <v>81000</v>
      </c>
      <c r="J16" s="88" t="s">
        <v>93</v>
      </c>
      <c r="K16" s="88">
        <v>50000</v>
      </c>
      <c r="L16" s="88" t="s">
        <v>72</v>
      </c>
      <c r="M16" s="89">
        <f>I16-K16</f>
        <v>31000</v>
      </c>
      <c r="N16" s="4">
        <f>IF(ISERROR(K16/I16),"",K16/I16)</f>
        <v>0.61728395061728392</v>
      </c>
      <c r="O16" s="90">
        <f>I16/E16</f>
        <v>1928.5714285714287</v>
      </c>
      <c r="P16" s="90">
        <f>K16/E16</f>
        <v>1190.4761904761904</v>
      </c>
      <c r="Q16" s="78">
        <v>4</v>
      </c>
      <c r="R16" s="78">
        <v>2</v>
      </c>
      <c r="S16" s="78" t="s">
        <v>59</v>
      </c>
      <c r="T16" s="5">
        <v>139</v>
      </c>
      <c r="U16" s="9"/>
    </row>
    <row r="17" spans="1:21" s="37" customFormat="1" ht="12" x14ac:dyDescent="0.3">
      <c r="A17" s="73" t="s">
        <v>1729</v>
      </c>
      <c r="B17" s="74" t="s">
        <v>1730</v>
      </c>
      <c r="C17" s="84">
        <v>643</v>
      </c>
      <c r="D17" s="85">
        <v>133.5</v>
      </c>
      <c r="E17" s="86">
        <v>40</v>
      </c>
      <c r="F17" s="85">
        <v>98.5</v>
      </c>
      <c r="G17" s="17">
        <v>30</v>
      </c>
      <c r="H17" s="87">
        <v>224</v>
      </c>
      <c r="I17" s="88">
        <v>80000</v>
      </c>
      <c r="J17" s="88" t="s">
        <v>72</v>
      </c>
      <c r="K17" s="88"/>
      <c r="L17" s="88"/>
      <c r="M17" s="89">
        <f>I17-K17</f>
        <v>80000</v>
      </c>
      <c r="N17" s="4">
        <f>IF(ISERROR(K17/I17),"",K17/I17)</f>
        <v>0</v>
      </c>
      <c r="O17" s="90">
        <f>I17/E17</f>
        <v>2000</v>
      </c>
      <c r="P17" s="90">
        <f>K17/E17</f>
        <v>0</v>
      </c>
      <c r="Q17" s="78">
        <v>4</v>
      </c>
      <c r="R17" s="78">
        <v>2</v>
      </c>
      <c r="S17" s="78" t="s">
        <v>59</v>
      </c>
      <c r="T17" s="5" t="s">
        <v>178</v>
      </c>
      <c r="U17" s="9"/>
    </row>
    <row r="18" spans="1:21" s="37" customFormat="1" ht="12" x14ac:dyDescent="0.3">
      <c r="A18" s="73" t="s">
        <v>1958</v>
      </c>
      <c r="B18" s="74" t="s">
        <v>1959</v>
      </c>
      <c r="C18" s="84">
        <v>634</v>
      </c>
      <c r="D18" s="85">
        <v>139.19999999999999</v>
      </c>
      <c r="E18" s="86">
        <v>42</v>
      </c>
      <c r="F18" s="85">
        <v>111</v>
      </c>
      <c r="G18" s="17">
        <v>34</v>
      </c>
      <c r="H18" s="87">
        <v>201</v>
      </c>
      <c r="I18" s="88">
        <v>79000</v>
      </c>
      <c r="J18" s="88" t="s">
        <v>131</v>
      </c>
      <c r="K18" s="88">
        <v>48000</v>
      </c>
      <c r="L18" s="88" t="s">
        <v>107</v>
      </c>
      <c r="M18" s="89">
        <f>I18-K18</f>
        <v>31000</v>
      </c>
      <c r="N18" s="4">
        <f>IF(ISERROR(K18/I18),"",K18/I18)</f>
        <v>0.60759493670886078</v>
      </c>
      <c r="O18" s="90">
        <f>I18/E18</f>
        <v>1880.952380952381</v>
      </c>
      <c r="P18" s="90">
        <f>K18/E18</f>
        <v>1142.8571428571429</v>
      </c>
      <c r="Q18" s="78">
        <v>4</v>
      </c>
      <c r="R18" s="78">
        <v>2</v>
      </c>
      <c r="S18" s="78" t="s">
        <v>59</v>
      </c>
      <c r="T18" s="5">
        <v>139</v>
      </c>
      <c r="U18" s="9"/>
    </row>
    <row r="19" spans="1:21" s="37" customFormat="1" ht="12" x14ac:dyDescent="0.3">
      <c r="A19" s="73" t="s">
        <v>1867</v>
      </c>
      <c r="B19" s="74" t="s">
        <v>1683</v>
      </c>
      <c r="C19" s="84">
        <v>478</v>
      </c>
      <c r="D19" s="85">
        <v>191.6</v>
      </c>
      <c r="E19" s="86">
        <v>58</v>
      </c>
      <c r="F19" s="85">
        <v>154</v>
      </c>
      <c r="G19" s="17">
        <v>47</v>
      </c>
      <c r="H19" s="87">
        <v>144</v>
      </c>
      <c r="I19" s="88">
        <v>78000</v>
      </c>
      <c r="J19" s="88" t="s">
        <v>82</v>
      </c>
      <c r="K19" s="88">
        <v>58000</v>
      </c>
      <c r="L19" s="88" t="s">
        <v>93</v>
      </c>
      <c r="M19" s="89">
        <f>I19-K19</f>
        <v>20000</v>
      </c>
      <c r="N19" s="4">
        <f>IF(ISERROR(K19/I19),"",K19/I19)</f>
        <v>0.74358974358974361</v>
      </c>
      <c r="O19" s="90">
        <f>I19/E19</f>
        <v>1344.8275862068965</v>
      </c>
      <c r="P19" s="90">
        <f>K19/E19</f>
        <v>1000</v>
      </c>
      <c r="Q19" s="78">
        <v>4</v>
      </c>
      <c r="R19" s="78">
        <v>2</v>
      </c>
      <c r="S19" s="78" t="s">
        <v>59</v>
      </c>
      <c r="T19" s="5">
        <v>191</v>
      </c>
      <c r="U19" s="9"/>
    </row>
    <row r="20" spans="1:21" s="37" customFormat="1" ht="12" x14ac:dyDescent="0.3">
      <c r="A20" s="73" t="s">
        <v>1672</v>
      </c>
      <c r="B20" s="74" t="s">
        <v>1673</v>
      </c>
      <c r="C20" s="84">
        <v>615</v>
      </c>
      <c r="D20" s="85">
        <v>127.6</v>
      </c>
      <c r="E20" s="86">
        <v>39</v>
      </c>
      <c r="F20" s="85">
        <v>104.3</v>
      </c>
      <c r="G20" s="17">
        <v>32</v>
      </c>
      <c r="H20" s="87">
        <v>312</v>
      </c>
      <c r="I20" s="88">
        <v>77000</v>
      </c>
      <c r="J20" s="88" t="s">
        <v>89</v>
      </c>
      <c r="K20" s="88">
        <v>50000</v>
      </c>
      <c r="L20" s="88" t="s">
        <v>72</v>
      </c>
      <c r="M20" s="89">
        <f>I20-K20</f>
        <v>27000</v>
      </c>
      <c r="N20" s="4">
        <f>IF(ISERROR(K20/I20),"",K20/I20)</f>
        <v>0.64935064935064934</v>
      </c>
      <c r="O20" s="90">
        <f>I20/E20</f>
        <v>1974.3589743589744</v>
      </c>
      <c r="P20" s="90">
        <f>K20/E20</f>
        <v>1282.051282051282</v>
      </c>
      <c r="Q20" s="78">
        <v>4</v>
      </c>
      <c r="R20" s="78">
        <v>2</v>
      </c>
      <c r="S20" s="78" t="s">
        <v>59</v>
      </c>
      <c r="T20" s="5">
        <v>127</v>
      </c>
      <c r="U20" s="9"/>
    </row>
    <row r="21" spans="1:21" s="37" customFormat="1" ht="12" x14ac:dyDescent="0.3">
      <c r="A21" s="73" t="s">
        <v>1965</v>
      </c>
      <c r="B21" s="74" t="s">
        <v>1794</v>
      </c>
      <c r="C21" s="84">
        <v>455</v>
      </c>
      <c r="D21" s="85">
        <v>131.69999999999999</v>
      </c>
      <c r="E21" s="86">
        <v>40</v>
      </c>
      <c r="F21" s="85">
        <v>102</v>
      </c>
      <c r="G21" s="17">
        <v>31</v>
      </c>
      <c r="H21" s="87">
        <v>304</v>
      </c>
      <c r="I21" s="88">
        <v>75000</v>
      </c>
      <c r="J21" s="88" t="s">
        <v>93</v>
      </c>
      <c r="K21" s="88">
        <v>48000</v>
      </c>
      <c r="L21" s="88" t="s">
        <v>127</v>
      </c>
      <c r="M21" s="89">
        <f>I21-K21</f>
        <v>27000</v>
      </c>
      <c r="N21" s="4">
        <f>IF(ISERROR(K21/I21),"",K21/I21)</f>
        <v>0.64</v>
      </c>
      <c r="O21" s="90">
        <f>I21/E21</f>
        <v>1875</v>
      </c>
      <c r="P21" s="90">
        <f>K21/E21</f>
        <v>1200</v>
      </c>
      <c r="Q21" s="78">
        <v>3</v>
      </c>
      <c r="R21" s="78">
        <v>2</v>
      </c>
      <c r="S21" s="78" t="s">
        <v>59</v>
      </c>
      <c r="T21" s="5" t="s">
        <v>226</v>
      </c>
      <c r="U21" s="9"/>
    </row>
    <row r="22" spans="1:21" s="37" customFormat="1" ht="12" x14ac:dyDescent="0.3">
      <c r="A22" s="73" t="s">
        <v>1954</v>
      </c>
      <c r="B22" s="74" t="s">
        <v>1955</v>
      </c>
      <c r="C22" s="84">
        <v>731</v>
      </c>
      <c r="D22" s="85">
        <v>143.80000000000001</v>
      </c>
      <c r="E22" s="86">
        <v>44</v>
      </c>
      <c r="F22" s="85">
        <v>118.2</v>
      </c>
      <c r="G22" s="17">
        <v>36</v>
      </c>
      <c r="H22" s="87">
        <v>224</v>
      </c>
      <c r="I22" s="88">
        <v>72000</v>
      </c>
      <c r="J22" s="88" t="s">
        <v>72</v>
      </c>
      <c r="K22" s="88">
        <v>48000</v>
      </c>
      <c r="L22" s="88" t="s">
        <v>72</v>
      </c>
      <c r="M22" s="89">
        <f>I22-K22</f>
        <v>24000</v>
      </c>
      <c r="N22" s="4">
        <f>IF(ISERROR(K22/I22),"",K22/I22)</f>
        <v>0.66666666666666663</v>
      </c>
      <c r="O22" s="90">
        <f>I22/E22</f>
        <v>1636.3636363636363</v>
      </c>
      <c r="P22" s="90">
        <f>K22/E22</f>
        <v>1090.909090909091</v>
      </c>
      <c r="Q22" s="78">
        <v>4</v>
      </c>
      <c r="R22" s="78">
        <v>2</v>
      </c>
      <c r="S22" s="78" t="s">
        <v>59</v>
      </c>
      <c r="T22" s="5" t="s">
        <v>222</v>
      </c>
      <c r="U22" s="9"/>
    </row>
    <row r="23" spans="1:21" s="37" customFormat="1" ht="12" x14ac:dyDescent="0.3">
      <c r="A23" s="73" t="s">
        <v>1847</v>
      </c>
      <c r="B23" s="74" t="s">
        <v>1849</v>
      </c>
      <c r="C23" s="84">
        <v>553</v>
      </c>
      <c r="D23" s="85">
        <v>133.69999999999999</v>
      </c>
      <c r="E23" s="86">
        <v>40</v>
      </c>
      <c r="F23" s="85">
        <v>103</v>
      </c>
      <c r="G23" s="17">
        <v>31</v>
      </c>
      <c r="H23" s="87">
        <v>190</v>
      </c>
      <c r="I23" s="88">
        <v>70000</v>
      </c>
      <c r="J23" s="88" t="s">
        <v>69</v>
      </c>
      <c r="K23" s="88">
        <v>50000</v>
      </c>
      <c r="L23" s="88" t="s">
        <v>72</v>
      </c>
      <c r="M23" s="89">
        <f>I23-K23</f>
        <v>20000</v>
      </c>
      <c r="N23" s="4">
        <f>IF(ISERROR(K23/I23),"",K23/I23)</f>
        <v>0.7142857142857143</v>
      </c>
      <c r="O23" s="90">
        <f>I23/E23</f>
        <v>1750</v>
      </c>
      <c r="P23" s="90">
        <f>K23/E23</f>
        <v>1250</v>
      </c>
      <c r="Q23" s="78">
        <v>3</v>
      </c>
      <c r="R23" s="78">
        <v>2</v>
      </c>
      <c r="S23" s="78" t="s">
        <v>59</v>
      </c>
      <c r="T23" s="5">
        <v>133</v>
      </c>
      <c r="U23" s="9"/>
    </row>
    <row r="24" spans="1:21" s="37" customFormat="1" ht="12" x14ac:dyDescent="0.3">
      <c r="A24" s="73" t="s">
        <v>1957</v>
      </c>
      <c r="B24" s="74" t="s">
        <v>1790</v>
      </c>
      <c r="C24" s="84">
        <v>634</v>
      </c>
      <c r="D24" s="85">
        <v>129</v>
      </c>
      <c r="E24" s="86">
        <v>39</v>
      </c>
      <c r="F24" s="85">
        <v>102</v>
      </c>
      <c r="G24" s="17">
        <v>31</v>
      </c>
      <c r="H24" s="87">
        <v>104</v>
      </c>
      <c r="I24" s="88">
        <v>69500</v>
      </c>
      <c r="J24" s="88" t="s">
        <v>68</v>
      </c>
      <c r="K24" s="88">
        <v>45000</v>
      </c>
      <c r="L24" s="88" t="s">
        <v>137</v>
      </c>
      <c r="M24" s="89">
        <f>I24-K24</f>
        <v>24500</v>
      </c>
      <c r="N24" s="4">
        <f>IF(ISERROR(K24/I24),"",K24/I24)</f>
        <v>0.64748201438848918</v>
      </c>
      <c r="O24" s="90">
        <f>I24/E24</f>
        <v>1782.051282051282</v>
      </c>
      <c r="P24" s="90">
        <f>K24/E24</f>
        <v>1153.8461538461538</v>
      </c>
      <c r="Q24" s="78">
        <v>4</v>
      </c>
      <c r="R24" s="78">
        <v>2</v>
      </c>
      <c r="S24" s="78" t="s">
        <v>59</v>
      </c>
      <c r="T24" s="5">
        <v>128</v>
      </c>
      <c r="U24" s="9"/>
    </row>
    <row r="25" spans="1:21" s="37" customFormat="1" ht="12" x14ac:dyDescent="0.3">
      <c r="A25" s="73" t="s">
        <v>1948</v>
      </c>
      <c r="B25" s="74" t="s">
        <v>1947</v>
      </c>
      <c r="C25" s="84">
        <v>481</v>
      </c>
      <c r="D25" s="85">
        <v>124.4</v>
      </c>
      <c r="E25" s="86">
        <v>38</v>
      </c>
      <c r="F25" s="85">
        <v>98.4</v>
      </c>
      <c r="G25" s="17">
        <v>30</v>
      </c>
      <c r="H25" s="87">
        <v>184</v>
      </c>
      <c r="I25" s="88">
        <v>68000</v>
      </c>
      <c r="J25" s="88" t="s">
        <v>127</v>
      </c>
      <c r="K25" s="88">
        <v>49000</v>
      </c>
      <c r="L25" s="88" t="s">
        <v>111</v>
      </c>
      <c r="M25" s="89">
        <f>I25-K25</f>
        <v>19000</v>
      </c>
      <c r="N25" s="4">
        <f>IF(ISERROR(K25/I25),"",K25/I25)</f>
        <v>0.72058823529411764</v>
      </c>
      <c r="O25" s="90">
        <f>I25/E25</f>
        <v>1789.4736842105262</v>
      </c>
      <c r="P25" s="90">
        <f>K25/E25</f>
        <v>1289.4736842105262</v>
      </c>
      <c r="Q25" s="78">
        <v>4</v>
      </c>
      <c r="R25" s="78">
        <v>2</v>
      </c>
      <c r="S25" s="78" t="s">
        <v>59</v>
      </c>
      <c r="T25" s="5">
        <v>124</v>
      </c>
      <c r="U25" s="9"/>
    </row>
    <row r="26" spans="1:21" s="37" customFormat="1" ht="12" x14ac:dyDescent="0.3">
      <c r="A26" s="73" t="s">
        <v>1954</v>
      </c>
      <c r="B26" s="74" t="s">
        <v>1955</v>
      </c>
      <c r="C26" s="84">
        <v>731</v>
      </c>
      <c r="D26" s="85">
        <v>129.6</v>
      </c>
      <c r="E26" s="86">
        <v>39</v>
      </c>
      <c r="F26" s="85">
        <v>102.6</v>
      </c>
      <c r="G26" s="17">
        <v>31</v>
      </c>
      <c r="H26" s="87">
        <v>408</v>
      </c>
      <c r="I26" s="88">
        <v>67000</v>
      </c>
      <c r="J26" s="88" t="s">
        <v>89</v>
      </c>
      <c r="K26" s="88">
        <v>44000</v>
      </c>
      <c r="L26" s="88" t="s">
        <v>99</v>
      </c>
      <c r="M26" s="89">
        <f>I26-K26</f>
        <v>23000</v>
      </c>
      <c r="N26" s="4">
        <f>IF(ISERROR(K26/I26),"",K26/I26)</f>
        <v>0.65671641791044777</v>
      </c>
      <c r="O26" s="90">
        <f>I26/E26</f>
        <v>1717.948717948718</v>
      </c>
      <c r="P26" s="90">
        <f>K26/E26</f>
        <v>1128.2051282051282</v>
      </c>
      <c r="Q26" s="78">
        <v>4</v>
      </c>
      <c r="R26" s="78">
        <v>2</v>
      </c>
      <c r="S26" s="78" t="s">
        <v>59</v>
      </c>
      <c r="T26" s="5" t="s">
        <v>221</v>
      </c>
      <c r="U26" s="9"/>
    </row>
    <row r="27" spans="1:21" s="37" customFormat="1" ht="12" x14ac:dyDescent="0.3">
      <c r="A27" s="73" t="s">
        <v>1867</v>
      </c>
      <c r="B27" s="74" t="s">
        <v>1683</v>
      </c>
      <c r="C27" s="84">
        <v>478</v>
      </c>
      <c r="D27" s="85">
        <v>164.5</v>
      </c>
      <c r="E27" s="86">
        <v>50</v>
      </c>
      <c r="F27" s="85">
        <v>126.5</v>
      </c>
      <c r="G27" s="17">
        <v>38</v>
      </c>
      <c r="H27" s="87">
        <v>168</v>
      </c>
      <c r="I27" s="88">
        <v>66000</v>
      </c>
      <c r="J27" s="88" t="s">
        <v>83</v>
      </c>
      <c r="K27" s="88">
        <v>54000</v>
      </c>
      <c r="L27" s="88" t="s">
        <v>89</v>
      </c>
      <c r="M27" s="89">
        <f>I27-K27</f>
        <v>12000</v>
      </c>
      <c r="N27" s="4">
        <f>IF(ISERROR(K27/I27),"",K27/I27)</f>
        <v>0.81818181818181823</v>
      </c>
      <c r="O27" s="90">
        <f>I27/E27</f>
        <v>1320</v>
      </c>
      <c r="P27" s="90">
        <f>K27/E27</f>
        <v>1080</v>
      </c>
      <c r="Q27" s="78">
        <v>4</v>
      </c>
      <c r="R27" s="78">
        <v>2</v>
      </c>
      <c r="S27" s="78" t="s">
        <v>59</v>
      </c>
      <c r="T27" s="5">
        <v>164</v>
      </c>
      <c r="U27" s="9"/>
    </row>
    <row r="28" spans="1:21" s="37" customFormat="1" ht="12" x14ac:dyDescent="0.3">
      <c r="A28" s="73" t="s">
        <v>1735</v>
      </c>
      <c r="B28" s="74" t="s">
        <v>1671</v>
      </c>
      <c r="C28" s="84">
        <v>702</v>
      </c>
      <c r="D28" s="85">
        <v>110.1</v>
      </c>
      <c r="E28" s="86">
        <v>33</v>
      </c>
      <c r="F28" s="85">
        <v>84.9</v>
      </c>
      <c r="G28" s="17">
        <v>26</v>
      </c>
      <c r="H28" s="87">
        <v>214</v>
      </c>
      <c r="I28" s="88">
        <v>66000</v>
      </c>
      <c r="J28" s="88" t="s">
        <v>111</v>
      </c>
      <c r="K28" s="88"/>
      <c r="L28" s="88"/>
      <c r="M28" s="89">
        <f>I28-K28</f>
        <v>66000</v>
      </c>
      <c r="N28" s="4">
        <f>IF(ISERROR(K28/I28),"",K28/I28)</f>
        <v>0</v>
      </c>
      <c r="O28" s="90">
        <f>I28/E28</f>
        <v>2000</v>
      </c>
      <c r="P28" s="90">
        <f>K28/E28</f>
        <v>0</v>
      </c>
      <c r="Q28" s="78">
        <v>3</v>
      </c>
      <c r="R28" s="78">
        <v>2</v>
      </c>
      <c r="S28" s="78" t="s">
        <v>59</v>
      </c>
      <c r="T28" s="5" t="s">
        <v>91</v>
      </c>
      <c r="U28" s="9"/>
    </row>
    <row r="29" spans="1:21" s="37" customFormat="1" ht="12" x14ac:dyDescent="0.3">
      <c r="A29" s="73" t="s">
        <v>1718</v>
      </c>
      <c r="B29" s="74" t="s">
        <v>1717</v>
      </c>
      <c r="C29" s="84">
        <v>644</v>
      </c>
      <c r="D29" s="85">
        <v>112.7</v>
      </c>
      <c r="E29" s="86">
        <v>34</v>
      </c>
      <c r="F29" s="85">
        <v>85</v>
      </c>
      <c r="G29" s="17">
        <v>26</v>
      </c>
      <c r="H29" s="87">
        <v>133</v>
      </c>
      <c r="I29" s="88">
        <v>65000</v>
      </c>
      <c r="J29" s="88" t="s">
        <v>104</v>
      </c>
      <c r="K29" s="88"/>
      <c r="L29" s="88"/>
      <c r="M29" s="89">
        <f>I29-K29</f>
        <v>65000</v>
      </c>
      <c r="N29" s="4">
        <f>IF(ISERROR(K29/I29),"",K29/I29)</f>
        <v>0</v>
      </c>
      <c r="O29" s="90">
        <f>I29/E29</f>
        <v>1911.7647058823529</v>
      </c>
      <c r="P29" s="90">
        <f>K29/E29</f>
        <v>0</v>
      </c>
      <c r="Q29" s="78">
        <v>3</v>
      </c>
      <c r="R29" s="78">
        <v>2</v>
      </c>
      <c r="S29" s="78" t="s">
        <v>59</v>
      </c>
      <c r="T29" s="5" t="s">
        <v>160</v>
      </c>
      <c r="U29" s="9"/>
    </row>
    <row r="30" spans="1:21" s="37" customFormat="1" ht="12" x14ac:dyDescent="0.3">
      <c r="A30" s="73" t="s">
        <v>1803</v>
      </c>
      <c r="B30" s="74" t="s">
        <v>1802</v>
      </c>
      <c r="C30" s="84">
        <v>791</v>
      </c>
      <c r="D30" s="85">
        <v>192.8</v>
      </c>
      <c r="E30" s="86">
        <v>58</v>
      </c>
      <c r="F30" s="85">
        <v>157.6</v>
      </c>
      <c r="G30" s="17">
        <v>48</v>
      </c>
      <c r="H30" s="87">
        <v>118</v>
      </c>
      <c r="I30" s="88">
        <v>65000</v>
      </c>
      <c r="J30" s="88" t="s">
        <v>68</v>
      </c>
      <c r="K30" s="88"/>
      <c r="L30" s="88"/>
      <c r="M30" s="89">
        <f>I30-K30</f>
        <v>65000</v>
      </c>
      <c r="N30" s="4">
        <f>IF(ISERROR(K30/I30),"",K30/I30)</f>
        <v>0</v>
      </c>
      <c r="O30" s="90">
        <f>I30/E30</f>
        <v>1120.6896551724137</v>
      </c>
      <c r="P30" s="90">
        <f>K30/E30</f>
        <v>0</v>
      </c>
      <c r="Q30" s="78">
        <v>4</v>
      </c>
      <c r="R30" s="78">
        <v>2</v>
      </c>
      <c r="S30" s="78" t="s">
        <v>59</v>
      </c>
      <c r="T30" s="5">
        <v>192</v>
      </c>
      <c r="U30" s="9"/>
    </row>
    <row r="31" spans="1:21" s="37" customFormat="1" ht="12" x14ac:dyDescent="0.3">
      <c r="A31" s="73" t="s">
        <v>1710</v>
      </c>
      <c r="B31" s="74" t="s">
        <v>1671</v>
      </c>
      <c r="C31" s="84">
        <v>724</v>
      </c>
      <c r="D31" s="85">
        <v>112.8</v>
      </c>
      <c r="E31" s="86">
        <v>34</v>
      </c>
      <c r="F31" s="85">
        <v>84.9</v>
      </c>
      <c r="G31" s="17">
        <v>26</v>
      </c>
      <c r="H31" s="87">
        <v>111</v>
      </c>
      <c r="I31" s="88">
        <v>62500</v>
      </c>
      <c r="J31" s="88" t="s">
        <v>83</v>
      </c>
      <c r="K31" s="88"/>
      <c r="L31" s="88"/>
      <c r="M31" s="89">
        <f>I31-K31</f>
        <v>62500</v>
      </c>
      <c r="N31" s="4">
        <f>IF(ISERROR(K31/I31),"",K31/I31)</f>
        <v>0</v>
      </c>
      <c r="O31" s="90">
        <f>I31/E31</f>
        <v>1838.2352941176471</v>
      </c>
      <c r="P31" s="90">
        <f>K31/E31</f>
        <v>0</v>
      </c>
      <c r="Q31" s="78">
        <v>3</v>
      </c>
      <c r="R31" s="78">
        <v>2</v>
      </c>
      <c r="S31" s="78" t="s">
        <v>59</v>
      </c>
      <c r="T31" s="5" t="s">
        <v>160</v>
      </c>
      <c r="U31" s="9"/>
    </row>
    <row r="32" spans="1:21" s="37" customFormat="1" ht="12" x14ac:dyDescent="0.3">
      <c r="A32" s="73" t="s">
        <v>1704</v>
      </c>
      <c r="B32" s="74" t="s">
        <v>1671</v>
      </c>
      <c r="C32" s="84">
        <v>662</v>
      </c>
      <c r="D32" s="85">
        <v>115.2</v>
      </c>
      <c r="E32" s="86">
        <v>35</v>
      </c>
      <c r="F32" s="85">
        <v>84.9</v>
      </c>
      <c r="G32" s="17">
        <v>26</v>
      </c>
      <c r="H32" s="87">
        <v>282</v>
      </c>
      <c r="I32" s="88">
        <v>62000</v>
      </c>
      <c r="J32" s="88" t="s">
        <v>156</v>
      </c>
      <c r="K32" s="88">
        <v>40000</v>
      </c>
      <c r="L32" s="88" t="s">
        <v>82</v>
      </c>
      <c r="M32" s="89">
        <f>I32-K32</f>
        <v>22000</v>
      </c>
      <c r="N32" s="4">
        <f>IF(ISERROR(K32/I32),"",K32/I32)</f>
        <v>0.64516129032258063</v>
      </c>
      <c r="O32" s="90">
        <f>I32/E32</f>
        <v>1771.4285714285713</v>
      </c>
      <c r="P32" s="90">
        <f>K32/E32</f>
        <v>1142.8571428571429</v>
      </c>
      <c r="Q32" s="78">
        <v>3</v>
      </c>
      <c r="R32" s="78">
        <v>2</v>
      </c>
      <c r="S32" s="78" t="s">
        <v>59</v>
      </c>
      <c r="T32" s="5" t="s">
        <v>157</v>
      </c>
      <c r="U32" s="9"/>
    </row>
    <row r="33" spans="1:21" s="37" customFormat="1" ht="12" x14ac:dyDescent="0.3">
      <c r="A33" s="73" t="s">
        <v>1687</v>
      </c>
      <c r="B33" s="74" t="s">
        <v>1683</v>
      </c>
      <c r="C33" s="84">
        <v>304</v>
      </c>
      <c r="D33" s="85">
        <v>165.6</v>
      </c>
      <c r="E33" s="86">
        <v>50</v>
      </c>
      <c r="F33" s="85">
        <v>126.5</v>
      </c>
      <c r="G33" s="17">
        <v>38</v>
      </c>
      <c r="H33" s="87">
        <v>107</v>
      </c>
      <c r="I33" s="88">
        <v>61000</v>
      </c>
      <c r="J33" s="88" t="s">
        <v>89</v>
      </c>
      <c r="K33" s="88"/>
      <c r="L33" s="88"/>
      <c r="M33" s="89">
        <f>I33-K33</f>
        <v>61000</v>
      </c>
      <c r="N33" s="4">
        <f>IF(ISERROR(K33/I33),"",K33/I33)</f>
        <v>0</v>
      </c>
      <c r="O33" s="90">
        <f>I33/E33</f>
        <v>1220</v>
      </c>
      <c r="P33" s="90">
        <f>K33/E33</f>
        <v>0</v>
      </c>
      <c r="Q33" s="78">
        <v>4</v>
      </c>
      <c r="R33" s="78">
        <v>2</v>
      </c>
      <c r="S33" s="78" t="s">
        <v>59</v>
      </c>
      <c r="T33" s="5">
        <v>165</v>
      </c>
      <c r="U33" s="9"/>
    </row>
    <row r="34" spans="1:21" s="37" customFormat="1" ht="12" x14ac:dyDescent="0.3">
      <c r="A34" s="73" t="s">
        <v>1714</v>
      </c>
      <c r="B34" s="74" t="s">
        <v>1671</v>
      </c>
      <c r="C34" s="84">
        <v>720</v>
      </c>
      <c r="D34" s="85">
        <v>113.1</v>
      </c>
      <c r="E34" s="86">
        <v>34</v>
      </c>
      <c r="F34" s="85">
        <v>84.9</v>
      </c>
      <c r="G34" s="17">
        <v>26</v>
      </c>
      <c r="H34" s="87">
        <v>251</v>
      </c>
      <c r="I34" s="88">
        <v>60000</v>
      </c>
      <c r="J34" s="88" t="s">
        <v>89</v>
      </c>
      <c r="K34" s="88">
        <v>42000</v>
      </c>
      <c r="L34" s="88" t="s">
        <v>104</v>
      </c>
      <c r="M34" s="89">
        <f>I34-K34</f>
        <v>18000</v>
      </c>
      <c r="N34" s="4">
        <f>IF(ISERROR(K34/I34),"",K34/I34)</f>
        <v>0.7</v>
      </c>
      <c r="O34" s="90">
        <f>I34/E34</f>
        <v>1764.7058823529412</v>
      </c>
      <c r="P34" s="90">
        <f>K34/E34</f>
        <v>1235.2941176470588</v>
      </c>
      <c r="Q34" s="78">
        <v>4</v>
      </c>
      <c r="R34" s="78">
        <v>2</v>
      </c>
      <c r="S34" s="78" t="s">
        <v>59</v>
      </c>
      <c r="T34" s="5" t="s">
        <v>165</v>
      </c>
      <c r="U34" s="9"/>
    </row>
    <row r="35" spans="1:21" s="37" customFormat="1" ht="12" x14ac:dyDescent="0.3">
      <c r="A35" s="73" t="s">
        <v>1946</v>
      </c>
      <c r="B35" s="74" t="s">
        <v>1947</v>
      </c>
      <c r="C35" s="84">
        <v>481</v>
      </c>
      <c r="D35" s="85">
        <v>110.6</v>
      </c>
      <c r="E35" s="86">
        <v>33</v>
      </c>
      <c r="F35" s="85">
        <v>85</v>
      </c>
      <c r="G35" s="17">
        <v>26</v>
      </c>
      <c r="H35" s="87">
        <v>171</v>
      </c>
      <c r="I35" s="88">
        <v>60000</v>
      </c>
      <c r="J35" s="88" t="s">
        <v>182</v>
      </c>
      <c r="K35" s="88">
        <v>46000</v>
      </c>
      <c r="L35" s="88" t="s">
        <v>104</v>
      </c>
      <c r="M35" s="89">
        <f>I35-K35</f>
        <v>14000</v>
      </c>
      <c r="N35" s="4">
        <f>IF(ISERROR(K35/I35),"",K35/I35)</f>
        <v>0.76666666666666672</v>
      </c>
      <c r="O35" s="90">
        <f>I35/E35</f>
        <v>1818.1818181818182</v>
      </c>
      <c r="P35" s="90">
        <f>K35/E35</f>
        <v>1393.939393939394</v>
      </c>
      <c r="Q35" s="78">
        <v>3</v>
      </c>
      <c r="R35" s="78">
        <v>2</v>
      </c>
      <c r="S35" s="78" t="s">
        <v>59</v>
      </c>
      <c r="T35" s="5">
        <v>110</v>
      </c>
      <c r="U35" s="9"/>
    </row>
    <row r="36" spans="1:21" s="37" customFormat="1" ht="12" x14ac:dyDescent="0.3">
      <c r="A36" s="73" t="s">
        <v>1903</v>
      </c>
      <c r="B36" s="74" t="s">
        <v>1730</v>
      </c>
      <c r="C36" s="84">
        <v>708</v>
      </c>
      <c r="D36" s="85">
        <v>117.4</v>
      </c>
      <c r="E36" s="86">
        <v>36</v>
      </c>
      <c r="F36" s="85">
        <v>85</v>
      </c>
      <c r="G36" s="17">
        <v>26</v>
      </c>
      <c r="H36" s="87">
        <v>505</v>
      </c>
      <c r="I36" s="88">
        <v>59000</v>
      </c>
      <c r="J36" s="88" t="s">
        <v>87</v>
      </c>
      <c r="K36" s="88">
        <v>41000</v>
      </c>
      <c r="L36" s="88" t="s">
        <v>89</v>
      </c>
      <c r="M36" s="89">
        <f>I36-K36</f>
        <v>18000</v>
      </c>
      <c r="N36" s="4">
        <f>IF(ISERROR(K36/I36),"",K36/I36)</f>
        <v>0.69491525423728817</v>
      </c>
      <c r="O36" s="90">
        <f>I36/E36</f>
        <v>1638.8888888888889</v>
      </c>
      <c r="P36" s="90">
        <f>K36/E36</f>
        <v>1138.8888888888889</v>
      </c>
      <c r="Q36" s="78">
        <v>3</v>
      </c>
      <c r="R36" s="78">
        <v>2</v>
      </c>
      <c r="S36" s="78" t="s">
        <v>59</v>
      </c>
      <c r="T36" s="5" t="s">
        <v>149</v>
      </c>
      <c r="U36" s="9"/>
    </row>
    <row r="37" spans="1:21" s="37" customFormat="1" ht="12" x14ac:dyDescent="0.3">
      <c r="A37" s="73" t="s">
        <v>1729</v>
      </c>
      <c r="B37" s="74" t="s">
        <v>1730</v>
      </c>
      <c r="C37" s="84">
        <v>643</v>
      </c>
      <c r="D37" s="85">
        <v>115.9</v>
      </c>
      <c r="E37" s="86">
        <v>35</v>
      </c>
      <c r="F37" s="85">
        <v>85</v>
      </c>
      <c r="G37" s="17">
        <v>26</v>
      </c>
      <c r="H37" s="87">
        <v>274</v>
      </c>
      <c r="I37" s="88">
        <v>59000</v>
      </c>
      <c r="J37" s="88" t="s">
        <v>93</v>
      </c>
      <c r="K37" s="88"/>
      <c r="L37" s="88"/>
      <c r="M37" s="89">
        <f>I37-K37</f>
        <v>59000</v>
      </c>
      <c r="N37" s="4">
        <f>IF(ISERROR(K37/I37),"",K37/I37)</f>
        <v>0</v>
      </c>
      <c r="O37" s="90">
        <f>I37/E37</f>
        <v>1685.7142857142858</v>
      </c>
      <c r="P37" s="90">
        <f>K37/E37</f>
        <v>0</v>
      </c>
      <c r="Q37" s="78">
        <v>3</v>
      </c>
      <c r="R37" s="78">
        <v>2</v>
      </c>
      <c r="S37" s="78" t="s">
        <v>59</v>
      </c>
      <c r="T37" s="5" t="s">
        <v>157</v>
      </c>
      <c r="U37" s="9"/>
    </row>
    <row r="38" spans="1:21" s="37" customFormat="1" ht="12" x14ac:dyDescent="0.3">
      <c r="A38" s="73" t="s">
        <v>1731</v>
      </c>
      <c r="B38" s="74" t="s">
        <v>1732</v>
      </c>
      <c r="C38" s="84">
        <v>490</v>
      </c>
      <c r="D38" s="85">
        <v>110.9</v>
      </c>
      <c r="E38" s="86">
        <v>34</v>
      </c>
      <c r="F38" s="85">
        <v>84.8</v>
      </c>
      <c r="G38" s="17">
        <v>26</v>
      </c>
      <c r="H38" s="87">
        <v>260</v>
      </c>
      <c r="I38" s="88">
        <v>59000</v>
      </c>
      <c r="J38" s="88" t="s">
        <v>89</v>
      </c>
      <c r="K38" s="88"/>
      <c r="L38" s="88"/>
      <c r="M38" s="89">
        <f>I38-K38</f>
        <v>59000</v>
      </c>
      <c r="N38" s="4">
        <f>IF(ISERROR(K38/I38),"",K38/I38)</f>
        <v>0</v>
      </c>
      <c r="O38" s="90">
        <f>I38/E38</f>
        <v>1735.2941176470588</v>
      </c>
      <c r="P38" s="90">
        <f>K38/E38</f>
        <v>0</v>
      </c>
      <c r="Q38" s="78">
        <v>3</v>
      </c>
      <c r="R38" s="78">
        <v>2</v>
      </c>
      <c r="S38" s="78" t="s">
        <v>59</v>
      </c>
      <c r="T38" s="5" t="s">
        <v>91</v>
      </c>
      <c r="U38" s="9"/>
    </row>
    <row r="39" spans="1:21" s="37" customFormat="1" ht="12" x14ac:dyDescent="0.3">
      <c r="A39" s="73" t="s">
        <v>1911</v>
      </c>
      <c r="B39" s="74" t="s">
        <v>1700</v>
      </c>
      <c r="C39" s="84">
        <v>948</v>
      </c>
      <c r="D39" s="85">
        <v>114.8</v>
      </c>
      <c r="E39" s="86">
        <v>35</v>
      </c>
      <c r="F39" s="85">
        <v>85</v>
      </c>
      <c r="G39" s="17">
        <v>26</v>
      </c>
      <c r="H39" s="87">
        <v>492</v>
      </c>
      <c r="I39" s="88">
        <v>58000</v>
      </c>
      <c r="J39" s="88" t="s">
        <v>72</v>
      </c>
      <c r="K39" s="88"/>
      <c r="L39" s="88"/>
      <c r="M39" s="89">
        <f>I39-K39</f>
        <v>58000</v>
      </c>
      <c r="N39" s="4">
        <f>IF(ISERROR(K39/I39),"",K39/I39)</f>
        <v>0</v>
      </c>
      <c r="O39" s="90">
        <f>I39/E39</f>
        <v>1657.1428571428571</v>
      </c>
      <c r="P39" s="90">
        <f>K39/E39</f>
        <v>0</v>
      </c>
      <c r="Q39" s="78">
        <v>3</v>
      </c>
      <c r="R39" s="78">
        <v>2</v>
      </c>
      <c r="S39" s="78" t="s">
        <v>59</v>
      </c>
      <c r="T39" s="5" t="s">
        <v>78</v>
      </c>
      <c r="U39" s="9"/>
    </row>
    <row r="40" spans="1:21" s="37" customFormat="1" ht="12" x14ac:dyDescent="0.3">
      <c r="A40" s="73" t="s">
        <v>1901</v>
      </c>
      <c r="B40" s="74" t="s">
        <v>1900</v>
      </c>
      <c r="C40" s="84">
        <v>640</v>
      </c>
      <c r="D40" s="85">
        <v>115.2</v>
      </c>
      <c r="E40" s="86">
        <v>35</v>
      </c>
      <c r="F40" s="85">
        <v>85</v>
      </c>
      <c r="G40" s="17">
        <v>26</v>
      </c>
      <c r="H40" s="87">
        <v>464</v>
      </c>
      <c r="I40" s="88">
        <v>56500</v>
      </c>
      <c r="J40" s="88" t="s">
        <v>87</v>
      </c>
      <c r="K40" s="88">
        <v>41000</v>
      </c>
      <c r="L40" s="88" t="s">
        <v>83</v>
      </c>
      <c r="M40" s="89">
        <f>I40-K40</f>
        <v>15500</v>
      </c>
      <c r="N40" s="4">
        <f>IF(ISERROR(K40/I40),"",K40/I40)</f>
        <v>0.72566371681415931</v>
      </c>
      <c r="O40" s="90">
        <f>I40/E40</f>
        <v>1614.2857142857142</v>
      </c>
      <c r="P40" s="90">
        <f>K40/E40</f>
        <v>1171.4285714285713</v>
      </c>
      <c r="Q40" s="78">
        <v>3</v>
      </c>
      <c r="R40" s="78">
        <v>2</v>
      </c>
      <c r="S40" s="78" t="s">
        <v>59</v>
      </c>
      <c r="T40" s="5">
        <v>115</v>
      </c>
      <c r="U40" s="9"/>
    </row>
    <row r="41" spans="1:21" s="37" customFormat="1" ht="12" x14ac:dyDescent="0.3">
      <c r="A41" s="73" t="s">
        <v>1865</v>
      </c>
      <c r="B41" s="74" t="s">
        <v>1682</v>
      </c>
      <c r="C41" s="84">
        <v>520</v>
      </c>
      <c r="D41" s="85">
        <v>184.4</v>
      </c>
      <c r="E41" s="86">
        <v>56</v>
      </c>
      <c r="F41" s="85">
        <v>143.80000000000001</v>
      </c>
      <c r="G41" s="17">
        <v>43</v>
      </c>
      <c r="H41" s="87">
        <v>140</v>
      </c>
      <c r="I41" s="88">
        <v>55000</v>
      </c>
      <c r="J41" s="88" t="s">
        <v>68</v>
      </c>
      <c r="K41" s="88"/>
      <c r="L41" s="88"/>
      <c r="M41" s="89">
        <f>I41-K41</f>
        <v>55000</v>
      </c>
      <c r="N41" s="4">
        <f>IF(ISERROR(K41/I41),"",K41/I41)</f>
        <v>0</v>
      </c>
      <c r="O41" s="90">
        <f>I41/E41</f>
        <v>982.14285714285711</v>
      </c>
      <c r="P41" s="90">
        <f>K41/E41</f>
        <v>0</v>
      </c>
      <c r="Q41" s="78">
        <v>4</v>
      </c>
      <c r="R41" s="78">
        <v>2</v>
      </c>
      <c r="S41" s="78" t="s">
        <v>59</v>
      </c>
      <c r="T41" s="5">
        <v>184</v>
      </c>
      <c r="U41" s="9"/>
    </row>
    <row r="42" spans="1:21" s="37" customFormat="1" ht="12" x14ac:dyDescent="0.3">
      <c r="A42" s="73" t="s">
        <v>1687</v>
      </c>
      <c r="B42" s="74" t="s">
        <v>1873</v>
      </c>
      <c r="C42" s="84">
        <v>304</v>
      </c>
      <c r="D42" s="85">
        <v>135.80000000000001</v>
      </c>
      <c r="E42" s="86">
        <v>41</v>
      </c>
      <c r="F42" s="85">
        <v>101.9</v>
      </c>
      <c r="G42" s="17">
        <v>31</v>
      </c>
      <c r="H42" s="87">
        <v>197</v>
      </c>
      <c r="I42" s="88">
        <v>55000</v>
      </c>
      <c r="J42" s="88" t="s">
        <v>99</v>
      </c>
      <c r="K42" s="88"/>
      <c r="L42" s="88"/>
      <c r="M42" s="89">
        <f>I42-K42</f>
        <v>55000</v>
      </c>
      <c r="N42" s="4">
        <f>IF(ISERROR(K42/I42),"",K42/I42)</f>
        <v>0</v>
      </c>
      <c r="O42" s="90">
        <f>I42/E42</f>
        <v>1341.4634146341464</v>
      </c>
      <c r="P42" s="90">
        <f>K42/E42</f>
        <v>0</v>
      </c>
      <c r="Q42" s="78">
        <v>3</v>
      </c>
      <c r="R42" s="78">
        <v>2</v>
      </c>
      <c r="S42" s="78" t="s">
        <v>59</v>
      </c>
      <c r="T42" s="5">
        <v>135</v>
      </c>
      <c r="U42" s="9"/>
    </row>
    <row r="43" spans="1:21" s="37" customFormat="1" ht="12" x14ac:dyDescent="0.3">
      <c r="A43" s="73" t="s">
        <v>1879</v>
      </c>
      <c r="B43" s="74" t="s">
        <v>1694</v>
      </c>
      <c r="C43" s="84">
        <v>468</v>
      </c>
      <c r="D43" s="85">
        <v>127.4</v>
      </c>
      <c r="E43" s="86">
        <v>39</v>
      </c>
      <c r="F43" s="85">
        <v>103.2</v>
      </c>
      <c r="G43" s="17">
        <v>31</v>
      </c>
      <c r="H43" s="87">
        <v>180</v>
      </c>
      <c r="I43" s="88">
        <v>55000</v>
      </c>
      <c r="J43" s="88" t="s">
        <v>127</v>
      </c>
      <c r="K43" s="88"/>
      <c r="L43" s="88"/>
      <c r="M43" s="89">
        <f>I43-K43</f>
        <v>55000</v>
      </c>
      <c r="N43" s="4">
        <f>IF(ISERROR(K43/I43),"",K43/I43)</f>
        <v>0</v>
      </c>
      <c r="O43" s="90">
        <f>I43/E43</f>
        <v>1410.2564102564102</v>
      </c>
      <c r="P43" s="90">
        <f>K43/E43</f>
        <v>0</v>
      </c>
      <c r="Q43" s="78">
        <v>4</v>
      </c>
      <c r="R43" s="78">
        <v>2</v>
      </c>
      <c r="S43" s="78" t="s">
        <v>59</v>
      </c>
      <c r="T43" s="5" t="s">
        <v>139</v>
      </c>
      <c r="U43" s="9"/>
    </row>
    <row r="44" spans="1:21" s="37" customFormat="1" ht="12" x14ac:dyDescent="0.3">
      <c r="A44" s="73" t="s">
        <v>1851</v>
      </c>
      <c r="B44" s="74" t="s">
        <v>1852</v>
      </c>
      <c r="C44" s="84">
        <v>1070</v>
      </c>
      <c r="D44" s="85">
        <v>111.3</v>
      </c>
      <c r="E44" s="86">
        <v>34</v>
      </c>
      <c r="F44" s="85">
        <v>85</v>
      </c>
      <c r="G44" s="17">
        <v>26</v>
      </c>
      <c r="H44" s="87">
        <v>776</v>
      </c>
      <c r="I44" s="88">
        <v>54000</v>
      </c>
      <c r="J44" s="88" t="s">
        <v>89</v>
      </c>
      <c r="K44" s="88">
        <v>41000</v>
      </c>
      <c r="L44" s="88" t="s">
        <v>107</v>
      </c>
      <c r="M44" s="89">
        <f>I44-K44</f>
        <v>13000</v>
      </c>
      <c r="N44" s="4">
        <f>IF(ISERROR(K44/I44),"",K44/I44)</f>
        <v>0.7592592592592593</v>
      </c>
      <c r="O44" s="90">
        <f>I44/E44</f>
        <v>1588.2352941176471</v>
      </c>
      <c r="P44" s="90">
        <f>K44/E44</f>
        <v>1205.8823529411766</v>
      </c>
      <c r="Q44" s="78">
        <v>4</v>
      </c>
      <c r="R44" s="78">
        <v>2</v>
      </c>
      <c r="S44" s="78" t="s">
        <v>59</v>
      </c>
      <c r="T44" s="5">
        <v>111</v>
      </c>
      <c r="U44" s="9"/>
    </row>
    <row r="45" spans="1:21" s="37" customFormat="1" ht="12" x14ac:dyDescent="0.3">
      <c r="A45" s="73" t="s">
        <v>1701</v>
      </c>
      <c r="B45" s="74" t="s">
        <v>1700</v>
      </c>
      <c r="C45" s="84">
        <v>402</v>
      </c>
      <c r="D45" s="85">
        <v>111.9</v>
      </c>
      <c r="E45" s="86">
        <v>34</v>
      </c>
      <c r="F45" s="85">
        <v>84.9</v>
      </c>
      <c r="G45" s="17">
        <v>26</v>
      </c>
      <c r="H45" s="87">
        <v>156</v>
      </c>
      <c r="I45" s="88">
        <v>53500</v>
      </c>
      <c r="J45" s="88" t="s">
        <v>93</v>
      </c>
      <c r="K45" s="88">
        <v>38000</v>
      </c>
      <c r="L45" s="88" t="s">
        <v>147</v>
      </c>
      <c r="M45" s="89">
        <f>I45-K45</f>
        <v>15500</v>
      </c>
      <c r="N45" s="4">
        <f>IF(ISERROR(K45/I45),"",K45/I45)</f>
        <v>0.71028037383177567</v>
      </c>
      <c r="O45" s="90">
        <f>I45/E45</f>
        <v>1573.5294117647059</v>
      </c>
      <c r="P45" s="90">
        <f>K45/E45</f>
        <v>1117.6470588235295</v>
      </c>
      <c r="Q45" s="78">
        <v>4</v>
      </c>
      <c r="R45" s="78">
        <v>2</v>
      </c>
      <c r="S45" s="78" t="s">
        <v>59</v>
      </c>
      <c r="T45" s="5" t="s">
        <v>109</v>
      </c>
      <c r="U45" s="9"/>
    </row>
    <row r="46" spans="1:21" s="37" customFormat="1" ht="12" x14ac:dyDescent="0.3">
      <c r="A46" s="73" t="s">
        <v>1759</v>
      </c>
      <c r="B46" s="74" t="s">
        <v>1760</v>
      </c>
      <c r="C46" s="84">
        <v>323</v>
      </c>
      <c r="D46" s="85">
        <v>112</v>
      </c>
      <c r="E46" s="86">
        <v>34</v>
      </c>
      <c r="F46" s="85">
        <v>84.6</v>
      </c>
      <c r="G46" s="17">
        <v>26</v>
      </c>
      <c r="H46" s="87">
        <v>109</v>
      </c>
      <c r="I46" s="88">
        <v>53000</v>
      </c>
      <c r="J46" s="88" t="s">
        <v>69</v>
      </c>
      <c r="K46" s="88">
        <v>33000</v>
      </c>
      <c r="L46" s="88" t="s">
        <v>83</v>
      </c>
      <c r="M46" s="89">
        <f>I46-K46</f>
        <v>20000</v>
      </c>
      <c r="N46" s="4">
        <f>IF(ISERROR(K46/I46),"",K46/I46)</f>
        <v>0.62264150943396224</v>
      </c>
      <c r="O46" s="90">
        <f>I46/E46</f>
        <v>1558.8235294117646</v>
      </c>
      <c r="P46" s="90">
        <f>K46/E46</f>
        <v>970.58823529411768</v>
      </c>
      <c r="Q46" s="78">
        <v>3</v>
      </c>
      <c r="R46" s="78">
        <v>2</v>
      </c>
      <c r="S46" s="78" t="s">
        <v>59</v>
      </c>
      <c r="T46" s="5" t="s">
        <v>109</v>
      </c>
      <c r="U46" s="9"/>
    </row>
    <row r="47" spans="1:21" s="37" customFormat="1" ht="12" x14ac:dyDescent="0.3">
      <c r="A47" s="73" t="s">
        <v>1964</v>
      </c>
      <c r="B47" s="74" t="s">
        <v>1792</v>
      </c>
      <c r="C47" s="84">
        <v>808</v>
      </c>
      <c r="D47" s="85">
        <v>110.3</v>
      </c>
      <c r="E47" s="86">
        <v>33</v>
      </c>
      <c r="F47" s="85">
        <v>84.9</v>
      </c>
      <c r="G47" s="17">
        <v>26</v>
      </c>
      <c r="H47" s="87">
        <v>472</v>
      </c>
      <c r="I47" s="88">
        <v>53000</v>
      </c>
      <c r="J47" s="88" t="s">
        <v>89</v>
      </c>
      <c r="K47" s="88">
        <v>40000</v>
      </c>
      <c r="L47" s="88" t="s">
        <v>69</v>
      </c>
      <c r="M47" s="89">
        <f>I47-K47</f>
        <v>13000</v>
      </c>
      <c r="N47" s="4">
        <f>IF(ISERROR(K47/I47),"",K47/I47)</f>
        <v>0.75471698113207553</v>
      </c>
      <c r="O47" s="90">
        <f>I47/E47</f>
        <v>1606.060606060606</v>
      </c>
      <c r="P47" s="90">
        <f>K47/E47</f>
        <v>1212.121212121212</v>
      </c>
      <c r="Q47" s="78">
        <v>4</v>
      </c>
      <c r="R47" s="78">
        <v>2</v>
      </c>
      <c r="S47" s="78" t="s">
        <v>59</v>
      </c>
      <c r="T47" s="5" t="s">
        <v>91</v>
      </c>
      <c r="U47" s="9"/>
    </row>
    <row r="48" spans="1:21" s="37" customFormat="1" ht="12" x14ac:dyDescent="0.3">
      <c r="A48" s="73" t="s">
        <v>1782</v>
      </c>
      <c r="B48" s="74" t="s">
        <v>1783</v>
      </c>
      <c r="C48" s="84">
        <v>1236</v>
      </c>
      <c r="D48" s="85">
        <v>191.3</v>
      </c>
      <c r="E48" s="86">
        <v>58</v>
      </c>
      <c r="F48" s="85">
        <v>157.9</v>
      </c>
      <c r="G48" s="17">
        <v>48</v>
      </c>
      <c r="H48" s="87">
        <v>80</v>
      </c>
      <c r="I48" s="88">
        <v>52000</v>
      </c>
      <c r="J48" s="88" t="s">
        <v>83</v>
      </c>
      <c r="K48" s="88"/>
      <c r="L48" s="88"/>
      <c r="M48" s="89">
        <f>I48-K48</f>
        <v>52000</v>
      </c>
      <c r="N48" s="4">
        <f>IF(ISERROR(K48/I48),"",K48/I48)</f>
        <v>0</v>
      </c>
      <c r="O48" s="90">
        <f>I48/E48</f>
        <v>896.55172413793105</v>
      </c>
      <c r="P48" s="90">
        <f>K48/E48</f>
        <v>0</v>
      </c>
      <c r="Q48" s="78">
        <v>4</v>
      </c>
      <c r="R48" s="78">
        <v>2</v>
      </c>
      <c r="S48" s="78" t="s">
        <v>59</v>
      </c>
      <c r="T48" s="5">
        <v>191</v>
      </c>
      <c r="U48" s="9"/>
    </row>
    <row r="49" spans="1:21" s="37" customFormat="1" ht="12" x14ac:dyDescent="0.3">
      <c r="A49" s="73" t="s">
        <v>1957</v>
      </c>
      <c r="B49" s="74" t="s">
        <v>1790</v>
      </c>
      <c r="C49" s="84">
        <v>634</v>
      </c>
      <c r="D49" s="85">
        <v>112.9</v>
      </c>
      <c r="E49" s="86">
        <v>34</v>
      </c>
      <c r="F49" s="85">
        <v>84.8</v>
      </c>
      <c r="G49" s="17">
        <v>26</v>
      </c>
      <c r="H49" s="87">
        <v>267</v>
      </c>
      <c r="I49" s="88">
        <v>52000</v>
      </c>
      <c r="J49" s="88" t="s">
        <v>69</v>
      </c>
      <c r="K49" s="88">
        <v>41000</v>
      </c>
      <c r="L49" s="88" t="s">
        <v>68</v>
      </c>
      <c r="M49" s="89">
        <f>I49-K49</f>
        <v>11000</v>
      </c>
      <c r="N49" s="4">
        <f>IF(ISERROR(K49/I49),"",K49/I49)</f>
        <v>0.78846153846153844</v>
      </c>
      <c r="O49" s="90">
        <f>I49/E49</f>
        <v>1529.4117647058824</v>
      </c>
      <c r="P49" s="90">
        <f>K49/E49</f>
        <v>1205.8823529411766</v>
      </c>
      <c r="Q49" s="78">
        <v>3</v>
      </c>
      <c r="R49" s="78">
        <v>2</v>
      </c>
      <c r="S49" s="78" t="s">
        <v>59</v>
      </c>
      <c r="T49" s="5" t="s">
        <v>101</v>
      </c>
      <c r="U49" s="9"/>
    </row>
    <row r="50" spans="1:21" s="37" customFormat="1" ht="12" x14ac:dyDescent="0.3">
      <c r="A50" s="73" t="s">
        <v>1878</v>
      </c>
      <c r="B50" s="74" t="s">
        <v>1694</v>
      </c>
      <c r="C50" s="84">
        <v>468</v>
      </c>
      <c r="D50" s="85">
        <v>149.4</v>
      </c>
      <c r="E50" s="86">
        <v>45</v>
      </c>
      <c r="F50" s="85">
        <v>117.1</v>
      </c>
      <c r="G50" s="17">
        <v>35</v>
      </c>
      <c r="H50" s="87">
        <v>110</v>
      </c>
      <c r="I50" s="88">
        <v>51000</v>
      </c>
      <c r="J50" s="88" t="s">
        <v>68</v>
      </c>
      <c r="K50" s="88">
        <v>38000</v>
      </c>
      <c r="L50" s="88" t="s">
        <v>89</v>
      </c>
      <c r="M50" s="89">
        <f>I50-K50</f>
        <v>13000</v>
      </c>
      <c r="N50" s="4">
        <f>IF(ISERROR(K50/I50),"",K50/I50)</f>
        <v>0.74509803921568629</v>
      </c>
      <c r="O50" s="90">
        <f>I50/E50</f>
        <v>1133.3333333333333</v>
      </c>
      <c r="P50" s="90">
        <f>K50/E50</f>
        <v>844.44444444444446</v>
      </c>
      <c r="Q50" s="78">
        <v>4</v>
      </c>
      <c r="R50" s="78">
        <v>2</v>
      </c>
      <c r="S50" s="78" t="s">
        <v>59</v>
      </c>
      <c r="T50" s="5">
        <v>149</v>
      </c>
      <c r="U50" s="9"/>
    </row>
    <row r="51" spans="1:21" s="37" customFormat="1" ht="12" x14ac:dyDescent="0.3">
      <c r="A51" s="73" t="s">
        <v>1992</v>
      </c>
      <c r="B51" s="74" t="s">
        <v>1993</v>
      </c>
      <c r="C51" s="84">
        <v>644</v>
      </c>
      <c r="D51" s="85">
        <v>175.3</v>
      </c>
      <c r="E51" s="86">
        <v>53</v>
      </c>
      <c r="F51" s="85">
        <v>144.6</v>
      </c>
      <c r="G51" s="17">
        <v>44</v>
      </c>
      <c r="H51" s="87">
        <v>166</v>
      </c>
      <c r="I51" s="88">
        <v>50000</v>
      </c>
      <c r="J51" s="88" t="s">
        <v>89</v>
      </c>
      <c r="K51" s="88"/>
      <c r="L51" s="88"/>
      <c r="M51" s="89">
        <f>I51-K51</f>
        <v>50000</v>
      </c>
      <c r="N51" s="4">
        <f>IF(ISERROR(K51/I51),"",K51/I51)</f>
        <v>0</v>
      </c>
      <c r="O51" s="90">
        <f>I51/E51</f>
        <v>943.39622641509436</v>
      </c>
      <c r="P51" s="90">
        <f>K51/E51</f>
        <v>0</v>
      </c>
      <c r="Q51" s="78">
        <v>4</v>
      </c>
      <c r="R51" s="78">
        <v>2</v>
      </c>
      <c r="S51" s="78" t="s">
        <v>59</v>
      </c>
      <c r="T51" s="5" t="s">
        <v>228</v>
      </c>
      <c r="U51" s="9"/>
    </row>
    <row r="52" spans="1:21" s="37" customFormat="1" ht="12" x14ac:dyDescent="0.3">
      <c r="A52" s="73" t="s">
        <v>1669</v>
      </c>
      <c r="B52" s="74" t="s">
        <v>1730</v>
      </c>
      <c r="C52" s="84">
        <v>625</v>
      </c>
      <c r="D52" s="85">
        <v>109.2</v>
      </c>
      <c r="E52" s="86">
        <v>33</v>
      </c>
      <c r="F52" s="85">
        <v>85</v>
      </c>
      <c r="G52" s="17">
        <v>26</v>
      </c>
      <c r="H52" s="87">
        <v>517</v>
      </c>
      <c r="I52" s="88">
        <v>49800</v>
      </c>
      <c r="J52" s="88" t="s">
        <v>69</v>
      </c>
      <c r="K52" s="88">
        <v>43000</v>
      </c>
      <c r="L52" s="88" t="s">
        <v>68</v>
      </c>
      <c r="M52" s="89">
        <f>I52-K52</f>
        <v>6800</v>
      </c>
      <c r="N52" s="4">
        <f>IF(ISERROR(K52/I52),"",K52/I52)</f>
        <v>0.86345381526104414</v>
      </c>
      <c r="O52" s="90">
        <f>I52/E52</f>
        <v>1509.090909090909</v>
      </c>
      <c r="P52" s="90">
        <f>K52/E52</f>
        <v>1303.030303030303</v>
      </c>
      <c r="Q52" s="78">
        <v>3</v>
      </c>
      <c r="R52" s="78">
        <v>2</v>
      </c>
      <c r="S52" s="78" t="s">
        <v>59</v>
      </c>
      <c r="T52" s="5" t="s">
        <v>70</v>
      </c>
      <c r="U52" s="9"/>
    </row>
    <row r="53" spans="1:21" s="37" customFormat="1" ht="12" x14ac:dyDescent="0.3">
      <c r="A53" s="73" t="s">
        <v>1847</v>
      </c>
      <c r="B53" s="74" t="s">
        <v>1848</v>
      </c>
      <c r="C53" s="84">
        <v>553</v>
      </c>
      <c r="D53" s="85">
        <v>111.5</v>
      </c>
      <c r="E53" s="86">
        <v>34</v>
      </c>
      <c r="F53" s="85">
        <v>84.9</v>
      </c>
      <c r="G53" s="17">
        <v>26</v>
      </c>
      <c r="H53" s="87">
        <v>344</v>
      </c>
      <c r="I53" s="88">
        <v>49500</v>
      </c>
      <c r="J53" s="88" t="s">
        <v>69</v>
      </c>
      <c r="K53" s="88">
        <v>41000</v>
      </c>
      <c r="L53" s="88" t="s">
        <v>69</v>
      </c>
      <c r="M53" s="89">
        <f>I53-K53</f>
        <v>8500</v>
      </c>
      <c r="N53" s="4">
        <f>IF(ISERROR(K53/I53),"",K53/I53)</f>
        <v>0.82828282828282829</v>
      </c>
      <c r="O53" s="90">
        <f>I53/E53</f>
        <v>1455.8823529411766</v>
      </c>
      <c r="P53" s="90">
        <f>K53/E53</f>
        <v>1205.8823529411766</v>
      </c>
      <c r="Q53" s="78">
        <v>3</v>
      </c>
      <c r="R53" s="78">
        <v>2</v>
      </c>
      <c r="S53" s="78" t="s">
        <v>59</v>
      </c>
      <c r="T53" s="5" t="s">
        <v>109</v>
      </c>
      <c r="U53" s="9"/>
    </row>
    <row r="54" spans="1:21" s="37" customFormat="1" ht="12" x14ac:dyDescent="0.3">
      <c r="A54" s="73" t="s">
        <v>1692</v>
      </c>
      <c r="B54" s="74" t="s">
        <v>1682</v>
      </c>
      <c r="C54" s="84">
        <v>900</v>
      </c>
      <c r="D54" s="85">
        <v>151.80000000000001</v>
      </c>
      <c r="E54" s="86">
        <v>46</v>
      </c>
      <c r="F54" s="85">
        <v>122</v>
      </c>
      <c r="G54" s="17">
        <v>37</v>
      </c>
      <c r="H54" s="87">
        <v>216</v>
      </c>
      <c r="I54" s="88">
        <v>49500</v>
      </c>
      <c r="J54" s="88" t="s">
        <v>87</v>
      </c>
      <c r="K54" s="88"/>
      <c r="L54" s="88"/>
      <c r="M54" s="89">
        <f>I54-K54</f>
        <v>49500</v>
      </c>
      <c r="N54" s="4">
        <f>IF(ISERROR(K54/I54),"",K54/I54)</f>
        <v>0</v>
      </c>
      <c r="O54" s="90">
        <f>I54/E54</f>
        <v>1076.0869565217392</v>
      </c>
      <c r="P54" s="90">
        <f>K54/E54</f>
        <v>0</v>
      </c>
      <c r="Q54" s="78">
        <v>4</v>
      </c>
      <c r="R54" s="78">
        <v>2</v>
      </c>
      <c r="S54" s="78" t="s">
        <v>59</v>
      </c>
      <c r="T54" s="5">
        <v>151</v>
      </c>
      <c r="U54" s="9"/>
    </row>
    <row r="55" spans="1:21" s="37" customFormat="1" ht="12" x14ac:dyDescent="0.3">
      <c r="A55" s="73" t="s">
        <v>1956</v>
      </c>
      <c r="B55" s="74" t="s">
        <v>1792</v>
      </c>
      <c r="C55" s="84">
        <v>462</v>
      </c>
      <c r="D55" s="85">
        <v>110.8</v>
      </c>
      <c r="E55" s="86">
        <v>34</v>
      </c>
      <c r="F55" s="85">
        <v>85</v>
      </c>
      <c r="G55" s="17">
        <v>26</v>
      </c>
      <c r="H55" s="87">
        <v>462</v>
      </c>
      <c r="I55" s="88">
        <v>49000</v>
      </c>
      <c r="J55" s="88" t="s">
        <v>89</v>
      </c>
      <c r="K55" s="88">
        <v>37000</v>
      </c>
      <c r="L55" s="88" t="s">
        <v>68</v>
      </c>
      <c r="M55" s="89">
        <f>I55-K55</f>
        <v>12000</v>
      </c>
      <c r="N55" s="4">
        <f>IF(ISERROR(K55/I55),"",K55/I55)</f>
        <v>0.75510204081632648</v>
      </c>
      <c r="O55" s="90">
        <f>I55/E55</f>
        <v>1441.1764705882354</v>
      </c>
      <c r="P55" s="90">
        <f>K55/E55</f>
        <v>1088.2352941176471</v>
      </c>
      <c r="Q55" s="78">
        <v>3</v>
      </c>
      <c r="R55" s="78">
        <v>2</v>
      </c>
      <c r="S55" s="78" t="s">
        <v>59</v>
      </c>
      <c r="T55" s="5">
        <v>110</v>
      </c>
      <c r="U55" s="9"/>
    </row>
    <row r="56" spans="1:21" s="37" customFormat="1" ht="12" x14ac:dyDescent="0.3">
      <c r="A56" s="73" t="s">
        <v>1793</v>
      </c>
      <c r="B56" s="74" t="s">
        <v>1792</v>
      </c>
      <c r="C56" s="84">
        <v>680</v>
      </c>
      <c r="D56" s="85">
        <v>108.9</v>
      </c>
      <c r="E56" s="86">
        <v>33</v>
      </c>
      <c r="F56" s="85">
        <v>83.8</v>
      </c>
      <c r="G56" s="17">
        <v>25</v>
      </c>
      <c r="H56" s="87">
        <v>188</v>
      </c>
      <c r="I56" s="88">
        <v>49000</v>
      </c>
      <c r="J56" s="88" t="s">
        <v>127</v>
      </c>
      <c r="K56" s="88">
        <v>40000</v>
      </c>
      <c r="L56" s="88" t="s">
        <v>82</v>
      </c>
      <c r="M56" s="89">
        <f>I56-K56</f>
        <v>9000</v>
      </c>
      <c r="N56" s="4">
        <f>IF(ISERROR(K56/I56),"",K56/I56)</f>
        <v>0.81632653061224492</v>
      </c>
      <c r="O56" s="90">
        <f>I56/E56</f>
        <v>1484.8484848484848</v>
      </c>
      <c r="P56" s="90">
        <f>K56/E56</f>
        <v>1212.121212121212</v>
      </c>
      <c r="Q56" s="78">
        <v>3</v>
      </c>
      <c r="R56" s="78">
        <v>2</v>
      </c>
      <c r="S56" s="78" t="s">
        <v>59</v>
      </c>
      <c r="T56" s="5">
        <v>108</v>
      </c>
      <c r="U56" s="9"/>
    </row>
    <row r="57" spans="1:21" s="37" customFormat="1" ht="12" x14ac:dyDescent="0.3">
      <c r="A57" s="73" t="s">
        <v>1850</v>
      </c>
      <c r="B57" s="74" t="s">
        <v>1848</v>
      </c>
      <c r="C57" s="84">
        <v>1070</v>
      </c>
      <c r="D57" s="85">
        <v>99.5</v>
      </c>
      <c r="E57" s="86">
        <v>30</v>
      </c>
      <c r="F57" s="85">
        <v>74.099999999999994</v>
      </c>
      <c r="G57" s="17">
        <v>22</v>
      </c>
      <c r="H57" s="87">
        <v>294</v>
      </c>
      <c r="I57" s="88">
        <v>48000</v>
      </c>
      <c r="J57" s="88" t="s">
        <v>93</v>
      </c>
      <c r="K57" s="88">
        <v>37000</v>
      </c>
      <c r="L57" s="88" t="s">
        <v>104</v>
      </c>
      <c r="M57" s="89">
        <f>I57-K57</f>
        <v>11000</v>
      </c>
      <c r="N57" s="4">
        <f>IF(ISERROR(K57/I57),"",K57/I57)</f>
        <v>0.77083333333333337</v>
      </c>
      <c r="O57" s="90">
        <f>I57/E57</f>
        <v>1600</v>
      </c>
      <c r="P57" s="90">
        <f>K57/E57</f>
        <v>1233.3333333333333</v>
      </c>
      <c r="Q57" s="78">
        <v>3</v>
      </c>
      <c r="R57" s="78">
        <v>2</v>
      </c>
      <c r="S57" s="78" t="s">
        <v>59</v>
      </c>
      <c r="T57" s="5">
        <v>99</v>
      </c>
      <c r="U57" s="9"/>
    </row>
    <row r="58" spans="1:21" s="37" customFormat="1" ht="12" x14ac:dyDescent="0.3">
      <c r="A58" s="73" t="s">
        <v>1915</v>
      </c>
      <c r="B58" s="74" t="s">
        <v>1916</v>
      </c>
      <c r="C58" s="84">
        <v>750</v>
      </c>
      <c r="D58" s="85">
        <v>111.3</v>
      </c>
      <c r="E58" s="86">
        <v>34</v>
      </c>
      <c r="F58" s="85">
        <v>85</v>
      </c>
      <c r="G58" s="17">
        <v>26</v>
      </c>
      <c r="H58" s="87">
        <v>245</v>
      </c>
      <c r="I58" s="88">
        <v>48000</v>
      </c>
      <c r="J58" s="88" t="s">
        <v>126</v>
      </c>
      <c r="K58" s="88">
        <v>38000</v>
      </c>
      <c r="L58" s="88" t="s">
        <v>104</v>
      </c>
      <c r="M58" s="89">
        <f>I58-K58</f>
        <v>10000</v>
      </c>
      <c r="N58" s="4">
        <f>IF(ISERROR(K58/I58),"",K58/I58)</f>
        <v>0.79166666666666663</v>
      </c>
      <c r="O58" s="90">
        <f>I58/E58</f>
        <v>1411.7647058823529</v>
      </c>
      <c r="P58" s="90">
        <f>K58/E58</f>
        <v>1117.6470588235295</v>
      </c>
      <c r="Q58" s="78">
        <v>3</v>
      </c>
      <c r="R58" s="78">
        <v>2</v>
      </c>
      <c r="S58" s="78" t="s">
        <v>59</v>
      </c>
      <c r="T58" s="5" t="s">
        <v>110</v>
      </c>
      <c r="U58" s="9"/>
    </row>
    <row r="59" spans="1:21" s="37" customFormat="1" ht="12" x14ac:dyDescent="0.3">
      <c r="A59" s="73" t="s">
        <v>1865</v>
      </c>
      <c r="B59" s="74" t="s">
        <v>1682</v>
      </c>
      <c r="C59" s="84">
        <v>520</v>
      </c>
      <c r="D59" s="85">
        <v>144.6</v>
      </c>
      <c r="E59" s="86">
        <v>44</v>
      </c>
      <c r="F59" s="85">
        <v>112.9</v>
      </c>
      <c r="G59" s="17">
        <v>34</v>
      </c>
      <c r="H59" s="87">
        <v>218</v>
      </c>
      <c r="I59" s="88">
        <v>47500</v>
      </c>
      <c r="J59" s="88" t="s">
        <v>69</v>
      </c>
      <c r="K59" s="88"/>
      <c r="L59" s="88"/>
      <c r="M59" s="89">
        <f>I59-K59</f>
        <v>47500</v>
      </c>
      <c r="N59" s="4">
        <f>IF(ISERROR(K59/I59),"",K59/I59)</f>
        <v>0</v>
      </c>
      <c r="O59" s="90">
        <f>I59/E59</f>
        <v>1079.5454545454545</v>
      </c>
      <c r="P59" s="90">
        <f>K59/E59</f>
        <v>0</v>
      </c>
      <c r="Q59" s="78">
        <v>4</v>
      </c>
      <c r="R59" s="78">
        <v>2</v>
      </c>
      <c r="S59" s="78" t="s">
        <v>59</v>
      </c>
      <c r="T59" s="5">
        <v>144</v>
      </c>
      <c r="U59" s="9"/>
    </row>
    <row r="60" spans="1:21" s="37" customFormat="1" ht="12" x14ac:dyDescent="0.3">
      <c r="A60" s="73" t="s">
        <v>1988</v>
      </c>
      <c r="B60" s="74" t="s">
        <v>1989</v>
      </c>
      <c r="C60" s="84">
        <v>644</v>
      </c>
      <c r="D60" s="85">
        <v>149</v>
      </c>
      <c r="E60" s="86">
        <v>45</v>
      </c>
      <c r="F60" s="85">
        <v>117.9</v>
      </c>
      <c r="G60" s="17">
        <v>36</v>
      </c>
      <c r="H60" s="87">
        <v>192</v>
      </c>
      <c r="I60" s="88">
        <v>47000</v>
      </c>
      <c r="J60" s="88" t="s">
        <v>104</v>
      </c>
      <c r="K60" s="88"/>
      <c r="L60" s="88"/>
      <c r="M60" s="89">
        <f>I60-K60</f>
        <v>47000</v>
      </c>
      <c r="N60" s="4">
        <f>IF(ISERROR(K60/I60),"",K60/I60)</f>
        <v>0</v>
      </c>
      <c r="O60" s="90">
        <f>I60/E60</f>
        <v>1044.4444444444443</v>
      </c>
      <c r="P60" s="90">
        <f>K60/E60</f>
        <v>0</v>
      </c>
      <c r="Q60" s="78">
        <v>4</v>
      </c>
      <c r="R60" s="78">
        <v>2</v>
      </c>
      <c r="S60" s="78" t="s">
        <v>59</v>
      </c>
      <c r="T60" s="5">
        <v>149</v>
      </c>
      <c r="U60" s="9"/>
    </row>
    <row r="61" spans="1:21" s="37" customFormat="1" ht="12" x14ac:dyDescent="0.3">
      <c r="A61" s="73" t="s">
        <v>1844</v>
      </c>
      <c r="B61" s="74" t="s">
        <v>1668</v>
      </c>
      <c r="C61" s="84">
        <v>367</v>
      </c>
      <c r="D61" s="85">
        <v>112.6</v>
      </c>
      <c r="E61" s="86">
        <v>34</v>
      </c>
      <c r="F61" s="85">
        <v>84.9</v>
      </c>
      <c r="G61" s="17">
        <v>26</v>
      </c>
      <c r="H61" s="87">
        <v>78</v>
      </c>
      <c r="I61" s="88">
        <v>46000</v>
      </c>
      <c r="J61" s="88" t="s">
        <v>82</v>
      </c>
      <c r="K61" s="88">
        <v>35000</v>
      </c>
      <c r="L61" s="88" t="s">
        <v>83</v>
      </c>
      <c r="M61" s="89">
        <f>I61-K61</f>
        <v>11000</v>
      </c>
      <c r="N61" s="4">
        <f>IF(ISERROR(K61/I61),"",K61/I61)</f>
        <v>0.76086956521739135</v>
      </c>
      <c r="O61" s="90">
        <f>I61/E61</f>
        <v>1352.9411764705883</v>
      </c>
      <c r="P61" s="90">
        <f>K61/E61</f>
        <v>1029.4117647058824</v>
      </c>
      <c r="Q61" s="78">
        <v>3</v>
      </c>
      <c r="R61" s="78">
        <v>2</v>
      </c>
      <c r="S61" s="78" t="s">
        <v>59</v>
      </c>
      <c r="T61" s="5" t="s">
        <v>101</v>
      </c>
      <c r="U61" s="9"/>
    </row>
    <row r="62" spans="1:21" s="37" customFormat="1" ht="12" x14ac:dyDescent="0.3">
      <c r="A62" s="73" t="s">
        <v>1872</v>
      </c>
      <c r="B62" s="74" t="s">
        <v>1677</v>
      </c>
      <c r="C62" s="84">
        <v>428</v>
      </c>
      <c r="D62" s="85">
        <v>157.80000000000001</v>
      </c>
      <c r="E62" s="86">
        <v>48</v>
      </c>
      <c r="F62" s="85">
        <v>125.6</v>
      </c>
      <c r="G62" s="17">
        <v>38</v>
      </c>
      <c r="H62" s="87">
        <v>104</v>
      </c>
      <c r="I62" s="88">
        <v>46000</v>
      </c>
      <c r="J62" s="88" t="s">
        <v>137</v>
      </c>
      <c r="K62" s="88"/>
      <c r="L62" s="88"/>
      <c r="M62" s="89">
        <f>I62-K62</f>
        <v>46000</v>
      </c>
      <c r="N62" s="4">
        <f>IF(ISERROR(K62/I62),"",K62/I62)</f>
        <v>0</v>
      </c>
      <c r="O62" s="90">
        <f>I62/E62</f>
        <v>958.33333333333337</v>
      </c>
      <c r="P62" s="90">
        <f>K62/E62</f>
        <v>0</v>
      </c>
      <c r="Q62" s="78">
        <v>4</v>
      </c>
      <c r="R62" s="78">
        <v>2</v>
      </c>
      <c r="S62" s="78" t="s">
        <v>59</v>
      </c>
      <c r="T62" s="5">
        <v>157</v>
      </c>
      <c r="U62" s="9"/>
    </row>
    <row r="63" spans="1:21" s="37" customFormat="1" ht="12" x14ac:dyDescent="0.3">
      <c r="A63" s="73" t="s">
        <v>1880</v>
      </c>
      <c r="B63" s="74" t="s">
        <v>1695</v>
      </c>
      <c r="C63" s="84">
        <v>480</v>
      </c>
      <c r="D63" s="85">
        <v>110.3</v>
      </c>
      <c r="E63" s="86">
        <v>33</v>
      </c>
      <c r="F63" s="85">
        <v>84.9</v>
      </c>
      <c r="G63" s="17">
        <v>26</v>
      </c>
      <c r="H63" s="87">
        <v>222</v>
      </c>
      <c r="I63" s="88">
        <v>45000</v>
      </c>
      <c r="J63" s="88" t="s">
        <v>89</v>
      </c>
      <c r="K63" s="88">
        <v>39000</v>
      </c>
      <c r="L63" s="88" t="s">
        <v>82</v>
      </c>
      <c r="M63" s="89">
        <f>I63-K63</f>
        <v>6000</v>
      </c>
      <c r="N63" s="4">
        <f>IF(ISERROR(K63/I63),"",K63/I63)</f>
        <v>0.8666666666666667</v>
      </c>
      <c r="O63" s="90">
        <f>I63/E63</f>
        <v>1363.6363636363637</v>
      </c>
      <c r="P63" s="90">
        <f>K63/E63</f>
        <v>1181.8181818181818</v>
      </c>
      <c r="Q63" s="78">
        <v>3</v>
      </c>
      <c r="R63" s="78">
        <v>2</v>
      </c>
      <c r="S63" s="78" t="s">
        <v>59</v>
      </c>
      <c r="T63" s="5" t="s">
        <v>132</v>
      </c>
      <c r="U63" s="9"/>
    </row>
    <row r="64" spans="1:21" s="37" customFormat="1" ht="12" x14ac:dyDescent="0.3">
      <c r="A64" s="73" t="s">
        <v>1915</v>
      </c>
      <c r="B64" s="74" t="s">
        <v>1916</v>
      </c>
      <c r="C64" s="84">
        <v>750</v>
      </c>
      <c r="D64" s="85">
        <v>98.4</v>
      </c>
      <c r="E64" s="86">
        <v>30</v>
      </c>
      <c r="F64" s="85">
        <v>74.900000000000006</v>
      </c>
      <c r="G64" s="17">
        <v>23</v>
      </c>
      <c r="H64" s="87">
        <v>189</v>
      </c>
      <c r="I64" s="88">
        <v>45000</v>
      </c>
      <c r="J64" s="88" t="s">
        <v>127</v>
      </c>
      <c r="K64" s="88"/>
      <c r="L64" s="88"/>
      <c r="M64" s="89">
        <f>I64-K64</f>
        <v>45000</v>
      </c>
      <c r="N64" s="4">
        <f>IF(ISERROR(K64/I64),"",K64/I64)</f>
        <v>0</v>
      </c>
      <c r="O64" s="90">
        <f>I64/E64</f>
        <v>1500</v>
      </c>
      <c r="P64" s="90">
        <f>K64/E64</f>
        <v>0</v>
      </c>
      <c r="Q64" s="78">
        <v>3</v>
      </c>
      <c r="R64" s="78">
        <v>2</v>
      </c>
      <c r="S64" s="78" t="s">
        <v>59</v>
      </c>
      <c r="T64" s="5">
        <v>98</v>
      </c>
      <c r="U64" s="9"/>
    </row>
    <row r="65" spans="1:21" s="37" customFormat="1" ht="12" x14ac:dyDescent="0.3">
      <c r="A65" s="73" t="s">
        <v>1764</v>
      </c>
      <c r="B65" s="74" t="s">
        <v>1763</v>
      </c>
      <c r="C65" s="84">
        <v>998</v>
      </c>
      <c r="D65" s="85">
        <v>99.2</v>
      </c>
      <c r="E65" s="86">
        <v>30</v>
      </c>
      <c r="F65" s="85">
        <v>75</v>
      </c>
      <c r="G65" s="17">
        <v>23</v>
      </c>
      <c r="H65" s="87">
        <v>79</v>
      </c>
      <c r="I65" s="88">
        <v>45000</v>
      </c>
      <c r="J65" s="88" t="s">
        <v>68</v>
      </c>
      <c r="K65" s="88"/>
      <c r="L65" s="88"/>
      <c r="M65" s="89">
        <f>I65-K65</f>
        <v>45000</v>
      </c>
      <c r="N65" s="4">
        <f>IF(ISERROR(K65/I65),"",K65/I65)</f>
        <v>0</v>
      </c>
      <c r="O65" s="90">
        <f>I65/E65</f>
        <v>1500</v>
      </c>
      <c r="P65" s="90">
        <f>K65/E65</f>
        <v>0</v>
      </c>
      <c r="Q65" s="78">
        <v>3</v>
      </c>
      <c r="R65" s="78">
        <v>2</v>
      </c>
      <c r="S65" s="78" t="s">
        <v>59</v>
      </c>
      <c r="T65" s="5" t="s">
        <v>195</v>
      </c>
      <c r="U65" s="9"/>
    </row>
    <row r="66" spans="1:21" s="37" customFormat="1" ht="12" x14ac:dyDescent="0.3">
      <c r="A66" s="73" t="s">
        <v>1776</v>
      </c>
      <c r="B66" s="74" t="s">
        <v>1777</v>
      </c>
      <c r="C66" s="84">
        <v>1153</v>
      </c>
      <c r="D66" s="85">
        <v>162.19999999999999</v>
      </c>
      <c r="E66" s="86">
        <v>49</v>
      </c>
      <c r="F66" s="85">
        <v>134.6</v>
      </c>
      <c r="G66" s="17">
        <v>41</v>
      </c>
      <c r="H66" s="87">
        <v>178</v>
      </c>
      <c r="I66" s="88">
        <v>45000</v>
      </c>
      <c r="J66" s="88" t="s">
        <v>131</v>
      </c>
      <c r="K66" s="88"/>
      <c r="L66" s="88"/>
      <c r="M66" s="89">
        <f>I66-K66</f>
        <v>45000</v>
      </c>
      <c r="N66" s="4">
        <f>IF(ISERROR(K66/I66),"",K66/I66)</f>
        <v>0</v>
      </c>
      <c r="O66" s="90">
        <f>I66/E66</f>
        <v>918.36734693877554</v>
      </c>
      <c r="P66" s="90">
        <f>K66/E66</f>
        <v>0</v>
      </c>
      <c r="Q66" s="78">
        <v>4</v>
      </c>
      <c r="R66" s="78">
        <v>2</v>
      </c>
      <c r="S66" s="78" t="s">
        <v>59</v>
      </c>
      <c r="T66" s="5">
        <v>162</v>
      </c>
      <c r="U66" s="9"/>
    </row>
    <row r="67" spans="1:21" s="37" customFormat="1" ht="12" x14ac:dyDescent="0.3">
      <c r="A67" s="73" t="s">
        <v>1782</v>
      </c>
      <c r="B67" s="74" t="s">
        <v>1783</v>
      </c>
      <c r="C67" s="84">
        <v>1236</v>
      </c>
      <c r="D67" s="85">
        <v>143.5</v>
      </c>
      <c r="E67" s="86">
        <v>43</v>
      </c>
      <c r="F67" s="85">
        <v>114.8</v>
      </c>
      <c r="G67" s="17">
        <v>35</v>
      </c>
      <c r="H67" s="87">
        <v>284</v>
      </c>
      <c r="I67" s="88">
        <v>45000</v>
      </c>
      <c r="J67" s="88" t="s">
        <v>93</v>
      </c>
      <c r="K67" s="88"/>
      <c r="L67" s="88"/>
      <c r="M67" s="89">
        <f>I67-K67</f>
        <v>45000</v>
      </c>
      <c r="N67" s="4">
        <f>IF(ISERROR(K67/I67),"",K67/I67)</f>
        <v>0</v>
      </c>
      <c r="O67" s="90">
        <f>I67/E67</f>
        <v>1046.5116279069769</v>
      </c>
      <c r="P67" s="90">
        <f>K67/E67</f>
        <v>0</v>
      </c>
      <c r="Q67" s="78">
        <v>4</v>
      </c>
      <c r="R67" s="78">
        <v>2</v>
      </c>
      <c r="S67" s="78" t="s">
        <v>59</v>
      </c>
      <c r="T67" s="5">
        <v>143</v>
      </c>
      <c r="U67" s="9"/>
    </row>
    <row r="68" spans="1:21" s="37" customFormat="1" ht="12" x14ac:dyDescent="0.3">
      <c r="A68" s="73" t="s">
        <v>1736</v>
      </c>
      <c r="B68" s="74" t="s">
        <v>1708</v>
      </c>
      <c r="C68" s="84">
        <v>381</v>
      </c>
      <c r="D68" s="85">
        <v>109.3</v>
      </c>
      <c r="E68" s="86">
        <v>33</v>
      </c>
      <c r="F68" s="85">
        <v>85</v>
      </c>
      <c r="G68" s="17">
        <v>26</v>
      </c>
      <c r="H68" s="87">
        <v>346</v>
      </c>
      <c r="I68" s="88">
        <v>43100</v>
      </c>
      <c r="J68" s="88" t="s">
        <v>82</v>
      </c>
      <c r="K68" s="88">
        <v>35000</v>
      </c>
      <c r="L68" s="88" t="s">
        <v>83</v>
      </c>
      <c r="M68" s="89">
        <f>I68-K68</f>
        <v>8100</v>
      </c>
      <c r="N68" s="4">
        <f>IF(ISERROR(K68/I68),"",K68/I68)</f>
        <v>0.81206496519721583</v>
      </c>
      <c r="O68" s="90">
        <f>I68/E68</f>
        <v>1306.060606060606</v>
      </c>
      <c r="P68" s="90">
        <f>K68/E68</f>
        <v>1060.6060606060605</v>
      </c>
      <c r="Q68" s="78">
        <v>3</v>
      </c>
      <c r="R68" s="78">
        <v>2</v>
      </c>
      <c r="S68" s="78" t="s">
        <v>59</v>
      </c>
      <c r="T68" s="5" t="s">
        <v>70</v>
      </c>
      <c r="U68" s="9"/>
    </row>
    <row r="69" spans="1:21" s="37" customFormat="1" ht="12" x14ac:dyDescent="0.3">
      <c r="A69" s="73" t="s">
        <v>1902</v>
      </c>
      <c r="B69" s="74" t="s">
        <v>1730</v>
      </c>
      <c r="C69" s="84">
        <v>708</v>
      </c>
      <c r="D69" s="85">
        <v>83.5</v>
      </c>
      <c r="E69" s="86">
        <v>25</v>
      </c>
      <c r="F69" s="85">
        <v>60</v>
      </c>
      <c r="G69" s="17">
        <v>18</v>
      </c>
      <c r="H69" s="87">
        <v>116</v>
      </c>
      <c r="I69" s="88">
        <v>43000</v>
      </c>
      <c r="J69" s="88" t="s">
        <v>156</v>
      </c>
      <c r="K69" s="88">
        <v>32000</v>
      </c>
      <c r="L69" s="88" t="s">
        <v>182</v>
      </c>
      <c r="M69" s="89">
        <f>I69-K69</f>
        <v>11000</v>
      </c>
      <c r="N69" s="4">
        <f>IF(ISERROR(K69/I69),"",K69/I69)</f>
        <v>0.7441860465116279</v>
      </c>
      <c r="O69" s="90">
        <f>I69/E69</f>
        <v>1720</v>
      </c>
      <c r="P69" s="90">
        <f>K69/E69</f>
        <v>1280</v>
      </c>
      <c r="Q69" s="78">
        <v>3</v>
      </c>
      <c r="R69" s="78">
        <v>2</v>
      </c>
      <c r="S69" s="78" t="s">
        <v>59</v>
      </c>
      <c r="T69" s="5" t="s">
        <v>112</v>
      </c>
      <c r="U69" s="9"/>
    </row>
    <row r="70" spans="1:21" s="37" customFormat="1" ht="12" x14ac:dyDescent="0.3">
      <c r="A70" s="73" t="s">
        <v>1704</v>
      </c>
      <c r="B70" s="74" t="s">
        <v>1671</v>
      </c>
      <c r="C70" s="84">
        <v>662</v>
      </c>
      <c r="D70" s="85">
        <v>81.8</v>
      </c>
      <c r="E70" s="86">
        <v>25</v>
      </c>
      <c r="F70" s="85">
        <v>60</v>
      </c>
      <c r="G70" s="17">
        <v>18</v>
      </c>
      <c r="H70" s="87">
        <v>92</v>
      </c>
      <c r="I70" s="88">
        <v>43000</v>
      </c>
      <c r="J70" s="88" t="s">
        <v>83</v>
      </c>
      <c r="K70" s="88"/>
      <c r="L70" s="88"/>
      <c r="M70" s="89">
        <f>I70-K70</f>
        <v>43000</v>
      </c>
      <c r="N70" s="4">
        <f>IF(ISERROR(K70/I70),"",K70/I70)</f>
        <v>0</v>
      </c>
      <c r="O70" s="90">
        <f>I70/E70</f>
        <v>1720</v>
      </c>
      <c r="P70" s="90">
        <f>K70/E70</f>
        <v>0</v>
      </c>
      <c r="Q70" s="78">
        <v>3</v>
      </c>
      <c r="R70" s="78">
        <v>2</v>
      </c>
      <c r="S70" s="78" t="s">
        <v>59</v>
      </c>
      <c r="T70" s="5">
        <v>81</v>
      </c>
      <c r="U70" s="9"/>
    </row>
    <row r="71" spans="1:21" s="37" customFormat="1" ht="12" x14ac:dyDescent="0.3">
      <c r="A71" s="73" t="s">
        <v>1709</v>
      </c>
      <c r="B71" s="74" t="s">
        <v>1708</v>
      </c>
      <c r="C71" s="84">
        <v>585</v>
      </c>
      <c r="D71" s="85">
        <v>109.4</v>
      </c>
      <c r="E71" s="86">
        <v>33</v>
      </c>
      <c r="F71" s="85">
        <v>85</v>
      </c>
      <c r="G71" s="17">
        <v>26</v>
      </c>
      <c r="H71" s="87">
        <v>539</v>
      </c>
      <c r="I71" s="88">
        <v>43000</v>
      </c>
      <c r="J71" s="88" t="s">
        <v>89</v>
      </c>
      <c r="K71" s="88">
        <v>38000</v>
      </c>
      <c r="L71" s="88" t="s">
        <v>83</v>
      </c>
      <c r="M71" s="89">
        <f>I71-K71</f>
        <v>5000</v>
      </c>
      <c r="N71" s="4">
        <f>IF(ISERROR(K71/I71),"",K71/I71)</f>
        <v>0.88372093023255816</v>
      </c>
      <c r="O71" s="90">
        <f>I71/E71</f>
        <v>1303.030303030303</v>
      </c>
      <c r="P71" s="90">
        <f>K71/E71</f>
        <v>1151.5151515151515</v>
      </c>
      <c r="Q71" s="78">
        <v>3</v>
      </c>
      <c r="R71" s="78">
        <v>2</v>
      </c>
      <c r="S71" s="78" t="s">
        <v>59</v>
      </c>
      <c r="T71" s="5" t="s">
        <v>70</v>
      </c>
      <c r="U71" s="9"/>
    </row>
    <row r="72" spans="1:21" s="37" customFormat="1" ht="12" x14ac:dyDescent="0.3">
      <c r="A72" s="73" t="s">
        <v>1714</v>
      </c>
      <c r="B72" s="74" t="s">
        <v>1671</v>
      </c>
      <c r="C72" s="84">
        <v>720</v>
      </c>
      <c r="D72" s="85">
        <v>80.3</v>
      </c>
      <c r="E72" s="86">
        <v>24</v>
      </c>
      <c r="F72" s="85">
        <v>60</v>
      </c>
      <c r="G72" s="17">
        <v>18</v>
      </c>
      <c r="H72" s="87">
        <v>108</v>
      </c>
      <c r="I72" s="88">
        <v>42500</v>
      </c>
      <c r="J72" s="88" t="s">
        <v>72</v>
      </c>
      <c r="K72" s="88"/>
      <c r="L72" s="88"/>
      <c r="M72" s="89">
        <f>I72-K72</f>
        <v>42500</v>
      </c>
      <c r="N72" s="4">
        <f>IF(ISERROR(K72/I72),"",K72/I72)</f>
        <v>0</v>
      </c>
      <c r="O72" s="90">
        <f>I72/E72</f>
        <v>1770.8333333333333</v>
      </c>
      <c r="P72" s="90">
        <f>K72/E72</f>
        <v>0</v>
      </c>
      <c r="Q72" s="78">
        <v>3</v>
      </c>
      <c r="R72" s="78">
        <v>2</v>
      </c>
      <c r="S72" s="78" t="s">
        <v>59</v>
      </c>
      <c r="T72" s="5">
        <v>80</v>
      </c>
      <c r="U72" s="9"/>
    </row>
    <row r="73" spans="1:21" s="37" customFormat="1" ht="12" x14ac:dyDescent="0.3">
      <c r="A73" s="73" t="s">
        <v>1718</v>
      </c>
      <c r="B73" s="74" t="s">
        <v>1717</v>
      </c>
      <c r="C73" s="84">
        <v>644</v>
      </c>
      <c r="D73" s="85">
        <v>80.599999999999994</v>
      </c>
      <c r="E73" s="86">
        <v>24</v>
      </c>
      <c r="F73" s="85">
        <v>59.8</v>
      </c>
      <c r="G73" s="17">
        <v>18</v>
      </c>
      <c r="H73" s="87">
        <v>117</v>
      </c>
      <c r="I73" s="88">
        <v>42500</v>
      </c>
      <c r="J73" s="88" t="s">
        <v>89</v>
      </c>
      <c r="K73" s="88">
        <v>32000</v>
      </c>
      <c r="L73" s="88" t="s">
        <v>166</v>
      </c>
      <c r="M73" s="89">
        <f>I73-K73</f>
        <v>10500</v>
      </c>
      <c r="N73" s="4">
        <f>IF(ISERROR(K73/I73),"",K73/I73)</f>
        <v>0.75294117647058822</v>
      </c>
      <c r="O73" s="90">
        <f>I73/E73</f>
        <v>1770.8333333333333</v>
      </c>
      <c r="P73" s="90">
        <f>K73/E73</f>
        <v>1333.3333333333333</v>
      </c>
      <c r="Q73" s="78">
        <v>3</v>
      </c>
      <c r="R73" s="78">
        <v>2</v>
      </c>
      <c r="S73" s="78" t="s">
        <v>59</v>
      </c>
      <c r="T73" s="5" t="s">
        <v>81</v>
      </c>
      <c r="U73" s="9"/>
    </row>
    <row r="74" spans="1:21" s="37" customFormat="1" ht="12" x14ac:dyDescent="0.3">
      <c r="A74" s="73" t="s">
        <v>1729</v>
      </c>
      <c r="B74" s="74" t="s">
        <v>1730</v>
      </c>
      <c r="C74" s="84">
        <v>643</v>
      </c>
      <c r="D74" s="85">
        <v>82.4</v>
      </c>
      <c r="E74" s="86">
        <v>25</v>
      </c>
      <c r="F74" s="85">
        <v>60</v>
      </c>
      <c r="G74" s="17">
        <v>18</v>
      </c>
      <c r="H74" s="87">
        <v>116</v>
      </c>
      <c r="I74" s="88">
        <v>42000</v>
      </c>
      <c r="J74" s="88" t="s">
        <v>69</v>
      </c>
      <c r="K74" s="88"/>
      <c r="L74" s="88"/>
      <c r="M74" s="89">
        <f>I74-K74</f>
        <v>42000</v>
      </c>
      <c r="N74" s="4">
        <f>IF(ISERROR(K74/I74),"",K74/I74)</f>
        <v>0</v>
      </c>
      <c r="O74" s="90">
        <f>I74/E74</f>
        <v>1680</v>
      </c>
      <c r="P74" s="90">
        <f>K74/E74</f>
        <v>0</v>
      </c>
      <c r="Q74" s="78">
        <v>3</v>
      </c>
      <c r="R74" s="78">
        <v>2</v>
      </c>
      <c r="S74" s="78" t="s">
        <v>59</v>
      </c>
      <c r="T74" s="5" t="s">
        <v>145</v>
      </c>
      <c r="U74" s="9"/>
    </row>
    <row r="75" spans="1:21" s="37" customFormat="1" ht="12" x14ac:dyDescent="0.3">
      <c r="A75" s="73" t="s">
        <v>1949</v>
      </c>
      <c r="B75" s="74" t="s">
        <v>1792</v>
      </c>
      <c r="C75" s="84">
        <v>316</v>
      </c>
      <c r="D75" s="85">
        <v>97.6</v>
      </c>
      <c r="E75" s="86">
        <v>30</v>
      </c>
      <c r="F75" s="85">
        <v>75</v>
      </c>
      <c r="G75" s="17">
        <v>23</v>
      </c>
      <c r="H75" s="87">
        <v>60</v>
      </c>
      <c r="I75" s="88">
        <v>42000</v>
      </c>
      <c r="J75" s="88" t="s">
        <v>87</v>
      </c>
      <c r="K75" s="88"/>
      <c r="L75" s="88"/>
      <c r="M75" s="89">
        <f>I75-K75</f>
        <v>42000</v>
      </c>
      <c r="N75" s="4">
        <f>IF(ISERROR(K75/I75),"",K75/I75)</f>
        <v>0</v>
      </c>
      <c r="O75" s="90">
        <f>I75/E75</f>
        <v>1400</v>
      </c>
      <c r="P75" s="90">
        <f>K75/E75</f>
        <v>0</v>
      </c>
      <c r="Q75" s="78">
        <v>3</v>
      </c>
      <c r="R75" s="78">
        <v>2</v>
      </c>
      <c r="S75" s="78" t="s">
        <v>59</v>
      </c>
      <c r="T75" s="5">
        <v>97</v>
      </c>
      <c r="U75" s="9"/>
    </row>
    <row r="76" spans="1:21" s="37" customFormat="1" ht="12" x14ac:dyDescent="0.3">
      <c r="A76" s="73" t="s">
        <v>1899</v>
      </c>
      <c r="B76" s="74" t="s">
        <v>1900</v>
      </c>
      <c r="C76" s="84">
        <v>640</v>
      </c>
      <c r="D76" s="85">
        <v>82.3</v>
      </c>
      <c r="E76" s="86">
        <v>25</v>
      </c>
      <c r="F76" s="85">
        <v>60</v>
      </c>
      <c r="G76" s="17">
        <v>18</v>
      </c>
      <c r="H76" s="87">
        <v>130</v>
      </c>
      <c r="I76" s="88">
        <v>41500</v>
      </c>
      <c r="J76" s="88" t="s">
        <v>104</v>
      </c>
      <c r="K76" s="88">
        <v>32000</v>
      </c>
      <c r="L76" s="88" t="s">
        <v>93</v>
      </c>
      <c r="M76" s="89">
        <f>I76-K76</f>
        <v>9500</v>
      </c>
      <c r="N76" s="4">
        <f>IF(ISERROR(K76/I76),"",K76/I76)</f>
        <v>0.77108433734939763</v>
      </c>
      <c r="O76" s="90">
        <f>I76/E76</f>
        <v>1660</v>
      </c>
      <c r="P76" s="90">
        <f>K76/E76</f>
        <v>1280</v>
      </c>
      <c r="Q76" s="78">
        <v>3</v>
      </c>
      <c r="R76" s="78">
        <v>2</v>
      </c>
      <c r="S76" s="78" t="s">
        <v>59</v>
      </c>
      <c r="T76" s="5">
        <v>82</v>
      </c>
      <c r="U76" s="9"/>
    </row>
    <row r="77" spans="1:21" s="37" customFormat="1" ht="12" x14ac:dyDescent="0.3">
      <c r="A77" s="73" t="s">
        <v>1728</v>
      </c>
      <c r="B77" s="74" t="s">
        <v>1700</v>
      </c>
      <c r="C77" s="84">
        <v>948</v>
      </c>
      <c r="D77" s="85">
        <v>82.3</v>
      </c>
      <c r="E77" s="86">
        <v>25</v>
      </c>
      <c r="F77" s="85">
        <v>60</v>
      </c>
      <c r="G77" s="17">
        <v>18</v>
      </c>
      <c r="H77" s="87">
        <v>250</v>
      </c>
      <c r="I77" s="88">
        <v>41500</v>
      </c>
      <c r="J77" s="88" t="s">
        <v>108</v>
      </c>
      <c r="K77" s="88">
        <v>32000</v>
      </c>
      <c r="L77" s="88" t="s">
        <v>108</v>
      </c>
      <c r="M77" s="89">
        <f>I77-K77</f>
        <v>9500</v>
      </c>
      <c r="N77" s="4">
        <f>IF(ISERROR(K77/I77),"",K77/I77)</f>
        <v>0.77108433734939763</v>
      </c>
      <c r="O77" s="90">
        <f>I77/E77</f>
        <v>1660</v>
      </c>
      <c r="P77" s="90">
        <f>K77/E77</f>
        <v>1280</v>
      </c>
      <c r="Q77" s="78">
        <v>3</v>
      </c>
      <c r="R77" s="78">
        <v>2</v>
      </c>
      <c r="S77" s="78" t="s">
        <v>59</v>
      </c>
      <c r="T77" s="5">
        <v>82</v>
      </c>
      <c r="U77" s="9"/>
    </row>
    <row r="78" spans="1:21" s="37" customFormat="1" ht="12" x14ac:dyDescent="0.3">
      <c r="A78" s="73" t="s">
        <v>1759</v>
      </c>
      <c r="B78" s="74" t="s">
        <v>1760</v>
      </c>
      <c r="C78" s="84">
        <v>323</v>
      </c>
      <c r="D78" s="85">
        <v>95.8</v>
      </c>
      <c r="E78" s="86">
        <v>29</v>
      </c>
      <c r="F78" s="85">
        <v>72</v>
      </c>
      <c r="G78" s="17">
        <v>22</v>
      </c>
      <c r="H78" s="87">
        <v>53</v>
      </c>
      <c r="I78" s="88">
        <v>40000</v>
      </c>
      <c r="J78" s="88" t="s">
        <v>69</v>
      </c>
      <c r="K78" s="88"/>
      <c r="L78" s="88"/>
      <c r="M78" s="89">
        <f>I78-K78</f>
        <v>40000</v>
      </c>
      <c r="N78" s="4">
        <f>IF(ISERROR(K78/I78),"",K78/I78)</f>
        <v>0</v>
      </c>
      <c r="O78" s="90">
        <f>I78/E78</f>
        <v>1379.3103448275863</v>
      </c>
      <c r="P78" s="90">
        <f>K78/E78</f>
        <v>0</v>
      </c>
      <c r="Q78" s="78">
        <v>3</v>
      </c>
      <c r="R78" s="78">
        <v>2</v>
      </c>
      <c r="S78" s="78" t="s">
        <v>59</v>
      </c>
      <c r="T78" s="5">
        <v>95</v>
      </c>
      <c r="U78" s="9"/>
    </row>
    <row r="79" spans="1:21" s="37" customFormat="1" ht="12" x14ac:dyDescent="0.3">
      <c r="A79" s="73" t="s">
        <v>1659</v>
      </c>
      <c r="B79" s="74" t="s">
        <v>1660</v>
      </c>
      <c r="C79" s="84">
        <v>319</v>
      </c>
      <c r="D79" s="85">
        <v>117.5</v>
      </c>
      <c r="E79" s="86">
        <v>36</v>
      </c>
      <c r="F79" s="85">
        <v>84.6</v>
      </c>
      <c r="G79" s="17">
        <v>26</v>
      </c>
      <c r="H79" s="87">
        <v>127</v>
      </c>
      <c r="I79" s="88">
        <v>39500</v>
      </c>
      <c r="J79" s="88" t="s">
        <v>93</v>
      </c>
      <c r="K79" s="88"/>
      <c r="L79" s="88"/>
      <c r="M79" s="89">
        <f>I79-K79</f>
        <v>39500</v>
      </c>
      <c r="N79" s="4">
        <f>IF(ISERROR(K79/I79),"",K79/I79)</f>
        <v>0</v>
      </c>
      <c r="O79" s="90">
        <f>I79/E79</f>
        <v>1097.2222222222222</v>
      </c>
      <c r="P79" s="90">
        <f>K79/E79</f>
        <v>0</v>
      </c>
      <c r="Q79" s="78">
        <v>3</v>
      </c>
      <c r="R79" s="78">
        <v>2</v>
      </c>
      <c r="S79" s="78" t="s">
        <v>59</v>
      </c>
      <c r="T79" s="5" t="s">
        <v>96</v>
      </c>
      <c r="U79" s="9"/>
    </row>
    <row r="80" spans="1:21" s="37" customFormat="1" ht="12" x14ac:dyDescent="0.3">
      <c r="A80" s="73" t="s">
        <v>1692</v>
      </c>
      <c r="B80" s="74" t="s">
        <v>1682</v>
      </c>
      <c r="C80" s="84">
        <v>900</v>
      </c>
      <c r="D80" s="85">
        <v>114.7</v>
      </c>
      <c r="E80" s="86">
        <v>35</v>
      </c>
      <c r="F80" s="85">
        <v>85</v>
      </c>
      <c r="G80" s="17">
        <v>26</v>
      </c>
      <c r="H80" s="87">
        <v>612</v>
      </c>
      <c r="I80" s="88">
        <v>39000</v>
      </c>
      <c r="J80" s="88" t="s">
        <v>131</v>
      </c>
      <c r="K80" s="88">
        <v>35000</v>
      </c>
      <c r="L80" s="88" t="s">
        <v>72</v>
      </c>
      <c r="M80" s="89">
        <f>I80-K80</f>
        <v>4000</v>
      </c>
      <c r="N80" s="4">
        <f>IF(ISERROR(K80/I80),"",K80/I80)</f>
        <v>0.89743589743589747</v>
      </c>
      <c r="O80" s="90">
        <f>I80/E80</f>
        <v>1114.2857142857142</v>
      </c>
      <c r="P80" s="90">
        <f>K80/E80</f>
        <v>1000</v>
      </c>
      <c r="Q80" s="78">
        <v>3</v>
      </c>
      <c r="R80" s="78">
        <v>2</v>
      </c>
      <c r="S80" s="78" t="s">
        <v>59</v>
      </c>
      <c r="T80" s="5">
        <v>114</v>
      </c>
      <c r="U80" s="9"/>
    </row>
    <row r="81" spans="1:21" s="37" customFormat="1" ht="12" x14ac:dyDescent="0.3">
      <c r="A81" s="73" t="s">
        <v>1701</v>
      </c>
      <c r="B81" s="74" t="s">
        <v>1700</v>
      </c>
      <c r="C81" s="84">
        <v>402</v>
      </c>
      <c r="D81" s="85">
        <v>82.6</v>
      </c>
      <c r="E81" s="86">
        <v>25</v>
      </c>
      <c r="F81" s="85">
        <v>60</v>
      </c>
      <c r="G81" s="17">
        <v>18</v>
      </c>
      <c r="H81" s="87">
        <v>96</v>
      </c>
      <c r="I81" s="88">
        <v>39000</v>
      </c>
      <c r="J81" s="88" t="s">
        <v>82</v>
      </c>
      <c r="K81" s="88">
        <v>32000</v>
      </c>
      <c r="L81" s="88" t="s">
        <v>68</v>
      </c>
      <c r="M81" s="89">
        <f>I81-K81</f>
        <v>7000</v>
      </c>
      <c r="N81" s="4">
        <f>IF(ISERROR(K81/I81),"",K81/I81)</f>
        <v>0.82051282051282048</v>
      </c>
      <c r="O81" s="90">
        <f>I81/E81</f>
        <v>1560</v>
      </c>
      <c r="P81" s="90">
        <f>K81/E81</f>
        <v>1280</v>
      </c>
      <c r="Q81" s="78">
        <v>3</v>
      </c>
      <c r="R81" s="78">
        <v>2</v>
      </c>
      <c r="S81" s="78" t="s">
        <v>59</v>
      </c>
      <c r="T81" s="5" t="s">
        <v>145</v>
      </c>
      <c r="U81" s="9"/>
    </row>
    <row r="82" spans="1:21" s="37" customFormat="1" ht="12" x14ac:dyDescent="0.3">
      <c r="A82" s="73" t="s">
        <v>1710</v>
      </c>
      <c r="B82" s="74" t="s">
        <v>1671</v>
      </c>
      <c r="C82" s="84">
        <v>724</v>
      </c>
      <c r="D82" s="85">
        <v>80.3</v>
      </c>
      <c r="E82" s="86">
        <v>24</v>
      </c>
      <c r="F82" s="85">
        <v>59.9</v>
      </c>
      <c r="G82" s="17">
        <v>18</v>
      </c>
      <c r="H82" s="87">
        <v>105</v>
      </c>
      <c r="I82" s="88">
        <v>39000</v>
      </c>
      <c r="J82" s="88" t="s">
        <v>104</v>
      </c>
      <c r="K82" s="88">
        <v>30000</v>
      </c>
      <c r="L82" s="88" t="s">
        <v>127</v>
      </c>
      <c r="M82" s="89">
        <f>I82-K82</f>
        <v>9000</v>
      </c>
      <c r="N82" s="4">
        <f>IF(ISERROR(K82/I82),"",K82/I82)</f>
        <v>0.76923076923076927</v>
      </c>
      <c r="O82" s="90">
        <f>I82/E82</f>
        <v>1625</v>
      </c>
      <c r="P82" s="90">
        <f>K82/E82</f>
        <v>1250</v>
      </c>
      <c r="Q82" s="78">
        <v>3</v>
      </c>
      <c r="R82" s="78">
        <v>2</v>
      </c>
      <c r="S82" s="78" t="s">
        <v>59</v>
      </c>
      <c r="T82" s="5" t="s">
        <v>81</v>
      </c>
      <c r="U82" s="9"/>
    </row>
    <row r="83" spans="1:21" s="37" customFormat="1" ht="12" x14ac:dyDescent="0.3">
      <c r="A83" s="73" t="s">
        <v>1950</v>
      </c>
      <c r="B83" s="74" t="s">
        <v>1792</v>
      </c>
      <c r="C83" s="84">
        <v>316</v>
      </c>
      <c r="D83" s="85">
        <v>110.7</v>
      </c>
      <c r="E83" s="86">
        <v>33</v>
      </c>
      <c r="F83" s="85">
        <v>85</v>
      </c>
      <c r="G83" s="17">
        <v>26</v>
      </c>
      <c r="H83" s="87">
        <v>181</v>
      </c>
      <c r="I83" s="88">
        <v>39000</v>
      </c>
      <c r="J83" s="88" t="s">
        <v>89</v>
      </c>
      <c r="K83" s="88">
        <v>33000</v>
      </c>
      <c r="L83" s="88" t="s">
        <v>89</v>
      </c>
      <c r="M83" s="89">
        <f>I83-K83</f>
        <v>6000</v>
      </c>
      <c r="N83" s="4">
        <f>IF(ISERROR(K83/I83),"",K83/I83)</f>
        <v>0.84615384615384615</v>
      </c>
      <c r="O83" s="90">
        <f>I83/E83</f>
        <v>1181.8181818181818</v>
      </c>
      <c r="P83" s="90">
        <f>K83/E83</f>
        <v>1000</v>
      </c>
      <c r="Q83" s="78">
        <v>3</v>
      </c>
      <c r="R83" s="78">
        <v>2</v>
      </c>
      <c r="S83" s="78" t="s">
        <v>59</v>
      </c>
      <c r="T83" s="5" t="s">
        <v>91</v>
      </c>
      <c r="U83" s="9"/>
    </row>
    <row r="84" spans="1:21" s="37" customFormat="1" ht="12" x14ac:dyDescent="0.3">
      <c r="A84" s="73" t="s">
        <v>1656</v>
      </c>
      <c r="B84" s="74" t="s">
        <v>1657</v>
      </c>
      <c r="C84" s="84">
        <v>413</v>
      </c>
      <c r="D84" s="85">
        <v>109.7</v>
      </c>
      <c r="E84" s="86">
        <v>33</v>
      </c>
      <c r="F84" s="85">
        <v>84.8</v>
      </c>
      <c r="G84" s="17">
        <v>26</v>
      </c>
      <c r="H84" s="87">
        <v>140</v>
      </c>
      <c r="I84" s="88">
        <v>38800</v>
      </c>
      <c r="J84" s="88" t="s">
        <v>69</v>
      </c>
      <c r="K84" s="88"/>
      <c r="L84" s="88"/>
      <c r="M84" s="89">
        <f>I84-K84</f>
        <v>38800</v>
      </c>
      <c r="N84" s="4">
        <f>IF(ISERROR(K84/I84),"",K84/I84)</f>
        <v>0</v>
      </c>
      <c r="O84" s="90">
        <f>I84/E84</f>
        <v>1175.7575757575758</v>
      </c>
      <c r="P84" s="90">
        <f>K84/E84</f>
        <v>0</v>
      </c>
      <c r="Q84" s="78">
        <v>3</v>
      </c>
      <c r="R84" s="78">
        <v>2</v>
      </c>
      <c r="S84" s="78" t="s">
        <v>59</v>
      </c>
      <c r="T84" s="5" t="s">
        <v>86</v>
      </c>
      <c r="U84" s="9"/>
    </row>
    <row r="85" spans="1:21" s="37" customFormat="1" ht="12" x14ac:dyDescent="0.3">
      <c r="A85" s="73" t="s">
        <v>1705</v>
      </c>
      <c r="B85" s="74" t="s">
        <v>1640</v>
      </c>
      <c r="C85" s="84">
        <v>915</v>
      </c>
      <c r="D85" s="85">
        <v>157.69999999999999</v>
      </c>
      <c r="E85" s="86">
        <v>48</v>
      </c>
      <c r="F85" s="85">
        <v>134.69999999999999</v>
      </c>
      <c r="G85" s="17">
        <v>41</v>
      </c>
      <c r="H85" s="87">
        <v>105</v>
      </c>
      <c r="I85" s="88">
        <v>38000</v>
      </c>
      <c r="J85" s="88" t="s">
        <v>89</v>
      </c>
      <c r="K85" s="88"/>
      <c r="L85" s="88"/>
      <c r="M85" s="89">
        <f>I85-K85</f>
        <v>38000</v>
      </c>
      <c r="N85" s="4">
        <f>IF(ISERROR(K85/I85),"",K85/I85)</f>
        <v>0</v>
      </c>
      <c r="O85" s="90">
        <f>I85/E85</f>
        <v>791.66666666666663</v>
      </c>
      <c r="P85" s="90">
        <f>K85/E85</f>
        <v>0</v>
      </c>
      <c r="Q85" s="78">
        <v>4</v>
      </c>
      <c r="R85" s="78">
        <v>2</v>
      </c>
      <c r="S85" s="78" t="s">
        <v>59</v>
      </c>
      <c r="T85" s="5">
        <v>157</v>
      </c>
      <c r="U85" s="9"/>
    </row>
    <row r="86" spans="1:21" s="37" customFormat="1" ht="12" x14ac:dyDescent="0.3">
      <c r="A86" s="73" t="s">
        <v>1784</v>
      </c>
      <c r="B86" s="74" t="s">
        <v>1785</v>
      </c>
      <c r="C86" s="84">
        <v>1549</v>
      </c>
      <c r="D86" s="85">
        <v>149.5</v>
      </c>
      <c r="E86" s="86">
        <v>45</v>
      </c>
      <c r="F86" s="85">
        <v>122.1</v>
      </c>
      <c r="G86" s="17">
        <v>37</v>
      </c>
      <c r="H86" s="87">
        <v>130</v>
      </c>
      <c r="I86" s="88">
        <v>38000</v>
      </c>
      <c r="J86" s="88" t="s">
        <v>68</v>
      </c>
      <c r="K86" s="88">
        <v>35000</v>
      </c>
      <c r="L86" s="88" t="s">
        <v>68</v>
      </c>
      <c r="M86" s="89">
        <f>I86-K86</f>
        <v>3000</v>
      </c>
      <c r="N86" s="4">
        <f>IF(ISERROR(K86/I86),"",K86/I86)</f>
        <v>0.92105263157894735</v>
      </c>
      <c r="O86" s="90">
        <f>I86/E86</f>
        <v>844.44444444444446</v>
      </c>
      <c r="P86" s="90">
        <f>K86/E86</f>
        <v>777.77777777777783</v>
      </c>
      <c r="Q86" s="78">
        <v>4</v>
      </c>
      <c r="R86" s="78">
        <v>2</v>
      </c>
      <c r="S86" s="78" t="s">
        <v>59</v>
      </c>
      <c r="T86" s="5" t="s">
        <v>202</v>
      </c>
      <c r="U86" s="9"/>
    </row>
    <row r="87" spans="1:21" s="37" customFormat="1" ht="12" x14ac:dyDescent="0.3">
      <c r="A87" s="73" t="s">
        <v>1803</v>
      </c>
      <c r="B87" s="74" t="s">
        <v>1802</v>
      </c>
      <c r="C87" s="84">
        <v>791</v>
      </c>
      <c r="D87" s="85">
        <v>132.19999999999999</v>
      </c>
      <c r="E87" s="86">
        <v>40</v>
      </c>
      <c r="F87" s="85">
        <v>103.2</v>
      </c>
      <c r="G87" s="17">
        <v>31</v>
      </c>
      <c r="H87" s="87">
        <v>534</v>
      </c>
      <c r="I87" s="88">
        <v>38000</v>
      </c>
      <c r="J87" s="88" t="s">
        <v>99</v>
      </c>
      <c r="K87" s="88">
        <v>30000</v>
      </c>
      <c r="L87" s="88" t="s">
        <v>68</v>
      </c>
      <c r="M87" s="89">
        <f>I87-K87</f>
        <v>8000</v>
      </c>
      <c r="N87" s="4">
        <f>IF(ISERROR(K87/I87),"",K87/I87)</f>
        <v>0.78947368421052633</v>
      </c>
      <c r="O87" s="90">
        <f>I87/E87</f>
        <v>950</v>
      </c>
      <c r="P87" s="90">
        <f>K87/E87</f>
        <v>750</v>
      </c>
      <c r="Q87" s="78">
        <v>3</v>
      </c>
      <c r="R87" s="78">
        <v>2</v>
      </c>
      <c r="S87" s="78" t="s">
        <v>59</v>
      </c>
      <c r="T87" s="5">
        <v>132</v>
      </c>
      <c r="U87" s="9"/>
    </row>
    <row r="88" spans="1:21" s="37" customFormat="1" ht="12" x14ac:dyDescent="0.3">
      <c r="A88" s="73" t="s">
        <v>1877</v>
      </c>
      <c r="B88" s="74" t="s">
        <v>1694</v>
      </c>
      <c r="C88" s="84">
        <v>468</v>
      </c>
      <c r="D88" s="85">
        <v>105.9</v>
      </c>
      <c r="E88" s="86">
        <v>32</v>
      </c>
      <c r="F88" s="85">
        <v>84.8</v>
      </c>
      <c r="G88" s="17">
        <v>26</v>
      </c>
      <c r="H88" s="87">
        <v>118</v>
      </c>
      <c r="I88" s="88">
        <v>37500</v>
      </c>
      <c r="J88" s="88" t="s">
        <v>87</v>
      </c>
      <c r="K88" s="88"/>
      <c r="L88" s="88"/>
      <c r="M88" s="89">
        <f>I88-K88</f>
        <v>37500</v>
      </c>
      <c r="N88" s="4">
        <f>IF(ISERROR(K88/I88),"",K88/I88)</f>
        <v>0</v>
      </c>
      <c r="O88" s="90">
        <f>I88/E88</f>
        <v>1171.875</v>
      </c>
      <c r="P88" s="90">
        <f>K88/E88</f>
        <v>0</v>
      </c>
      <c r="Q88" s="78">
        <v>3</v>
      </c>
      <c r="R88" s="78">
        <v>2</v>
      </c>
      <c r="S88" s="78" t="s">
        <v>59</v>
      </c>
      <c r="T88" s="5">
        <v>105</v>
      </c>
      <c r="U88" s="9"/>
    </row>
    <row r="89" spans="1:21" s="37" customFormat="1" ht="12" x14ac:dyDescent="0.3">
      <c r="A89" s="73" t="s">
        <v>1659</v>
      </c>
      <c r="B89" s="74" t="s">
        <v>1660</v>
      </c>
      <c r="C89" s="84">
        <v>319</v>
      </c>
      <c r="D89" s="85">
        <v>106.4</v>
      </c>
      <c r="E89" s="86">
        <v>32</v>
      </c>
      <c r="F89" s="85">
        <v>76.599999999999994</v>
      </c>
      <c r="G89" s="17">
        <v>23</v>
      </c>
      <c r="H89" s="87">
        <v>117</v>
      </c>
      <c r="I89" s="88">
        <v>37000</v>
      </c>
      <c r="J89" s="88" t="s">
        <v>82</v>
      </c>
      <c r="K89" s="88">
        <v>33000</v>
      </c>
      <c r="L89" s="88" t="s">
        <v>87</v>
      </c>
      <c r="M89" s="89">
        <f>I89-K89</f>
        <v>4000</v>
      </c>
      <c r="N89" s="4">
        <f>IF(ISERROR(K89/I89),"",K89/I89)</f>
        <v>0.89189189189189189</v>
      </c>
      <c r="O89" s="90">
        <f>I89/E89</f>
        <v>1156.25</v>
      </c>
      <c r="P89" s="90">
        <f>K89/E89</f>
        <v>1031.25</v>
      </c>
      <c r="Q89" s="78">
        <v>3</v>
      </c>
      <c r="R89" s="78">
        <v>2</v>
      </c>
      <c r="S89" s="78" t="s">
        <v>59</v>
      </c>
      <c r="T89" s="5" t="s">
        <v>92</v>
      </c>
      <c r="U89" s="9"/>
    </row>
    <row r="90" spans="1:21" s="37" customFormat="1" ht="12" x14ac:dyDescent="0.3">
      <c r="A90" s="73" t="s">
        <v>1808</v>
      </c>
      <c r="B90" s="74" t="s">
        <v>1809</v>
      </c>
      <c r="C90" s="84">
        <v>505</v>
      </c>
      <c r="D90" s="85">
        <v>114.2</v>
      </c>
      <c r="E90" s="86">
        <v>35</v>
      </c>
      <c r="F90" s="85">
        <v>84.8</v>
      </c>
      <c r="G90" s="17">
        <v>26</v>
      </c>
      <c r="H90" s="87">
        <v>158</v>
      </c>
      <c r="I90" s="88">
        <v>37000</v>
      </c>
      <c r="J90" s="88" t="s">
        <v>68</v>
      </c>
      <c r="K90" s="88"/>
      <c r="L90" s="88"/>
      <c r="M90" s="89">
        <f>I90-K90</f>
        <v>37000</v>
      </c>
      <c r="N90" s="4">
        <f>IF(ISERROR(K90/I90),"",K90/I90)</f>
        <v>0</v>
      </c>
      <c r="O90" s="90">
        <f>I90/E90</f>
        <v>1057.1428571428571</v>
      </c>
      <c r="P90" s="90">
        <f>K90/E90</f>
        <v>0</v>
      </c>
      <c r="Q90" s="78">
        <v>3</v>
      </c>
      <c r="R90" s="78">
        <v>2</v>
      </c>
      <c r="S90" s="78" t="s">
        <v>59</v>
      </c>
      <c r="T90" s="5">
        <v>114</v>
      </c>
      <c r="U90" s="9"/>
    </row>
    <row r="91" spans="1:21" s="37" customFormat="1" ht="12" x14ac:dyDescent="0.3">
      <c r="A91" s="73" t="s">
        <v>1860</v>
      </c>
      <c r="B91" s="74" t="s">
        <v>1677</v>
      </c>
      <c r="C91" s="84">
        <v>360</v>
      </c>
      <c r="D91" s="85">
        <v>135.19999999999999</v>
      </c>
      <c r="E91" s="86">
        <v>41</v>
      </c>
      <c r="F91" s="85">
        <v>102.9</v>
      </c>
      <c r="G91" s="17">
        <v>31</v>
      </c>
      <c r="H91" s="87">
        <v>360</v>
      </c>
      <c r="I91" s="88">
        <v>37000</v>
      </c>
      <c r="J91" s="88" t="s">
        <v>82</v>
      </c>
      <c r="K91" s="88">
        <v>31000</v>
      </c>
      <c r="L91" s="88" t="s">
        <v>104</v>
      </c>
      <c r="M91" s="89">
        <f>I91-K91</f>
        <v>6000</v>
      </c>
      <c r="N91" s="4">
        <f>IF(ISERROR(K91/I91),"",K91/I91)</f>
        <v>0.83783783783783783</v>
      </c>
      <c r="O91" s="90">
        <f>I91/E91</f>
        <v>902.43902439024396</v>
      </c>
      <c r="P91" s="90">
        <f>K91/E91</f>
        <v>756.09756097560978</v>
      </c>
      <c r="Q91" s="78">
        <v>3</v>
      </c>
      <c r="R91" s="78">
        <v>2</v>
      </c>
      <c r="S91" s="78" t="s">
        <v>59</v>
      </c>
      <c r="T91" s="5">
        <v>135</v>
      </c>
      <c r="U91" s="9"/>
    </row>
    <row r="92" spans="1:21" s="37" customFormat="1" ht="12" x14ac:dyDescent="0.3">
      <c r="A92" s="73" t="s">
        <v>1759</v>
      </c>
      <c r="B92" s="74" t="s">
        <v>1760</v>
      </c>
      <c r="C92" s="84">
        <v>323</v>
      </c>
      <c r="D92" s="85">
        <v>81.7</v>
      </c>
      <c r="E92" s="86">
        <v>25</v>
      </c>
      <c r="F92" s="85">
        <v>59.9</v>
      </c>
      <c r="G92" s="17">
        <v>18</v>
      </c>
      <c r="H92" s="87">
        <v>82</v>
      </c>
      <c r="I92" s="88">
        <v>37000</v>
      </c>
      <c r="J92" s="88" t="s">
        <v>82</v>
      </c>
      <c r="K92" s="88"/>
      <c r="L92" s="88"/>
      <c r="M92" s="89">
        <f>I92-K92</f>
        <v>37000</v>
      </c>
      <c r="N92" s="4">
        <f>IF(ISERROR(K92/I92),"",K92/I92)</f>
        <v>0</v>
      </c>
      <c r="O92" s="90">
        <f>I92/E92</f>
        <v>1480</v>
      </c>
      <c r="P92" s="90">
        <f>K92/E92</f>
        <v>0</v>
      </c>
      <c r="Q92" s="78">
        <v>3</v>
      </c>
      <c r="R92" s="78">
        <v>2</v>
      </c>
      <c r="S92" s="78" t="s">
        <v>59</v>
      </c>
      <c r="T92" s="5" t="s">
        <v>190</v>
      </c>
      <c r="U92" s="9"/>
    </row>
    <row r="93" spans="1:21" s="37" customFormat="1" ht="12" x14ac:dyDescent="0.3">
      <c r="A93" s="73" t="s">
        <v>1684</v>
      </c>
      <c r="B93" s="74" t="s">
        <v>1708</v>
      </c>
      <c r="C93" s="84">
        <v>464</v>
      </c>
      <c r="D93" s="85">
        <v>110.9</v>
      </c>
      <c r="E93" s="86">
        <v>34</v>
      </c>
      <c r="F93" s="85">
        <v>84.9</v>
      </c>
      <c r="G93" s="17">
        <v>26</v>
      </c>
      <c r="H93" s="87">
        <v>180</v>
      </c>
      <c r="I93" s="88">
        <v>36000</v>
      </c>
      <c r="J93" s="88" t="s">
        <v>82</v>
      </c>
      <c r="K93" s="88"/>
      <c r="L93" s="88"/>
      <c r="M93" s="89">
        <f>I93-K93</f>
        <v>36000</v>
      </c>
      <c r="N93" s="4">
        <f>IF(ISERROR(K93/I93),"",K93/I93)</f>
        <v>0</v>
      </c>
      <c r="O93" s="90">
        <f>I93/E93</f>
        <v>1058.8235294117646</v>
      </c>
      <c r="P93" s="90">
        <f>K93/E93</f>
        <v>0</v>
      </c>
      <c r="Q93" s="78">
        <v>3</v>
      </c>
      <c r="R93" s="78">
        <v>2</v>
      </c>
      <c r="S93" s="78" t="s">
        <v>59</v>
      </c>
      <c r="T93" s="5" t="s">
        <v>132</v>
      </c>
      <c r="U93" s="9"/>
    </row>
    <row r="94" spans="1:21" s="37" customFormat="1" ht="12" x14ac:dyDescent="0.3">
      <c r="A94" s="73" t="s">
        <v>1661</v>
      </c>
      <c r="B94" s="74" t="s">
        <v>1662</v>
      </c>
      <c r="C94" s="84">
        <v>331</v>
      </c>
      <c r="D94" s="85">
        <v>109.5</v>
      </c>
      <c r="E94" s="86">
        <v>33</v>
      </c>
      <c r="F94" s="85">
        <v>85</v>
      </c>
      <c r="G94" s="17">
        <v>26</v>
      </c>
      <c r="H94" s="87">
        <v>211</v>
      </c>
      <c r="I94" s="88">
        <v>35500</v>
      </c>
      <c r="J94" s="88" t="s">
        <v>87</v>
      </c>
      <c r="K94" s="88"/>
      <c r="L94" s="88"/>
      <c r="M94" s="89">
        <f>I94-K94</f>
        <v>35500</v>
      </c>
      <c r="N94" s="4">
        <f>IF(ISERROR(K94/I94),"",K94/I94)</f>
        <v>0</v>
      </c>
      <c r="O94" s="90">
        <f>I94/E94</f>
        <v>1075.7575757575758</v>
      </c>
      <c r="P94" s="90">
        <f>K94/E94</f>
        <v>0</v>
      </c>
      <c r="Q94" s="78">
        <v>3</v>
      </c>
      <c r="R94" s="78">
        <v>2</v>
      </c>
      <c r="S94" s="78" t="s">
        <v>59</v>
      </c>
      <c r="T94" s="5" t="s">
        <v>71</v>
      </c>
      <c r="U94" s="9"/>
    </row>
    <row r="95" spans="1:21" s="37" customFormat="1" ht="12" x14ac:dyDescent="0.3">
      <c r="A95" s="73" t="s">
        <v>1915</v>
      </c>
      <c r="B95" s="74" t="s">
        <v>1916</v>
      </c>
      <c r="C95" s="84">
        <v>750</v>
      </c>
      <c r="D95" s="85">
        <v>82.3</v>
      </c>
      <c r="E95" s="86">
        <v>25</v>
      </c>
      <c r="F95" s="85">
        <v>59.9</v>
      </c>
      <c r="G95" s="17">
        <v>18</v>
      </c>
      <c r="H95" s="87">
        <v>162</v>
      </c>
      <c r="I95" s="88">
        <v>35500</v>
      </c>
      <c r="J95" s="88" t="s">
        <v>68</v>
      </c>
      <c r="K95" s="88"/>
      <c r="L95" s="88"/>
      <c r="M95" s="89">
        <f>I95-K95</f>
        <v>35500</v>
      </c>
      <c r="N95" s="4">
        <f>IF(ISERROR(K95/I95),"",K95/I95)</f>
        <v>0</v>
      </c>
      <c r="O95" s="90">
        <f>I95/E95</f>
        <v>1420</v>
      </c>
      <c r="P95" s="90">
        <f>K95/E95</f>
        <v>0</v>
      </c>
      <c r="Q95" s="78">
        <v>3</v>
      </c>
      <c r="R95" s="78">
        <v>2</v>
      </c>
      <c r="S95" s="78" t="s">
        <v>59</v>
      </c>
      <c r="T95" s="5">
        <v>82</v>
      </c>
      <c r="U95" s="9"/>
    </row>
    <row r="96" spans="1:21" s="37" customFormat="1" ht="12" x14ac:dyDescent="0.3">
      <c r="A96" s="73" t="s">
        <v>1803</v>
      </c>
      <c r="B96" s="74" t="s">
        <v>1802</v>
      </c>
      <c r="C96" s="84">
        <v>791</v>
      </c>
      <c r="D96" s="85">
        <v>112.5</v>
      </c>
      <c r="E96" s="86">
        <v>34</v>
      </c>
      <c r="F96" s="85">
        <v>84.7</v>
      </c>
      <c r="G96" s="17">
        <v>26</v>
      </c>
      <c r="H96" s="87">
        <v>46</v>
      </c>
      <c r="I96" s="88">
        <v>35500</v>
      </c>
      <c r="J96" s="88" t="s">
        <v>87</v>
      </c>
      <c r="K96" s="88"/>
      <c r="L96" s="88"/>
      <c r="M96" s="89">
        <f>I96-K96</f>
        <v>35500</v>
      </c>
      <c r="N96" s="4">
        <f>IF(ISERROR(K96/I96),"",K96/I96)</f>
        <v>0</v>
      </c>
      <c r="O96" s="90">
        <f>I96/E96</f>
        <v>1044.1176470588234</v>
      </c>
      <c r="P96" s="90">
        <f>K96/E96</f>
        <v>0</v>
      </c>
      <c r="Q96" s="78">
        <v>3</v>
      </c>
      <c r="R96" s="78">
        <v>2</v>
      </c>
      <c r="S96" s="78" t="s">
        <v>59</v>
      </c>
      <c r="T96" s="5">
        <v>112</v>
      </c>
      <c r="U96" s="9"/>
    </row>
    <row r="97" spans="1:21" s="37" customFormat="1" ht="12" x14ac:dyDescent="0.3">
      <c r="A97" s="73" t="s">
        <v>1670</v>
      </c>
      <c r="B97" s="74" t="s">
        <v>1649</v>
      </c>
      <c r="C97" s="84">
        <v>711</v>
      </c>
      <c r="D97" s="85">
        <v>84</v>
      </c>
      <c r="E97" s="86">
        <v>25</v>
      </c>
      <c r="F97" s="85">
        <v>60</v>
      </c>
      <c r="G97" s="17">
        <v>18</v>
      </c>
      <c r="H97" s="87">
        <v>546</v>
      </c>
      <c r="I97" s="88">
        <v>35000</v>
      </c>
      <c r="J97" s="88" t="s">
        <v>93</v>
      </c>
      <c r="K97" s="88">
        <v>31000</v>
      </c>
      <c r="L97" s="88" t="s">
        <v>111</v>
      </c>
      <c r="M97" s="89">
        <f>I97-K97</f>
        <v>4000</v>
      </c>
      <c r="N97" s="4">
        <f>IF(ISERROR(K97/I97),"",K97/I97)</f>
        <v>0.88571428571428568</v>
      </c>
      <c r="O97" s="90">
        <f>I97/E97</f>
        <v>1400</v>
      </c>
      <c r="P97" s="90">
        <f>K97/E97</f>
        <v>1240</v>
      </c>
      <c r="Q97" s="78">
        <v>3</v>
      </c>
      <c r="R97" s="78">
        <v>2</v>
      </c>
      <c r="S97" s="78" t="s">
        <v>59</v>
      </c>
      <c r="T97" s="5" t="s">
        <v>60</v>
      </c>
      <c r="U97" s="9"/>
    </row>
    <row r="98" spans="1:21" s="37" customFormat="1" ht="12" x14ac:dyDescent="0.3">
      <c r="A98" s="73" t="s">
        <v>1870</v>
      </c>
      <c r="B98" s="74" t="s">
        <v>1871</v>
      </c>
      <c r="C98" s="84">
        <v>428</v>
      </c>
      <c r="D98" s="85">
        <v>113.2</v>
      </c>
      <c r="E98" s="86">
        <v>34</v>
      </c>
      <c r="F98" s="85">
        <v>85</v>
      </c>
      <c r="G98" s="17">
        <v>26</v>
      </c>
      <c r="H98" s="87">
        <v>324</v>
      </c>
      <c r="I98" s="88">
        <v>35000</v>
      </c>
      <c r="J98" s="88" t="s">
        <v>83</v>
      </c>
      <c r="K98" s="88"/>
      <c r="L98" s="88"/>
      <c r="M98" s="89">
        <f>I98-K98</f>
        <v>35000</v>
      </c>
      <c r="N98" s="4">
        <f>IF(ISERROR(K98/I98),"",K98/I98)</f>
        <v>0</v>
      </c>
      <c r="O98" s="90">
        <f>I98/E98</f>
        <v>1029.4117647058824</v>
      </c>
      <c r="P98" s="90">
        <f>K98/E98</f>
        <v>0</v>
      </c>
      <c r="Q98" s="78">
        <v>3</v>
      </c>
      <c r="R98" s="78">
        <v>2</v>
      </c>
      <c r="S98" s="78" t="s">
        <v>59</v>
      </c>
      <c r="T98" s="5">
        <v>113</v>
      </c>
      <c r="U98" s="9"/>
    </row>
    <row r="99" spans="1:21" s="37" customFormat="1" ht="12" x14ac:dyDescent="0.3">
      <c r="A99" s="73" t="s">
        <v>1782</v>
      </c>
      <c r="B99" s="74" t="s">
        <v>1783</v>
      </c>
      <c r="C99" s="84">
        <v>1236</v>
      </c>
      <c r="D99" s="85">
        <v>108.4</v>
      </c>
      <c r="E99" s="86">
        <v>33</v>
      </c>
      <c r="F99" s="85">
        <v>85</v>
      </c>
      <c r="G99" s="17">
        <v>26</v>
      </c>
      <c r="H99" s="87">
        <v>382</v>
      </c>
      <c r="I99" s="88">
        <v>35000</v>
      </c>
      <c r="J99" s="88" t="s">
        <v>69</v>
      </c>
      <c r="K99" s="88">
        <v>30000</v>
      </c>
      <c r="L99" s="88" t="s">
        <v>68</v>
      </c>
      <c r="M99" s="89">
        <f>I99-K99</f>
        <v>5000</v>
      </c>
      <c r="N99" s="4">
        <f>IF(ISERROR(K99/I99),"",K99/I99)</f>
        <v>0.8571428571428571</v>
      </c>
      <c r="O99" s="90">
        <f>I99/E99</f>
        <v>1060.6060606060605</v>
      </c>
      <c r="P99" s="90">
        <f>K99/E99</f>
        <v>909.09090909090912</v>
      </c>
      <c r="Q99" s="78">
        <v>3</v>
      </c>
      <c r="R99" s="78">
        <v>2</v>
      </c>
      <c r="S99" s="78" t="s">
        <v>59</v>
      </c>
      <c r="T99" s="5">
        <v>108</v>
      </c>
      <c r="U99" s="9"/>
    </row>
    <row r="100" spans="1:21" s="37" customFormat="1" ht="12" x14ac:dyDescent="0.3">
      <c r="A100" s="73" t="s">
        <v>1645</v>
      </c>
      <c r="B100" s="74" t="s">
        <v>1644</v>
      </c>
      <c r="C100" s="84">
        <v>602</v>
      </c>
      <c r="D100" s="85">
        <v>173</v>
      </c>
      <c r="E100" s="86">
        <v>52</v>
      </c>
      <c r="F100" s="85">
        <v>145.6</v>
      </c>
      <c r="G100" s="17">
        <v>44</v>
      </c>
      <c r="H100" s="87">
        <v>69</v>
      </c>
      <c r="I100" s="88">
        <v>33000</v>
      </c>
      <c r="J100" s="88" t="s">
        <v>69</v>
      </c>
      <c r="K100" s="88"/>
      <c r="L100" s="88"/>
      <c r="M100" s="89">
        <f>I100-K100</f>
        <v>33000</v>
      </c>
      <c r="N100" s="4">
        <f>IF(ISERROR(K100/I100),"",K100/I100)</f>
        <v>0</v>
      </c>
      <c r="O100" s="90">
        <f>I100/E100</f>
        <v>634.61538461538464</v>
      </c>
      <c r="P100" s="90">
        <f>K100/E100</f>
        <v>0</v>
      </c>
      <c r="Q100" s="78">
        <v>5</v>
      </c>
      <c r="R100" s="78">
        <v>2</v>
      </c>
      <c r="S100" s="78" t="s">
        <v>59</v>
      </c>
      <c r="T100" s="5">
        <v>173</v>
      </c>
      <c r="U100" s="9"/>
    </row>
    <row r="101" spans="1:21" s="37" customFormat="1" ht="12" x14ac:dyDescent="0.3">
      <c r="A101" s="73" t="s">
        <v>1666</v>
      </c>
      <c r="B101" s="74" t="s">
        <v>1667</v>
      </c>
      <c r="C101" s="84">
        <v>367</v>
      </c>
      <c r="D101" s="85">
        <v>81.3</v>
      </c>
      <c r="E101" s="86">
        <v>25</v>
      </c>
      <c r="F101" s="85">
        <v>60</v>
      </c>
      <c r="G101" s="17">
        <v>18</v>
      </c>
      <c r="H101" s="87">
        <v>94</v>
      </c>
      <c r="I101" s="88">
        <v>31000</v>
      </c>
      <c r="J101" s="88" t="s">
        <v>83</v>
      </c>
      <c r="K101" s="88">
        <v>27000</v>
      </c>
      <c r="L101" s="88" t="s">
        <v>99</v>
      </c>
      <c r="M101" s="89">
        <f>I101-K101</f>
        <v>4000</v>
      </c>
      <c r="N101" s="4">
        <f>IF(ISERROR(K101/I101),"",K101/I101)</f>
        <v>0.87096774193548387</v>
      </c>
      <c r="O101" s="90">
        <f>I101/E101</f>
        <v>1240</v>
      </c>
      <c r="P101" s="90">
        <f>K101/E101</f>
        <v>1080</v>
      </c>
      <c r="Q101" s="78">
        <v>3</v>
      </c>
      <c r="R101" s="78">
        <v>2</v>
      </c>
      <c r="S101" s="78" t="s">
        <v>59</v>
      </c>
      <c r="T101" s="5" t="s">
        <v>100</v>
      </c>
      <c r="U101" s="9"/>
    </row>
    <row r="102" spans="1:21" s="37" customFormat="1" ht="12" x14ac:dyDescent="0.3">
      <c r="A102" s="73" t="s">
        <v>1787</v>
      </c>
      <c r="B102" s="74" t="s">
        <v>1788</v>
      </c>
      <c r="C102" s="84">
        <v>371</v>
      </c>
      <c r="D102" s="85">
        <v>83.7</v>
      </c>
      <c r="E102" s="86">
        <v>25</v>
      </c>
      <c r="F102" s="85">
        <v>59.9</v>
      </c>
      <c r="G102" s="17">
        <v>18</v>
      </c>
      <c r="H102" s="87">
        <v>179</v>
      </c>
      <c r="I102" s="88">
        <v>31000</v>
      </c>
      <c r="J102" s="88" t="s">
        <v>127</v>
      </c>
      <c r="K102" s="88"/>
      <c r="L102" s="88"/>
      <c r="M102" s="89">
        <f>I102-K102</f>
        <v>31000</v>
      </c>
      <c r="N102" s="4">
        <f>IF(ISERROR(K102/I102),"",K102/I102)</f>
        <v>0</v>
      </c>
      <c r="O102" s="90">
        <f>I102/E102</f>
        <v>1240</v>
      </c>
      <c r="P102" s="90">
        <f>K102/E102</f>
        <v>0</v>
      </c>
      <c r="Q102" s="78">
        <v>3</v>
      </c>
      <c r="R102" s="78">
        <v>2</v>
      </c>
      <c r="S102" s="78" t="s">
        <v>59</v>
      </c>
      <c r="T102" s="5" t="s">
        <v>112</v>
      </c>
      <c r="U102" s="9"/>
    </row>
    <row r="103" spans="1:21" s="37" customFormat="1" ht="12" x14ac:dyDescent="0.3">
      <c r="A103" s="73" t="s">
        <v>1888</v>
      </c>
      <c r="B103" s="74" t="s">
        <v>1889</v>
      </c>
      <c r="C103" s="84">
        <v>753</v>
      </c>
      <c r="D103" s="85">
        <v>152.9</v>
      </c>
      <c r="E103" s="86">
        <v>46</v>
      </c>
      <c r="F103" s="85">
        <v>130.4</v>
      </c>
      <c r="G103" s="17">
        <v>39</v>
      </c>
      <c r="H103" s="87">
        <v>160</v>
      </c>
      <c r="I103" s="88">
        <v>30000</v>
      </c>
      <c r="J103" s="88" t="s">
        <v>131</v>
      </c>
      <c r="K103" s="88"/>
      <c r="L103" s="88"/>
      <c r="M103" s="89">
        <f>I103-K103</f>
        <v>30000</v>
      </c>
      <c r="N103" s="4">
        <f>IF(ISERROR(K103/I103),"",K103/I103)</f>
        <v>0</v>
      </c>
      <c r="O103" s="90">
        <f>I103/E103</f>
        <v>652.17391304347825</v>
      </c>
      <c r="P103" s="90">
        <f>K103/E103</f>
        <v>0</v>
      </c>
      <c r="Q103" s="78">
        <v>4</v>
      </c>
      <c r="R103" s="78">
        <v>2</v>
      </c>
      <c r="S103" s="78" t="s">
        <v>59</v>
      </c>
      <c r="T103" s="5">
        <v>152</v>
      </c>
      <c r="U103" s="9"/>
    </row>
    <row r="104" spans="1:21" s="37" customFormat="1" ht="12" x14ac:dyDescent="0.3">
      <c r="A104" s="73" t="s">
        <v>1705</v>
      </c>
      <c r="B104" s="74" t="s">
        <v>1640</v>
      </c>
      <c r="C104" s="84">
        <v>915</v>
      </c>
      <c r="D104" s="85">
        <v>106.5</v>
      </c>
      <c r="E104" s="86">
        <v>32</v>
      </c>
      <c r="F104" s="85">
        <v>85</v>
      </c>
      <c r="G104" s="17">
        <v>26</v>
      </c>
      <c r="H104" s="87">
        <v>438</v>
      </c>
      <c r="I104" s="88">
        <v>29500</v>
      </c>
      <c r="J104" s="88" t="s">
        <v>89</v>
      </c>
      <c r="K104" s="88">
        <v>28000</v>
      </c>
      <c r="L104" s="88" t="s">
        <v>137</v>
      </c>
      <c r="M104" s="89">
        <f>I104-K104</f>
        <v>1500</v>
      </c>
      <c r="N104" s="4">
        <f>IF(ISERROR(K104/I104),"",K104/I104)</f>
        <v>0.94915254237288138</v>
      </c>
      <c r="O104" s="90">
        <f>I104/E104</f>
        <v>921.875</v>
      </c>
      <c r="P104" s="90">
        <f>K104/E104</f>
        <v>875</v>
      </c>
      <c r="Q104" s="78">
        <v>3</v>
      </c>
      <c r="R104" s="78">
        <v>2</v>
      </c>
      <c r="S104" s="78" t="s">
        <v>59</v>
      </c>
      <c r="T104" s="5">
        <v>106</v>
      </c>
      <c r="U104" s="9"/>
    </row>
    <row r="105" spans="1:21" s="37" customFormat="1" ht="12" x14ac:dyDescent="0.3">
      <c r="A105" s="73" t="s">
        <v>1776</v>
      </c>
      <c r="B105" s="74" t="s">
        <v>1777</v>
      </c>
      <c r="C105" s="84">
        <v>1153</v>
      </c>
      <c r="D105" s="85">
        <v>138.5</v>
      </c>
      <c r="E105" s="86">
        <v>42</v>
      </c>
      <c r="F105" s="85">
        <v>114.9</v>
      </c>
      <c r="G105" s="17">
        <v>35</v>
      </c>
      <c r="H105" s="87">
        <v>148</v>
      </c>
      <c r="I105" s="88">
        <v>29000</v>
      </c>
      <c r="J105" s="88" t="s">
        <v>69</v>
      </c>
      <c r="K105" s="88"/>
      <c r="L105" s="88"/>
      <c r="M105" s="89">
        <f>I105-K105</f>
        <v>29000</v>
      </c>
      <c r="N105" s="4">
        <f>IF(ISERROR(K105/I105),"",K105/I105)</f>
        <v>0</v>
      </c>
      <c r="O105" s="90">
        <f>I105/E105</f>
        <v>690.47619047619048</v>
      </c>
      <c r="P105" s="90">
        <f>K105/E105</f>
        <v>0</v>
      </c>
      <c r="Q105" s="78">
        <v>4</v>
      </c>
      <c r="R105" s="78">
        <v>2</v>
      </c>
      <c r="S105" s="78" t="s">
        <v>59</v>
      </c>
      <c r="T105" s="5">
        <v>138</v>
      </c>
      <c r="U105" s="9"/>
    </row>
    <row r="106" spans="1:21" s="37" customFormat="1" ht="12" x14ac:dyDescent="0.3">
      <c r="A106" s="73" t="s">
        <v>1746</v>
      </c>
      <c r="B106" s="74" t="s">
        <v>1747</v>
      </c>
      <c r="C106" s="84">
        <v>310</v>
      </c>
      <c r="D106" s="85">
        <v>112.3</v>
      </c>
      <c r="E106" s="86">
        <v>34</v>
      </c>
      <c r="F106" s="85">
        <v>84.7</v>
      </c>
      <c r="G106" s="17">
        <v>26</v>
      </c>
      <c r="H106" s="87">
        <v>310</v>
      </c>
      <c r="I106" s="88">
        <v>28000</v>
      </c>
      <c r="J106" s="88" t="s">
        <v>137</v>
      </c>
      <c r="K106" s="88"/>
      <c r="L106" s="88"/>
      <c r="M106" s="89">
        <f>I106-K106</f>
        <v>28000</v>
      </c>
      <c r="N106" s="4">
        <f>IF(ISERROR(K106/I106),"",K106/I106)</f>
        <v>0</v>
      </c>
      <c r="O106" s="90">
        <f>I106/E106</f>
        <v>823.52941176470586</v>
      </c>
      <c r="P106" s="90">
        <f>K106/E106</f>
        <v>0</v>
      </c>
      <c r="Q106" s="78">
        <v>3</v>
      </c>
      <c r="R106" s="78">
        <v>2</v>
      </c>
      <c r="S106" s="78" t="s">
        <v>59</v>
      </c>
      <c r="T106" s="5">
        <v>112</v>
      </c>
      <c r="U106" s="9"/>
    </row>
    <row r="107" spans="1:21" s="37" customFormat="1" ht="12" x14ac:dyDescent="0.3">
      <c r="A107" s="73" t="s">
        <v>1808</v>
      </c>
      <c r="B107" s="74" t="s">
        <v>1809</v>
      </c>
      <c r="C107" s="84">
        <v>505</v>
      </c>
      <c r="D107" s="85">
        <v>87</v>
      </c>
      <c r="E107" s="86">
        <v>26</v>
      </c>
      <c r="F107" s="85">
        <v>64.599999999999994</v>
      </c>
      <c r="G107" s="17">
        <v>20</v>
      </c>
      <c r="H107" s="87">
        <v>159</v>
      </c>
      <c r="I107" s="88">
        <v>27000</v>
      </c>
      <c r="J107" s="88" t="s">
        <v>69</v>
      </c>
      <c r="K107" s="88"/>
      <c r="L107" s="88"/>
      <c r="M107" s="89">
        <f>I107-K107</f>
        <v>27000</v>
      </c>
      <c r="N107" s="4">
        <f>IF(ISERROR(K107/I107),"",K107/I107)</f>
        <v>0</v>
      </c>
      <c r="O107" s="90">
        <f>I107/E107</f>
        <v>1038.4615384615386</v>
      </c>
      <c r="P107" s="90">
        <f>K107/E107</f>
        <v>0</v>
      </c>
      <c r="Q107" s="78">
        <v>3</v>
      </c>
      <c r="R107" s="78">
        <v>2</v>
      </c>
      <c r="S107" s="78" t="s">
        <v>59</v>
      </c>
      <c r="T107" s="5">
        <v>87</v>
      </c>
      <c r="U107" s="9"/>
    </row>
    <row r="108" spans="1:21" s="37" customFormat="1" ht="12" x14ac:dyDescent="0.3">
      <c r="A108" s="73" t="s">
        <v>1904</v>
      </c>
      <c r="B108" s="74" t="s">
        <v>1905</v>
      </c>
      <c r="C108" s="84">
        <v>1992</v>
      </c>
      <c r="D108" s="85">
        <v>109.1</v>
      </c>
      <c r="E108" s="86">
        <v>33</v>
      </c>
      <c r="F108" s="85">
        <v>84.9</v>
      </c>
      <c r="G108" s="17">
        <v>26</v>
      </c>
      <c r="H108" s="87">
        <v>195</v>
      </c>
      <c r="I108" s="88">
        <v>27000</v>
      </c>
      <c r="J108" s="88" t="s">
        <v>69</v>
      </c>
      <c r="K108" s="88"/>
      <c r="L108" s="88"/>
      <c r="M108" s="89">
        <f>I108-K108</f>
        <v>27000</v>
      </c>
      <c r="N108" s="4">
        <f>IF(ISERROR(K108/I108),"",K108/I108)</f>
        <v>0</v>
      </c>
      <c r="O108" s="90">
        <f>I108/E108</f>
        <v>818.18181818181813</v>
      </c>
      <c r="P108" s="90">
        <f>K108/E108</f>
        <v>0</v>
      </c>
      <c r="Q108" s="78">
        <v>3</v>
      </c>
      <c r="R108" s="78">
        <v>2</v>
      </c>
      <c r="S108" s="78" t="s">
        <v>59</v>
      </c>
      <c r="T108" s="5" t="s">
        <v>71</v>
      </c>
      <c r="U108" s="9"/>
    </row>
    <row r="109" spans="1:21" s="37" customFormat="1" ht="12" x14ac:dyDescent="0.3">
      <c r="A109" s="73" t="s">
        <v>1795</v>
      </c>
      <c r="B109" s="74" t="s">
        <v>1796</v>
      </c>
      <c r="C109" s="84">
        <v>643</v>
      </c>
      <c r="D109" s="85">
        <v>158.80000000000001</v>
      </c>
      <c r="E109" s="86">
        <v>48</v>
      </c>
      <c r="F109" s="85">
        <v>134.9</v>
      </c>
      <c r="G109" s="17">
        <v>41</v>
      </c>
      <c r="H109" s="87">
        <v>60</v>
      </c>
      <c r="I109" s="88">
        <v>27000</v>
      </c>
      <c r="J109" s="88" t="s">
        <v>69</v>
      </c>
      <c r="K109" s="88"/>
      <c r="L109" s="88"/>
      <c r="M109" s="89">
        <f>I109-K109</f>
        <v>27000</v>
      </c>
      <c r="N109" s="4">
        <f>IF(ISERROR(K109/I109),"",K109/I109)</f>
        <v>0</v>
      </c>
      <c r="O109" s="90">
        <f>I109/E109</f>
        <v>562.5</v>
      </c>
      <c r="P109" s="90">
        <f>K109/E109</f>
        <v>0</v>
      </c>
      <c r="Q109" s="78">
        <v>4</v>
      </c>
      <c r="R109" s="78">
        <v>2</v>
      </c>
      <c r="S109" s="78" t="s">
        <v>59</v>
      </c>
      <c r="T109" s="5">
        <v>158</v>
      </c>
      <c r="U109" s="9"/>
    </row>
    <row r="110" spans="1:21" s="37" customFormat="1" ht="12" x14ac:dyDescent="0.3">
      <c r="A110" s="73" t="s">
        <v>1985</v>
      </c>
      <c r="B110" s="74" t="s">
        <v>1799</v>
      </c>
      <c r="C110" s="84">
        <v>796</v>
      </c>
      <c r="D110" s="85">
        <v>150.6</v>
      </c>
      <c r="E110" s="86">
        <v>46</v>
      </c>
      <c r="F110" s="85">
        <v>126.3</v>
      </c>
      <c r="G110" s="17">
        <v>38</v>
      </c>
      <c r="H110" s="87">
        <v>172</v>
      </c>
      <c r="I110" s="88">
        <v>27000</v>
      </c>
      <c r="J110" s="88" t="s">
        <v>141</v>
      </c>
      <c r="K110" s="88"/>
      <c r="L110" s="88"/>
      <c r="M110" s="89">
        <f>I110-K110</f>
        <v>27000</v>
      </c>
      <c r="N110" s="4">
        <f>IF(ISERROR(K110/I110),"",K110/I110)</f>
        <v>0</v>
      </c>
      <c r="O110" s="90">
        <f>I110/E110</f>
        <v>586.95652173913038</v>
      </c>
      <c r="P110" s="90">
        <f>K110/E110</f>
        <v>0</v>
      </c>
      <c r="Q110" s="78">
        <v>4</v>
      </c>
      <c r="R110" s="78">
        <v>2</v>
      </c>
      <c r="S110" s="78" t="s">
        <v>59</v>
      </c>
      <c r="T110" s="5">
        <v>150</v>
      </c>
      <c r="U110" s="9"/>
    </row>
    <row r="111" spans="1:21" s="37" customFormat="1" ht="12" x14ac:dyDescent="0.3">
      <c r="A111" s="73" t="s">
        <v>1642</v>
      </c>
      <c r="B111" s="74" t="s">
        <v>1643</v>
      </c>
      <c r="C111" s="84">
        <v>602</v>
      </c>
      <c r="D111" s="85">
        <v>109.5</v>
      </c>
      <c r="E111" s="86">
        <v>33</v>
      </c>
      <c r="F111" s="85">
        <v>84.9</v>
      </c>
      <c r="G111" s="17">
        <v>26</v>
      </c>
      <c r="H111" s="87">
        <v>244</v>
      </c>
      <c r="I111" s="88">
        <v>26500</v>
      </c>
      <c r="J111" s="88" t="s">
        <v>69</v>
      </c>
      <c r="K111" s="88"/>
      <c r="L111" s="88"/>
      <c r="M111" s="89">
        <f>I111-K111</f>
        <v>26500</v>
      </c>
      <c r="N111" s="4">
        <f>IF(ISERROR(K111/I111),"",K111/I111)</f>
        <v>0</v>
      </c>
      <c r="O111" s="90">
        <f>I111/E111</f>
        <v>803.030303030303</v>
      </c>
      <c r="P111" s="90">
        <f>K111/E111</f>
        <v>0</v>
      </c>
      <c r="Q111" s="78">
        <v>3</v>
      </c>
      <c r="R111" s="78">
        <v>2</v>
      </c>
      <c r="S111" s="78" t="s">
        <v>59</v>
      </c>
      <c r="T111" s="5" t="s">
        <v>70</v>
      </c>
      <c r="U111" s="9"/>
    </row>
    <row r="112" spans="1:21" s="37" customFormat="1" ht="12" x14ac:dyDescent="0.3">
      <c r="A112" s="73" t="s">
        <v>1755</v>
      </c>
      <c r="B112" s="74" t="s">
        <v>1756</v>
      </c>
      <c r="C112" s="84">
        <v>450</v>
      </c>
      <c r="D112" s="85">
        <v>126.7</v>
      </c>
      <c r="E112" s="86">
        <v>38</v>
      </c>
      <c r="F112" s="85">
        <v>103.3</v>
      </c>
      <c r="G112" s="17">
        <v>31</v>
      </c>
      <c r="H112" s="87">
        <v>114</v>
      </c>
      <c r="I112" s="88">
        <v>26500</v>
      </c>
      <c r="J112" s="88" t="s">
        <v>69</v>
      </c>
      <c r="K112" s="88"/>
      <c r="L112" s="88"/>
      <c r="M112" s="89">
        <f>I112-K112</f>
        <v>26500</v>
      </c>
      <c r="N112" s="4">
        <f>IF(ISERROR(K112/I112),"",K112/I112)</f>
        <v>0</v>
      </c>
      <c r="O112" s="90">
        <f>I112/E112</f>
        <v>697.36842105263156</v>
      </c>
      <c r="P112" s="90">
        <f>K112/E112</f>
        <v>0</v>
      </c>
      <c r="Q112" s="78">
        <v>3</v>
      </c>
      <c r="R112" s="78">
        <v>2</v>
      </c>
      <c r="S112" s="78" t="s">
        <v>59</v>
      </c>
      <c r="T112" s="5">
        <v>126</v>
      </c>
      <c r="U112" s="9"/>
    </row>
    <row r="113" spans="1:21" s="37" customFormat="1" ht="12" x14ac:dyDescent="0.3">
      <c r="A113" s="73" t="s">
        <v>1782</v>
      </c>
      <c r="B113" s="74" t="s">
        <v>1783</v>
      </c>
      <c r="C113" s="84">
        <v>1236</v>
      </c>
      <c r="D113" s="85">
        <v>83.7</v>
      </c>
      <c r="E113" s="86">
        <v>25</v>
      </c>
      <c r="F113" s="85">
        <v>60</v>
      </c>
      <c r="G113" s="17">
        <v>18</v>
      </c>
      <c r="H113" s="87">
        <v>198</v>
      </c>
      <c r="I113" s="88">
        <v>26500</v>
      </c>
      <c r="J113" s="88" t="s">
        <v>69</v>
      </c>
      <c r="K113" s="88"/>
      <c r="L113" s="88"/>
      <c r="M113" s="89">
        <f>I113-K113</f>
        <v>26500</v>
      </c>
      <c r="N113" s="4">
        <f>IF(ISERROR(K113/I113),"",K113/I113)</f>
        <v>0</v>
      </c>
      <c r="O113" s="90">
        <f>I113/E113</f>
        <v>1060</v>
      </c>
      <c r="P113" s="90">
        <f>K113/E113</f>
        <v>0</v>
      </c>
      <c r="Q113" s="78">
        <v>3</v>
      </c>
      <c r="R113" s="78">
        <v>2</v>
      </c>
      <c r="S113" s="78" t="s">
        <v>59</v>
      </c>
      <c r="T113" s="5">
        <v>83</v>
      </c>
      <c r="U113" s="9"/>
    </row>
    <row r="114" spans="1:21" s="37" customFormat="1" ht="12" x14ac:dyDescent="0.3">
      <c r="A114" s="73" t="s">
        <v>1920</v>
      </c>
      <c r="B114" s="74" t="s">
        <v>1785</v>
      </c>
      <c r="C114" s="84">
        <v>1549</v>
      </c>
      <c r="D114" s="85">
        <v>80.599999999999994</v>
      </c>
      <c r="E114" s="86">
        <v>24</v>
      </c>
      <c r="F114" s="85">
        <v>59.6</v>
      </c>
      <c r="G114" s="17">
        <v>18</v>
      </c>
      <c r="H114" s="87">
        <v>238</v>
      </c>
      <c r="I114" s="88">
        <v>26000</v>
      </c>
      <c r="J114" s="88" t="s">
        <v>68</v>
      </c>
      <c r="K114" s="88"/>
      <c r="L114" s="88"/>
      <c r="M114" s="89">
        <f>I114-K114</f>
        <v>26000</v>
      </c>
      <c r="N114" s="4">
        <f>IF(ISERROR(K114/I114),"",K114/I114)</f>
        <v>0</v>
      </c>
      <c r="O114" s="90">
        <f>I114/E114</f>
        <v>1083.3333333333333</v>
      </c>
      <c r="P114" s="90">
        <f>K114/E114</f>
        <v>0</v>
      </c>
      <c r="Q114" s="78">
        <v>3</v>
      </c>
      <c r="R114" s="78">
        <v>2</v>
      </c>
      <c r="S114" s="78" t="s">
        <v>59</v>
      </c>
      <c r="T114" s="5" t="s">
        <v>98</v>
      </c>
      <c r="U114" s="9"/>
    </row>
    <row r="115" spans="1:21" s="37" customFormat="1" ht="12" x14ac:dyDescent="0.3">
      <c r="A115" s="73" t="s">
        <v>1836</v>
      </c>
      <c r="B115" s="74" t="s">
        <v>1796</v>
      </c>
      <c r="C115" s="84">
        <v>2102</v>
      </c>
      <c r="D115" s="85">
        <v>192.5</v>
      </c>
      <c r="E115" s="86">
        <v>58</v>
      </c>
      <c r="F115" s="85">
        <v>165.5</v>
      </c>
      <c r="G115" s="17">
        <v>50</v>
      </c>
      <c r="H115" s="87">
        <v>80</v>
      </c>
      <c r="I115" s="88">
        <v>25500</v>
      </c>
      <c r="J115" s="88" t="s">
        <v>69</v>
      </c>
      <c r="K115" s="88"/>
      <c r="L115" s="88"/>
      <c r="M115" s="89">
        <f>I115-K115</f>
        <v>25500</v>
      </c>
      <c r="N115" s="4">
        <f>IF(ISERROR(K115/I115),"",K115/I115)</f>
        <v>0</v>
      </c>
      <c r="O115" s="90">
        <f>I115/E115</f>
        <v>439.65517241379308</v>
      </c>
      <c r="P115" s="90">
        <f>K115/E115</f>
        <v>0</v>
      </c>
      <c r="Q115" s="78">
        <v>4</v>
      </c>
      <c r="R115" s="78">
        <v>2</v>
      </c>
      <c r="S115" s="78" t="s">
        <v>59</v>
      </c>
      <c r="T115" s="5">
        <v>192</v>
      </c>
      <c r="U115" s="9"/>
    </row>
    <row r="116" spans="1:21" s="37" customFormat="1" ht="12" x14ac:dyDescent="0.3">
      <c r="A116" s="73" t="s">
        <v>1885</v>
      </c>
      <c r="B116" s="74" t="s">
        <v>1697</v>
      </c>
      <c r="C116" s="84">
        <v>480</v>
      </c>
      <c r="D116" s="85">
        <v>152.80000000000001</v>
      </c>
      <c r="E116" s="86">
        <v>46</v>
      </c>
      <c r="F116" s="85">
        <v>130.9</v>
      </c>
      <c r="G116" s="17">
        <v>40</v>
      </c>
      <c r="H116" s="87">
        <v>60</v>
      </c>
      <c r="I116" s="88">
        <v>25000</v>
      </c>
      <c r="J116" s="88" t="s">
        <v>87</v>
      </c>
      <c r="K116" s="88"/>
      <c r="L116" s="88"/>
      <c r="M116" s="89">
        <f>I116-K116</f>
        <v>25000</v>
      </c>
      <c r="N116" s="4">
        <f>IF(ISERROR(K116/I116),"",K116/I116)</f>
        <v>0</v>
      </c>
      <c r="O116" s="90">
        <f>I116/E116</f>
        <v>543.47826086956525</v>
      </c>
      <c r="P116" s="90">
        <f>K116/E116</f>
        <v>0</v>
      </c>
      <c r="Q116" s="78">
        <v>4</v>
      </c>
      <c r="R116" s="78">
        <v>2</v>
      </c>
      <c r="S116" s="78" t="s">
        <v>59</v>
      </c>
      <c r="T116" s="5">
        <v>152</v>
      </c>
      <c r="U116" s="9"/>
    </row>
    <row r="117" spans="1:21" s="37" customFormat="1" ht="12" x14ac:dyDescent="0.3">
      <c r="A117" s="73" t="s">
        <v>1776</v>
      </c>
      <c r="B117" s="74" t="s">
        <v>1777</v>
      </c>
      <c r="C117" s="84">
        <v>1153</v>
      </c>
      <c r="D117" s="85">
        <v>102.4</v>
      </c>
      <c r="E117" s="86">
        <v>31</v>
      </c>
      <c r="F117" s="85">
        <v>85</v>
      </c>
      <c r="G117" s="17">
        <v>26</v>
      </c>
      <c r="H117" s="87">
        <v>649</v>
      </c>
      <c r="I117" s="88">
        <v>24200</v>
      </c>
      <c r="J117" s="88" t="s">
        <v>104</v>
      </c>
      <c r="K117" s="88">
        <v>21500</v>
      </c>
      <c r="L117" s="88" t="s">
        <v>68</v>
      </c>
      <c r="M117" s="89">
        <f>I117-K117</f>
        <v>2700</v>
      </c>
      <c r="N117" s="4">
        <f>IF(ISERROR(K117/I117),"",K117/I117)</f>
        <v>0.88842975206611574</v>
      </c>
      <c r="O117" s="90">
        <f>I117/E117</f>
        <v>780.64516129032256</v>
      </c>
      <c r="P117" s="90">
        <f>K117/E117</f>
        <v>693.54838709677415</v>
      </c>
      <c r="Q117" s="78">
        <v>3</v>
      </c>
      <c r="R117" s="78">
        <v>2</v>
      </c>
      <c r="S117" s="78" t="s">
        <v>59</v>
      </c>
      <c r="T117" s="5">
        <v>102</v>
      </c>
      <c r="U117" s="9"/>
    </row>
    <row r="118" spans="1:21" s="37" customFormat="1" ht="12" x14ac:dyDescent="0.3">
      <c r="A118" s="73" t="s">
        <v>1772</v>
      </c>
      <c r="B118" s="74" t="s">
        <v>1773</v>
      </c>
      <c r="C118" s="84">
        <v>423</v>
      </c>
      <c r="D118" s="85">
        <v>99</v>
      </c>
      <c r="E118" s="86">
        <v>30</v>
      </c>
      <c r="F118" s="85">
        <v>75.900000000000006</v>
      </c>
      <c r="G118" s="17">
        <v>23</v>
      </c>
      <c r="H118" s="87">
        <v>112</v>
      </c>
      <c r="I118" s="88">
        <v>24000</v>
      </c>
      <c r="J118" s="88" t="s">
        <v>127</v>
      </c>
      <c r="K118" s="88"/>
      <c r="L118" s="88"/>
      <c r="M118" s="89">
        <f>I118-K118</f>
        <v>24000</v>
      </c>
      <c r="N118" s="4">
        <f>IF(ISERROR(K118/I118),"",K118/I118)</f>
        <v>0</v>
      </c>
      <c r="O118" s="90">
        <f>I118/E118</f>
        <v>800</v>
      </c>
      <c r="P118" s="90">
        <f>K118/E118</f>
        <v>0</v>
      </c>
      <c r="Q118" s="78">
        <v>3</v>
      </c>
      <c r="R118" s="78">
        <v>2</v>
      </c>
      <c r="S118" s="78" t="s">
        <v>59</v>
      </c>
      <c r="T118" s="5">
        <v>99</v>
      </c>
      <c r="U118" s="9"/>
    </row>
    <row r="119" spans="1:21" s="37" customFormat="1" ht="12" x14ac:dyDescent="0.3">
      <c r="A119" s="73" t="s">
        <v>1883</v>
      </c>
      <c r="B119" s="74" t="s">
        <v>1884</v>
      </c>
      <c r="C119" s="84">
        <v>585</v>
      </c>
      <c r="D119" s="85">
        <v>106.7</v>
      </c>
      <c r="E119" s="86">
        <v>32</v>
      </c>
      <c r="F119" s="85">
        <v>85</v>
      </c>
      <c r="G119" s="17">
        <v>26</v>
      </c>
      <c r="H119" s="87">
        <v>215</v>
      </c>
      <c r="I119" s="88">
        <v>23800</v>
      </c>
      <c r="J119" s="88" t="s">
        <v>141</v>
      </c>
      <c r="K119" s="88"/>
      <c r="L119" s="88"/>
      <c r="M119" s="89">
        <f>I119-K119</f>
        <v>23800</v>
      </c>
      <c r="N119" s="4">
        <f>IF(ISERROR(K119/I119),"",K119/I119)</f>
        <v>0</v>
      </c>
      <c r="O119" s="90">
        <f>I119/E119</f>
        <v>743.75</v>
      </c>
      <c r="P119" s="90">
        <f>K119/E119</f>
        <v>0</v>
      </c>
      <c r="Q119" s="78">
        <v>3</v>
      </c>
      <c r="R119" s="78">
        <v>2</v>
      </c>
      <c r="S119" s="78" t="s">
        <v>59</v>
      </c>
      <c r="T119" s="5">
        <v>106</v>
      </c>
      <c r="U119" s="9"/>
    </row>
    <row r="120" spans="1:21" s="37" customFormat="1" ht="12" x14ac:dyDescent="0.3">
      <c r="A120" s="73" t="s">
        <v>1808</v>
      </c>
      <c r="B120" s="74" t="s">
        <v>1809</v>
      </c>
      <c r="C120" s="84">
        <v>505</v>
      </c>
      <c r="D120" s="85">
        <v>80.400000000000006</v>
      </c>
      <c r="E120" s="86">
        <v>24</v>
      </c>
      <c r="F120" s="85">
        <v>59.7</v>
      </c>
      <c r="G120" s="17">
        <v>18</v>
      </c>
      <c r="H120" s="87">
        <v>188</v>
      </c>
      <c r="I120" s="88">
        <v>23500</v>
      </c>
      <c r="J120" s="88" t="s">
        <v>69</v>
      </c>
      <c r="K120" s="88">
        <v>21000</v>
      </c>
      <c r="L120" s="88" t="s">
        <v>68</v>
      </c>
      <c r="M120" s="89">
        <f>I120-K120</f>
        <v>2500</v>
      </c>
      <c r="N120" s="4">
        <f>IF(ISERROR(K120/I120),"",K120/I120)</f>
        <v>0.8936170212765957</v>
      </c>
      <c r="O120" s="90">
        <f>I120/E120</f>
        <v>979.16666666666663</v>
      </c>
      <c r="P120" s="90">
        <f>K120/E120</f>
        <v>875</v>
      </c>
      <c r="Q120" s="78">
        <v>3</v>
      </c>
      <c r="R120" s="78">
        <v>2</v>
      </c>
      <c r="S120" s="78" t="s">
        <v>59</v>
      </c>
      <c r="T120" s="5">
        <v>80</v>
      </c>
      <c r="U120" s="9"/>
    </row>
    <row r="121" spans="1:21" s="37" customFormat="1" ht="12" x14ac:dyDescent="0.3">
      <c r="A121" s="73" t="s">
        <v>1768</v>
      </c>
      <c r="B121" s="74" t="s">
        <v>1769</v>
      </c>
      <c r="C121" s="84">
        <v>800</v>
      </c>
      <c r="D121" s="85">
        <v>104</v>
      </c>
      <c r="E121" s="86">
        <v>31</v>
      </c>
      <c r="F121" s="85">
        <v>84.8</v>
      </c>
      <c r="G121" s="17">
        <v>26</v>
      </c>
      <c r="H121" s="87">
        <v>694</v>
      </c>
      <c r="I121" s="88">
        <v>23000</v>
      </c>
      <c r="J121" s="88" t="s">
        <v>72</v>
      </c>
      <c r="K121" s="88">
        <v>23000</v>
      </c>
      <c r="L121" s="88" t="s">
        <v>87</v>
      </c>
      <c r="M121" s="89">
        <f>I121-K121</f>
        <v>0</v>
      </c>
      <c r="N121" s="4">
        <f>IF(ISERROR(K121/I121),"",K121/I121)</f>
        <v>1</v>
      </c>
      <c r="O121" s="90">
        <f>I121/E121</f>
        <v>741.93548387096769</v>
      </c>
      <c r="P121" s="90">
        <f>K121/E121</f>
        <v>741.93548387096769</v>
      </c>
      <c r="Q121" s="78">
        <v>3</v>
      </c>
      <c r="R121" s="78">
        <v>2</v>
      </c>
      <c r="S121" s="78" t="s">
        <v>59</v>
      </c>
      <c r="T121" s="5">
        <v>104</v>
      </c>
      <c r="U121" s="9"/>
    </row>
    <row r="122" spans="1:21" s="37" customFormat="1" ht="12" x14ac:dyDescent="0.3">
      <c r="A122" s="73" t="s">
        <v>1869</v>
      </c>
      <c r="B122" s="74" t="s">
        <v>1685</v>
      </c>
      <c r="C122" s="84">
        <v>782</v>
      </c>
      <c r="D122" s="85">
        <v>141.19999999999999</v>
      </c>
      <c r="E122" s="86">
        <v>43</v>
      </c>
      <c r="F122" s="85">
        <v>116.7</v>
      </c>
      <c r="G122" s="17">
        <v>35</v>
      </c>
      <c r="H122" s="87">
        <v>162</v>
      </c>
      <c r="I122" s="88">
        <v>22000</v>
      </c>
      <c r="J122" s="88" t="s">
        <v>72</v>
      </c>
      <c r="K122" s="88"/>
      <c r="L122" s="88"/>
      <c r="M122" s="89">
        <f>I122-K122</f>
        <v>22000</v>
      </c>
      <c r="N122" s="4">
        <f>IF(ISERROR(K122/I122),"",K122/I122)</f>
        <v>0</v>
      </c>
      <c r="O122" s="90">
        <f>I122/E122</f>
        <v>511.62790697674421</v>
      </c>
      <c r="P122" s="90">
        <f>K122/E122</f>
        <v>0</v>
      </c>
      <c r="Q122" s="78">
        <v>4</v>
      </c>
      <c r="R122" s="78">
        <v>2</v>
      </c>
      <c r="S122" s="78" t="s">
        <v>59</v>
      </c>
      <c r="T122" s="5">
        <v>141</v>
      </c>
      <c r="U122" s="9"/>
    </row>
    <row r="123" spans="1:21" s="37" customFormat="1" ht="12" x14ac:dyDescent="0.3">
      <c r="A123" s="73" t="s">
        <v>1797</v>
      </c>
      <c r="B123" s="74" t="s">
        <v>1798</v>
      </c>
      <c r="C123" s="84">
        <v>684</v>
      </c>
      <c r="D123" s="85">
        <v>149.1</v>
      </c>
      <c r="E123" s="86">
        <v>45</v>
      </c>
      <c r="F123" s="85">
        <v>128</v>
      </c>
      <c r="G123" s="17">
        <v>39</v>
      </c>
      <c r="H123" s="87">
        <v>60</v>
      </c>
      <c r="I123" s="88">
        <v>22000</v>
      </c>
      <c r="J123" s="88" t="s">
        <v>69</v>
      </c>
      <c r="K123" s="88"/>
      <c r="L123" s="88"/>
      <c r="M123" s="89">
        <f>I123-K123</f>
        <v>22000</v>
      </c>
      <c r="N123" s="4">
        <f>IF(ISERROR(K123/I123),"",K123/I123)</f>
        <v>0</v>
      </c>
      <c r="O123" s="90">
        <f>I123/E123</f>
        <v>488.88888888888891</v>
      </c>
      <c r="P123" s="90">
        <f>K123/E123</f>
        <v>0</v>
      </c>
      <c r="Q123" s="78">
        <v>4</v>
      </c>
      <c r="R123" s="78">
        <v>2</v>
      </c>
      <c r="S123" s="78" t="s">
        <v>59</v>
      </c>
      <c r="T123" s="5">
        <v>149</v>
      </c>
      <c r="U123" s="9"/>
    </row>
    <row r="124" spans="1:21" s="37" customFormat="1" ht="12" x14ac:dyDescent="0.3">
      <c r="A124" s="73" t="s">
        <v>1923</v>
      </c>
      <c r="B124" s="74" t="s">
        <v>1924</v>
      </c>
      <c r="C124" s="84">
        <v>464</v>
      </c>
      <c r="D124" s="85">
        <v>103.3</v>
      </c>
      <c r="E124" s="86">
        <v>31</v>
      </c>
      <c r="F124" s="85">
        <v>84.9</v>
      </c>
      <c r="G124" s="17">
        <v>26</v>
      </c>
      <c r="H124" s="87">
        <v>240</v>
      </c>
      <c r="I124" s="88">
        <v>21700</v>
      </c>
      <c r="J124" s="88" t="s">
        <v>69</v>
      </c>
      <c r="K124" s="88"/>
      <c r="L124" s="88"/>
      <c r="M124" s="89">
        <f>I124-K124</f>
        <v>21700</v>
      </c>
      <c r="N124" s="4">
        <f>IF(ISERROR(K124/I124),"",K124/I124)</f>
        <v>0</v>
      </c>
      <c r="O124" s="90">
        <f>I124/E124</f>
        <v>700</v>
      </c>
      <c r="P124" s="90">
        <f>K124/E124</f>
        <v>0</v>
      </c>
      <c r="Q124" s="78">
        <v>3</v>
      </c>
      <c r="R124" s="78">
        <v>2</v>
      </c>
      <c r="S124" s="78" t="s">
        <v>59</v>
      </c>
      <c r="T124" s="5" t="s">
        <v>143</v>
      </c>
      <c r="U124" s="9"/>
    </row>
    <row r="125" spans="1:21" s="37" customFormat="1" ht="12" x14ac:dyDescent="0.3">
      <c r="A125" s="73" t="s">
        <v>1881</v>
      </c>
      <c r="B125" s="74" t="s">
        <v>1882</v>
      </c>
      <c r="C125" s="84">
        <v>585</v>
      </c>
      <c r="D125" s="85">
        <v>96</v>
      </c>
      <c r="E125" s="86">
        <v>29</v>
      </c>
      <c r="F125" s="85">
        <v>75.099999999999994</v>
      </c>
      <c r="G125" s="17">
        <v>23</v>
      </c>
      <c r="H125" s="87">
        <v>108</v>
      </c>
      <c r="I125" s="88">
        <v>21500</v>
      </c>
      <c r="J125" s="88" t="s">
        <v>89</v>
      </c>
      <c r="K125" s="88"/>
      <c r="L125" s="88"/>
      <c r="M125" s="89">
        <f>I125-K125</f>
        <v>21500</v>
      </c>
      <c r="N125" s="4">
        <f>IF(ISERROR(K125/I125),"",K125/I125)</f>
        <v>0</v>
      </c>
      <c r="O125" s="90">
        <f>I125/E125</f>
        <v>741.37931034482756</v>
      </c>
      <c r="P125" s="90">
        <f>K125/E125</f>
        <v>0</v>
      </c>
      <c r="Q125" s="78">
        <v>3</v>
      </c>
      <c r="R125" s="78">
        <v>1</v>
      </c>
      <c r="S125" s="78" t="s">
        <v>59</v>
      </c>
      <c r="T125" s="5">
        <v>96</v>
      </c>
      <c r="U125" s="9"/>
    </row>
    <row r="126" spans="1:21" s="37" customFormat="1" ht="12" x14ac:dyDescent="0.3">
      <c r="A126" s="73" t="s">
        <v>1921</v>
      </c>
      <c r="B126" s="74" t="s">
        <v>1922</v>
      </c>
      <c r="C126" s="84">
        <v>870</v>
      </c>
      <c r="D126" s="85">
        <v>104.3</v>
      </c>
      <c r="E126" s="86">
        <v>32</v>
      </c>
      <c r="F126" s="85">
        <v>84.7</v>
      </c>
      <c r="G126" s="17">
        <v>26</v>
      </c>
      <c r="H126" s="87">
        <v>538</v>
      </c>
      <c r="I126" s="88">
        <v>20500</v>
      </c>
      <c r="J126" s="88" t="s">
        <v>68</v>
      </c>
      <c r="K126" s="88"/>
      <c r="L126" s="88"/>
      <c r="M126" s="89">
        <f>I126-K126</f>
        <v>20500</v>
      </c>
      <c r="N126" s="4">
        <f>IF(ISERROR(K126/I126),"",K126/I126)</f>
        <v>0</v>
      </c>
      <c r="O126" s="90">
        <f>I126/E126</f>
        <v>640.625</v>
      </c>
      <c r="P126" s="90">
        <f>K126/E126</f>
        <v>0</v>
      </c>
      <c r="Q126" s="78">
        <v>3</v>
      </c>
      <c r="R126" s="78">
        <v>2</v>
      </c>
      <c r="S126" s="78" t="s">
        <v>59</v>
      </c>
      <c r="T126" s="5" t="s">
        <v>188</v>
      </c>
      <c r="U126" s="9"/>
    </row>
    <row r="127" spans="1:21" s="37" customFormat="1" ht="12" x14ac:dyDescent="0.3">
      <c r="A127" s="73" t="s">
        <v>1836</v>
      </c>
      <c r="B127" s="74" t="s">
        <v>1796</v>
      </c>
      <c r="C127" s="84">
        <v>2102</v>
      </c>
      <c r="D127" s="85">
        <v>105</v>
      </c>
      <c r="E127" s="86">
        <v>32</v>
      </c>
      <c r="F127" s="85">
        <v>85</v>
      </c>
      <c r="G127" s="17">
        <v>26</v>
      </c>
      <c r="H127" s="87">
        <v>750</v>
      </c>
      <c r="I127" s="88">
        <v>20300</v>
      </c>
      <c r="J127" s="88" t="s">
        <v>99</v>
      </c>
      <c r="K127" s="88">
        <v>17000</v>
      </c>
      <c r="L127" s="88" t="s">
        <v>99</v>
      </c>
      <c r="M127" s="89">
        <f>I127-K127</f>
        <v>3300</v>
      </c>
      <c r="N127" s="4">
        <f>IF(ISERROR(K127/I127),"",K127/I127)</f>
        <v>0.83743842364532017</v>
      </c>
      <c r="O127" s="90">
        <f>I127/E127</f>
        <v>634.375</v>
      </c>
      <c r="P127" s="90">
        <f>K127/E127</f>
        <v>531.25</v>
      </c>
      <c r="Q127" s="78">
        <v>3</v>
      </c>
      <c r="R127" s="78">
        <v>2</v>
      </c>
      <c r="S127" s="78" t="s">
        <v>59</v>
      </c>
      <c r="T127" s="5">
        <v>104</v>
      </c>
      <c r="U127" s="9"/>
    </row>
    <row r="128" spans="1:21" s="37" customFormat="1" ht="12" x14ac:dyDescent="0.3">
      <c r="A128" s="73" t="s">
        <v>1811</v>
      </c>
      <c r="B128" s="74" t="s">
        <v>1812</v>
      </c>
      <c r="C128" s="84">
        <v>417</v>
      </c>
      <c r="D128" s="85">
        <v>108.7</v>
      </c>
      <c r="E128" s="86">
        <v>33</v>
      </c>
      <c r="F128" s="85">
        <v>84.9</v>
      </c>
      <c r="G128" s="17">
        <v>26</v>
      </c>
      <c r="H128" s="87">
        <v>119</v>
      </c>
      <c r="I128" s="88">
        <v>20000</v>
      </c>
      <c r="J128" s="88" t="s">
        <v>141</v>
      </c>
      <c r="K128" s="88"/>
      <c r="L128" s="88"/>
      <c r="M128" s="89">
        <f>I128-K128</f>
        <v>20000</v>
      </c>
      <c r="N128" s="4">
        <f>IF(ISERROR(K128/I128),"",K128/I128)</f>
        <v>0</v>
      </c>
      <c r="O128" s="90">
        <f>I128/E128</f>
        <v>606.06060606060601</v>
      </c>
      <c r="P128" s="90">
        <f>K128/E128</f>
        <v>0</v>
      </c>
      <c r="Q128" s="78">
        <v>3</v>
      </c>
      <c r="R128" s="78">
        <v>2</v>
      </c>
      <c r="S128" s="78" t="s">
        <v>59</v>
      </c>
      <c r="T128" s="5" t="s">
        <v>128</v>
      </c>
      <c r="U128" s="9"/>
    </row>
    <row r="129" spans="1:21" s="37" customFormat="1" ht="12" x14ac:dyDescent="0.3">
      <c r="A129" s="73" t="s">
        <v>1853</v>
      </c>
      <c r="B129" s="74" t="s">
        <v>1675</v>
      </c>
      <c r="C129" s="84">
        <v>328</v>
      </c>
      <c r="D129" s="85">
        <v>83</v>
      </c>
      <c r="E129" s="86">
        <v>25</v>
      </c>
      <c r="F129" s="85">
        <v>59.8</v>
      </c>
      <c r="G129" s="17">
        <v>18</v>
      </c>
      <c r="H129" s="87">
        <v>312</v>
      </c>
      <c r="I129" s="88">
        <v>19200</v>
      </c>
      <c r="J129" s="88" t="s">
        <v>68</v>
      </c>
      <c r="K129" s="88"/>
      <c r="L129" s="88"/>
      <c r="M129" s="89">
        <f>I129-K129</f>
        <v>19200</v>
      </c>
      <c r="N129" s="4">
        <f>IF(ISERROR(K129/I129),"",K129/I129)</f>
        <v>0</v>
      </c>
      <c r="O129" s="90">
        <f>I129/E129</f>
        <v>768</v>
      </c>
      <c r="P129" s="90">
        <f>K129/E129</f>
        <v>0</v>
      </c>
      <c r="Q129" s="78">
        <v>3</v>
      </c>
      <c r="R129" s="78">
        <v>2</v>
      </c>
      <c r="S129" s="78" t="s">
        <v>59</v>
      </c>
      <c r="T129" s="5" t="s">
        <v>112</v>
      </c>
      <c r="U129" s="9"/>
    </row>
    <row r="130" spans="1:21" s="37" customFormat="1" ht="12" x14ac:dyDescent="0.3">
      <c r="A130" s="73" t="s">
        <v>1772</v>
      </c>
      <c r="B130" s="74" t="s">
        <v>1773</v>
      </c>
      <c r="C130" s="84">
        <v>423</v>
      </c>
      <c r="D130" s="85">
        <v>82.6</v>
      </c>
      <c r="E130" s="86">
        <v>25</v>
      </c>
      <c r="F130" s="85">
        <v>59.6</v>
      </c>
      <c r="G130" s="17">
        <v>18</v>
      </c>
      <c r="H130" s="87">
        <v>273</v>
      </c>
      <c r="I130" s="88">
        <v>19200</v>
      </c>
      <c r="J130" s="88" t="s">
        <v>68</v>
      </c>
      <c r="K130" s="88"/>
      <c r="L130" s="88"/>
      <c r="M130" s="89">
        <f>I130-K130</f>
        <v>19200</v>
      </c>
      <c r="N130" s="4">
        <f>IF(ISERROR(K130/I130),"",K130/I130)</f>
        <v>0</v>
      </c>
      <c r="O130" s="90">
        <f>I130/E130</f>
        <v>768</v>
      </c>
      <c r="P130" s="90">
        <f>K130/E130</f>
        <v>0</v>
      </c>
      <c r="Q130" s="78">
        <v>3</v>
      </c>
      <c r="R130" s="78">
        <v>2</v>
      </c>
      <c r="S130" s="78" t="s">
        <v>59</v>
      </c>
      <c r="T130" s="5">
        <v>82</v>
      </c>
      <c r="U130" s="9"/>
    </row>
    <row r="131" spans="1:21" s="37" customFormat="1" ht="12" x14ac:dyDescent="0.3">
      <c r="A131" s="73" t="s">
        <v>1887</v>
      </c>
      <c r="B131" s="74" t="s">
        <v>1821</v>
      </c>
      <c r="C131" s="84">
        <v>753</v>
      </c>
      <c r="D131" s="85">
        <v>104.1</v>
      </c>
      <c r="E131" s="86">
        <v>31</v>
      </c>
      <c r="F131" s="85">
        <v>85</v>
      </c>
      <c r="G131" s="17">
        <v>26</v>
      </c>
      <c r="H131" s="87">
        <v>281</v>
      </c>
      <c r="I131" s="88">
        <v>19000</v>
      </c>
      <c r="J131" s="88" t="s">
        <v>126</v>
      </c>
      <c r="K131" s="88">
        <v>19500</v>
      </c>
      <c r="L131" s="88" t="s">
        <v>104</v>
      </c>
      <c r="M131" s="89">
        <f>I131-K131</f>
        <v>-500</v>
      </c>
      <c r="N131" s="4">
        <f>IF(ISERROR(K131/I131),"",K131/I131)</f>
        <v>1.0263157894736843</v>
      </c>
      <c r="O131" s="90">
        <f>I131/E131</f>
        <v>612.90322580645159</v>
      </c>
      <c r="P131" s="90">
        <f>K131/E131</f>
        <v>629.0322580645161</v>
      </c>
      <c r="Q131" s="78">
        <v>3</v>
      </c>
      <c r="R131" s="78">
        <v>2</v>
      </c>
      <c r="S131" s="78" t="s">
        <v>59</v>
      </c>
      <c r="T131" s="5" t="s">
        <v>144</v>
      </c>
      <c r="U131" s="9"/>
    </row>
    <row r="132" spans="1:21" s="37" customFormat="1" ht="12" x14ac:dyDescent="0.3">
      <c r="A132" s="73" t="s">
        <v>1705</v>
      </c>
      <c r="B132" s="74" t="s">
        <v>1640</v>
      </c>
      <c r="C132" s="84">
        <v>915</v>
      </c>
      <c r="D132" s="85">
        <v>77.900000000000006</v>
      </c>
      <c r="E132" s="86">
        <v>24</v>
      </c>
      <c r="F132" s="85">
        <v>60</v>
      </c>
      <c r="G132" s="17">
        <v>18</v>
      </c>
      <c r="H132" s="87">
        <v>372</v>
      </c>
      <c r="I132" s="88">
        <v>19000</v>
      </c>
      <c r="J132" s="88" t="s">
        <v>89</v>
      </c>
      <c r="K132" s="88">
        <v>16000</v>
      </c>
      <c r="L132" s="88" t="s">
        <v>87</v>
      </c>
      <c r="M132" s="89">
        <f>I132-K132</f>
        <v>3000</v>
      </c>
      <c r="N132" s="4">
        <f>IF(ISERROR(K132/I132),"",K132/I132)</f>
        <v>0.84210526315789469</v>
      </c>
      <c r="O132" s="90">
        <f>I132/E132</f>
        <v>791.66666666666663</v>
      </c>
      <c r="P132" s="90">
        <f>K132/E132</f>
        <v>666.66666666666663</v>
      </c>
      <c r="Q132" s="78">
        <v>3</v>
      </c>
      <c r="R132" s="78">
        <v>1</v>
      </c>
      <c r="S132" s="78" t="s">
        <v>59</v>
      </c>
      <c r="T132" s="5">
        <v>77</v>
      </c>
      <c r="U132" s="9"/>
    </row>
    <row r="133" spans="1:21" s="37" customFormat="1" ht="12" x14ac:dyDescent="0.3">
      <c r="A133" s="73" t="s">
        <v>1726</v>
      </c>
      <c r="B133" s="74" t="s">
        <v>1727</v>
      </c>
      <c r="C133" s="84">
        <v>710</v>
      </c>
      <c r="D133" s="85">
        <v>77.5</v>
      </c>
      <c r="E133" s="86">
        <v>23</v>
      </c>
      <c r="F133" s="85">
        <v>59.6</v>
      </c>
      <c r="G133" s="17">
        <v>18</v>
      </c>
      <c r="H133" s="87">
        <v>452</v>
      </c>
      <c r="I133" s="88">
        <v>19000</v>
      </c>
      <c r="J133" s="88" t="s">
        <v>127</v>
      </c>
      <c r="K133" s="88"/>
      <c r="L133" s="88"/>
      <c r="M133" s="89">
        <f>I133-K133</f>
        <v>19000</v>
      </c>
      <c r="N133" s="4">
        <f>IF(ISERROR(K133/I133),"",K133/I133)</f>
        <v>0</v>
      </c>
      <c r="O133" s="90">
        <f>I133/E133</f>
        <v>826.08695652173913</v>
      </c>
      <c r="P133" s="90">
        <f>K133/E133</f>
        <v>0</v>
      </c>
      <c r="Q133" s="78">
        <v>3</v>
      </c>
      <c r="R133" s="78">
        <v>1</v>
      </c>
      <c r="S133" s="78" t="s">
        <v>59</v>
      </c>
      <c r="T133" s="5">
        <v>77</v>
      </c>
      <c r="U133" s="9"/>
    </row>
    <row r="134" spans="1:21" s="37" customFormat="1" ht="12" x14ac:dyDescent="0.3">
      <c r="A134" s="73" t="s">
        <v>1744</v>
      </c>
      <c r="B134" s="74" t="s">
        <v>1745</v>
      </c>
      <c r="C134" s="84">
        <v>360</v>
      </c>
      <c r="D134" s="85">
        <v>105.4</v>
      </c>
      <c r="E134" s="86">
        <v>32</v>
      </c>
      <c r="F134" s="85">
        <v>84.9</v>
      </c>
      <c r="G134" s="17">
        <v>26</v>
      </c>
      <c r="H134" s="87">
        <v>133</v>
      </c>
      <c r="I134" s="88">
        <v>18800</v>
      </c>
      <c r="J134" s="88" t="s">
        <v>69</v>
      </c>
      <c r="K134" s="88"/>
      <c r="L134" s="88"/>
      <c r="M134" s="89">
        <f>I134-K134</f>
        <v>18800</v>
      </c>
      <c r="N134" s="4">
        <f>IF(ISERROR(K134/I134),"",K134/I134)</f>
        <v>0</v>
      </c>
      <c r="O134" s="90">
        <f>I134/E134</f>
        <v>587.5</v>
      </c>
      <c r="P134" s="90">
        <f>K134/E134</f>
        <v>0</v>
      </c>
      <c r="Q134" s="78">
        <v>3</v>
      </c>
      <c r="R134" s="78">
        <v>2</v>
      </c>
      <c r="S134" s="78" t="s">
        <v>59</v>
      </c>
      <c r="T134" s="5">
        <v>105</v>
      </c>
      <c r="U134" s="9"/>
    </row>
    <row r="135" spans="1:21" s="37" customFormat="1" ht="12" x14ac:dyDescent="0.3">
      <c r="A135" s="73" t="s">
        <v>1881</v>
      </c>
      <c r="B135" s="74" t="s">
        <v>1696</v>
      </c>
      <c r="C135" s="84">
        <v>585</v>
      </c>
      <c r="D135" s="85">
        <v>79.3</v>
      </c>
      <c r="E135" s="86">
        <v>24</v>
      </c>
      <c r="F135" s="85">
        <v>60</v>
      </c>
      <c r="G135" s="17">
        <v>18</v>
      </c>
      <c r="H135" s="87">
        <v>262</v>
      </c>
      <c r="I135" s="88">
        <v>18500</v>
      </c>
      <c r="J135" s="88" t="s">
        <v>131</v>
      </c>
      <c r="K135" s="88">
        <v>17000</v>
      </c>
      <c r="L135" s="88" t="s">
        <v>111</v>
      </c>
      <c r="M135" s="89">
        <f>I135-K135</f>
        <v>1500</v>
      </c>
      <c r="N135" s="4">
        <f>IF(ISERROR(K135/I135),"",K135/I135)</f>
        <v>0.91891891891891897</v>
      </c>
      <c r="O135" s="90">
        <f>I135/E135</f>
        <v>770.83333333333337</v>
      </c>
      <c r="P135" s="90">
        <f>K135/E135</f>
        <v>708.33333333333337</v>
      </c>
      <c r="Q135" s="78">
        <v>3</v>
      </c>
      <c r="R135" s="78">
        <v>1</v>
      </c>
      <c r="S135" s="78" t="s">
        <v>59</v>
      </c>
      <c r="T135" s="5">
        <v>79</v>
      </c>
      <c r="U135" s="9"/>
    </row>
    <row r="136" spans="1:21" s="37" customFormat="1" ht="12" x14ac:dyDescent="0.3">
      <c r="A136" s="73" t="s">
        <v>1723</v>
      </c>
      <c r="B136" s="74" t="s">
        <v>1690</v>
      </c>
      <c r="C136" s="84">
        <v>505</v>
      </c>
      <c r="D136" s="85">
        <v>107.1</v>
      </c>
      <c r="E136" s="86">
        <v>32</v>
      </c>
      <c r="F136" s="85">
        <v>85</v>
      </c>
      <c r="G136" s="17">
        <v>26</v>
      </c>
      <c r="H136" s="87">
        <v>261</v>
      </c>
      <c r="I136" s="88">
        <v>18300</v>
      </c>
      <c r="J136" s="88" t="s">
        <v>131</v>
      </c>
      <c r="K136" s="88"/>
      <c r="L136" s="88"/>
      <c r="M136" s="89">
        <f>I136-K136</f>
        <v>18300</v>
      </c>
      <c r="N136" s="4">
        <f>IF(ISERROR(K136/I136),"",K136/I136)</f>
        <v>0</v>
      </c>
      <c r="O136" s="90">
        <f>I136/E136</f>
        <v>571.875</v>
      </c>
      <c r="P136" s="90">
        <f>K136/E136</f>
        <v>0</v>
      </c>
      <c r="Q136" s="78">
        <v>3</v>
      </c>
      <c r="R136" s="78">
        <v>2</v>
      </c>
      <c r="S136" s="78" t="s">
        <v>59</v>
      </c>
      <c r="T136" s="5">
        <v>107</v>
      </c>
      <c r="U136" s="9"/>
    </row>
    <row r="137" spans="1:21" s="37" customFormat="1" ht="12" x14ac:dyDescent="0.3">
      <c r="A137" s="73" t="s">
        <v>1645</v>
      </c>
      <c r="B137" s="74" t="s">
        <v>1841</v>
      </c>
      <c r="C137" s="84">
        <v>602</v>
      </c>
      <c r="D137" s="85">
        <v>82.4</v>
      </c>
      <c r="E137" s="86">
        <v>25</v>
      </c>
      <c r="F137" s="85">
        <v>60</v>
      </c>
      <c r="G137" s="17">
        <v>18</v>
      </c>
      <c r="H137" s="87">
        <v>98</v>
      </c>
      <c r="I137" s="88">
        <v>18000</v>
      </c>
      <c r="J137" s="88" t="s">
        <v>68</v>
      </c>
      <c r="K137" s="88"/>
      <c r="L137" s="88"/>
      <c r="M137" s="89">
        <f>I137-K137</f>
        <v>18000</v>
      </c>
      <c r="N137" s="4">
        <f>IF(ISERROR(K137/I137),"",K137/I137)</f>
        <v>0</v>
      </c>
      <c r="O137" s="90">
        <f>I137/E137</f>
        <v>720</v>
      </c>
      <c r="P137" s="90">
        <f>K137/E137</f>
        <v>0</v>
      </c>
      <c r="Q137" s="78">
        <v>3</v>
      </c>
      <c r="R137" s="78">
        <v>2</v>
      </c>
      <c r="S137" s="78" t="s">
        <v>59</v>
      </c>
      <c r="T137" s="5">
        <v>82</v>
      </c>
      <c r="U137" s="9"/>
    </row>
    <row r="138" spans="1:21" s="37" customFormat="1" ht="12" x14ac:dyDescent="0.3">
      <c r="A138" s="73" t="s">
        <v>1984</v>
      </c>
      <c r="B138" s="74" t="s">
        <v>1799</v>
      </c>
      <c r="C138" s="84">
        <v>796</v>
      </c>
      <c r="D138" s="85">
        <v>106.1</v>
      </c>
      <c r="E138" s="86">
        <v>32</v>
      </c>
      <c r="F138" s="85">
        <v>84.9</v>
      </c>
      <c r="G138" s="17">
        <v>26</v>
      </c>
      <c r="H138" s="87">
        <v>336</v>
      </c>
      <c r="I138" s="88">
        <v>18000</v>
      </c>
      <c r="J138" s="88" t="s">
        <v>82</v>
      </c>
      <c r="K138" s="88"/>
      <c r="L138" s="88"/>
      <c r="M138" s="89">
        <f>I138-K138</f>
        <v>18000</v>
      </c>
      <c r="N138" s="4">
        <f>IF(ISERROR(K138/I138),"",K138/I138)</f>
        <v>0</v>
      </c>
      <c r="O138" s="90">
        <f>I138/E138</f>
        <v>562.5</v>
      </c>
      <c r="P138" s="90">
        <f>K138/E138</f>
        <v>0</v>
      </c>
      <c r="Q138" s="78">
        <v>3</v>
      </c>
      <c r="R138" s="78">
        <v>2</v>
      </c>
      <c r="S138" s="78" t="s">
        <v>59</v>
      </c>
      <c r="T138" s="5">
        <v>106</v>
      </c>
      <c r="U138" s="9"/>
    </row>
    <row r="139" spans="1:21" s="37" customFormat="1" ht="12" x14ac:dyDescent="0.3">
      <c r="A139" s="73" t="s">
        <v>1703</v>
      </c>
      <c r="B139" s="74" t="s">
        <v>1702</v>
      </c>
      <c r="C139" s="84">
        <v>1992</v>
      </c>
      <c r="D139" s="85">
        <v>77.099999999999994</v>
      </c>
      <c r="E139" s="86">
        <v>23</v>
      </c>
      <c r="F139" s="85">
        <v>60</v>
      </c>
      <c r="G139" s="17">
        <v>18</v>
      </c>
      <c r="H139" s="87">
        <v>1593</v>
      </c>
      <c r="I139" s="88">
        <v>17300</v>
      </c>
      <c r="J139" s="88" t="s">
        <v>72</v>
      </c>
      <c r="K139" s="88">
        <v>15500</v>
      </c>
      <c r="L139" s="88" t="s">
        <v>69</v>
      </c>
      <c r="M139" s="89">
        <f>I139-K139</f>
        <v>1800</v>
      </c>
      <c r="N139" s="4">
        <f>IF(ISERROR(K139/I139),"",K139/I139)</f>
        <v>0.89595375722543358</v>
      </c>
      <c r="O139" s="90">
        <f>I139/E139</f>
        <v>752.17391304347825</v>
      </c>
      <c r="P139" s="90">
        <f>K139/E139</f>
        <v>673.91304347826087</v>
      </c>
      <c r="Q139" s="78">
        <v>3</v>
      </c>
      <c r="R139" s="78">
        <v>1</v>
      </c>
      <c r="S139" s="78" t="s">
        <v>59</v>
      </c>
      <c r="T139" s="5" t="s">
        <v>152</v>
      </c>
      <c r="U139" s="9"/>
    </row>
    <row r="140" spans="1:21" s="37" customFormat="1" ht="12" x14ac:dyDescent="0.3">
      <c r="A140" s="73" t="s">
        <v>1975</v>
      </c>
      <c r="B140" s="74" t="s">
        <v>1976</v>
      </c>
      <c r="C140" s="84">
        <v>684</v>
      </c>
      <c r="D140" s="85">
        <v>105.5</v>
      </c>
      <c r="E140" s="86">
        <v>32</v>
      </c>
      <c r="F140" s="85">
        <v>84.9</v>
      </c>
      <c r="G140" s="17">
        <v>26</v>
      </c>
      <c r="H140" s="87">
        <v>224</v>
      </c>
      <c r="I140" s="88">
        <v>17000</v>
      </c>
      <c r="J140" s="88" t="s">
        <v>87</v>
      </c>
      <c r="K140" s="88"/>
      <c r="L140" s="88"/>
      <c r="M140" s="89">
        <f>I140-K140</f>
        <v>17000</v>
      </c>
      <c r="N140" s="4">
        <f>IF(ISERROR(K140/I140),"",K140/I140)</f>
        <v>0</v>
      </c>
      <c r="O140" s="90">
        <f>I140/E140</f>
        <v>531.25</v>
      </c>
      <c r="P140" s="90">
        <f>K140/E140</f>
        <v>0</v>
      </c>
      <c r="Q140" s="78">
        <v>3</v>
      </c>
      <c r="R140" s="78">
        <v>2</v>
      </c>
      <c r="S140" s="78" t="s">
        <v>59</v>
      </c>
      <c r="T140" s="5">
        <v>105</v>
      </c>
      <c r="U140" s="9"/>
    </row>
    <row r="141" spans="1:21" s="37" customFormat="1" ht="12" x14ac:dyDescent="0.3">
      <c r="A141" s="73" t="s">
        <v>1906</v>
      </c>
      <c r="B141" s="74" t="s">
        <v>1711</v>
      </c>
      <c r="C141" s="84">
        <v>308</v>
      </c>
      <c r="D141" s="85">
        <v>95.8</v>
      </c>
      <c r="E141" s="86">
        <v>29</v>
      </c>
      <c r="F141" s="85">
        <v>76.8</v>
      </c>
      <c r="G141" s="17">
        <v>23</v>
      </c>
      <c r="H141" s="87">
        <v>164</v>
      </c>
      <c r="I141" s="88">
        <v>16600</v>
      </c>
      <c r="J141" s="88" t="s">
        <v>99</v>
      </c>
      <c r="K141" s="88">
        <v>17500</v>
      </c>
      <c r="L141" s="88" t="s">
        <v>69</v>
      </c>
      <c r="M141" s="89">
        <f>I141-K141</f>
        <v>-900</v>
      </c>
      <c r="N141" s="4">
        <f>IF(ISERROR(K141/I141),"",K141/I141)</f>
        <v>1.0542168674698795</v>
      </c>
      <c r="O141" s="90">
        <f>I141/E141</f>
        <v>572.41379310344826</v>
      </c>
      <c r="P141" s="90">
        <f>K141/E141</f>
        <v>603.44827586206895</v>
      </c>
      <c r="Q141" s="78">
        <v>3</v>
      </c>
      <c r="R141" s="78">
        <v>2</v>
      </c>
      <c r="S141" s="78" t="s">
        <v>59</v>
      </c>
      <c r="T141" s="5">
        <v>95</v>
      </c>
      <c r="U141" s="9"/>
    </row>
    <row r="142" spans="1:21" s="37" customFormat="1" ht="12" x14ac:dyDescent="0.3">
      <c r="A142" s="73" t="s">
        <v>1726</v>
      </c>
      <c r="B142" s="74" t="s">
        <v>1727</v>
      </c>
      <c r="C142" s="84">
        <v>710</v>
      </c>
      <c r="D142" s="85">
        <v>67.5</v>
      </c>
      <c r="E142" s="86">
        <v>20</v>
      </c>
      <c r="F142" s="85">
        <v>51.9</v>
      </c>
      <c r="G142" s="17">
        <v>16</v>
      </c>
      <c r="H142" s="87">
        <v>258</v>
      </c>
      <c r="I142" s="88">
        <v>16300</v>
      </c>
      <c r="J142" s="88" t="s">
        <v>111</v>
      </c>
      <c r="K142" s="88">
        <v>15000</v>
      </c>
      <c r="L142" s="88" t="s">
        <v>87</v>
      </c>
      <c r="M142" s="89">
        <f>I142-K142</f>
        <v>1300</v>
      </c>
      <c r="N142" s="4">
        <f>IF(ISERROR(K142/I142),"",K142/I142)</f>
        <v>0.92024539877300615</v>
      </c>
      <c r="O142" s="90">
        <f>I142/E142</f>
        <v>815</v>
      </c>
      <c r="P142" s="90">
        <f>K142/E142</f>
        <v>750</v>
      </c>
      <c r="Q142" s="78">
        <v>2</v>
      </c>
      <c r="R142" s="78">
        <v>1</v>
      </c>
      <c r="S142" s="78" t="s">
        <v>59</v>
      </c>
      <c r="T142" s="5">
        <v>67</v>
      </c>
      <c r="U142" s="9"/>
    </row>
    <row r="143" spans="1:21" s="37" customFormat="1" ht="12" x14ac:dyDescent="0.3">
      <c r="A143" s="73" t="s">
        <v>1837</v>
      </c>
      <c r="B143" s="74" t="s">
        <v>1998</v>
      </c>
      <c r="C143" s="84">
        <v>530</v>
      </c>
      <c r="D143" s="85">
        <v>103.5</v>
      </c>
      <c r="E143" s="86">
        <v>31</v>
      </c>
      <c r="F143" s="85">
        <v>84.7</v>
      </c>
      <c r="G143" s="17">
        <v>26</v>
      </c>
      <c r="H143" s="87">
        <v>262</v>
      </c>
      <c r="I143" s="88">
        <v>16200</v>
      </c>
      <c r="J143" s="88" t="s">
        <v>68</v>
      </c>
      <c r="K143" s="88">
        <v>15000</v>
      </c>
      <c r="L143" s="88" t="s">
        <v>69</v>
      </c>
      <c r="M143" s="89">
        <f>I143-K143</f>
        <v>1200</v>
      </c>
      <c r="N143" s="4">
        <f>IF(ISERROR(K143/I143),"",K143/I143)</f>
        <v>0.92592592592592593</v>
      </c>
      <c r="O143" s="90">
        <f>I143/E143</f>
        <v>522.58064516129036</v>
      </c>
      <c r="P143" s="90">
        <f>K143/E143</f>
        <v>483.87096774193549</v>
      </c>
      <c r="Q143" s="78">
        <v>3</v>
      </c>
      <c r="R143" s="78">
        <v>2</v>
      </c>
      <c r="S143" s="78" t="s">
        <v>59</v>
      </c>
      <c r="T143" s="5">
        <v>103</v>
      </c>
      <c r="U143" s="9"/>
    </row>
    <row r="144" spans="1:21" s="37" customFormat="1" ht="12" x14ac:dyDescent="0.3">
      <c r="A144" s="73" t="s">
        <v>1686</v>
      </c>
      <c r="B144" s="74" t="s">
        <v>1868</v>
      </c>
      <c r="C144" s="84">
        <v>782</v>
      </c>
      <c r="D144" s="85">
        <v>102.3</v>
      </c>
      <c r="E144" s="86">
        <v>31</v>
      </c>
      <c r="F144" s="85">
        <v>84.6</v>
      </c>
      <c r="G144" s="17">
        <v>26</v>
      </c>
      <c r="H144" s="87">
        <v>395</v>
      </c>
      <c r="I144" s="88">
        <v>16000</v>
      </c>
      <c r="J144" s="88" t="s">
        <v>72</v>
      </c>
      <c r="K144" s="88">
        <v>16000</v>
      </c>
      <c r="L144" s="88" t="s">
        <v>104</v>
      </c>
      <c r="M144" s="89">
        <f>I144-K144</f>
        <v>0</v>
      </c>
      <c r="N144" s="4">
        <f>IF(ISERROR(K144/I144),"",K144/I144)</f>
        <v>1</v>
      </c>
      <c r="O144" s="90">
        <f>I144/E144</f>
        <v>516.12903225806451</v>
      </c>
      <c r="P144" s="90">
        <f>K144/E144</f>
        <v>516.12903225806451</v>
      </c>
      <c r="Q144" s="78">
        <v>3</v>
      </c>
      <c r="R144" s="78">
        <v>2</v>
      </c>
      <c r="S144" s="78" t="s">
        <v>59</v>
      </c>
      <c r="T144" s="5" t="s">
        <v>135</v>
      </c>
      <c r="U144" s="9"/>
    </row>
    <row r="145" spans="1:21" s="37" customFormat="1" ht="12" x14ac:dyDescent="0.3">
      <c r="A145" s="73" t="s">
        <v>1742</v>
      </c>
      <c r="B145" s="74" t="s">
        <v>1743</v>
      </c>
      <c r="C145" s="84">
        <v>737</v>
      </c>
      <c r="D145" s="85">
        <v>77.3</v>
      </c>
      <c r="E145" s="86">
        <v>23</v>
      </c>
      <c r="F145" s="85">
        <v>59.7</v>
      </c>
      <c r="G145" s="17">
        <v>18</v>
      </c>
      <c r="H145" s="87">
        <v>47</v>
      </c>
      <c r="I145" s="88">
        <v>15500</v>
      </c>
      <c r="J145" s="88" t="s">
        <v>99</v>
      </c>
      <c r="K145" s="88"/>
      <c r="L145" s="88"/>
      <c r="M145" s="89">
        <f>I145-K145</f>
        <v>15500</v>
      </c>
      <c r="N145" s="4">
        <f>IF(ISERROR(K145/I145),"",K145/I145)</f>
        <v>0</v>
      </c>
      <c r="O145" s="90">
        <f>I145/E145</f>
        <v>673.91304347826087</v>
      </c>
      <c r="P145" s="90">
        <f>K145/E145</f>
        <v>0</v>
      </c>
      <c r="Q145" s="78">
        <v>3</v>
      </c>
      <c r="R145" s="78">
        <v>1</v>
      </c>
      <c r="S145" s="78" t="s">
        <v>59</v>
      </c>
      <c r="T145" s="5">
        <v>77</v>
      </c>
      <c r="U145" s="9"/>
    </row>
    <row r="146" spans="1:21" s="37" customFormat="1" ht="12" x14ac:dyDescent="0.3">
      <c r="A146" s="73" t="s">
        <v>1703</v>
      </c>
      <c r="B146" s="74" t="s">
        <v>1702</v>
      </c>
      <c r="C146" s="84">
        <v>1992</v>
      </c>
      <c r="D146" s="85">
        <v>62.9</v>
      </c>
      <c r="E146" s="86">
        <v>19</v>
      </c>
      <c r="F146" s="85">
        <v>49.1</v>
      </c>
      <c r="G146" s="17">
        <v>15</v>
      </c>
      <c r="H146" s="87">
        <v>84</v>
      </c>
      <c r="I146" s="88">
        <v>15000</v>
      </c>
      <c r="J146" s="88" t="s">
        <v>127</v>
      </c>
      <c r="K146" s="88"/>
      <c r="L146" s="88"/>
      <c r="M146" s="89">
        <f>I146-K146</f>
        <v>15000</v>
      </c>
      <c r="N146" s="4">
        <f>IF(ISERROR(K146/I146),"",K146/I146)</f>
        <v>0</v>
      </c>
      <c r="O146" s="90">
        <f>I146/E146</f>
        <v>789.47368421052636</v>
      </c>
      <c r="P146" s="90">
        <f>K146/E146</f>
        <v>0</v>
      </c>
      <c r="Q146" s="78">
        <v>2</v>
      </c>
      <c r="R146" s="78">
        <v>1</v>
      </c>
      <c r="S146" s="78" t="s">
        <v>59</v>
      </c>
      <c r="T146" s="5">
        <v>62</v>
      </c>
      <c r="U146" s="9"/>
    </row>
    <row r="147" spans="1:21" s="37" customFormat="1" ht="12" x14ac:dyDescent="0.3">
      <c r="A147" s="73" t="s">
        <v>1778</v>
      </c>
      <c r="B147" s="74" t="s">
        <v>1779</v>
      </c>
      <c r="C147" s="84">
        <v>360</v>
      </c>
      <c r="D147" s="85">
        <v>81.8</v>
      </c>
      <c r="E147" s="86">
        <v>25</v>
      </c>
      <c r="F147" s="85">
        <v>59.6</v>
      </c>
      <c r="G147" s="17">
        <v>18</v>
      </c>
      <c r="H147" s="87">
        <v>360</v>
      </c>
      <c r="I147" s="88">
        <v>15000</v>
      </c>
      <c r="J147" s="88" t="s">
        <v>69</v>
      </c>
      <c r="K147" s="88">
        <v>13500</v>
      </c>
      <c r="L147" s="88" t="s">
        <v>127</v>
      </c>
      <c r="M147" s="89">
        <f>I147-K147</f>
        <v>1500</v>
      </c>
      <c r="N147" s="4">
        <f>IF(ISERROR(K147/I147),"",K147/I147)</f>
        <v>0.9</v>
      </c>
      <c r="O147" s="90">
        <f>I147/E147</f>
        <v>600</v>
      </c>
      <c r="P147" s="90">
        <f>K147/E147</f>
        <v>540</v>
      </c>
      <c r="Q147" s="78">
        <v>3</v>
      </c>
      <c r="R147" s="78">
        <v>2</v>
      </c>
      <c r="S147" s="78" t="s">
        <v>59</v>
      </c>
      <c r="T147" s="5">
        <v>81</v>
      </c>
      <c r="U147" s="9"/>
    </row>
    <row r="148" spans="1:21" s="37" customFormat="1" ht="12" x14ac:dyDescent="0.3">
      <c r="A148" s="73" t="s">
        <v>1982</v>
      </c>
      <c r="B148" s="74" t="s">
        <v>1983</v>
      </c>
      <c r="C148" s="84">
        <v>796</v>
      </c>
      <c r="D148" s="85">
        <v>79.2</v>
      </c>
      <c r="E148" s="86">
        <v>24</v>
      </c>
      <c r="F148" s="85">
        <v>60</v>
      </c>
      <c r="G148" s="17">
        <v>18</v>
      </c>
      <c r="H148" s="87">
        <v>288</v>
      </c>
      <c r="I148" s="88">
        <v>14500</v>
      </c>
      <c r="J148" s="88" t="s">
        <v>68</v>
      </c>
      <c r="K148" s="88"/>
      <c r="L148" s="88"/>
      <c r="M148" s="89">
        <f>I148-K148</f>
        <v>14500</v>
      </c>
      <c r="N148" s="4">
        <f>IF(ISERROR(K148/I148),"",K148/I148)</f>
        <v>0</v>
      </c>
      <c r="O148" s="90">
        <f>I148/E148</f>
        <v>604.16666666666663</v>
      </c>
      <c r="P148" s="90">
        <f>K148/E148</f>
        <v>0</v>
      </c>
      <c r="Q148" s="78">
        <v>3</v>
      </c>
      <c r="R148" s="78">
        <v>1</v>
      </c>
      <c r="S148" s="78" t="s">
        <v>59</v>
      </c>
      <c r="T148" s="5">
        <v>79</v>
      </c>
      <c r="U148" s="9"/>
    </row>
    <row r="149" spans="1:21" s="37" customFormat="1" ht="12" x14ac:dyDescent="0.3">
      <c r="A149" s="73" t="s">
        <v>2000</v>
      </c>
      <c r="B149" s="74" t="s">
        <v>1801</v>
      </c>
      <c r="C149" s="84">
        <v>1911</v>
      </c>
      <c r="D149" s="85">
        <v>79.900000000000006</v>
      </c>
      <c r="E149" s="86">
        <v>24</v>
      </c>
      <c r="F149" s="85">
        <v>60</v>
      </c>
      <c r="G149" s="17">
        <v>18</v>
      </c>
      <c r="H149" s="87">
        <v>900</v>
      </c>
      <c r="I149" s="88">
        <v>14500</v>
      </c>
      <c r="J149" s="88" t="s">
        <v>155</v>
      </c>
      <c r="K149" s="88">
        <v>14000</v>
      </c>
      <c r="L149" s="88" t="s">
        <v>83</v>
      </c>
      <c r="M149" s="89">
        <f>I149-K149</f>
        <v>500</v>
      </c>
      <c r="N149" s="4">
        <f>IF(ISERROR(K149/I149),"",K149/I149)</f>
        <v>0.96551724137931039</v>
      </c>
      <c r="O149" s="90">
        <f>I149/E149</f>
        <v>604.16666666666663</v>
      </c>
      <c r="P149" s="90">
        <f>K149/E149</f>
        <v>583.33333333333337</v>
      </c>
      <c r="Q149" s="78">
        <v>3</v>
      </c>
      <c r="R149" s="78">
        <v>1</v>
      </c>
      <c r="S149" s="78" t="s">
        <v>59</v>
      </c>
      <c r="T149" s="5">
        <v>79</v>
      </c>
      <c r="U149" s="9"/>
    </row>
    <row r="150" spans="1:21" s="37" customFormat="1" ht="12" x14ac:dyDescent="0.3">
      <c r="A150" s="73" t="s">
        <v>1810</v>
      </c>
      <c r="B150" s="74" t="s">
        <v>1679</v>
      </c>
      <c r="C150" s="84">
        <v>418</v>
      </c>
      <c r="D150" s="85">
        <v>107.3</v>
      </c>
      <c r="E150" s="86">
        <v>32</v>
      </c>
      <c r="F150" s="85">
        <v>84.5</v>
      </c>
      <c r="G150" s="17">
        <v>26</v>
      </c>
      <c r="H150" s="87">
        <v>204</v>
      </c>
      <c r="I150" s="88">
        <v>14000</v>
      </c>
      <c r="J150" s="88" t="s">
        <v>107</v>
      </c>
      <c r="K150" s="88">
        <v>17000</v>
      </c>
      <c r="L150" s="88" t="s">
        <v>68</v>
      </c>
      <c r="M150" s="89">
        <f>I150-K150</f>
        <v>-3000</v>
      </c>
      <c r="N150" s="4">
        <f>IF(ISERROR(K150/I150),"",K150/I150)</f>
        <v>1.2142857142857142</v>
      </c>
      <c r="O150" s="90">
        <f>I150/E150</f>
        <v>437.5</v>
      </c>
      <c r="P150" s="90">
        <f>K150/E150</f>
        <v>531.25</v>
      </c>
      <c r="Q150" s="78">
        <v>3</v>
      </c>
      <c r="R150" s="78">
        <v>2</v>
      </c>
      <c r="S150" s="78" t="s">
        <v>59</v>
      </c>
      <c r="T150" s="5">
        <v>107</v>
      </c>
      <c r="U150" s="9"/>
    </row>
    <row r="151" spans="1:21" s="37" customFormat="1" ht="12" x14ac:dyDescent="0.3">
      <c r="A151" s="73" t="s">
        <v>1686</v>
      </c>
      <c r="B151" s="74" t="s">
        <v>1685</v>
      </c>
      <c r="C151" s="84">
        <v>782</v>
      </c>
      <c r="D151" s="85">
        <v>90.9</v>
      </c>
      <c r="E151" s="86">
        <v>28</v>
      </c>
      <c r="F151" s="85">
        <v>75.2</v>
      </c>
      <c r="G151" s="17">
        <v>23</v>
      </c>
      <c r="H151" s="87">
        <v>165</v>
      </c>
      <c r="I151" s="88">
        <v>14000</v>
      </c>
      <c r="J151" s="88" t="s">
        <v>127</v>
      </c>
      <c r="K151" s="88">
        <v>12000</v>
      </c>
      <c r="L151" s="88" t="s">
        <v>72</v>
      </c>
      <c r="M151" s="89">
        <f>I151-K151</f>
        <v>2000</v>
      </c>
      <c r="N151" s="4">
        <f>IF(ISERROR(K151/I151),"",K151/I151)</f>
        <v>0.8571428571428571</v>
      </c>
      <c r="O151" s="90">
        <f>I151/E151</f>
        <v>500</v>
      </c>
      <c r="P151" s="90">
        <f>K151/E151</f>
        <v>428.57142857142856</v>
      </c>
      <c r="Q151" s="78">
        <v>3</v>
      </c>
      <c r="R151" s="78">
        <v>1</v>
      </c>
      <c r="S151" s="78" t="s">
        <v>59</v>
      </c>
      <c r="T151" s="5" t="s">
        <v>133</v>
      </c>
      <c r="U151" s="9"/>
    </row>
    <row r="152" spans="1:21" s="37" customFormat="1" ht="12" x14ac:dyDescent="0.3">
      <c r="A152" s="73" t="s">
        <v>1688</v>
      </c>
      <c r="B152" s="74" t="s">
        <v>1689</v>
      </c>
      <c r="C152" s="84">
        <v>317</v>
      </c>
      <c r="D152" s="85">
        <v>69.7</v>
      </c>
      <c r="E152" s="86">
        <v>21</v>
      </c>
      <c r="F152" s="85">
        <v>59.9</v>
      </c>
      <c r="G152" s="17">
        <v>18</v>
      </c>
      <c r="H152" s="87">
        <v>314</v>
      </c>
      <c r="I152" s="88">
        <v>14000</v>
      </c>
      <c r="J152" s="88" t="s">
        <v>89</v>
      </c>
      <c r="K152" s="88">
        <v>5500</v>
      </c>
      <c r="L152" s="88" t="s">
        <v>89</v>
      </c>
      <c r="M152" s="89">
        <f>I152-K152</f>
        <v>8500</v>
      </c>
      <c r="N152" s="4">
        <f>IF(ISERROR(K152/I152),"",K152/I152)</f>
        <v>0.39285714285714285</v>
      </c>
      <c r="O152" s="90">
        <f>I152/E152</f>
        <v>666.66666666666663</v>
      </c>
      <c r="P152" s="90">
        <f>K152/E152</f>
        <v>261.90476190476193</v>
      </c>
      <c r="Q152" s="78">
        <v>2</v>
      </c>
      <c r="R152" s="78">
        <v>1</v>
      </c>
      <c r="S152" s="78" t="s">
        <v>59</v>
      </c>
      <c r="T152" s="5">
        <v>69</v>
      </c>
      <c r="U152" s="9"/>
    </row>
    <row r="153" spans="1:21" s="37" customFormat="1" ht="12" x14ac:dyDescent="0.3">
      <c r="A153" s="73" t="s">
        <v>1863</v>
      </c>
      <c r="B153" s="74" t="s">
        <v>1812</v>
      </c>
      <c r="C153" s="84">
        <v>417</v>
      </c>
      <c r="D153" s="85">
        <v>76.599999999999994</v>
      </c>
      <c r="E153" s="86">
        <v>23</v>
      </c>
      <c r="F153" s="85">
        <v>59.8</v>
      </c>
      <c r="G153" s="17">
        <v>18</v>
      </c>
      <c r="H153" s="87">
        <v>198</v>
      </c>
      <c r="I153" s="88">
        <v>13500</v>
      </c>
      <c r="J153" s="88" t="s">
        <v>107</v>
      </c>
      <c r="K153" s="88">
        <v>14000</v>
      </c>
      <c r="L153" s="88" t="s">
        <v>107</v>
      </c>
      <c r="M153" s="89">
        <f>I153-K153</f>
        <v>-500</v>
      </c>
      <c r="N153" s="4">
        <f>IF(ISERROR(K153/I153),"",K153/I153)</f>
        <v>1.037037037037037</v>
      </c>
      <c r="O153" s="90">
        <f>I153/E153</f>
        <v>586.95652173913038</v>
      </c>
      <c r="P153" s="90">
        <f>K153/E153</f>
        <v>608.695652173913</v>
      </c>
      <c r="Q153" s="78">
        <v>3</v>
      </c>
      <c r="R153" s="78">
        <v>1</v>
      </c>
      <c r="S153" s="78" t="s">
        <v>59</v>
      </c>
      <c r="T153" s="5">
        <v>76</v>
      </c>
      <c r="U153" s="9"/>
    </row>
    <row r="154" spans="1:21" s="37" customFormat="1" ht="12" x14ac:dyDescent="0.3">
      <c r="A154" s="73" t="s">
        <v>1744</v>
      </c>
      <c r="B154" s="74" t="s">
        <v>1745</v>
      </c>
      <c r="C154" s="84">
        <v>360</v>
      </c>
      <c r="D154" s="85">
        <v>79.7</v>
      </c>
      <c r="E154" s="86">
        <v>24</v>
      </c>
      <c r="F154" s="85">
        <v>59.7</v>
      </c>
      <c r="G154" s="17">
        <v>18</v>
      </c>
      <c r="H154" s="87">
        <v>125</v>
      </c>
      <c r="I154" s="88">
        <v>13500</v>
      </c>
      <c r="J154" s="88" t="s">
        <v>68</v>
      </c>
      <c r="K154" s="88"/>
      <c r="L154" s="88"/>
      <c r="M154" s="89">
        <f>I154-K154</f>
        <v>13500</v>
      </c>
      <c r="N154" s="4">
        <f>IF(ISERROR(K154/I154),"",K154/I154)</f>
        <v>0</v>
      </c>
      <c r="O154" s="90">
        <f>I154/E154</f>
        <v>562.5</v>
      </c>
      <c r="P154" s="90">
        <f>K154/E154</f>
        <v>0</v>
      </c>
      <c r="Q154" s="78">
        <v>3</v>
      </c>
      <c r="R154" s="78">
        <v>2</v>
      </c>
      <c r="S154" s="78" t="s">
        <v>59</v>
      </c>
      <c r="T154" s="5">
        <v>79</v>
      </c>
      <c r="U154" s="9"/>
    </row>
    <row r="155" spans="1:21" s="37" customFormat="1" ht="12" x14ac:dyDescent="0.3">
      <c r="A155" s="73" t="s">
        <v>1917</v>
      </c>
      <c r="B155" s="74" t="s">
        <v>1762</v>
      </c>
      <c r="C155" s="84">
        <v>371</v>
      </c>
      <c r="D155" s="85">
        <v>108.1</v>
      </c>
      <c r="E155" s="86">
        <v>33</v>
      </c>
      <c r="F155" s="85">
        <v>84.4</v>
      </c>
      <c r="G155" s="17">
        <v>26</v>
      </c>
      <c r="H155" s="87">
        <v>134</v>
      </c>
      <c r="I155" s="88">
        <v>13500</v>
      </c>
      <c r="J155" s="88" t="s">
        <v>89</v>
      </c>
      <c r="K155" s="88"/>
      <c r="L155" s="88"/>
      <c r="M155" s="89">
        <f>I155-K155</f>
        <v>13500</v>
      </c>
      <c r="N155" s="4">
        <f>IF(ISERROR(K155/I155),"",K155/I155)</f>
        <v>0</v>
      </c>
      <c r="O155" s="90">
        <f>I155/E155</f>
        <v>409.09090909090907</v>
      </c>
      <c r="P155" s="90">
        <f>K155/E155</f>
        <v>0</v>
      </c>
      <c r="Q155" s="78">
        <v>3</v>
      </c>
      <c r="R155" s="78">
        <v>2</v>
      </c>
      <c r="S155" s="78" t="s">
        <v>59</v>
      </c>
      <c r="T155" s="5">
        <v>108</v>
      </c>
      <c r="U155" s="9"/>
    </row>
    <row r="156" spans="1:21" s="37" customFormat="1" ht="12" x14ac:dyDescent="0.3">
      <c r="A156" s="73" t="s">
        <v>1770</v>
      </c>
      <c r="B156" s="74" t="s">
        <v>1771</v>
      </c>
      <c r="C156" s="84">
        <v>618</v>
      </c>
      <c r="D156" s="85">
        <v>81.5</v>
      </c>
      <c r="E156" s="86">
        <v>25</v>
      </c>
      <c r="F156" s="85">
        <v>59.5</v>
      </c>
      <c r="G156" s="17">
        <v>18</v>
      </c>
      <c r="H156" s="87">
        <v>290</v>
      </c>
      <c r="I156" s="88">
        <v>13500</v>
      </c>
      <c r="J156" s="88" t="s">
        <v>87</v>
      </c>
      <c r="K156" s="88">
        <v>13000</v>
      </c>
      <c r="L156" s="88" t="s">
        <v>82</v>
      </c>
      <c r="M156" s="89">
        <f>I156-K156</f>
        <v>500</v>
      </c>
      <c r="N156" s="4">
        <f>IF(ISERROR(K156/I156),"",K156/I156)</f>
        <v>0.96296296296296291</v>
      </c>
      <c r="O156" s="90">
        <f>I156/E156</f>
        <v>540</v>
      </c>
      <c r="P156" s="90">
        <f>K156/E156</f>
        <v>520</v>
      </c>
      <c r="Q156" s="78">
        <v>3</v>
      </c>
      <c r="R156" s="78">
        <v>1</v>
      </c>
      <c r="S156" s="78" t="s">
        <v>59</v>
      </c>
      <c r="T156" s="5">
        <v>81</v>
      </c>
      <c r="U156" s="9"/>
    </row>
    <row r="157" spans="1:21" s="37" customFormat="1" ht="12" x14ac:dyDescent="0.3">
      <c r="A157" s="73" t="s">
        <v>1833</v>
      </c>
      <c r="B157" s="74" t="s">
        <v>1933</v>
      </c>
      <c r="C157" s="84">
        <v>960</v>
      </c>
      <c r="D157" s="85">
        <v>81</v>
      </c>
      <c r="E157" s="86">
        <v>24</v>
      </c>
      <c r="F157" s="85">
        <v>59.5</v>
      </c>
      <c r="G157" s="17">
        <v>18</v>
      </c>
      <c r="H157" s="87">
        <v>465</v>
      </c>
      <c r="I157" s="88">
        <v>13500</v>
      </c>
      <c r="J157" s="88" t="s">
        <v>111</v>
      </c>
      <c r="K157" s="88">
        <v>12900</v>
      </c>
      <c r="L157" s="88" t="s">
        <v>72</v>
      </c>
      <c r="M157" s="89">
        <f>I157-K157</f>
        <v>600</v>
      </c>
      <c r="N157" s="4">
        <f>IF(ISERROR(K157/I157),"",K157/I157)</f>
        <v>0.9555555555555556</v>
      </c>
      <c r="O157" s="90">
        <f>I157/E157</f>
        <v>562.5</v>
      </c>
      <c r="P157" s="90">
        <f>K157/E157</f>
        <v>537.5</v>
      </c>
      <c r="Q157" s="78">
        <v>3</v>
      </c>
      <c r="R157" s="78">
        <v>1</v>
      </c>
      <c r="S157" s="78" t="s">
        <v>59</v>
      </c>
      <c r="T157" s="5">
        <v>80</v>
      </c>
      <c r="U157" s="9"/>
    </row>
    <row r="158" spans="1:21" s="37" customFormat="1" ht="12" x14ac:dyDescent="0.3">
      <c r="A158" s="73" t="s">
        <v>1774</v>
      </c>
      <c r="B158" s="74" t="s">
        <v>1775</v>
      </c>
      <c r="C158" s="84">
        <v>404</v>
      </c>
      <c r="D158" s="85">
        <v>101</v>
      </c>
      <c r="E158" s="86">
        <v>31</v>
      </c>
      <c r="F158" s="85">
        <v>85</v>
      </c>
      <c r="G158" s="17">
        <v>26</v>
      </c>
      <c r="H158" s="87">
        <v>198</v>
      </c>
      <c r="I158" s="88">
        <v>13000</v>
      </c>
      <c r="J158" s="88" t="s">
        <v>82</v>
      </c>
      <c r="K158" s="88"/>
      <c r="L158" s="88"/>
      <c r="M158" s="89">
        <f>I158-K158</f>
        <v>13000</v>
      </c>
      <c r="N158" s="4">
        <f>IF(ISERROR(K158/I158),"",K158/I158)</f>
        <v>0</v>
      </c>
      <c r="O158" s="90">
        <f>I158/E158</f>
        <v>419.35483870967744</v>
      </c>
      <c r="P158" s="90">
        <f>K158/E158</f>
        <v>0</v>
      </c>
      <c r="Q158" s="78">
        <v>3</v>
      </c>
      <c r="R158" s="78">
        <v>2</v>
      </c>
      <c r="S158" s="78" t="s">
        <v>59</v>
      </c>
      <c r="T158" s="5">
        <v>100</v>
      </c>
      <c r="U158" s="9"/>
    </row>
    <row r="159" spans="1:21" s="37" customFormat="1" ht="12" x14ac:dyDescent="0.3">
      <c r="A159" s="73" t="s">
        <v>1837</v>
      </c>
      <c r="B159" s="74" t="s">
        <v>1998</v>
      </c>
      <c r="C159" s="84">
        <v>530</v>
      </c>
      <c r="D159" s="85">
        <v>96.4</v>
      </c>
      <c r="E159" s="86">
        <v>29</v>
      </c>
      <c r="F159" s="85">
        <v>78.5</v>
      </c>
      <c r="G159" s="17">
        <v>24</v>
      </c>
      <c r="H159" s="87">
        <v>150</v>
      </c>
      <c r="I159" s="88">
        <v>13000</v>
      </c>
      <c r="J159" s="88" t="s">
        <v>72</v>
      </c>
      <c r="K159" s="88"/>
      <c r="L159" s="88"/>
      <c r="M159" s="89">
        <f>I159-K159</f>
        <v>13000</v>
      </c>
      <c r="N159" s="4">
        <f>IF(ISERROR(K159/I159),"",K159/I159)</f>
        <v>0</v>
      </c>
      <c r="O159" s="90">
        <f>I159/E159</f>
        <v>448.27586206896552</v>
      </c>
      <c r="P159" s="90">
        <f>K159/E159</f>
        <v>0</v>
      </c>
      <c r="Q159" s="78">
        <v>3</v>
      </c>
      <c r="R159" s="78">
        <v>1</v>
      </c>
      <c r="S159" s="78" t="s">
        <v>59</v>
      </c>
      <c r="T159" s="5">
        <v>96</v>
      </c>
      <c r="U159" s="9"/>
    </row>
    <row r="160" spans="1:21" s="37" customFormat="1" ht="12" x14ac:dyDescent="0.3">
      <c r="A160" s="73" t="s">
        <v>1862</v>
      </c>
      <c r="B160" s="74" t="s">
        <v>1680</v>
      </c>
      <c r="C160" s="84">
        <v>533</v>
      </c>
      <c r="D160" s="85">
        <v>70.2</v>
      </c>
      <c r="E160" s="86">
        <v>21</v>
      </c>
      <c r="F160" s="85">
        <v>59.9</v>
      </c>
      <c r="G160" s="17">
        <v>18</v>
      </c>
      <c r="H160" s="87">
        <v>195</v>
      </c>
      <c r="I160" s="88">
        <v>12500</v>
      </c>
      <c r="J160" s="88" t="s">
        <v>89</v>
      </c>
      <c r="K160" s="88"/>
      <c r="L160" s="88"/>
      <c r="M160" s="89">
        <f>I160-K160</f>
        <v>12500</v>
      </c>
      <c r="N160" s="4">
        <f>IF(ISERROR(K160/I160),"",K160/I160)</f>
        <v>0</v>
      </c>
      <c r="O160" s="90">
        <f>I160/E160</f>
        <v>595.23809523809518</v>
      </c>
      <c r="P160" s="90">
        <f>K160/E160</f>
        <v>0</v>
      </c>
      <c r="Q160" s="78">
        <v>3</v>
      </c>
      <c r="R160" s="78">
        <v>1</v>
      </c>
      <c r="S160" s="78" t="s">
        <v>59</v>
      </c>
      <c r="T160" s="5" t="s">
        <v>125</v>
      </c>
      <c r="U160" s="9"/>
    </row>
    <row r="161" spans="1:21" s="37" customFormat="1" ht="12" x14ac:dyDescent="0.3">
      <c r="A161" s="73" t="s">
        <v>1820</v>
      </c>
      <c r="B161" s="74" t="s">
        <v>1886</v>
      </c>
      <c r="C161" s="84">
        <v>753</v>
      </c>
      <c r="D161" s="85">
        <v>81</v>
      </c>
      <c r="E161" s="86">
        <v>24</v>
      </c>
      <c r="F161" s="85">
        <v>59.9</v>
      </c>
      <c r="G161" s="17">
        <v>18</v>
      </c>
      <c r="H161" s="87">
        <v>273</v>
      </c>
      <c r="I161" s="88">
        <v>12500</v>
      </c>
      <c r="J161" s="88" t="s">
        <v>104</v>
      </c>
      <c r="K161" s="88">
        <v>12000</v>
      </c>
      <c r="L161" s="88" t="s">
        <v>127</v>
      </c>
      <c r="M161" s="89">
        <f>I161-K161</f>
        <v>500</v>
      </c>
      <c r="N161" s="4">
        <f>IF(ISERROR(K161/I161),"",K161/I161)</f>
        <v>0.96</v>
      </c>
      <c r="O161" s="90">
        <f>I161/E161</f>
        <v>520.83333333333337</v>
      </c>
      <c r="P161" s="90">
        <f>K161/E161</f>
        <v>500</v>
      </c>
      <c r="Q161" s="78">
        <v>2</v>
      </c>
      <c r="R161" s="78">
        <v>1</v>
      </c>
      <c r="S161" s="78" t="s">
        <v>65</v>
      </c>
      <c r="T161" s="5">
        <v>80</v>
      </c>
      <c r="U161" s="9"/>
    </row>
    <row r="162" spans="1:21" s="37" customFormat="1" ht="12" x14ac:dyDescent="0.3">
      <c r="A162" s="73" t="s">
        <v>1864</v>
      </c>
      <c r="B162" s="74" t="s">
        <v>1681</v>
      </c>
      <c r="C162" s="84">
        <v>394</v>
      </c>
      <c r="D162" s="85">
        <v>84.7</v>
      </c>
      <c r="E162" s="86">
        <v>26</v>
      </c>
      <c r="F162" s="85">
        <v>59.9</v>
      </c>
      <c r="G162" s="17">
        <v>18</v>
      </c>
      <c r="H162" s="87">
        <v>174</v>
      </c>
      <c r="I162" s="88">
        <v>12000</v>
      </c>
      <c r="J162" s="88" t="s">
        <v>68</v>
      </c>
      <c r="K162" s="88">
        <v>12000</v>
      </c>
      <c r="L162" s="88" t="s">
        <v>108</v>
      </c>
      <c r="M162" s="89">
        <f>I162-K162</f>
        <v>0</v>
      </c>
      <c r="N162" s="4">
        <f>IF(ISERROR(K162/I162),"",K162/I162)</f>
        <v>1</v>
      </c>
      <c r="O162" s="90">
        <f>I162/E162</f>
        <v>461.53846153846155</v>
      </c>
      <c r="P162" s="90">
        <f>K162/E162</f>
        <v>461.53846153846155</v>
      </c>
      <c r="Q162" s="78">
        <v>2</v>
      </c>
      <c r="R162" s="78">
        <v>1</v>
      </c>
      <c r="S162" s="78" t="s">
        <v>59</v>
      </c>
      <c r="T162" s="5">
        <v>84</v>
      </c>
      <c r="U162" s="9"/>
    </row>
    <row r="163" spans="1:21" s="37" customFormat="1" ht="12" x14ac:dyDescent="0.3">
      <c r="A163" s="73" t="s">
        <v>1770</v>
      </c>
      <c r="B163" s="74" t="s">
        <v>1771</v>
      </c>
      <c r="C163" s="84">
        <v>618</v>
      </c>
      <c r="D163" s="85">
        <v>68.5</v>
      </c>
      <c r="E163" s="86">
        <v>21</v>
      </c>
      <c r="F163" s="85">
        <v>50</v>
      </c>
      <c r="G163" s="17">
        <v>15</v>
      </c>
      <c r="H163" s="87">
        <v>328</v>
      </c>
      <c r="I163" s="88">
        <v>12000</v>
      </c>
      <c r="J163" s="88" t="s">
        <v>104</v>
      </c>
      <c r="K163" s="88">
        <v>11500</v>
      </c>
      <c r="L163" s="88" t="s">
        <v>87</v>
      </c>
      <c r="M163" s="89">
        <f>I163-K163</f>
        <v>500</v>
      </c>
      <c r="N163" s="4">
        <f>IF(ISERROR(K163/I163),"",K163/I163)</f>
        <v>0.95833333333333337</v>
      </c>
      <c r="O163" s="90">
        <f>I163/E163</f>
        <v>571.42857142857144</v>
      </c>
      <c r="P163" s="90">
        <f>K163/E163</f>
        <v>547.61904761904759</v>
      </c>
      <c r="Q163" s="78">
        <v>2</v>
      </c>
      <c r="R163" s="78">
        <v>1</v>
      </c>
      <c r="S163" s="78" t="s">
        <v>59</v>
      </c>
      <c r="T163" s="5">
        <v>68</v>
      </c>
      <c r="U163" s="9"/>
    </row>
    <row r="164" spans="1:21" s="37" customFormat="1" ht="12" x14ac:dyDescent="0.3">
      <c r="A164" s="73" t="s">
        <v>1925</v>
      </c>
      <c r="B164" s="74" t="s">
        <v>1771</v>
      </c>
      <c r="C164" s="84">
        <v>1335</v>
      </c>
      <c r="D164" s="85">
        <v>82.4</v>
      </c>
      <c r="E164" s="86">
        <v>25</v>
      </c>
      <c r="F164" s="85">
        <v>59.9</v>
      </c>
      <c r="G164" s="17">
        <v>18</v>
      </c>
      <c r="H164" s="87">
        <v>1155</v>
      </c>
      <c r="I164" s="88">
        <v>11900</v>
      </c>
      <c r="J164" s="88" t="s">
        <v>72</v>
      </c>
      <c r="K164" s="88">
        <v>13000</v>
      </c>
      <c r="L164" s="88" t="s">
        <v>83</v>
      </c>
      <c r="M164" s="89">
        <f>I164-K164</f>
        <v>-1100</v>
      </c>
      <c r="N164" s="4">
        <f>IF(ISERROR(K164/I164),"",K164/I164)</f>
        <v>1.0924369747899159</v>
      </c>
      <c r="O164" s="90">
        <f>I164/E164</f>
        <v>476</v>
      </c>
      <c r="P164" s="90">
        <f>K164/E164</f>
        <v>520</v>
      </c>
      <c r="Q164" s="78">
        <v>3</v>
      </c>
      <c r="R164" s="78">
        <v>1</v>
      </c>
      <c r="S164" s="78" t="s">
        <v>59</v>
      </c>
      <c r="T164" s="5">
        <v>82</v>
      </c>
      <c r="U164" s="9"/>
    </row>
    <row r="165" spans="1:21" s="37" customFormat="1" ht="12" x14ac:dyDescent="0.3">
      <c r="A165" s="73" t="s">
        <v>1973</v>
      </c>
      <c r="B165" s="74" t="s">
        <v>1974</v>
      </c>
      <c r="C165" s="84">
        <v>320</v>
      </c>
      <c r="D165" s="85">
        <v>76.2</v>
      </c>
      <c r="E165" s="86">
        <v>23</v>
      </c>
      <c r="F165" s="85">
        <v>59.5</v>
      </c>
      <c r="G165" s="17">
        <v>18</v>
      </c>
      <c r="H165" s="87">
        <v>125</v>
      </c>
      <c r="I165" s="88">
        <v>11800</v>
      </c>
      <c r="J165" s="88" t="s">
        <v>68</v>
      </c>
      <c r="K165" s="88"/>
      <c r="L165" s="88"/>
      <c r="M165" s="89">
        <f>I165-K165</f>
        <v>11800</v>
      </c>
      <c r="N165" s="4">
        <f>IF(ISERROR(K165/I165),"",K165/I165)</f>
        <v>0</v>
      </c>
      <c r="O165" s="90">
        <f>I165/E165</f>
        <v>513.04347826086962</v>
      </c>
      <c r="P165" s="90">
        <f>K165/E165</f>
        <v>0</v>
      </c>
      <c r="Q165" s="78">
        <v>3</v>
      </c>
      <c r="R165" s="78">
        <v>1</v>
      </c>
      <c r="S165" s="78" t="s">
        <v>59</v>
      </c>
      <c r="T165" s="5">
        <v>76</v>
      </c>
      <c r="U165" s="9"/>
    </row>
    <row r="166" spans="1:21" s="37" customFormat="1" ht="12" x14ac:dyDescent="0.3">
      <c r="A166" s="73" t="s">
        <v>1832</v>
      </c>
      <c r="B166" s="74" t="s">
        <v>1771</v>
      </c>
      <c r="C166" s="84">
        <v>1335</v>
      </c>
      <c r="D166" s="85">
        <v>68.5</v>
      </c>
      <c r="E166" s="86">
        <v>21</v>
      </c>
      <c r="F166" s="85">
        <v>49.8</v>
      </c>
      <c r="G166" s="17">
        <v>15</v>
      </c>
      <c r="H166" s="87">
        <v>180</v>
      </c>
      <c r="I166" s="88">
        <v>11500</v>
      </c>
      <c r="J166" s="88" t="s">
        <v>104</v>
      </c>
      <c r="K166" s="88">
        <v>10500</v>
      </c>
      <c r="L166" s="88" t="s">
        <v>104</v>
      </c>
      <c r="M166" s="89">
        <f>I166-K166</f>
        <v>1000</v>
      </c>
      <c r="N166" s="4">
        <f>IF(ISERROR(K166/I166),"",K166/I166)</f>
        <v>0.91304347826086951</v>
      </c>
      <c r="O166" s="90">
        <f>I166/E166</f>
        <v>547.61904761904759</v>
      </c>
      <c r="P166" s="90">
        <f>K166/E166</f>
        <v>500</v>
      </c>
      <c r="Q166" s="78">
        <v>2</v>
      </c>
      <c r="R166" s="78">
        <v>1</v>
      </c>
      <c r="S166" s="78" t="s">
        <v>59</v>
      </c>
      <c r="T166" s="5">
        <v>68</v>
      </c>
      <c r="U166" s="9"/>
    </row>
    <row r="167" spans="1:21" s="37" customFormat="1" ht="12" x14ac:dyDescent="0.3">
      <c r="A167" s="73" t="s">
        <v>1795</v>
      </c>
      <c r="B167" s="74" t="s">
        <v>1796</v>
      </c>
      <c r="C167" s="84">
        <v>643</v>
      </c>
      <c r="D167" s="85">
        <v>80.099999999999994</v>
      </c>
      <c r="E167" s="86">
        <v>24</v>
      </c>
      <c r="F167" s="85">
        <v>59.5</v>
      </c>
      <c r="G167" s="17">
        <v>18</v>
      </c>
      <c r="H167" s="87">
        <v>264</v>
      </c>
      <c r="I167" s="88">
        <v>11500</v>
      </c>
      <c r="J167" s="88" t="s">
        <v>72</v>
      </c>
      <c r="K167" s="88"/>
      <c r="L167" s="88"/>
      <c r="M167" s="89">
        <f>I167-K167</f>
        <v>11500</v>
      </c>
      <c r="N167" s="4">
        <f>IF(ISERROR(K167/I167),"",K167/I167)</f>
        <v>0</v>
      </c>
      <c r="O167" s="90">
        <f>I167/E167</f>
        <v>479.16666666666669</v>
      </c>
      <c r="P167" s="90">
        <f>K167/E167</f>
        <v>0</v>
      </c>
      <c r="Q167" s="78">
        <v>2</v>
      </c>
      <c r="R167" s="78">
        <v>1</v>
      </c>
      <c r="S167" s="78" t="s">
        <v>65</v>
      </c>
      <c r="T167" s="5" t="s">
        <v>81</v>
      </c>
      <c r="U167" s="9"/>
    </row>
    <row r="168" spans="1:21" s="37" customFormat="1" ht="12" x14ac:dyDescent="0.3">
      <c r="A168" s="73" t="s">
        <v>1780</v>
      </c>
      <c r="B168" s="74" t="s">
        <v>1781</v>
      </c>
      <c r="C168" s="84">
        <v>305</v>
      </c>
      <c r="D168" s="85">
        <v>78.3</v>
      </c>
      <c r="E168" s="86">
        <v>24</v>
      </c>
      <c r="F168" s="85">
        <v>57.1</v>
      </c>
      <c r="G168" s="17">
        <v>17</v>
      </c>
      <c r="H168" s="87">
        <v>66</v>
      </c>
      <c r="I168" s="88">
        <v>11000</v>
      </c>
      <c r="J168" s="88" t="s">
        <v>93</v>
      </c>
      <c r="K168" s="88"/>
      <c r="L168" s="88"/>
      <c r="M168" s="89">
        <f>I168-K168</f>
        <v>11000</v>
      </c>
      <c r="N168" s="4">
        <f>IF(ISERROR(K168/I168),"",K168/I168)</f>
        <v>0</v>
      </c>
      <c r="O168" s="90">
        <f>I168/E168</f>
        <v>458.33333333333331</v>
      </c>
      <c r="P168" s="90">
        <f>K168/E168</f>
        <v>0</v>
      </c>
      <c r="Q168" s="78">
        <v>3</v>
      </c>
      <c r="R168" s="78">
        <v>1</v>
      </c>
      <c r="S168" s="78" t="s">
        <v>59</v>
      </c>
      <c r="T168" s="5">
        <v>78</v>
      </c>
      <c r="U168" s="9"/>
    </row>
    <row r="169" spans="1:21" s="37" customFormat="1" ht="12" x14ac:dyDescent="0.3">
      <c r="A169" s="73" t="s">
        <v>1932</v>
      </c>
      <c r="B169" s="74" t="s">
        <v>1690</v>
      </c>
      <c r="C169" s="84">
        <v>960</v>
      </c>
      <c r="D169" s="85">
        <v>68</v>
      </c>
      <c r="E169" s="86">
        <v>21</v>
      </c>
      <c r="F169" s="85">
        <v>50</v>
      </c>
      <c r="G169" s="17">
        <v>15</v>
      </c>
      <c r="H169" s="87">
        <v>495</v>
      </c>
      <c r="I169" s="88">
        <v>10700</v>
      </c>
      <c r="J169" s="88" t="s">
        <v>72</v>
      </c>
      <c r="K169" s="88">
        <v>11000</v>
      </c>
      <c r="L169" s="88" t="s">
        <v>111</v>
      </c>
      <c r="M169" s="89">
        <f>I169-K169</f>
        <v>-300</v>
      </c>
      <c r="N169" s="4">
        <f>IF(ISERROR(K169/I169),"",K169/I169)</f>
        <v>1.02803738317757</v>
      </c>
      <c r="O169" s="90">
        <f>I169/E169</f>
        <v>509.52380952380952</v>
      </c>
      <c r="P169" s="90">
        <f>K169/E169</f>
        <v>523.80952380952385</v>
      </c>
      <c r="Q169" s="78">
        <v>2</v>
      </c>
      <c r="R169" s="78">
        <v>1</v>
      </c>
      <c r="S169" s="78" t="s">
        <v>59</v>
      </c>
      <c r="T169" s="5">
        <v>68</v>
      </c>
      <c r="U169" s="9"/>
    </row>
    <row r="170" spans="1:21" s="37" customFormat="1" ht="12" x14ac:dyDescent="0.3">
      <c r="A170" s="73" t="s">
        <v>1836</v>
      </c>
      <c r="B170" s="74" t="s">
        <v>1966</v>
      </c>
      <c r="C170" s="84">
        <v>2102</v>
      </c>
      <c r="D170" s="85">
        <v>79.2</v>
      </c>
      <c r="E170" s="86">
        <v>24</v>
      </c>
      <c r="F170" s="85">
        <v>59.8</v>
      </c>
      <c r="G170" s="17">
        <v>18</v>
      </c>
      <c r="H170" s="87">
        <v>884</v>
      </c>
      <c r="I170" s="88">
        <v>10700</v>
      </c>
      <c r="J170" s="88" t="s">
        <v>127</v>
      </c>
      <c r="K170" s="88">
        <v>10500</v>
      </c>
      <c r="L170" s="88" t="s">
        <v>87</v>
      </c>
      <c r="M170" s="89">
        <f>I170-K170</f>
        <v>200</v>
      </c>
      <c r="N170" s="4">
        <f>IF(ISERROR(K170/I170),"",K170/I170)</f>
        <v>0.98130841121495327</v>
      </c>
      <c r="O170" s="90">
        <f>I170/E170</f>
        <v>445.83333333333331</v>
      </c>
      <c r="P170" s="90">
        <f>K170/E170</f>
        <v>437.5</v>
      </c>
      <c r="Q170" s="78">
        <v>3</v>
      </c>
      <c r="R170" s="78">
        <v>1</v>
      </c>
      <c r="S170" s="78" t="s">
        <v>65</v>
      </c>
      <c r="T170" s="5">
        <v>79</v>
      </c>
      <c r="U170" s="9"/>
    </row>
    <row r="171" spans="1:21" s="37" customFormat="1" ht="12" x14ac:dyDescent="0.3">
      <c r="A171" s="73" t="s">
        <v>1780</v>
      </c>
      <c r="B171" s="74" t="s">
        <v>1781</v>
      </c>
      <c r="C171" s="84">
        <v>305</v>
      </c>
      <c r="D171" s="85">
        <v>70.900000000000006</v>
      </c>
      <c r="E171" s="86">
        <v>21</v>
      </c>
      <c r="F171" s="85">
        <v>51.7</v>
      </c>
      <c r="G171" s="17">
        <v>16</v>
      </c>
      <c r="H171" s="87">
        <v>30</v>
      </c>
      <c r="I171" s="88">
        <v>10600</v>
      </c>
      <c r="J171" s="88" t="s">
        <v>89</v>
      </c>
      <c r="K171" s="88"/>
      <c r="L171" s="88"/>
      <c r="M171" s="89">
        <f>I171-K171</f>
        <v>10600</v>
      </c>
      <c r="N171" s="4">
        <f>IF(ISERROR(K171/I171),"",K171/I171)</f>
        <v>0</v>
      </c>
      <c r="O171" s="90">
        <f>I171/E171</f>
        <v>504.76190476190476</v>
      </c>
      <c r="P171" s="90">
        <f>K171/E171</f>
        <v>0</v>
      </c>
      <c r="Q171" s="78">
        <v>2</v>
      </c>
      <c r="R171" s="78">
        <v>1</v>
      </c>
      <c r="S171" s="78" t="s">
        <v>59</v>
      </c>
      <c r="T171" s="5">
        <v>70</v>
      </c>
      <c r="U171" s="9"/>
    </row>
    <row r="172" spans="1:21" s="37" customFormat="1" ht="12" x14ac:dyDescent="0.3">
      <c r="A172" s="73" t="s">
        <v>1917</v>
      </c>
      <c r="B172" s="74" t="s">
        <v>1762</v>
      </c>
      <c r="C172" s="84">
        <v>371</v>
      </c>
      <c r="D172" s="85">
        <v>76.8</v>
      </c>
      <c r="E172" s="86">
        <v>23</v>
      </c>
      <c r="F172" s="85">
        <v>59.9</v>
      </c>
      <c r="G172" s="17">
        <v>18</v>
      </c>
      <c r="H172" s="87">
        <v>169</v>
      </c>
      <c r="I172" s="88">
        <v>10300</v>
      </c>
      <c r="J172" s="88" t="s">
        <v>82</v>
      </c>
      <c r="K172" s="88"/>
      <c r="L172" s="88"/>
      <c r="M172" s="89">
        <f>I172-K172</f>
        <v>10300</v>
      </c>
      <c r="N172" s="4">
        <f>IF(ISERROR(K172/I172),"",K172/I172)</f>
        <v>0</v>
      </c>
      <c r="O172" s="90">
        <f>I172/E172</f>
        <v>447.82608695652175</v>
      </c>
      <c r="P172" s="90">
        <f>K172/E172</f>
        <v>0</v>
      </c>
      <c r="Q172" s="78">
        <v>3</v>
      </c>
      <c r="R172" s="78">
        <v>1</v>
      </c>
      <c r="S172" s="78" t="s">
        <v>59</v>
      </c>
      <c r="T172" s="5" t="s">
        <v>191</v>
      </c>
      <c r="U172" s="9"/>
    </row>
    <row r="173" spans="1:21" s="37" customFormat="1" ht="12" x14ac:dyDescent="0.3">
      <c r="A173" s="73" t="s">
        <v>1997</v>
      </c>
      <c r="B173" s="74" t="s">
        <v>1998</v>
      </c>
      <c r="C173" s="84">
        <v>530</v>
      </c>
      <c r="D173" s="85">
        <v>85.8</v>
      </c>
      <c r="E173" s="86">
        <v>26</v>
      </c>
      <c r="F173" s="85">
        <v>70.3</v>
      </c>
      <c r="G173" s="17">
        <v>21</v>
      </c>
      <c r="H173" s="87">
        <v>118</v>
      </c>
      <c r="I173" s="88">
        <v>10000</v>
      </c>
      <c r="J173" s="88" t="s">
        <v>87</v>
      </c>
      <c r="K173" s="88"/>
      <c r="L173" s="88"/>
      <c r="M173" s="89">
        <f>I173-K173</f>
        <v>10000</v>
      </c>
      <c r="N173" s="4">
        <f>IF(ISERROR(K173/I173),"",K173/I173)</f>
        <v>0</v>
      </c>
      <c r="O173" s="90">
        <f>I173/E173</f>
        <v>384.61538461538464</v>
      </c>
      <c r="P173" s="90">
        <f>K173/E173</f>
        <v>0</v>
      </c>
      <c r="Q173" s="78">
        <v>3</v>
      </c>
      <c r="R173" s="78">
        <v>1</v>
      </c>
      <c r="S173" s="78" t="s">
        <v>65</v>
      </c>
      <c r="T173" s="5">
        <v>85</v>
      </c>
      <c r="U173" s="9"/>
    </row>
    <row r="174" spans="1:21" s="37" customFormat="1" ht="12" x14ac:dyDescent="0.3">
      <c r="A174" s="73" t="s">
        <v>1810</v>
      </c>
      <c r="B174" s="74" t="s">
        <v>1859</v>
      </c>
      <c r="C174" s="84">
        <v>418</v>
      </c>
      <c r="D174" s="85">
        <v>76.099999999999994</v>
      </c>
      <c r="E174" s="86">
        <v>23</v>
      </c>
      <c r="F174" s="85">
        <v>60</v>
      </c>
      <c r="G174" s="17">
        <v>18</v>
      </c>
      <c r="H174" s="87">
        <v>190</v>
      </c>
      <c r="I174" s="88">
        <v>9500</v>
      </c>
      <c r="J174" s="88" t="s">
        <v>93</v>
      </c>
      <c r="K174" s="88"/>
      <c r="L174" s="88"/>
      <c r="M174" s="89">
        <f>I174-K174</f>
        <v>9500</v>
      </c>
      <c r="N174" s="4">
        <f>IF(ISERROR(K174/I174),"",K174/I174)</f>
        <v>0</v>
      </c>
      <c r="O174" s="90">
        <f>I174/E174</f>
        <v>413.04347826086956</v>
      </c>
      <c r="P174" s="90">
        <f>K174/E174</f>
        <v>0</v>
      </c>
      <c r="Q174" s="78">
        <v>3</v>
      </c>
      <c r="R174" s="78">
        <v>1</v>
      </c>
      <c r="S174" s="78" t="s">
        <v>59</v>
      </c>
      <c r="T174" s="5">
        <v>76</v>
      </c>
      <c r="U174" s="9"/>
    </row>
    <row r="175" spans="1:21" s="37" customFormat="1" ht="12" x14ac:dyDescent="0.3">
      <c r="A175" s="73" t="s">
        <v>1862</v>
      </c>
      <c r="B175" s="74" t="s">
        <v>1680</v>
      </c>
      <c r="C175" s="84">
        <v>533</v>
      </c>
      <c r="D175" s="85">
        <v>59.8</v>
      </c>
      <c r="E175" s="86">
        <v>18</v>
      </c>
      <c r="F175" s="85">
        <v>50</v>
      </c>
      <c r="G175" s="17">
        <v>15</v>
      </c>
      <c r="H175" s="87">
        <v>120</v>
      </c>
      <c r="I175" s="88">
        <v>9500</v>
      </c>
      <c r="J175" s="88" t="s">
        <v>89</v>
      </c>
      <c r="K175" s="88"/>
      <c r="L175" s="88"/>
      <c r="M175" s="89">
        <f>I175-K175</f>
        <v>9500</v>
      </c>
      <c r="N175" s="4">
        <f>IF(ISERROR(K175/I175),"",K175/I175)</f>
        <v>0</v>
      </c>
      <c r="O175" s="90">
        <f>I175/E175</f>
        <v>527.77777777777783</v>
      </c>
      <c r="P175" s="90">
        <f>K175/E175</f>
        <v>0</v>
      </c>
      <c r="Q175" s="78">
        <v>3</v>
      </c>
      <c r="R175" s="78">
        <v>1</v>
      </c>
      <c r="S175" s="78" t="s">
        <v>65</v>
      </c>
      <c r="T175" s="5">
        <v>59</v>
      </c>
      <c r="U175" s="9"/>
    </row>
    <row r="176" spans="1:21" s="37" customFormat="1" ht="12" x14ac:dyDescent="0.3">
      <c r="A176" s="73" t="s">
        <v>1707</v>
      </c>
      <c r="B176" s="74" t="s">
        <v>1706</v>
      </c>
      <c r="C176" s="84">
        <v>370</v>
      </c>
      <c r="D176" s="85">
        <v>58.5</v>
      </c>
      <c r="E176" s="86">
        <v>18</v>
      </c>
      <c r="F176" s="85">
        <v>49.3</v>
      </c>
      <c r="G176" s="17">
        <v>15</v>
      </c>
      <c r="H176" s="87">
        <v>175</v>
      </c>
      <c r="I176" s="88">
        <v>9500</v>
      </c>
      <c r="J176" s="88" t="s">
        <v>68</v>
      </c>
      <c r="K176" s="88"/>
      <c r="L176" s="88"/>
      <c r="M176" s="89">
        <f>I176-K176</f>
        <v>9500</v>
      </c>
      <c r="N176" s="4">
        <f>IF(ISERROR(K176/I176),"",K176/I176)</f>
        <v>0</v>
      </c>
      <c r="O176" s="90">
        <f>I176/E176</f>
        <v>527.77777777777783</v>
      </c>
      <c r="P176" s="90">
        <f>K176/E176</f>
        <v>0</v>
      </c>
      <c r="Q176" s="78">
        <v>3</v>
      </c>
      <c r="R176" s="78">
        <v>1</v>
      </c>
      <c r="S176" s="78" t="s">
        <v>59</v>
      </c>
      <c r="T176" s="5">
        <v>58</v>
      </c>
      <c r="U176" s="9"/>
    </row>
    <row r="177" spans="1:21" s="37" customFormat="1" ht="12" x14ac:dyDescent="0.3">
      <c r="A177" s="73" t="s">
        <v>1797</v>
      </c>
      <c r="B177" s="74" t="s">
        <v>1798</v>
      </c>
      <c r="C177" s="84">
        <v>684</v>
      </c>
      <c r="D177" s="85">
        <v>84.8</v>
      </c>
      <c r="E177" s="86">
        <v>26</v>
      </c>
      <c r="F177" s="85">
        <v>60</v>
      </c>
      <c r="G177" s="17">
        <v>18</v>
      </c>
      <c r="H177" s="87">
        <v>240</v>
      </c>
      <c r="I177" s="88">
        <v>9300</v>
      </c>
      <c r="J177" s="88" t="s">
        <v>69</v>
      </c>
      <c r="K177" s="88">
        <v>9000</v>
      </c>
      <c r="L177" s="88" t="s">
        <v>131</v>
      </c>
      <c r="M177" s="89">
        <f>I177-K177</f>
        <v>300</v>
      </c>
      <c r="N177" s="4">
        <f>IF(ISERROR(K177/I177),"",K177/I177)</f>
        <v>0.967741935483871</v>
      </c>
      <c r="O177" s="90">
        <f>I177/E177</f>
        <v>357.69230769230768</v>
      </c>
      <c r="P177" s="90">
        <f>K177/E177</f>
        <v>346.15384615384613</v>
      </c>
      <c r="Q177" s="78">
        <v>2</v>
      </c>
      <c r="R177" s="78">
        <v>1</v>
      </c>
      <c r="S177" s="78" t="s">
        <v>65</v>
      </c>
      <c r="T177" s="5">
        <v>84</v>
      </c>
      <c r="U177" s="9"/>
    </row>
    <row r="178" spans="1:21" s="37" customFormat="1" ht="12" x14ac:dyDescent="0.3">
      <c r="A178" s="73" t="s">
        <v>1971</v>
      </c>
      <c r="B178" s="74" t="s">
        <v>1972</v>
      </c>
      <c r="C178" s="84">
        <v>659</v>
      </c>
      <c r="D178" s="85">
        <v>77.5</v>
      </c>
      <c r="E178" s="86">
        <v>23</v>
      </c>
      <c r="F178" s="85">
        <v>60</v>
      </c>
      <c r="G178" s="17">
        <v>18</v>
      </c>
      <c r="H178" s="87">
        <v>281</v>
      </c>
      <c r="I178" s="88">
        <v>9000</v>
      </c>
      <c r="J178" s="88" t="s">
        <v>104</v>
      </c>
      <c r="K178" s="88"/>
      <c r="L178" s="88"/>
      <c r="M178" s="89">
        <f>I178-K178</f>
        <v>9000</v>
      </c>
      <c r="N178" s="4">
        <f>IF(ISERROR(K178/I178),"",K178/I178)</f>
        <v>0</v>
      </c>
      <c r="O178" s="90">
        <f>I178/E178</f>
        <v>391.30434782608694</v>
      </c>
      <c r="P178" s="90">
        <f>K178/E178</f>
        <v>0</v>
      </c>
      <c r="Q178" s="78">
        <v>3</v>
      </c>
      <c r="R178" s="78">
        <v>1</v>
      </c>
      <c r="S178" s="78" t="s">
        <v>59</v>
      </c>
      <c r="T178" s="5">
        <v>77</v>
      </c>
      <c r="U178" s="9"/>
    </row>
    <row r="179" spans="1:21" s="37" customFormat="1" ht="12" x14ac:dyDescent="0.3">
      <c r="A179" s="73" t="s">
        <v>1856</v>
      </c>
      <c r="B179" s="74" t="s">
        <v>1652</v>
      </c>
      <c r="C179" s="84">
        <v>486</v>
      </c>
      <c r="D179" s="85">
        <v>84.9</v>
      </c>
      <c r="E179" s="86">
        <v>26</v>
      </c>
      <c r="F179" s="85">
        <v>59.9</v>
      </c>
      <c r="G179" s="17">
        <v>18</v>
      </c>
      <c r="H179" s="87">
        <v>486</v>
      </c>
      <c r="I179" s="88">
        <v>8500</v>
      </c>
      <c r="J179" s="88" t="s">
        <v>69</v>
      </c>
      <c r="K179" s="88"/>
      <c r="L179" s="88"/>
      <c r="M179" s="89">
        <f>I179-K179</f>
        <v>8500</v>
      </c>
      <c r="N179" s="4">
        <f>IF(ISERROR(K179/I179),"",K179/I179)</f>
        <v>0</v>
      </c>
      <c r="O179" s="90">
        <f>I179/E179</f>
        <v>326.92307692307691</v>
      </c>
      <c r="P179" s="90">
        <f>K179/E179</f>
        <v>0</v>
      </c>
      <c r="Q179" s="78">
        <v>2</v>
      </c>
      <c r="R179" s="78">
        <v>1</v>
      </c>
      <c r="S179" s="78" t="s">
        <v>65</v>
      </c>
      <c r="T179" s="5">
        <v>84</v>
      </c>
      <c r="U179" s="9"/>
    </row>
    <row r="180" spans="1:21" s="37" customFormat="1" ht="12" x14ac:dyDescent="0.3">
      <c r="A180" s="73" t="s">
        <v>1707</v>
      </c>
      <c r="B180" s="74" t="s">
        <v>1706</v>
      </c>
      <c r="C180" s="84">
        <v>370</v>
      </c>
      <c r="D180" s="85">
        <v>54.4</v>
      </c>
      <c r="E180" s="86">
        <v>16</v>
      </c>
      <c r="F180" s="85">
        <v>40</v>
      </c>
      <c r="G180" s="17">
        <v>12</v>
      </c>
      <c r="H180" s="87">
        <v>195</v>
      </c>
      <c r="I180" s="88">
        <v>8500</v>
      </c>
      <c r="J180" s="88" t="s">
        <v>89</v>
      </c>
      <c r="K180" s="88"/>
      <c r="L180" s="88"/>
      <c r="M180" s="89">
        <f>I180-K180</f>
        <v>8500</v>
      </c>
      <c r="N180" s="4">
        <f>IF(ISERROR(K180/I180),"",K180/I180)</f>
        <v>0</v>
      </c>
      <c r="O180" s="90">
        <f>I180/E180</f>
        <v>531.25</v>
      </c>
      <c r="P180" s="90">
        <f>K180/E180</f>
        <v>0</v>
      </c>
      <c r="Q180" s="78">
        <v>2</v>
      </c>
      <c r="R180" s="78">
        <v>1</v>
      </c>
      <c r="S180" s="78" t="s">
        <v>59</v>
      </c>
      <c r="T180" s="5">
        <v>54</v>
      </c>
      <c r="U180" s="9"/>
    </row>
    <row r="181" spans="1:21" s="37" customFormat="1" ht="12" x14ac:dyDescent="0.3">
      <c r="A181" s="73" t="s">
        <v>1733</v>
      </c>
      <c r="B181" s="74" t="s">
        <v>1734</v>
      </c>
      <c r="C181" s="84">
        <v>360</v>
      </c>
      <c r="D181" s="85">
        <v>67.099999999999994</v>
      </c>
      <c r="E181" s="86">
        <v>20</v>
      </c>
      <c r="F181" s="85">
        <v>49.9</v>
      </c>
      <c r="G181" s="17">
        <v>15</v>
      </c>
      <c r="H181" s="87">
        <v>360</v>
      </c>
      <c r="I181" s="88">
        <v>8500</v>
      </c>
      <c r="J181" s="88" t="s">
        <v>83</v>
      </c>
      <c r="K181" s="88"/>
      <c r="L181" s="88"/>
      <c r="M181" s="89">
        <f>I181-K181</f>
        <v>8500</v>
      </c>
      <c r="N181" s="4">
        <f>IF(ISERROR(K181/I181),"",K181/I181)</f>
        <v>0</v>
      </c>
      <c r="O181" s="90">
        <f>I181/E181</f>
        <v>425</v>
      </c>
      <c r="P181" s="90">
        <f>K181/E181</f>
        <v>0</v>
      </c>
      <c r="Q181" s="78">
        <v>2</v>
      </c>
      <c r="R181" s="78">
        <v>1</v>
      </c>
      <c r="S181" s="78" t="s">
        <v>65</v>
      </c>
      <c r="T181" s="5">
        <v>67</v>
      </c>
      <c r="U181" s="9"/>
    </row>
    <row r="182" spans="1:21" s="37" customFormat="1" ht="12" x14ac:dyDescent="0.3">
      <c r="A182" s="73" t="s">
        <v>1737</v>
      </c>
      <c r="B182" s="74" t="s">
        <v>1738</v>
      </c>
      <c r="C182" s="84">
        <v>525</v>
      </c>
      <c r="D182" s="85">
        <v>80.099999999999994</v>
      </c>
      <c r="E182" s="86">
        <v>24</v>
      </c>
      <c r="F182" s="85">
        <v>59.5</v>
      </c>
      <c r="G182" s="17">
        <v>18</v>
      </c>
      <c r="H182" s="87">
        <v>525</v>
      </c>
      <c r="I182" s="88">
        <v>8300</v>
      </c>
      <c r="J182" s="88" t="s">
        <v>83</v>
      </c>
      <c r="K182" s="88">
        <v>8000</v>
      </c>
      <c r="L182" s="88" t="s">
        <v>83</v>
      </c>
      <c r="M182" s="89">
        <f>I182-K182</f>
        <v>300</v>
      </c>
      <c r="N182" s="4">
        <f>IF(ISERROR(K182/I182),"",K182/I182)</f>
        <v>0.96385542168674698</v>
      </c>
      <c r="O182" s="90">
        <f>I182/E182</f>
        <v>345.83333333333331</v>
      </c>
      <c r="P182" s="90">
        <f>K182/E182</f>
        <v>333.33333333333331</v>
      </c>
      <c r="Q182" s="78">
        <v>3</v>
      </c>
      <c r="R182" s="78">
        <v>1</v>
      </c>
      <c r="S182" s="78" t="s">
        <v>65</v>
      </c>
      <c r="T182" s="5">
        <v>80</v>
      </c>
      <c r="U182" s="9"/>
    </row>
    <row r="183" spans="1:21" s="37" customFormat="1" ht="12" x14ac:dyDescent="0.3">
      <c r="A183" s="73" t="s">
        <v>1839</v>
      </c>
      <c r="B183" s="74" t="s">
        <v>1801</v>
      </c>
      <c r="C183" s="84">
        <v>1911</v>
      </c>
      <c r="D183" s="85">
        <v>55.2</v>
      </c>
      <c r="E183" s="86">
        <v>17</v>
      </c>
      <c r="F183" s="85">
        <v>39.700000000000003</v>
      </c>
      <c r="G183" s="17">
        <v>12</v>
      </c>
      <c r="H183" s="87">
        <v>312</v>
      </c>
      <c r="I183" s="88">
        <v>7800</v>
      </c>
      <c r="J183" s="88" t="s">
        <v>131</v>
      </c>
      <c r="K183" s="88">
        <v>7500</v>
      </c>
      <c r="L183" s="88" t="s">
        <v>127</v>
      </c>
      <c r="M183" s="89">
        <f>I183-K183</f>
        <v>300</v>
      </c>
      <c r="N183" s="4">
        <f>IF(ISERROR(K183/I183),"",K183/I183)</f>
        <v>0.96153846153846156</v>
      </c>
      <c r="O183" s="90">
        <f>I183/E183</f>
        <v>458.8235294117647</v>
      </c>
      <c r="P183" s="90">
        <f>K183/E183</f>
        <v>441.1764705882353</v>
      </c>
      <c r="Q183" s="78">
        <v>2</v>
      </c>
      <c r="R183" s="78">
        <v>1</v>
      </c>
      <c r="S183" s="78" t="s">
        <v>59</v>
      </c>
      <c r="T183" s="5">
        <v>55</v>
      </c>
      <c r="U183" s="9"/>
    </row>
    <row r="184" spans="1:21" s="37" customFormat="1" ht="12" x14ac:dyDescent="0.3">
      <c r="A184" s="73" t="s">
        <v>1739</v>
      </c>
      <c r="B184" s="74" t="s">
        <v>1740</v>
      </c>
      <c r="C184" s="84">
        <v>500</v>
      </c>
      <c r="D184" s="85">
        <v>74.8</v>
      </c>
      <c r="E184" s="86">
        <v>23</v>
      </c>
      <c r="F184" s="85">
        <v>50</v>
      </c>
      <c r="G184" s="17">
        <v>15</v>
      </c>
      <c r="H184" s="87">
        <v>336</v>
      </c>
      <c r="I184" s="88">
        <v>7600</v>
      </c>
      <c r="J184" s="88" t="s">
        <v>69</v>
      </c>
      <c r="K184" s="88"/>
      <c r="L184" s="88"/>
      <c r="M184" s="89">
        <f>I184-K184</f>
        <v>7600</v>
      </c>
      <c r="N184" s="4">
        <f>IF(ISERROR(K184/I184),"",K184/I184)</f>
        <v>0</v>
      </c>
      <c r="O184" s="90">
        <f>I184/E184</f>
        <v>330.43478260869563</v>
      </c>
      <c r="P184" s="90">
        <f>K184/E184</f>
        <v>0</v>
      </c>
      <c r="Q184" s="78">
        <v>3</v>
      </c>
      <c r="R184" s="78">
        <v>1</v>
      </c>
      <c r="S184" s="78" t="s">
        <v>65</v>
      </c>
      <c r="T184" s="5" t="s">
        <v>67</v>
      </c>
      <c r="U184" s="9"/>
    </row>
    <row r="185" spans="1:21" s="37" customFormat="1" ht="12" x14ac:dyDescent="0.3">
      <c r="A185" s="73" t="s">
        <v>1765</v>
      </c>
      <c r="B185" s="74" t="s">
        <v>1762</v>
      </c>
      <c r="C185" s="84">
        <v>792</v>
      </c>
      <c r="D185" s="85">
        <v>80.5</v>
      </c>
      <c r="E185" s="86">
        <v>24</v>
      </c>
      <c r="F185" s="85">
        <v>59.9</v>
      </c>
      <c r="G185" s="17">
        <v>18</v>
      </c>
      <c r="H185" s="87">
        <v>792</v>
      </c>
      <c r="I185" s="88">
        <v>7600</v>
      </c>
      <c r="J185" s="88" t="s">
        <v>72</v>
      </c>
      <c r="K185" s="88"/>
      <c r="L185" s="88"/>
      <c r="M185" s="89">
        <f>I185-K185</f>
        <v>7600</v>
      </c>
      <c r="N185" s="4">
        <f>IF(ISERROR(K185/I185),"",K185/I185)</f>
        <v>0</v>
      </c>
      <c r="O185" s="90">
        <f>I185/E185</f>
        <v>316.66666666666669</v>
      </c>
      <c r="P185" s="90">
        <f>K185/E185</f>
        <v>0</v>
      </c>
      <c r="Q185" s="78">
        <v>3</v>
      </c>
      <c r="R185" s="78">
        <v>1</v>
      </c>
      <c r="S185" s="78" t="s">
        <v>65</v>
      </c>
      <c r="T185" s="5">
        <v>80</v>
      </c>
      <c r="U185" s="9"/>
    </row>
    <row r="186" spans="1:21" s="37" customFormat="1" ht="12" x14ac:dyDescent="0.3">
      <c r="A186" s="73" t="s">
        <v>1969</v>
      </c>
      <c r="B186" s="74" t="s">
        <v>1970</v>
      </c>
      <c r="C186" s="84">
        <v>659</v>
      </c>
      <c r="D186" s="85">
        <v>70.900000000000006</v>
      </c>
      <c r="E186" s="86">
        <v>21</v>
      </c>
      <c r="F186" s="85">
        <v>49.5</v>
      </c>
      <c r="G186" s="17">
        <v>15</v>
      </c>
      <c r="H186" s="87">
        <v>122</v>
      </c>
      <c r="I186" s="88">
        <v>6000</v>
      </c>
      <c r="J186" s="88" t="s">
        <v>141</v>
      </c>
      <c r="K186" s="88"/>
      <c r="L186" s="88"/>
      <c r="M186" s="89">
        <f>I186-K186</f>
        <v>6000</v>
      </c>
      <c r="N186" s="4">
        <f>IF(ISERROR(K186/I186),"",K186/I186)</f>
        <v>0</v>
      </c>
      <c r="O186" s="90">
        <f>I186/E186</f>
        <v>285.71428571428572</v>
      </c>
      <c r="P186" s="90">
        <f>K186/E186</f>
        <v>0</v>
      </c>
      <c r="Q186" s="78">
        <v>2</v>
      </c>
      <c r="R186" s="78">
        <v>1</v>
      </c>
      <c r="S186" s="78" t="s">
        <v>65</v>
      </c>
      <c r="T186" s="5">
        <v>70</v>
      </c>
      <c r="U186" s="9"/>
    </row>
    <row r="187" spans="1:21" s="37" customFormat="1" ht="12" x14ac:dyDescent="0.3">
      <c r="A187" s="73" t="s">
        <v>1967</v>
      </c>
      <c r="B187" s="74" t="s">
        <v>1968</v>
      </c>
      <c r="C187" s="84">
        <v>659</v>
      </c>
      <c r="D187" s="85">
        <v>56.6</v>
      </c>
      <c r="E187" s="86">
        <v>17</v>
      </c>
      <c r="F187" s="85">
        <v>37.799999999999997</v>
      </c>
      <c r="G187" s="17">
        <v>11</v>
      </c>
      <c r="H187" s="87">
        <v>95</v>
      </c>
      <c r="I187" s="88">
        <v>5100</v>
      </c>
      <c r="J187" s="88" t="s">
        <v>68</v>
      </c>
      <c r="K187" s="88"/>
      <c r="L187" s="88"/>
      <c r="M187" s="89">
        <f>I187-K187</f>
        <v>5100</v>
      </c>
      <c r="N187" s="4">
        <f>IF(ISERROR(K187/I187),"",K187/I187)</f>
        <v>0</v>
      </c>
      <c r="O187" s="90">
        <f>I187/E187</f>
        <v>300</v>
      </c>
      <c r="P187" s="90">
        <f>K187/E187</f>
        <v>0</v>
      </c>
      <c r="Q187" s="78">
        <v>1</v>
      </c>
      <c r="R187" s="78">
        <v>1</v>
      </c>
      <c r="S187" s="78" t="s">
        <v>65</v>
      </c>
      <c r="T187" s="5">
        <v>56</v>
      </c>
      <c r="U187" s="9"/>
    </row>
    <row r="188" spans="1:21" s="37" customFormat="1" ht="12" x14ac:dyDescent="0.3">
      <c r="A188" s="73" t="s">
        <v>1854</v>
      </c>
      <c r="B188" s="74" t="s">
        <v>1777</v>
      </c>
      <c r="C188" s="84">
        <v>835</v>
      </c>
      <c r="D188" s="85">
        <v>42</v>
      </c>
      <c r="E188" s="86">
        <v>13</v>
      </c>
      <c r="F188" s="85">
        <v>28.7</v>
      </c>
      <c r="G188" s="17">
        <v>9</v>
      </c>
      <c r="H188" s="87">
        <v>835</v>
      </c>
      <c r="I188" s="88">
        <v>2550</v>
      </c>
      <c r="J188" s="88" t="s">
        <v>69</v>
      </c>
      <c r="K188" s="88">
        <v>2300</v>
      </c>
      <c r="L188" s="88" t="s">
        <v>68</v>
      </c>
      <c r="M188" s="89">
        <f>I188-K188</f>
        <v>250</v>
      </c>
      <c r="N188" s="4">
        <f>IF(ISERROR(K188/I188),"",K188/I188)</f>
        <v>0.90196078431372551</v>
      </c>
      <c r="O188" s="90">
        <f>I188/E188</f>
        <v>196.15384615384616</v>
      </c>
      <c r="P188" s="90">
        <f>K188/E188</f>
        <v>176.92307692307693</v>
      </c>
      <c r="Q188" s="78">
        <v>1</v>
      </c>
      <c r="R188" s="78">
        <v>1</v>
      </c>
      <c r="S188" s="78" t="s">
        <v>59</v>
      </c>
      <c r="T188" s="5">
        <v>42</v>
      </c>
      <c r="U188" s="9"/>
    </row>
    <row r="189" spans="1:21" s="37" customFormat="1" ht="12" x14ac:dyDescent="0.3">
      <c r="A189" s="73" t="s">
        <v>1637</v>
      </c>
      <c r="B189" s="74" t="s">
        <v>1638</v>
      </c>
      <c r="C189" s="84">
        <v>260</v>
      </c>
      <c r="D189" s="85">
        <v>84.3</v>
      </c>
      <c r="E189" s="86">
        <v>26</v>
      </c>
      <c r="F189" s="85">
        <v>60</v>
      </c>
      <c r="G189" s="17">
        <v>18</v>
      </c>
      <c r="H189" s="87">
        <v>154</v>
      </c>
      <c r="I189" s="88"/>
      <c r="J189" s="88"/>
      <c r="K189" s="88"/>
      <c r="L189" s="88"/>
      <c r="M189" s="89">
        <f>I189-K189</f>
        <v>0</v>
      </c>
      <c r="N189" s="4" t="str">
        <f>IF(ISERROR(K189/I189),"",K189/I189)</f>
        <v/>
      </c>
      <c r="O189" s="90">
        <f>I189/E189</f>
        <v>0</v>
      </c>
      <c r="P189" s="90">
        <f>K189/E189</f>
        <v>0</v>
      </c>
      <c r="Q189" s="78">
        <v>3</v>
      </c>
      <c r="R189" s="78">
        <v>2</v>
      </c>
      <c r="S189" s="78" t="s">
        <v>59</v>
      </c>
      <c r="T189" s="5" t="s">
        <v>60</v>
      </c>
      <c r="U189" s="9"/>
    </row>
    <row r="190" spans="1:21" s="37" customFormat="1" ht="12" x14ac:dyDescent="0.3">
      <c r="A190" s="73" t="s">
        <v>1639</v>
      </c>
      <c r="B190" s="74" t="s">
        <v>1640</v>
      </c>
      <c r="C190" s="84">
        <v>297</v>
      </c>
      <c r="D190" s="85">
        <v>50.1</v>
      </c>
      <c r="E190" s="86">
        <v>15</v>
      </c>
      <c r="F190" s="85">
        <v>37.4</v>
      </c>
      <c r="G190" s="17">
        <v>11</v>
      </c>
      <c r="H190" s="87">
        <v>45</v>
      </c>
      <c r="I190" s="88"/>
      <c r="J190" s="88"/>
      <c r="K190" s="88"/>
      <c r="L190" s="88"/>
      <c r="M190" s="89">
        <f>I190-K190</f>
        <v>0</v>
      </c>
      <c r="N190" s="4" t="str">
        <f>IF(ISERROR(K190/I190),"",K190/I190)</f>
        <v/>
      </c>
      <c r="O190" s="90">
        <f>I190/E190</f>
        <v>0</v>
      </c>
      <c r="P190" s="90">
        <f>K190/E190</f>
        <v>0</v>
      </c>
      <c r="Q190" s="78">
        <v>1</v>
      </c>
      <c r="R190" s="78">
        <v>1</v>
      </c>
      <c r="S190" s="78" t="s">
        <v>65</v>
      </c>
      <c r="T190" s="5">
        <v>50</v>
      </c>
      <c r="U190" s="9"/>
    </row>
    <row r="191" spans="1:21" s="37" customFormat="1" ht="12" x14ac:dyDescent="0.3">
      <c r="A191" s="73" t="s">
        <v>1840</v>
      </c>
      <c r="B191" s="74" t="s">
        <v>1640</v>
      </c>
      <c r="C191" s="84">
        <v>297</v>
      </c>
      <c r="D191" s="85">
        <v>71.900000000000006</v>
      </c>
      <c r="E191" s="86">
        <v>22</v>
      </c>
      <c r="F191" s="85">
        <v>53.6</v>
      </c>
      <c r="G191" s="17">
        <v>16</v>
      </c>
      <c r="H191" s="87">
        <v>72</v>
      </c>
      <c r="I191" s="88"/>
      <c r="J191" s="88"/>
      <c r="K191" s="88"/>
      <c r="L191" s="88"/>
      <c r="M191" s="89">
        <f>I191-K191</f>
        <v>0</v>
      </c>
      <c r="N191" s="4" t="str">
        <f>IF(ISERROR(K191/I191),"",K191/I191)</f>
        <v/>
      </c>
      <c r="O191" s="90">
        <f>I191/E191</f>
        <v>0</v>
      </c>
      <c r="P191" s="90">
        <f>K191/E191</f>
        <v>0</v>
      </c>
      <c r="Q191" s="78">
        <v>3</v>
      </c>
      <c r="R191" s="78">
        <v>1</v>
      </c>
      <c r="S191" s="78" t="s">
        <v>65</v>
      </c>
      <c r="T191" s="5" t="s">
        <v>66</v>
      </c>
      <c r="U191" s="9"/>
    </row>
    <row r="192" spans="1:21" s="37" customFormat="1" ht="12" x14ac:dyDescent="0.3">
      <c r="A192" s="73" t="s">
        <v>1639</v>
      </c>
      <c r="B192" s="74" t="s">
        <v>1641</v>
      </c>
      <c r="C192" s="84">
        <v>297</v>
      </c>
      <c r="D192" s="85">
        <v>80.2</v>
      </c>
      <c r="E192" s="86">
        <v>24</v>
      </c>
      <c r="F192" s="85">
        <v>59.9</v>
      </c>
      <c r="G192" s="17">
        <v>18</v>
      </c>
      <c r="H192" s="87">
        <v>111</v>
      </c>
      <c r="I192" s="88"/>
      <c r="J192" s="88"/>
      <c r="K192" s="88"/>
      <c r="L192" s="88"/>
      <c r="M192" s="89">
        <f>I192-K192</f>
        <v>0</v>
      </c>
      <c r="N192" s="4" t="str">
        <f>IF(ISERROR(K192/I192),"",K192/I192)</f>
        <v/>
      </c>
      <c r="O192" s="90">
        <f>I192/E192</f>
        <v>0</v>
      </c>
      <c r="P192" s="90">
        <f>K192/E192</f>
        <v>0</v>
      </c>
      <c r="Q192" s="78">
        <v>3</v>
      </c>
      <c r="R192" s="78">
        <v>1</v>
      </c>
      <c r="S192" s="78" t="s">
        <v>65</v>
      </c>
      <c r="T192" s="5">
        <v>80</v>
      </c>
      <c r="U192" s="9"/>
    </row>
    <row r="193" spans="1:21" s="37" customFormat="1" ht="12" x14ac:dyDescent="0.3">
      <c r="A193" s="73" t="s">
        <v>1642</v>
      </c>
      <c r="B193" s="74" t="s">
        <v>1643</v>
      </c>
      <c r="C193" s="84">
        <v>602</v>
      </c>
      <c r="D193" s="85">
        <v>152</v>
      </c>
      <c r="E193" s="86">
        <v>46</v>
      </c>
      <c r="F193" s="85">
        <v>124.9</v>
      </c>
      <c r="G193" s="17">
        <v>38</v>
      </c>
      <c r="H193" s="87">
        <v>133</v>
      </c>
      <c r="I193" s="88"/>
      <c r="J193" s="88"/>
      <c r="K193" s="88"/>
      <c r="L193" s="88"/>
      <c r="M193" s="89">
        <f>I193-K193</f>
        <v>0</v>
      </c>
      <c r="N193" s="4" t="str">
        <f>IF(ISERROR(K193/I193),"",K193/I193)</f>
        <v/>
      </c>
      <c r="O193" s="90">
        <f>I193/E193</f>
        <v>0</v>
      </c>
      <c r="P193" s="90">
        <f>K193/E193</f>
        <v>0</v>
      </c>
      <c r="Q193" s="78">
        <v>4</v>
      </c>
      <c r="R193" s="78">
        <v>2</v>
      </c>
      <c r="S193" s="78" t="s">
        <v>59</v>
      </c>
      <c r="T193" s="5" t="s">
        <v>75</v>
      </c>
      <c r="U193" s="9"/>
    </row>
    <row r="194" spans="1:21" s="37" customFormat="1" ht="12" x14ac:dyDescent="0.3">
      <c r="A194" s="73" t="s">
        <v>1842</v>
      </c>
      <c r="B194" s="74" t="s">
        <v>1695</v>
      </c>
      <c r="C194" s="84">
        <v>240</v>
      </c>
      <c r="D194" s="85">
        <v>78.599999999999994</v>
      </c>
      <c r="E194" s="86">
        <v>24</v>
      </c>
      <c r="F194" s="85">
        <v>59.5</v>
      </c>
      <c r="G194" s="17">
        <v>18</v>
      </c>
      <c r="H194" s="87">
        <v>160</v>
      </c>
      <c r="I194" s="88"/>
      <c r="J194" s="88"/>
      <c r="K194" s="88"/>
      <c r="L194" s="88"/>
      <c r="M194" s="89">
        <f>I194-K194</f>
        <v>0</v>
      </c>
      <c r="N194" s="4" t="str">
        <f>IF(ISERROR(K194/I194),"",K194/I194)</f>
        <v/>
      </c>
      <c r="O194" s="90">
        <f>I194/E194</f>
        <v>0</v>
      </c>
      <c r="P194" s="90">
        <f>K194/E194</f>
        <v>0</v>
      </c>
      <c r="Q194" s="78">
        <v>3</v>
      </c>
      <c r="R194" s="78">
        <v>2</v>
      </c>
      <c r="S194" s="78" t="s">
        <v>59</v>
      </c>
      <c r="T194" s="5" t="s">
        <v>76</v>
      </c>
      <c r="U194" s="9"/>
    </row>
    <row r="195" spans="1:21" s="37" customFormat="1" ht="12" x14ac:dyDescent="0.3">
      <c r="A195" s="73" t="s">
        <v>1646</v>
      </c>
      <c r="B195" s="74" t="s">
        <v>1647</v>
      </c>
      <c r="C195" s="84">
        <v>240</v>
      </c>
      <c r="D195" s="85">
        <v>100.5</v>
      </c>
      <c r="E195" s="86">
        <v>30</v>
      </c>
      <c r="F195" s="85">
        <v>76.099999999999994</v>
      </c>
      <c r="G195" s="17">
        <v>23</v>
      </c>
      <c r="H195" s="87">
        <v>80</v>
      </c>
      <c r="I195" s="88"/>
      <c r="J195" s="88"/>
      <c r="K195" s="88"/>
      <c r="L195" s="88"/>
      <c r="M195" s="89">
        <f>I195-K195</f>
        <v>0</v>
      </c>
      <c r="N195" s="4" t="str">
        <f>IF(ISERROR(K195/I195),"",K195/I195)</f>
        <v/>
      </c>
      <c r="O195" s="90">
        <f>I195/E195</f>
        <v>0</v>
      </c>
      <c r="P195" s="90">
        <f>K195/E195</f>
        <v>0</v>
      </c>
      <c r="Q195" s="78">
        <v>3</v>
      </c>
      <c r="R195" s="78">
        <v>2</v>
      </c>
      <c r="S195" s="78" t="s">
        <v>59</v>
      </c>
      <c r="T195" s="5" t="s">
        <v>77</v>
      </c>
      <c r="U195" s="9"/>
    </row>
    <row r="196" spans="1:21" s="37" customFormat="1" ht="12" x14ac:dyDescent="0.3">
      <c r="A196" s="73" t="s">
        <v>1648</v>
      </c>
      <c r="B196" s="74" t="s">
        <v>1671</v>
      </c>
      <c r="C196" s="84">
        <v>218</v>
      </c>
      <c r="D196" s="85">
        <v>81.599999999999994</v>
      </c>
      <c r="E196" s="86">
        <v>25</v>
      </c>
      <c r="F196" s="85">
        <v>60</v>
      </c>
      <c r="G196" s="17">
        <v>18</v>
      </c>
      <c r="H196" s="87">
        <v>130</v>
      </c>
      <c r="I196" s="88"/>
      <c r="J196" s="88"/>
      <c r="K196" s="88"/>
      <c r="L196" s="88"/>
      <c r="M196" s="89">
        <f>I196-K196</f>
        <v>0</v>
      </c>
      <c r="N196" s="4" t="str">
        <f>IF(ISERROR(K196/I196),"",K196/I196)</f>
        <v/>
      </c>
      <c r="O196" s="90">
        <f>I196/E196</f>
        <v>0</v>
      </c>
      <c r="P196" s="90">
        <f>K196/E196</f>
        <v>0</v>
      </c>
      <c r="Q196" s="78">
        <v>3</v>
      </c>
      <c r="R196" s="78">
        <v>2</v>
      </c>
      <c r="S196" s="78" t="s">
        <v>59</v>
      </c>
      <c r="T196" s="5">
        <v>81</v>
      </c>
      <c r="U196" s="9"/>
    </row>
    <row r="197" spans="1:21" s="37" customFormat="1" ht="12" x14ac:dyDescent="0.3">
      <c r="A197" s="73" t="s">
        <v>1648</v>
      </c>
      <c r="B197" s="74" t="s">
        <v>1671</v>
      </c>
      <c r="C197" s="84">
        <v>218</v>
      </c>
      <c r="D197" s="85">
        <v>114.3</v>
      </c>
      <c r="E197" s="86">
        <v>35</v>
      </c>
      <c r="F197" s="85">
        <v>85</v>
      </c>
      <c r="G197" s="17">
        <v>26</v>
      </c>
      <c r="H197" s="87">
        <v>46</v>
      </c>
      <c r="I197" s="88"/>
      <c r="J197" s="88"/>
      <c r="K197" s="88"/>
      <c r="L197" s="88"/>
      <c r="M197" s="89">
        <f>I197-K197</f>
        <v>0</v>
      </c>
      <c r="N197" s="4" t="str">
        <f>IF(ISERROR(K197/I197),"",K197/I197)</f>
        <v/>
      </c>
      <c r="O197" s="90">
        <f>I197/E197</f>
        <v>0</v>
      </c>
      <c r="P197" s="90">
        <f>K197/E197</f>
        <v>0</v>
      </c>
      <c r="Q197" s="78">
        <v>3</v>
      </c>
      <c r="R197" s="78">
        <v>2</v>
      </c>
      <c r="S197" s="78" t="s">
        <v>59</v>
      </c>
      <c r="T197" s="5" t="s">
        <v>78</v>
      </c>
      <c r="U197" s="9"/>
    </row>
    <row r="198" spans="1:21" s="37" customFormat="1" ht="12" x14ac:dyDescent="0.3">
      <c r="A198" s="73" t="s">
        <v>1650</v>
      </c>
      <c r="B198" s="74" t="s">
        <v>1651</v>
      </c>
      <c r="C198" s="84">
        <v>276</v>
      </c>
      <c r="D198" s="85">
        <v>66.5</v>
      </c>
      <c r="E198" s="86">
        <v>20</v>
      </c>
      <c r="F198" s="85">
        <v>49.8</v>
      </c>
      <c r="G198" s="17">
        <v>15</v>
      </c>
      <c r="H198" s="87">
        <v>64</v>
      </c>
      <c r="I198" s="88"/>
      <c r="J198" s="88"/>
      <c r="K198" s="88"/>
      <c r="L198" s="88"/>
      <c r="M198" s="89">
        <f>I198-K198</f>
        <v>0</v>
      </c>
      <c r="N198" s="4" t="str">
        <f>IF(ISERROR(K198/I198),"",K198/I198)</f>
        <v/>
      </c>
      <c r="O198" s="90">
        <f>I198/E198</f>
        <v>0</v>
      </c>
      <c r="P198" s="90">
        <f>K198/E198</f>
        <v>0</v>
      </c>
      <c r="Q198" s="78">
        <v>3</v>
      </c>
      <c r="R198" s="78">
        <v>1</v>
      </c>
      <c r="S198" s="78" t="s">
        <v>59</v>
      </c>
      <c r="T198" s="5">
        <v>66</v>
      </c>
      <c r="U198" s="9"/>
    </row>
    <row r="199" spans="1:21" s="37" customFormat="1" ht="12" x14ac:dyDescent="0.3">
      <c r="A199" s="73" t="s">
        <v>1650</v>
      </c>
      <c r="B199" s="74" t="s">
        <v>1652</v>
      </c>
      <c r="C199" s="84">
        <v>276</v>
      </c>
      <c r="D199" s="85">
        <v>72.599999999999994</v>
      </c>
      <c r="E199" s="86">
        <v>22</v>
      </c>
      <c r="F199" s="85">
        <v>54.3</v>
      </c>
      <c r="G199" s="17">
        <v>16</v>
      </c>
      <c r="H199" s="87">
        <v>61</v>
      </c>
      <c r="I199" s="88"/>
      <c r="J199" s="88"/>
      <c r="K199" s="88"/>
      <c r="L199" s="88"/>
      <c r="M199" s="89">
        <f>I199-K199</f>
        <v>0</v>
      </c>
      <c r="N199" s="4" t="str">
        <f>IF(ISERROR(K199/I199),"",K199/I199)</f>
        <v/>
      </c>
      <c r="O199" s="90">
        <f>I199/E199</f>
        <v>0</v>
      </c>
      <c r="P199" s="90">
        <f>K199/E199</f>
        <v>0</v>
      </c>
      <c r="Q199" s="78">
        <v>3</v>
      </c>
      <c r="R199" s="78">
        <v>1</v>
      </c>
      <c r="S199" s="78" t="s">
        <v>59</v>
      </c>
      <c r="T199" s="5">
        <v>72</v>
      </c>
      <c r="U199" s="9"/>
    </row>
    <row r="200" spans="1:21" s="37" customFormat="1" ht="12" x14ac:dyDescent="0.3">
      <c r="A200" s="73" t="s">
        <v>1650</v>
      </c>
      <c r="B200" s="74" t="s">
        <v>1652</v>
      </c>
      <c r="C200" s="84">
        <v>276</v>
      </c>
      <c r="D200" s="85">
        <v>80.7</v>
      </c>
      <c r="E200" s="86">
        <v>24</v>
      </c>
      <c r="F200" s="85">
        <v>60</v>
      </c>
      <c r="G200" s="17">
        <v>18</v>
      </c>
      <c r="H200" s="87">
        <v>97</v>
      </c>
      <c r="I200" s="88"/>
      <c r="J200" s="88"/>
      <c r="K200" s="88"/>
      <c r="L200" s="88"/>
      <c r="M200" s="89">
        <f>I200-K200</f>
        <v>0</v>
      </c>
      <c r="N200" s="4" t="str">
        <f>IF(ISERROR(K200/I200),"",K200/I200)</f>
        <v/>
      </c>
      <c r="O200" s="90">
        <f>I200/E200</f>
        <v>0</v>
      </c>
      <c r="P200" s="90">
        <f>K200/E200</f>
        <v>0</v>
      </c>
      <c r="Q200" s="78">
        <v>3</v>
      </c>
      <c r="R200" s="78">
        <v>1</v>
      </c>
      <c r="S200" s="78" t="s">
        <v>59</v>
      </c>
      <c r="T200" s="5" t="s">
        <v>81</v>
      </c>
      <c r="U200" s="9"/>
    </row>
    <row r="201" spans="1:21" s="37" customFormat="1" ht="12" x14ac:dyDescent="0.3">
      <c r="A201" s="73" t="s">
        <v>1843</v>
      </c>
      <c r="B201" s="74" t="s">
        <v>1654</v>
      </c>
      <c r="C201" s="84">
        <v>601</v>
      </c>
      <c r="D201" s="85">
        <v>80.599999999999994</v>
      </c>
      <c r="E201" s="86">
        <v>24</v>
      </c>
      <c r="F201" s="85">
        <v>60</v>
      </c>
      <c r="G201" s="17">
        <v>18</v>
      </c>
      <c r="H201" s="87">
        <v>275</v>
      </c>
      <c r="I201" s="88"/>
      <c r="J201" s="88"/>
      <c r="K201" s="88"/>
      <c r="L201" s="88"/>
      <c r="M201" s="89">
        <f>I201-K201</f>
        <v>0</v>
      </c>
      <c r="N201" s="4" t="str">
        <f>IF(ISERROR(K201/I201),"",K201/I201)</f>
        <v/>
      </c>
      <c r="O201" s="90">
        <f>I201/E201</f>
        <v>0</v>
      </c>
      <c r="P201" s="90">
        <f>K201/E201</f>
        <v>0</v>
      </c>
      <c r="Q201" s="78">
        <v>3</v>
      </c>
      <c r="R201" s="78">
        <v>2</v>
      </c>
      <c r="S201" s="78" t="s">
        <v>59</v>
      </c>
      <c r="T201" s="5" t="s">
        <v>85</v>
      </c>
      <c r="U201" s="9"/>
    </row>
    <row r="202" spans="1:21" s="37" customFormat="1" ht="12" x14ac:dyDescent="0.3">
      <c r="A202" s="73" t="s">
        <v>1655</v>
      </c>
      <c r="B202" s="74" t="s">
        <v>1651</v>
      </c>
      <c r="C202" s="84">
        <v>276</v>
      </c>
      <c r="D202" s="85">
        <v>67</v>
      </c>
      <c r="E202" s="86">
        <v>20</v>
      </c>
      <c r="F202" s="85">
        <v>49.8</v>
      </c>
      <c r="G202" s="17">
        <v>15</v>
      </c>
      <c r="H202" s="87">
        <v>64</v>
      </c>
      <c r="I202" s="88"/>
      <c r="J202" s="88"/>
      <c r="K202" s="88"/>
      <c r="L202" s="88"/>
      <c r="M202" s="89">
        <f>I202-K202</f>
        <v>0</v>
      </c>
      <c r="N202" s="4" t="str">
        <f>IF(ISERROR(K202/I202),"",K202/I202)</f>
        <v/>
      </c>
      <c r="O202" s="90">
        <f>I202/E202</f>
        <v>0</v>
      </c>
      <c r="P202" s="90">
        <f>K202/E202</f>
        <v>0</v>
      </c>
      <c r="Q202" s="78">
        <v>2</v>
      </c>
      <c r="R202" s="78">
        <v>1</v>
      </c>
      <c r="S202" s="78" t="s">
        <v>65</v>
      </c>
      <c r="T202" s="5">
        <v>66</v>
      </c>
      <c r="U202" s="9"/>
    </row>
    <row r="203" spans="1:21" s="37" customFormat="1" ht="12" x14ac:dyDescent="0.3">
      <c r="A203" s="73" t="s">
        <v>1655</v>
      </c>
      <c r="B203" s="74" t="s">
        <v>1652</v>
      </c>
      <c r="C203" s="84">
        <v>276</v>
      </c>
      <c r="D203" s="85">
        <v>73.099999999999994</v>
      </c>
      <c r="E203" s="86">
        <v>22</v>
      </c>
      <c r="F203" s="85">
        <v>54.3</v>
      </c>
      <c r="G203" s="17">
        <v>16</v>
      </c>
      <c r="H203" s="87">
        <v>61</v>
      </c>
      <c r="I203" s="88"/>
      <c r="J203" s="88"/>
      <c r="K203" s="88"/>
      <c r="L203" s="88"/>
      <c r="M203" s="89">
        <f>I203-K203</f>
        <v>0</v>
      </c>
      <c r="N203" s="4" t="str">
        <f>IF(ISERROR(K203/I203),"",K203/I203)</f>
        <v/>
      </c>
      <c r="O203" s="90">
        <f>I203/E203</f>
        <v>0</v>
      </c>
      <c r="P203" s="90">
        <f>K203/E203</f>
        <v>0</v>
      </c>
      <c r="Q203" s="78">
        <v>2</v>
      </c>
      <c r="R203" s="78">
        <v>1</v>
      </c>
      <c r="S203" s="78" t="s">
        <v>65</v>
      </c>
      <c r="T203" s="5">
        <v>73</v>
      </c>
      <c r="U203" s="9"/>
    </row>
    <row r="204" spans="1:21" s="37" customFormat="1" ht="12" x14ac:dyDescent="0.3">
      <c r="A204" s="73" t="s">
        <v>1655</v>
      </c>
      <c r="B204" s="74" t="s">
        <v>1651</v>
      </c>
      <c r="C204" s="84">
        <v>276</v>
      </c>
      <c r="D204" s="85">
        <v>80.7</v>
      </c>
      <c r="E204" s="86">
        <v>24</v>
      </c>
      <c r="F204" s="85">
        <v>60</v>
      </c>
      <c r="G204" s="17">
        <v>18</v>
      </c>
      <c r="H204" s="87">
        <v>97</v>
      </c>
      <c r="I204" s="88"/>
      <c r="J204" s="88"/>
      <c r="K204" s="88"/>
      <c r="L204" s="88"/>
      <c r="M204" s="89">
        <f>I204-K204</f>
        <v>0</v>
      </c>
      <c r="N204" s="4" t="str">
        <f>IF(ISERROR(K204/I204),"",K204/I204)</f>
        <v/>
      </c>
      <c r="O204" s="90">
        <f>I204/E204</f>
        <v>0</v>
      </c>
      <c r="P204" s="90">
        <f>K204/E204</f>
        <v>0</v>
      </c>
      <c r="Q204" s="78">
        <v>3</v>
      </c>
      <c r="R204" s="78">
        <v>1</v>
      </c>
      <c r="S204" s="78" t="s">
        <v>65</v>
      </c>
      <c r="T204" s="5" t="s">
        <v>85</v>
      </c>
      <c r="U204" s="9"/>
    </row>
    <row r="205" spans="1:21" s="37" customFormat="1" ht="12" x14ac:dyDescent="0.3">
      <c r="A205" s="73" t="s">
        <v>1663</v>
      </c>
      <c r="B205" s="74" t="s">
        <v>1665</v>
      </c>
      <c r="C205" s="84">
        <v>240</v>
      </c>
      <c r="D205" s="85">
        <v>113.7</v>
      </c>
      <c r="E205" s="86">
        <v>34</v>
      </c>
      <c r="F205" s="85">
        <v>84.9</v>
      </c>
      <c r="G205" s="17">
        <v>26</v>
      </c>
      <c r="H205" s="87">
        <v>135</v>
      </c>
      <c r="I205" s="88"/>
      <c r="J205" s="88"/>
      <c r="K205" s="88"/>
      <c r="L205" s="88"/>
      <c r="M205" s="89">
        <f>I205-K205</f>
        <v>0</v>
      </c>
      <c r="N205" s="4" t="str">
        <f>IF(ISERROR(K205/I205),"",K205/I205)</f>
        <v/>
      </c>
      <c r="O205" s="90">
        <f>I205/E205</f>
        <v>0</v>
      </c>
      <c r="P205" s="90">
        <f>K205/E205</f>
        <v>0</v>
      </c>
      <c r="Q205" s="78">
        <v>3</v>
      </c>
      <c r="R205" s="78">
        <v>2</v>
      </c>
      <c r="S205" s="78" t="s">
        <v>65</v>
      </c>
      <c r="T205" s="5">
        <v>113</v>
      </c>
      <c r="U205" s="9"/>
    </row>
    <row r="206" spans="1:21" s="37" customFormat="1" ht="12" x14ac:dyDescent="0.3">
      <c r="A206" s="73" t="s">
        <v>1663</v>
      </c>
      <c r="B206" s="74" t="s">
        <v>1664</v>
      </c>
      <c r="C206" s="84">
        <v>240</v>
      </c>
      <c r="D206" s="85">
        <v>137.69999999999999</v>
      </c>
      <c r="E206" s="86">
        <v>42</v>
      </c>
      <c r="F206" s="85">
        <v>105</v>
      </c>
      <c r="G206" s="17">
        <v>32</v>
      </c>
      <c r="H206" s="87">
        <v>45</v>
      </c>
      <c r="I206" s="88"/>
      <c r="J206" s="88"/>
      <c r="K206" s="88"/>
      <c r="L206" s="88"/>
      <c r="M206" s="89">
        <f>I206-K206</f>
        <v>0</v>
      </c>
      <c r="N206" s="4" t="str">
        <f>IF(ISERROR(K206/I206),"",K206/I206)</f>
        <v/>
      </c>
      <c r="O206" s="90">
        <f>I206/E206</f>
        <v>0</v>
      </c>
      <c r="P206" s="90">
        <f>K206/E206</f>
        <v>0</v>
      </c>
      <c r="Q206" s="78">
        <v>4</v>
      </c>
      <c r="R206" s="78">
        <v>2</v>
      </c>
      <c r="S206" s="78" t="s">
        <v>65</v>
      </c>
      <c r="T206" s="5">
        <v>137</v>
      </c>
      <c r="U206" s="9"/>
    </row>
    <row r="207" spans="1:21" s="37" customFormat="1" ht="12" x14ac:dyDescent="0.3">
      <c r="A207" s="73" t="s">
        <v>1676</v>
      </c>
      <c r="B207" s="74" t="s">
        <v>1677</v>
      </c>
      <c r="C207" s="84">
        <v>264</v>
      </c>
      <c r="D207" s="85">
        <v>121.4</v>
      </c>
      <c r="E207" s="86">
        <v>37</v>
      </c>
      <c r="F207" s="85">
        <v>84.8</v>
      </c>
      <c r="G207" s="17">
        <v>26</v>
      </c>
      <c r="H207" s="87">
        <v>257</v>
      </c>
      <c r="I207" s="88"/>
      <c r="J207" s="88"/>
      <c r="K207" s="88"/>
      <c r="L207" s="88"/>
      <c r="M207" s="89">
        <f>I207-K207</f>
        <v>0</v>
      </c>
      <c r="N207" s="4" t="str">
        <f>IF(ISERROR(K207/I207),"",K207/I207)</f>
        <v/>
      </c>
      <c r="O207" s="90">
        <f>I207/E207</f>
        <v>0</v>
      </c>
      <c r="P207" s="90">
        <f>K207/E207</f>
        <v>0</v>
      </c>
      <c r="Q207" s="78">
        <v>3</v>
      </c>
      <c r="R207" s="78">
        <v>2</v>
      </c>
      <c r="S207" s="78" t="s">
        <v>59</v>
      </c>
      <c r="T207" s="5">
        <v>121</v>
      </c>
      <c r="U207" s="9"/>
    </row>
    <row r="208" spans="1:21" s="37" customFormat="1" ht="12" x14ac:dyDescent="0.3">
      <c r="A208" s="73" t="s">
        <v>1855</v>
      </c>
      <c r="B208" s="74" t="s">
        <v>1678</v>
      </c>
      <c r="C208" s="84">
        <v>211</v>
      </c>
      <c r="D208" s="85">
        <v>85.8</v>
      </c>
      <c r="E208" s="86">
        <v>26</v>
      </c>
      <c r="F208" s="85">
        <v>59.9</v>
      </c>
      <c r="G208" s="17">
        <v>18</v>
      </c>
      <c r="H208" s="87">
        <v>136</v>
      </c>
      <c r="I208" s="88"/>
      <c r="J208" s="88"/>
      <c r="K208" s="88"/>
      <c r="L208" s="88"/>
      <c r="M208" s="89">
        <f>I208-K208</f>
        <v>0</v>
      </c>
      <c r="N208" s="4" t="str">
        <f>IF(ISERROR(K208/I208),"",K208/I208)</f>
        <v/>
      </c>
      <c r="O208" s="90">
        <f>I208/E208</f>
        <v>0</v>
      </c>
      <c r="P208" s="90">
        <f>K208/E208</f>
        <v>0</v>
      </c>
      <c r="Q208" s="78">
        <v>3</v>
      </c>
      <c r="R208" s="78">
        <v>2</v>
      </c>
      <c r="S208" s="78" t="s">
        <v>59</v>
      </c>
      <c r="T208" s="5" t="s">
        <v>114</v>
      </c>
      <c r="U208" s="9"/>
    </row>
    <row r="209" spans="1:21" s="37" customFormat="1" ht="12" x14ac:dyDescent="0.3">
      <c r="A209" s="73" t="s">
        <v>1855</v>
      </c>
      <c r="B209" s="74" t="s">
        <v>1678</v>
      </c>
      <c r="C209" s="84">
        <v>211</v>
      </c>
      <c r="D209" s="85">
        <v>98</v>
      </c>
      <c r="E209" s="86">
        <v>30</v>
      </c>
      <c r="F209" s="85">
        <v>68.400000000000006</v>
      </c>
      <c r="G209" s="17">
        <v>21</v>
      </c>
      <c r="H209" s="87">
        <v>50</v>
      </c>
      <c r="I209" s="88"/>
      <c r="J209" s="88"/>
      <c r="K209" s="88"/>
      <c r="L209" s="88"/>
      <c r="M209" s="89">
        <f>I209-K209</f>
        <v>0</v>
      </c>
      <c r="N209" s="4" t="str">
        <f>IF(ISERROR(K209/I209),"",K209/I209)</f>
        <v/>
      </c>
      <c r="O209" s="90">
        <f>I209/E209</f>
        <v>0</v>
      </c>
      <c r="P209" s="90">
        <f>K209/E209</f>
        <v>0</v>
      </c>
      <c r="Q209" s="78">
        <v>3</v>
      </c>
      <c r="R209" s="78">
        <v>2</v>
      </c>
      <c r="S209" s="78" t="s">
        <v>59</v>
      </c>
      <c r="T209" s="5">
        <v>97</v>
      </c>
      <c r="U209" s="9"/>
    </row>
    <row r="210" spans="1:21" s="37" customFormat="1" ht="12" x14ac:dyDescent="0.3">
      <c r="A210" s="73" t="s">
        <v>1857</v>
      </c>
      <c r="B210" s="74" t="s">
        <v>1858</v>
      </c>
      <c r="C210" s="84">
        <v>210</v>
      </c>
      <c r="D210" s="85">
        <v>86.8</v>
      </c>
      <c r="E210" s="86">
        <v>26</v>
      </c>
      <c r="F210" s="85">
        <v>59.9</v>
      </c>
      <c r="G210" s="17">
        <v>18</v>
      </c>
      <c r="H210" s="87">
        <v>124</v>
      </c>
      <c r="I210" s="88"/>
      <c r="J210" s="88"/>
      <c r="K210" s="88"/>
      <c r="L210" s="88"/>
      <c r="M210" s="89">
        <f>I210-K210</f>
        <v>0</v>
      </c>
      <c r="N210" s="4" t="str">
        <f>IF(ISERROR(K210/I210),"",K210/I210)</f>
        <v/>
      </c>
      <c r="O210" s="90">
        <f>I210/E210</f>
        <v>0</v>
      </c>
      <c r="P210" s="90">
        <f>K210/E210</f>
        <v>0</v>
      </c>
      <c r="Q210" s="78">
        <v>3</v>
      </c>
      <c r="R210" s="78">
        <v>2</v>
      </c>
      <c r="S210" s="78" t="s">
        <v>59</v>
      </c>
      <c r="T210" s="5" t="s">
        <v>116</v>
      </c>
      <c r="U210" s="9"/>
    </row>
    <row r="211" spans="1:21" s="37" customFormat="1" ht="12" x14ac:dyDescent="0.3">
      <c r="A211" s="73" t="s">
        <v>1861</v>
      </c>
      <c r="B211" s="74" t="s">
        <v>1680</v>
      </c>
      <c r="C211" s="84">
        <v>533</v>
      </c>
      <c r="D211" s="85">
        <v>48.5</v>
      </c>
      <c r="E211" s="86">
        <v>15</v>
      </c>
      <c r="F211" s="85">
        <v>39.9</v>
      </c>
      <c r="G211" s="17">
        <v>12</v>
      </c>
      <c r="H211" s="87">
        <v>40</v>
      </c>
      <c r="I211" s="88"/>
      <c r="J211" s="88"/>
      <c r="K211" s="88"/>
      <c r="L211" s="88"/>
      <c r="M211" s="89">
        <f>I211-K211</f>
        <v>0</v>
      </c>
      <c r="N211" s="4" t="str">
        <f>IF(ISERROR(K211/I211),"",K211/I211)</f>
        <v/>
      </c>
      <c r="O211" s="90">
        <f>I211/E211</f>
        <v>0</v>
      </c>
      <c r="P211" s="90">
        <f>K211/E211</f>
        <v>0</v>
      </c>
      <c r="Q211" s="78">
        <v>2</v>
      </c>
      <c r="R211" s="78">
        <v>1</v>
      </c>
      <c r="S211" s="78" t="s">
        <v>59</v>
      </c>
      <c r="T211" s="5">
        <v>48</v>
      </c>
      <c r="U211" s="9"/>
    </row>
    <row r="212" spans="1:21" s="37" customFormat="1" ht="12" x14ac:dyDescent="0.3">
      <c r="A212" s="73" t="s">
        <v>1811</v>
      </c>
      <c r="B212" s="74" t="s">
        <v>1812</v>
      </c>
      <c r="C212" s="84">
        <v>417</v>
      </c>
      <c r="D212" s="85">
        <v>126.8</v>
      </c>
      <c r="E212" s="86">
        <v>38</v>
      </c>
      <c r="F212" s="85">
        <v>102.4</v>
      </c>
      <c r="G212" s="17">
        <v>31</v>
      </c>
      <c r="H212" s="87">
        <v>40</v>
      </c>
      <c r="I212" s="88"/>
      <c r="J212" s="88"/>
      <c r="K212" s="88"/>
      <c r="L212" s="88"/>
      <c r="M212" s="89">
        <f>I212-K212</f>
        <v>0</v>
      </c>
      <c r="N212" s="4" t="str">
        <f>IF(ISERROR(K212/I212),"",K212/I212)</f>
        <v/>
      </c>
      <c r="O212" s="90">
        <f>I212/E212</f>
        <v>0</v>
      </c>
      <c r="P212" s="90">
        <f>K212/E212</f>
        <v>0</v>
      </c>
      <c r="Q212" s="78">
        <v>3</v>
      </c>
      <c r="R212" s="78">
        <v>2</v>
      </c>
      <c r="S212" s="78" t="s">
        <v>59</v>
      </c>
      <c r="T212" s="5">
        <v>126</v>
      </c>
      <c r="U212" s="9"/>
    </row>
    <row r="213" spans="1:21" s="37" customFormat="1" ht="12" x14ac:dyDescent="0.3">
      <c r="A213" s="73" t="s">
        <v>1813</v>
      </c>
      <c r="B213" s="74" t="s">
        <v>1681</v>
      </c>
      <c r="C213" s="84">
        <v>394</v>
      </c>
      <c r="D213" s="85">
        <v>105.7</v>
      </c>
      <c r="E213" s="86">
        <v>32</v>
      </c>
      <c r="F213" s="85">
        <v>84.9</v>
      </c>
      <c r="G213" s="17">
        <v>26</v>
      </c>
      <c r="H213" s="87">
        <v>199</v>
      </c>
      <c r="I213" s="88"/>
      <c r="J213" s="88"/>
      <c r="K213" s="88"/>
      <c r="L213" s="88"/>
      <c r="M213" s="89">
        <f>I213-K213</f>
        <v>0</v>
      </c>
      <c r="N213" s="4" t="str">
        <f>IF(ISERROR(K213/I213),"",K213/I213)</f>
        <v/>
      </c>
      <c r="O213" s="90">
        <f>I213/E213</f>
        <v>0</v>
      </c>
      <c r="P213" s="90">
        <f>K213/E213</f>
        <v>0</v>
      </c>
      <c r="Q213" s="78">
        <v>3</v>
      </c>
      <c r="R213" s="78">
        <v>2</v>
      </c>
      <c r="S213" s="78" t="s">
        <v>59</v>
      </c>
      <c r="T213" s="5">
        <v>105</v>
      </c>
      <c r="U213" s="9"/>
    </row>
    <row r="214" spans="1:21" s="37" customFormat="1" ht="12" x14ac:dyDescent="0.3">
      <c r="A214" s="73" t="s">
        <v>1865</v>
      </c>
      <c r="B214" s="74" t="s">
        <v>1866</v>
      </c>
      <c r="C214" s="84">
        <v>520</v>
      </c>
      <c r="D214" s="85">
        <v>115.3</v>
      </c>
      <c r="E214" s="86">
        <v>35</v>
      </c>
      <c r="F214" s="85">
        <v>84.9</v>
      </c>
      <c r="G214" s="17">
        <v>26</v>
      </c>
      <c r="H214" s="87">
        <v>91</v>
      </c>
      <c r="I214" s="88"/>
      <c r="J214" s="88"/>
      <c r="K214" s="88"/>
      <c r="L214" s="88"/>
      <c r="M214" s="89">
        <f>I214-K214</f>
        <v>0</v>
      </c>
      <c r="N214" s="4" t="str">
        <f>IF(ISERROR(K214/I214),"",K214/I214)</f>
        <v/>
      </c>
      <c r="O214" s="90">
        <f>I214/E214</f>
        <v>0</v>
      </c>
      <c r="P214" s="90">
        <f>K214/E214</f>
        <v>0</v>
      </c>
      <c r="Q214" s="78">
        <v>3</v>
      </c>
      <c r="R214" s="78">
        <v>2</v>
      </c>
      <c r="S214" s="78" t="s">
        <v>59</v>
      </c>
      <c r="T214" s="5">
        <v>115</v>
      </c>
      <c r="U214" s="9"/>
    </row>
    <row r="215" spans="1:21" s="37" customFormat="1" ht="12" x14ac:dyDescent="0.3">
      <c r="A215" s="73" t="s">
        <v>1865</v>
      </c>
      <c r="B215" s="74" t="s">
        <v>1682</v>
      </c>
      <c r="C215" s="84">
        <v>520</v>
      </c>
      <c r="D215" s="85">
        <v>131.1</v>
      </c>
      <c r="E215" s="86">
        <v>40</v>
      </c>
      <c r="F215" s="85">
        <v>101.1</v>
      </c>
      <c r="G215" s="17">
        <v>31</v>
      </c>
      <c r="H215" s="87">
        <v>61</v>
      </c>
      <c r="I215" s="88"/>
      <c r="J215" s="88"/>
      <c r="K215" s="88"/>
      <c r="L215" s="88"/>
      <c r="M215" s="89">
        <f>I215-K215</f>
        <v>0</v>
      </c>
      <c r="N215" s="4" t="str">
        <f>IF(ISERROR(K215/I215),"",K215/I215)</f>
        <v/>
      </c>
      <c r="O215" s="90">
        <f>I215/E215</f>
        <v>0</v>
      </c>
      <c r="P215" s="90">
        <f>K215/E215</f>
        <v>0</v>
      </c>
      <c r="Q215" s="78">
        <v>3</v>
      </c>
      <c r="R215" s="78">
        <v>2</v>
      </c>
      <c r="S215" s="78" t="s">
        <v>59</v>
      </c>
      <c r="T215" s="5">
        <v>131</v>
      </c>
      <c r="U215" s="9"/>
    </row>
    <row r="216" spans="1:21" s="37" customFormat="1" ht="12" x14ac:dyDescent="0.3">
      <c r="A216" s="73" t="s">
        <v>1867</v>
      </c>
      <c r="B216" s="74" t="s">
        <v>1683</v>
      </c>
      <c r="C216" s="84">
        <v>478</v>
      </c>
      <c r="D216" s="85">
        <v>135.5</v>
      </c>
      <c r="E216" s="86">
        <v>41</v>
      </c>
      <c r="F216" s="85">
        <v>101.9</v>
      </c>
      <c r="G216" s="17">
        <v>31</v>
      </c>
      <c r="H216" s="87">
        <v>118</v>
      </c>
      <c r="I216" s="88"/>
      <c r="J216" s="88"/>
      <c r="K216" s="88"/>
      <c r="L216" s="88"/>
      <c r="M216" s="89">
        <f>I216-K216</f>
        <v>0</v>
      </c>
      <c r="N216" s="4" t="str">
        <f>IF(ISERROR(K216/I216),"",K216/I216)</f>
        <v/>
      </c>
      <c r="O216" s="90">
        <f>I216/E216</f>
        <v>0</v>
      </c>
      <c r="P216" s="90">
        <f>K216/E216</f>
        <v>0</v>
      </c>
      <c r="Q216" s="78">
        <v>3</v>
      </c>
      <c r="R216" s="78">
        <v>2</v>
      </c>
      <c r="S216" s="78" t="s">
        <v>59</v>
      </c>
      <c r="T216" s="5">
        <v>135</v>
      </c>
      <c r="U216" s="9"/>
    </row>
    <row r="217" spans="1:21" s="37" customFormat="1" ht="12" x14ac:dyDescent="0.3">
      <c r="A217" s="73" t="s">
        <v>1867</v>
      </c>
      <c r="B217" s="74" t="s">
        <v>1683</v>
      </c>
      <c r="C217" s="84">
        <v>478</v>
      </c>
      <c r="D217" s="85">
        <v>217</v>
      </c>
      <c r="E217" s="86">
        <v>66</v>
      </c>
      <c r="F217" s="85">
        <v>183.8</v>
      </c>
      <c r="G217" s="17">
        <v>56</v>
      </c>
      <c r="H217" s="87">
        <v>48</v>
      </c>
      <c r="I217" s="88"/>
      <c r="J217" s="88"/>
      <c r="K217" s="88"/>
      <c r="L217" s="88"/>
      <c r="M217" s="89">
        <f>I217-K217</f>
        <v>0</v>
      </c>
      <c r="N217" s="4" t="str">
        <f>IF(ISERROR(K217/I217),"",K217/I217)</f>
        <v/>
      </c>
      <c r="O217" s="90">
        <f>I217/E217</f>
        <v>0</v>
      </c>
      <c r="P217" s="90">
        <f>K217/E217</f>
        <v>0</v>
      </c>
      <c r="Q217" s="78">
        <v>4</v>
      </c>
      <c r="R217" s="78">
        <v>2</v>
      </c>
      <c r="S217" s="78" t="s">
        <v>59</v>
      </c>
      <c r="T217" s="5">
        <v>216</v>
      </c>
      <c r="U217" s="9"/>
    </row>
    <row r="218" spans="1:21" s="37" customFormat="1" ht="12" x14ac:dyDescent="0.3">
      <c r="A218" s="73" t="s">
        <v>1691</v>
      </c>
      <c r="B218" s="74" t="s">
        <v>1690</v>
      </c>
      <c r="C218" s="84">
        <v>272</v>
      </c>
      <c r="D218" s="85">
        <v>105.9</v>
      </c>
      <c r="E218" s="86">
        <v>32</v>
      </c>
      <c r="F218" s="85">
        <v>85</v>
      </c>
      <c r="G218" s="17">
        <v>26</v>
      </c>
      <c r="H218" s="87">
        <v>134</v>
      </c>
      <c r="I218" s="88"/>
      <c r="J218" s="88"/>
      <c r="K218" s="88"/>
      <c r="L218" s="88"/>
      <c r="M218" s="89">
        <f>I218-K218</f>
        <v>0</v>
      </c>
      <c r="N218" s="4" t="str">
        <f>IF(ISERROR(K218/I218),"",K218/I218)</f>
        <v/>
      </c>
      <c r="O218" s="90">
        <f>I218/E218</f>
        <v>0</v>
      </c>
      <c r="P218" s="90">
        <f>K218/E218</f>
        <v>0</v>
      </c>
      <c r="Q218" s="78">
        <v>3</v>
      </c>
      <c r="R218" s="78">
        <v>2</v>
      </c>
      <c r="S218" s="78" t="s">
        <v>59</v>
      </c>
      <c r="T218" s="5">
        <v>105</v>
      </c>
      <c r="U218" s="9"/>
    </row>
    <row r="219" spans="1:21" s="37" customFormat="1" ht="12" x14ac:dyDescent="0.3">
      <c r="A219" s="73" t="s">
        <v>1691</v>
      </c>
      <c r="B219" s="74" t="s">
        <v>1690</v>
      </c>
      <c r="C219" s="84">
        <v>272</v>
      </c>
      <c r="D219" s="85">
        <v>123.9</v>
      </c>
      <c r="E219" s="86">
        <v>37</v>
      </c>
      <c r="F219" s="85">
        <v>99.8</v>
      </c>
      <c r="G219" s="17">
        <v>30</v>
      </c>
      <c r="H219" s="87">
        <v>87</v>
      </c>
      <c r="I219" s="88"/>
      <c r="J219" s="88"/>
      <c r="K219" s="88"/>
      <c r="L219" s="88"/>
      <c r="M219" s="89">
        <f>I219-K219</f>
        <v>0</v>
      </c>
      <c r="N219" s="4" t="str">
        <f>IF(ISERROR(K219/I219),"",K219/I219)</f>
        <v/>
      </c>
      <c r="O219" s="90">
        <f>I219/E219</f>
        <v>0</v>
      </c>
      <c r="P219" s="90">
        <f>K219/E219</f>
        <v>0</v>
      </c>
      <c r="Q219" s="78">
        <v>4</v>
      </c>
      <c r="R219" s="78">
        <v>2</v>
      </c>
      <c r="S219" s="78" t="s">
        <v>59</v>
      </c>
      <c r="T219" s="5">
        <v>123</v>
      </c>
      <c r="U219" s="9"/>
    </row>
    <row r="220" spans="1:21" s="37" customFormat="1" ht="12" x14ac:dyDescent="0.3">
      <c r="A220" s="73" t="s">
        <v>1691</v>
      </c>
      <c r="B220" s="74" t="s">
        <v>1690</v>
      </c>
      <c r="C220" s="84">
        <v>272</v>
      </c>
      <c r="D220" s="85">
        <v>162.30000000000001</v>
      </c>
      <c r="E220" s="86">
        <v>49</v>
      </c>
      <c r="F220" s="85">
        <v>135</v>
      </c>
      <c r="G220" s="17">
        <v>41</v>
      </c>
      <c r="H220" s="87">
        <v>51</v>
      </c>
      <c r="I220" s="88"/>
      <c r="J220" s="88"/>
      <c r="K220" s="88"/>
      <c r="L220" s="88"/>
      <c r="M220" s="89">
        <f>I220-K220</f>
        <v>0</v>
      </c>
      <c r="N220" s="4" t="str">
        <f>IF(ISERROR(K220/I220),"",K220/I220)</f>
        <v/>
      </c>
      <c r="O220" s="90">
        <f>I220/E220</f>
        <v>0</v>
      </c>
      <c r="P220" s="90">
        <f>K220/E220</f>
        <v>0</v>
      </c>
      <c r="Q220" s="78">
        <v>4</v>
      </c>
      <c r="R220" s="78">
        <v>2</v>
      </c>
      <c r="S220" s="78" t="s">
        <v>59</v>
      </c>
      <c r="T220" s="5">
        <v>162</v>
      </c>
      <c r="U220" s="9"/>
    </row>
    <row r="221" spans="1:21" s="37" customFormat="1" ht="12" x14ac:dyDescent="0.3">
      <c r="A221" s="73" t="s">
        <v>1874</v>
      </c>
      <c r="B221" s="74" t="s">
        <v>1682</v>
      </c>
      <c r="C221" s="84">
        <v>900</v>
      </c>
      <c r="D221" s="85">
        <v>187.9</v>
      </c>
      <c r="E221" s="86">
        <v>57</v>
      </c>
      <c r="F221" s="85">
        <v>155.69999999999999</v>
      </c>
      <c r="G221" s="17">
        <v>47</v>
      </c>
      <c r="H221" s="87">
        <v>72</v>
      </c>
      <c r="I221" s="88"/>
      <c r="J221" s="88"/>
      <c r="K221" s="88"/>
      <c r="L221" s="88"/>
      <c r="M221" s="89">
        <f>I221-K221</f>
        <v>0</v>
      </c>
      <c r="N221" s="4" t="str">
        <f>IF(ISERROR(K221/I221),"",K221/I221)</f>
        <v/>
      </c>
      <c r="O221" s="90">
        <f>I221/E221</f>
        <v>0</v>
      </c>
      <c r="P221" s="90">
        <f>K221/E221</f>
        <v>0</v>
      </c>
      <c r="Q221" s="78">
        <v>4</v>
      </c>
      <c r="R221" s="78">
        <v>2</v>
      </c>
      <c r="S221" s="78" t="s">
        <v>59</v>
      </c>
      <c r="T221" s="5">
        <v>187</v>
      </c>
      <c r="U221" s="9"/>
    </row>
    <row r="222" spans="1:21" s="37" customFormat="1" ht="12" x14ac:dyDescent="0.3">
      <c r="A222" s="73" t="s">
        <v>1875</v>
      </c>
      <c r="B222" s="74" t="s">
        <v>1693</v>
      </c>
      <c r="C222" s="84">
        <v>261</v>
      </c>
      <c r="D222" s="85">
        <v>75.7</v>
      </c>
      <c r="E222" s="86">
        <v>23</v>
      </c>
      <c r="F222" s="85">
        <v>54.9</v>
      </c>
      <c r="G222" s="17">
        <v>17</v>
      </c>
      <c r="H222" s="87">
        <v>30</v>
      </c>
      <c r="I222" s="88"/>
      <c r="J222" s="88"/>
      <c r="K222" s="88"/>
      <c r="L222" s="88"/>
      <c r="M222" s="89">
        <f>I222-K222</f>
        <v>0</v>
      </c>
      <c r="N222" s="4" t="str">
        <f>IF(ISERROR(K222/I222),"",K222/I222)</f>
        <v/>
      </c>
      <c r="O222" s="90">
        <f>I222/E222</f>
        <v>0</v>
      </c>
      <c r="P222" s="90">
        <f>K222/E222</f>
        <v>0</v>
      </c>
      <c r="Q222" s="78">
        <v>3</v>
      </c>
      <c r="R222" s="78">
        <v>1</v>
      </c>
      <c r="S222" s="78" t="s">
        <v>65</v>
      </c>
      <c r="T222" s="5">
        <v>75</v>
      </c>
      <c r="U222" s="9"/>
    </row>
    <row r="223" spans="1:21" s="37" customFormat="1" ht="12" x14ac:dyDescent="0.3">
      <c r="A223" s="73" t="s">
        <v>1875</v>
      </c>
      <c r="B223" s="74" t="s">
        <v>1876</v>
      </c>
      <c r="C223" s="84">
        <v>261</v>
      </c>
      <c r="D223" s="85">
        <v>82.3</v>
      </c>
      <c r="E223" s="86">
        <v>25</v>
      </c>
      <c r="F223" s="85">
        <v>59.7</v>
      </c>
      <c r="G223" s="17">
        <v>18</v>
      </c>
      <c r="H223" s="87">
        <v>231</v>
      </c>
      <c r="I223" s="88"/>
      <c r="J223" s="88"/>
      <c r="K223" s="88"/>
      <c r="L223" s="88"/>
      <c r="M223" s="89">
        <f>I223-K223</f>
        <v>0</v>
      </c>
      <c r="N223" s="4" t="str">
        <f>IF(ISERROR(K223/I223),"",K223/I223)</f>
        <v/>
      </c>
      <c r="O223" s="90">
        <f>I223/E223</f>
        <v>0</v>
      </c>
      <c r="P223" s="90">
        <f>K223/E223</f>
        <v>0</v>
      </c>
      <c r="Q223" s="78">
        <v>3</v>
      </c>
      <c r="R223" s="78">
        <v>1</v>
      </c>
      <c r="S223" s="78" t="s">
        <v>65</v>
      </c>
      <c r="T223" s="5">
        <v>82</v>
      </c>
      <c r="U223" s="9"/>
    </row>
    <row r="224" spans="1:21" s="37" customFormat="1" ht="12" x14ac:dyDescent="0.3">
      <c r="A224" s="73" t="s">
        <v>1885</v>
      </c>
      <c r="B224" s="74" t="s">
        <v>1697</v>
      </c>
      <c r="C224" s="84">
        <v>480</v>
      </c>
      <c r="D224" s="85">
        <v>102</v>
      </c>
      <c r="E224" s="86">
        <v>31</v>
      </c>
      <c r="F224" s="85">
        <v>84.6</v>
      </c>
      <c r="G224" s="17">
        <v>26</v>
      </c>
      <c r="H224" s="87">
        <v>210</v>
      </c>
      <c r="I224" s="88"/>
      <c r="J224" s="88"/>
      <c r="K224" s="88"/>
      <c r="L224" s="88"/>
      <c r="M224" s="89">
        <f>I224-K224</f>
        <v>0</v>
      </c>
      <c r="N224" s="4" t="str">
        <f>IF(ISERROR(K224/I224),"",K224/I224)</f>
        <v/>
      </c>
      <c r="O224" s="90">
        <f>I224/E224</f>
        <v>0</v>
      </c>
      <c r="P224" s="90">
        <f>K224/E224</f>
        <v>0</v>
      </c>
      <c r="Q224" s="78">
        <v>3</v>
      </c>
      <c r="R224" s="78">
        <v>2</v>
      </c>
      <c r="S224" s="78" t="s">
        <v>59</v>
      </c>
      <c r="T224" s="5" t="s">
        <v>142</v>
      </c>
      <c r="U224" s="9"/>
    </row>
    <row r="225" spans="1:21" s="37" customFormat="1" ht="12" x14ac:dyDescent="0.3">
      <c r="A225" s="73" t="s">
        <v>1885</v>
      </c>
      <c r="B225" s="74" t="s">
        <v>1697</v>
      </c>
      <c r="C225" s="84">
        <v>480</v>
      </c>
      <c r="D225" s="85">
        <v>194</v>
      </c>
      <c r="E225" s="86">
        <v>59</v>
      </c>
      <c r="F225" s="85">
        <v>164.9</v>
      </c>
      <c r="G225" s="17">
        <v>50</v>
      </c>
      <c r="H225" s="87">
        <v>60</v>
      </c>
      <c r="I225" s="88"/>
      <c r="J225" s="88"/>
      <c r="K225" s="88"/>
      <c r="L225" s="88"/>
      <c r="M225" s="89">
        <f>I225-K225</f>
        <v>0</v>
      </c>
      <c r="N225" s="4" t="str">
        <f>IF(ISERROR(K225/I225),"",K225/I225)</f>
        <v/>
      </c>
      <c r="O225" s="90">
        <f>I225/E225</f>
        <v>0</v>
      </c>
      <c r="P225" s="90">
        <f>K225/E225</f>
        <v>0</v>
      </c>
      <c r="Q225" s="78">
        <v>5</v>
      </c>
      <c r="R225" s="78">
        <v>3</v>
      </c>
      <c r="S225" s="78" t="s">
        <v>59</v>
      </c>
      <c r="T225" s="5">
        <v>193</v>
      </c>
      <c r="U225" s="9"/>
    </row>
    <row r="226" spans="1:21" s="37" customFormat="1" ht="12" x14ac:dyDescent="0.3">
      <c r="A226" s="73" t="s">
        <v>1890</v>
      </c>
      <c r="B226" s="74" t="s">
        <v>1698</v>
      </c>
      <c r="C226" s="84">
        <v>396</v>
      </c>
      <c r="D226" s="85">
        <v>109.9</v>
      </c>
      <c r="E226" s="86">
        <v>33</v>
      </c>
      <c r="F226" s="85">
        <v>84.8</v>
      </c>
      <c r="G226" s="17">
        <v>26</v>
      </c>
      <c r="H226" s="87">
        <v>374</v>
      </c>
      <c r="I226" s="88"/>
      <c r="J226" s="88"/>
      <c r="K226" s="88"/>
      <c r="L226" s="88"/>
      <c r="M226" s="89">
        <f>I226-K226</f>
        <v>0</v>
      </c>
      <c r="N226" s="4" t="str">
        <f>IF(ISERROR(K226/I226),"",K226/I226)</f>
        <v/>
      </c>
      <c r="O226" s="90">
        <f>I226/E226</f>
        <v>0</v>
      </c>
      <c r="P226" s="90">
        <f>K226/E226</f>
        <v>0</v>
      </c>
      <c r="Q226" s="78">
        <v>3</v>
      </c>
      <c r="R226" s="78">
        <v>2</v>
      </c>
      <c r="S226" s="78" t="s">
        <v>59</v>
      </c>
      <c r="T226" s="5" t="s">
        <v>70</v>
      </c>
      <c r="U226" s="9"/>
    </row>
    <row r="227" spans="1:21" s="37" customFormat="1" ht="12" x14ac:dyDescent="0.3">
      <c r="A227" s="73" t="s">
        <v>1891</v>
      </c>
      <c r="B227" s="74" t="s">
        <v>1892</v>
      </c>
      <c r="C227" s="84">
        <v>275</v>
      </c>
      <c r="D227" s="85">
        <v>79</v>
      </c>
      <c r="E227" s="86">
        <v>24</v>
      </c>
      <c r="F227" s="85">
        <v>60</v>
      </c>
      <c r="G227" s="17">
        <v>18</v>
      </c>
      <c r="H227" s="87">
        <v>178</v>
      </c>
      <c r="I227" s="88"/>
      <c r="J227" s="88"/>
      <c r="K227" s="88"/>
      <c r="L227" s="88"/>
      <c r="M227" s="89">
        <f>I227-K227</f>
        <v>0</v>
      </c>
      <c r="N227" s="4" t="str">
        <f>IF(ISERROR(K227/I227),"",K227/I227)</f>
        <v/>
      </c>
      <c r="O227" s="90">
        <f>I227/E227</f>
        <v>0</v>
      </c>
      <c r="P227" s="90">
        <f>K227/E227</f>
        <v>0</v>
      </c>
      <c r="Q227" s="78">
        <v>3</v>
      </c>
      <c r="R227" s="78">
        <v>1</v>
      </c>
      <c r="S227" s="78" t="s">
        <v>65</v>
      </c>
      <c r="T227" s="5">
        <v>79</v>
      </c>
      <c r="U227" s="9"/>
    </row>
    <row r="228" spans="1:21" s="37" customFormat="1" ht="12" x14ac:dyDescent="0.3">
      <c r="A228" s="73" t="s">
        <v>1891</v>
      </c>
      <c r="B228" s="74" t="s">
        <v>1892</v>
      </c>
      <c r="C228" s="84">
        <v>275</v>
      </c>
      <c r="D228" s="85">
        <v>105</v>
      </c>
      <c r="E228" s="86">
        <v>32</v>
      </c>
      <c r="F228" s="85">
        <v>85</v>
      </c>
      <c r="G228" s="17">
        <v>26</v>
      </c>
      <c r="H228" s="87">
        <v>97</v>
      </c>
      <c r="I228" s="88"/>
      <c r="J228" s="88"/>
      <c r="K228" s="88"/>
      <c r="L228" s="88"/>
      <c r="M228" s="89">
        <f>I228-K228</f>
        <v>0</v>
      </c>
      <c r="N228" s="4" t="str">
        <f>IF(ISERROR(K228/I228),"",K228/I228)</f>
        <v/>
      </c>
      <c r="O228" s="90">
        <f>I228/E228</f>
        <v>0</v>
      </c>
      <c r="P228" s="90">
        <f>K228/E228</f>
        <v>0</v>
      </c>
      <c r="Q228" s="78">
        <v>3</v>
      </c>
      <c r="R228" s="78">
        <v>2</v>
      </c>
      <c r="S228" s="78" t="s">
        <v>59</v>
      </c>
      <c r="T228" s="5">
        <v>104</v>
      </c>
      <c r="U228" s="9"/>
    </row>
    <row r="229" spans="1:21" s="37" customFormat="1" ht="12" x14ac:dyDescent="0.3">
      <c r="A229" s="73" t="s">
        <v>1893</v>
      </c>
      <c r="B229" s="74" t="s">
        <v>1821</v>
      </c>
      <c r="C229" s="84">
        <v>205</v>
      </c>
      <c r="D229" s="85">
        <v>80.2</v>
      </c>
      <c r="E229" s="86">
        <v>24</v>
      </c>
      <c r="F229" s="85">
        <v>59.9</v>
      </c>
      <c r="G229" s="17">
        <v>18</v>
      </c>
      <c r="H229" s="87">
        <v>205</v>
      </c>
      <c r="I229" s="88"/>
      <c r="J229" s="88"/>
      <c r="K229" s="88"/>
      <c r="L229" s="88"/>
      <c r="M229" s="89">
        <f>I229-K229</f>
        <v>0</v>
      </c>
      <c r="N229" s="4" t="str">
        <f>IF(ISERROR(K229/I229),"",K229/I229)</f>
        <v/>
      </c>
      <c r="O229" s="90">
        <f>I229/E229</f>
        <v>0</v>
      </c>
      <c r="P229" s="90">
        <f>K229/E229</f>
        <v>0</v>
      </c>
      <c r="Q229" s="78">
        <v>3</v>
      </c>
      <c r="R229" s="78">
        <v>1</v>
      </c>
      <c r="S229" s="78" t="s">
        <v>65</v>
      </c>
      <c r="T229" s="5">
        <v>80</v>
      </c>
      <c r="U229" s="9"/>
    </row>
    <row r="230" spans="1:21" s="37" customFormat="1" ht="12" x14ac:dyDescent="0.3">
      <c r="A230" s="73" t="s">
        <v>1894</v>
      </c>
      <c r="B230" s="74" t="s">
        <v>1895</v>
      </c>
      <c r="C230" s="84">
        <v>242</v>
      </c>
      <c r="D230" s="85">
        <v>79.3</v>
      </c>
      <c r="E230" s="86">
        <v>24</v>
      </c>
      <c r="F230" s="85">
        <v>59.8</v>
      </c>
      <c r="G230" s="17">
        <v>18</v>
      </c>
      <c r="H230" s="87">
        <v>80</v>
      </c>
      <c r="I230" s="88"/>
      <c r="J230" s="88"/>
      <c r="K230" s="88"/>
      <c r="L230" s="88"/>
      <c r="M230" s="89">
        <f>I230-K230</f>
        <v>0</v>
      </c>
      <c r="N230" s="4" t="str">
        <f>IF(ISERROR(K230/I230),"",K230/I230)</f>
        <v/>
      </c>
      <c r="O230" s="90">
        <f>I230/E230</f>
        <v>0</v>
      </c>
      <c r="P230" s="90">
        <f>K230/E230</f>
        <v>0</v>
      </c>
      <c r="Q230" s="78">
        <v>3</v>
      </c>
      <c r="R230" s="78">
        <v>2</v>
      </c>
      <c r="S230" s="78" t="s">
        <v>59</v>
      </c>
      <c r="T230" s="5" t="s">
        <v>84</v>
      </c>
      <c r="U230" s="9"/>
    </row>
    <row r="231" spans="1:21" s="37" customFormat="1" ht="12" x14ac:dyDescent="0.3">
      <c r="A231" s="73" t="s">
        <v>1896</v>
      </c>
      <c r="B231" s="74" t="s">
        <v>1699</v>
      </c>
      <c r="C231" s="84">
        <v>242</v>
      </c>
      <c r="D231" s="85">
        <v>108</v>
      </c>
      <c r="E231" s="86">
        <v>33</v>
      </c>
      <c r="F231" s="85">
        <v>84.9</v>
      </c>
      <c r="G231" s="17">
        <v>26</v>
      </c>
      <c r="H231" s="87">
        <v>93</v>
      </c>
      <c r="I231" s="88"/>
      <c r="J231" s="88"/>
      <c r="K231" s="88"/>
      <c r="L231" s="88"/>
      <c r="M231" s="89">
        <f>I231-K231</f>
        <v>0</v>
      </c>
      <c r="N231" s="4" t="str">
        <f>IF(ISERROR(K231/I231),"",K231/I231)</f>
        <v/>
      </c>
      <c r="O231" s="90">
        <f>I231/E231</f>
        <v>0</v>
      </c>
      <c r="P231" s="90">
        <f>K231/E231</f>
        <v>0</v>
      </c>
      <c r="Q231" s="78">
        <v>3</v>
      </c>
      <c r="R231" s="78">
        <v>2</v>
      </c>
      <c r="S231" s="78" t="s">
        <v>59</v>
      </c>
      <c r="T231" s="5">
        <v>107</v>
      </c>
      <c r="U231" s="9"/>
    </row>
    <row r="232" spans="1:21" s="37" customFormat="1" ht="12" x14ac:dyDescent="0.3">
      <c r="A232" s="73" t="s">
        <v>1899</v>
      </c>
      <c r="B232" s="74" t="s">
        <v>1900</v>
      </c>
      <c r="C232" s="84">
        <v>640</v>
      </c>
      <c r="D232" s="85">
        <v>156.4</v>
      </c>
      <c r="E232" s="86">
        <v>47</v>
      </c>
      <c r="F232" s="85">
        <v>116.9</v>
      </c>
      <c r="G232" s="17">
        <v>35</v>
      </c>
      <c r="H232" s="87">
        <v>46</v>
      </c>
      <c r="I232" s="88"/>
      <c r="J232" s="88"/>
      <c r="K232" s="88"/>
      <c r="L232" s="88"/>
      <c r="M232" s="89">
        <f>I232-K232</f>
        <v>0</v>
      </c>
      <c r="N232" s="4" t="str">
        <f>IF(ISERROR(K232/I232),"",K232/I232)</f>
        <v/>
      </c>
      <c r="O232" s="90">
        <f>I232/E232</f>
        <v>0</v>
      </c>
      <c r="P232" s="90">
        <f>K232/E232</f>
        <v>0</v>
      </c>
      <c r="Q232" s="78">
        <v>4</v>
      </c>
      <c r="R232" s="78">
        <v>2</v>
      </c>
      <c r="S232" s="78" t="s">
        <v>59</v>
      </c>
      <c r="T232" s="5">
        <v>156</v>
      </c>
      <c r="U232" s="9"/>
    </row>
    <row r="233" spans="1:21" s="37" customFormat="1" ht="12" x14ac:dyDescent="0.3">
      <c r="A233" s="73" t="s">
        <v>1906</v>
      </c>
      <c r="B233" s="74" t="s">
        <v>1711</v>
      </c>
      <c r="C233" s="84">
        <v>308</v>
      </c>
      <c r="D233" s="85">
        <v>106.9</v>
      </c>
      <c r="E233" s="86">
        <v>32</v>
      </c>
      <c r="F233" s="85">
        <v>85</v>
      </c>
      <c r="G233" s="17">
        <v>26</v>
      </c>
      <c r="H233" s="87">
        <v>144</v>
      </c>
      <c r="I233" s="88"/>
      <c r="J233" s="88"/>
      <c r="K233" s="88"/>
      <c r="L233" s="88"/>
      <c r="M233" s="89">
        <f>I233-K233</f>
        <v>0</v>
      </c>
      <c r="N233" s="4" t="str">
        <f>IF(ISERROR(K233/I233),"",K233/I233)</f>
        <v/>
      </c>
      <c r="O233" s="90">
        <f>I233/E233</f>
        <v>0</v>
      </c>
      <c r="P233" s="90">
        <f>K233/E233</f>
        <v>0</v>
      </c>
      <c r="Q233" s="78">
        <v>3</v>
      </c>
      <c r="R233" s="78">
        <v>2</v>
      </c>
      <c r="S233" s="78" t="s">
        <v>59</v>
      </c>
      <c r="T233" s="5">
        <v>106</v>
      </c>
      <c r="U233" s="9"/>
    </row>
    <row r="234" spans="1:21" s="37" customFormat="1" ht="12" x14ac:dyDescent="0.3">
      <c r="A234" s="73" t="s">
        <v>1712</v>
      </c>
      <c r="B234" s="74" t="s">
        <v>1713</v>
      </c>
      <c r="C234" s="84">
        <v>290</v>
      </c>
      <c r="D234" s="85">
        <v>59.9</v>
      </c>
      <c r="E234" s="86">
        <v>18</v>
      </c>
      <c r="F234" s="85">
        <v>54.1</v>
      </c>
      <c r="G234" s="17">
        <v>16</v>
      </c>
      <c r="H234" s="87">
        <v>120</v>
      </c>
      <c r="I234" s="88"/>
      <c r="J234" s="88"/>
      <c r="K234" s="88"/>
      <c r="L234" s="88"/>
      <c r="M234" s="89">
        <f>I234-K234</f>
        <v>0</v>
      </c>
      <c r="N234" s="4" t="str">
        <f>IF(ISERROR(K234/I234),"",K234/I234)</f>
        <v/>
      </c>
      <c r="O234" s="90">
        <f>I234/E234</f>
        <v>0</v>
      </c>
      <c r="P234" s="90">
        <f>K234/E234</f>
        <v>0</v>
      </c>
      <c r="Q234" s="78">
        <v>3</v>
      </c>
      <c r="R234" s="78">
        <v>1</v>
      </c>
      <c r="S234" s="78" t="s">
        <v>59</v>
      </c>
      <c r="T234" s="5">
        <v>59</v>
      </c>
      <c r="U234" s="9"/>
    </row>
    <row r="235" spans="1:21" s="37" customFormat="1" ht="12" x14ac:dyDescent="0.3">
      <c r="A235" s="73" t="s">
        <v>1712</v>
      </c>
      <c r="B235" s="74" t="s">
        <v>1713</v>
      </c>
      <c r="C235" s="84">
        <v>290</v>
      </c>
      <c r="D235" s="85">
        <v>65.5</v>
      </c>
      <c r="E235" s="86">
        <v>20</v>
      </c>
      <c r="F235" s="85">
        <v>59.4</v>
      </c>
      <c r="G235" s="17">
        <v>18</v>
      </c>
      <c r="H235" s="87">
        <v>170</v>
      </c>
      <c r="I235" s="88"/>
      <c r="J235" s="88"/>
      <c r="K235" s="88"/>
      <c r="L235" s="88"/>
      <c r="M235" s="89">
        <f>I235-K235</f>
        <v>0</v>
      </c>
      <c r="N235" s="4" t="str">
        <f>IF(ISERROR(K235/I235),"",K235/I235)</f>
        <v/>
      </c>
      <c r="O235" s="90">
        <f>I235/E235</f>
        <v>0</v>
      </c>
      <c r="P235" s="90">
        <f>K235/E235</f>
        <v>0</v>
      </c>
      <c r="Q235" s="78">
        <v>3</v>
      </c>
      <c r="R235" s="78">
        <v>1</v>
      </c>
      <c r="S235" s="78" t="s">
        <v>59</v>
      </c>
      <c r="T235" s="5">
        <v>65</v>
      </c>
      <c r="U235" s="9"/>
    </row>
    <row r="236" spans="1:21" s="37" customFormat="1" ht="12" x14ac:dyDescent="0.3">
      <c r="A236" s="73" t="s">
        <v>1715</v>
      </c>
      <c r="B236" s="74" t="s">
        <v>1716</v>
      </c>
      <c r="C236" s="84">
        <v>240</v>
      </c>
      <c r="D236" s="85">
        <v>54.1</v>
      </c>
      <c r="E236" s="86">
        <v>16</v>
      </c>
      <c r="F236" s="85">
        <v>47.8</v>
      </c>
      <c r="G236" s="17">
        <v>14</v>
      </c>
      <c r="H236" s="87">
        <v>240</v>
      </c>
      <c r="I236" s="88"/>
      <c r="J236" s="88"/>
      <c r="K236" s="88"/>
      <c r="L236" s="88"/>
      <c r="M236" s="89">
        <f>I236-K236</f>
        <v>0</v>
      </c>
      <c r="N236" s="4" t="str">
        <f>IF(ISERROR(K236/I236),"",K236/I236)</f>
        <v/>
      </c>
      <c r="O236" s="90">
        <f>I236/E236</f>
        <v>0</v>
      </c>
      <c r="P236" s="90">
        <f>K236/E236</f>
        <v>0</v>
      </c>
      <c r="Q236" s="78">
        <v>3</v>
      </c>
      <c r="R236" s="78">
        <v>1</v>
      </c>
      <c r="S236" s="78" t="s">
        <v>59</v>
      </c>
      <c r="T236" s="5">
        <v>54</v>
      </c>
      <c r="U236" s="9"/>
    </row>
    <row r="237" spans="1:21" s="37" customFormat="1" ht="12" x14ac:dyDescent="0.3">
      <c r="A237" s="73" t="s">
        <v>1719</v>
      </c>
      <c r="B237" s="74" t="s">
        <v>1908</v>
      </c>
      <c r="C237" s="84">
        <v>248</v>
      </c>
      <c r="D237" s="85">
        <v>80.099999999999994</v>
      </c>
      <c r="E237" s="86">
        <v>24</v>
      </c>
      <c r="F237" s="85">
        <v>59.3</v>
      </c>
      <c r="G237" s="17">
        <v>18</v>
      </c>
      <c r="H237" s="87">
        <v>132</v>
      </c>
      <c r="I237" s="88"/>
      <c r="J237" s="88"/>
      <c r="K237" s="88"/>
      <c r="L237" s="88"/>
      <c r="M237" s="89">
        <f>I237-K237</f>
        <v>0</v>
      </c>
      <c r="N237" s="4" t="str">
        <f>IF(ISERROR(K237/I237),"",K237/I237)</f>
        <v/>
      </c>
      <c r="O237" s="90">
        <f>I237/E237</f>
        <v>0</v>
      </c>
      <c r="P237" s="90">
        <f>K237/E237</f>
        <v>0</v>
      </c>
      <c r="Q237" s="78">
        <v>3</v>
      </c>
      <c r="R237" s="78">
        <v>1</v>
      </c>
      <c r="S237" s="78" t="s">
        <v>59</v>
      </c>
      <c r="T237" s="5">
        <v>80</v>
      </c>
      <c r="U237" s="9"/>
    </row>
    <row r="238" spans="1:21" s="37" customFormat="1" ht="12" x14ac:dyDescent="0.3">
      <c r="A238" s="73" t="s">
        <v>1719</v>
      </c>
      <c r="B238" s="74" t="s">
        <v>1720</v>
      </c>
      <c r="C238" s="84">
        <v>248</v>
      </c>
      <c r="D238" s="85">
        <v>104.3</v>
      </c>
      <c r="E238" s="86">
        <v>32</v>
      </c>
      <c r="F238" s="85">
        <v>85</v>
      </c>
      <c r="G238" s="17">
        <v>26</v>
      </c>
      <c r="H238" s="87">
        <v>116</v>
      </c>
      <c r="I238" s="88"/>
      <c r="J238" s="88"/>
      <c r="K238" s="88"/>
      <c r="L238" s="88"/>
      <c r="M238" s="89">
        <f>I238-K238</f>
        <v>0</v>
      </c>
      <c r="N238" s="4" t="str">
        <f>IF(ISERROR(K238/I238),"",K238/I238)</f>
        <v/>
      </c>
      <c r="O238" s="90">
        <f>I238/E238</f>
        <v>0</v>
      </c>
      <c r="P238" s="90">
        <f>K238/E238</f>
        <v>0</v>
      </c>
      <c r="Q238" s="78">
        <v>3</v>
      </c>
      <c r="R238" s="78">
        <v>2</v>
      </c>
      <c r="S238" s="78" t="s">
        <v>59</v>
      </c>
      <c r="T238" s="5">
        <v>104</v>
      </c>
      <c r="U238" s="9"/>
    </row>
    <row r="239" spans="1:21" s="37" customFormat="1" ht="12" x14ac:dyDescent="0.3">
      <c r="A239" s="73" t="s">
        <v>1721</v>
      </c>
      <c r="B239" s="74" t="s">
        <v>1909</v>
      </c>
      <c r="C239" s="84">
        <v>878</v>
      </c>
      <c r="D239" s="85">
        <v>102.1</v>
      </c>
      <c r="E239" s="86">
        <v>31</v>
      </c>
      <c r="F239" s="85">
        <v>75.900000000000006</v>
      </c>
      <c r="G239" s="17">
        <v>23</v>
      </c>
      <c r="H239" s="87">
        <v>150</v>
      </c>
      <c r="I239" s="88"/>
      <c r="J239" s="88"/>
      <c r="K239" s="88">
        <v>38000</v>
      </c>
      <c r="L239" s="88" t="s">
        <v>69</v>
      </c>
      <c r="M239" s="89">
        <f>I239-K239</f>
        <v>-38000</v>
      </c>
      <c r="N239" s="4" t="str">
        <f>IF(ISERROR(K239/I239),"",K239/I239)</f>
        <v/>
      </c>
      <c r="O239" s="90">
        <f>I239/E239</f>
        <v>0</v>
      </c>
      <c r="P239" s="90">
        <f>K239/E239</f>
        <v>1225.8064516129032</v>
      </c>
      <c r="Q239" s="78">
        <v>3</v>
      </c>
      <c r="R239" s="78">
        <v>2</v>
      </c>
      <c r="S239" s="78" t="s">
        <v>59</v>
      </c>
      <c r="T239" s="5" t="s">
        <v>136</v>
      </c>
      <c r="U239" s="9"/>
    </row>
    <row r="240" spans="1:21" s="37" customFormat="1" ht="12" x14ac:dyDescent="0.3">
      <c r="A240" s="73" t="s">
        <v>1721</v>
      </c>
      <c r="B240" s="74" t="s">
        <v>1722</v>
      </c>
      <c r="C240" s="84">
        <v>878</v>
      </c>
      <c r="D240" s="85">
        <v>113.9</v>
      </c>
      <c r="E240" s="86">
        <v>34</v>
      </c>
      <c r="F240" s="85">
        <v>84.9</v>
      </c>
      <c r="G240" s="17">
        <v>26</v>
      </c>
      <c r="H240" s="87">
        <v>237</v>
      </c>
      <c r="I240" s="88"/>
      <c r="J240" s="88"/>
      <c r="K240" s="88">
        <v>43000</v>
      </c>
      <c r="L240" s="88" t="s">
        <v>126</v>
      </c>
      <c r="M240" s="89">
        <f>I240-K240</f>
        <v>-43000</v>
      </c>
      <c r="N240" s="4" t="str">
        <f>IF(ISERROR(K240/I240),"",K240/I240)</f>
        <v/>
      </c>
      <c r="O240" s="90">
        <f>I240/E240</f>
        <v>0</v>
      </c>
      <c r="P240" s="90">
        <f>K240/E240</f>
        <v>1264.7058823529412</v>
      </c>
      <c r="Q240" s="78">
        <v>3</v>
      </c>
      <c r="R240" s="78">
        <v>2</v>
      </c>
      <c r="S240" s="78" t="s">
        <v>59</v>
      </c>
      <c r="T240" s="5" t="s">
        <v>165</v>
      </c>
      <c r="U240" s="9"/>
    </row>
    <row r="241" spans="1:21" s="37" customFormat="1" ht="12" x14ac:dyDescent="0.3">
      <c r="A241" s="73" t="s">
        <v>1721</v>
      </c>
      <c r="B241" s="74" t="s">
        <v>1909</v>
      </c>
      <c r="C241" s="84">
        <v>878</v>
      </c>
      <c r="D241" s="85">
        <v>132.9</v>
      </c>
      <c r="E241" s="86">
        <v>40</v>
      </c>
      <c r="F241" s="85">
        <v>99</v>
      </c>
      <c r="G241" s="17">
        <v>30</v>
      </c>
      <c r="H241" s="87">
        <v>140</v>
      </c>
      <c r="I241" s="88"/>
      <c r="J241" s="88"/>
      <c r="K241" s="88">
        <v>50000</v>
      </c>
      <c r="L241" s="88" t="s">
        <v>104</v>
      </c>
      <c r="M241" s="89">
        <f>I241-K241</f>
        <v>-50000</v>
      </c>
      <c r="N241" s="4" t="str">
        <f>IF(ISERROR(K241/I241),"",K241/I241)</f>
        <v/>
      </c>
      <c r="O241" s="90">
        <f>I241/E241</f>
        <v>0</v>
      </c>
      <c r="P241" s="90">
        <f>K241/E241</f>
        <v>1250</v>
      </c>
      <c r="Q241" s="78">
        <v>4</v>
      </c>
      <c r="R241" s="78">
        <v>2</v>
      </c>
      <c r="S241" s="78" t="s">
        <v>59</v>
      </c>
      <c r="T241" s="5" t="s">
        <v>172</v>
      </c>
      <c r="U241" s="9"/>
    </row>
    <row r="242" spans="1:21" s="37" customFormat="1" ht="12" x14ac:dyDescent="0.3">
      <c r="A242" s="73" t="s">
        <v>1723</v>
      </c>
      <c r="B242" s="74" t="s">
        <v>1690</v>
      </c>
      <c r="C242" s="84">
        <v>505</v>
      </c>
      <c r="D242" s="85">
        <v>123.1</v>
      </c>
      <c r="E242" s="86">
        <v>37</v>
      </c>
      <c r="F242" s="85">
        <v>99.9</v>
      </c>
      <c r="G242" s="17">
        <v>30</v>
      </c>
      <c r="H242" s="87">
        <v>108</v>
      </c>
      <c r="I242" s="88"/>
      <c r="J242" s="88"/>
      <c r="K242" s="88"/>
      <c r="L242" s="88"/>
      <c r="M242" s="89">
        <f>I242-K242</f>
        <v>0</v>
      </c>
      <c r="N242" s="4" t="str">
        <f>IF(ISERROR(K242/I242),"",K242/I242)</f>
        <v/>
      </c>
      <c r="O242" s="90">
        <f>I242/E242</f>
        <v>0</v>
      </c>
      <c r="P242" s="90">
        <f>K242/E242</f>
        <v>0</v>
      </c>
      <c r="Q242" s="78">
        <v>4</v>
      </c>
      <c r="R242" s="78">
        <v>2</v>
      </c>
      <c r="S242" s="78" t="s">
        <v>59</v>
      </c>
      <c r="T242" s="5">
        <v>123</v>
      </c>
      <c r="U242" s="9"/>
    </row>
    <row r="243" spans="1:21" s="37" customFormat="1" ht="12" x14ac:dyDescent="0.3">
      <c r="A243" s="73" t="s">
        <v>1723</v>
      </c>
      <c r="B243" s="74" t="s">
        <v>1690</v>
      </c>
      <c r="C243" s="84">
        <v>505</v>
      </c>
      <c r="D243" s="85">
        <v>151.30000000000001</v>
      </c>
      <c r="E243" s="86">
        <v>46</v>
      </c>
      <c r="F243" s="85">
        <v>124.3</v>
      </c>
      <c r="G243" s="17">
        <v>38</v>
      </c>
      <c r="H243" s="87">
        <v>68</v>
      </c>
      <c r="I243" s="88"/>
      <c r="J243" s="88"/>
      <c r="K243" s="88"/>
      <c r="L243" s="88"/>
      <c r="M243" s="89">
        <f>I243-K243</f>
        <v>0</v>
      </c>
      <c r="N243" s="4" t="str">
        <f>IF(ISERROR(K243/I243),"",K243/I243)</f>
        <v/>
      </c>
      <c r="O243" s="90">
        <f>I243/E243</f>
        <v>0</v>
      </c>
      <c r="P243" s="90">
        <f>K243/E243</f>
        <v>0</v>
      </c>
      <c r="Q243" s="78">
        <v>4</v>
      </c>
      <c r="R243" s="78">
        <v>2</v>
      </c>
      <c r="S243" s="78" t="s">
        <v>59</v>
      </c>
      <c r="T243" s="5">
        <v>151</v>
      </c>
      <c r="U243" s="9"/>
    </row>
    <row r="244" spans="1:21" s="37" customFormat="1" ht="12" x14ac:dyDescent="0.3">
      <c r="A244" s="73" t="s">
        <v>1724</v>
      </c>
      <c r="B244" s="74" t="s">
        <v>1725</v>
      </c>
      <c r="C244" s="84">
        <v>614</v>
      </c>
      <c r="D244" s="85">
        <v>115.7</v>
      </c>
      <c r="E244" s="86">
        <v>35</v>
      </c>
      <c r="F244" s="85">
        <v>85</v>
      </c>
      <c r="G244" s="17">
        <v>26</v>
      </c>
      <c r="H244" s="87">
        <v>210</v>
      </c>
      <c r="I244" s="88"/>
      <c r="J244" s="88"/>
      <c r="K244" s="88"/>
      <c r="L244" s="88"/>
      <c r="M244" s="89">
        <f>I244-K244</f>
        <v>0</v>
      </c>
      <c r="N244" s="4" t="str">
        <f>IF(ISERROR(K244/I244),"",K244/I244)</f>
        <v/>
      </c>
      <c r="O244" s="90">
        <f>I244/E244</f>
        <v>0</v>
      </c>
      <c r="P244" s="90">
        <f>K244/E244</f>
        <v>0</v>
      </c>
      <c r="Q244" s="78">
        <v>3</v>
      </c>
      <c r="R244" s="78">
        <v>2</v>
      </c>
      <c r="S244" s="78" t="s">
        <v>59</v>
      </c>
      <c r="T244" s="5">
        <v>115</v>
      </c>
      <c r="U244" s="9"/>
    </row>
    <row r="245" spans="1:21" s="37" customFormat="1" ht="12" x14ac:dyDescent="0.3">
      <c r="A245" s="73" t="s">
        <v>1910</v>
      </c>
      <c r="B245" s="74" t="s">
        <v>1725</v>
      </c>
      <c r="C245" s="84">
        <v>614</v>
      </c>
      <c r="D245" s="85">
        <v>160.69999999999999</v>
      </c>
      <c r="E245" s="86">
        <v>49</v>
      </c>
      <c r="F245" s="85">
        <v>120.6</v>
      </c>
      <c r="G245" s="17">
        <v>36</v>
      </c>
      <c r="H245" s="87">
        <v>122</v>
      </c>
      <c r="I245" s="88"/>
      <c r="J245" s="88"/>
      <c r="K245" s="88"/>
      <c r="L245" s="88"/>
      <c r="M245" s="89">
        <f>I245-K245</f>
        <v>0</v>
      </c>
      <c r="N245" s="4" t="str">
        <f>IF(ISERROR(K245/I245),"",K245/I245)</f>
        <v/>
      </c>
      <c r="O245" s="90">
        <f>I245/E245</f>
        <v>0</v>
      </c>
      <c r="P245" s="90">
        <f>K245/E245</f>
        <v>0</v>
      </c>
      <c r="Q245" s="78">
        <v>4</v>
      </c>
      <c r="R245" s="78">
        <v>2</v>
      </c>
      <c r="S245" s="78" t="s">
        <v>59</v>
      </c>
      <c r="T245" s="5">
        <v>160</v>
      </c>
      <c r="U245" s="9"/>
    </row>
    <row r="246" spans="1:21" s="37" customFormat="1" ht="12" x14ac:dyDescent="0.3">
      <c r="A246" s="73" t="s">
        <v>1724</v>
      </c>
      <c r="B246" s="74" t="s">
        <v>1725</v>
      </c>
      <c r="C246" s="84">
        <v>614</v>
      </c>
      <c r="D246" s="85">
        <v>175.7</v>
      </c>
      <c r="E246" s="86">
        <v>53</v>
      </c>
      <c r="F246" s="85">
        <v>130.9</v>
      </c>
      <c r="G246" s="17">
        <v>40</v>
      </c>
      <c r="H246" s="87">
        <v>121</v>
      </c>
      <c r="I246" s="88"/>
      <c r="J246" s="88"/>
      <c r="K246" s="88"/>
      <c r="L246" s="88"/>
      <c r="M246" s="89">
        <f>I246-K246</f>
        <v>0</v>
      </c>
      <c r="N246" s="4" t="str">
        <f>IF(ISERROR(K246/I246),"",K246/I246)</f>
        <v/>
      </c>
      <c r="O246" s="90">
        <f>I246/E246</f>
        <v>0</v>
      </c>
      <c r="P246" s="90">
        <f>K246/E246</f>
        <v>0</v>
      </c>
      <c r="Q246" s="78">
        <v>4</v>
      </c>
      <c r="R246" s="78">
        <v>2</v>
      </c>
      <c r="S246" s="78" t="s">
        <v>59</v>
      </c>
      <c r="T246" s="5">
        <v>175</v>
      </c>
      <c r="U246" s="9"/>
    </row>
    <row r="247" spans="1:21" s="37" customFormat="1" ht="12" x14ac:dyDescent="0.3">
      <c r="A247" s="73" t="s">
        <v>1739</v>
      </c>
      <c r="B247" s="74" t="s">
        <v>1740</v>
      </c>
      <c r="C247" s="84">
        <v>500</v>
      </c>
      <c r="D247" s="85">
        <v>60.6</v>
      </c>
      <c r="E247" s="86">
        <v>18</v>
      </c>
      <c r="F247" s="85">
        <v>40.4</v>
      </c>
      <c r="G247" s="17">
        <v>12</v>
      </c>
      <c r="H247" s="87">
        <v>150</v>
      </c>
      <c r="I247" s="88"/>
      <c r="J247" s="88"/>
      <c r="K247" s="88"/>
      <c r="L247" s="88"/>
      <c r="M247" s="89">
        <f>I247-K247</f>
        <v>0</v>
      </c>
      <c r="N247" s="4" t="str">
        <f>IF(ISERROR(K247/I247),"",K247/I247)</f>
        <v/>
      </c>
      <c r="O247" s="90">
        <f>I247/E247</f>
        <v>0</v>
      </c>
      <c r="P247" s="90">
        <f>K247/E247</f>
        <v>0</v>
      </c>
      <c r="Q247" s="78">
        <v>2</v>
      </c>
      <c r="R247" s="78">
        <v>1</v>
      </c>
      <c r="S247" s="78" t="s">
        <v>65</v>
      </c>
      <c r="T247" s="5">
        <v>60</v>
      </c>
      <c r="U247" s="9"/>
    </row>
    <row r="248" spans="1:21" s="37" customFormat="1" ht="12" x14ac:dyDescent="0.3">
      <c r="A248" s="73" t="s">
        <v>1741</v>
      </c>
      <c r="B248" s="74" t="s">
        <v>1730</v>
      </c>
      <c r="C248" s="84">
        <v>711</v>
      </c>
      <c r="D248" s="85">
        <v>97.3</v>
      </c>
      <c r="E248" s="86">
        <v>29</v>
      </c>
      <c r="F248" s="85">
        <v>73.099999999999994</v>
      </c>
      <c r="G248" s="17">
        <v>22</v>
      </c>
      <c r="H248" s="87">
        <v>251</v>
      </c>
      <c r="I248" s="88"/>
      <c r="J248" s="88"/>
      <c r="K248" s="88">
        <v>16970</v>
      </c>
      <c r="L248" s="88" t="s">
        <v>68</v>
      </c>
      <c r="M248" s="89">
        <f>I248-K248</f>
        <v>-16970</v>
      </c>
      <c r="N248" s="4" t="str">
        <f>IF(ISERROR(K248/I248),"",K248/I248)</f>
        <v/>
      </c>
      <c r="O248" s="90">
        <f>I248/E248</f>
        <v>0</v>
      </c>
      <c r="P248" s="90">
        <f>K248/E248</f>
        <v>585.17241379310349</v>
      </c>
      <c r="Q248" s="78">
        <v>3</v>
      </c>
      <c r="R248" s="78">
        <v>2</v>
      </c>
      <c r="S248" s="78" t="s">
        <v>59</v>
      </c>
      <c r="T248" s="5">
        <v>97</v>
      </c>
      <c r="U248" s="9"/>
    </row>
    <row r="249" spans="1:21" s="37" customFormat="1" ht="12" x14ac:dyDescent="0.3">
      <c r="A249" s="73" t="s">
        <v>1741</v>
      </c>
      <c r="B249" s="74" t="s">
        <v>1730</v>
      </c>
      <c r="C249" s="84">
        <v>711</v>
      </c>
      <c r="D249" s="85">
        <v>113.3</v>
      </c>
      <c r="E249" s="86">
        <v>34</v>
      </c>
      <c r="F249" s="85">
        <v>85</v>
      </c>
      <c r="G249" s="17">
        <v>26</v>
      </c>
      <c r="H249" s="87">
        <v>315</v>
      </c>
      <c r="I249" s="88"/>
      <c r="J249" s="88"/>
      <c r="K249" s="88">
        <v>20490</v>
      </c>
      <c r="L249" s="88" t="s">
        <v>68</v>
      </c>
      <c r="M249" s="89">
        <f>I249-K249</f>
        <v>-20490</v>
      </c>
      <c r="N249" s="4" t="str">
        <f>IF(ISERROR(K249/I249),"",K249/I249)</f>
        <v/>
      </c>
      <c r="O249" s="90">
        <f>I249/E249</f>
        <v>0</v>
      </c>
      <c r="P249" s="90">
        <f>K249/E249</f>
        <v>602.64705882352939</v>
      </c>
      <c r="Q249" s="78">
        <v>4</v>
      </c>
      <c r="R249" s="78">
        <v>2</v>
      </c>
      <c r="S249" s="78" t="s">
        <v>59</v>
      </c>
      <c r="T249" s="5" t="s">
        <v>165</v>
      </c>
      <c r="U249" s="9"/>
    </row>
    <row r="250" spans="1:21" s="37" customFormat="1" ht="12" x14ac:dyDescent="0.3">
      <c r="A250" s="73" t="s">
        <v>1742</v>
      </c>
      <c r="B250" s="74" t="s">
        <v>1743</v>
      </c>
      <c r="C250" s="84">
        <v>737</v>
      </c>
      <c r="D250" s="85">
        <v>102.7</v>
      </c>
      <c r="E250" s="86">
        <v>31</v>
      </c>
      <c r="F250" s="85">
        <v>85</v>
      </c>
      <c r="G250" s="17">
        <v>26</v>
      </c>
      <c r="H250" s="87">
        <v>675</v>
      </c>
      <c r="I250" s="88"/>
      <c r="J250" s="88"/>
      <c r="K250" s="88"/>
      <c r="L250" s="88"/>
      <c r="M250" s="89">
        <f>I250-K250</f>
        <v>0</v>
      </c>
      <c r="N250" s="4" t="str">
        <f>IF(ISERROR(K250/I250),"",K250/I250)</f>
        <v/>
      </c>
      <c r="O250" s="90">
        <f>I250/E250</f>
        <v>0</v>
      </c>
      <c r="P250" s="90">
        <f>K250/E250</f>
        <v>0</v>
      </c>
      <c r="Q250" s="78">
        <v>3</v>
      </c>
      <c r="R250" s="78">
        <v>2</v>
      </c>
      <c r="S250" s="78" t="s">
        <v>59</v>
      </c>
      <c r="T250" s="5" t="s">
        <v>136</v>
      </c>
      <c r="U250" s="9"/>
    </row>
    <row r="251" spans="1:21" s="37" customFormat="1" ht="12" x14ac:dyDescent="0.3">
      <c r="A251" s="73" t="s">
        <v>1748</v>
      </c>
      <c r="B251" s="74" t="s">
        <v>1749</v>
      </c>
      <c r="C251" s="84">
        <v>283</v>
      </c>
      <c r="D251" s="85">
        <v>81.099999999999994</v>
      </c>
      <c r="E251" s="86">
        <v>25</v>
      </c>
      <c r="F251" s="85">
        <v>59.4</v>
      </c>
      <c r="G251" s="17">
        <v>18</v>
      </c>
      <c r="H251" s="87">
        <v>283</v>
      </c>
      <c r="I251" s="88"/>
      <c r="J251" s="88"/>
      <c r="K251" s="88"/>
      <c r="L251" s="88"/>
      <c r="M251" s="89">
        <f>I251-K251</f>
        <v>0</v>
      </c>
      <c r="N251" s="4" t="str">
        <f>IF(ISERROR(K251/I251),"",K251/I251)</f>
        <v/>
      </c>
      <c r="O251" s="90">
        <f>I251/E251</f>
        <v>0</v>
      </c>
      <c r="P251" s="90">
        <f>K251/E251</f>
        <v>0</v>
      </c>
      <c r="Q251" s="78">
        <v>3</v>
      </c>
      <c r="R251" s="78">
        <v>1</v>
      </c>
      <c r="S251" s="78" t="s">
        <v>65</v>
      </c>
      <c r="T251" s="5">
        <v>81</v>
      </c>
      <c r="U251" s="9"/>
    </row>
    <row r="252" spans="1:21" s="37" customFormat="1" ht="12" x14ac:dyDescent="0.3">
      <c r="A252" s="73" t="s">
        <v>1750</v>
      </c>
      <c r="B252" s="74" t="s">
        <v>1751</v>
      </c>
      <c r="C252" s="84">
        <v>494</v>
      </c>
      <c r="D252" s="85">
        <v>79</v>
      </c>
      <c r="E252" s="86">
        <v>24</v>
      </c>
      <c r="F252" s="85">
        <v>59.6</v>
      </c>
      <c r="G252" s="17">
        <v>18</v>
      </c>
      <c r="H252" s="87">
        <v>494</v>
      </c>
      <c r="I252" s="88"/>
      <c r="J252" s="88"/>
      <c r="K252" s="88"/>
      <c r="L252" s="88"/>
      <c r="M252" s="89">
        <f>I252-K252</f>
        <v>0</v>
      </c>
      <c r="N252" s="4" t="str">
        <f>IF(ISERROR(K252/I252),"",K252/I252)</f>
        <v/>
      </c>
      <c r="O252" s="90">
        <f>I252/E252</f>
        <v>0</v>
      </c>
      <c r="P252" s="90">
        <f>K252/E252</f>
        <v>0</v>
      </c>
      <c r="Q252" s="78">
        <v>2</v>
      </c>
      <c r="R252" s="78">
        <v>1</v>
      </c>
      <c r="S252" s="78" t="s">
        <v>65</v>
      </c>
      <c r="T252" s="5">
        <v>78</v>
      </c>
      <c r="U252" s="9"/>
    </row>
    <row r="253" spans="1:21" s="37" customFormat="1" ht="12" x14ac:dyDescent="0.3">
      <c r="A253" s="73" t="s">
        <v>1752</v>
      </c>
      <c r="B253" s="74" t="s">
        <v>1749</v>
      </c>
      <c r="C253" s="84">
        <v>299</v>
      </c>
      <c r="D253" s="85">
        <v>80.7</v>
      </c>
      <c r="E253" s="86">
        <v>24</v>
      </c>
      <c r="F253" s="85">
        <v>59.4</v>
      </c>
      <c r="G253" s="17">
        <v>18</v>
      </c>
      <c r="H253" s="87">
        <v>284</v>
      </c>
      <c r="I253" s="88"/>
      <c r="J253" s="88"/>
      <c r="K253" s="88"/>
      <c r="L253" s="88"/>
      <c r="M253" s="89">
        <f>I253-K253</f>
        <v>0</v>
      </c>
      <c r="N253" s="4" t="str">
        <f>IF(ISERROR(K253/I253),"",K253/I253)</f>
        <v/>
      </c>
      <c r="O253" s="90">
        <f>I253/E253</f>
        <v>0</v>
      </c>
      <c r="P253" s="90">
        <f>K253/E253</f>
        <v>0</v>
      </c>
      <c r="Q253" s="78">
        <v>3</v>
      </c>
      <c r="R253" s="78">
        <v>2</v>
      </c>
      <c r="S253" s="78" t="s">
        <v>59</v>
      </c>
      <c r="T253" s="5">
        <v>80</v>
      </c>
      <c r="U253" s="9"/>
    </row>
    <row r="254" spans="1:21" s="37" customFormat="1" ht="12" x14ac:dyDescent="0.3">
      <c r="A254" s="73" t="s">
        <v>1912</v>
      </c>
      <c r="B254" s="74" t="s">
        <v>1913</v>
      </c>
      <c r="C254" s="84">
        <v>540</v>
      </c>
      <c r="D254" s="85">
        <v>107.4</v>
      </c>
      <c r="E254" s="86">
        <v>32</v>
      </c>
      <c r="F254" s="85">
        <v>84.8</v>
      </c>
      <c r="G254" s="17">
        <v>26</v>
      </c>
      <c r="H254" s="87">
        <v>351</v>
      </c>
      <c r="I254" s="88"/>
      <c r="J254" s="88"/>
      <c r="K254" s="88"/>
      <c r="L254" s="88"/>
      <c r="M254" s="89">
        <f>I254-K254</f>
        <v>0</v>
      </c>
      <c r="N254" s="4" t="str">
        <f>IF(ISERROR(K254/I254),"",K254/I254)</f>
        <v/>
      </c>
      <c r="O254" s="90">
        <f>I254/E254</f>
        <v>0</v>
      </c>
      <c r="P254" s="90">
        <f>K254/E254</f>
        <v>0</v>
      </c>
      <c r="Q254" s="78">
        <v>3</v>
      </c>
      <c r="R254" s="78">
        <v>2</v>
      </c>
      <c r="S254" s="78" t="s">
        <v>59</v>
      </c>
      <c r="T254" s="5" t="s">
        <v>189</v>
      </c>
      <c r="U254" s="9"/>
    </row>
    <row r="255" spans="1:21" s="37" customFormat="1" ht="12" x14ac:dyDescent="0.3">
      <c r="A255" s="73" t="s">
        <v>1755</v>
      </c>
      <c r="B255" s="74" t="s">
        <v>1756</v>
      </c>
      <c r="C255" s="84">
        <v>450</v>
      </c>
      <c r="D255" s="85">
        <v>106.3</v>
      </c>
      <c r="E255" s="86">
        <v>32</v>
      </c>
      <c r="F255" s="85">
        <v>84.4</v>
      </c>
      <c r="G255" s="17">
        <v>26</v>
      </c>
      <c r="H255" s="87">
        <v>236</v>
      </c>
      <c r="I255" s="88"/>
      <c r="J255" s="88"/>
      <c r="K255" s="88"/>
      <c r="L255" s="88"/>
      <c r="M255" s="89">
        <f>I255-K255</f>
        <v>0</v>
      </c>
      <c r="N255" s="4" t="str">
        <f>IF(ISERROR(K255/I255),"",K255/I255)</f>
        <v/>
      </c>
      <c r="O255" s="90">
        <f>I255/E255</f>
        <v>0</v>
      </c>
      <c r="P255" s="90">
        <f>K255/E255</f>
        <v>0</v>
      </c>
      <c r="Q255" s="78">
        <v>3</v>
      </c>
      <c r="R255" s="78">
        <v>2</v>
      </c>
      <c r="S255" s="78" t="s">
        <v>59</v>
      </c>
      <c r="T255" s="5">
        <v>106</v>
      </c>
      <c r="U255" s="9"/>
    </row>
    <row r="256" spans="1:21" s="37" customFormat="1" ht="12" x14ac:dyDescent="0.3">
      <c r="A256" s="73" t="s">
        <v>1755</v>
      </c>
      <c r="B256" s="74" t="s">
        <v>1756</v>
      </c>
      <c r="C256" s="84">
        <v>450</v>
      </c>
      <c r="D256" s="85">
        <v>166.3</v>
      </c>
      <c r="E256" s="86">
        <v>50</v>
      </c>
      <c r="F256" s="85">
        <v>141.19999999999999</v>
      </c>
      <c r="G256" s="17">
        <v>43</v>
      </c>
      <c r="H256" s="87">
        <v>100</v>
      </c>
      <c r="I256" s="88"/>
      <c r="J256" s="88"/>
      <c r="K256" s="88"/>
      <c r="L256" s="88"/>
      <c r="M256" s="89">
        <f>I256-K256</f>
        <v>0</v>
      </c>
      <c r="N256" s="4" t="str">
        <f>IF(ISERROR(K256/I256),"",K256/I256)</f>
        <v/>
      </c>
      <c r="O256" s="90">
        <f>I256/E256</f>
        <v>0</v>
      </c>
      <c r="P256" s="90">
        <f>K256/E256</f>
        <v>0</v>
      </c>
      <c r="Q256" s="78">
        <v>4</v>
      </c>
      <c r="R256" s="78">
        <v>2</v>
      </c>
      <c r="S256" s="78" t="s">
        <v>59</v>
      </c>
      <c r="T256" s="5">
        <v>166</v>
      </c>
      <c r="U256" s="9"/>
    </row>
    <row r="257" spans="1:21" s="37" customFormat="1" ht="12" x14ac:dyDescent="0.3">
      <c r="A257" s="73" t="s">
        <v>1757</v>
      </c>
      <c r="B257" s="74" t="s">
        <v>1758</v>
      </c>
      <c r="C257" s="84">
        <v>240</v>
      </c>
      <c r="D257" s="85">
        <v>109.2</v>
      </c>
      <c r="E257" s="86">
        <v>33</v>
      </c>
      <c r="F257" s="85">
        <v>84.9</v>
      </c>
      <c r="G257" s="17">
        <v>26</v>
      </c>
      <c r="H257" s="87">
        <v>120</v>
      </c>
      <c r="I257" s="88"/>
      <c r="J257" s="88"/>
      <c r="K257" s="88"/>
      <c r="L257" s="88"/>
      <c r="M257" s="89">
        <f>I257-K257</f>
        <v>0</v>
      </c>
      <c r="N257" s="4" t="str">
        <f>IF(ISERROR(K257/I257),"",K257/I257)</f>
        <v/>
      </c>
      <c r="O257" s="90">
        <f>I257/E257</f>
        <v>0</v>
      </c>
      <c r="P257" s="90">
        <f>K257/E257</f>
        <v>0</v>
      </c>
      <c r="Q257" s="78">
        <v>3</v>
      </c>
      <c r="R257" s="78">
        <v>2</v>
      </c>
      <c r="S257" s="78" t="s">
        <v>59</v>
      </c>
      <c r="T257" s="5" t="s">
        <v>71</v>
      </c>
      <c r="U257" s="9"/>
    </row>
    <row r="258" spans="1:21" s="37" customFormat="1" ht="12" x14ac:dyDescent="0.3">
      <c r="A258" s="73" t="s">
        <v>1914</v>
      </c>
      <c r="B258" s="74" t="s">
        <v>1761</v>
      </c>
      <c r="C258" s="84">
        <v>480</v>
      </c>
      <c r="D258" s="85">
        <v>102.9</v>
      </c>
      <c r="E258" s="86">
        <v>31</v>
      </c>
      <c r="F258" s="85">
        <v>84.9</v>
      </c>
      <c r="G258" s="17">
        <v>26</v>
      </c>
      <c r="H258" s="87">
        <v>300</v>
      </c>
      <c r="I258" s="88"/>
      <c r="J258" s="88"/>
      <c r="K258" s="88"/>
      <c r="L258" s="88"/>
      <c r="M258" s="89">
        <f>I258-K258</f>
        <v>0</v>
      </c>
      <c r="N258" s="4" t="str">
        <f>IF(ISERROR(K258/I258),"",K258/I258)</f>
        <v/>
      </c>
      <c r="O258" s="90">
        <f>I258/E258</f>
        <v>0</v>
      </c>
      <c r="P258" s="90">
        <f>K258/E258</f>
        <v>0</v>
      </c>
      <c r="Q258" s="78">
        <v>3</v>
      </c>
      <c r="R258" s="78">
        <v>2</v>
      </c>
      <c r="S258" s="78" t="s">
        <v>59</v>
      </c>
      <c r="T258" s="5">
        <v>102</v>
      </c>
      <c r="U258" s="9"/>
    </row>
    <row r="259" spans="1:21" s="37" customFormat="1" ht="12" x14ac:dyDescent="0.3">
      <c r="A259" s="73" t="s">
        <v>1914</v>
      </c>
      <c r="B259" s="74" t="s">
        <v>1761</v>
      </c>
      <c r="C259" s="84">
        <v>480</v>
      </c>
      <c r="D259" s="85">
        <v>130.19999999999999</v>
      </c>
      <c r="E259" s="86">
        <v>39</v>
      </c>
      <c r="F259" s="85">
        <v>110.8</v>
      </c>
      <c r="G259" s="17">
        <v>34</v>
      </c>
      <c r="H259" s="87">
        <v>60</v>
      </c>
      <c r="I259" s="88"/>
      <c r="J259" s="88"/>
      <c r="K259" s="88"/>
      <c r="L259" s="88"/>
      <c r="M259" s="89">
        <f>I259-K259</f>
        <v>0</v>
      </c>
      <c r="N259" s="4" t="str">
        <f>IF(ISERROR(K259/I259),"",K259/I259)</f>
        <v/>
      </c>
      <c r="O259" s="90">
        <f>I259/E259</f>
        <v>0</v>
      </c>
      <c r="P259" s="90">
        <f>K259/E259</f>
        <v>0</v>
      </c>
      <c r="Q259" s="78">
        <v>4</v>
      </c>
      <c r="R259" s="78">
        <v>2</v>
      </c>
      <c r="S259" s="78" t="s">
        <v>59</v>
      </c>
      <c r="T259" s="5">
        <v>130</v>
      </c>
      <c r="U259" s="9"/>
    </row>
    <row r="260" spans="1:21" s="37" customFormat="1" ht="12" x14ac:dyDescent="0.3">
      <c r="A260" s="73" t="s">
        <v>1914</v>
      </c>
      <c r="B260" s="74" t="s">
        <v>1761</v>
      </c>
      <c r="C260" s="84">
        <v>480</v>
      </c>
      <c r="D260" s="85">
        <v>150</v>
      </c>
      <c r="E260" s="86">
        <v>45</v>
      </c>
      <c r="F260" s="85">
        <v>128.30000000000001</v>
      </c>
      <c r="G260" s="17">
        <v>39</v>
      </c>
      <c r="H260" s="87">
        <v>60</v>
      </c>
      <c r="I260" s="88"/>
      <c r="J260" s="88"/>
      <c r="K260" s="88"/>
      <c r="L260" s="88"/>
      <c r="M260" s="89">
        <f>I260-K260</f>
        <v>0</v>
      </c>
      <c r="N260" s="4" t="str">
        <f>IF(ISERROR(K260/I260),"",K260/I260)</f>
        <v/>
      </c>
      <c r="O260" s="90">
        <f>I260/E260</f>
        <v>0</v>
      </c>
      <c r="P260" s="90">
        <f>K260/E260</f>
        <v>0</v>
      </c>
      <c r="Q260" s="78">
        <v>4</v>
      </c>
      <c r="R260" s="78">
        <v>2</v>
      </c>
      <c r="S260" s="78" t="s">
        <v>59</v>
      </c>
      <c r="T260" s="5">
        <v>149</v>
      </c>
      <c r="U260" s="9"/>
    </row>
    <row r="261" spans="1:21" s="37" customFormat="1" ht="12" x14ac:dyDescent="0.3">
      <c r="A261" s="73" t="s">
        <v>1914</v>
      </c>
      <c r="B261" s="74" t="s">
        <v>1761</v>
      </c>
      <c r="C261" s="84">
        <v>480</v>
      </c>
      <c r="D261" s="85">
        <v>187.6</v>
      </c>
      <c r="E261" s="86">
        <v>57</v>
      </c>
      <c r="F261" s="85">
        <v>162.9</v>
      </c>
      <c r="G261" s="17">
        <v>49</v>
      </c>
      <c r="H261" s="87">
        <v>60</v>
      </c>
      <c r="I261" s="88"/>
      <c r="J261" s="88"/>
      <c r="K261" s="88"/>
      <c r="L261" s="88"/>
      <c r="M261" s="89">
        <f>I261-K261</f>
        <v>0</v>
      </c>
      <c r="N261" s="4" t="str">
        <f>IF(ISERROR(K261/I261),"",K261/I261)</f>
        <v/>
      </c>
      <c r="O261" s="90">
        <f>I261/E261</f>
        <v>0</v>
      </c>
      <c r="P261" s="90">
        <f>K261/E261</f>
        <v>0</v>
      </c>
      <c r="Q261" s="78">
        <v>4</v>
      </c>
      <c r="R261" s="78">
        <v>2</v>
      </c>
      <c r="S261" s="78" t="s">
        <v>59</v>
      </c>
      <c r="T261" s="5">
        <v>187</v>
      </c>
      <c r="U261" s="9"/>
    </row>
    <row r="262" spans="1:21" s="37" customFormat="1" ht="12" x14ac:dyDescent="0.3">
      <c r="A262" s="73" t="s">
        <v>1918</v>
      </c>
      <c r="B262" s="74" t="s">
        <v>1689</v>
      </c>
      <c r="C262" s="84">
        <v>300</v>
      </c>
      <c r="D262" s="85">
        <v>68</v>
      </c>
      <c r="E262" s="86">
        <v>21</v>
      </c>
      <c r="F262" s="85">
        <v>57.8</v>
      </c>
      <c r="G262" s="17">
        <v>17</v>
      </c>
      <c r="H262" s="87">
        <v>250</v>
      </c>
      <c r="I262" s="88"/>
      <c r="J262" s="88"/>
      <c r="K262" s="88"/>
      <c r="L262" s="88"/>
      <c r="M262" s="89">
        <f>I262-K262</f>
        <v>0</v>
      </c>
      <c r="N262" s="4" t="str">
        <f>IF(ISERROR(K262/I262),"",K262/I262)</f>
        <v/>
      </c>
      <c r="O262" s="90">
        <f>I262/E262</f>
        <v>0</v>
      </c>
      <c r="P262" s="90">
        <f>K262/E262</f>
        <v>0</v>
      </c>
      <c r="Q262" s="78">
        <v>3</v>
      </c>
      <c r="R262" s="78">
        <v>1</v>
      </c>
      <c r="S262" s="78" t="s">
        <v>59</v>
      </c>
      <c r="T262" s="5" t="s">
        <v>192</v>
      </c>
      <c r="U262" s="9"/>
    </row>
    <row r="263" spans="1:21" s="37" customFormat="1" ht="12" x14ac:dyDescent="0.3">
      <c r="A263" s="73" t="s">
        <v>1764</v>
      </c>
      <c r="B263" s="74" t="s">
        <v>1763</v>
      </c>
      <c r="C263" s="84">
        <v>998</v>
      </c>
      <c r="D263" s="85">
        <v>79.3</v>
      </c>
      <c r="E263" s="86">
        <v>24</v>
      </c>
      <c r="F263" s="85">
        <v>60</v>
      </c>
      <c r="G263" s="17">
        <v>18</v>
      </c>
      <c r="H263" s="87">
        <v>156</v>
      </c>
      <c r="I263" s="88"/>
      <c r="J263" s="88"/>
      <c r="K263" s="88"/>
      <c r="L263" s="88"/>
      <c r="M263" s="89">
        <f>I263-K263</f>
        <v>0</v>
      </c>
      <c r="N263" s="4" t="str">
        <f>IF(ISERROR(K263/I263),"",K263/I263)</f>
        <v/>
      </c>
      <c r="O263" s="90">
        <f>I263/E263</f>
        <v>0</v>
      </c>
      <c r="P263" s="90">
        <f>K263/E263</f>
        <v>0</v>
      </c>
      <c r="Q263" s="78">
        <v>3</v>
      </c>
      <c r="R263" s="78">
        <v>2</v>
      </c>
      <c r="S263" s="78" t="s">
        <v>59</v>
      </c>
      <c r="T263" s="5">
        <v>79</v>
      </c>
      <c r="U263" s="9"/>
    </row>
    <row r="264" spans="1:21" s="37" customFormat="1" ht="12" x14ac:dyDescent="0.3">
      <c r="A264" s="73" t="s">
        <v>1764</v>
      </c>
      <c r="B264" s="74" t="s">
        <v>1763</v>
      </c>
      <c r="C264" s="84">
        <v>998</v>
      </c>
      <c r="D264" s="85">
        <v>107.3</v>
      </c>
      <c r="E264" s="86">
        <v>32</v>
      </c>
      <c r="F264" s="85">
        <v>84.9</v>
      </c>
      <c r="G264" s="17">
        <v>26</v>
      </c>
      <c r="H264" s="87">
        <v>355</v>
      </c>
      <c r="I264" s="88"/>
      <c r="J264" s="88"/>
      <c r="K264" s="88"/>
      <c r="L264" s="88"/>
      <c r="M264" s="89">
        <f>I264-K264</f>
        <v>0</v>
      </c>
      <c r="N264" s="4" t="str">
        <f>IF(ISERROR(K264/I264),"",K264/I264)</f>
        <v/>
      </c>
      <c r="O264" s="90">
        <f>I264/E264</f>
        <v>0</v>
      </c>
      <c r="P264" s="90">
        <f>K264/E264</f>
        <v>0</v>
      </c>
      <c r="Q264" s="78">
        <v>3</v>
      </c>
      <c r="R264" s="78">
        <v>2</v>
      </c>
      <c r="S264" s="78" t="s">
        <v>59</v>
      </c>
      <c r="T264" s="5" t="s">
        <v>196</v>
      </c>
      <c r="U264" s="9"/>
    </row>
    <row r="265" spans="1:21" s="37" customFormat="1" ht="12" x14ac:dyDescent="0.3">
      <c r="A265" s="73" t="s">
        <v>1766</v>
      </c>
      <c r="B265" s="74" t="s">
        <v>1767</v>
      </c>
      <c r="C265" s="84">
        <v>212</v>
      </c>
      <c r="D265" s="85">
        <v>100.4</v>
      </c>
      <c r="E265" s="86">
        <v>30</v>
      </c>
      <c r="F265" s="85">
        <v>84.5</v>
      </c>
      <c r="G265" s="17">
        <v>26</v>
      </c>
      <c r="H265" s="87">
        <v>130</v>
      </c>
      <c r="I265" s="88"/>
      <c r="J265" s="88"/>
      <c r="K265" s="88"/>
      <c r="L265" s="88"/>
      <c r="M265" s="89">
        <f>I265-K265</f>
        <v>0</v>
      </c>
      <c r="N265" s="4" t="str">
        <f>IF(ISERROR(K265/I265),"",K265/I265)</f>
        <v/>
      </c>
      <c r="O265" s="90">
        <f>I265/E265</f>
        <v>0</v>
      </c>
      <c r="P265" s="90">
        <f>K265/E265</f>
        <v>0</v>
      </c>
      <c r="Q265" s="78">
        <v>3</v>
      </c>
      <c r="R265" s="78">
        <v>2</v>
      </c>
      <c r="S265" s="78" t="s">
        <v>59</v>
      </c>
      <c r="T265" s="5">
        <v>100</v>
      </c>
      <c r="U265" s="9"/>
    </row>
    <row r="266" spans="1:21" s="37" customFormat="1" ht="12" x14ac:dyDescent="0.3">
      <c r="A266" s="73" t="s">
        <v>1766</v>
      </c>
      <c r="B266" s="74" t="s">
        <v>1767</v>
      </c>
      <c r="C266" s="84">
        <v>212</v>
      </c>
      <c r="D266" s="85">
        <v>136.80000000000001</v>
      </c>
      <c r="E266" s="86">
        <v>41</v>
      </c>
      <c r="F266" s="85">
        <v>115.1</v>
      </c>
      <c r="G266" s="17">
        <v>35</v>
      </c>
      <c r="H266" s="87">
        <v>82</v>
      </c>
      <c r="I266" s="88"/>
      <c r="J266" s="88"/>
      <c r="K266" s="88"/>
      <c r="L266" s="88"/>
      <c r="M266" s="89">
        <f>I266-K266</f>
        <v>0</v>
      </c>
      <c r="N266" s="4" t="str">
        <f>IF(ISERROR(K266/I266),"",K266/I266)</f>
        <v/>
      </c>
      <c r="O266" s="90">
        <f>I266/E266</f>
        <v>0</v>
      </c>
      <c r="P266" s="90">
        <f>K266/E266</f>
        <v>0</v>
      </c>
      <c r="Q266" s="78">
        <v>4</v>
      </c>
      <c r="R266" s="78">
        <v>2</v>
      </c>
      <c r="S266" s="78" t="s">
        <v>59</v>
      </c>
      <c r="T266" s="5">
        <v>136</v>
      </c>
      <c r="U266" s="9"/>
    </row>
    <row r="267" spans="1:21" s="37" customFormat="1" ht="12" x14ac:dyDescent="0.3">
      <c r="A267" s="73" t="s">
        <v>1768</v>
      </c>
      <c r="B267" s="74" t="s">
        <v>1769</v>
      </c>
      <c r="C267" s="84">
        <v>800</v>
      </c>
      <c r="D267" s="85">
        <v>77.3</v>
      </c>
      <c r="E267" s="86">
        <v>23</v>
      </c>
      <c r="F267" s="85">
        <v>60</v>
      </c>
      <c r="G267" s="17">
        <v>18</v>
      </c>
      <c r="H267" s="87">
        <v>106</v>
      </c>
      <c r="I267" s="88"/>
      <c r="J267" s="88"/>
      <c r="K267" s="88"/>
      <c r="L267" s="88"/>
      <c r="M267" s="89">
        <f>I267-K267</f>
        <v>0</v>
      </c>
      <c r="N267" s="4" t="str">
        <f>IF(ISERROR(K267/I267),"",K267/I267)</f>
        <v/>
      </c>
      <c r="O267" s="90">
        <f>I267/E267</f>
        <v>0</v>
      </c>
      <c r="P267" s="90">
        <f>K267/E267</f>
        <v>0</v>
      </c>
      <c r="Q267" s="78">
        <v>3</v>
      </c>
      <c r="R267" s="78">
        <v>2</v>
      </c>
      <c r="S267" s="78" t="s">
        <v>59</v>
      </c>
      <c r="T267" s="5">
        <v>77</v>
      </c>
      <c r="U267" s="9"/>
    </row>
    <row r="268" spans="1:21" s="37" customFormat="1" ht="12" x14ac:dyDescent="0.3">
      <c r="A268" s="73" t="s">
        <v>1772</v>
      </c>
      <c r="B268" s="74" t="s">
        <v>1773</v>
      </c>
      <c r="C268" s="84">
        <v>423</v>
      </c>
      <c r="D268" s="85">
        <v>109.8</v>
      </c>
      <c r="E268" s="86">
        <v>33</v>
      </c>
      <c r="F268" s="85">
        <v>84.7</v>
      </c>
      <c r="G268" s="17">
        <v>26</v>
      </c>
      <c r="H268" s="87">
        <v>38</v>
      </c>
      <c r="I268" s="88"/>
      <c r="J268" s="88"/>
      <c r="K268" s="88"/>
      <c r="L268" s="88"/>
      <c r="M268" s="89">
        <f>I268-K268</f>
        <v>0</v>
      </c>
      <c r="N268" s="4" t="str">
        <f>IF(ISERROR(K268/I268),"",K268/I268)</f>
        <v/>
      </c>
      <c r="O268" s="90">
        <f>I268/E268</f>
        <v>0</v>
      </c>
      <c r="P268" s="90">
        <f>K268/E268</f>
        <v>0</v>
      </c>
      <c r="Q268" s="78">
        <v>3</v>
      </c>
      <c r="R268" s="78">
        <v>2</v>
      </c>
      <c r="S268" s="78" t="s">
        <v>59</v>
      </c>
      <c r="T268" s="5">
        <v>109</v>
      </c>
      <c r="U268" s="9"/>
    </row>
    <row r="269" spans="1:21" s="37" customFormat="1" ht="12" x14ac:dyDescent="0.3">
      <c r="A269" s="73" t="s">
        <v>1919</v>
      </c>
      <c r="B269" s="74" t="s">
        <v>1775</v>
      </c>
      <c r="C269" s="84">
        <v>404</v>
      </c>
      <c r="D269" s="85">
        <v>88.2</v>
      </c>
      <c r="E269" s="86">
        <v>27</v>
      </c>
      <c r="F269" s="85">
        <v>74.2</v>
      </c>
      <c r="G269" s="17">
        <v>22</v>
      </c>
      <c r="H269" s="87">
        <v>116</v>
      </c>
      <c r="I269" s="88"/>
      <c r="J269" s="88"/>
      <c r="K269" s="88"/>
      <c r="L269" s="88"/>
      <c r="M269" s="89">
        <f>I269-K269</f>
        <v>0</v>
      </c>
      <c r="N269" s="4" t="str">
        <f>IF(ISERROR(K269/I269),"",K269/I269)</f>
        <v/>
      </c>
      <c r="O269" s="90">
        <f>I269/E269</f>
        <v>0</v>
      </c>
      <c r="P269" s="90">
        <f>K269/E269</f>
        <v>0</v>
      </c>
      <c r="Q269" s="78">
        <v>3</v>
      </c>
      <c r="R269" s="78">
        <v>2</v>
      </c>
      <c r="S269" s="78" t="s">
        <v>59</v>
      </c>
      <c r="T269" s="5" t="s">
        <v>199</v>
      </c>
      <c r="U269" s="9"/>
    </row>
    <row r="270" spans="1:21" s="37" customFormat="1" ht="12" x14ac:dyDescent="0.3">
      <c r="A270" s="73" t="s">
        <v>1774</v>
      </c>
      <c r="B270" s="74" t="s">
        <v>1775</v>
      </c>
      <c r="C270" s="84">
        <v>404</v>
      </c>
      <c r="D270" s="85">
        <v>149</v>
      </c>
      <c r="E270" s="86">
        <v>45</v>
      </c>
      <c r="F270" s="85">
        <v>126.6</v>
      </c>
      <c r="G270" s="17">
        <v>38</v>
      </c>
      <c r="H270" s="87">
        <v>60</v>
      </c>
      <c r="I270" s="88"/>
      <c r="J270" s="88"/>
      <c r="K270" s="88"/>
      <c r="L270" s="88"/>
      <c r="M270" s="89">
        <f>I270-K270</f>
        <v>0</v>
      </c>
      <c r="N270" s="4" t="str">
        <f>IF(ISERROR(K270/I270),"",K270/I270)</f>
        <v/>
      </c>
      <c r="O270" s="90">
        <f>I270/E270</f>
        <v>0</v>
      </c>
      <c r="P270" s="90">
        <f>K270/E270</f>
        <v>0</v>
      </c>
      <c r="Q270" s="78">
        <v>4</v>
      </c>
      <c r="R270" s="78">
        <v>2</v>
      </c>
      <c r="S270" s="78" t="s">
        <v>59</v>
      </c>
      <c r="T270" s="5">
        <v>148</v>
      </c>
      <c r="U270" s="9"/>
    </row>
    <row r="271" spans="1:21" s="37" customFormat="1" ht="12" x14ac:dyDescent="0.3">
      <c r="A271" s="73" t="s">
        <v>1776</v>
      </c>
      <c r="B271" s="74" t="s">
        <v>1777</v>
      </c>
      <c r="C271" s="84">
        <v>1153</v>
      </c>
      <c r="D271" s="85">
        <v>120.4</v>
      </c>
      <c r="E271" s="86">
        <v>36</v>
      </c>
      <c r="F271" s="85">
        <v>99.9</v>
      </c>
      <c r="G271" s="17">
        <v>30</v>
      </c>
      <c r="H271" s="87">
        <v>148</v>
      </c>
      <c r="I271" s="88"/>
      <c r="J271" s="88"/>
      <c r="K271" s="88"/>
      <c r="L271" s="88"/>
      <c r="M271" s="89">
        <f>I271-K271</f>
        <v>0</v>
      </c>
      <c r="N271" s="4" t="str">
        <f>IF(ISERROR(K271/I271),"",K271/I271)</f>
        <v/>
      </c>
      <c r="O271" s="90">
        <f>I271/E271</f>
        <v>0</v>
      </c>
      <c r="P271" s="90">
        <f>K271/E271</f>
        <v>0</v>
      </c>
      <c r="Q271" s="78">
        <v>3</v>
      </c>
      <c r="R271" s="78">
        <v>2</v>
      </c>
      <c r="S271" s="78" t="s">
        <v>59</v>
      </c>
      <c r="T271" s="5" t="s">
        <v>200</v>
      </c>
      <c r="U271" s="9"/>
    </row>
    <row r="272" spans="1:21" s="37" customFormat="1" ht="12" x14ac:dyDescent="0.3">
      <c r="A272" s="73" t="s">
        <v>1780</v>
      </c>
      <c r="B272" s="74" t="s">
        <v>1781</v>
      </c>
      <c r="C272" s="84">
        <v>305</v>
      </c>
      <c r="D272" s="85">
        <v>108.4</v>
      </c>
      <c r="E272" s="86">
        <v>33</v>
      </c>
      <c r="F272" s="85">
        <v>79</v>
      </c>
      <c r="G272" s="17">
        <v>24</v>
      </c>
      <c r="H272" s="87">
        <v>168</v>
      </c>
      <c r="I272" s="88"/>
      <c r="J272" s="88"/>
      <c r="K272" s="88"/>
      <c r="L272" s="88"/>
      <c r="M272" s="89">
        <f>I272-K272</f>
        <v>0</v>
      </c>
      <c r="N272" s="4" t="str">
        <f>IF(ISERROR(K272/I272),"",K272/I272)</f>
        <v/>
      </c>
      <c r="O272" s="90">
        <f>I272/E272</f>
        <v>0</v>
      </c>
      <c r="P272" s="90">
        <f>K272/E272</f>
        <v>0</v>
      </c>
      <c r="Q272" s="78">
        <v>3</v>
      </c>
      <c r="R272" s="78">
        <v>2</v>
      </c>
      <c r="S272" s="78" t="s">
        <v>59</v>
      </c>
      <c r="T272" s="5">
        <v>108</v>
      </c>
      <c r="U272" s="9"/>
    </row>
    <row r="273" spans="1:21" s="37" customFormat="1" ht="12" x14ac:dyDescent="0.3">
      <c r="A273" s="73" t="s">
        <v>1784</v>
      </c>
      <c r="B273" s="74" t="s">
        <v>1785</v>
      </c>
      <c r="C273" s="84">
        <v>1549</v>
      </c>
      <c r="D273" s="85">
        <v>109.8</v>
      </c>
      <c r="E273" s="86">
        <v>33</v>
      </c>
      <c r="F273" s="85">
        <v>84.9</v>
      </c>
      <c r="G273" s="17">
        <v>26</v>
      </c>
      <c r="H273" s="87">
        <v>524</v>
      </c>
      <c r="I273" s="88"/>
      <c r="J273" s="88"/>
      <c r="K273" s="88">
        <v>29000</v>
      </c>
      <c r="L273" s="88" t="s">
        <v>68</v>
      </c>
      <c r="M273" s="89">
        <f>I273-K273</f>
        <v>-29000</v>
      </c>
      <c r="N273" s="4" t="str">
        <f>IF(ISERROR(K273/I273),"",K273/I273)</f>
        <v/>
      </c>
      <c r="O273" s="90">
        <f>I273/E273</f>
        <v>0</v>
      </c>
      <c r="P273" s="90">
        <f>K273/E273</f>
        <v>878.78787878787875</v>
      </c>
      <c r="Q273" s="78">
        <v>3</v>
      </c>
      <c r="R273" s="78">
        <v>2</v>
      </c>
      <c r="S273" s="78" t="s">
        <v>59</v>
      </c>
      <c r="T273" s="5" t="s">
        <v>86</v>
      </c>
      <c r="U273" s="9"/>
    </row>
    <row r="274" spans="1:21" s="37" customFormat="1" ht="12" x14ac:dyDescent="0.3">
      <c r="A274" s="73" t="s">
        <v>1784</v>
      </c>
      <c r="B274" s="74" t="s">
        <v>1785</v>
      </c>
      <c r="C274" s="84">
        <v>1549</v>
      </c>
      <c r="D274" s="85">
        <v>172.7</v>
      </c>
      <c r="E274" s="86">
        <v>52</v>
      </c>
      <c r="F274" s="85">
        <v>143.4</v>
      </c>
      <c r="G274" s="17">
        <v>43</v>
      </c>
      <c r="H274" s="87">
        <v>80</v>
      </c>
      <c r="I274" s="88"/>
      <c r="J274" s="88"/>
      <c r="K274" s="88"/>
      <c r="L274" s="88"/>
      <c r="M274" s="89">
        <f>I274-K274</f>
        <v>0</v>
      </c>
      <c r="N274" s="4" t="str">
        <f>IF(ISERROR(K274/I274),"",K274/I274)</f>
        <v/>
      </c>
      <c r="O274" s="90">
        <f>I274/E274</f>
        <v>0</v>
      </c>
      <c r="P274" s="90">
        <f>K274/E274</f>
        <v>0</v>
      </c>
      <c r="Q274" s="78">
        <v>4</v>
      </c>
      <c r="R274" s="78">
        <v>2</v>
      </c>
      <c r="S274" s="78" t="s">
        <v>59</v>
      </c>
      <c r="T274" s="5" t="s">
        <v>205</v>
      </c>
      <c r="U274" s="9"/>
    </row>
    <row r="275" spans="1:21" s="37" customFormat="1" ht="12" x14ac:dyDescent="0.3">
      <c r="A275" s="73" t="s">
        <v>1786</v>
      </c>
      <c r="B275" s="74" t="s">
        <v>1758</v>
      </c>
      <c r="C275" s="84">
        <v>228</v>
      </c>
      <c r="D275" s="85">
        <v>112.5</v>
      </c>
      <c r="E275" s="86">
        <v>34</v>
      </c>
      <c r="F275" s="85">
        <v>84.6</v>
      </c>
      <c r="G275" s="17">
        <v>26</v>
      </c>
      <c r="H275" s="87">
        <v>72</v>
      </c>
      <c r="I275" s="88"/>
      <c r="J275" s="88"/>
      <c r="K275" s="88"/>
      <c r="L275" s="88"/>
      <c r="M275" s="89">
        <f>I275-K275</f>
        <v>0</v>
      </c>
      <c r="N275" s="4" t="str">
        <f>IF(ISERROR(K275/I275),"",K275/I275)</f>
        <v/>
      </c>
      <c r="O275" s="90">
        <f>I275/E275</f>
        <v>0</v>
      </c>
      <c r="P275" s="90">
        <f>K275/E275</f>
        <v>0</v>
      </c>
      <c r="Q275" s="78">
        <v>3</v>
      </c>
      <c r="R275" s="78">
        <v>2</v>
      </c>
      <c r="S275" s="78" t="s">
        <v>59</v>
      </c>
      <c r="T275" s="5">
        <v>112</v>
      </c>
      <c r="U275" s="9"/>
    </row>
    <row r="276" spans="1:21" s="37" customFormat="1" ht="12" x14ac:dyDescent="0.3">
      <c r="A276" s="73" t="s">
        <v>1786</v>
      </c>
      <c r="B276" s="74" t="s">
        <v>1758</v>
      </c>
      <c r="C276" s="84">
        <v>228</v>
      </c>
      <c r="D276" s="85">
        <v>142.80000000000001</v>
      </c>
      <c r="E276" s="86">
        <v>43</v>
      </c>
      <c r="F276" s="85">
        <v>115.7</v>
      </c>
      <c r="G276" s="17">
        <v>35</v>
      </c>
      <c r="H276" s="87">
        <v>36</v>
      </c>
      <c r="I276" s="88"/>
      <c r="J276" s="88"/>
      <c r="K276" s="88"/>
      <c r="L276" s="88"/>
      <c r="M276" s="89">
        <f>I276-K276</f>
        <v>0</v>
      </c>
      <c r="N276" s="4" t="str">
        <f>IF(ISERROR(K276/I276),"",K276/I276)</f>
        <v/>
      </c>
      <c r="O276" s="90">
        <f>I276/E276</f>
        <v>0</v>
      </c>
      <c r="P276" s="90">
        <f>K276/E276</f>
        <v>0</v>
      </c>
      <c r="Q276" s="78">
        <v>4</v>
      </c>
      <c r="R276" s="78">
        <v>2</v>
      </c>
      <c r="S276" s="78" t="s">
        <v>59</v>
      </c>
      <c r="T276" s="5">
        <v>142</v>
      </c>
      <c r="U276" s="9"/>
    </row>
    <row r="277" spans="1:21" s="37" customFormat="1" ht="12" x14ac:dyDescent="0.3">
      <c r="A277" s="73" t="s">
        <v>1786</v>
      </c>
      <c r="B277" s="74" t="s">
        <v>1758</v>
      </c>
      <c r="C277" s="84">
        <v>228</v>
      </c>
      <c r="D277" s="85">
        <v>156.1</v>
      </c>
      <c r="E277" s="86">
        <v>47</v>
      </c>
      <c r="F277" s="85">
        <v>124.6</v>
      </c>
      <c r="G277" s="17">
        <v>38</v>
      </c>
      <c r="H277" s="87">
        <v>48</v>
      </c>
      <c r="I277" s="88"/>
      <c r="J277" s="88"/>
      <c r="K277" s="88"/>
      <c r="L277" s="88"/>
      <c r="M277" s="89">
        <f>I277-K277</f>
        <v>0</v>
      </c>
      <c r="N277" s="4" t="str">
        <f>IF(ISERROR(K277/I277),"",K277/I277)</f>
        <v/>
      </c>
      <c r="O277" s="90">
        <f>I277/E277</f>
        <v>0</v>
      </c>
      <c r="P277" s="90">
        <f>K277/E277</f>
        <v>0</v>
      </c>
      <c r="Q277" s="78">
        <v>4</v>
      </c>
      <c r="R277" s="78">
        <v>2</v>
      </c>
      <c r="S277" s="78" t="s">
        <v>59</v>
      </c>
      <c r="T277" s="5">
        <v>156</v>
      </c>
      <c r="U277" s="9"/>
    </row>
    <row r="278" spans="1:21" s="37" customFormat="1" ht="12" x14ac:dyDescent="0.3">
      <c r="A278" s="73" t="s">
        <v>1926</v>
      </c>
      <c r="B278" s="74" t="s">
        <v>1927</v>
      </c>
      <c r="C278" s="84">
        <v>934</v>
      </c>
      <c r="D278" s="85">
        <v>69.599999999999994</v>
      </c>
      <c r="E278" s="86">
        <v>21</v>
      </c>
      <c r="F278" s="85">
        <v>49.8</v>
      </c>
      <c r="G278" s="17">
        <v>15</v>
      </c>
      <c r="H278" s="87">
        <v>934</v>
      </c>
      <c r="I278" s="88"/>
      <c r="J278" s="88"/>
      <c r="K278" s="88"/>
      <c r="L278" s="88"/>
      <c r="M278" s="89">
        <f>I278-K278</f>
        <v>0</v>
      </c>
      <c r="N278" s="4" t="str">
        <f>IF(ISERROR(K278/I278),"",K278/I278)</f>
        <v/>
      </c>
      <c r="O278" s="90">
        <f>I278/E278</f>
        <v>0</v>
      </c>
      <c r="P278" s="90">
        <f>K278/E278</f>
        <v>0</v>
      </c>
      <c r="Q278" s="78">
        <v>2</v>
      </c>
      <c r="R278" s="78">
        <v>1</v>
      </c>
      <c r="S278" s="78" t="s">
        <v>65</v>
      </c>
      <c r="T278" s="5">
        <v>69</v>
      </c>
      <c r="U278" s="9"/>
    </row>
    <row r="279" spans="1:21" s="37" customFormat="1" ht="12" x14ac:dyDescent="0.3">
      <c r="A279" s="73" t="s">
        <v>1928</v>
      </c>
      <c r="B279" s="74" t="s">
        <v>1791</v>
      </c>
      <c r="C279" s="84">
        <v>478</v>
      </c>
      <c r="D279" s="85">
        <v>83</v>
      </c>
      <c r="E279" s="86">
        <v>25</v>
      </c>
      <c r="F279" s="85">
        <v>60</v>
      </c>
      <c r="G279" s="17">
        <v>18</v>
      </c>
      <c r="H279" s="87">
        <v>107</v>
      </c>
      <c r="I279" s="88"/>
      <c r="J279" s="88"/>
      <c r="K279" s="88"/>
      <c r="L279" s="88"/>
      <c r="M279" s="89">
        <f>I279-K279</f>
        <v>0</v>
      </c>
      <c r="N279" s="4" t="str">
        <f>IF(ISERROR(K279/I279),"",K279/I279)</f>
        <v/>
      </c>
      <c r="O279" s="90">
        <f>I279/E279</f>
        <v>0</v>
      </c>
      <c r="P279" s="90">
        <f>K279/E279</f>
        <v>0</v>
      </c>
      <c r="Q279" s="78">
        <v>3</v>
      </c>
      <c r="R279" s="78">
        <v>2</v>
      </c>
      <c r="S279" s="78" t="s">
        <v>59</v>
      </c>
      <c r="T279" s="5" t="s">
        <v>112</v>
      </c>
      <c r="U279" s="9"/>
    </row>
    <row r="280" spans="1:21" s="37" customFormat="1" ht="12" x14ac:dyDescent="0.3">
      <c r="A280" s="73" t="s">
        <v>1928</v>
      </c>
      <c r="B280" s="74" t="s">
        <v>1929</v>
      </c>
      <c r="C280" s="84">
        <v>478</v>
      </c>
      <c r="D280" s="85">
        <v>105.2</v>
      </c>
      <c r="E280" s="86">
        <v>32</v>
      </c>
      <c r="F280" s="85">
        <v>77</v>
      </c>
      <c r="G280" s="17">
        <v>23</v>
      </c>
      <c r="H280" s="87">
        <v>275</v>
      </c>
      <c r="I280" s="88"/>
      <c r="J280" s="88"/>
      <c r="K280" s="88"/>
      <c r="L280" s="88"/>
      <c r="M280" s="89">
        <f>I280-K280</f>
        <v>0</v>
      </c>
      <c r="N280" s="4" t="str">
        <f>IF(ISERROR(K280/I280),"",K280/I280)</f>
        <v/>
      </c>
      <c r="O280" s="90">
        <f>I280/E280</f>
        <v>0</v>
      </c>
      <c r="P280" s="90">
        <f>K280/E280</f>
        <v>0</v>
      </c>
      <c r="Q280" s="78">
        <v>3</v>
      </c>
      <c r="R280" s="78">
        <v>2</v>
      </c>
      <c r="S280" s="78" t="s">
        <v>59</v>
      </c>
      <c r="T280" s="5" t="s">
        <v>215</v>
      </c>
      <c r="U280" s="9"/>
    </row>
    <row r="281" spans="1:21" s="37" customFormat="1" ht="12" x14ac:dyDescent="0.3">
      <c r="A281" s="73" t="s">
        <v>1930</v>
      </c>
      <c r="B281" s="74" t="s">
        <v>1931</v>
      </c>
      <c r="C281" s="84">
        <v>221</v>
      </c>
      <c r="D281" s="85">
        <v>112.7</v>
      </c>
      <c r="E281" s="86">
        <v>34</v>
      </c>
      <c r="F281" s="85">
        <v>84.5</v>
      </c>
      <c r="G281" s="17">
        <v>26</v>
      </c>
      <c r="H281" s="87">
        <v>195</v>
      </c>
      <c r="I281" s="88"/>
      <c r="J281" s="88"/>
      <c r="K281" s="88"/>
      <c r="L281" s="88"/>
      <c r="M281" s="89">
        <f>I281-K281</f>
        <v>0</v>
      </c>
      <c r="N281" s="4" t="str">
        <f>IF(ISERROR(K281/I281),"",K281/I281)</f>
        <v/>
      </c>
      <c r="O281" s="90">
        <f>I281/E281</f>
        <v>0</v>
      </c>
      <c r="P281" s="90">
        <f>K281/E281</f>
        <v>0</v>
      </c>
      <c r="Q281" s="78">
        <v>3</v>
      </c>
      <c r="R281" s="78">
        <v>2</v>
      </c>
      <c r="S281" s="78" t="s">
        <v>59</v>
      </c>
      <c r="T281" s="5">
        <v>112</v>
      </c>
      <c r="U281" s="9"/>
    </row>
    <row r="282" spans="1:21" s="37" customFormat="1" ht="12" x14ac:dyDescent="0.3">
      <c r="A282" s="73" t="s">
        <v>1934</v>
      </c>
      <c r="B282" s="74" t="s">
        <v>1935</v>
      </c>
      <c r="C282" s="84">
        <v>240</v>
      </c>
      <c r="D282" s="85">
        <v>98.9</v>
      </c>
      <c r="E282" s="86">
        <v>30</v>
      </c>
      <c r="F282" s="85">
        <v>79.599999999999994</v>
      </c>
      <c r="G282" s="17">
        <v>24</v>
      </c>
      <c r="H282" s="87">
        <v>30</v>
      </c>
      <c r="I282" s="88"/>
      <c r="J282" s="88"/>
      <c r="K282" s="88"/>
      <c r="L282" s="88"/>
      <c r="M282" s="89">
        <f>I282-K282</f>
        <v>0</v>
      </c>
      <c r="N282" s="4" t="str">
        <f>IF(ISERROR(K282/I282),"",K282/I282)</f>
        <v/>
      </c>
      <c r="O282" s="90">
        <f>I282/E282</f>
        <v>0</v>
      </c>
      <c r="P282" s="90">
        <f>K282/E282</f>
        <v>0</v>
      </c>
      <c r="Q282" s="78">
        <v>3</v>
      </c>
      <c r="R282" s="78">
        <v>2</v>
      </c>
      <c r="S282" s="78" t="s">
        <v>59</v>
      </c>
      <c r="T282" s="5">
        <v>98</v>
      </c>
      <c r="U282" s="9"/>
    </row>
    <row r="283" spans="1:21" s="37" customFormat="1" ht="12" x14ac:dyDescent="0.3">
      <c r="A283" s="73" t="s">
        <v>1934</v>
      </c>
      <c r="B283" s="74" t="s">
        <v>1771</v>
      </c>
      <c r="C283" s="84">
        <v>240</v>
      </c>
      <c r="D283" s="85">
        <v>105.5</v>
      </c>
      <c r="E283" s="86">
        <v>32</v>
      </c>
      <c r="F283" s="85">
        <v>84.9</v>
      </c>
      <c r="G283" s="17">
        <v>26</v>
      </c>
      <c r="H283" s="87">
        <v>202</v>
      </c>
      <c r="I283" s="88"/>
      <c r="J283" s="88"/>
      <c r="K283" s="88"/>
      <c r="L283" s="88"/>
      <c r="M283" s="89">
        <f>I283-K283</f>
        <v>0</v>
      </c>
      <c r="N283" s="4" t="str">
        <f>IF(ISERROR(K283/I283),"",K283/I283)</f>
        <v/>
      </c>
      <c r="O283" s="90">
        <f>I283/E283</f>
        <v>0</v>
      </c>
      <c r="P283" s="90">
        <f>K283/E283</f>
        <v>0</v>
      </c>
      <c r="Q283" s="78">
        <v>3</v>
      </c>
      <c r="R283" s="78">
        <v>2</v>
      </c>
      <c r="S283" s="78" t="s">
        <v>59</v>
      </c>
      <c r="T283" s="5">
        <v>105</v>
      </c>
      <c r="U283" s="9"/>
    </row>
    <row r="284" spans="1:21" s="37" customFormat="1" ht="12" x14ac:dyDescent="0.3">
      <c r="A284" s="73" t="s">
        <v>1936</v>
      </c>
      <c r="B284" s="74" t="s">
        <v>1706</v>
      </c>
      <c r="C284" s="84">
        <v>241</v>
      </c>
      <c r="D284" s="85">
        <v>88.3</v>
      </c>
      <c r="E284" s="86">
        <v>27</v>
      </c>
      <c r="F284" s="85">
        <v>70.5</v>
      </c>
      <c r="G284" s="17">
        <v>21</v>
      </c>
      <c r="H284" s="87">
        <v>45</v>
      </c>
      <c r="I284" s="88"/>
      <c r="J284" s="88"/>
      <c r="K284" s="88"/>
      <c r="L284" s="88"/>
      <c r="M284" s="89">
        <f>I284-K284</f>
        <v>0</v>
      </c>
      <c r="N284" s="4" t="str">
        <f>IF(ISERROR(K284/I284),"",K284/I284)</f>
        <v/>
      </c>
      <c r="O284" s="90">
        <f>I284/E284</f>
        <v>0</v>
      </c>
      <c r="P284" s="90">
        <f>K284/E284</f>
        <v>0</v>
      </c>
      <c r="Q284" s="78">
        <v>3</v>
      </c>
      <c r="R284" s="78">
        <v>1</v>
      </c>
      <c r="S284" s="78" t="s">
        <v>59</v>
      </c>
      <c r="T284" s="5">
        <v>88</v>
      </c>
      <c r="U284" s="9"/>
    </row>
    <row r="285" spans="1:21" s="37" customFormat="1" ht="12" x14ac:dyDescent="0.3">
      <c r="A285" s="73" t="s">
        <v>1937</v>
      </c>
      <c r="B285" s="74" t="s">
        <v>1706</v>
      </c>
      <c r="C285" s="84">
        <v>241</v>
      </c>
      <c r="D285" s="85">
        <v>105.7</v>
      </c>
      <c r="E285" s="86">
        <v>32</v>
      </c>
      <c r="F285" s="85">
        <v>84.4</v>
      </c>
      <c r="G285" s="17">
        <v>26</v>
      </c>
      <c r="H285" s="87">
        <v>151</v>
      </c>
      <c r="I285" s="88"/>
      <c r="J285" s="88"/>
      <c r="K285" s="88"/>
      <c r="L285" s="88"/>
      <c r="M285" s="89">
        <f>I285-K285</f>
        <v>0</v>
      </c>
      <c r="N285" s="4" t="str">
        <f>IF(ISERROR(K285/I285),"",K285/I285)</f>
        <v/>
      </c>
      <c r="O285" s="90">
        <f>I285/E285</f>
        <v>0</v>
      </c>
      <c r="P285" s="90">
        <f>K285/E285</f>
        <v>0</v>
      </c>
      <c r="Q285" s="78">
        <v>3</v>
      </c>
      <c r="R285" s="78">
        <v>2</v>
      </c>
      <c r="S285" s="78" t="s">
        <v>59</v>
      </c>
      <c r="T285" s="5">
        <v>105</v>
      </c>
      <c r="U285" s="9"/>
    </row>
    <row r="286" spans="1:21" s="37" customFormat="1" ht="12" x14ac:dyDescent="0.3">
      <c r="A286" s="73" t="s">
        <v>1938</v>
      </c>
      <c r="B286" s="74" t="s">
        <v>1939</v>
      </c>
      <c r="C286" s="84">
        <v>241</v>
      </c>
      <c r="D286" s="85">
        <v>150.4</v>
      </c>
      <c r="E286" s="86">
        <v>46</v>
      </c>
      <c r="F286" s="85">
        <v>127.3</v>
      </c>
      <c r="G286" s="17">
        <v>38</v>
      </c>
      <c r="H286" s="87">
        <v>45</v>
      </c>
      <c r="I286" s="88"/>
      <c r="J286" s="88"/>
      <c r="K286" s="88"/>
      <c r="L286" s="88"/>
      <c r="M286" s="89">
        <f>I286-K286</f>
        <v>0</v>
      </c>
      <c r="N286" s="4" t="str">
        <f>IF(ISERROR(K286/I286),"",K286/I286)</f>
        <v/>
      </c>
      <c r="O286" s="90">
        <f>I286/E286</f>
        <v>0</v>
      </c>
      <c r="P286" s="90">
        <f>K286/E286</f>
        <v>0</v>
      </c>
      <c r="Q286" s="78">
        <v>4</v>
      </c>
      <c r="R286" s="78">
        <v>2</v>
      </c>
      <c r="S286" s="78" t="s">
        <v>59</v>
      </c>
      <c r="T286" s="5">
        <v>150</v>
      </c>
      <c r="U286" s="9"/>
    </row>
    <row r="287" spans="1:21" s="37" customFormat="1" ht="12" x14ac:dyDescent="0.3">
      <c r="A287" s="73" t="s">
        <v>1940</v>
      </c>
      <c r="B287" s="74" t="s">
        <v>1941</v>
      </c>
      <c r="C287" s="84">
        <v>250</v>
      </c>
      <c r="D287" s="85">
        <v>77.7</v>
      </c>
      <c r="E287" s="86">
        <v>24</v>
      </c>
      <c r="F287" s="85">
        <v>55.8</v>
      </c>
      <c r="G287" s="17">
        <v>17</v>
      </c>
      <c r="H287" s="87">
        <v>70</v>
      </c>
      <c r="I287" s="88"/>
      <c r="J287" s="88"/>
      <c r="K287" s="88"/>
      <c r="L287" s="88"/>
      <c r="M287" s="89">
        <f>I287-K287</f>
        <v>0</v>
      </c>
      <c r="N287" s="4" t="str">
        <f>IF(ISERROR(K287/I287),"",K287/I287)</f>
        <v/>
      </c>
      <c r="O287" s="90">
        <f>I287/E287</f>
        <v>0</v>
      </c>
      <c r="P287" s="90">
        <f>K287/E287</f>
        <v>0</v>
      </c>
      <c r="Q287" s="78">
        <v>3</v>
      </c>
      <c r="R287" s="78">
        <v>2</v>
      </c>
      <c r="S287" s="78" t="s">
        <v>59</v>
      </c>
      <c r="T287" s="5">
        <v>77</v>
      </c>
      <c r="U287" s="9"/>
    </row>
    <row r="288" spans="1:21" s="37" customFormat="1" ht="12" x14ac:dyDescent="0.3">
      <c r="A288" s="73" t="s">
        <v>1942</v>
      </c>
      <c r="B288" s="74" t="s">
        <v>1941</v>
      </c>
      <c r="C288" s="84">
        <v>250</v>
      </c>
      <c r="D288" s="85">
        <v>88</v>
      </c>
      <c r="E288" s="86">
        <v>27</v>
      </c>
      <c r="F288" s="85">
        <v>63.9</v>
      </c>
      <c r="G288" s="17">
        <v>19</v>
      </c>
      <c r="H288" s="87">
        <v>115</v>
      </c>
      <c r="I288" s="88"/>
      <c r="J288" s="88"/>
      <c r="K288" s="88"/>
      <c r="L288" s="88"/>
      <c r="M288" s="89">
        <f>I288-K288</f>
        <v>0</v>
      </c>
      <c r="N288" s="4" t="str">
        <f>IF(ISERROR(K288/I288),"",K288/I288)</f>
        <v/>
      </c>
      <c r="O288" s="90">
        <f>I288/E288</f>
        <v>0</v>
      </c>
      <c r="P288" s="90">
        <f>K288/E288</f>
        <v>0</v>
      </c>
      <c r="Q288" s="78">
        <v>3</v>
      </c>
      <c r="R288" s="78">
        <v>2</v>
      </c>
      <c r="S288" s="78" t="s">
        <v>59</v>
      </c>
      <c r="T288" s="5">
        <v>88</v>
      </c>
      <c r="U288" s="9"/>
    </row>
    <row r="289" spans="1:21" s="37" customFormat="1" ht="12" x14ac:dyDescent="0.3">
      <c r="A289" s="73" t="s">
        <v>1942</v>
      </c>
      <c r="B289" s="74" t="s">
        <v>1943</v>
      </c>
      <c r="C289" s="84">
        <v>250</v>
      </c>
      <c r="D289" s="85">
        <v>101.4</v>
      </c>
      <c r="E289" s="86">
        <v>31</v>
      </c>
      <c r="F289" s="85">
        <v>73.3</v>
      </c>
      <c r="G289" s="17">
        <v>22</v>
      </c>
      <c r="H289" s="87">
        <v>36</v>
      </c>
      <c r="I289" s="88"/>
      <c r="J289" s="88"/>
      <c r="K289" s="88"/>
      <c r="L289" s="88"/>
      <c r="M289" s="89">
        <f>I289-K289</f>
        <v>0</v>
      </c>
      <c r="N289" s="4" t="str">
        <f>IF(ISERROR(K289/I289),"",K289/I289)</f>
        <v/>
      </c>
      <c r="O289" s="90">
        <f>I289/E289</f>
        <v>0</v>
      </c>
      <c r="P289" s="90">
        <f>K289/E289</f>
        <v>0</v>
      </c>
      <c r="Q289" s="78">
        <v>3</v>
      </c>
      <c r="R289" s="78">
        <v>2</v>
      </c>
      <c r="S289" s="78" t="s">
        <v>59</v>
      </c>
      <c r="T289" s="5">
        <v>101</v>
      </c>
      <c r="U289" s="9"/>
    </row>
    <row r="290" spans="1:21" s="37" customFormat="1" ht="12" x14ac:dyDescent="0.3">
      <c r="A290" s="73" t="s">
        <v>1944</v>
      </c>
      <c r="B290" s="74" t="s">
        <v>1945</v>
      </c>
      <c r="C290" s="84">
        <v>470</v>
      </c>
      <c r="D290" s="85">
        <v>107.6</v>
      </c>
      <c r="E290" s="86">
        <v>33</v>
      </c>
      <c r="F290" s="85">
        <v>84.9</v>
      </c>
      <c r="G290" s="17">
        <v>26</v>
      </c>
      <c r="H290" s="87">
        <v>187</v>
      </c>
      <c r="I290" s="88"/>
      <c r="J290" s="88"/>
      <c r="K290" s="88"/>
      <c r="L290" s="88"/>
      <c r="M290" s="89">
        <f>I290-K290</f>
        <v>0</v>
      </c>
      <c r="N290" s="4" t="str">
        <f>IF(ISERROR(K290/I290),"",K290/I290)</f>
        <v/>
      </c>
      <c r="O290" s="90">
        <f>I290/E290</f>
        <v>0</v>
      </c>
      <c r="P290" s="90">
        <f>K290/E290</f>
        <v>0</v>
      </c>
      <c r="Q290" s="78">
        <v>3</v>
      </c>
      <c r="R290" s="78">
        <v>2</v>
      </c>
      <c r="S290" s="78" t="s">
        <v>59</v>
      </c>
      <c r="T290" s="5" t="s">
        <v>196</v>
      </c>
      <c r="U290" s="9"/>
    </row>
    <row r="291" spans="1:21" s="37" customFormat="1" ht="12" x14ac:dyDescent="0.3">
      <c r="A291" s="73" t="s">
        <v>1951</v>
      </c>
      <c r="B291" s="74" t="s">
        <v>1952</v>
      </c>
      <c r="C291" s="84">
        <v>457</v>
      </c>
      <c r="D291" s="85">
        <v>112.6</v>
      </c>
      <c r="E291" s="86">
        <v>34</v>
      </c>
      <c r="F291" s="85">
        <v>84.8</v>
      </c>
      <c r="G291" s="17">
        <v>26</v>
      </c>
      <c r="H291" s="87">
        <v>256</v>
      </c>
      <c r="I291" s="88"/>
      <c r="J291" s="88"/>
      <c r="K291" s="88"/>
      <c r="L291" s="88"/>
      <c r="M291" s="89">
        <f>I291-K291</f>
        <v>0</v>
      </c>
      <c r="N291" s="4" t="str">
        <f>IF(ISERROR(K291/I291),"",K291/I291)</f>
        <v/>
      </c>
      <c r="O291" s="90">
        <f>I291/E291</f>
        <v>0</v>
      </c>
      <c r="P291" s="90">
        <f>K291/E291</f>
        <v>0</v>
      </c>
      <c r="Q291" s="78">
        <v>4</v>
      </c>
      <c r="R291" s="78">
        <v>2</v>
      </c>
      <c r="S291" s="78" t="s">
        <v>59</v>
      </c>
      <c r="T291" s="5">
        <v>112</v>
      </c>
      <c r="U291" s="9"/>
    </row>
    <row r="292" spans="1:21" s="37" customFormat="1" ht="12" x14ac:dyDescent="0.3">
      <c r="A292" s="73" t="s">
        <v>1960</v>
      </c>
      <c r="B292" s="74" t="s">
        <v>1961</v>
      </c>
      <c r="C292" s="84">
        <v>494</v>
      </c>
      <c r="D292" s="85">
        <v>129.69999999999999</v>
      </c>
      <c r="E292" s="86">
        <v>39</v>
      </c>
      <c r="F292" s="85">
        <v>106.2</v>
      </c>
      <c r="G292" s="17">
        <v>32</v>
      </c>
      <c r="H292" s="87">
        <v>83</v>
      </c>
      <c r="I292" s="88"/>
      <c r="J292" s="88"/>
      <c r="K292" s="88"/>
      <c r="L292" s="88"/>
      <c r="M292" s="89">
        <f>I292-K292</f>
        <v>0</v>
      </c>
      <c r="N292" s="4" t="str">
        <f>IF(ISERROR(K292/I292),"",K292/I292)</f>
        <v/>
      </c>
      <c r="O292" s="90">
        <f>I292/E292</f>
        <v>0</v>
      </c>
      <c r="P292" s="90">
        <f>K292/E292</f>
        <v>0</v>
      </c>
      <c r="Q292" s="78">
        <v>4</v>
      </c>
      <c r="R292" s="78">
        <v>2</v>
      </c>
      <c r="S292" s="78" t="s">
        <v>59</v>
      </c>
      <c r="T292" s="5" t="s">
        <v>223</v>
      </c>
      <c r="U292" s="9"/>
    </row>
    <row r="293" spans="1:21" s="37" customFormat="1" ht="12" x14ac:dyDescent="0.3">
      <c r="A293" s="73" t="s">
        <v>1962</v>
      </c>
      <c r="B293" s="74" t="s">
        <v>1963</v>
      </c>
      <c r="C293" s="84">
        <v>494</v>
      </c>
      <c r="D293" s="85">
        <v>143.6</v>
      </c>
      <c r="E293" s="86">
        <v>43</v>
      </c>
      <c r="F293" s="85">
        <v>119.5</v>
      </c>
      <c r="G293" s="17">
        <v>36</v>
      </c>
      <c r="H293" s="87">
        <v>165</v>
      </c>
      <c r="I293" s="88"/>
      <c r="J293" s="88"/>
      <c r="K293" s="88"/>
      <c r="L293" s="88"/>
      <c r="M293" s="89">
        <f>I293-K293</f>
        <v>0</v>
      </c>
      <c r="N293" s="4" t="str">
        <f>IF(ISERROR(K293/I293),"",K293/I293)</f>
        <v/>
      </c>
      <c r="O293" s="90">
        <f>I293/E293</f>
        <v>0</v>
      </c>
      <c r="P293" s="90">
        <f>K293/E293</f>
        <v>0</v>
      </c>
      <c r="Q293" s="78">
        <v>5</v>
      </c>
      <c r="R293" s="78">
        <v>2</v>
      </c>
      <c r="S293" s="78" t="s">
        <v>59</v>
      </c>
      <c r="T293" s="5" t="s">
        <v>197</v>
      </c>
      <c r="U293" s="9"/>
    </row>
    <row r="294" spans="1:21" s="37" customFormat="1" ht="12" x14ac:dyDescent="0.3">
      <c r="A294" s="73" t="s">
        <v>1795</v>
      </c>
      <c r="B294" s="74" t="s">
        <v>1796</v>
      </c>
      <c r="C294" s="84">
        <v>643</v>
      </c>
      <c r="D294" s="85">
        <v>104.4</v>
      </c>
      <c r="E294" s="86">
        <v>32</v>
      </c>
      <c r="F294" s="85">
        <v>85</v>
      </c>
      <c r="G294" s="17">
        <v>26</v>
      </c>
      <c r="H294" s="87">
        <v>264</v>
      </c>
      <c r="I294" s="88"/>
      <c r="J294" s="88"/>
      <c r="K294" s="88"/>
      <c r="L294" s="88"/>
      <c r="M294" s="89">
        <f>I294-K294</f>
        <v>0</v>
      </c>
      <c r="N294" s="4" t="str">
        <f>IF(ISERROR(K294/I294),"",K294/I294)</f>
        <v/>
      </c>
      <c r="O294" s="90">
        <f>I294/E294</f>
        <v>0</v>
      </c>
      <c r="P294" s="90">
        <f>K294/E294</f>
        <v>0</v>
      </c>
      <c r="Q294" s="78">
        <v>3</v>
      </c>
      <c r="R294" s="78">
        <v>2</v>
      </c>
      <c r="S294" s="78" t="s">
        <v>59</v>
      </c>
      <c r="T294" s="5">
        <v>104</v>
      </c>
      <c r="U294" s="9"/>
    </row>
    <row r="295" spans="1:21" s="37" customFormat="1" ht="12" x14ac:dyDescent="0.3">
      <c r="A295" s="73" t="s">
        <v>1795</v>
      </c>
      <c r="B295" s="74" t="s">
        <v>1796</v>
      </c>
      <c r="C295" s="84">
        <v>643</v>
      </c>
      <c r="D295" s="85">
        <v>123.8</v>
      </c>
      <c r="E295" s="86">
        <v>37</v>
      </c>
      <c r="F295" s="85">
        <v>101.9</v>
      </c>
      <c r="G295" s="17">
        <v>31</v>
      </c>
      <c r="H295" s="87">
        <v>36</v>
      </c>
      <c r="I295" s="88"/>
      <c r="J295" s="88"/>
      <c r="K295" s="88"/>
      <c r="L295" s="88"/>
      <c r="M295" s="89">
        <f>I295-K295</f>
        <v>0</v>
      </c>
      <c r="N295" s="4" t="str">
        <f>IF(ISERROR(K295/I295),"",K295/I295)</f>
        <v/>
      </c>
      <c r="O295" s="90">
        <f>I295/E295</f>
        <v>0</v>
      </c>
      <c r="P295" s="90">
        <f>K295/E295</f>
        <v>0</v>
      </c>
      <c r="Q295" s="78">
        <v>4</v>
      </c>
      <c r="R295" s="78">
        <v>2</v>
      </c>
      <c r="S295" s="78" t="s">
        <v>59</v>
      </c>
      <c r="T295" s="5">
        <v>123</v>
      </c>
      <c r="U295" s="9"/>
    </row>
    <row r="296" spans="1:21" s="37" customFormat="1" ht="12" x14ac:dyDescent="0.3">
      <c r="A296" s="73" t="s">
        <v>1836</v>
      </c>
      <c r="B296" s="74" t="s">
        <v>1796</v>
      </c>
      <c r="C296" s="84">
        <v>2102</v>
      </c>
      <c r="D296" s="85">
        <v>122.8</v>
      </c>
      <c r="E296" s="86">
        <v>37</v>
      </c>
      <c r="F296" s="85">
        <v>101.9</v>
      </c>
      <c r="G296" s="17">
        <v>31</v>
      </c>
      <c r="H296" s="87">
        <v>80</v>
      </c>
      <c r="I296" s="88"/>
      <c r="J296" s="88"/>
      <c r="K296" s="88"/>
      <c r="L296" s="88"/>
      <c r="M296" s="89">
        <f>I296-K296</f>
        <v>0</v>
      </c>
      <c r="N296" s="4" t="str">
        <f>IF(ISERROR(K296/I296),"",K296/I296)</f>
        <v/>
      </c>
      <c r="O296" s="90">
        <f>I296/E296</f>
        <v>0</v>
      </c>
      <c r="P296" s="90">
        <f>K296/E296</f>
        <v>0</v>
      </c>
      <c r="Q296" s="78">
        <v>4</v>
      </c>
      <c r="R296" s="78">
        <v>2</v>
      </c>
      <c r="S296" s="78" t="s">
        <v>59</v>
      </c>
      <c r="T296" s="5">
        <v>122</v>
      </c>
      <c r="U296" s="9"/>
    </row>
    <row r="297" spans="1:21" s="37" customFormat="1" ht="12" x14ac:dyDescent="0.3">
      <c r="A297" s="73" t="s">
        <v>1836</v>
      </c>
      <c r="B297" s="74" t="s">
        <v>1796</v>
      </c>
      <c r="C297" s="84">
        <v>2102</v>
      </c>
      <c r="D297" s="85">
        <v>157.30000000000001</v>
      </c>
      <c r="E297" s="86">
        <v>48</v>
      </c>
      <c r="F297" s="85">
        <v>134.30000000000001</v>
      </c>
      <c r="G297" s="17">
        <v>41</v>
      </c>
      <c r="H297" s="87">
        <v>240</v>
      </c>
      <c r="I297" s="88"/>
      <c r="J297" s="88"/>
      <c r="K297" s="88"/>
      <c r="L297" s="88"/>
      <c r="M297" s="89">
        <f>I297-K297</f>
        <v>0</v>
      </c>
      <c r="N297" s="4" t="str">
        <f>IF(ISERROR(K297/I297),"",K297/I297)</f>
        <v/>
      </c>
      <c r="O297" s="90">
        <f>I297/E297</f>
        <v>0</v>
      </c>
      <c r="P297" s="90">
        <f>K297/E297</f>
        <v>0</v>
      </c>
      <c r="Q297" s="78">
        <v>4</v>
      </c>
      <c r="R297" s="78">
        <v>2</v>
      </c>
      <c r="S297" s="78" t="s">
        <v>59</v>
      </c>
      <c r="T297" s="5">
        <v>157</v>
      </c>
      <c r="U297" s="9"/>
    </row>
    <row r="298" spans="1:21" s="37" customFormat="1" ht="12" x14ac:dyDescent="0.3">
      <c r="A298" s="73" t="s">
        <v>1836</v>
      </c>
      <c r="B298" s="74" t="s">
        <v>1796</v>
      </c>
      <c r="C298" s="84">
        <v>2102</v>
      </c>
      <c r="D298" s="85">
        <v>216.9</v>
      </c>
      <c r="E298" s="86">
        <v>66</v>
      </c>
      <c r="F298" s="85">
        <v>188</v>
      </c>
      <c r="G298" s="17">
        <v>57</v>
      </c>
      <c r="H298" s="87">
        <v>68</v>
      </c>
      <c r="I298" s="88"/>
      <c r="J298" s="88"/>
      <c r="K298" s="88"/>
      <c r="L298" s="88"/>
      <c r="M298" s="89">
        <f>I298-K298</f>
        <v>0</v>
      </c>
      <c r="N298" s="4" t="str">
        <f>IF(ISERROR(K298/I298),"",K298/I298)</f>
        <v/>
      </c>
      <c r="O298" s="90">
        <f>I298/E298</f>
        <v>0</v>
      </c>
      <c r="P298" s="90">
        <f>K298/E298</f>
        <v>0</v>
      </c>
      <c r="Q298" s="78">
        <v>4</v>
      </c>
      <c r="R298" s="78">
        <v>2</v>
      </c>
      <c r="S298" s="78" t="s">
        <v>59</v>
      </c>
      <c r="T298" s="5">
        <v>216</v>
      </c>
      <c r="U298" s="9"/>
    </row>
    <row r="299" spans="1:21" s="37" customFormat="1" ht="12" x14ac:dyDescent="0.3">
      <c r="A299" s="73" t="s">
        <v>1977</v>
      </c>
      <c r="B299" s="74" t="s">
        <v>1978</v>
      </c>
      <c r="C299" s="84">
        <v>720</v>
      </c>
      <c r="D299" s="85">
        <v>110.4</v>
      </c>
      <c r="E299" s="86">
        <v>33</v>
      </c>
      <c r="F299" s="85">
        <v>84.8</v>
      </c>
      <c r="G299" s="17">
        <v>26</v>
      </c>
      <c r="H299" s="87">
        <v>352</v>
      </c>
      <c r="I299" s="88"/>
      <c r="J299" s="88"/>
      <c r="K299" s="88"/>
      <c r="L299" s="88"/>
      <c r="M299" s="89">
        <f>I299-K299</f>
        <v>0</v>
      </c>
      <c r="N299" s="4" t="str">
        <f>IF(ISERROR(K299/I299),"",K299/I299)</f>
        <v/>
      </c>
      <c r="O299" s="90">
        <f>I299/E299</f>
        <v>0</v>
      </c>
      <c r="P299" s="90">
        <f>K299/E299</f>
        <v>0</v>
      </c>
      <c r="Q299" s="78">
        <v>3</v>
      </c>
      <c r="R299" s="78">
        <v>2</v>
      </c>
      <c r="S299" s="78" t="s">
        <v>59</v>
      </c>
      <c r="T299" s="5">
        <v>110</v>
      </c>
      <c r="U299" s="9"/>
    </row>
    <row r="300" spans="1:21" s="37" customFormat="1" ht="12" x14ac:dyDescent="0.3">
      <c r="A300" s="73" t="s">
        <v>1977</v>
      </c>
      <c r="B300" s="74" t="s">
        <v>1978</v>
      </c>
      <c r="C300" s="84">
        <v>720</v>
      </c>
      <c r="D300" s="85">
        <v>157.69999999999999</v>
      </c>
      <c r="E300" s="86">
        <v>48</v>
      </c>
      <c r="F300" s="85">
        <v>126.1</v>
      </c>
      <c r="G300" s="17">
        <v>38</v>
      </c>
      <c r="H300" s="87">
        <v>288</v>
      </c>
      <c r="I300" s="88"/>
      <c r="J300" s="88"/>
      <c r="K300" s="88"/>
      <c r="L300" s="88"/>
      <c r="M300" s="89">
        <f>I300-K300</f>
        <v>0</v>
      </c>
      <c r="N300" s="4" t="str">
        <f>IF(ISERROR(K300/I300),"",K300/I300)</f>
        <v/>
      </c>
      <c r="O300" s="90">
        <f>I300/E300</f>
        <v>0</v>
      </c>
      <c r="P300" s="90">
        <f>K300/E300</f>
        <v>0</v>
      </c>
      <c r="Q300" s="78">
        <v>4</v>
      </c>
      <c r="R300" s="78">
        <v>2</v>
      </c>
      <c r="S300" s="78" t="s">
        <v>59</v>
      </c>
      <c r="T300" s="5">
        <v>157</v>
      </c>
      <c r="U300" s="9"/>
    </row>
    <row r="301" spans="1:21" s="37" customFormat="1" ht="12" x14ac:dyDescent="0.3">
      <c r="A301" s="73" t="s">
        <v>1979</v>
      </c>
      <c r="B301" s="74" t="s">
        <v>1980</v>
      </c>
      <c r="C301" s="84">
        <v>220</v>
      </c>
      <c r="D301" s="85">
        <v>102.4</v>
      </c>
      <c r="E301" s="86">
        <v>31</v>
      </c>
      <c r="F301" s="85">
        <v>85</v>
      </c>
      <c r="G301" s="17">
        <v>26</v>
      </c>
      <c r="H301" s="87">
        <v>111</v>
      </c>
      <c r="I301" s="88"/>
      <c r="J301" s="88"/>
      <c r="K301" s="88"/>
      <c r="L301" s="88"/>
      <c r="M301" s="89">
        <f>I301-K301</f>
        <v>0</v>
      </c>
      <c r="N301" s="4" t="str">
        <f>IF(ISERROR(K301/I301),"",K301/I301)</f>
        <v/>
      </c>
      <c r="O301" s="90">
        <f>I301/E301</f>
        <v>0</v>
      </c>
      <c r="P301" s="90">
        <f>K301/E301</f>
        <v>0</v>
      </c>
      <c r="Q301" s="78">
        <v>3</v>
      </c>
      <c r="R301" s="78">
        <v>2</v>
      </c>
      <c r="S301" s="78" t="s">
        <v>59</v>
      </c>
      <c r="T301" s="5" t="s">
        <v>135</v>
      </c>
      <c r="U301" s="9"/>
    </row>
    <row r="302" spans="1:21" s="37" customFormat="1" ht="12" x14ac:dyDescent="0.3">
      <c r="A302" s="73" t="s">
        <v>1979</v>
      </c>
      <c r="B302" s="74" t="s">
        <v>1981</v>
      </c>
      <c r="C302" s="84">
        <v>220</v>
      </c>
      <c r="D302" s="85">
        <v>148.6</v>
      </c>
      <c r="E302" s="86">
        <v>45</v>
      </c>
      <c r="F302" s="85">
        <v>127.9</v>
      </c>
      <c r="G302" s="17">
        <v>39</v>
      </c>
      <c r="H302" s="87">
        <v>55</v>
      </c>
      <c r="I302" s="88"/>
      <c r="J302" s="88"/>
      <c r="K302" s="88"/>
      <c r="L302" s="88"/>
      <c r="M302" s="89">
        <f>I302-K302</f>
        <v>0</v>
      </c>
      <c r="N302" s="4" t="str">
        <f>IF(ISERROR(K302/I302),"",K302/I302)</f>
        <v/>
      </c>
      <c r="O302" s="90">
        <f>I302/E302</f>
        <v>0</v>
      </c>
      <c r="P302" s="90">
        <f>K302/E302</f>
        <v>0</v>
      </c>
      <c r="Q302" s="78">
        <v>4</v>
      </c>
      <c r="R302" s="78">
        <v>2</v>
      </c>
      <c r="S302" s="78" t="s">
        <v>59</v>
      </c>
      <c r="T302" s="5">
        <v>148</v>
      </c>
      <c r="U302" s="9"/>
    </row>
    <row r="303" spans="1:21" s="37" customFormat="1" ht="12" x14ac:dyDescent="0.3">
      <c r="A303" s="73" t="s">
        <v>1987</v>
      </c>
      <c r="B303" s="74" t="s">
        <v>1986</v>
      </c>
      <c r="C303" s="84">
        <v>244</v>
      </c>
      <c r="D303" s="85">
        <v>76.099999999999994</v>
      </c>
      <c r="E303" s="86">
        <v>23</v>
      </c>
      <c r="F303" s="85">
        <v>58.3</v>
      </c>
      <c r="G303" s="17">
        <v>18</v>
      </c>
      <c r="H303" s="87">
        <v>139</v>
      </c>
      <c r="I303" s="88"/>
      <c r="J303" s="88"/>
      <c r="K303" s="88"/>
      <c r="L303" s="88"/>
      <c r="M303" s="89">
        <f>I303-K303</f>
        <v>0</v>
      </c>
      <c r="N303" s="4" t="str">
        <f>IF(ISERROR(K303/I303),"",K303/I303)</f>
        <v/>
      </c>
      <c r="O303" s="90">
        <f>I303/E303</f>
        <v>0</v>
      </c>
      <c r="P303" s="90">
        <f>K303/E303</f>
        <v>0</v>
      </c>
      <c r="Q303" s="78">
        <v>3</v>
      </c>
      <c r="R303" s="78">
        <v>1</v>
      </c>
      <c r="S303" s="78" t="s">
        <v>59</v>
      </c>
      <c r="T303" s="5">
        <v>76</v>
      </c>
      <c r="U303" s="9"/>
    </row>
    <row r="304" spans="1:21" s="37" customFormat="1" ht="12" x14ac:dyDescent="0.3">
      <c r="A304" s="73" t="s">
        <v>1990</v>
      </c>
      <c r="B304" s="74" t="s">
        <v>1991</v>
      </c>
      <c r="C304" s="84">
        <v>644</v>
      </c>
      <c r="D304" s="85">
        <v>157.6</v>
      </c>
      <c r="E304" s="86">
        <v>48</v>
      </c>
      <c r="F304" s="85">
        <v>126.1</v>
      </c>
      <c r="G304" s="17">
        <v>38</v>
      </c>
      <c r="H304" s="87">
        <v>192</v>
      </c>
      <c r="I304" s="88"/>
      <c r="J304" s="88"/>
      <c r="K304" s="88"/>
      <c r="L304" s="88"/>
      <c r="M304" s="89">
        <f>I304-K304</f>
        <v>0</v>
      </c>
      <c r="N304" s="4" t="str">
        <f>IF(ISERROR(K304/I304),"",K304/I304)</f>
        <v/>
      </c>
      <c r="O304" s="90">
        <f>I304/E304</f>
        <v>0</v>
      </c>
      <c r="P304" s="90">
        <f>K304/E304</f>
        <v>0</v>
      </c>
      <c r="Q304" s="78">
        <v>4</v>
      </c>
      <c r="R304" s="78">
        <v>2</v>
      </c>
      <c r="S304" s="78" t="s">
        <v>59</v>
      </c>
      <c r="T304" s="5">
        <v>157</v>
      </c>
      <c r="U304" s="9"/>
    </row>
    <row r="305" spans="1:22" s="37" customFormat="1" ht="12" x14ac:dyDescent="0.3">
      <c r="A305" s="73" t="s">
        <v>1994</v>
      </c>
      <c r="B305" s="74" t="s">
        <v>1800</v>
      </c>
      <c r="C305" s="84">
        <v>248</v>
      </c>
      <c r="D305" s="85">
        <v>51.4</v>
      </c>
      <c r="E305" s="86">
        <v>16</v>
      </c>
      <c r="F305" s="85">
        <v>37.9</v>
      </c>
      <c r="G305" s="17">
        <v>11</v>
      </c>
      <c r="H305" s="87">
        <v>34</v>
      </c>
      <c r="I305" s="88"/>
      <c r="J305" s="88"/>
      <c r="K305" s="88"/>
      <c r="L305" s="88"/>
      <c r="M305" s="89">
        <f>I305-K305</f>
        <v>0</v>
      </c>
      <c r="N305" s="4" t="str">
        <f>IF(ISERROR(K305/I305),"",K305/I305)</f>
        <v/>
      </c>
      <c r="O305" s="90">
        <f>I305/E305</f>
        <v>0</v>
      </c>
      <c r="P305" s="90">
        <f>K305/E305</f>
        <v>0</v>
      </c>
      <c r="Q305" s="78">
        <v>2</v>
      </c>
      <c r="R305" s="78">
        <v>1</v>
      </c>
      <c r="S305" s="78" t="s">
        <v>65</v>
      </c>
      <c r="T305" s="5">
        <v>51</v>
      </c>
      <c r="U305" s="9"/>
    </row>
    <row r="306" spans="1:22" s="37" customFormat="1" ht="12" x14ac:dyDescent="0.3">
      <c r="A306" s="73" t="s">
        <v>1995</v>
      </c>
      <c r="B306" s="74" t="s">
        <v>1800</v>
      </c>
      <c r="C306" s="84">
        <v>248</v>
      </c>
      <c r="D306" s="85">
        <v>79.8</v>
      </c>
      <c r="E306" s="86">
        <v>24</v>
      </c>
      <c r="F306" s="85">
        <v>58.5</v>
      </c>
      <c r="G306" s="17">
        <v>18</v>
      </c>
      <c r="H306" s="87">
        <v>68</v>
      </c>
      <c r="I306" s="88"/>
      <c r="J306" s="88"/>
      <c r="K306" s="88"/>
      <c r="L306" s="88"/>
      <c r="M306" s="89">
        <f>I306-K306</f>
        <v>0</v>
      </c>
      <c r="N306" s="4" t="str">
        <f>IF(ISERROR(K306/I306),"",K306/I306)</f>
        <v/>
      </c>
      <c r="O306" s="90">
        <f>I306/E306</f>
        <v>0</v>
      </c>
      <c r="P306" s="90">
        <f>K306/E306</f>
        <v>0</v>
      </c>
      <c r="Q306" s="78">
        <v>2</v>
      </c>
      <c r="R306" s="78">
        <v>1</v>
      </c>
      <c r="S306" s="78" t="s">
        <v>65</v>
      </c>
      <c r="T306" s="5">
        <v>79</v>
      </c>
      <c r="U306" s="9"/>
    </row>
    <row r="307" spans="1:22" s="37" customFormat="1" ht="12" x14ac:dyDescent="0.3">
      <c r="A307" s="73" t="s">
        <v>1994</v>
      </c>
      <c r="B307" s="74" t="s">
        <v>1800</v>
      </c>
      <c r="C307" s="84">
        <v>248</v>
      </c>
      <c r="D307" s="85">
        <v>97.5</v>
      </c>
      <c r="E307" s="86">
        <v>29</v>
      </c>
      <c r="F307" s="85">
        <v>74.599999999999994</v>
      </c>
      <c r="G307" s="17">
        <v>23</v>
      </c>
      <c r="H307" s="87">
        <v>60</v>
      </c>
      <c r="I307" s="88"/>
      <c r="J307" s="88"/>
      <c r="K307" s="88"/>
      <c r="L307" s="88"/>
      <c r="M307" s="89">
        <f>I307-K307</f>
        <v>0</v>
      </c>
      <c r="N307" s="4" t="str">
        <f>IF(ISERROR(K307/I307),"",K307/I307)</f>
        <v/>
      </c>
      <c r="O307" s="90">
        <f>I307/E307</f>
        <v>0</v>
      </c>
      <c r="P307" s="90">
        <f>K307/E307</f>
        <v>0</v>
      </c>
      <c r="Q307" s="78">
        <v>3</v>
      </c>
      <c r="R307" s="78">
        <v>1</v>
      </c>
      <c r="S307" s="78" t="s">
        <v>65</v>
      </c>
      <c r="T307" s="5">
        <v>97</v>
      </c>
      <c r="U307" s="9"/>
    </row>
    <row r="308" spans="1:22" s="37" customFormat="1" ht="12" x14ac:dyDescent="0.3">
      <c r="A308" s="73" t="s">
        <v>1994</v>
      </c>
      <c r="B308" s="74" t="s">
        <v>1996</v>
      </c>
      <c r="C308" s="84">
        <v>248</v>
      </c>
      <c r="D308" s="85">
        <v>106.5</v>
      </c>
      <c r="E308" s="86">
        <v>32</v>
      </c>
      <c r="F308" s="85">
        <v>84.7</v>
      </c>
      <c r="G308" s="17">
        <v>26</v>
      </c>
      <c r="H308" s="87">
        <v>38</v>
      </c>
      <c r="I308" s="88"/>
      <c r="J308" s="88"/>
      <c r="K308" s="88"/>
      <c r="L308" s="88"/>
      <c r="M308" s="89">
        <f>I308-K308</f>
        <v>0</v>
      </c>
      <c r="N308" s="4" t="str">
        <f>IF(ISERROR(K308/I308),"",K308/I308)</f>
        <v/>
      </c>
      <c r="O308" s="90">
        <f>I308/E308</f>
        <v>0</v>
      </c>
      <c r="P308" s="90">
        <f>K308/E308</f>
        <v>0</v>
      </c>
      <c r="Q308" s="78">
        <v>3</v>
      </c>
      <c r="R308" s="78">
        <v>2</v>
      </c>
      <c r="S308" s="78" t="s">
        <v>59</v>
      </c>
      <c r="T308" s="5">
        <v>106</v>
      </c>
      <c r="U308" s="9"/>
    </row>
    <row r="309" spans="1:22" s="37" customFormat="1" ht="12" x14ac:dyDescent="0.3">
      <c r="A309" s="73" t="s">
        <v>1994</v>
      </c>
      <c r="B309" s="74" t="s">
        <v>1800</v>
      </c>
      <c r="C309" s="84">
        <v>248</v>
      </c>
      <c r="D309" s="85">
        <v>143.5</v>
      </c>
      <c r="E309" s="86">
        <v>43</v>
      </c>
      <c r="F309" s="85">
        <v>120</v>
      </c>
      <c r="G309" s="17">
        <v>36</v>
      </c>
      <c r="H309" s="87">
        <v>48</v>
      </c>
      <c r="I309" s="88"/>
      <c r="J309" s="88"/>
      <c r="K309" s="88"/>
      <c r="L309" s="88"/>
      <c r="M309" s="89">
        <f>I309-K309</f>
        <v>0</v>
      </c>
      <c r="N309" s="4" t="str">
        <f>IF(ISERROR(K309/I309),"",K309/I309)</f>
        <v/>
      </c>
      <c r="O309" s="90">
        <f>I309/E309</f>
        <v>0</v>
      </c>
      <c r="P309" s="90">
        <f>K309/E309</f>
        <v>0</v>
      </c>
      <c r="Q309" s="78">
        <v>4</v>
      </c>
      <c r="R309" s="78">
        <v>2</v>
      </c>
      <c r="S309" s="78" t="s">
        <v>59</v>
      </c>
      <c r="T309" s="5">
        <v>143</v>
      </c>
      <c r="U309" s="9"/>
    </row>
    <row r="310" spans="1:22" s="37" customFormat="1" ht="12" x14ac:dyDescent="0.3">
      <c r="A310" s="73" t="s">
        <v>1999</v>
      </c>
      <c r="B310" s="74" t="s">
        <v>1801</v>
      </c>
      <c r="C310" s="84">
        <v>1911</v>
      </c>
      <c r="D310" s="85">
        <v>68.3</v>
      </c>
      <c r="E310" s="86">
        <v>21</v>
      </c>
      <c r="F310" s="85">
        <v>49.7</v>
      </c>
      <c r="G310" s="17">
        <v>15</v>
      </c>
      <c r="H310" s="87">
        <v>427</v>
      </c>
      <c r="I310" s="88"/>
      <c r="J310" s="88"/>
      <c r="K310" s="88"/>
      <c r="L310" s="88"/>
      <c r="M310" s="89">
        <f>I310-K310</f>
        <v>0</v>
      </c>
      <c r="N310" s="4" t="str">
        <f>IF(ISERROR(K310/I310),"",K310/I310)</f>
        <v/>
      </c>
      <c r="O310" s="90">
        <f>I310/E310</f>
        <v>0</v>
      </c>
      <c r="P310" s="90">
        <f>K310/E310</f>
        <v>0</v>
      </c>
      <c r="Q310" s="78">
        <v>2</v>
      </c>
      <c r="R310" s="78">
        <v>1</v>
      </c>
      <c r="S310" s="78" t="s">
        <v>59</v>
      </c>
      <c r="T310" s="5">
        <v>68</v>
      </c>
      <c r="U310" s="9"/>
    </row>
    <row r="311" spans="1:22" s="37" customFormat="1" ht="12" x14ac:dyDescent="0.3">
      <c r="A311" s="73" t="s">
        <v>2001</v>
      </c>
      <c r="B311" s="74" t="s">
        <v>2002</v>
      </c>
      <c r="C311" s="84">
        <v>791</v>
      </c>
      <c r="D311" s="85">
        <v>162.9</v>
      </c>
      <c r="E311" s="86">
        <v>49</v>
      </c>
      <c r="F311" s="85">
        <v>128.4</v>
      </c>
      <c r="G311" s="17">
        <v>39</v>
      </c>
      <c r="H311" s="87">
        <v>69</v>
      </c>
      <c r="I311" s="88"/>
      <c r="J311" s="88"/>
      <c r="K311" s="88"/>
      <c r="L311" s="88"/>
      <c r="M311" s="89">
        <f>I311-K311</f>
        <v>0</v>
      </c>
      <c r="N311" s="4" t="str">
        <f>IF(ISERROR(K311/I311),"",K311/I311)</f>
        <v/>
      </c>
      <c r="O311" s="90">
        <f>I311/E311</f>
        <v>0</v>
      </c>
      <c r="P311" s="90">
        <f>K311/E311</f>
        <v>0</v>
      </c>
      <c r="Q311" s="78">
        <v>4</v>
      </c>
      <c r="R311" s="78">
        <v>2</v>
      </c>
      <c r="S311" s="78" t="s">
        <v>59</v>
      </c>
      <c r="T311" s="5">
        <v>162</v>
      </c>
      <c r="U311" s="9"/>
    </row>
    <row r="312" spans="1:22" s="37" customFormat="1" ht="16.5" customHeight="1" x14ac:dyDescent="0.3">
      <c r="A312" s="72"/>
      <c r="B312" s="72"/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</row>
    <row r="313" spans="1:22" s="37" customFormat="1" ht="16.5" customHeight="1" x14ac:dyDescent="0.3">
      <c r="A313" s="72"/>
      <c r="B313" s="72"/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</row>
    <row r="314" spans="1:22" s="37" customFormat="1" ht="16.5" customHeight="1" x14ac:dyDescent="0.3">
      <c r="A314" s="72"/>
      <c r="B314" s="72"/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</row>
    <row r="315" spans="1:22" s="37" customFormat="1" ht="16.5" customHeight="1" x14ac:dyDescent="0.3">
      <c r="A315" s="72"/>
      <c r="B315" s="72"/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</row>
    <row r="316" spans="1:22" s="37" customFormat="1" ht="16.5" customHeight="1" x14ac:dyDescent="0.3">
      <c r="A316" s="72"/>
      <c r="B316" s="72"/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</row>
    <row r="317" spans="1:22" s="37" customFormat="1" ht="16.5" customHeight="1" x14ac:dyDescent="0.3">
      <c r="A317" s="72"/>
      <c r="B317" s="72"/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</row>
    <row r="318" spans="1:22" s="37" customFormat="1" ht="16.5" customHeight="1" x14ac:dyDescent="0.3">
      <c r="A318" s="72"/>
      <c r="B318" s="72"/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</row>
    <row r="319" spans="1:22" s="37" customFormat="1" ht="16.5" customHeight="1" x14ac:dyDescent="0.3">
      <c r="A319" s="72"/>
      <c r="B319" s="72"/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</row>
    <row r="320" spans="1:22" s="37" customFormat="1" ht="16.5" customHeight="1" x14ac:dyDescent="0.3">
      <c r="A320" s="72"/>
      <c r="B320" s="72"/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</row>
    <row r="321" spans="1:22" s="37" customFormat="1" ht="16.5" customHeight="1" x14ac:dyDescent="0.3">
      <c r="A321" s="72"/>
      <c r="B321" s="72"/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</row>
    <row r="322" spans="1:22" s="37" customFormat="1" ht="16.5" customHeight="1" x14ac:dyDescent="0.3">
      <c r="A322" s="72"/>
      <c r="B322" s="72"/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</row>
    <row r="323" spans="1:22" s="37" customFormat="1" ht="16.5" customHeight="1" x14ac:dyDescent="0.3">
      <c r="A323" s="72"/>
      <c r="B323" s="72"/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</row>
    <row r="324" spans="1:22" s="37" customFormat="1" ht="16.5" customHeight="1" x14ac:dyDescent="0.3">
      <c r="A324" s="72"/>
      <c r="B324" s="72"/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</row>
    <row r="325" spans="1:22" s="37" customFormat="1" ht="16.5" customHeight="1" x14ac:dyDescent="0.3">
      <c r="A325" s="72"/>
      <c r="B325" s="72"/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</row>
    <row r="326" spans="1:22" s="37" customFormat="1" ht="16.5" customHeight="1" x14ac:dyDescent="0.3">
      <c r="A326" s="72"/>
      <c r="B326" s="72"/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</row>
    <row r="327" spans="1:22" s="37" customFormat="1" ht="16.5" customHeight="1" x14ac:dyDescent="0.3">
      <c r="A327" s="72"/>
      <c r="B327" s="72"/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</row>
    <row r="328" spans="1:22" s="37" customFormat="1" ht="16.5" customHeight="1" x14ac:dyDescent="0.3">
      <c r="A328" s="72"/>
      <c r="B328" s="72"/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</row>
    <row r="329" spans="1:22" s="37" customFormat="1" ht="16.5" customHeight="1" x14ac:dyDescent="0.3">
      <c r="A329" s="72"/>
      <c r="B329" s="72"/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</row>
    <row r="330" spans="1:22" s="37" customFormat="1" ht="16.5" customHeight="1" x14ac:dyDescent="0.3">
      <c r="A330" s="72"/>
      <c r="B330" s="72"/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</row>
    <row r="331" spans="1:22" s="37" customFormat="1" ht="16.5" customHeight="1" x14ac:dyDescent="0.3">
      <c r="A331" s="72"/>
      <c r="B331" s="72"/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</row>
    <row r="332" spans="1:22" s="37" customFormat="1" ht="16.5" customHeight="1" x14ac:dyDescent="0.3">
      <c r="A332" s="72"/>
      <c r="B332" s="72"/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</row>
    <row r="333" spans="1:22" s="37" customFormat="1" ht="16.5" customHeight="1" x14ac:dyDescent="0.3">
      <c r="A333" s="72"/>
      <c r="B333" s="72"/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</row>
    <row r="334" spans="1:22" s="37" customFormat="1" ht="16.5" customHeight="1" x14ac:dyDescent="0.3">
      <c r="A334" s="72"/>
      <c r="B334" s="72"/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</row>
    <row r="335" spans="1:22" s="37" customFormat="1" ht="16.5" customHeight="1" x14ac:dyDescent="0.3">
      <c r="A335" s="72"/>
      <c r="B335" s="72"/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</row>
    <row r="336" spans="1:22" s="37" customFormat="1" ht="16.5" customHeight="1" x14ac:dyDescent="0.3">
      <c r="A336" s="72"/>
      <c r="B336" s="72"/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</row>
    <row r="337" spans="1:22" s="37" customFormat="1" ht="16.5" customHeight="1" x14ac:dyDescent="0.3">
      <c r="A337" s="72"/>
      <c r="B337" s="72"/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</row>
    <row r="338" spans="1:22" s="37" customFormat="1" ht="16.5" customHeight="1" x14ac:dyDescent="0.3">
      <c r="A338" s="72"/>
      <c r="B338" s="72"/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</row>
    <row r="339" spans="1:22" s="37" customFormat="1" ht="16.5" customHeight="1" x14ac:dyDescent="0.3">
      <c r="A339" s="72"/>
      <c r="B339" s="72"/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</row>
    <row r="340" spans="1:22" s="37" customFormat="1" ht="16.5" customHeight="1" x14ac:dyDescent="0.3">
      <c r="A340" s="72"/>
      <c r="B340" s="72"/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</row>
    <row r="341" spans="1:22" s="37" customFormat="1" ht="16.5" customHeight="1" x14ac:dyDescent="0.3">
      <c r="A341" s="72"/>
      <c r="B341" s="72"/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</row>
    <row r="342" spans="1:22" s="37" customFormat="1" ht="16.5" customHeight="1" x14ac:dyDescent="0.3">
      <c r="A342" s="72"/>
      <c r="B342" s="72"/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</row>
    <row r="343" spans="1:22" s="37" customFormat="1" ht="16.5" customHeight="1" x14ac:dyDescent="0.3">
      <c r="A343" s="72"/>
      <c r="B343" s="72"/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</row>
    <row r="344" spans="1:22" s="37" customFormat="1" ht="16.5" customHeight="1" x14ac:dyDescent="0.3">
      <c r="A344" s="72"/>
      <c r="B344" s="72"/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</row>
    <row r="345" spans="1:22" s="37" customFormat="1" ht="16.5" customHeight="1" x14ac:dyDescent="0.3">
      <c r="A345" s="72"/>
      <c r="B345" s="72"/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</row>
    <row r="346" spans="1:22" s="37" customFormat="1" ht="16.5" customHeight="1" x14ac:dyDescent="0.3">
      <c r="A346" s="72"/>
      <c r="B346" s="72"/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</row>
    <row r="347" spans="1:22" s="37" customFormat="1" ht="16.5" customHeight="1" x14ac:dyDescent="0.3">
      <c r="A347" s="72"/>
      <c r="B347" s="72"/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</row>
    <row r="348" spans="1:22" s="37" customFormat="1" ht="16.5" customHeight="1" x14ac:dyDescent="0.3">
      <c r="A348" s="72"/>
      <c r="B348" s="72"/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</row>
    <row r="349" spans="1:22" s="37" customFormat="1" ht="16.5" customHeight="1" x14ac:dyDescent="0.3">
      <c r="A349" s="72"/>
      <c r="B349" s="72"/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</row>
    <row r="350" spans="1:22" s="37" customFormat="1" ht="16.5" customHeight="1" x14ac:dyDescent="0.3">
      <c r="A350" s="72"/>
      <c r="B350" s="72"/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</row>
    <row r="351" spans="1:22" s="37" customFormat="1" ht="16.5" customHeight="1" x14ac:dyDescent="0.3">
      <c r="A351" s="72"/>
      <c r="B351" s="72"/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</row>
    <row r="352" spans="1:22" s="37" customFormat="1" ht="16.5" customHeight="1" x14ac:dyDescent="0.3">
      <c r="A352" s="72"/>
      <c r="B352" s="72"/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</row>
    <row r="353" spans="1:22" s="37" customFormat="1" ht="16.5" customHeight="1" x14ac:dyDescent="0.3">
      <c r="A353" s="72"/>
      <c r="B353" s="72"/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</row>
    <row r="354" spans="1:22" s="37" customFormat="1" ht="16.5" customHeight="1" x14ac:dyDescent="0.3">
      <c r="A354" s="72"/>
      <c r="B354" s="72"/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</row>
    <row r="355" spans="1:22" s="37" customFormat="1" ht="16.5" customHeight="1" x14ac:dyDescent="0.3">
      <c r="A355" s="72"/>
      <c r="B355" s="72"/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</row>
    <row r="356" spans="1:22" s="37" customFormat="1" ht="16.5" customHeight="1" x14ac:dyDescent="0.3">
      <c r="A356" s="72"/>
      <c r="B356" s="72"/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</row>
    <row r="357" spans="1:22" s="37" customFormat="1" ht="16.5" customHeight="1" x14ac:dyDescent="0.3">
      <c r="A357" s="72"/>
      <c r="B357" s="72"/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</row>
    <row r="358" spans="1:22" s="37" customFormat="1" ht="16.5" customHeight="1" x14ac:dyDescent="0.3">
      <c r="A358" s="72"/>
      <c r="B358" s="72"/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</row>
    <row r="359" spans="1:22" s="37" customFormat="1" ht="16.5" customHeight="1" x14ac:dyDescent="0.3">
      <c r="A359" s="72"/>
      <c r="B359" s="72"/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</row>
    <row r="360" spans="1:22" s="37" customFormat="1" ht="16.5" customHeight="1" x14ac:dyDescent="0.3">
      <c r="A360" s="72"/>
      <c r="B360" s="72"/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</row>
    <row r="361" spans="1:22" s="37" customFormat="1" ht="16.5" customHeight="1" x14ac:dyDescent="0.3">
      <c r="A361" s="72"/>
      <c r="B361" s="72"/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</row>
    <row r="362" spans="1:22" s="37" customFormat="1" ht="16.5" customHeight="1" x14ac:dyDescent="0.3">
      <c r="A362" s="72"/>
      <c r="B362" s="72"/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</row>
    <row r="363" spans="1:22" s="37" customFormat="1" ht="16.5" customHeight="1" x14ac:dyDescent="0.3">
      <c r="A363" s="72"/>
      <c r="B363" s="72"/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</row>
    <row r="364" spans="1:22" s="37" customFormat="1" ht="16.5" customHeight="1" x14ac:dyDescent="0.3">
      <c r="A364" s="72"/>
      <c r="B364" s="72"/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</row>
    <row r="365" spans="1:22" s="37" customFormat="1" ht="16.5" customHeight="1" x14ac:dyDescent="0.3">
      <c r="A365" s="72"/>
      <c r="B365" s="72"/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</row>
    <row r="366" spans="1:22" s="37" customFormat="1" ht="16.5" customHeight="1" x14ac:dyDescent="0.3">
      <c r="A366" s="72"/>
      <c r="B366" s="72"/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</row>
    <row r="367" spans="1:22" s="37" customFormat="1" ht="16.5" customHeight="1" x14ac:dyDescent="0.3">
      <c r="A367" s="72"/>
      <c r="B367" s="72"/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</row>
    <row r="368" spans="1:22" s="37" customFormat="1" ht="16.5" customHeight="1" x14ac:dyDescent="0.3">
      <c r="A368" s="72"/>
      <c r="B368" s="72"/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</row>
    <row r="369" spans="1:22" s="37" customFormat="1" ht="16.5" customHeight="1" x14ac:dyDescent="0.3">
      <c r="A369" s="72"/>
      <c r="B369" s="72"/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</row>
    <row r="370" spans="1:22" s="37" customFormat="1" ht="16.5" customHeight="1" x14ac:dyDescent="0.3">
      <c r="A370" s="72"/>
      <c r="B370" s="72"/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</row>
    <row r="371" spans="1:22" s="37" customFormat="1" ht="16.5" customHeight="1" x14ac:dyDescent="0.3">
      <c r="A371" s="72"/>
      <c r="B371" s="72"/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</row>
    <row r="372" spans="1:22" s="37" customFormat="1" ht="16.5" customHeight="1" x14ac:dyDescent="0.3">
      <c r="A372" s="72"/>
      <c r="B372" s="72"/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</row>
    <row r="373" spans="1:22" s="37" customFormat="1" ht="16.5" customHeight="1" x14ac:dyDescent="0.3">
      <c r="A373" s="72"/>
      <c r="B373" s="72"/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</row>
    <row r="374" spans="1:22" s="37" customFormat="1" ht="16.5" customHeight="1" x14ac:dyDescent="0.3">
      <c r="A374" s="72"/>
      <c r="B374" s="72"/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</row>
    <row r="375" spans="1:22" s="37" customFormat="1" ht="16.5" customHeight="1" x14ac:dyDescent="0.3">
      <c r="A375" s="72"/>
      <c r="B375" s="72"/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</row>
    <row r="376" spans="1:22" s="37" customFormat="1" ht="16.5" customHeight="1" x14ac:dyDescent="0.3">
      <c r="A376" s="72"/>
      <c r="B376" s="72"/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</row>
    <row r="377" spans="1:22" s="37" customFormat="1" ht="16.5" customHeight="1" x14ac:dyDescent="0.3">
      <c r="A377" s="72"/>
      <c r="B377" s="72"/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</row>
    <row r="378" spans="1:22" s="37" customFormat="1" ht="16.5" customHeight="1" x14ac:dyDescent="0.3">
      <c r="A378" s="72"/>
      <c r="B378" s="72"/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</row>
    <row r="379" spans="1:22" s="37" customFormat="1" ht="16.5" customHeight="1" x14ac:dyDescent="0.3">
      <c r="A379" s="72"/>
      <c r="B379" s="72"/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</row>
    <row r="380" spans="1:22" s="37" customFormat="1" ht="16.5" customHeight="1" x14ac:dyDescent="0.3">
      <c r="A380" s="72"/>
      <c r="B380" s="72"/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</row>
    <row r="381" spans="1:22" s="37" customFormat="1" ht="16.5" customHeight="1" x14ac:dyDescent="0.3">
      <c r="A381" s="72"/>
      <c r="B381" s="72"/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</row>
    <row r="382" spans="1:22" s="37" customFormat="1" ht="16.5" customHeight="1" x14ac:dyDescent="0.3">
      <c r="A382" s="72"/>
      <c r="B382" s="72"/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</row>
    <row r="383" spans="1:22" s="37" customFormat="1" ht="16.5" customHeight="1" x14ac:dyDescent="0.3">
      <c r="A383" s="72"/>
      <c r="B383" s="72"/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</row>
    <row r="384" spans="1:22" s="37" customFormat="1" ht="16.5" customHeight="1" x14ac:dyDescent="0.3">
      <c r="A384" s="72"/>
      <c r="B384" s="72"/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</row>
    <row r="385" spans="1:22" s="37" customFormat="1" ht="16.5" customHeight="1" x14ac:dyDescent="0.3">
      <c r="A385" s="72"/>
      <c r="B385" s="72"/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</row>
    <row r="386" spans="1:22" s="37" customFormat="1" ht="16.5" customHeight="1" x14ac:dyDescent="0.3">
      <c r="A386" s="72"/>
      <c r="B386" s="72"/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</row>
    <row r="387" spans="1:22" s="37" customFormat="1" ht="16.5" customHeight="1" x14ac:dyDescent="0.3">
      <c r="A387" s="72"/>
      <c r="B387" s="72"/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</row>
    <row r="388" spans="1:22" s="37" customFormat="1" ht="16.5" customHeight="1" x14ac:dyDescent="0.3">
      <c r="A388" s="72"/>
      <c r="B388" s="72"/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</row>
    <row r="389" spans="1:22" s="37" customFormat="1" ht="16.5" customHeight="1" x14ac:dyDescent="0.3">
      <c r="A389" s="72"/>
      <c r="B389" s="72"/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</row>
    <row r="390" spans="1:22" s="37" customFormat="1" ht="16.5" customHeight="1" x14ac:dyDescent="0.3">
      <c r="A390" s="72"/>
      <c r="B390" s="72"/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</row>
    <row r="391" spans="1:22" s="37" customFormat="1" ht="16.5" customHeight="1" x14ac:dyDescent="0.3">
      <c r="A391" s="72"/>
      <c r="B391" s="72"/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</row>
    <row r="392" spans="1:22" s="37" customFormat="1" ht="16.5" customHeight="1" x14ac:dyDescent="0.3">
      <c r="A392" s="72"/>
      <c r="B392" s="72"/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</row>
    <row r="393" spans="1:22" s="37" customFormat="1" ht="16.5" customHeight="1" x14ac:dyDescent="0.3">
      <c r="A393" s="72"/>
      <c r="B393" s="72"/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</row>
    <row r="394" spans="1:22" s="37" customFormat="1" ht="16.5" customHeight="1" x14ac:dyDescent="0.3">
      <c r="A394" s="72"/>
      <c r="B394" s="72"/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</row>
    <row r="395" spans="1:22" s="37" customFormat="1" ht="16.5" customHeight="1" x14ac:dyDescent="0.3">
      <c r="A395" s="72"/>
      <c r="B395" s="72"/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</row>
    <row r="396" spans="1:22" s="37" customFormat="1" ht="16.5" customHeight="1" x14ac:dyDescent="0.3">
      <c r="A396" s="72"/>
      <c r="B396" s="72"/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</row>
    <row r="397" spans="1:22" s="37" customFormat="1" ht="16.5" customHeight="1" x14ac:dyDescent="0.3">
      <c r="A397" s="72"/>
      <c r="B397" s="72"/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</row>
    <row r="398" spans="1:22" s="37" customFormat="1" ht="16.5" customHeight="1" x14ac:dyDescent="0.3">
      <c r="A398" s="72"/>
      <c r="B398" s="72"/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</row>
    <row r="399" spans="1:22" s="37" customFormat="1" ht="16.5" customHeight="1" x14ac:dyDescent="0.3">
      <c r="A399" s="72"/>
      <c r="B399" s="72"/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</row>
    <row r="400" spans="1:22" s="37" customFormat="1" ht="16.5" customHeight="1" x14ac:dyDescent="0.3">
      <c r="A400" s="72"/>
      <c r="B400" s="72"/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</row>
    <row r="401" spans="1:22" s="37" customFormat="1" ht="16.5" customHeight="1" x14ac:dyDescent="0.3">
      <c r="A401" s="72"/>
      <c r="B401" s="72"/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</row>
    <row r="402" spans="1:22" s="37" customFormat="1" ht="16.5" customHeight="1" x14ac:dyDescent="0.3">
      <c r="A402" s="72"/>
      <c r="B402" s="72"/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</row>
    <row r="403" spans="1:22" s="37" customFormat="1" ht="16.5" customHeight="1" x14ac:dyDescent="0.3">
      <c r="A403" s="72"/>
      <c r="B403" s="72"/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</row>
    <row r="404" spans="1:22" s="37" customFormat="1" ht="16.5" customHeight="1" x14ac:dyDescent="0.3">
      <c r="A404" s="72"/>
      <c r="B404" s="72"/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</row>
    <row r="405" spans="1:22" s="37" customFormat="1" ht="16.5" customHeight="1" x14ac:dyDescent="0.3">
      <c r="A405" s="72"/>
      <c r="B405" s="72"/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</row>
    <row r="406" spans="1:22" s="37" customFormat="1" ht="16.5" customHeight="1" x14ac:dyDescent="0.3">
      <c r="A406" s="72"/>
      <c r="B406" s="72"/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</row>
    <row r="407" spans="1:22" s="37" customFormat="1" ht="16.5" customHeight="1" x14ac:dyDescent="0.3">
      <c r="A407" s="72"/>
      <c r="B407" s="72"/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</row>
    <row r="408" spans="1:22" s="37" customFormat="1" ht="16.5" customHeight="1" x14ac:dyDescent="0.3">
      <c r="A408" s="72"/>
      <c r="B408" s="72"/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</row>
    <row r="409" spans="1:22" s="37" customFormat="1" ht="16.5" customHeight="1" x14ac:dyDescent="0.3">
      <c r="A409" s="72"/>
      <c r="B409" s="72"/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</row>
    <row r="410" spans="1:22" s="37" customFormat="1" ht="16.5" customHeight="1" x14ac:dyDescent="0.3">
      <c r="A410" s="72"/>
      <c r="B410" s="72"/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</row>
    <row r="411" spans="1:22" s="37" customFormat="1" ht="16.5" customHeight="1" x14ac:dyDescent="0.3">
      <c r="A411" s="72"/>
      <c r="B411" s="72"/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</row>
    <row r="412" spans="1:22" s="37" customFormat="1" ht="16.5" customHeight="1" x14ac:dyDescent="0.3">
      <c r="A412" s="72"/>
      <c r="B412" s="72"/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</row>
    <row r="413" spans="1:22" s="37" customFormat="1" ht="16.5" customHeight="1" x14ac:dyDescent="0.3">
      <c r="A413" s="72"/>
      <c r="B413" s="72"/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</row>
    <row r="414" spans="1:22" s="37" customFormat="1" ht="16.5" customHeight="1" x14ac:dyDescent="0.3">
      <c r="A414" s="72"/>
      <c r="B414" s="72"/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</row>
    <row r="415" spans="1:22" s="37" customFormat="1" ht="16.5" customHeight="1" x14ac:dyDescent="0.3">
      <c r="A415" s="72"/>
      <c r="B415" s="72"/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</row>
    <row r="416" spans="1:22" s="37" customFormat="1" ht="16.5" customHeight="1" x14ac:dyDescent="0.3">
      <c r="A416" s="72"/>
      <c r="B416" s="72"/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</row>
    <row r="417" spans="1:22" s="37" customFormat="1" ht="16.5" customHeight="1" x14ac:dyDescent="0.3">
      <c r="A417" s="72"/>
      <c r="B417" s="72"/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</row>
    <row r="418" spans="1:22" s="37" customFormat="1" ht="16.5" customHeight="1" x14ac:dyDescent="0.3">
      <c r="A418" s="72"/>
      <c r="B418" s="72"/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</row>
    <row r="419" spans="1:22" s="37" customFormat="1" ht="16.5" customHeight="1" x14ac:dyDescent="0.3">
      <c r="A419" s="72"/>
      <c r="B419" s="72"/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</row>
    <row r="420" spans="1:22" s="37" customFormat="1" ht="16.5" customHeight="1" x14ac:dyDescent="0.3">
      <c r="A420" s="72"/>
      <c r="B420" s="72"/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</row>
    <row r="421" spans="1:22" s="37" customFormat="1" ht="16.5" customHeight="1" x14ac:dyDescent="0.3">
      <c r="A421" s="72"/>
      <c r="B421" s="72"/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</row>
    <row r="422" spans="1:22" s="37" customFormat="1" ht="16.5" customHeight="1" x14ac:dyDescent="0.3">
      <c r="A422" s="72"/>
      <c r="B422" s="72"/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</row>
    <row r="423" spans="1:22" s="37" customFormat="1" ht="16.5" customHeight="1" x14ac:dyDescent="0.3">
      <c r="A423" s="72"/>
      <c r="B423" s="72"/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</row>
    <row r="424" spans="1:22" s="37" customFormat="1" ht="16.5" customHeight="1" x14ac:dyDescent="0.3">
      <c r="A424" s="72"/>
      <c r="B424" s="72"/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</row>
    <row r="425" spans="1:22" s="37" customFormat="1" ht="16.5" customHeight="1" x14ac:dyDescent="0.3">
      <c r="A425" s="72"/>
      <c r="B425" s="72"/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</row>
    <row r="426" spans="1:22" s="37" customFormat="1" ht="16.5" customHeight="1" x14ac:dyDescent="0.3">
      <c r="A426" s="72"/>
      <c r="B426" s="72"/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</row>
    <row r="427" spans="1:22" s="37" customFormat="1" ht="16.5" customHeight="1" x14ac:dyDescent="0.3">
      <c r="A427" s="72"/>
      <c r="B427" s="72"/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</row>
    <row r="428" spans="1:22" s="37" customFormat="1" ht="16.5" customHeight="1" x14ac:dyDescent="0.3">
      <c r="A428" s="72"/>
      <c r="B428" s="72"/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</row>
    <row r="429" spans="1:22" s="37" customFormat="1" ht="16.5" customHeight="1" x14ac:dyDescent="0.3">
      <c r="A429" s="72"/>
      <c r="B429" s="72"/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</row>
    <row r="430" spans="1:22" s="37" customFormat="1" ht="16.5" customHeight="1" x14ac:dyDescent="0.3">
      <c r="A430" s="72"/>
      <c r="B430" s="72"/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</row>
    <row r="431" spans="1:22" s="37" customFormat="1" ht="16.5" customHeight="1" x14ac:dyDescent="0.3">
      <c r="A431" s="72"/>
      <c r="B431" s="72"/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</row>
    <row r="432" spans="1:22" s="37" customFormat="1" ht="16.5" customHeight="1" x14ac:dyDescent="0.3">
      <c r="A432" s="72"/>
      <c r="B432" s="72"/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</row>
    <row r="433" spans="1:22" s="37" customFormat="1" ht="16.5" customHeight="1" x14ac:dyDescent="0.3">
      <c r="A433" s="72"/>
      <c r="B433" s="72"/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</row>
    <row r="434" spans="1:22" s="37" customFormat="1" ht="16.5" customHeight="1" x14ac:dyDescent="0.3">
      <c r="A434" s="72"/>
      <c r="B434" s="72"/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</row>
    <row r="435" spans="1:22" s="37" customFormat="1" ht="16.5" customHeight="1" x14ac:dyDescent="0.3">
      <c r="A435" s="72"/>
      <c r="B435" s="72"/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</row>
    <row r="436" spans="1:22" s="37" customFormat="1" ht="16.5" customHeight="1" x14ac:dyDescent="0.3">
      <c r="A436" s="72"/>
      <c r="B436" s="72"/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</row>
    <row r="437" spans="1:22" s="37" customFormat="1" ht="16.5" customHeight="1" x14ac:dyDescent="0.3">
      <c r="A437" s="72"/>
      <c r="B437" s="72"/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</row>
    <row r="438" spans="1:22" s="37" customFormat="1" ht="16.5" customHeight="1" x14ac:dyDescent="0.3">
      <c r="A438" s="72"/>
      <c r="B438" s="72"/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</row>
    <row r="439" spans="1:22" s="37" customFormat="1" ht="16.5" customHeight="1" x14ac:dyDescent="0.3">
      <c r="A439" s="72"/>
      <c r="B439" s="72"/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</row>
    <row r="440" spans="1:22" s="37" customFormat="1" ht="16.5" customHeight="1" x14ac:dyDescent="0.3">
      <c r="A440" s="72"/>
      <c r="B440" s="72"/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</row>
    <row r="441" spans="1:22" s="37" customFormat="1" ht="16.5" customHeight="1" x14ac:dyDescent="0.3">
      <c r="A441" s="72"/>
      <c r="B441" s="72"/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</row>
    <row r="442" spans="1:22" s="37" customFormat="1" ht="16.5" customHeight="1" x14ac:dyDescent="0.3">
      <c r="A442" s="72"/>
      <c r="B442" s="72"/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</row>
    <row r="443" spans="1:22" s="37" customFormat="1" ht="16.5" customHeight="1" x14ac:dyDescent="0.3">
      <c r="A443" s="72"/>
      <c r="B443" s="72"/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</row>
    <row r="444" spans="1:22" s="37" customFormat="1" ht="16.5" customHeight="1" x14ac:dyDescent="0.3">
      <c r="A444" s="72"/>
      <c r="B444" s="72"/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</row>
    <row r="445" spans="1:22" s="37" customFormat="1" ht="16.5" customHeight="1" x14ac:dyDescent="0.3">
      <c r="A445" s="72"/>
      <c r="B445" s="72"/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</row>
    <row r="446" spans="1:22" s="37" customFormat="1" ht="16.5" customHeight="1" x14ac:dyDescent="0.3">
      <c r="A446" s="72"/>
      <c r="B446" s="72"/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</row>
    <row r="447" spans="1:22" s="37" customFormat="1" ht="16.5" customHeight="1" x14ac:dyDescent="0.3">
      <c r="A447" s="72"/>
      <c r="B447" s="72"/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</row>
    <row r="448" spans="1:22" s="37" customFormat="1" ht="16.5" customHeight="1" x14ac:dyDescent="0.3">
      <c r="A448" s="72"/>
      <c r="B448" s="72"/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</row>
    <row r="449" spans="1:22" s="37" customFormat="1" ht="16.5" customHeight="1" x14ac:dyDescent="0.3">
      <c r="A449" s="72"/>
      <c r="B449" s="72"/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</row>
    <row r="450" spans="1:22" s="37" customFormat="1" ht="16.5" customHeight="1" x14ac:dyDescent="0.3">
      <c r="A450" s="72"/>
      <c r="B450" s="72"/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</row>
  </sheetData>
  <autoFilter ref="A3:U311">
    <sortState ref="A4:U31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10251" priority="52640" operator="greaterThan">
      <formula>0.9</formula>
    </cfRule>
    <cfRule type="cellIs" dxfId="10250" priority="52641" operator="greaterThan">
      <formula>0.85</formula>
    </cfRule>
  </conditionalFormatting>
  <conditionalFormatting sqref="N4">
    <cfRule type="cellIs" dxfId="10249" priority="6097" operator="greaterThan">
      <formula>0.9</formula>
    </cfRule>
    <cfRule type="cellIs" dxfId="10248" priority="6098" operator="greaterThan">
      <formula>0.85</formula>
    </cfRule>
  </conditionalFormatting>
  <conditionalFormatting sqref="N5">
    <cfRule type="cellIs" dxfId="10247" priority="6079" operator="greaterThan">
      <formula>0.9</formula>
    </cfRule>
    <cfRule type="cellIs" dxfId="10246" priority="6080" operator="greaterThan">
      <formula>0.85</formula>
    </cfRule>
  </conditionalFormatting>
  <conditionalFormatting sqref="N6">
    <cfRule type="cellIs" dxfId="10245" priority="6061" operator="greaterThan">
      <formula>0.9</formula>
    </cfRule>
    <cfRule type="cellIs" dxfId="10244" priority="6062" operator="greaterThan">
      <formula>0.85</formula>
    </cfRule>
  </conditionalFormatting>
  <conditionalFormatting sqref="N7">
    <cfRule type="cellIs" dxfId="10243" priority="6043" operator="greaterThan">
      <formula>0.9</formula>
    </cfRule>
    <cfRule type="cellIs" dxfId="10242" priority="6044" operator="greaterThan">
      <formula>0.85</formula>
    </cfRule>
  </conditionalFormatting>
  <conditionalFormatting sqref="N8">
    <cfRule type="cellIs" dxfId="10241" priority="6025" operator="greaterThan">
      <formula>0.9</formula>
    </cfRule>
    <cfRule type="cellIs" dxfId="10240" priority="6026" operator="greaterThan">
      <formula>0.85</formula>
    </cfRule>
  </conditionalFormatting>
  <conditionalFormatting sqref="N9">
    <cfRule type="cellIs" dxfId="10239" priority="6007" operator="greaterThan">
      <formula>0.9</formula>
    </cfRule>
    <cfRule type="cellIs" dxfId="10238" priority="6008" operator="greaterThan">
      <formula>0.85</formula>
    </cfRule>
  </conditionalFormatting>
  <conditionalFormatting sqref="N10">
    <cfRule type="cellIs" dxfId="10237" priority="5989" operator="greaterThan">
      <formula>0.9</formula>
    </cfRule>
    <cfRule type="cellIs" dxfId="10236" priority="5990" operator="greaterThan">
      <formula>0.85</formula>
    </cfRule>
  </conditionalFormatting>
  <conditionalFormatting sqref="N11">
    <cfRule type="cellIs" dxfId="10235" priority="5971" operator="greaterThan">
      <formula>0.9</formula>
    </cfRule>
    <cfRule type="cellIs" dxfId="10234" priority="5972" operator="greaterThan">
      <formula>0.85</formula>
    </cfRule>
  </conditionalFormatting>
  <conditionalFormatting sqref="N12">
    <cfRule type="cellIs" dxfId="10233" priority="5953" operator="greaterThan">
      <formula>0.9</formula>
    </cfRule>
    <cfRule type="cellIs" dxfId="10232" priority="5954" operator="greaterThan">
      <formula>0.85</formula>
    </cfRule>
  </conditionalFormatting>
  <conditionalFormatting sqref="N13">
    <cfRule type="cellIs" dxfId="10231" priority="5935" operator="greaterThan">
      <formula>0.9</formula>
    </cfRule>
    <cfRule type="cellIs" dxfId="10230" priority="5936" operator="greaterThan">
      <formula>0.85</formula>
    </cfRule>
  </conditionalFormatting>
  <conditionalFormatting sqref="N14">
    <cfRule type="cellIs" dxfId="10229" priority="5917" operator="greaterThan">
      <formula>0.9</formula>
    </cfRule>
    <cfRule type="cellIs" dxfId="10228" priority="5918" operator="greaterThan">
      <formula>0.85</formula>
    </cfRule>
  </conditionalFormatting>
  <conditionalFormatting sqref="N15">
    <cfRule type="cellIs" dxfId="10227" priority="5899" operator="greaterThan">
      <formula>0.9</formula>
    </cfRule>
    <cfRule type="cellIs" dxfId="10226" priority="5900" operator="greaterThan">
      <formula>0.85</formula>
    </cfRule>
  </conditionalFormatting>
  <conditionalFormatting sqref="N16">
    <cfRule type="cellIs" dxfId="10225" priority="5881" operator="greaterThan">
      <formula>0.9</formula>
    </cfRule>
    <cfRule type="cellIs" dxfId="10224" priority="5882" operator="greaterThan">
      <formula>0.85</formula>
    </cfRule>
  </conditionalFormatting>
  <conditionalFormatting sqref="N17">
    <cfRule type="cellIs" dxfId="10223" priority="5863" operator="greaterThan">
      <formula>0.9</formula>
    </cfRule>
    <cfRule type="cellIs" dxfId="10222" priority="5864" operator="greaterThan">
      <formula>0.85</formula>
    </cfRule>
  </conditionalFormatting>
  <conditionalFormatting sqref="N311">
    <cfRule type="cellIs" dxfId="10221" priority="13" operator="greaterThan">
      <formula>0.9</formula>
    </cfRule>
    <cfRule type="cellIs" dxfId="10220" priority="14" operator="greaterThan">
      <formula>0.85</formula>
    </cfRule>
  </conditionalFormatting>
  <conditionalFormatting sqref="N18">
    <cfRule type="cellIs" dxfId="10219" priority="5827" operator="greaterThan">
      <formula>0.9</formula>
    </cfRule>
    <cfRule type="cellIs" dxfId="10218" priority="5828" operator="greaterThan">
      <formula>0.85</formula>
    </cfRule>
  </conditionalFormatting>
  <conditionalFormatting sqref="N19">
    <cfRule type="cellIs" dxfId="10217" priority="5791" operator="greaterThan">
      <formula>0.9</formula>
    </cfRule>
    <cfRule type="cellIs" dxfId="10216" priority="5792" operator="greaterThan">
      <formula>0.85</formula>
    </cfRule>
  </conditionalFormatting>
  <conditionalFormatting sqref="N20">
    <cfRule type="cellIs" dxfId="10215" priority="5773" operator="greaterThan">
      <formula>0.9</formula>
    </cfRule>
    <cfRule type="cellIs" dxfId="10214" priority="5774" operator="greaterThan">
      <formula>0.85</formula>
    </cfRule>
  </conditionalFormatting>
  <conditionalFormatting sqref="N21">
    <cfRule type="cellIs" dxfId="10213" priority="5755" operator="greaterThan">
      <formula>0.9</formula>
    </cfRule>
    <cfRule type="cellIs" dxfId="10212" priority="5756" operator="greaterThan">
      <formula>0.85</formula>
    </cfRule>
  </conditionalFormatting>
  <conditionalFormatting sqref="N22">
    <cfRule type="cellIs" dxfId="10211" priority="5719" operator="greaterThan">
      <formula>0.9</formula>
    </cfRule>
    <cfRule type="cellIs" dxfId="10210" priority="5720" operator="greaterThan">
      <formula>0.85</formula>
    </cfRule>
  </conditionalFormatting>
  <conditionalFormatting sqref="N23">
    <cfRule type="cellIs" dxfId="10209" priority="5701" operator="greaterThan">
      <formula>0.9</formula>
    </cfRule>
    <cfRule type="cellIs" dxfId="10208" priority="5702" operator="greaterThan">
      <formula>0.85</formula>
    </cfRule>
  </conditionalFormatting>
  <conditionalFormatting sqref="N24">
    <cfRule type="cellIs" dxfId="10207" priority="5683" operator="greaterThan">
      <formula>0.9</formula>
    </cfRule>
    <cfRule type="cellIs" dxfId="10206" priority="5684" operator="greaterThan">
      <formula>0.85</formula>
    </cfRule>
  </conditionalFormatting>
  <conditionalFormatting sqref="N25">
    <cfRule type="cellIs" dxfId="10205" priority="5647" operator="greaterThan">
      <formula>0.9</formula>
    </cfRule>
    <cfRule type="cellIs" dxfId="10204" priority="5648" operator="greaterThan">
      <formula>0.85</formula>
    </cfRule>
  </conditionalFormatting>
  <conditionalFormatting sqref="N26">
    <cfRule type="cellIs" dxfId="10203" priority="5629" operator="greaterThan">
      <formula>0.9</formula>
    </cfRule>
    <cfRule type="cellIs" dxfId="10202" priority="5630" operator="greaterThan">
      <formula>0.85</formula>
    </cfRule>
  </conditionalFormatting>
  <conditionalFormatting sqref="N27">
    <cfRule type="cellIs" dxfId="10201" priority="5593" operator="greaterThan">
      <formula>0.9</formula>
    </cfRule>
    <cfRule type="cellIs" dxfId="10200" priority="5594" operator="greaterThan">
      <formula>0.85</formula>
    </cfRule>
  </conditionalFormatting>
  <conditionalFormatting sqref="N28">
    <cfRule type="cellIs" dxfId="10199" priority="5557" operator="greaterThan">
      <formula>0.9</formula>
    </cfRule>
    <cfRule type="cellIs" dxfId="10198" priority="5558" operator="greaterThan">
      <formula>0.85</formula>
    </cfRule>
  </conditionalFormatting>
  <conditionalFormatting sqref="N29">
    <cfRule type="cellIs" dxfId="10197" priority="5521" operator="greaterThan">
      <formula>0.9</formula>
    </cfRule>
    <cfRule type="cellIs" dxfId="10196" priority="5522" operator="greaterThan">
      <formula>0.85</formula>
    </cfRule>
  </conditionalFormatting>
  <conditionalFormatting sqref="N30">
    <cfRule type="cellIs" dxfId="10195" priority="5503" operator="greaterThan">
      <formula>0.9</formula>
    </cfRule>
    <cfRule type="cellIs" dxfId="10194" priority="5504" operator="greaterThan">
      <formula>0.85</formula>
    </cfRule>
  </conditionalFormatting>
  <conditionalFormatting sqref="N31">
    <cfRule type="cellIs" dxfId="10193" priority="5485" operator="greaterThan">
      <formula>0.9</formula>
    </cfRule>
    <cfRule type="cellIs" dxfId="10192" priority="5486" operator="greaterThan">
      <formula>0.85</formula>
    </cfRule>
  </conditionalFormatting>
  <conditionalFormatting sqref="N32">
    <cfRule type="cellIs" dxfId="10191" priority="5449" operator="greaterThan">
      <formula>0.9</formula>
    </cfRule>
    <cfRule type="cellIs" dxfId="10190" priority="5450" operator="greaterThan">
      <formula>0.85</formula>
    </cfRule>
  </conditionalFormatting>
  <conditionalFormatting sqref="N33">
    <cfRule type="cellIs" dxfId="10189" priority="5431" operator="greaterThan">
      <formula>0.9</formula>
    </cfRule>
    <cfRule type="cellIs" dxfId="10188" priority="5432" operator="greaterThan">
      <formula>0.85</formula>
    </cfRule>
  </conditionalFormatting>
  <conditionalFormatting sqref="N34">
    <cfRule type="cellIs" dxfId="10187" priority="5413" operator="greaterThan">
      <formula>0.9</formula>
    </cfRule>
    <cfRule type="cellIs" dxfId="10186" priority="5414" operator="greaterThan">
      <formula>0.85</formula>
    </cfRule>
  </conditionalFormatting>
  <conditionalFormatting sqref="N35">
    <cfRule type="cellIs" dxfId="10185" priority="5395" operator="greaterThan">
      <formula>0.9</formula>
    </cfRule>
    <cfRule type="cellIs" dxfId="10184" priority="5396" operator="greaterThan">
      <formula>0.85</formula>
    </cfRule>
  </conditionalFormatting>
  <conditionalFormatting sqref="N36">
    <cfRule type="cellIs" dxfId="10183" priority="5377" operator="greaterThan">
      <formula>0.9</formula>
    </cfRule>
    <cfRule type="cellIs" dxfId="10182" priority="5378" operator="greaterThan">
      <formula>0.85</formula>
    </cfRule>
  </conditionalFormatting>
  <conditionalFormatting sqref="N37">
    <cfRule type="cellIs" dxfId="10181" priority="5359" operator="greaterThan">
      <formula>0.9</formula>
    </cfRule>
    <cfRule type="cellIs" dxfId="10180" priority="5360" operator="greaterThan">
      <formula>0.85</formula>
    </cfRule>
  </conditionalFormatting>
  <conditionalFormatting sqref="N38">
    <cfRule type="cellIs" dxfId="10179" priority="5341" operator="greaterThan">
      <formula>0.9</formula>
    </cfRule>
    <cfRule type="cellIs" dxfId="10178" priority="5342" operator="greaterThan">
      <formula>0.85</formula>
    </cfRule>
  </conditionalFormatting>
  <conditionalFormatting sqref="N39">
    <cfRule type="cellIs" dxfId="10177" priority="5323" operator="greaterThan">
      <formula>0.9</formula>
    </cfRule>
    <cfRule type="cellIs" dxfId="10176" priority="5324" operator="greaterThan">
      <formula>0.85</formula>
    </cfRule>
  </conditionalFormatting>
  <conditionalFormatting sqref="N40">
    <cfRule type="cellIs" dxfId="10175" priority="5305" operator="greaterThan">
      <formula>0.9</formula>
    </cfRule>
    <cfRule type="cellIs" dxfId="10174" priority="5306" operator="greaterThan">
      <formula>0.85</formula>
    </cfRule>
  </conditionalFormatting>
  <conditionalFormatting sqref="N41">
    <cfRule type="cellIs" dxfId="10173" priority="5287" operator="greaterThan">
      <formula>0.9</formula>
    </cfRule>
    <cfRule type="cellIs" dxfId="10172" priority="5288" operator="greaterThan">
      <formula>0.85</formula>
    </cfRule>
  </conditionalFormatting>
  <conditionalFormatting sqref="N42">
    <cfRule type="cellIs" dxfId="10171" priority="5269" operator="greaterThan">
      <formula>0.9</formula>
    </cfRule>
    <cfRule type="cellIs" dxfId="10170" priority="5270" operator="greaterThan">
      <formula>0.85</formula>
    </cfRule>
  </conditionalFormatting>
  <conditionalFormatting sqref="N43">
    <cfRule type="cellIs" dxfId="10169" priority="5251" operator="greaterThan">
      <formula>0.9</formula>
    </cfRule>
    <cfRule type="cellIs" dxfId="10168" priority="5252" operator="greaterThan">
      <formula>0.85</formula>
    </cfRule>
  </conditionalFormatting>
  <conditionalFormatting sqref="N44">
    <cfRule type="cellIs" dxfId="10167" priority="5233" operator="greaterThan">
      <formula>0.9</formula>
    </cfRule>
    <cfRule type="cellIs" dxfId="10166" priority="5234" operator="greaterThan">
      <formula>0.85</formula>
    </cfRule>
  </conditionalFormatting>
  <conditionalFormatting sqref="N45">
    <cfRule type="cellIs" dxfId="10165" priority="5215" operator="greaterThan">
      <formula>0.9</formula>
    </cfRule>
    <cfRule type="cellIs" dxfId="10164" priority="5216" operator="greaterThan">
      <formula>0.85</formula>
    </cfRule>
  </conditionalFormatting>
  <conditionalFormatting sqref="N46">
    <cfRule type="cellIs" dxfId="10163" priority="5197" operator="greaterThan">
      <formula>0.9</formula>
    </cfRule>
    <cfRule type="cellIs" dxfId="10162" priority="5198" operator="greaterThan">
      <formula>0.85</formula>
    </cfRule>
  </conditionalFormatting>
  <conditionalFormatting sqref="N47">
    <cfRule type="cellIs" dxfId="10161" priority="5179" operator="greaterThan">
      <formula>0.9</formula>
    </cfRule>
    <cfRule type="cellIs" dxfId="10160" priority="5180" operator="greaterThan">
      <formula>0.85</formula>
    </cfRule>
  </conditionalFormatting>
  <conditionalFormatting sqref="N48">
    <cfRule type="cellIs" dxfId="10159" priority="5161" operator="greaterThan">
      <formula>0.9</formula>
    </cfRule>
    <cfRule type="cellIs" dxfId="10158" priority="5162" operator="greaterThan">
      <formula>0.85</formula>
    </cfRule>
  </conditionalFormatting>
  <conditionalFormatting sqref="N49">
    <cfRule type="cellIs" dxfId="10157" priority="5143" operator="greaterThan">
      <formula>0.9</formula>
    </cfRule>
    <cfRule type="cellIs" dxfId="10156" priority="5144" operator="greaterThan">
      <formula>0.85</formula>
    </cfRule>
  </conditionalFormatting>
  <conditionalFormatting sqref="N50">
    <cfRule type="cellIs" dxfId="10155" priority="5125" operator="greaterThan">
      <formula>0.9</formula>
    </cfRule>
    <cfRule type="cellIs" dxfId="10154" priority="5126" operator="greaterThan">
      <formula>0.85</formula>
    </cfRule>
  </conditionalFormatting>
  <conditionalFormatting sqref="N51">
    <cfRule type="cellIs" dxfId="10153" priority="5107" operator="greaterThan">
      <formula>0.9</formula>
    </cfRule>
    <cfRule type="cellIs" dxfId="10152" priority="5108" operator="greaterThan">
      <formula>0.85</formula>
    </cfRule>
  </conditionalFormatting>
  <conditionalFormatting sqref="N52">
    <cfRule type="cellIs" dxfId="10151" priority="5089" operator="greaterThan">
      <formula>0.9</formula>
    </cfRule>
    <cfRule type="cellIs" dxfId="10150" priority="5090" operator="greaterThan">
      <formula>0.85</formula>
    </cfRule>
  </conditionalFormatting>
  <conditionalFormatting sqref="N53">
    <cfRule type="cellIs" dxfId="10149" priority="5071" operator="greaterThan">
      <formula>0.9</formula>
    </cfRule>
    <cfRule type="cellIs" dxfId="10148" priority="5072" operator="greaterThan">
      <formula>0.85</formula>
    </cfRule>
  </conditionalFormatting>
  <conditionalFormatting sqref="N54">
    <cfRule type="cellIs" dxfId="10147" priority="5053" operator="greaterThan">
      <formula>0.9</formula>
    </cfRule>
    <cfRule type="cellIs" dxfId="10146" priority="5054" operator="greaterThan">
      <formula>0.85</formula>
    </cfRule>
  </conditionalFormatting>
  <conditionalFormatting sqref="N55">
    <cfRule type="cellIs" dxfId="10145" priority="5017" operator="greaterThan">
      <formula>0.9</formula>
    </cfRule>
    <cfRule type="cellIs" dxfId="10144" priority="5018" operator="greaterThan">
      <formula>0.85</formula>
    </cfRule>
  </conditionalFormatting>
  <conditionalFormatting sqref="N56">
    <cfRule type="cellIs" dxfId="10143" priority="4999" operator="greaterThan">
      <formula>0.9</formula>
    </cfRule>
    <cfRule type="cellIs" dxfId="10142" priority="5000" operator="greaterThan">
      <formula>0.85</formula>
    </cfRule>
  </conditionalFormatting>
  <conditionalFormatting sqref="N57">
    <cfRule type="cellIs" dxfId="10141" priority="4981" operator="greaterThan">
      <formula>0.9</formula>
    </cfRule>
    <cfRule type="cellIs" dxfId="10140" priority="4982" operator="greaterThan">
      <formula>0.85</formula>
    </cfRule>
  </conditionalFormatting>
  <conditionalFormatting sqref="N58">
    <cfRule type="cellIs" dxfId="10139" priority="4963" operator="greaterThan">
      <formula>0.9</formula>
    </cfRule>
    <cfRule type="cellIs" dxfId="10138" priority="4964" operator="greaterThan">
      <formula>0.85</formula>
    </cfRule>
  </conditionalFormatting>
  <conditionalFormatting sqref="N59">
    <cfRule type="cellIs" dxfId="10137" priority="4945" operator="greaterThan">
      <formula>0.9</formula>
    </cfRule>
    <cfRule type="cellIs" dxfId="10136" priority="4946" operator="greaterThan">
      <formula>0.85</formula>
    </cfRule>
  </conditionalFormatting>
  <conditionalFormatting sqref="N60">
    <cfRule type="cellIs" dxfId="10135" priority="4927" operator="greaterThan">
      <formula>0.9</formula>
    </cfRule>
    <cfRule type="cellIs" dxfId="10134" priority="4928" operator="greaterThan">
      <formula>0.85</formula>
    </cfRule>
  </conditionalFormatting>
  <conditionalFormatting sqref="N61">
    <cfRule type="cellIs" dxfId="10133" priority="4909" operator="greaterThan">
      <formula>0.9</formula>
    </cfRule>
    <cfRule type="cellIs" dxfId="10132" priority="4910" operator="greaterThan">
      <formula>0.85</formula>
    </cfRule>
  </conditionalFormatting>
  <conditionalFormatting sqref="N62">
    <cfRule type="cellIs" dxfId="10131" priority="4891" operator="greaterThan">
      <formula>0.9</formula>
    </cfRule>
    <cfRule type="cellIs" dxfId="10130" priority="4892" operator="greaterThan">
      <formula>0.85</formula>
    </cfRule>
  </conditionalFormatting>
  <conditionalFormatting sqref="N63">
    <cfRule type="cellIs" dxfId="10129" priority="4873" operator="greaterThan">
      <formula>0.9</formula>
    </cfRule>
    <cfRule type="cellIs" dxfId="10128" priority="4874" operator="greaterThan">
      <formula>0.85</formula>
    </cfRule>
  </conditionalFormatting>
  <conditionalFormatting sqref="N64">
    <cfRule type="cellIs" dxfId="10127" priority="4855" operator="greaterThan">
      <formula>0.9</formula>
    </cfRule>
    <cfRule type="cellIs" dxfId="10126" priority="4856" operator="greaterThan">
      <formula>0.85</formula>
    </cfRule>
  </conditionalFormatting>
  <conditionalFormatting sqref="N65">
    <cfRule type="cellIs" dxfId="10125" priority="4837" operator="greaterThan">
      <formula>0.9</formula>
    </cfRule>
    <cfRule type="cellIs" dxfId="10124" priority="4838" operator="greaterThan">
      <formula>0.85</formula>
    </cfRule>
  </conditionalFormatting>
  <conditionalFormatting sqref="N66">
    <cfRule type="cellIs" dxfId="10123" priority="4819" operator="greaterThan">
      <formula>0.9</formula>
    </cfRule>
    <cfRule type="cellIs" dxfId="10122" priority="4820" operator="greaterThan">
      <formula>0.85</formula>
    </cfRule>
  </conditionalFormatting>
  <conditionalFormatting sqref="N67">
    <cfRule type="cellIs" dxfId="10121" priority="4801" operator="greaterThan">
      <formula>0.9</formula>
    </cfRule>
    <cfRule type="cellIs" dxfId="10120" priority="4802" operator="greaterThan">
      <formula>0.85</formula>
    </cfRule>
  </conditionalFormatting>
  <conditionalFormatting sqref="N68">
    <cfRule type="cellIs" dxfId="10119" priority="4783" operator="greaterThan">
      <formula>0.9</formula>
    </cfRule>
    <cfRule type="cellIs" dxfId="10118" priority="4784" operator="greaterThan">
      <formula>0.85</formula>
    </cfRule>
  </conditionalFormatting>
  <conditionalFormatting sqref="N69">
    <cfRule type="cellIs" dxfId="10117" priority="4765" operator="greaterThan">
      <formula>0.9</formula>
    </cfRule>
    <cfRule type="cellIs" dxfId="10116" priority="4766" operator="greaterThan">
      <formula>0.85</formula>
    </cfRule>
  </conditionalFormatting>
  <conditionalFormatting sqref="N70">
    <cfRule type="cellIs" dxfId="10115" priority="4747" operator="greaterThan">
      <formula>0.9</formula>
    </cfRule>
    <cfRule type="cellIs" dxfId="10114" priority="4748" operator="greaterThan">
      <formula>0.85</formula>
    </cfRule>
  </conditionalFormatting>
  <conditionalFormatting sqref="N71">
    <cfRule type="cellIs" dxfId="10113" priority="4729" operator="greaterThan">
      <formula>0.9</formula>
    </cfRule>
    <cfRule type="cellIs" dxfId="10112" priority="4730" operator="greaterThan">
      <formula>0.85</formula>
    </cfRule>
  </conditionalFormatting>
  <conditionalFormatting sqref="N72">
    <cfRule type="cellIs" dxfId="10111" priority="4711" operator="greaterThan">
      <formula>0.9</formula>
    </cfRule>
    <cfRule type="cellIs" dxfId="10110" priority="4712" operator="greaterThan">
      <formula>0.85</formula>
    </cfRule>
  </conditionalFormatting>
  <conditionalFormatting sqref="N73">
    <cfRule type="cellIs" dxfId="10109" priority="4693" operator="greaterThan">
      <formula>0.9</formula>
    </cfRule>
    <cfRule type="cellIs" dxfId="10108" priority="4694" operator="greaterThan">
      <formula>0.85</formula>
    </cfRule>
  </conditionalFormatting>
  <conditionalFormatting sqref="N74">
    <cfRule type="cellIs" dxfId="10107" priority="4675" operator="greaterThan">
      <formula>0.9</formula>
    </cfRule>
    <cfRule type="cellIs" dxfId="10106" priority="4676" operator="greaterThan">
      <formula>0.85</formula>
    </cfRule>
  </conditionalFormatting>
  <conditionalFormatting sqref="N75">
    <cfRule type="cellIs" dxfId="10105" priority="4657" operator="greaterThan">
      <formula>0.9</formula>
    </cfRule>
    <cfRule type="cellIs" dxfId="10104" priority="4658" operator="greaterThan">
      <formula>0.85</formula>
    </cfRule>
  </conditionalFormatting>
  <conditionalFormatting sqref="N76">
    <cfRule type="cellIs" dxfId="10103" priority="4639" operator="greaterThan">
      <formula>0.9</formula>
    </cfRule>
    <cfRule type="cellIs" dxfId="10102" priority="4640" operator="greaterThan">
      <formula>0.85</formula>
    </cfRule>
  </conditionalFormatting>
  <conditionalFormatting sqref="N77">
    <cfRule type="cellIs" dxfId="10101" priority="4621" operator="greaterThan">
      <formula>0.9</formula>
    </cfRule>
    <cfRule type="cellIs" dxfId="10100" priority="4622" operator="greaterThan">
      <formula>0.85</formula>
    </cfRule>
  </conditionalFormatting>
  <conditionalFormatting sqref="N78">
    <cfRule type="cellIs" dxfId="10099" priority="4603" operator="greaterThan">
      <formula>0.9</formula>
    </cfRule>
    <cfRule type="cellIs" dxfId="10098" priority="4604" operator="greaterThan">
      <formula>0.85</formula>
    </cfRule>
  </conditionalFormatting>
  <conditionalFormatting sqref="N79">
    <cfRule type="cellIs" dxfId="10097" priority="4585" operator="greaterThan">
      <formula>0.9</formula>
    </cfRule>
    <cfRule type="cellIs" dxfId="10096" priority="4586" operator="greaterThan">
      <formula>0.85</formula>
    </cfRule>
  </conditionalFormatting>
  <conditionalFormatting sqref="N80">
    <cfRule type="cellIs" dxfId="10095" priority="4567" operator="greaterThan">
      <formula>0.9</formula>
    </cfRule>
    <cfRule type="cellIs" dxfId="10094" priority="4568" operator="greaterThan">
      <formula>0.85</formula>
    </cfRule>
  </conditionalFormatting>
  <conditionalFormatting sqref="N81">
    <cfRule type="cellIs" dxfId="10093" priority="4549" operator="greaterThan">
      <formula>0.9</formula>
    </cfRule>
    <cfRule type="cellIs" dxfId="10092" priority="4550" operator="greaterThan">
      <formula>0.85</formula>
    </cfRule>
  </conditionalFormatting>
  <conditionalFormatting sqref="N82">
    <cfRule type="cellIs" dxfId="10091" priority="4531" operator="greaterThan">
      <formula>0.9</formula>
    </cfRule>
    <cfRule type="cellIs" dxfId="10090" priority="4532" operator="greaterThan">
      <formula>0.85</formula>
    </cfRule>
  </conditionalFormatting>
  <conditionalFormatting sqref="N83">
    <cfRule type="cellIs" dxfId="10089" priority="4513" operator="greaterThan">
      <formula>0.9</formula>
    </cfRule>
    <cfRule type="cellIs" dxfId="10088" priority="4514" operator="greaterThan">
      <formula>0.85</formula>
    </cfRule>
  </conditionalFormatting>
  <conditionalFormatting sqref="N84">
    <cfRule type="cellIs" dxfId="10087" priority="4495" operator="greaterThan">
      <formula>0.9</formula>
    </cfRule>
    <cfRule type="cellIs" dxfId="10086" priority="4496" operator="greaterThan">
      <formula>0.85</formula>
    </cfRule>
  </conditionalFormatting>
  <conditionalFormatting sqref="N85">
    <cfRule type="cellIs" dxfId="10085" priority="4477" operator="greaterThan">
      <formula>0.9</formula>
    </cfRule>
    <cfRule type="cellIs" dxfId="10084" priority="4478" operator="greaterThan">
      <formula>0.85</formula>
    </cfRule>
  </conditionalFormatting>
  <conditionalFormatting sqref="N86">
    <cfRule type="cellIs" dxfId="10083" priority="4459" operator="greaterThan">
      <formula>0.9</formula>
    </cfRule>
    <cfRule type="cellIs" dxfId="10082" priority="4460" operator="greaterThan">
      <formula>0.85</formula>
    </cfRule>
  </conditionalFormatting>
  <conditionalFormatting sqref="N87">
    <cfRule type="cellIs" dxfId="10081" priority="4423" operator="greaterThan">
      <formula>0.9</formula>
    </cfRule>
    <cfRule type="cellIs" dxfId="10080" priority="4424" operator="greaterThan">
      <formula>0.85</formula>
    </cfRule>
  </conditionalFormatting>
  <conditionalFormatting sqref="N88">
    <cfRule type="cellIs" dxfId="10079" priority="4405" operator="greaterThan">
      <formula>0.9</formula>
    </cfRule>
    <cfRule type="cellIs" dxfId="10078" priority="4406" operator="greaterThan">
      <formula>0.85</formula>
    </cfRule>
  </conditionalFormatting>
  <conditionalFormatting sqref="N89">
    <cfRule type="cellIs" dxfId="10077" priority="4351" operator="greaterThan">
      <formula>0.9</formula>
    </cfRule>
    <cfRule type="cellIs" dxfId="10076" priority="4352" operator="greaterThan">
      <formula>0.85</formula>
    </cfRule>
  </conditionalFormatting>
  <conditionalFormatting sqref="N90">
    <cfRule type="cellIs" dxfId="10075" priority="4333" operator="greaterThan">
      <formula>0.9</formula>
    </cfRule>
    <cfRule type="cellIs" dxfId="10074" priority="4334" operator="greaterThan">
      <formula>0.85</formula>
    </cfRule>
  </conditionalFormatting>
  <conditionalFormatting sqref="N91">
    <cfRule type="cellIs" dxfId="10073" priority="4315" operator="greaterThan">
      <formula>0.9</formula>
    </cfRule>
    <cfRule type="cellIs" dxfId="10072" priority="4316" operator="greaterThan">
      <formula>0.85</formula>
    </cfRule>
  </conditionalFormatting>
  <conditionalFormatting sqref="N92">
    <cfRule type="cellIs" dxfId="10071" priority="4297" operator="greaterThan">
      <formula>0.9</formula>
    </cfRule>
    <cfRule type="cellIs" dxfId="10070" priority="4298" operator="greaterThan">
      <formula>0.85</formula>
    </cfRule>
  </conditionalFormatting>
  <conditionalFormatting sqref="N93">
    <cfRule type="cellIs" dxfId="10069" priority="4279" operator="greaterThan">
      <formula>0.9</formula>
    </cfRule>
    <cfRule type="cellIs" dxfId="10068" priority="4280" operator="greaterThan">
      <formula>0.85</formula>
    </cfRule>
  </conditionalFormatting>
  <conditionalFormatting sqref="N94">
    <cfRule type="cellIs" dxfId="10067" priority="4261" operator="greaterThan">
      <formula>0.9</formula>
    </cfRule>
    <cfRule type="cellIs" dxfId="10066" priority="4262" operator="greaterThan">
      <formula>0.85</formula>
    </cfRule>
  </conditionalFormatting>
  <conditionalFormatting sqref="N95">
    <cfRule type="cellIs" dxfId="10065" priority="4243" operator="greaterThan">
      <formula>0.9</formula>
    </cfRule>
    <cfRule type="cellIs" dxfId="10064" priority="4244" operator="greaterThan">
      <formula>0.85</formula>
    </cfRule>
  </conditionalFormatting>
  <conditionalFormatting sqref="N96">
    <cfRule type="cellIs" dxfId="10063" priority="4225" operator="greaterThan">
      <formula>0.9</formula>
    </cfRule>
    <cfRule type="cellIs" dxfId="10062" priority="4226" operator="greaterThan">
      <formula>0.85</formula>
    </cfRule>
  </conditionalFormatting>
  <conditionalFormatting sqref="N97">
    <cfRule type="cellIs" dxfId="10061" priority="4189" operator="greaterThan">
      <formula>0.9</formula>
    </cfRule>
    <cfRule type="cellIs" dxfId="10060" priority="4190" operator="greaterThan">
      <formula>0.85</formula>
    </cfRule>
  </conditionalFormatting>
  <conditionalFormatting sqref="N98">
    <cfRule type="cellIs" dxfId="10059" priority="4171" operator="greaterThan">
      <formula>0.9</formula>
    </cfRule>
    <cfRule type="cellIs" dxfId="10058" priority="4172" operator="greaterThan">
      <formula>0.85</formula>
    </cfRule>
  </conditionalFormatting>
  <conditionalFormatting sqref="N99">
    <cfRule type="cellIs" dxfId="10057" priority="4153" operator="greaterThan">
      <formula>0.9</formula>
    </cfRule>
    <cfRule type="cellIs" dxfId="10056" priority="4154" operator="greaterThan">
      <formula>0.85</formula>
    </cfRule>
  </conditionalFormatting>
  <conditionalFormatting sqref="N100">
    <cfRule type="cellIs" dxfId="10055" priority="4135" operator="greaterThan">
      <formula>0.9</formula>
    </cfRule>
    <cfRule type="cellIs" dxfId="10054" priority="4136" operator="greaterThan">
      <formula>0.85</formula>
    </cfRule>
  </conditionalFormatting>
  <conditionalFormatting sqref="N101">
    <cfRule type="cellIs" dxfId="10053" priority="4117" operator="greaterThan">
      <formula>0.9</formula>
    </cfRule>
    <cfRule type="cellIs" dxfId="10052" priority="4118" operator="greaterThan">
      <formula>0.85</formula>
    </cfRule>
  </conditionalFormatting>
  <conditionalFormatting sqref="N102">
    <cfRule type="cellIs" dxfId="10051" priority="4099" operator="greaterThan">
      <formula>0.9</formula>
    </cfRule>
    <cfRule type="cellIs" dxfId="10050" priority="4100" operator="greaterThan">
      <formula>0.85</formula>
    </cfRule>
  </conditionalFormatting>
  <conditionalFormatting sqref="N103">
    <cfRule type="cellIs" dxfId="10049" priority="4081" operator="greaterThan">
      <formula>0.9</formula>
    </cfRule>
    <cfRule type="cellIs" dxfId="10048" priority="4082" operator="greaterThan">
      <formula>0.85</formula>
    </cfRule>
  </conditionalFormatting>
  <conditionalFormatting sqref="N104">
    <cfRule type="cellIs" dxfId="10047" priority="4063" operator="greaterThan">
      <formula>0.9</formula>
    </cfRule>
    <cfRule type="cellIs" dxfId="10046" priority="4064" operator="greaterThan">
      <formula>0.85</formula>
    </cfRule>
  </conditionalFormatting>
  <conditionalFormatting sqref="N105">
    <cfRule type="cellIs" dxfId="10045" priority="4045" operator="greaterThan">
      <formula>0.9</formula>
    </cfRule>
    <cfRule type="cellIs" dxfId="10044" priority="4046" operator="greaterThan">
      <formula>0.85</formula>
    </cfRule>
  </conditionalFormatting>
  <conditionalFormatting sqref="N106">
    <cfRule type="cellIs" dxfId="10043" priority="4027" operator="greaterThan">
      <formula>0.9</formula>
    </cfRule>
    <cfRule type="cellIs" dxfId="10042" priority="4028" operator="greaterThan">
      <formula>0.85</formula>
    </cfRule>
  </conditionalFormatting>
  <conditionalFormatting sqref="N107">
    <cfRule type="cellIs" dxfId="10041" priority="4009" operator="greaterThan">
      <formula>0.9</formula>
    </cfRule>
    <cfRule type="cellIs" dxfId="10040" priority="4010" operator="greaterThan">
      <formula>0.85</formula>
    </cfRule>
  </conditionalFormatting>
  <conditionalFormatting sqref="N108">
    <cfRule type="cellIs" dxfId="10039" priority="3991" operator="greaterThan">
      <formula>0.9</formula>
    </cfRule>
    <cfRule type="cellIs" dxfId="10038" priority="3992" operator="greaterThan">
      <formula>0.85</formula>
    </cfRule>
  </conditionalFormatting>
  <conditionalFormatting sqref="N109">
    <cfRule type="cellIs" dxfId="10037" priority="3973" operator="greaterThan">
      <formula>0.9</formula>
    </cfRule>
    <cfRule type="cellIs" dxfId="10036" priority="3974" operator="greaterThan">
      <formula>0.85</formula>
    </cfRule>
  </conditionalFormatting>
  <conditionalFormatting sqref="N110">
    <cfRule type="cellIs" dxfId="10035" priority="3955" operator="greaterThan">
      <formula>0.9</formula>
    </cfRule>
    <cfRule type="cellIs" dxfId="10034" priority="3956" operator="greaterThan">
      <formula>0.85</formula>
    </cfRule>
  </conditionalFormatting>
  <conditionalFormatting sqref="N111">
    <cfRule type="cellIs" dxfId="10033" priority="3937" operator="greaterThan">
      <formula>0.9</formula>
    </cfRule>
    <cfRule type="cellIs" dxfId="10032" priority="3938" operator="greaterThan">
      <formula>0.85</formula>
    </cfRule>
  </conditionalFormatting>
  <conditionalFormatting sqref="N112">
    <cfRule type="cellIs" dxfId="10031" priority="3919" operator="greaterThan">
      <formula>0.9</formula>
    </cfRule>
    <cfRule type="cellIs" dxfId="10030" priority="3920" operator="greaterThan">
      <formula>0.85</formula>
    </cfRule>
  </conditionalFormatting>
  <conditionalFormatting sqref="N113">
    <cfRule type="cellIs" dxfId="10029" priority="3901" operator="greaterThan">
      <formula>0.9</formula>
    </cfRule>
    <cfRule type="cellIs" dxfId="10028" priority="3902" operator="greaterThan">
      <formula>0.85</formula>
    </cfRule>
  </conditionalFormatting>
  <conditionalFormatting sqref="N114">
    <cfRule type="cellIs" dxfId="10027" priority="3865" operator="greaterThan">
      <formula>0.9</formula>
    </cfRule>
    <cfRule type="cellIs" dxfId="10026" priority="3866" operator="greaterThan">
      <formula>0.85</formula>
    </cfRule>
  </conditionalFormatting>
  <conditionalFormatting sqref="N115">
    <cfRule type="cellIs" dxfId="10025" priority="3829" operator="greaterThan">
      <formula>0.9</formula>
    </cfRule>
    <cfRule type="cellIs" dxfId="10024" priority="3830" operator="greaterThan">
      <formula>0.85</formula>
    </cfRule>
  </conditionalFormatting>
  <conditionalFormatting sqref="N116">
    <cfRule type="cellIs" dxfId="10023" priority="3811" operator="greaterThan">
      <formula>0.9</formula>
    </cfRule>
    <cfRule type="cellIs" dxfId="10022" priority="3812" operator="greaterThan">
      <formula>0.85</formula>
    </cfRule>
  </conditionalFormatting>
  <conditionalFormatting sqref="N117">
    <cfRule type="cellIs" dxfId="10021" priority="3775" operator="greaterThan">
      <formula>0.9</formula>
    </cfRule>
    <cfRule type="cellIs" dxfId="10020" priority="3776" operator="greaterThan">
      <formula>0.85</formula>
    </cfRule>
  </conditionalFormatting>
  <conditionalFormatting sqref="N118">
    <cfRule type="cellIs" dxfId="10019" priority="3757" operator="greaterThan">
      <formula>0.9</formula>
    </cfRule>
    <cfRule type="cellIs" dxfId="10018" priority="3758" operator="greaterThan">
      <formula>0.85</formula>
    </cfRule>
  </conditionalFormatting>
  <conditionalFormatting sqref="N119">
    <cfRule type="cellIs" dxfId="10017" priority="3739" operator="greaterThan">
      <formula>0.9</formula>
    </cfRule>
    <cfRule type="cellIs" dxfId="10016" priority="3740" operator="greaterThan">
      <formula>0.85</formula>
    </cfRule>
  </conditionalFormatting>
  <conditionalFormatting sqref="N120">
    <cfRule type="cellIs" dxfId="10015" priority="3721" operator="greaterThan">
      <formula>0.9</formula>
    </cfRule>
    <cfRule type="cellIs" dxfId="10014" priority="3722" operator="greaterThan">
      <formula>0.85</formula>
    </cfRule>
  </conditionalFormatting>
  <conditionalFormatting sqref="N121">
    <cfRule type="cellIs" dxfId="10013" priority="3703" operator="greaterThan">
      <formula>0.9</formula>
    </cfRule>
    <cfRule type="cellIs" dxfId="10012" priority="3704" operator="greaterThan">
      <formula>0.85</formula>
    </cfRule>
  </conditionalFormatting>
  <conditionalFormatting sqref="N122">
    <cfRule type="cellIs" dxfId="10011" priority="3685" operator="greaterThan">
      <formula>0.9</formula>
    </cfRule>
    <cfRule type="cellIs" dxfId="10010" priority="3686" operator="greaterThan">
      <formula>0.85</formula>
    </cfRule>
  </conditionalFormatting>
  <conditionalFormatting sqref="N123">
    <cfRule type="cellIs" dxfId="10009" priority="3667" operator="greaterThan">
      <formula>0.9</formula>
    </cfRule>
    <cfRule type="cellIs" dxfId="10008" priority="3668" operator="greaterThan">
      <formula>0.85</formula>
    </cfRule>
  </conditionalFormatting>
  <conditionalFormatting sqref="N124">
    <cfRule type="cellIs" dxfId="10007" priority="3649" operator="greaterThan">
      <formula>0.9</formula>
    </cfRule>
    <cfRule type="cellIs" dxfId="10006" priority="3650" operator="greaterThan">
      <formula>0.85</formula>
    </cfRule>
  </conditionalFormatting>
  <conditionalFormatting sqref="N125">
    <cfRule type="cellIs" dxfId="10005" priority="3631" operator="greaterThan">
      <formula>0.9</formula>
    </cfRule>
    <cfRule type="cellIs" dxfId="10004" priority="3632" operator="greaterThan">
      <formula>0.85</formula>
    </cfRule>
  </conditionalFormatting>
  <conditionalFormatting sqref="N126">
    <cfRule type="cellIs" dxfId="10003" priority="3613" operator="greaterThan">
      <formula>0.9</formula>
    </cfRule>
    <cfRule type="cellIs" dxfId="10002" priority="3614" operator="greaterThan">
      <formula>0.85</formula>
    </cfRule>
  </conditionalFormatting>
  <conditionalFormatting sqref="N127">
    <cfRule type="cellIs" dxfId="10001" priority="3595" operator="greaterThan">
      <formula>0.9</formula>
    </cfRule>
    <cfRule type="cellIs" dxfId="10000" priority="3596" operator="greaterThan">
      <formula>0.85</formula>
    </cfRule>
  </conditionalFormatting>
  <conditionalFormatting sqref="N128">
    <cfRule type="cellIs" dxfId="9999" priority="3577" operator="greaterThan">
      <formula>0.9</formula>
    </cfRule>
    <cfRule type="cellIs" dxfId="9998" priority="3578" operator="greaterThan">
      <formula>0.85</formula>
    </cfRule>
  </conditionalFormatting>
  <conditionalFormatting sqref="N129">
    <cfRule type="cellIs" dxfId="9997" priority="3559" operator="greaterThan">
      <formula>0.9</formula>
    </cfRule>
    <cfRule type="cellIs" dxfId="9996" priority="3560" operator="greaterThan">
      <formula>0.85</formula>
    </cfRule>
  </conditionalFormatting>
  <conditionalFormatting sqref="N130">
    <cfRule type="cellIs" dxfId="9995" priority="3541" operator="greaterThan">
      <formula>0.9</formula>
    </cfRule>
    <cfRule type="cellIs" dxfId="9994" priority="3542" operator="greaterThan">
      <formula>0.85</formula>
    </cfRule>
  </conditionalFormatting>
  <conditionalFormatting sqref="N131">
    <cfRule type="cellIs" dxfId="9993" priority="3523" operator="greaterThan">
      <formula>0.9</formula>
    </cfRule>
    <cfRule type="cellIs" dxfId="9992" priority="3524" operator="greaterThan">
      <formula>0.85</formula>
    </cfRule>
  </conditionalFormatting>
  <conditionalFormatting sqref="N132">
    <cfRule type="cellIs" dxfId="9991" priority="3487" operator="greaterThan">
      <formula>0.9</formula>
    </cfRule>
    <cfRule type="cellIs" dxfId="9990" priority="3488" operator="greaterThan">
      <formula>0.85</formula>
    </cfRule>
  </conditionalFormatting>
  <conditionalFormatting sqref="N133">
    <cfRule type="cellIs" dxfId="9989" priority="3469" operator="greaterThan">
      <formula>0.9</formula>
    </cfRule>
    <cfRule type="cellIs" dxfId="9988" priority="3470" operator="greaterThan">
      <formula>0.85</formula>
    </cfRule>
  </conditionalFormatting>
  <conditionalFormatting sqref="N134">
    <cfRule type="cellIs" dxfId="9987" priority="3451" operator="greaterThan">
      <formula>0.9</formula>
    </cfRule>
    <cfRule type="cellIs" dxfId="9986" priority="3452" operator="greaterThan">
      <formula>0.85</formula>
    </cfRule>
  </conditionalFormatting>
  <conditionalFormatting sqref="N135">
    <cfRule type="cellIs" dxfId="9985" priority="3433" operator="greaterThan">
      <formula>0.9</formula>
    </cfRule>
    <cfRule type="cellIs" dxfId="9984" priority="3434" operator="greaterThan">
      <formula>0.85</formula>
    </cfRule>
  </conditionalFormatting>
  <conditionalFormatting sqref="N136">
    <cfRule type="cellIs" dxfId="9983" priority="3415" operator="greaterThan">
      <formula>0.9</formula>
    </cfRule>
    <cfRule type="cellIs" dxfId="9982" priority="3416" operator="greaterThan">
      <formula>0.85</formula>
    </cfRule>
  </conditionalFormatting>
  <conditionalFormatting sqref="N137">
    <cfRule type="cellIs" dxfId="9981" priority="3397" operator="greaterThan">
      <formula>0.9</formula>
    </cfRule>
    <cfRule type="cellIs" dxfId="9980" priority="3398" operator="greaterThan">
      <formula>0.85</formula>
    </cfRule>
  </conditionalFormatting>
  <conditionalFormatting sqref="N138">
    <cfRule type="cellIs" dxfId="9979" priority="3379" operator="greaterThan">
      <formula>0.9</formula>
    </cfRule>
    <cfRule type="cellIs" dxfId="9978" priority="3380" operator="greaterThan">
      <formula>0.85</formula>
    </cfRule>
  </conditionalFormatting>
  <conditionalFormatting sqref="N139">
    <cfRule type="cellIs" dxfId="9977" priority="3361" operator="greaterThan">
      <formula>0.9</formula>
    </cfRule>
    <cfRule type="cellIs" dxfId="9976" priority="3362" operator="greaterThan">
      <formula>0.85</formula>
    </cfRule>
  </conditionalFormatting>
  <conditionalFormatting sqref="N140">
    <cfRule type="cellIs" dxfId="9975" priority="3343" operator="greaterThan">
      <formula>0.9</formula>
    </cfRule>
    <cfRule type="cellIs" dxfId="9974" priority="3344" operator="greaterThan">
      <formula>0.85</formula>
    </cfRule>
  </conditionalFormatting>
  <conditionalFormatting sqref="N141">
    <cfRule type="cellIs" dxfId="9973" priority="3325" operator="greaterThan">
      <formula>0.9</formula>
    </cfRule>
    <cfRule type="cellIs" dxfId="9972" priority="3326" operator="greaterThan">
      <formula>0.85</formula>
    </cfRule>
  </conditionalFormatting>
  <conditionalFormatting sqref="N142">
    <cfRule type="cellIs" dxfId="9971" priority="3307" operator="greaterThan">
      <formula>0.9</formula>
    </cfRule>
    <cfRule type="cellIs" dxfId="9970" priority="3308" operator="greaterThan">
      <formula>0.85</formula>
    </cfRule>
  </conditionalFormatting>
  <conditionalFormatting sqref="N143">
    <cfRule type="cellIs" dxfId="9969" priority="3289" operator="greaterThan">
      <formula>0.9</formula>
    </cfRule>
    <cfRule type="cellIs" dxfId="9968" priority="3290" operator="greaterThan">
      <formula>0.85</formula>
    </cfRule>
  </conditionalFormatting>
  <conditionalFormatting sqref="N144">
    <cfRule type="cellIs" dxfId="9967" priority="3253" operator="greaterThan">
      <formula>0.9</formula>
    </cfRule>
    <cfRule type="cellIs" dxfId="9966" priority="3254" operator="greaterThan">
      <formula>0.85</formula>
    </cfRule>
  </conditionalFormatting>
  <conditionalFormatting sqref="N145">
    <cfRule type="cellIs" dxfId="9965" priority="3235" operator="greaterThan">
      <formula>0.9</formula>
    </cfRule>
    <cfRule type="cellIs" dxfId="9964" priority="3236" operator="greaterThan">
      <formula>0.85</formula>
    </cfRule>
  </conditionalFormatting>
  <conditionalFormatting sqref="N146">
    <cfRule type="cellIs" dxfId="9963" priority="3217" operator="greaterThan">
      <formula>0.9</formula>
    </cfRule>
    <cfRule type="cellIs" dxfId="9962" priority="3218" operator="greaterThan">
      <formula>0.85</formula>
    </cfRule>
  </conditionalFormatting>
  <conditionalFormatting sqref="N147">
    <cfRule type="cellIs" dxfId="9961" priority="3199" operator="greaterThan">
      <formula>0.9</formula>
    </cfRule>
    <cfRule type="cellIs" dxfId="9960" priority="3200" operator="greaterThan">
      <formula>0.85</formula>
    </cfRule>
  </conditionalFormatting>
  <conditionalFormatting sqref="N148">
    <cfRule type="cellIs" dxfId="9959" priority="3163" operator="greaterThan">
      <formula>0.9</formula>
    </cfRule>
    <cfRule type="cellIs" dxfId="9958" priority="3164" operator="greaterThan">
      <formula>0.85</formula>
    </cfRule>
  </conditionalFormatting>
  <conditionalFormatting sqref="N149">
    <cfRule type="cellIs" dxfId="9957" priority="3145" operator="greaterThan">
      <formula>0.9</formula>
    </cfRule>
    <cfRule type="cellIs" dxfId="9956" priority="3146" operator="greaterThan">
      <formula>0.85</formula>
    </cfRule>
  </conditionalFormatting>
  <conditionalFormatting sqref="N150">
    <cfRule type="cellIs" dxfId="9955" priority="3127" operator="greaterThan">
      <formula>0.9</formula>
    </cfRule>
    <cfRule type="cellIs" dxfId="9954" priority="3128" operator="greaterThan">
      <formula>0.85</formula>
    </cfRule>
  </conditionalFormatting>
  <conditionalFormatting sqref="N151">
    <cfRule type="cellIs" dxfId="9953" priority="3109" operator="greaterThan">
      <formula>0.9</formula>
    </cfRule>
    <cfRule type="cellIs" dxfId="9952" priority="3110" operator="greaterThan">
      <formula>0.85</formula>
    </cfRule>
  </conditionalFormatting>
  <conditionalFormatting sqref="N152">
    <cfRule type="cellIs" dxfId="9951" priority="3091" operator="greaterThan">
      <formula>0.9</formula>
    </cfRule>
    <cfRule type="cellIs" dxfId="9950" priority="3092" operator="greaterThan">
      <formula>0.85</formula>
    </cfRule>
  </conditionalFormatting>
  <conditionalFormatting sqref="N153">
    <cfRule type="cellIs" dxfId="9949" priority="3073" operator="greaterThan">
      <formula>0.9</formula>
    </cfRule>
    <cfRule type="cellIs" dxfId="9948" priority="3074" operator="greaterThan">
      <formula>0.85</formula>
    </cfRule>
  </conditionalFormatting>
  <conditionalFormatting sqref="N154">
    <cfRule type="cellIs" dxfId="9947" priority="3055" operator="greaterThan">
      <formula>0.9</formula>
    </cfRule>
    <cfRule type="cellIs" dxfId="9946" priority="3056" operator="greaterThan">
      <formula>0.85</formula>
    </cfRule>
  </conditionalFormatting>
  <conditionalFormatting sqref="N155">
    <cfRule type="cellIs" dxfId="9945" priority="3037" operator="greaterThan">
      <formula>0.9</formula>
    </cfRule>
    <cfRule type="cellIs" dxfId="9944" priority="3038" operator="greaterThan">
      <formula>0.85</formula>
    </cfRule>
  </conditionalFormatting>
  <conditionalFormatting sqref="N156">
    <cfRule type="cellIs" dxfId="9943" priority="3019" operator="greaterThan">
      <formula>0.9</formula>
    </cfRule>
    <cfRule type="cellIs" dxfId="9942" priority="3020" operator="greaterThan">
      <formula>0.85</formula>
    </cfRule>
  </conditionalFormatting>
  <conditionalFormatting sqref="N157">
    <cfRule type="cellIs" dxfId="9941" priority="3001" operator="greaterThan">
      <formula>0.9</formula>
    </cfRule>
    <cfRule type="cellIs" dxfId="9940" priority="3002" operator="greaterThan">
      <formula>0.85</formula>
    </cfRule>
  </conditionalFormatting>
  <conditionalFormatting sqref="N158">
    <cfRule type="cellIs" dxfId="9939" priority="2983" operator="greaterThan">
      <formula>0.9</formula>
    </cfRule>
    <cfRule type="cellIs" dxfId="9938" priority="2984" operator="greaterThan">
      <formula>0.85</formula>
    </cfRule>
  </conditionalFormatting>
  <conditionalFormatting sqref="N159">
    <cfRule type="cellIs" dxfId="9937" priority="2965" operator="greaterThan">
      <formula>0.9</formula>
    </cfRule>
    <cfRule type="cellIs" dxfId="9936" priority="2966" operator="greaterThan">
      <formula>0.85</formula>
    </cfRule>
  </conditionalFormatting>
  <conditionalFormatting sqref="N160">
    <cfRule type="cellIs" dxfId="9935" priority="2947" operator="greaterThan">
      <formula>0.9</formula>
    </cfRule>
    <cfRule type="cellIs" dxfId="9934" priority="2948" operator="greaterThan">
      <formula>0.85</formula>
    </cfRule>
  </conditionalFormatting>
  <conditionalFormatting sqref="N161">
    <cfRule type="cellIs" dxfId="9933" priority="2911" operator="greaterThan">
      <formula>0.9</formula>
    </cfRule>
    <cfRule type="cellIs" dxfId="9932" priority="2912" operator="greaterThan">
      <formula>0.85</formula>
    </cfRule>
  </conditionalFormatting>
  <conditionalFormatting sqref="N162">
    <cfRule type="cellIs" dxfId="9931" priority="2893" operator="greaterThan">
      <formula>0.9</formula>
    </cfRule>
    <cfRule type="cellIs" dxfId="9930" priority="2894" operator="greaterThan">
      <formula>0.85</formula>
    </cfRule>
  </conditionalFormatting>
  <conditionalFormatting sqref="N163">
    <cfRule type="cellIs" dxfId="9929" priority="2875" operator="greaterThan">
      <formula>0.9</formula>
    </cfRule>
    <cfRule type="cellIs" dxfId="9928" priority="2876" operator="greaterThan">
      <formula>0.85</formula>
    </cfRule>
  </conditionalFormatting>
  <conditionalFormatting sqref="N164">
    <cfRule type="cellIs" dxfId="9927" priority="2857" operator="greaterThan">
      <formula>0.9</formula>
    </cfRule>
    <cfRule type="cellIs" dxfId="9926" priority="2858" operator="greaterThan">
      <formula>0.85</formula>
    </cfRule>
  </conditionalFormatting>
  <conditionalFormatting sqref="N165">
    <cfRule type="cellIs" dxfId="9925" priority="2839" operator="greaterThan">
      <formula>0.9</formula>
    </cfRule>
    <cfRule type="cellIs" dxfId="9924" priority="2840" operator="greaterThan">
      <formula>0.85</formula>
    </cfRule>
  </conditionalFormatting>
  <conditionalFormatting sqref="N166">
    <cfRule type="cellIs" dxfId="9923" priority="2821" operator="greaterThan">
      <formula>0.9</formula>
    </cfRule>
    <cfRule type="cellIs" dxfId="9922" priority="2822" operator="greaterThan">
      <formula>0.85</formula>
    </cfRule>
  </conditionalFormatting>
  <conditionalFormatting sqref="N167">
    <cfRule type="cellIs" dxfId="9921" priority="2803" operator="greaterThan">
      <formula>0.9</formula>
    </cfRule>
    <cfRule type="cellIs" dxfId="9920" priority="2804" operator="greaterThan">
      <formula>0.85</formula>
    </cfRule>
  </conditionalFormatting>
  <conditionalFormatting sqref="N168">
    <cfRule type="cellIs" dxfId="9919" priority="2767" operator="greaterThan">
      <formula>0.9</formula>
    </cfRule>
    <cfRule type="cellIs" dxfId="9918" priority="2768" operator="greaterThan">
      <formula>0.85</formula>
    </cfRule>
  </conditionalFormatting>
  <conditionalFormatting sqref="N169">
    <cfRule type="cellIs" dxfId="9917" priority="2749" operator="greaterThan">
      <formula>0.9</formula>
    </cfRule>
    <cfRule type="cellIs" dxfId="9916" priority="2750" operator="greaterThan">
      <formula>0.85</formula>
    </cfRule>
  </conditionalFormatting>
  <conditionalFormatting sqref="N170">
    <cfRule type="cellIs" dxfId="9915" priority="2731" operator="greaterThan">
      <formula>0.9</formula>
    </cfRule>
    <cfRule type="cellIs" dxfId="9914" priority="2732" operator="greaterThan">
      <formula>0.85</formula>
    </cfRule>
  </conditionalFormatting>
  <conditionalFormatting sqref="N171">
    <cfRule type="cellIs" dxfId="9913" priority="2713" operator="greaterThan">
      <formula>0.9</formula>
    </cfRule>
    <cfRule type="cellIs" dxfId="9912" priority="2714" operator="greaterThan">
      <formula>0.85</formula>
    </cfRule>
  </conditionalFormatting>
  <conditionalFormatting sqref="N172">
    <cfRule type="cellIs" dxfId="9911" priority="2695" operator="greaterThan">
      <formula>0.9</formula>
    </cfRule>
    <cfRule type="cellIs" dxfId="9910" priority="2696" operator="greaterThan">
      <formula>0.85</formula>
    </cfRule>
  </conditionalFormatting>
  <conditionalFormatting sqref="N173">
    <cfRule type="cellIs" dxfId="9909" priority="2677" operator="greaterThan">
      <formula>0.9</formula>
    </cfRule>
    <cfRule type="cellIs" dxfId="9908" priority="2678" operator="greaterThan">
      <formula>0.85</formula>
    </cfRule>
  </conditionalFormatting>
  <conditionalFormatting sqref="N174">
    <cfRule type="cellIs" dxfId="9907" priority="2659" operator="greaterThan">
      <formula>0.9</formula>
    </cfRule>
    <cfRule type="cellIs" dxfId="9906" priority="2660" operator="greaterThan">
      <formula>0.85</formula>
    </cfRule>
  </conditionalFormatting>
  <conditionalFormatting sqref="N175">
    <cfRule type="cellIs" dxfId="9905" priority="2641" operator="greaterThan">
      <formula>0.9</formula>
    </cfRule>
    <cfRule type="cellIs" dxfId="9904" priority="2642" operator="greaterThan">
      <formula>0.85</formula>
    </cfRule>
  </conditionalFormatting>
  <conditionalFormatting sqref="N176">
    <cfRule type="cellIs" dxfId="9903" priority="2623" operator="greaterThan">
      <formula>0.9</formula>
    </cfRule>
    <cfRule type="cellIs" dxfId="9902" priority="2624" operator="greaterThan">
      <formula>0.85</formula>
    </cfRule>
  </conditionalFormatting>
  <conditionalFormatting sqref="N177">
    <cfRule type="cellIs" dxfId="9901" priority="2587" operator="greaterThan">
      <formula>0.9</formula>
    </cfRule>
    <cfRule type="cellIs" dxfId="9900" priority="2588" operator="greaterThan">
      <formula>0.85</formula>
    </cfRule>
  </conditionalFormatting>
  <conditionalFormatting sqref="N178">
    <cfRule type="cellIs" dxfId="9899" priority="2569" operator="greaterThan">
      <formula>0.9</formula>
    </cfRule>
    <cfRule type="cellIs" dxfId="9898" priority="2570" operator="greaterThan">
      <formula>0.85</formula>
    </cfRule>
  </conditionalFormatting>
  <conditionalFormatting sqref="N179">
    <cfRule type="cellIs" dxfId="9897" priority="2551" operator="greaterThan">
      <formula>0.9</formula>
    </cfRule>
    <cfRule type="cellIs" dxfId="9896" priority="2552" operator="greaterThan">
      <formula>0.85</formula>
    </cfRule>
  </conditionalFormatting>
  <conditionalFormatting sqref="N180">
    <cfRule type="cellIs" dxfId="9895" priority="2533" operator="greaterThan">
      <formula>0.9</formula>
    </cfRule>
    <cfRule type="cellIs" dxfId="9894" priority="2534" operator="greaterThan">
      <formula>0.85</formula>
    </cfRule>
  </conditionalFormatting>
  <conditionalFormatting sqref="N181">
    <cfRule type="cellIs" dxfId="9893" priority="2515" operator="greaterThan">
      <formula>0.9</formula>
    </cfRule>
    <cfRule type="cellIs" dxfId="9892" priority="2516" operator="greaterThan">
      <formula>0.85</formula>
    </cfRule>
  </conditionalFormatting>
  <conditionalFormatting sqref="N182">
    <cfRule type="cellIs" dxfId="9891" priority="2497" operator="greaterThan">
      <formula>0.9</formula>
    </cfRule>
    <cfRule type="cellIs" dxfId="9890" priority="2498" operator="greaterThan">
      <formula>0.85</formula>
    </cfRule>
  </conditionalFormatting>
  <conditionalFormatting sqref="N183">
    <cfRule type="cellIs" dxfId="9889" priority="2479" operator="greaterThan">
      <formula>0.9</formula>
    </cfRule>
    <cfRule type="cellIs" dxfId="9888" priority="2480" operator="greaterThan">
      <formula>0.85</formula>
    </cfRule>
  </conditionalFormatting>
  <conditionalFormatting sqref="N184">
    <cfRule type="cellIs" dxfId="9887" priority="2461" operator="greaterThan">
      <formula>0.9</formula>
    </cfRule>
    <cfRule type="cellIs" dxfId="9886" priority="2462" operator="greaterThan">
      <formula>0.85</formula>
    </cfRule>
  </conditionalFormatting>
  <conditionalFormatting sqref="N185">
    <cfRule type="cellIs" dxfId="9885" priority="2443" operator="greaterThan">
      <formula>0.9</formula>
    </cfRule>
    <cfRule type="cellIs" dxfId="9884" priority="2444" operator="greaterThan">
      <formula>0.85</formula>
    </cfRule>
  </conditionalFormatting>
  <conditionalFormatting sqref="N186">
    <cfRule type="cellIs" dxfId="9883" priority="2425" operator="greaterThan">
      <formula>0.9</formula>
    </cfRule>
    <cfRule type="cellIs" dxfId="9882" priority="2426" operator="greaterThan">
      <formula>0.85</formula>
    </cfRule>
  </conditionalFormatting>
  <conditionalFormatting sqref="N187">
    <cfRule type="cellIs" dxfId="9881" priority="2407" operator="greaterThan">
      <formula>0.9</formula>
    </cfRule>
    <cfRule type="cellIs" dxfId="9880" priority="2408" operator="greaterThan">
      <formula>0.85</formula>
    </cfRule>
  </conditionalFormatting>
  <conditionalFormatting sqref="N188">
    <cfRule type="cellIs" dxfId="9879" priority="2389" operator="greaterThan">
      <formula>0.9</formula>
    </cfRule>
    <cfRule type="cellIs" dxfId="9878" priority="2390" operator="greaterThan">
      <formula>0.85</formula>
    </cfRule>
  </conditionalFormatting>
  <conditionalFormatting sqref="N189">
    <cfRule type="cellIs" dxfId="9877" priority="2371" operator="greaterThan">
      <formula>0.9</formula>
    </cfRule>
    <cfRule type="cellIs" dxfId="9876" priority="2372" operator="greaterThan">
      <formula>0.85</formula>
    </cfRule>
  </conditionalFormatting>
  <conditionalFormatting sqref="N190">
    <cfRule type="cellIs" dxfId="9875" priority="2353" operator="greaterThan">
      <formula>0.9</formula>
    </cfRule>
    <cfRule type="cellIs" dxfId="9874" priority="2354" operator="greaterThan">
      <formula>0.85</formula>
    </cfRule>
  </conditionalFormatting>
  <conditionalFormatting sqref="N191">
    <cfRule type="cellIs" dxfId="9873" priority="2317" operator="greaterThan">
      <formula>0.9</formula>
    </cfRule>
    <cfRule type="cellIs" dxfId="9872" priority="2318" operator="greaterThan">
      <formula>0.85</formula>
    </cfRule>
  </conditionalFormatting>
  <conditionalFormatting sqref="N192">
    <cfRule type="cellIs" dxfId="9871" priority="2299" operator="greaterThan">
      <formula>0.9</formula>
    </cfRule>
    <cfRule type="cellIs" dxfId="9870" priority="2300" operator="greaterThan">
      <formula>0.85</formula>
    </cfRule>
  </conditionalFormatting>
  <conditionalFormatting sqref="N193">
    <cfRule type="cellIs" dxfId="9869" priority="2281" operator="greaterThan">
      <formula>0.9</formula>
    </cfRule>
    <cfRule type="cellIs" dxfId="9868" priority="2282" operator="greaterThan">
      <formula>0.85</formula>
    </cfRule>
  </conditionalFormatting>
  <conditionalFormatting sqref="N194">
    <cfRule type="cellIs" dxfId="9867" priority="2263" operator="greaterThan">
      <formula>0.9</formula>
    </cfRule>
    <cfRule type="cellIs" dxfId="9866" priority="2264" operator="greaterThan">
      <formula>0.85</formula>
    </cfRule>
  </conditionalFormatting>
  <conditionalFormatting sqref="N195">
    <cfRule type="cellIs" dxfId="9865" priority="2245" operator="greaterThan">
      <formula>0.9</formula>
    </cfRule>
    <cfRule type="cellIs" dxfId="9864" priority="2246" operator="greaterThan">
      <formula>0.85</formula>
    </cfRule>
  </conditionalFormatting>
  <conditionalFormatting sqref="N196">
    <cfRule type="cellIs" dxfId="9863" priority="2209" operator="greaterThan">
      <formula>0.9</formula>
    </cfRule>
    <cfRule type="cellIs" dxfId="9862" priority="2210" operator="greaterThan">
      <formula>0.85</formula>
    </cfRule>
  </conditionalFormatting>
  <conditionalFormatting sqref="N197">
    <cfRule type="cellIs" dxfId="9861" priority="2191" operator="greaterThan">
      <formula>0.9</formula>
    </cfRule>
    <cfRule type="cellIs" dxfId="9860" priority="2192" operator="greaterThan">
      <formula>0.85</formula>
    </cfRule>
  </conditionalFormatting>
  <conditionalFormatting sqref="N198">
    <cfRule type="cellIs" dxfId="9859" priority="2173" operator="greaterThan">
      <formula>0.9</formula>
    </cfRule>
    <cfRule type="cellIs" dxfId="9858" priority="2174" operator="greaterThan">
      <formula>0.85</formula>
    </cfRule>
  </conditionalFormatting>
  <conditionalFormatting sqref="N199">
    <cfRule type="cellIs" dxfId="9857" priority="2155" operator="greaterThan">
      <formula>0.9</formula>
    </cfRule>
    <cfRule type="cellIs" dxfId="9856" priority="2156" operator="greaterThan">
      <formula>0.85</formula>
    </cfRule>
  </conditionalFormatting>
  <conditionalFormatting sqref="N200">
    <cfRule type="cellIs" dxfId="9855" priority="2137" operator="greaterThan">
      <formula>0.9</formula>
    </cfRule>
    <cfRule type="cellIs" dxfId="9854" priority="2138" operator="greaterThan">
      <formula>0.85</formula>
    </cfRule>
  </conditionalFormatting>
  <conditionalFormatting sqref="N201">
    <cfRule type="cellIs" dxfId="9853" priority="2119" operator="greaterThan">
      <formula>0.9</formula>
    </cfRule>
    <cfRule type="cellIs" dxfId="9852" priority="2120" operator="greaterThan">
      <formula>0.85</formula>
    </cfRule>
  </conditionalFormatting>
  <conditionalFormatting sqref="N202">
    <cfRule type="cellIs" dxfId="9851" priority="2101" operator="greaterThan">
      <formula>0.9</formula>
    </cfRule>
    <cfRule type="cellIs" dxfId="9850" priority="2102" operator="greaterThan">
      <formula>0.85</formula>
    </cfRule>
  </conditionalFormatting>
  <conditionalFormatting sqref="N203">
    <cfRule type="cellIs" dxfId="9849" priority="2083" operator="greaterThan">
      <formula>0.9</formula>
    </cfRule>
    <cfRule type="cellIs" dxfId="9848" priority="2084" operator="greaterThan">
      <formula>0.85</formula>
    </cfRule>
  </conditionalFormatting>
  <conditionalFormatting sqref="N204">
    <cfRule type="cellIs" dxfId="9847" priority="2065" operator="greaterThan">
      <formula>0.9</formula>
    </cfRule>
    <cfRule type="cellIs" dxfId="9846" priority="2066" operator="greaterThan">
      <formula>0.85</formula>
    </cfRule>
  </conditionalFormatting>
  <conditionalFormatting sqref="N205">
    <cfRule type="cellIs" dxfId="9845" priority="2047" operator="greaterThan">
      <formula>0.9</formula>
    </cfRule>
    <cfRule type="cellIs" dxfId="9844" priority="2048" operator="greaterThan">
      <formula>0.85</formula>
    </cfRule>
  </conditionalFormatting>
  <conditionalFormatting sqref="N206">
    <cfRule type="cellIs" dxfId="9843" priority="2029" operator="greaterThan">
      <formula>0.9</formula>
    </cfRule>
    <cfRule type="cellIs" dxfId="9842" priority="2030" operator="greaterThan">
      <formula>0.85</formula>
    </cfRule>
  </conditionalFormatting>
  <conditionalFormatting sqref="N207">
    <cfRule type="cellIs" dxfId="9841" priority="2011" operator="greaterThan">
      <formula>0.9</formula>
    </cfRule>
    <cfRule type="cellIs" dxfId="9840" priority="2012" operator="greaterThan">
      <formula>0.85</formula>
    </cfRule>
  </conditionalFormatting>
  <conditionalFormatting sqref="N208">
    <cfRule type="cellIs" dxfId="9839" priority="1993" operator="greaterThan">
      <formula>0.9</formula>
    </cfRule>
    <cfRule type="cellIs" dxfId="9838" priority="1994" operator="greaterThan">
      <formula>0.85</formula>
    </cfRule>
  </conditionalFormatting>
  <conditionalFormatting sqref="N209">
    <cfRule type="cellIs" dxfId="9837" priority="1975" operator="greaterThan">
      <formula>0.9</formula>
    </cfRule>
    <cfRule type="cellIs" dxfId="9836" priority="1976" operator="greaterThan">
      <formula>0.85</formula>
    </cfRule>
  </conditionalFormatting>
  <conditionalFormatting sqref="N210">
    <cfRule type="cellIs" dxfId="9835" priority="1957" operator="greaterThan">
      <formula>0.9</formula>
    </cfRule>
    <cfRule type="cellIs" dxfId="9834" priority="1958" operator="greaterThan">
      <formula>0.85</formula>
    </cfRule>
  </conditionalFormatting>
  <conditionalFormatting sqref="N211">
    <cfRule type="cellIs" dxfId="9833" priority="1939" operator="greaterThan">
      <formula>0.9</formula>
    </cfRule>
    <cfRule type="cellIs" dxfId="9832" priority="1940" operator="greaterThan">
      <formula>0.85</formula>
    </cfRule>
  </conditionalFormatting>
  <conditionalFormatting sqref="N212">
    <cfRule type="cellIs" dxfId="9831" priority="1921" operator="greaterThan">
      <formula>0.9</formula>
    </cfRule>
    <cfRule type="cellIs" dxfId="9830" priority="1922" operator="greaterThan">
      <formula>0.85</formula>
    </cfRule>
  </conditionalFormatting>
  <conditionalFormatting sqref="N213">
    <cfRule type="cellIs" dxfId="9829" priority="1903" operator="greaterThan">
      <formula>0.9</formula>
    </cfRule>
    <cfRule type="cellIs" dxfId="9828" priority="1904" operator="greaterThan">
      <formula>0.85</formula>
    </cfRule>
  </conditionalFormatting>
  <conditionalFormatting sqref="N214">
    <cfRule type="cellIs" dxfId="9827" priority="1885" operator="greaterThan">
      <formula>0.9</formula>
    </cfRule>
    <cfRule type="cellIs" dxfId="9826" priority="1886" operator="greaterThan">
      <formula>0.85</formula>
    </cfRule>
  </conditionalFormatting>
  <conditionalFormatting sqref="N215">
    <cfRule type="cellIs" dxfId="9825" priority="1867" operator="greaterThan">
      <formula>0.9</formula>
    </cfRule>
    <cfRule type="cellIs" dxfId="9824" priority="1868" operator="greaterThan">
      <formula>0.85</formula>
    </cfRule>
  </conditionalFormatting>
  <conditionalFormatting sqref="N216">
    <cfRule type="cellIs" dxfId="9823" priority="1849" operator="greaterThan">
      <formula>0.9</formula>
    </cfRule>
    <cfRule type="cellIs" dxfId="9822" priority="1850" operator="greaterThan">
      <formula>0.85</formula>
    </cfRule>
  </conditionalFormatting>
  <conditionalFormatting sqref="N217">
    <cfRule type="cellIs" dxfId="9821" priority="1831" operator="greaterThan">
      <formula>0.9</formula>
    </cfRule>
    <cfRule type="cellIs" dxfId="9820" priority="1832" operator="greaterThan">
      <formula>0.85</formula>
    </cfRule>
  </conditionalFormatting>
  <conditionalFormatting sqref="N218">
    <cfRule type="cellIs" dxfId="9819" priority="1813" operator="greaterThan">
      <formula>0.9</formula>
    </cfRule>
    <cfRule type="cellIs" dxfId="9818" priority="1814" operator="greaterThan">
      <formula>0.85</formula>
    </cfRule>
  </conditionalFormatting>
  <conditionalFormatting sqref="N219">
    <cfRule type="cellIs" dxfId="9817" priority="1795" operator="greaterThan">
      <formula>0.9</formula>
    </cfRule>
    <cfRule type="cellIs" dxfId="9816" priority="1796" operator="greaterThan">
      <formula>0.85</formula>
    </cfRule>
  </conditionalFormatting>
  <conditionalFormatting sqref="N220">
    <cfRule type="cellIs" dxfId="9815" priority="1777" operator="greaterThan">
      <formula>0.9</formula>
    </cfRule>
    <cfRule type="cellIs" dxfId="9814" priority="1778" operator="greaterThan">
      <formula>0.85</formula>
    </cfRule>
  </conditionalFormatting>
  <conditionalFormatting sqref="N221">
    <cfRule type="cellIs" dxfId="9813" priority="1759" operator="greaterThan">
      <formula>0.9</formula>
    </cfRule>
    <cfRule type="cellIs" dxfId="9812" priority="1760" operator="greaterThan">
      <formula>0.85</formula>
    </cfRule>
  </conditionalFormatting>
  <conditionalFormatting sqref="N222">
    <cfRule type="cellIs" dxfId="9811" priority="1741" operator="greaterThan">
      <formula>0.9</formula>
    </cfRule>
    <cfRule type="cellIs" dxfId="9810" priority="1742" operator="greaterThan">
      <formula>0.85</formula>
    </cfRule>
  </conditionalFormatting>
  <conditionalFormatting sqref="N223">
    <cfRule type="cellIs" dxfId="9809" priority="1723" operator="greaterThan">
      <formula>0.9</formula>
    </cfRule>
    <cfRule type="cellIs" dxfId="9808" priority="1724" operator="greaterThan">
      <formula>0.85</formula>
    </cfRule>
  </conditionalFormatting>
  <conditionalFormatting sqref="N224">
    <cfRule type="cellIs" dxfId="9807" priority="1705" operator="greaterThan">
      <formula>0.9</formula>
    </cfRule>
    <cfRule type="cellIs" dxfId="9806" priority="1706" operator="greaterThan">
      <formula>0.85</formula>
    </cfRule>
  </conditionalFormatting>
  <conditionalFormatting sqref="N225">
    <cfRule type="cellIs" dxfId="9805" priority="1687" operator="greaterThan">
      <formula>0.9</formula>
    </cfRule>
    <cfRule type="cellIs" dxfId="9804" priority="1688" operator="greaterThan">
      <formula>0.85</formula>
    </cfRule>
  </conditionalFormatting>
  <conditionalFormatting sqref="N226">
    <cfRule type="cellIs" dxfId="9803" priority="1669" operator="greaterThan">
      <formula>0.9</formula>
    </cfRule>
    <cfRule type="cellIs" dxfId="9802" priority="1670" operator="greaterThan">
      <formula>0.85</formula>
    </cfRule>
  </conditionalFormatting>
  <conditionalFormatting sqref="N227">
    <cfRule type="cellIs" dxfId="9801" priority="1651" operator="greaterThan">
      <formula>0.9</formula>
    </cfRule>
    <cfRule type="cellIs" dxfId="9800" priority="1652" operator="greaterThan">
      <formula>0.85</formula>
    </cfRule>
  </conditionalFormatting>
  <conditionalFormatting sqref="N228">
    <cfRule type="cellIs" dxfId="9799" priority="1633" operator="greaterThan">
      <formula>0.9</formula>
    </cfRule>
    <cfRule type="cellIs" dxfId="9798" priority="1634" operator="greaterThan">
      <formula>0.85</formula>
    </cfRule>
  </conditionalFormatting>
  <conditionalFormatting sqref="N229">
    <cfRule type="cellIs" dxfId="9797" priority="1615" operator="greaterThan">
      <formula>0.9</formula>
    </cfRule>
    <cfRule type="cellIs" dxfId="9796" priority="1616" operator="greaterThan">
      <formula>0.85</formula>
    </cfRule>
  </conditionalFormatting>
  <conditionalFormatting sqref="N230">
    <cfRule type="cellIs" dxfId="9795" priority="1597" operator="greaterThan">
      <formula>0.9</formula>
    </cfRule>
    <cfRule type="cellIs" dxfId="9794" priority="1598" operator="greaterThan">
      <formula>0.85</formula>
    </cfRule>
  </conditionalFormatting>
  <conditionalFormatting sqref="N231">
    <cfRule type="cellIs" dxfId="9793" priority="1579" operator="greaterThan">
      <formula>0.9</formula>
    </cfRule>
    <cfRule type="cellIs" dxfId="9792" priority="1580" operator="greaterThan">
      <formula>0.85</formula>
    </cfRule>
  </conditionalFormatting>
  <conditionalFormatting sqref="N232">
    <cfRule type="cellIs" dxfId="9791" priority="1561" operator="greaterThan">
      <formula>0.9</formula>
    </cfRule>
    <cfRule type="cellIs" dxfId="9790" priority="1562" operator="greaterThan">
      <formula>0.85</formula>
    </cfRule>
  </conditionalFormatting>
  <conditionalFormatting sqref="N233">
    <cfRule type="cellIs" dxfId="9789" priority="1543" operator="greaterThan">
      <formula>0.9</formula>
    </cfRule>
    <cfRule type="cellIs" dxfId="9788" priority="1544" operator="greaterThan">
      <formula>0.85</formula>
    </cfRule>
  </conditionalFormatting>
  <conditionalFormatting sqref="N234">
    <cfRule type="cellIs" dxfId="9787" priority="1525" operator="greaterThan">
      <formula>0.9</formula>
    </cfRule>
    <cfRule type="cellIs" dxfId="9786" priority="1526" operator="greaterThan">
      <formula>0.85</formula>
    </cfRule>
  </conditionalFormatting>
  <conditionalFormatting sqref="N235">
    <cfRule type="cellIs" dxfId="9785" priority="1507" operator="greaterThan">
      <formula>0.9</formula>
    </cfRule>
    <cfRule type="cellIs" dxfId="9784" priority="1508" operator="greaterThan">
      <formula>0.85</formula>
    </cfRule>
  </conditionalFormatting>
  <conditionalFormatting sqref="N236">
    <cfRule type="cellIs" dxfId="9783" priority="1489" operator="greaterThan">
      <formula>0.9</formula>
    </cfRule>
    <cfRule type="cellIs" dxfId="9782" priority="1490" operator="greaterThan">
      <formula>0.85</formula>
    </cfRule>
  </conditionalFormatting>
  <conditionalFormatting sqref="N237">
    <cfRule type="cellIs" dxfId="9781" priority="1471" operator="greaterThan">
      <formula>0.9</formula>
    </cfRule>
    <cfRule type="cellIs" dxfId="9780" priority="1472" operator="greaterThan">
      <formula>0.85</formula>
    </cfRule>
  </conditionalFormatting>
  <conditionalFormatting sqref="N238">
    <cfRule type="cellIs" dxfId="9779" priority="1453" operator="greaterThan">
      <formula>0.9</formula>
    </cfRule>
    <cfRule type="cellIs" dxfId="9778" priority="1454" operator="greaterThan">
      <formula>0.85</formula>
    </cfRule>
  </conditionalFormatting>
  <conditionalFormatting sqref="N239">
    <cfRule type="cellIs" dxfId="9777" priority="1435" operator="greaterThan">
      <formula>0.9</formula>
    </cfRule>
    <cfRule type="cellIs" dxfId="9776" priority="1436" operator="greaterThan">
      <formula>0.85</formula>
    </cfRule>
  </conditionalFormatting>
  <conditionalFormatting sqref="N240">
    <cfRule type="cellIs" dxfId="9775" priority="1417" operator="greaterThan">
      <formula>0.9</formula>
    </cfRule>
    <cfRule type="cellIs" dxfId="9774" priority="1418" operator="greaterThan">
      <formula>0.85</formula>
    </cfRule>
  </conditionalFormatting>
  <conditionalFormatting sqref="N241">
    <cfRule type="cellIs" dxfId="9773" priority="1399" operator="greaterThan">
      <formula>0.9</formula>
    </cfRule>
    <cfRule type="cellIs" dxfId="9772" priority="1400" operator="greaterThan">
      <formula>0.85</formula>
    </cfRule>
  </conditionalFormatting>
  <conditionalFormatting sqref="N242">
    <cfRule type="cellIs" dxfId="9771" priority="1381" operator="greaterThan">
      <formula>0.9</formula>
    </cfRule>
    <cfRule type="cellIs" dxfId="9770" priority="1382" operator="greaterThan">
      <formula>0.85</formula>
    </cfRule>
  </conditionalFormatting>
  <conditionalFormatting sqref="N243">
    <cfRule type="cellIs" dxfId="9769" priority="1363" operator="greaterThan">
      <formula>0.9</formula>
    </cfRule>
    <cfRule type="cellIs" dxfId="9768" priority="1364" operator="greaterThan">
      <formula>0.85</formula>
    </cfRule>
  </conditionalFormatting>
  <conditionalFormatting sqref="N244">
    <cfRule type="cellIs" dxfId="9767" priority="1345" operator="greaterThan">
      <formula>0.9</formula>
    </cfRule>
    <cfRule type="cellIs" dxfId="9766" priority="1346" operator="greaterThan">
      <formula>0.85</formula>
    </cfRule>
  </conditionalFormatting>
  <conditionalFormatting sqref="N245">
    <cfRule type="cellIs" dxfId="9765" priority="1327" operator="greaterThan">
      <formula>0.9</formula>
    </cfRule>
    <cfRule type="cellIs" dxfId="9764" priority="1328" operator="greaterThan">
      <formula>0.85</formula>
    </cfRule>
  </conditionalFormatting>
  <conditionalFormatting sqref="N246">
    <cfRule type="cellIs" dxfId="9763" priority="1309" operator="greaterThan">
      <formula>0.9</formula>
    </cfRule>
    <cfRule type="cellIs" dxfId="9762" priority="1310" operator="greaterThan">
      <formula>0.85</formula>
    </cfRule>
  </conditionalFormatting>
  <conditionalFormatting sqref="N247">
    <cfRule type="cellIs" dxfId="9761" priority="1291" operator="greaterThan">
      <formula>0.9</formula>
    </cfRule>
    <cfRule type="cellIs" dxfId="9760" priority="1292" operator="greaterThan">
      <formula>0.85</formula>
    </cfRule>
  </conditionalFormatting>
  <conditionalFormatting sqref="N248">
    <cfRule type="cellIs" dxfId="9759" priority="1273" operator="greaterThan">
      <formula>0.9</formula>
    </cfRule>
    <cfRule type="cellIs" dxfId="9758" priority="1274" operator="greaterThan">
      <formula>0.85</formula>
    </cfRule>
  </conditionalFormatting>
  <conditionalFormatting sqref="N249">
    <cfRule type="cellIs" dxfId="9757" priority="1237" operator="greaterThan">
      <formula>0.9</formula>
    </cfRule>
    <cfRule type="cellIs" dxfId="9756" priority="1238" operator="greaterThan">
      <formula>0.85</formula>
    </cfRule>
  </conditionalFormatting>
  <conditionalFormatting sqref="N250">
    <cfRule type="cellIs" dxfId="9755" priority="1219" operator="greaterThan">
      <formula>0.9</formula>
    </cfRule>
    <cfRule type="cellIs" dxfId="9754" priority="1220" operator="greaterThan">
      <formula>0.85</formula>
    </cfRule>
  </conditionalFormatting>
  <conditionalFormatting sqref="N251">
    <cfRule type="cellIs" dxfId="9753" priority="1201" operator="greaterThan">
      <formula>0.9</formula>
    </cfRule>
    <cfRule type="cellIs" dxfId="9752" priority="1202" operator="greaterThan">
      <formula>0.85</formula>
    </cfRule>
  </conditionalFormatting>
  <conditionalFormatting sqref="N252">
    <cfRule type="cellIs" dxfId="9751" priority="1183" operator="greaterThan">
      <formula>0.9</formula>
    </cfRule>
    <cfRule type="cellIs" dxfId="9750" priority="1184" operator="greaterThan">
      <formula>0.85</formula>
    </cfRule>
  </conditionalFormatting>
  <conditionalFormatting sqref="N253">
    <cfRule type="cellIs" dxfId="9749" priority="1165" operator="greaterThan">
      <formula>0.9</formula>
    </cfRule>
    <cfRule type="cellIs" dxfId="9748" priority="1166" operator="greaterThan">
      <formula>0.85</formula>
    </cfRule>
  </conditionalFormatting>
  <conditionalFormatting sqref="N254">
    <cfRule type="cellIs" dxfId="9747" priority="1147" operator="greaterThan">
      <formula>0.9</formula>
    </cfRule>
    <cfRule type="cellIs" dxfId="9746" priority="1148" operator="greaterThan">
      <formula>0.85</formula>
    </cfRule>
  </conditionalFormatting>
  <conditionalFormatting sqref="N255">
    <cfRule type="cellIs" dxfId="9745" priority="1129" operator="greaterThan">
      <formula>0.9</formula>
    </cfRule>
    <cfRule type="cellIs" dxfId="9744" priority="1130" operator="greaterThan">
      <formula>0.85</formula>
    </cfRule>
  </conditionalFormatting>
  <conditionalFormatting sqref="N256">
    <cfRule type="cellIs" dxfId="9743" priority="1111" operator="greaterThan">
      <formula>0.9</formula>
    </cfRule>
    <cfRule type="cellIs" dxfId="9742" priority="1112" operator="greaterThan">
      <formula>0.85</formula>
    </cfRule>
  </conditionalFormatting>
  <conditionalFormatting sqref="N257">
    <cfRule type="cellIs" dxfId="9741" priority="1093" operator="greaterThan">
      <formula>0.9</formula>
    </cfRule>
    <cfRule type="cellIs" dxfId="9740" priority="1094" operator="greaterThan">
      <formula>0.85</formula>
    </cfRule>
  </conditionalFormatting>
  <conditionalFormatting sqref="N258">
    <cfRule type="cellIs" dxfId="9739" priority="1075" operator="greaterThan">
      <formula>0.9</formula>
    </cfRule>
    <cfRule type="cellIs" dxfId="9738" priority="1076" operator="greaterThan">
      <formula>0.85</formula>
    </cfRule>
  </conditionalFormatting>
  <conditionalFormatting sqref="N259">
    <cfRule type="cellIs" dxfId="9737" priority="1057" operator="greaterThan">
      <formula>0.9</formula>
    </cfRule>
    <cfRule type="cellIs" dxfId="9736" priority="1058" operator="greaterThan">
      <formula>0.85</formula>
    </cfRule>
  </conditionalFormatting>
  <conditionalFormatting sqref="N260">
    <cfRule type="cellIs" dxfId="9735" priority="1039" operator="greaterThan">
      <formula>0.9</formula>
    </cfRule>
    <cfRule type="cellIs" dxfId="9734" priority="1040" operator="greaterThan">
      <formula>0.85</formula>
    </cfRule>
  </conditionalFormatting>
  <conditionalFormatting sqref="N261">
    <cfRule type="cellIs" dxfId="9733" priority="1021" operator="greaterThan">
      <formula>0.9</formula>
    </cfRule>
    <cfRule type="cellIs" dxfId="9732" priority="1022" operator="greaterThan">
      <formula>0.85</formula>
    </cfRule>
  </conditionalFormatting>
  <conditionalFormatting sqref="N262">
    <cfRule type="cellIs" dxfId="9731" priority="1003" operator="greaterThan">
      <formula>0.9</formula>
    </cfRule>
    <cfRule type="cellIs" dxfId="9730" priority="1004" operator="greaterThan">
      <formula>0.85</formula>
    </cfRule>
  </conditionalFormatting>
  <conditionalFormatting sqref="N263">
    <cfRule type="cellIs" dxfId="9729" priority="967" operator="greaterThan">
      <formula>0.9</formula>
    </cfRule>
    <cfRule type="cellIs" dxfId="9728" priority="968" operator="greaterThan">
      <formula>0.85</formula>
    </cfRule>
  </conditionalFormatting>
  <conditionalFormatting sqref="N264">
    <cfRule type="cellIs" dxfId="9727" priority="949" operator="greaterThan">
      <formula>0.9</formula>
    </cfRule>
    <cfRule type="cellIs" dxfId="9726" priority="950" operator="greaterThan">
      <formula>0.85</formula>
    </cfRule>
  </conditionalFormatting>
  <conditionalFormatting sqref="N265">
    <cfRule type="cellIs" dxfId="9725" priority="931" operator="greaterThan">
      <formula>0.9</formula>
    </cfRule>
    <cfRule type="cellIs" dxfId="9724" priority="932" operator="greaterThan">
      <formula>0.85</formula>
    </cfRule>
  </conditionalFormatting>
  <conditionalFormatting sqref="N266">
    <cfRule type="cellIs" dxfId="9723" priority="913" operator="greaterThan">
      <formula>0.9</formula>
    </cfRule>
    <cfRule type="cellIs" dxfId="9722" priority="914" operator="greaterThan">
      <formula>0.85</formula>
    </cfRule>
  </conditionalFormatting>
  <conditionalFormatting sqref="N267">
    <cfRule type="cellIs" dxfId="9721" priority="895" operator="greaterThan">
      <formula>0.9</formula>
    </cfRule>
    <cfRule type="cellIs" dxfId="9720" priority="896" operator="greaterThan">
      <formula>0.85</formula>
    </cfRule>
  </conditionalFormatting>
  <conditionalFormatting sqref="N268">
    <cfRule type="cellIs" dxfId="9719" priority="877" operator="greaterThan">
      <formula>0.9</formula>
    </cfRule>
    <cfRule type="cellIs" dxfId="9718" priority="878" operator="greaterThan">
      <formula>0.85</formula>
    </cfRule>
  </conditionalFormatting>
  <conditionalFormatting sqref="N269">
    <cfRule type="cellIs" dxfId="9717" priority="859" operator="greaterThan">
      <formula>0.9</formula>
    </cfRule>
    <cfRule type="cellIs" dxfId="9716" priority="860" operator="greaterThan">
      <formula>0.85</formula>
    </cfRule>
  </conditionalFormatting>
  <conditionalFormatting sqref="N270">
    <cfRule type="cellIs" dxfId="9715" priority="841" operator="greaterThan">
      <formula>0.9</formula>
    </cfRule>
    <cfRule type="cellIs" dxfId="9714" priority="842" operator="greaterThan">
      <formula>0.85</formula>
    </cfRule>
  </conditionalFormatting>
  <conditionalFormatting sqref="N271">
    <cfRule type="cellIs" dxfId="9713" priority="823" operator="greaterThan">
      <formula>0.9</formula>
    </cfRule>
    <cfRule type="cellIs" dxfId="9712" priority="824" operator="greaterThan">
      <formula>0.85</formula>
    </cfRule>
  </conditionalFormatting>
  <conditionalFormatting sqref="N272">
    <cfRule type="cellIs" dxfId="9711" priority="805" operator="greaterThan">
      <formula>0.9</formula>
    </cfRule>
    <cfRule type="cellIs" dxfId="9710" priority="806" operator="greaterThan">
      <formula>0.85</formula>
    </cfRule>
  </conditionalFormatting>
  <conditionalFormatting sqref="N273">
    <cfRule type="cellIs" dxfId="9709" priority="787" operator="greaterThan">
      <formula>0.9</formula>
    </cfRule>
    <cfRule type="cellIs" dxfId="9708" priority="788" operator="greaterThan">
      <formula>0.85</formula>
    </cfRule>
  </conditionalFormatting>
  <conditionalFormatting sqref="N274">
    <cfRule type="cellIs" dxfId="9707" priority="769" operator="greaterThan">
      <formula>0.9</formula>
    </cfRule>
    <cfRule type="cellIs" dxfId="9706" priority="770" operator="greaterThan">
      <formula>0.85</formula>
    </cfRule>
  </conditionalFormatting>
  <conditionalFormatting sqref="N275">
    <cfRule type="cellIs" dxfId="9705" priority="751" operator="greaterThan">
      <formula>0.9</formula>
    </cfRule>
    <cfRule type="cellIs" dxfId="9704" priority="752" operator="greaterThan">
      <formula>0.85</formula>
    </cfRule>
  </conditionalFormatting>
  <conditionalFormatting sqref="N276">
    <cfRule type="cellIs" dxfId="9703" priority="733" operator="greaterThan">
      <formula>0.9</formula>
    </cfRule>
    <cfRule type="cellIs" dxfId="9702" priority="734" operator="greaterThan">
      <formula>0.85</formula>
    </cfRule>
  </conditionalFormatting>
  <conditionalFormatting sqref="N277">
    <cfRule type="cellIs" dxfId="9701" priority="715" operator="greaterThan">
      <formula>0.9</formula>
    </cfRule>
    <cfRule type="cellIs" dxfId="9700" priority="716" operator="greaterThan">
      <formula>0.85</formula>
    </cfRule>
  </conditionalFormatting>
  <conditionalFormatting sqref="N278">
    <cfRule type="cellIs" dxfId="9699" priority="697" operator="greaterThan">
      <formula>0.9</formula>
    </cfRule>
    <cfRule type="cellIs" dxfId="9698" priority="698" operator="greaterThan">
      <formula>0.85</formula>
    </cfRule>
  </conditionalFormatting>
  <conditionalFormatting sqref="N279">
    <cfRule type="cellIs" dxfId="9697" priority="679" operator="greaterThan">
      <formula>0.9</formula>
    </cfRule>
    <cfRule type="cellIs" dxfId="9696" priority="680" operator="greaterThan">
      <formula>0.85</formula>
    </cfRule>
  </conditionalFormatting>
  <conditionalFormatting sqref="N280">
    <cfRule type="cellIs" dxfId="9695" priority="661" operator="greaterThan">
      <formula>0.9</formula>
    </cfRule>
    <cfRule type="cellIs" dxfId="9694" priority="662" operator="greaterThan">
      <formula>0.85</formula>
    </cfRule>
  </conditionalFormatting>
  <conditionalFormatting sqref="N281">
    <cfRule type="cellIs" dxfId="9693" priority="643" operator="greaterThan">
      <formula>0.9</formula>
    </cfRule>
    <cfRule type="cellIs" dxfId="9692" priority="644" operator="greaterThan">
      <formula>0.85</formula>
    </cfRule>
  </conditionalFormatting>
  <conditionalFormatting sqref="N282">
    <cfRule type="cellIs" dxfId="9691" priority="607" operator="greaterThan">
      <formula>0.9</formula>
    </cfRule>
    <cfRule type="cellIs" dxfId="9690" priority="608" operator="greaterThan">
      <formula>0.85</formula>
    </cfRule>
  </conditionalFormatting>
  <conditionalFormatting sqref="N283">
    <cfRule type="cellIs" dxfId="9689" priority="589" operator="greaterThan">
      <formula>0.9</formula>
    </cfRule>
    <cfRule type="cellIs" dxfId="9688" priority="590" operator="greaterThan">
      <formula>0.85</formula>
    </cfRule>
  </conditionalFormatting>
  <conditionalFormatting sqref="N284">
    <cfRule type="cellIs" dxfId="9687" priority="553" operator="greaterThan">
      <formula>0.9</formula>
    </cfRule>
    <cfRule type="cellIs" dxfId="9686" priority="554" operator="greaterThan">
      <formula>0.85</formula>
    </cfRule>
  </conditionalFormatting>
  <conditionalFormatting sqref="N285">
    <cfRule type="cellIs" dxfId="9685" priority="535" operator="greaterThan">
      <formula>0.9</formula>
    </cfRule>
    <cfRule type="cellIs" dxfId="9684" priority="536" operator="greaterThan">
      <formula>0.85</formula>
    </cfRule>
  </conditionalFormatting>
  <conditionalFormatting sqref="N286">
    <cfRule type="cellIs" dxfId="9683" priority="517" operator="greaterThan">
      <formula>0.9</formula>
    </cfRule>
    <cfRule type="cellIs" dxfId="9682" priority="518" operator="greaterThan">
      <formula>0.85</formula>
    </cfRule>
  </conditionalFormatting>
  <conditionalFormatting sqref="N287">
    <cfRule type="cellIs" dxfId="9681" priority="499" operator="greaterThan">
      <formula>0.9</formula>
    </cfRule>
    <cfRule type="cellIs" dxfId="9680" priority="500" operator="greaterThan">
      <formula>0.85</formula>
    </cfRule>
  </conditionalFormatting>
  <conditionalFormatting sqref="N288">
    <cfRule type="cellIs" dxfId="9679" priority="463" operator="greaterThan">
      <formula>0.9</formula>
    </cfRule>
    <cfRule type="cellIs" dxfId="9678" priority="464" operator="greaterThan">
      <formula>0.85</formula>
    </cfRule>
  </conditionalFormatting>
  <conditionalFormatting sqref="N289">
    <cfRule type="cellIs" dxfId="9677" priority="445" operator="greaterThan">
      <formula>0.9</formula>
    </cfRule>
    <cfRule type="cellIs" dxfId="9676" priority="446" operator="greaterThan">
      <formula>0.85</formula>
    </cfRule>
  </conditionalFormatting>
  <conditionalFormatting sqref="N290">
    <cfRule type="cellIs" dxfId="9675" priority="427" operator="greaterThan">
      <formula>0.9</formula>
    </cfRule>
    <cfRule type="cellIs" dxfId="9674" priority="428" operator="greaterThan">
      <formula>0.85</formula>
    </cfRule>
  </conditionalFormatting>
  <conditionalFormatting sqref="N291">
    <cfRule type="cellIs" dxfId="9673" priority="409" operator="greaterThan">
      <formula>0.9</formula>
    </cfRule>
    <cfRule type="cellIs" dxfId="9672" priority="410" operator="greaterThan">
      <formula>0.85</formula>
    </cfRule>
  </conditionalFormatting>
  <conditionalFormatting sqref="N292">
    <cfRule type="cellIs" dxfId="9671" priority="391" operator="greaterThan">
      <formula>0.9</formula>
    </cfRule>
    <cfRule type="cellIs" dxfId="9670" priority="392" operator="greaterThan">
      <formula>0.85</formula>
    </cfRule>
  </conditionalFormatting>
  <conditionalFormatting sqref="N293">
    <cfRule type="cellIs" dxfId="9669" priority="355" operator="greaterThan">
      <formula>0.9</formula>
    </cfRule>
    <cfRule type="cellIs" dxfId="9668" priority="356" operator="greaterThan">
      <formula>0.85</formula>
    </cfRule>
  </conditionalFormatting>
  <conditionalFormatting sqref="N294">
    <cfRule type="cellIs" dxfId="9667" priority="337" operator="greaterThan">
      <formula>0.9</formula>
    </cfRule>
    <cfRule type="cellIs" dxfId="9666" priority="338" operator="greaterThan">
      <formula>0.85</formula>
    </cfRule>
  </conditionalFormatting>
  <conditionalFormatting sqref="N295">
    <cfRule type="cellIs" dxfId="9665" priority="319" operator="greaterThan">
      <formula>0.9</formula>
    </cfRule>
    <cfRule type="cellIs" dxfId="9664" priority="320" operator="greaterThan">
      <formula>0.85</formula>
    </cfRule>
  </conditionalFormatting>
  <conditionalFormatting sqref="N296">
    <cfRule type="cellIs" dxfId="9663" priority="301" operator="greaterThan">
      <formula>0.9</formula>
    </cfRule>
    <cfRule type="cellIs" dxfId="9662" priority="302" operator="greaterThan">
      <formula>0.85</formula>
    </cfRule>
  </conditionalFormatting>
  <conditionalFormatting sqref="N297">
    <cfRule type="cellIs" dxfId="9661" priority="283" operator="greaterThan">
      <formula>0.9</formula>
    </cfRule>
    <cfRule type="cellIs" dxfId="9660" priority="284" operator="greaterThan">
      <formula>0.85</formula>
    </cfRule>
  </conditionalFormatting>
  <conditionalFormatting sqref="N298">
    <cfRule type="cellIs" dxfId="9659" priority="265" operator="greaterThan">
      <formula>0.9</formula>
    </cfRule>
    <cfRule type="cellIs" dxfId="9658" priority="266" operator="greaterThan">
      <formula>0.85</formula>
    </cfRule>
  </conditionalFormatting>
  <conditionalFormatting sqref="N299">
    <cfRule type="cellIs" dxfId="9657" priority="247" operator="greaterThan">
      <formula>0.9</formula>
    </cfRule>
    <cfRule type="cellIs" dxfId="9656" priority="248" operator="greaterThan">
      <formula>0.85</formula>
    </cfRule>
  </conditionalFormatting>
  <conditionalFormatting sqref="N300">
    <cfRule type="cellIs" dxfId="9655" priority="229" operator="greaterThan">
      <formula>0.9</formula>
    </cfRule>
    <cfRule type="cellIs" dxfId="9654" priority="230" operator="greaterThan">
      <formula>0.85</formula>
    </cfRule>
  </conditionalFormatting>
  <conditionalFormatting sqref="N301">
    <cfRule type="cellIs" dxfId="9653" priority="211" operator="greaterThan">
      <formula>0.9</formula>
    </cfRule>
    <cfRule type="cellIs" dxfId="9652" priority="212" operator="greaterThan">
      <formula>0.85</formula>
    </cfRule>
  </conditionalFormatting>
  <conditionalFormatting sqref="N302">
    <cfRule type="cellIs" dxfId="9651" priority="193" operator="greaterThan">
      <formula>0.9</formula>
    </cfRule>
    <cfRule type="cellIs" dxfId="9650" priority="194" operator="greaterThan">
      <formula>0.85</formula>
    </cfRule>
  </conditionalFormatting>
  <conditionalFormatting sqref="N303">
    <cfRule type="cellIs" dxfId="9649" priority="175" operator="greaterThan">
      <formula>0.9</formula>
    </cfRule>
    <cfRule type="cellIs" dxfId="9648" priority="176" operator="greaterThan">
      <formula>0.85</formula>
    </cfRule>
  </conditionalFormatting>
  <conditionalFormatting sqref="N304">
    <cfRule type="cellIs" dxfId="9647" priority="157" operator="greaterThan">
      <formula>0.9</formula>
    </cfRule>
    <cfRule type="cellIs" dxfId="9646" priority="158" operator="greaterThan">
      <formula>0.85</formula>
    </cfRule>
  </conditionalFormatting>
  <conditionalFormatting sqref="N305">
    <cfRule type="cellIs" dxfId="9645" priority="139" operator="greaterThan">
      <formula>0.9</formula>
    </cfRule>
    <cfRule type="cellIs" dxfId="9644" priority="140" operator="greaterThan">
      <formula>0.85</formula>
    </cfRule>
  </conditionalFormatting>
  <conditionalFormatting sqref="N306">
    <cfRule type="cellIs" dxfId="9643" priority="121" operator="greaterThan">
      <formula>0.9</formula>
    </cfRule>
    <cfRule type="cellIs" dxfId="9642" priority="122" operator="greaterThan">
      <formula>0.85</formula>
    </cfRule>
  </conditionalFormatting>
  <conditionalFormatting sqref="N307">
    <cfRule type="cellIs" dxfId="9641" priority="85" operator="greaterThan">
      <formula>0.9</formula>
    </cfRule>
    <cfRule type="cellIs" dxfId="9640" priority="86" operator="greaterThan">
      <formula>0.85</formula>
    </cfRule>
  </conditionalFormatting>
  <conditionalFormatting sqref="N308">
    <cfRule type="cellIs" dxfId="9639" priority="67" operator="greaterThan">
      <formula>0.9</formula>
    </cfRule>
    <cfRule type="cellIs" dxfId="9638" priority="68" operator="greaterThan">
      <formula>0.85</formula>
    </cfRule>
  </conditionalFormatting>
  <conditionalFormatting sqref="N309">
    <cfRule type="cellIs" dxfId="9637" priority="49" operator="greaterThan">
      <formula>0.9</formula>
    </cfRule>
    <cfRule type="cellIs" dxfId="9636" priority="50" operator="greaterThan">
      <formula>0.85</formula>
    </cfRule>
  </conditionalFormatting>
  <conditionalFormatting sqref="N310">
    <cfRule type="cellIs" dxfId="9635" priority="31" operator="greaterThan">
      <formula>0.9</formula>
    </cfRule>
    <cfRule type="cellIs" dxfId="9634" priority="32" operator="greaterThan">
      <formula>0.85</formula>
    </cfRule>
  </conditionalFormatting>
  <conditionalFormatting sqref="E4:E311">
    <cfRule type="expression" dxfId="3" priority="117160">
      <formula>AND(IF(OR($Q4=1,$Q4=2),1,0),IF(#REF!&lt;=20,1,0))</formula>
    </cfRule>
    <cfRule type="expression" dxfId="2" priority="117161">
      <formula>AND(IF($Q4=2,1,0),IF(#REF!&lt;30,1,0))</formula>
    </cfRule>
    <cfRule type="expression" dxfId="1" priority="117162">
      <formula>AND(IF($Q4=3,1,0),IF(#REF!&lt;30,1,0))</formula>
    </cfRule>
    <cfRule type="expression" dxfId="0" priority="117163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tabSelected="1" zoomScaleNormal="100" workbookViewId="0">
      <selection activeCell="H12" sqref="H12"/>
    </sheetView>
  </sheetViews>
  <sheetFormatPr defaultColWidth="17.5" defaultRowHeight="13.5" x14ac:dyDescent="0.3"/>
  <cols>
    <col min="1" max="1" width="4.625" style="77" bestFit="1" customWidth="1"/>
    <col min="2" max="2" width="3.375" style="77" customWidth="1"/>
    <col min="3" max="3" width="4.625" style="77" bestFit="1" customWidth="1"/>
    <col min="4" max="9" width="29.125" style="50" customWidth="1"/>
    <col min="10" max="23" width="25" style="50" customWidth="1"/>
    <col min="24" max="48" width="17.5" style="50" customWidth="1"/>
    <col min="49" max="51" width="17.5" style="77" customWidth="1"/>
    <col min="52" max="16384" width="17.5" style="77"/>
  </cols>
  <sheetData>
    <row r="1" spans="1:48" x14ac:dyDescent="0.3">
      <c r="D1" s="77"/>
      <c r="E1" s="77"/>
      <c r="F1" s="77"/>
      <c r="G1" s="77"/>
      <c r="H1" s="77"/>
      <c r="I1" s="77"/>
      <c r="J1" s="77"/>
      <c r="K1" s="77"/>
      <c r="L1" s="77"/>
      <c r="M1" s="77"/>
      <c r="N1" s="77"/>
      <c r="O1" s="77"/>
      <c r="P1" s="77"/>
      <c r="Q1" s="77"/>
      <c r="R1" s="77"/>
      <c r="S1" s="77"/>
      <c r="T1" s="77"/>
      <c r="U1" s="77"/>
      <c r="V1" s="77"/>
      <c r="W1" s="77"/>
      <c r="X1" s="77"/>
      <c r="Y1" s="77"/>
      <c r="Z1" s="77"/>
      <c r="AA1" s="77"/>
      <c r="AB1" s="77"/>
      <c r="AC1" s="77"/>
      <c r="AD1" s="77"/>
      <c r="AE1" s="77"/>
      <c r="AF1" s="77"/>
      <c r="AG1" s="77"/>
      <c r="AH1" s="77"/>
      <c r="AI1" s="77"/>
      <c r="AJ1" s="77"/>
      <c r="AK1" s="77"/>
      <c r="AL1" s="77"/>
      <c r="AM1" s="77"/>
      <c r="AN1" s="77"/>
      <c r="AO1" s="77"/>
      <c r="AP1" s="77"/>
      <c r="AQ1" s="77"/>
      <c r="AR1" s="77"/>
      <c r="AS1" s="77"/>
      <c r="AT1" s="77"/>
      <c r="AU1" s="77"/>
      <c r="AV1" s="77"/>
    </row>
    <row r="2" spans="1:48" x14ac:dyDescent="0.3">
      <c r="D2" s="77"/>
      <c r="E2" s="77"/>
      <c r="F2" s="77"/>
      <c r="G2" s="77"/>
      <c r="H2" s="77"/>
      <c r="I2" s="77"/>
      <c r="J2" s="77"/>
      <c r="K2" s="77"/>
      <c r="L2" s="77"/>
      <c r="M2" s="77"/>
      <c r="N2" s="77"/>
      <c r="O2" s="77"/>
      <c r="P2" s="77"/>
      <c r="Q2" s="77"/>
      <c r="R2" s="77"/>
      <c r="S2" s="77"/>
      <c r="T2" s="77"/>
      <c r="U2" s="77"/>
      <c r="V2" s="77"/>
      <c r="W2" s="77"/>
      <c r="X2" s="77"/>
      <c r="Y2" s="77"/>
      <c r="Z2" s="77"/>
      <c r="AA2" s="77"/>
      <c r="AB2" s="77"/>
      <c r="AC2" s="77"/>
      <c r="AD2" s="77"/>
      <c r="AE2" s="77"/>
      <c r="AF2" s="77"/>
      <c r="AG2" s="77"/>
      <c r="AH2" s="77"/>
      <c r="AI2" s="77"/>
      <c r="AJ2" s="77"/>
      <c r="AK2" s="77"/>
      <c r="AL2" s="77"/>
      <c r="AM2" s="77"/>
      <c r="AN2" s="77"/>
      <c r="AO2" s="77"/>
      <c r="AP2" s="77"/>
      <c r="AQ2" s="77"/>
      <c r="AR2" s="77"/>
      <c r="AS2" s="77"/>
      <c r="AT2" s="77"/>
      <c r="AU2" s="77"/>
      <c r="AV2" s="77"/>
    </row>
    <row r="3" spans="1:48" x14ac:dyDescent="0.3">
      <c r="D3" s="77"/>
      <c r="E3" s="77"/>
      <c r="F3" s="77"/>
      <c r="G3" s="77"/>
      <c r="H3" s="77"/>
      <c r="I3" s="77"/>
      <c r="J3" s="77"/>
      <c r="K3" s="77"/>
      <c r="L3" s="77"/>
      <c r="M3" s="77"/>
      <c r="N3" s="77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7"/>
      <c r="AB3" s="77"/>
      <c r="AC3" s="77"/>
      <c r="AD3" s="77"/>
      <c r="AE3" s="77"/>
      <c r="AF3" s="77"/>
      <c r="AG3" s="77"/>
      <c r="AH3" s="77"/>
      <c r="AI3" s="77"/>
      <c r="AJ3" s="77"/>
      <c r="AK3" s="77"/>
      <c r="AL3" s="77"/>
      <c r="AM3" s="77"/>
      <c r="AN3" s="77"/>
      <c r="AO3" s="77"/>
      <c r="AP3" s="77"/>
      <c r="AQ3" s="77"/>
      <c r="AR3" s="77"/>
      <c r="AS3" s="77"/>
      <c r="AT3" s="77"/>
      <c r="AU3" s="77"/>
      <c r="AV3" s="77"/>
    </row>
    <row r="4" spans="1:48" x14ac:dyDescent="0.3">
      <c r="A4" s="115" t="s">
        <v>238</v>
      </c>
      <c r="B4" s="116"/>
      <c r="C4" s="116"/>
      <c r="D4" s="77" t="s">
        <v>239</v>
      </c>
      <c r="E4" s="77" t="s">
        <v>240</v>
      </c>
      <c r="F4" s="77" t="s">
        <v>241</v>
      </c>
      <c r="G4" s="77" t="s">
        <v>242</v>
      </c>
      <c r="H4" s="77" t="s">
        <v>243</v>
      </c>
      <c r="I4" s="77"/>
      <c r="J4" s="77"/>
      <c r="K4" s="77"/>
      <c r="L4" s="77"/>
      <c r="M4" s="77"/>
      <c r="N4" s="77"/>
      <c r="O4" s="77"/>
      <c r="P4" s="77"/>
      <c r="Q4" s="77"/>
      <c r="R4" s="77"/>
      <c r="S4" s="77"/>
      <c r="T4" s="77"/>
      <c r="U4" s="77"/>
      <c r="V4" s="77"/>
      <c r="W4" s="77"/>
      <c r="X4" s="77"/>
      <c r="Y4" s="77"/>
      <c r="Z4" s="77"/>
      <c r="AA4" s="77"/>
      <c r="AB4" s="77"/>
      <c r="AC4" s="77"/>
      <c r="AD4" s="77"/>
      <c r="AE4" s="77"/>
      <c r="AF4" s="77"/>
      <c r="AG4" s="77"/>
      <c r="AH4" s="77"/>
      <c r="AI4" s="77"/>
      <c r="AJ4" s="77"/>
      <c r="AK4" s="77"/>
      <c r="AL4" s="77"/>
      <c r="AM4" s="77"/>
      <c r="AN4" s="77"/>
      <c r="AO4" s="77"/>
      <c r="AP4" s="77"/>
      <c r="AQ4" s="77"/>
      <c r="AR4" s="77"/>
      <c r="AS4" s="77"/>
      <c r="AT4" s="77"/>
      <c r="AU4" s="77"/>
      <c r="AV4" s="77"/>
    </row>
    <row r="5" spans="1:48" x14ac:dyDescent="0.3">
      <c r="A5" s="115" t="s">
        <v>244</v>
      </c>
      <c r="B5" s="116"/>
      <c r="C5" s="116"/>
      <c r="D5" s="50" t="s">
        <v>245</v>
      </c>
      <c r="G5" s="50" t="s">
        <v>246</v>
      </c>
    </row>
    <row r="6" spans="1:48" x14ac:dyDescent="0.3">
      <c r="A6" s="115" t="s">
        <v>247</v>
      </c>
      <c r="B6" s="116"/>
      <c r="C6" s="116"/>
    </row>
    <row r="7" spans="1:48" x14ac:dyDescent="0.3">
      <c r="A7" s="51" t="s">
        <v>248</v>
      </c>
      <c r="B7" s="52"/>
      <c r="C7" s="53"/>
      <c r="D7" s="54" t="str">
        <f t="shared" ref="D7:W7" si="0">D4&amp;IF(D5="","",","&amp;D5)&amp;IF(D6="","",","&amp;D6)</f>
        <v>중동,장동</v>
      </c>
      <c r="E7" s="54" t="str">
        <f t="shared" si="0"/>
        <v>송천동1가</v>
      </c>
      <c r="F7" s="54" t="str">
        <f t="shared" si="0"/>
        <v>송천동2가</v>
      </c>
      <c r="G7" s="54" t="str">
        <f t="shared" si="0"/>
        <v>우아동3가,우아동2가</v>
      </c>
      <c r="H7" s="54" t="str">
        <f t="shared" si="0"/>
        <v>만성동</v>
      </c>
      <c r="I7" s="54" t="str">
        <f t="shared" si="0"/>
        <v/>
      </c>
      <c r="J7" s="54" t="str">
        <f t="shared" si="0"/>
        <v/>
      </c>
      <c r="K7" s="54" t="str">
        <f t="shared" si="0"/>
        <v/>
      </c>
      <c r="L7" s="54" t="str">
        <f t="shared" si="0"/>
        <v/>
      </c>
      <c r="M7" s="54" t="str">
        <f t="shared" si="0"/>
        <v/>
      </c>
      <c r="N7" s="54" t="str">
        <f t="shared" si="0"/>
        <v/>
      </c>
      <c r="O7" s="54" t="str">
        <f t="shared" si="0"/>
        <v/>
      </c>
      <c r="P7" s="54" t="str">
        <f t="shared" si="0"/>
        <v/>
      </c>
      <c r="Q7" s="54" t="str">
        <f t="shared" si="0"/>
        <v/>
      </c>
      <c r="R7" s="54" t="str">
        <f t="shared" si="0"/>
        <v/>
      </c>
      <c r="S7" s="54" t="str">
        <f t="shared" si="0"/>
        <v/>
      </c>
      <c r="T7" s="54" t="str">
        <f t="shared" si="0"/>
        <v/>
      </c>
      <c r="U7" s="54" t="str">
        <f t="shared" si="0"/>
        <v/>
      </c>
      <c r="V7" s="54" t="str">
        <f t="shared" si="0"/>
        <v/>
      </c>
      <c r="W7" s="54" t="str">
        <f t="shared" si="0"/>
        <v/>
      </c>
    </row>
    <row r="8" spans="1:48" x14ac:dyDescent="0.3">
      <c r="A8" s="95">
        <v>8</v>
      </c>
      <c r="B8" s="57" t="s">
        <v>249</v>
      </c>
      <c r="C8" s="96"/>
      <c r="D8" s="58"/>
      <c r="E8" s="58"/>
      <c r="F8" s="58"/>
      <c r="G8" s="58"/>
      <c r="H8" s="58"/>
      <c r="I8" s="58"/>
      <c r="J8" s="58"/>
      <c r="K8" s="58"/>
      <c r="L8" s="58"/>
      <c r="M8" s="58"/>
      <c r="N8" s="58"/>
      <c r="O8" s="58"/>
      <c r="P8" s="58"/>
      <c r="Q8" s="58"/>
      <c r="R8" s="58"/>
      <c r="S8" s="58"/>
      <c r="T8" s="58"/>
      <c r="U8" s="58"/>
      <c r="V8" s="58"/>
      <c r="W8" s="58"/>
    </row>
    <row r="9" spans="1:48" x14ac:dyDescent="0.3">
      <c r="A9" s="97">
        <v>7</v>
      </c>
      <c r="B9" s="59" t="s">
        <v>249</v>
      </c>
      <c r="C9" s="98">
        <v>8</v>
      </c>
      <c r="D9" s="58"/>
      <c r="E9" s="58"/>
      <c r="F9" s="58"/>
      <c r="G9" s="58"/>
      <c r="H9" s="58"/>
      <c r="I9" s="58"/>
      <c r="J9" s="58"/>
      <c r="K9" s="58"/>
      <c r="L9" s="58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</row>
    <row r="10" spans="1:48" ht="60" customHeight="1" x14ac:dyDescent="0.3">
      <c r="A10" s="99">
        <v>6</v>
      </c>
      <c r="B10" s="55" t="s">
        <v>249</v>
      </c>
      <c r="C10" s="100">
        <v>7</v>
      </c>
      <c r="D10" s="56" t="s">
        <v>250</v>
      </c>
      <c r="E10" s="56"/>
      <c r="F10" s="56" t="s">
        <v>2003</v>
      </c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6"/>
      <c r="V10" s="56"/>
      <c r="W10" s="56"/>
    </row>
    <row r="11" spans="1:48" ht="72" customHeight="1" x14ac:dyDescent="0.3">
      <c r="A11" s="99">
        <v>5</v>
      </c>
      <c r="B11" s="55" t="s">
        <v>249</v>
      </c>
      <c r="C11" s="100">
        <v>6</v>
      </c>
      <c r="D11" s="56" t="s">
        <v>2009</v>
      </c>
      <c r="E11" s="56"/>
      <c r="F11" s="56" t="s">
        <v>2007</v>
      </c>
      <c r="G11" s="56" t="s">
        <v>251</v>
      </c>
      <c r="H11" s="56" t="s">
        <v>2005</v>
      </c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</row>
    <row r="12" spans="1:48" ht="120" customHeight="1" x14ac:dyDescent="0.3">
      <c r="A12" s="99">
        <v>4</v>
      </c>
      <c r="B12" s="55" t="s">
        <v>249</v>
      </c>
      <c r="C12" s="100">
        <v>5</v>
      </c>
      <c r="D12" s="56" t="s">
        <v>2015</v>
      </c>
      <c r="E12" s="56" t="s">
        <v>252</v>
      </c>
      <c r="F12" s="56" t="s">
        <v>2017</v>
      </c>
      <c r="G12" s="56" t="s">
        <v>2019</v>
      </c>
      <c r="H12" s="56" t="s">
        <v>2011</v>
      </c>
      <c r="I12" s="56"/>
      <c r="J12" s="56"/>
      <c r="K12" s="56"/>
      <c r="L12" s="56"/>
      <c r="M12" s="56"/>
      <c r="N12" s="56"/>
      <c r="O12" s="56"/>
      <c r="P12" s="56"/>
      <c r="Q12" s="56"/>
      <c r="R12" s="56"/>
      <c r="S12" s="56"/>
      <c r="T12" s="56"/>
      <c r="U12" s="56"/>
      <c r="V12" s="56"/>
      <c r="W12" s="56"/>
    </row>
    <row r="13" spans="1:48" ht="48" customHeight="1" x14ac:dyDescent="0.3">
      <c r="A13" s="101">
        <v>3</v>
      </c>
      <c r="B13" s="60" t="s">
        <v>249</v>
      </c>
      <c r="C13" s="102">
        <v>4</v>
      </c>
      <c r="D13" s="61" t="s">
        <v>2023</v>
      </c>
      <c r="E13" s="61" t="s">
        <v>2029</v>
      </c>
      <c r="F13" s="61" t="s">
        <v>2021</v>
      </c>
      <c r="G13" s="61" t="s">
        <v>2025</v>
      </c>
      <c r="H13" s="61" t="s">
        <v>2027</v>
      </c>
      <c r="I13" s="61"/>
      <c r="J13" s="61"/>
      <c r="K13" s="61"/>
      <c r="L13" s="61"/>
      <c r="M13" s="61"/>
      <c r="N13" s="61"/>
      <c r="O13" s="61"/>
      <c r="P13" s="61"/>
      <c r="Q13" s="61"/>
      <c r="R13" s="61"/>
      <c r="S13" s="61"/>
      <c r="T13" s="61"/>
      <c r="U13" s="61"/>
      <c r="V13" s="61"/>
      <c r="W13" s="61"/>
    </row>
    <row r="14" spans="1:48" ht="24" customHeight="1" x14ac:dyDescent="0.3">
      <c r="A14" s="101">
        <v>2.5</v>
      </c>
      <c r="B14" s="60" t="s">
        <v>249</v>
      </c>
      <c r="C14" s="102">
        <v>3</v>
      </c>
      <c r="D14" s="61"/>
      <c r="E14" s="61"/>
      <c r="F14" s="61" t="s">
        <v>2031</v>
      </c>
      <c r="G14" s="61"/>
      <c r="H14" s="61"/>
      <c r="I14" s="61"/>
      <c r="J14" s="61"/>
      <c r="K14" s="61"/>
      <c r="L14" s="61"/>
      <c r="M14" s="61"/>
      <c r="N14" s="61"/>
      <c r="O14" s="61"/>
      <c r="P14" s="61"/>
      <c r="Q14" s="61"/>
      <c r="R14" s="61"/>
      <c r="S14" s="61"/>
      <c r="T14" s="61"/>
      <c r="U14" s="61"/>
      <c r="V14" s="61"/>
      <c r="W14" s="61"/>
    </row>
    <row r="15" spans="1:48" ht="24" customHeight="1" x14ac:dyDescent="0.3">
      <c r="A15" s="101">
        <v>2</v>
      </c>
      <c r="B15" s="60" t="s">
        <v>249</v>
      </c>
      <c r="C15" s="102">
        <v>2.5</v>
      </c>
      <c r="D15" s="61"/>
      <c r="E15" s="61" t="s">
        <v>2033</v>
      </c>
      <c r="F15" s="61"/>
      <c r="G15" s="61"/>
      <c r="H15" s="61"/>
      <c r="I15" s="61"/>
      <c r="J15" s="61"/>
      <c r="K15" s="61"/>
      <c r="L15" s="61"/>
      <c r="M15" s="61"/>
      <c r="N15" s="61"/>
      <c r="O15" s="61"/>
      <c r="P15" s="61"/>
      <c r="Q15" s="61"/>
      <c r="R15" s="61"/>
      <c r="S15" s="61"/>
      <c r="T15" s="61"/>
      <c r="U15" s="61"/>
      <c r="V15" s="61"/>
      <c r="W15" s="61"/>
    </row>
    <row r="16" spans="1:48" ht="72" customHeight="1" x14ac:dyDescent="0.3">
      <c r="A16" s="103">
        <v>1.5</v>
      </c>
      <c r="B16" s="62" t="s">
        <v>249</v>
      </c>
      <c r="C16" s="104">
        <v>2</v>
      </c>
      <c r="D16" s="63"/>
      <c r="E16" s="63" t="s">
        <v>2037</v>
      </c>
      <c r="F16" s="63" t="s">
        <v>2039</v>
      </c>
      <c r="G16" s="63"/>
      <c r="H16" s="63"/>
      <c r="I16" s="63"/>
      <c r="J16" s="63"/>
      <c r="K16" s="63"/>
      <c r="L16" s="63"/>
      <c r="M16" s="63"/>
      <c r="N16" s="63"/>
      <c r="O16" s="63"/>
      <c r="P16" s="63"/>
      <c r="Q16" s="63"/>
      <c r="R16" s="63"/>
      <c r="S16" s="63"/>
      <c r="T16" s="63"/>
      <c r="U16" s="63"/>
      <c r="V16" s="63"/>
      <c r="W16" s="63"/>
    </row>
    <row r="17" spans="1:23" ht="60" customHeight="1" x14ac:dyDescent="0.3">
      <c r="A17" s="103">
        <v>1</v>
      </c>
      <c r="B17" s="62" t="s">
        <v>249</v>
      </c>
      <c r="C17" s="104">
        <v>1.5</v>
      </c>
      <c r="D17" s="63"/>
      <c r="E17" s="63" t="s">
        <v>2042</v>
      </c>
      <c r="F17" s="63"/>
      <c r="G17" s="63" t="s">
        <v>2044</v>
      </c>
      <c r="H17" s="63"/>
      <c r="I17" s="63"/>
      <c r="J17" s="63"/>
      <c r="K17" s="63"/>
      <c r="L17" s="63"/>
      <c r="M17" s="63"/>
      <c r="N17" s="63"/>
      <c r="O17" s="63"/>
      <c r="P17" s="63"/>
      <c r="Q17" s="63"/>
      <c r="R17" s="63"/>
      <c r="S17" s="63"/>
      <c r="T17" s="63"/>
      <c r="U17" s="63"/>
      <c r="V17" s="63"/>
      <c r="W17" s="63"/>
    </row>
    <row r="20" spans="1:23" x14ac:dyDescent="0.3">
      <c r="A20" s="51" t="s">
        <v>231</v>
      </c>
      <c r="B20" s="52"/>
      <c r="C20" s="53"/>
      <c r="D20" s="54" t="str">
        <f t="shared" ref="D20:W20" si="1">D7</f>
        <v>중동,장동</v>
      </c>
      <c r="E20" s="54" t="str">
        <f t="shared" si="1"/>
        <v>송천동1가</v>
      </c>
      <c r="F20" s="54" t="str">
        <f t="shared" si="1"/>
        <v>송천동2가</v>
      </c>
      <c r="G20" s="54" t="str">
        <f t="shared" si="1"/>
        <v>우아동3가,우아동2가</v>
      </c>
      <c r="H20" s="54" t="str">
        <f t="shared" si="1"/>
        <v>만성동</v>
      </c>
      <c r="I20" s="54" t="str">
        <f t="shared" si="1"/>
        <v/>
      </c>
      <c r="J20" s="54" t="str">
        <f t="shared" si="1"/>
        <v/>
      </c>
      <c r="K20" s="54" t="str">
        <f t="shared" si="1"/>
        <v/>
      </c>
      <c r="L20" s="54" t="str">
        <f t="shared" si="1"/>
        <v/>
      </c>
      <c r="M20" s="54" t="str">
        <f t="shared" si="1"/>
        <v/>
      </c>
      <c r="N20" s="54" t="str">
        <f t="shared" si="1"/>
        <v/>
      </c>
      <c r="O20" s="54" t="str">
        <f t="shared" si="1"/>
        <v/>
      </c>
      <c r="P20" s="54" t="str">
        <f t="shared" si="1"/>
        <v/>
      </c>
      <c r="Q20" s="54" t="str">
        <f t="shared" si="1"/>
        <v/>
      </c>
      <c r="R20" s="54" t="str">
        <f t="shared" si="1"/>
        <v/>
      </c>
      <c r="S20" s="54" t="str">
        <f t="shared" si="1"/>
        <v/>
      </c>
      <c r="T20" s="54" t="str">
        <f t="shared" si="1"/>
        <v/>
      </c>
      <c r="U20" s="54" t="str">
        <f t="shared" si="1"/>
        <v/>
      </c>
      <c r="V20" s="54" t="str">
        <f t="shared" si="1"/>
        <v/>
      </c>
      <c r="W20" s="54" t="str">
        <f t="shared" si="1"/>
        <v/>
      </c>
    </row>
    <row r="21" spans="1:23" x14ac:dyDescent="0.3">
      <c r="A21" s="95">
        <f t="shared" ref="A21:C30" si="2">IF(A8="","",A8)</f>
        <v>8</v>
      </c>
      <c r="B21" s="57" t="str">
        <f t="shared" si="2"/>
        <v>~</v>
      </c>
      <c r="C21" s="96" t="str">
        <f t="shared" si="2"/>
        <v/>
      </c>
      <c r="D21" s="58"/>
      <c r="E21" s="58"/>
      <c r="F21" s="58"/>
      <c r="G21" s="58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</row>
    <row r="22" spans="1:23" x14ac:dyDescent="0.3">
      <c r="A22" s="97">
        <f t="shared" si="2"/>
        <v>7</v>
      </c>
      <c r="B22" s="59" t="str">
        <f t="shared" si="2"/>
        <v>~</v>
      </c>
      <c r="C22" s="98">
        <f t="shared" si="2"/>
        <v>8</v>
      </c>
      <c r="D22" s="58"/>
      <c r="E22" s="58"/>
      <c r="F22" s="58"/>
      <c r="G22" s="58"/>
      <c r="H22" s="58"/>
      <c r="I22" s="58"/>
      <c r="J22" s="58"/>
      <c r="K22" s="58"/>
      <c r="L22" s="58"/>
      <c r="M22" s="58"/>
      <c r="N22" s="58"/>
      <c r="O22" s="58"/>
      <c r="P22" s="58"/>
      <c r="Q22" s="58"/>
      <c r="R22" s="58"/>
      <c r="S22" s="58"/>
      <c r="T22" s="58"/>
      <c r="U22" s="58"/>
      <c r="V22" s="58"/>
      <c r="W22" s="58"/>
    </row>
    <row r="23" spans="1:23" ht="60" customHeight="1" x14ac:dyDescent="0.3">
      <c r="A23" s="99">
        <f t="shared" si="2"/>
        <v>6</v>
      </c>
      <c r="B23" s="55" t="str">
        <f t="shared" si="2"/>
        <v>~</v>
      </c>
      <c r="C23" s="100">
        <f t="shared" si="2"/>
        <v>7</v>
      </c>
      <c r="D23" s="56" t="s">
        <v>253</v>
      </c>
      <c r="E23" s="56"/>
      <c r="F23" s="56" t="s">
        <v>2004</v>
      </c>
      <c r="G23" s="56"/>
      <c r="H23" s="56"/>
      <c r="I23" s="56"/>
      <c r="J23" s="56"/>
      <c r="K23" s="56"/>
      <c r="L23" s="56"/>
      <c r="M23" s="56"/>
      <c r="N23" s="56"/>
      <c r="O23" s="56"/>
      <c r="P23" s="56"/>
      <c r="Q23" s="56"/>
      <c r="R23" s="56"/>
      <c r="S23" s="56"/>
      <c r="T23" s="56"/>
      <c r="U23" s="56"/>
      <c r="V23" s="56"/>
      <c r="W23" s="56"/>
    </row>
    <row r="24" spans="1:23" ht="72" customHeight="1" x14ac:dyDescent="0.3">
      <c r="A24" s="99">
        <f t="shared" si="2"/>
        <v>5</v>
      </c>
      <c r="B24" s="55" t="str">
        <f t="shared" si="2"/>
        <v>~</v>
      </c>
      <c r="C24" s="100">
        <f t="shared" si="2"/>
        <v>6</v>
      </c>
      <c r="D24" s="56" t="s">
        <v>2010</v>
      </c>
      <c r="E24" s="56"/>
      <c r="F24" s="56" t="s">
        <v>2008</v>
      </c>
      <c r="G24" s="56" t="s">
        <v>254</v>
      </c>
      <c r="H24" s="56" t="s">
        <v>2006</v>
      </c>
      <c r="I24" s="56"/>
      <c r="J24" s="56"/>
      <c r="K24" s="56"/>
      <c r="L24" s="56"/>
      <c r="M24" s="56"/>
      <c r="N24" s="56"/>
      <c r="O24" s="56"/>
      <c r="P24" s="56"/>
      <c r="Q24" s="56"/>
      <c r="R24" s="56"/>
      <c r="S24" s="56"/>
      <c r="T24" s="56"/>
      <c r="U24" s="56"/>
      <c r="V24" s="56"/>
      <c r="W24" s="56"/>
    </row>
    <row r="25" spans="1:23" ht="48" customHeight="1" x14ac:dyDescent="0.3">
      <c r="A25" s="99">
        <f t="shared" si="2"/>
        <v>4</v>
      </c>
      <c r="B25" s="55" t="str">
        <f t="shared" si="2"/>
        <v>~</v>
      </c>
      <c r="C25" s="100">
        <f t="shared" si="2"/>
        <v>5</v>
      </c>
      <c r="D25" s="56" t="s">
        <v>2016</v>
      </c>
      <c r="E25" s="56" t="s">
        <v>255</v>
      </c>
      <c r="F25" s="56" t="s">
        <v>2014</v>
      </c>
      <c r="G25" s="56" t="s">
        <v>2013</v>
      </c>
      <c r="H25" s="56" t="s">
        <v>2012</v>
      </c>
      <c r="I25" s="56"/>
      <c r="J25" s="56"/>
      <c r="K25" s="56"/>
      <c r="L25" s="5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</row>
    <row r="26" spans="1:23" ht="48" customHeight="1" x14ac:dyDescent="0.3">
      <c r="A26" s="101">
        <f t="shared" si="2"/>
        <v>3</v>
      </c>
      <c r="B26" s="60" t="str">
        <f t="shared" si="2"/>
        <v>~</v>
      </c>
      <c r="C26" s="102">
        <f t="shared" si="2"/>
        <v>4</v>
      </c>
      <c r="D26" s="61" t="s">
        <v>2024</v>
      </c>
      <c r="E26" s="61" t="s">
        <v>2030</v>
      </c>
      <c r="F26" s="61"/>
      <c r="G26" s="61"/>
      <c r="H26" s="61"/>
      <c r="I26" s="61"/>
      <c r="J26" s="61"/>
      <c r="K26" s="61"/>
      <c r="L26" s="61"/>
      <c r="M26" s="61"/>
      <c r="N26" s="61"/>
      <c r="O26" s="61"/>
      <c r="P26" s="61"/>
      <c r="Q26" s="61"/>
      <c r="R26" s="61"/>
      <c r="S26" s="61"/>
      <c r="T26" s="61"/>
      <c r="U26" s="61"/>
      <c r="V26" s="61"/>
      <c r="W26" s="61"/>
    </row>
    <row r="27" spans="1:23" ht="24" customHeight="1" x14ac:dyDescent="0.3">
      <c r="A27" s="101">
        <f t="shared" si="2"/>
        <v>2.5</v>
      </c>
      <c r="B27" s="60" t="str">
        <f t="shared" si="2"/>
        <v>~</v>
      </c>
      <c r="C27" s="102">
        <f t="shared" si="2"/>
        <v>3</v>
      </c>
      <c r="D27" s="61"/>
      <c r="E27" s="61"/>
      <c r="F27" s="61" t="s">
        <v>2032</v>
      </c>
      <c r="G27" s="61"/>
      <c r="H27" s="61"/>
      <c r="I27" s="61"/>
      <c r="J27" s="61"/>
      <c r="K27" s="61"/>
      <c r="L27" s="61"/>
      <c r="M27" s="61"/>
      <c r="N27" s="61"/>
      <c r="O27" s="61"/>
      <c r="P27" s="61"/>
      <c r="Q27" s="61"/>
      <c r="R27" s="61"/>
      <c r="S27" s="61"/>
      <c r="T27" s="61"/>
      <c r="U27" s="61"/>
      <c r="V27" s="61"/>
      <c r="W27" s="61"/>
    </row>
    <row r="28" spans="1:23" ht="24" x14ac:dyDescent="0.3">
      <c r="A28" s="101">
        <f t="shared" si="2"/>
        <v>2</v>
      </c>
      <c r="B28" s="60" t="str">
        <f t="shared" si="2"/>
        <v>~</v>
      </c>
      <c r="C28" s="102">
        <f t="shared" si="2"/>
        <v>2.5</v>
      </c>
      <c r="D28" s="61"/>
      <c r="E28" s="61" t="s">
        <v>2034</v>
      </c>
      <c r="F28" s="61"/>
      <c r="G28" s="61"/>
      <c r="H28" s="61"/>
      <c r="I28" s="61"/>
      <c r="J28" s="61"/>
      <c r="K28" s="61"/>
      <c r="L28" s="61"/>
      <c r="M28" s="61"/>
      <c r="N28" s="61"/>
      <c r="O28" s="61"/>
      <c r="P28" s="61"/>
      <c r="Q28" s="61"/>
      <c r="R28" s="61"/>
      <c r="S28" s="61"/>
      <c r="T28" s="61"/>
      <c r="U28" s="61"/>
      <c r="V28" s="61"/>
      <c r="W28" s="61"/>
    </row>
    <row r="29" spans="1:23" ht="24" customHeight="1" x14ac:dyDescent="0.3">
      <c r="A29" s="103">
        <f t="shared" si="2"/>
        <v>1.5</v>
      </c>
      <c r="B29" s="62" t="str">
        <f t="shared" si="2"/>
        <v>~</v>
      </c>
      <c r="C29" s="104">
        <f t="shared" si="2"/>
        <v>2</v>
      </c>
      <c r="D29" s="63"/>
      <c r="E29" s="63" t="s">
        <v>2038</v>
      </c>
      <c r="F29" s="63" t="s">
        <v>256</v>
      </c>
      <c r="G29" s="63"/>
      <c r="H29" s="63"/>
      <c r="I29" s="63"/>
      <c r="J29" s="63"/>
      <c r="K29" s="63"/>
      <c r="L29" s="63"/>
      <c r="M29" s="63"/>
      <c r="N29" s="63"/>
      <c r="O29" s="63"/>
      <c r="P29" s="63"/>
      <c r="Q29" s="63"/>
      <c r="R29" s="63"/>
      <c r="S29" s="63"/>
      <c r="T29" s="63"/>
      <c r="U29" s="63"/>
      <c r="V29" s="63"/>
      <c r="W29" s="63"/>
    </row>
    <row r="30" spans="1:23" x14ac:dyDescent="0.3">
      <c r="A30" s="103">
        <f t="shared" si="2"/>
        <v>1</v>
      </c>
      <c r="B30" s="62" t="str">
        <f t="shared" si="2"/>
        <v>~</v>
      </c>
      <c r="C30" s="104">
        <f t="shared" si="2"/>
        <v>1.5</v>
      </c>
      <c r="D30" s="63"/>
      <c r="E30" s="63"/>
      <c r="F30" s="63"/>
      <c r="G30" s="63" t="s">
        <v>257</v>
      </c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3"/>
      <c r="T30" s="63"/>
      <c r="U30" s="63"/>
      <c r="V30" s="63"/>
      <c r="W30" s="63"/>
    </row>
    <row r="33" spans="1:23" x14ac:dyDescent="0.3">
      <c r="A33" s="51" t="s">
        <v>258</v>
      </c>
      <c r="B33" s="52"/>
      <c r="C33" s="53"/>
      <c r="D33" s="54" t="str">
        <f t="shared" ref="D33:W33" si="3">D20</f>
        <v>중동,장동</v>
      </c>
      <c r="E33" s="54" t="str">
        <f t="shared" si="3"/>
        <v>송천동1가</v>
      </c>
      <c r="F33" s="54" t="str">
        <f t="shared" si="3"/>
        <v>송천동2가</v>
      </c>
      <c r="G33" s="54" t="str">
        <f t="shared" si="3"/>
        <v>우아동3가,우아동2가</v>
      </c>
      <c r="H33" s="54" t="str">
        <f t="shared" si="3"/>
        <v>만성동</v>
      </c>
      <c r="I33" s="54" t="str">
        <f t="shared" si="3"/>
        <v/>
      </c>
      <c r="J33" s="54" t="str">
        <f t="shared" si="3"/>
        <v/>
      </c>
      <c r="K33" s="54" t="str">
        <f t="shared" si="3"/>
        <v/>
      </c>
      <c r="L33" s="54" t="str">
        <f t="shared" si="3"/>
        <v/>
      </c>
      <c r="M33" s="54" t="str">
        <f t="shared" si="3"/>
        <v/>
      </c>
      <c r="N33" s="54" t="str">
        <f t="shared" si="3"/>
        <v/>
      </c>
      <c r="O33" s="54" t="str">
        <f t="shared" si="3"/>
        <v/>
      </c>
      <c r="P33" s="54" t="str">
        <f t="shared" si="3"/>
        <v/>
      </c>
      <c r="Q33" s="54" t="str">
        <f t="shared" si="3"/>
        <v/>
      </c>
      <c r="R33" s="54" t="str">
        <f t="shared" si="3"/>
        <v/>
      </c>
      <c r="S33" s="54" t="str">
        <f t="shared" si="3"/>
        <v/>
      </c>
      <c r="T33" s="54" t="str">
        <f t="shared" si="3"/>
        <v/>
      </c>
      <c r="U33" s="54" t="str">
        <f t="shared" si="3"/>
        <v/>
      </c>
      <c r="V33" s="54" t="str">
        <f t="shared" si="3"/>
        <v/>
      </c>
      <c r="W33" s="54" t="str">
        <f t="shared" si="3"/>
        <v/>
      </c>
    </row>
    <row r="34" spans="1:23" x14ac:dyDescent="0.3">
      <c r="A34" s="95">
        <f t="shared" ref="A34:C43" si="4">IF(A21="","",A21)</f>
        <v>8</v>
      </c>
      <c r="B34" s="57" t="str">
        <f t="shared" si="4"/>
        <v>~</v>
      </c>
      <c r="C34" s="96" t="str">
        <f t="shared" si="4"/>
        <v/>
      </c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</row>
    <row r="35" spans="1:23" x14ac:dyDescent="0.3">
      <c r="A35" s="97">
        <f t="shared" si="4"/>
        <v>7</v>
      </c>
      <c r="B35" s="59" t="str">
        <f t="shared" si="4"/>
        <v>~</v>
      </c>
      <c r="C35" s="98">
        <f t="shared" si="4"/>
        <v>8</v>
      </c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</row>
    <row r="36" spans="1:23" x14ac:dyDescent="0.3">
      <c r="A36" s="99">
        <f t="shared" si="4"/>
        <v>6</v>
      </c>
      <c r="B36" s="55" t="str">
        <f t="shared" si="4"/>
        <v>~</v>
      </c>
      <c r="C36" s="100">
        <f t="shared" si="4"/>
        <v>7</v>
      </c>
      <c r="D36" s="56"/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6"/>
      <c r="V36" s="56"/>
      <c r="W36" s="56"/>
    </row>
    <row r="37" spans="1:23" x14ac:dyDescent="0.3">
      <c r="A37" s="99">
        <f t="shared" si="4"/>
        <v>5</v>
      </c>
      <c r="B37" s="55" t="str">
        <f t="shared" si="4"/>
        <v>~</v>
      </c>
      <c r="C37" s="100">
        <f t="shared" si="4"/>
        <v>6</v>
      </c>
      <c r="D37" s="56"/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/>
      <c r="P37" s="56"/>
      <c r="Q37" s="56"/>
      <c r="R37" s="56"/>
      <c r="S37" s="56"/>
      <c r="T37" s="56"/>
      <c r="U37" s="56"/>
      <c r="V37" s="56"/>
      <c r="W37" s="56"/>
    </row>
    <row r="38" spans="1:23" ht="96" customHeight="1" x14ac:dyDescent="0.3">
      <c r="A38" s="99">
        <f t="shared" si="4"/>
        <v>4</v>
      </c>
      <c r="B38" s="55" t="str">
        <f t="shared" si="4"/>
        <v>~</v>
      </c>
      <c r="C38" s="100">
        <f t="shared" si="4"/>
        <v>5</v>
      </c>
      <c r="D38" s="56"/>
      <c r="E38" s="56"/>
      <c r="F38" s="56" t="s">
        <v>2018</v>
      </c>
      <c r="G38" s="56" t="s">
        <v>2020</v>
      </c>
      <c r="H38" s="56"/>
      <c r="I38" s="56"/>
      <c r="J38" s="56"/>
      <c r="K38" s="56"/>
      <c r="L38" s="56"/>
      <c r="M38" s="56"/>
      <c r="N38" s="56"/>
      <c r="O38" s="56"/>
      <c r="P38" s="56"/>
      <c r="Q38" s="56"/>
      <c r="R38" s="56"/>
      <c r="S38" s="56"/>
      <c r="T38" s="56"/>
      <c r="U38" s="56"/>
      <c r="V38" s="56"/>
      <c r="W38" s="56"/>
    </row>
    <row r="39" spans="1:23" ht="24" customHeight="1" x14ac:dyDescent="0.3">
      <c r="A39" s="101">
        <f t="shared" si="4"/>
        <v>3</v>
      </c>
      <c r="B39" s="60" t="str">
        <f t="shared" si="4"/>
        <v>~</v>
      </c>
      <c r="C39" s="102">
        <f t="shared" si="4"/>
        <v>4</v>
      </c>
      <c r="D39" s="61"/>
      <c r="E39" s="61"/>
      <c r="F39" s="61" t="s">
        <v>2022</v>
      </c>
      <c r="G39" s="61" t="s">
        <v>2026</v>
      </c>
      <c r="H39" s="61" t="s">
        <v>2028</v>
      </c>
      <c r="I39" s="61"/>
      <c r="J39" s="61"/>
      <c r="K39" s="61"/>
      <c r="L39" s="61"/>
      <c r="M39" s="61"/>
      <c r="N39" s="61"/>
      <c r="O39" s="61"/>
      <c r="P39" s="61"/>
      <c r="Q39" s="61"/>
      <c r="R39" s="61"/>
      <c r="S39" s="61"/>
      <c r="T39" s="61"/>
      <c r="U39" s="61"/>
      <c r="V39" s="61"/>
      <c r="W39" s="61"/>
    </row>
    <row r="40" spans="1:23" x14ac:dyDescent="0.3">
      <c r="A40" s="101">
        <f t="shared" si="4"/>
        <v>2.5</v>
      </c>
      <c r="B40" s="60" t="str">
        <f t="shared" si="4"/>
        <v>~</v>
      </c>
      <c r="C40" s="102">
        <f t="shared" si="4"/>
        <v>3</v>
      </c>
      <c r="D40" s="61"/>
      <c r="E40" s="61"/>
      <c r="F40" s="61"/>
      <c r="G40" s="61"/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</row>
    <row r="41" spans="1:23" x14ac:dyDescent="0.3">
      <c r="A41" s="101">
        <f t="shared" si="4"/>
        <v>2</v>
      </c>
      <c r="B41" s="60" t="str">
        <f t="shared" si="4"/>
        <v>~</v>
      </c>
      <c r="C41" s="102">
        <f t="shared" si="4"/>
        <v>2.5</v>
      </c>
      <c r="D41" s="61"/>
      <c r="E41" s="61" t="s">
        <v>259</v>
      </c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</row>
    <row r="42" spans="1:23" ht="48" customHeight="1" x14ac:dyDescent="0.3">
      <c r="A42" s="103">
        <f t="shared" si="4"/>
        <v>1.5</v>
      </c>
      <c r="B42" s="62" t="str">
        <f t="shared" si="4"/>
        <v>~</v>
      </c>
      <c r="C42" s="104">
        <f t="shared" si="4"/>
        <v>2</v>
      </c>
      <c r="D42" s="63"/>
      <c r="E42" s="63" t="s">
        <v>260</v>
      </c>
      <c r="F42" s="63" t="s">
        <v>2035</v>
      </c>
      <c r="G42" s="63"/>
      <c r="H42" s="63"/>
      <c r="I42" s="63"/>
      <c r="J42" s="63"/>
      <c r="K42" s="63"/>
      <c r="L42" s="63"/>
      <c r="M42" s="63"/>
      <c r="N42" s="63"/>
      <c r="O42" s="63"/>
      <c r="P42" s="63"/>
      <c r="Q42" s="63"/>
      <c r="R42" s="63"/>
      <c r="S42" s="63"/>
      <c r="T42" s="63"/>
      <c r="U42" s="63"/>
      <c r="V42" s="63"/>
      <c r="W42" s="63"/>
    </row>
    <row r="43" spans="1:23" ht="24" customHeight="1" x14ac:dyDescent="0.3">
      <c r="A43" s="103">
        <f t="shared" si="4"/>
        <v>1</v>
      </c>
      <c r="B43" s="62" t="str">
        <f t="shared" si="4"/>
        <v>~</v>
      </c>
      <c r="C43" s="104">
        <f t="shared" si="4"/>
        <v>1.5</v>
      </c>
      <c r="D43" s="63"/>
      <c r="E43" s="63" t="s">
        <v>2041</v>
      </c>
      <c r="F43" s="63"/>
      <c r="G43" s="63" t="s">
        <v>261</v>
      </c>
      <c r="H43" s="63"/>
      <c r="I43" s="63"/>
      <c r="J43" s="63"/>
      <c r="K43" s="63"/>
      <c r="L43" s="63"/>
      <c r="M43" s="63"/>
      <c r="N43" s="63"/>
      <c r="O43" s="63"/>
      <c r="P43" s="63"/>
      <c r="Q43" s="63"/>
      <c r="R43" s="63"/>
      <c r="S43" s="63"/>
      <c r="T43" s="63"/>
      <c r="U43" s="63"/>
      <c r="V43" s="63"/>
      <c r="W43" s="63"/>
    </row>
    <row r="46" spans="1:23" x14ac:dyDescent="0.3">
      <c r="A46" s="51" t="s">
        <v>262</v>
      </c>
      <c r="B46" s="52"/>
      <c r="C46" s="53"/>
      <c r="D46" s="54" t="str">
        <f t="shared" ref="D46:W46" si="5">D33</f>
        <v>중동,장동</v>
      </c>
      <c r="E46" s="54" t="str">
        <f t="shared" si="5"/>
        <v>송천동1가</v>
      </c>
      <c r="F46" s="54" t="str">
        <f t="shared" si="5"/>
        <v>송천동2가</v>
      </c>
      <c r="G46" s="54" t="str">
        <f t="shared" si="5"/>
        <v>우아동3가,우아동2가</v>
      </c>
      <c r="H46" s="54" t="str">
        <f t="shared" si="5"/>
        <v>만성동</v>
      </c>
      <c r="I46" s="54" t="str">
        <f t="shared" si="5"/>
        <v/>
      </c>
      <c r="J46" s="54" t="str">
        <f t="shared" si="5"/>
        <v/>
      </c>
      <c r="K46" s="54" t="str">
        <f t="shared" si="5"/>
        <v/>
      </c>
      <c r="L46" s="54" t="str">
        <f t="shared" si="5"/>
        <v/>
      </c>
      <c r="M46" s="54" t="str">
        <f t="shared" si="5"/>
        <v/>
      </c>
      <c r="N46" s="54" t="str">
        <f t="shared" si="5"/>
        <v/>
      </c>
      <c r="O46" s="54" t="str">
        <f t="shared" si="5"/>
        <v/>
      </c>
      <c r="P46" s="54" t="str">
        <f t="shared" si="5"/>
        <v/>
      </c>
      <c r="Q46" s="54" t="str">
        <f t="shared" si="5"/>
        <v/>
      </c>
      <c r="R46" s="54" t="str">
        <f t="shared" si="5"/>
        <v/>
      </c>
      <c r="S46" s="54" t="str">
        <f t="shared" si="5"/>
        <v/>
      </c>
      <c r="T46" s="54" t="str">
        <f t="shared" si="5"/>
        <v/>
      </c>
      <c r="U46" s="54" t="str">
        <f t="shared" si="5"/>
        <v/>
      </c>
      <c r="V46" s="54" t="str">
        <f t="shared" si="5"/>
        <v/>
      </c>
      <c r="W46" s="54" t="str">
        <f t="shared" si="5"/>
        <v/>
      </c>
    </row>
    <row r="47" spans="1:23" x14ac:dyDescent="0.3">
      <c r="A47" s="95">
        <f t="shared" ref="A47:C56" si="6">IF(A34="","",A34)</f>
        <v>8</v>
      </c>
      <c r="B47" s="57" t="str">
        <f t="shared" si="6"/>
        <v>~</v>
      </c>
      <c r="C47" s="96" t="str">
        <f t="shared" si="6"/>
        <v/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58"/>
      <c r="U47" s="58"/>
      <c r="V47" s="58"/>
      <c r="W47" s="58"/>
    </row>
    <row r="48" spans="1:23" x14ac:dyDescent="0.3">
      <c r="A48" s="97">
        <f t="shared" si="6"/>
        <v>7</v>
      </c>
      <c r="B48" s="59" t="str">
        <f t="shared" si="6"/>
        <v>~</v>
      </c>
      <c r="C48" s="98">
        <f t="shared" si="6"/>
        <v>8</v>
      </c>
      <c r="D48" s="58"/>
      <c r="E48" s="58"/>
      <c r="F48" s="58"/>
      <c r="G48" s="58"/>
      <c r="H48" s="58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8"/>
      <c r="V48" s="58"/>
      <c r="W48" s="58"/>
    </row>
    <row r="49" spans="1:23" x14ac:dyDescent="0.3">
      <c r="A49" s="99">
        <f t="shared" si="6"/>
        <v>6</v>
      </c>
      <c r="B49" s="55" t="str">
        <f t="shared" si="6"/>
        <v>~</v>
      </c>
      <c r="C49" s="100">
        <f t="shared" si="6"/>
        <v>7</v>
      </c>
      <c r="D49" s="56"/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/>
      <c r="P49" s="56"/>
      <c r="Q49" s="56"/>
      <c r="R49" s="56"/>
      <c r="S49" s="56"/>
      <c r="T49" s="56"/>
      <c r="U49" s="56"/>
      <c r="V49" s="56"/>
      <c r="W49" s="56"/>
    </row>
    <row r="50" spans="1:23" x14ac:dyDescent="0.3">
      <c r="A50" s="99">
        <f t="shared" si="6"/>
        <v>5</v>
      </c>
      <c r="B50" s="55" t="str">
        <f t="shared" si="6"/>
        <v>~</v>
      </c>
      <c r="C50" s="100">
        <f t="shared" si="6"/>
        <v>6</v>
      </c>
      <c r="D50" s="56"/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/>
      <c r="P50" s="56"/>
      <c r="Q50" s="56"/>
      <c r="R50" s="56"/>
      <c r="S50" s="56"/>
      <c r="T50" s="56"/>
      <c r="U50" s="56"/>
      <c r="V50" s="56"/>
      <c r="W50" s="56"/>
    </row>
    <row r="51" spans="1:23" x14ac:dyDescent="0.3">
      <c r="A51" s="99">
        <f t="shared" si="6"/>
        <v>4</v>
      </c>
      <c r="B51" s="55" t="str">
        <f t="shared" si="6"/>
        <v>~</v>
      </c>
      <c r="C51" s="100">
        <f t="shared" si="6"/>
        <v>5</v>
      </c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  <c r="P51" s="56"/>
      <c r="Q51" s="56"/>
      <c r="R51" s="56"/>
      <c r="S51" s="56"/>
      <c r="T51" s="56"/>
      <c r="U51" s="56"/>
      <c r="V51" s="56"/>
      <c r="W51" s="56"/>
    </row>
    <row r="52" spans="1:23" x14ac:dyDescent="0.3">
      <c r="A52" s="101">
        <f t="shared" si="6"/>
        <v>3</v>
      </c>
      <c r="B52" s="60" t="str">
        <f t="shared" si="6"/>
        <v>~</v>
      </c>
      <c r="C52" s="102">
        <f t="shared" si="6"/>
        <v>4</v>
      </c>
      <c r="D52" s="61"/>
      <c r="E52" s="61"/>
      <c r="F52" s="61"/>
      <c r="G52" s="61"/>
      <c r="H52" s="61"/>
      <c r="I52" s="61"/>
      <c r="J52" s="61"/>
      <c r="K52" s="61"/>
      <c r="L52" s="61"/>
      <c r="M52" s="61"/>
      <c r="N52" s="61"/>
      <c r="O52" s="61"/>
      <c r="P52" s="61"/>
      <c r="Q52" s="61"/>
      <c r="R52" s="61"/>
      <c r="S52" s="61"/>
      <c r="T52" s="61"/>
      <c r="U52" s="61"/>
      <c r="V52" s="61"/>
      <c r="W52" s="61"/>
    </row>
    <row r="53" spans="1:23" x14ac:dyDescent="0.3">
      <c r="A53" s="101">
        <f t="shared" si="6"/>
        <v>2.5</v>
      </c>
      <c r="B53" s="60" t="str">
        <f t="shared" si="6"/>
        <v>~</v>
      </c>
      <c r="C53" s="102">
        <f t="shared" si="6"/>
        <v>3</v>
      </c>
      <c r="D53" s="61"/>
      <c r="E53" s="61"/>
      <c r="F53" s="61"/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</row>
    <row r="54" spans="1:23" x14ac:dyDescent="0.3">
      <c r="A54" s="101">
        <f t="shared" si="6"/>
        <v>2</v>
      </c>
      <c r="B54" s="60" t="str">
        <f t="shared" si="6"/>
        <v>~</v>
      </c>
      <c r="C54" s="102">
        <f t="shared" si="6"/>
        <v>2.5</v>
      </c>
      <c r="D54" s="61"/>
      <c r="E54" s="61"/>
      <c r="F54" s="61"/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</row>
    <row r="55" spans="1:23" x14ac:dyDescent="0.3">
      <c r="A55" s="103">
        <f t="shared" si="6"/>
        <v>1.5</v>
      </c>
      <c r="B55" s="62" t="str">
        <f t="shared" si="6"/>
        <v>~</v>
      </c>
      <c r="C55" s="104">
        <f t="shared" si="6"/>
        <v>2</v>
      </c>
      <c r="D55" s="63"/>
      <c r="E55" s="63"/>
      <c r="F55" s="63" t="s">
        <v>2036</v>
      </c>
      <c r="G55" s="63"/>
      <c r="H55" s="63"/>
      <c r="I55" s="63"/>
      <c r="J55" s="63"/>
      <c r="K55" s="63"/>
      <c r="L55" s="63"/>
      <c r="M55" s="63"/>
      <c r="N55" s="63"/>
      <c r="O55" s="63"/>
      <c r="P55" s="63"/>
      <c r="Q55" s="63"/>
      <c r="R55" s="63"/>
      <c r="S55" s="63"/>
      <c r="T55" s="63"/>
      <c r="U55" s="63"/>
      <c r="V55" s="63"/>
      <c r="W55" s="63"/>
    </row>
    <row r="56" spans="1:23" ht="36" customHeight="1" x14ac:dyDescent="0.3">
      <c r="A56" s="103">
        <f t="shared" si="6"/>
        <v>1</v>
      </c>
      <c r="B56" s="62" t="str">
        <f t="shared" si="6"/>
        <v>~</v>
      </c>
      <c r="C56" s="104">
        <f t="shared" si="6"/>
        <v>1.5</v>
      </c>
      <c r="D56" s="63"/>
      <c r="E56" s="63" t="s">
        <v>2043</v>
      </c>
      <c r="F56" s="63"/>
      <c r="G56" s="63"/>
      <c r="H56" s="63"/>
      <c r="I56" s="63"/>
      <c r="J56" s="63"/>
      <c r="K56" s="63"/>
      <c r="L56" s="63"/>
      <c r="M56" s="63"/>
      <c r="N56" s="63"/>
      <c r="O56" s="63"/>
      <c r="P56" s="63"/>
      <c r="Q56" s="63"/>
      <c r="R56" s="63"/>
      <c r="S56" s="63"/>
      <c r="T56" s="63"/>
      <c r="U56" s="63"/>
      <c r="V56" s="63"/>
      <c r="W56" s="63"/>
    </row>
    <row r="59" spans="1:23" x14ac:dyDescent="0.3">
      <c r="A59" s="51" t="s">
        <v>263</v>
      </c>
      <c r="B59" s="52"/>
      <c r="C59" s="53"/>
      <c r="D59" s="54" t="str">
        <f t="shared" ref="D59:W59" si="7">D46</f>
        <v>중동,장동</v>
      </c>
      <c r="E59" s="54" t="str">
        <f t="shared" si="7"/>
        <v>송천동1가</v>
      </c>
      <c r="F59" s="54" t="str">
        <f t="shared" si="7"/>
        <v>송천동2가</v>
      </c>
      <c r="G59" s="54" t="str">
        <f t="shared" si="7"/>
        <v>우아동3가,우아동2가</v>
      </c>
      <c r="H59" s="54" t="str">
        <f t="shared" si="7"/>
        <v>만성동</v>
      </c>
      <c r="I59" s="54" t="str">
        <f t="shared" si="7"/>
        <v/>
      </c>
      <c r="J59" s="54" t="str">
        <f t="shared" si="7"/>
        <v/>
      </c>
      <c r="K59" s="54" t="str">
        <f t="shared" si="7"/>
        <v/>
      </c>
      <c r="L59" s="54" t="str">
        <f t="shared" si="7"/>
        <v/>
      </c>
      <c r="M59" s="54" t="str">
        <f t="shared" si="7"/>
        <v/>
      </c>
      <c r="N59" s="54" t="str">
        <f t="shared" si="7"/>
        <v/>
      </c>
      <c r="O59" s="54" t="str">
        <f t="shared" si="7"/>
        <v/>
      </c>
      <c r="P59" s="54" t="str">
        <f t="shared" si="7"/>
        <v/>
      </c>
      <c r="Q59" s="54" t="str">
        <f t="shared" si="7"/>
        <v/>
      </c>
      <c r="R59" s="54" t="str">
        <f t="shared" si="7"/>
        <v/>
      </c>
      <c r="S59" s="54" t="str">
        <f t="shared" si="7"/>
        <v/>
      </c>
      <c r="T59" s="54" t="str">
        <f t="shared" si="7"/>
        <v/>
      </c>
      <c r="U59" s="54" t="str">
        <f t="shared" si="7"/>
        <v/>
      </c>
      <c r="V59" s="54" t="str">
        <f t="shared" si="7"/>
        <v/>
      </c>
      <c r="W59" s="54" t="str">
        <f t="shared" si="7"/>
        <v/>
      </c>
    </row>
    <row r="60" spans="1:23" x14ac:dyDescent="0.3">
      <c r="A60" s="95">
        <f t="shared" ref="A60:C69" si="8">IF(A47="","",A47)</f>
        <v>8</v>
      </c>
      <c r="B60" s="57" t="str">
        <f t="shared" si="8"/>
        <v>~</v>
      </c>
      <c r="C60" s="96" t="str">
        <f t="shared" si="8"/>
        <v/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58"/>
      <c r="W60" s="58"/>
    </row>
    <row r="61" spans="1:23" x14ac:dyDescent="0.3">
      <c r="A61" s="97">
        <f t="shared" si="8"/>
        <v>7</v>
      </c>
      <c r="B61" s="59" t="str">
        <f t="shared" si="8"/>
        <v>~</v>
      </c>
      <c r="C61" s="98">
        <f t="shared" si="8"/>
        <v>8</v>
      </c>
      <c r="D61" s="58"/>
      <c r="E61" s="58"/>
      <c r="F61" s="58"/>
      <c r="G61" s="58"/>
      <c r="H61" s="58"/>
      <c r="I61" s="58"/>
      <c r="J61" s="58"/>
      <c r="K61" s="58"/>
      <c r="L61" s="58"/>
      <c r="M61" s="58"/>
      <c r="N61" s="58"/>
      <c r="O61" s="58"/>
      <c r="P61" s="58"/>
      <c r="Q61" s="58"/>
      <c r="R61" s="58"/>
      <c r="S61" s="58"/>
      <c r="T61" s="58"/>
      <c r="U61" s="58"/>
      <c r="V61" s="58"/>
      <c r="W61" s="58"/>
    </row>
    <row r="62" spans="1:23" x14ac:dyDescent="0.3">
      <c r="A62" s="99">
        <f t="shared" si="8"/>
        <v>6</v>
      </c>
      <c r="B62" s="55" t="str">
        <f t="shared" si="8"/>
        <v>~</v>
      </c>
      <c r="C62" s="100">
        <f t="shared" si="8"/>
        <v>7</v>
      </c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  <c r="P62" s="56"/>
      <c r="Q62" s="56"/>
      <c r="R62" s="56"/>
      <c r="S62" s="56"/>
      <c r="T62" s="56"/>
      <c r="U62" s="56"/>
      <c r="V62" s="56"/>
      <c r="W62" s="56"/>
    </row>
    <row r="63" spans="1:23" x14ac:dyDescent="0.3">
      <c r="A63" s="99">
        <f t="shared" si="8"/>
        <v>5</v>
      </c>
      <c r="B63" s="55" t="str">
        <f t="shared" si="8"/>
        <v>~</v>
      </c>
      <c r="C63" s="100">
        <f t="shared" si="8"/>
        <v>6</v>
      </c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6"/>
      <c r="W63" s="56"/>
    </row>
    <row r="64" spans="1:23" x14ac:dyDescent="0.3">
      <c r="A64" s="99">
        <f t="shared" si="8"/>
        <v>4</v>
      </c>
      <c r="B64" s="55" t="str">
        <f t="shared" si="8"/>
        <v>~</v>
      </c>
      <c r="C64" s="100">
        <f t="shared" si="8"/>
        <v>5</v>
      </c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  <c r="P64" s="56"/>
      <c r="Q64" s="56"/>
      <c r="R64" s="56"/>
      <c r="S64" s="56"/>
      <c r="T64" s="56"/>
      <c r="U64" s="56"/>
      <c r="V64" s="56"/>
      <c r="W64" s="56"/>
    </row>
    <row r="65" spans="1:23" x14ac:dyDescent="0.3">
      <c r="A65" s="101">
        <f t="shared" si="8"/>
        <v>3</v>
      </c>
      <c r="B65" s="60" t="str">
        <f t="shared" si="8"/>
        <v>~</v>
      </c>
      <c r="C65" s="102">
        <f t="shared" si="8"/>
        <v>4</v>
      </c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</row>
    <row r="66" spans="1:23" x14ac:dyDescent="0.3">
      <c r="A66" s="101">
        <f t="shared" si="8"/>
        <v>2.5</v>
      </c>
      <c r="B66" s="60" t="str">
        <f t="shared" si="8"/>
        <v>~</v>
      </c>
      <c r="C66" s="102">
        <f t="shared" si="8"/>
        <v>3</v>
      </c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</row>
    <row r="67" spans="1:23" x14ac:dyDescent="0.3">
      <c r="A67" s="101">
        <f t="shared" si="8"/>
        <v>2</v>
      </c>
      <c r="B67" s="60" t="str">
        <f t="shared" si="8"/>
        <v>~</v>
      </c>
      <c r="C67" s="102">
        <f t="shared" si="8"/>
        <v>2.5</v>
      </c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</row>
    <row r="68" spans="1:23" x14ac:dyDescent="0.3">
      <c r="A68" s="103">
        <f t="shared" si="8"/>
        <v>1.5</v>
      </c>
      <c r="B68" s="62" t="str">
        <f t="shared" si="8"/>
        <v>~</v>
      </c>
      <c r="C68" s="104">
        <f t="shared" si="8"/>
        <v>2</v>
      </c>
      <c r="D68" s="63"/>
      <c r="E68" s="63"/>
      <c r="F68" s="63" t="s">
        <v>2040</v>
      </c>
      <c r="G68" s="63"/>
      <c r="H68" s="63"/>
      <c r="I68" s="63"/>
      <c r="J68" s="63"/>
      <c r="K68" s="63"/>
      <c r="L68" s="63"/>
      <c r="M68" s="63"/>
      <c r="N68" s="63"/>
      <c r="O68" s="63"/>
      <c r="P68" s="63"/>
      <c r="Q68" s="63"/>
      <c r="R68" s="63"/>
      <c r="S68" s="63"/>
      <c r="T68" s="63"/>
      <c r="U68" s="63"/>
      <c r="V68" s="63"/>
      <c r="W68" s="63"/>
    </row>
    <row r="69" spans="1:23" x14ac:dyDescent="0.3">
      <c r="A69" s="103">
        <f t="shared" si="8"/>
        <v>1</v>
      </c>
      <c r="B69" s="62" t="str">
        <f t="shared" si="8"/>
        <v>~</v>
      </c>
      <c r="C69" s="104">
        <f t="shared" si="8"/>
        <v>1.5</v>
      </c>
      <c r="D69" s="63"/>
      <c r="E69" s="63"/>
      <c r="F69" s="63"/>
      <c r="G69" s="63"/>
      <c r="H69" s="63"/>
      <c r="I69" s="63"/>
      <c r="J69" s="63"/>
      <c r="K69" s="63"/>
      <c r="L69" s="63"/>
      <c r="M69" s="63"/>
      <c r="N69" s="63"/>
      <c r="O69" s="63"/>
      <c r="P69" s="63"/>
      <c r="Q69" s="63"/>
      <c r="R69" s="63"/>
      <c r="S69" s="63"/>
      <c r="T69" s="63"/>
      <c r="U69" s="63"/>
      <c r="V69" s="63"/>
      <c r="W69" s="63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0" t="s">
        <v>264</v>
      </c>
      <c r="B1" s="71"/>
    </row>
    <row r="2" spans="1:2" x14ac:dyDescent="0.3">
      <c r="A2" t="s">
        <v>265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846"/>
  <sheetViews>
    <sheetView zoomScaleNormal="100" workbookViewId="0">
      <selection activeCell="H9" sqref="H9"/>
    </sheetView>
  </sheetViews>
  <sheetFormatPr defaultRowHeight="16.5" x14ac:dyDescent="0.3"/>
  <sheetData>
    <row r="1" spans="1:38" x14ac:dyDescent="0.3">
      <c r="A1" t="s">
        <v>266</v>
      </c>
      <c r="B1">
        <v>108765</v>
      </c>
      <c r="C1">
        <v>1</v>
      </c>
      <c r="D1" t="s">
        <v>267</v>
      </c>
      <c r="E1" t="s">
        <v>268</v>
      </c>
      <c r="F1">
        <v>260</v>
      </c>
      <c r="G1">
        <v>25.5</v>
      </c>
      <c r="H1">
        <v>84.32</v>
      </c>
      <c r="I1">
        <v>18.13</v>
      </c>
      <c r="J1">
        <v>59.95</v>
      </c>
      <c r="K1">
        <v>154</v>
      </c>
      <c r="T1">
        <v>3</v>
      </c>
      <c r="U1">
        <v>2</v>
      </c>
      <c r="V1" t="s">
        <v>269</v>
      </c>
      <c r="W1" t="s">
        <v>60</v>
      </c>
      <c r="X1">
        <v>26</v>
      </c>
      <c r="Y1">
        <v>18</v>
      </c>
      <c r="Z1" t="s">
        <v>270</v>
      </c>
      <c r="AA1" t="s">
        <v>271</v>
      </c>
      <c r="AB1" t="s">
        <v>272</v>
      </c>
      <c r="AC1" t="s">
        <v>273</v>
      </c>
      <c r="AD1" t="s">
        <v>274</v>
      </c>
      <c r="AE1" t="s">
        <v>275</v>
      </c>
      <c r="AG1" t="s">
        <v>276</v>
      </c>
      <c r="AH1">
        <v>0</v>
      </c>
      <c r="AI1">
        <v>228</v>
      </c>
      <c r="AJ1">
        <v>19</v>
      </c>
      <c r="AK1">
        <v>263</v>
      </c>
      <c r="AL1">
        <v>1.01</v>
      </c>
    </row>
    <row r="2" spans="1:38" x14ac:dyDescent="0.3">
      <c r="A2" t="s">
        <v>266</v>
      </c>
      <c r="B2">
        <v>108765</v>
      </c>
      <c r="C2">
        <v>2</v>
      </c>
      <c r="D2" t="s">
        <v>267</v>
      </c>
      <c r="E2" t="s">
        <v>268</v>
      </c>
      <c r="F2">
        <v>260</v>
      </c>
      <c r="G2">
        <v>25.54</v>
      </c>
      <c r="H2">
        <v>84.45</v>
      </c>
      <c r="I2">
        <v>18.14</v>
      </c>
      <c r="J2">
        <v>59.97</v>
      </c>
      <c r="K2">
        <v>88</v>
      </c>
      <c r="T2">
        <v>3</v>
      </c>
      <c r="U2">
        <v>2</v>
      </c>
      <c r="V2" t="s">
        <v>269</v>
      </c>
      <c r="W2" t="s">
        <v>63</v>
      </c>
      <c r="X2">
        <v>26</v>
      </c>
      <c r="Y2">
        <v>18</v>
      </c>
      <c r="Z2" t="s">
        <v>270</v>
      </c>
      <c r="AA2" t="s">
        <v>271</v>
      </c>
      <c r="AB2" t="s">
        <v>272</v>
      </c>
      <c r="AC2" t="s">
        <v>273</v>
      </c>
      <c r="AD2" t="s">
        <v>274</v>
      </c>
      <c r="AE2" t="s">
        <v>275</v>
      </c>
      <c r="AG2" t="s">
        <v>276</v>
      </c>
      <c r="AH2">
        <v>0</v>
      </c>
      <c r="AI2">
        <v>228</v>
      </c>
      <c r="AJ2">
        <v>19</v>
      </c>
      <c r="AK2">
        <v>263</v>
      </c>
      <c r="AL2">
        <v>1.01</v>
      </c>
    </row>
    <row r="3" spans="1:38" x14ac:dyDescent="0.3">
      <c r="A3" t="s">
        <v>266</v>
      </c>
      <c r="B3">
        <v>108765</v>
      </c>
      <c r="C3">
        <v>3</v>
      </c>
      <c r="D3" t="s">
        <v>267</v>
      </c>
      <c r="E3" t="s">
        <v>268</v>
      </c>
      <c r="F3">
        <v>260</v>
      </c>
      <c r="G3">
        <v>25.64</v>
      </c>
      <c r="H3">
        <v>84.77</v>
      </c>
      <c r="I3">
        <v>18.14</v>
      </c>
      <c r="J3">
        <v>59.99</v>
      </c>
      <c r="K3">
        <v>18</v>
      </c>
      <c r="T3">
        <v>3</v>
      </c>
      <c r="U3">
        <v>2</v>
      </c>
      <c r="V3" t="s">
        <v>269</v>
      </c>
      <c r="W3" t="s">
        <v>64</v>
      </c>
      <c r="X3">
        <v>26</v>
      </c>
      <c r="Y3">
        <v>18</v>
      </c>
      <c r="Z3" t="s">
        <v>270</v>
      </c>
      <c r="AA3" t="s">
        <v>271</v>
      </c>
      <c r="AB3" t="s">
        <v>272</v>
      </c>
      <c r="AC3" t="s">
        <v>273</v>
      </c>
      <c r="AD3" t="s">
        <v>274</v>
      </c>
      <c r="AE3" t="s">
        <v>275</v>
      </c>
      <c r="AG3" t="s">
        <v>276</v>
      </c>
      <c r="AH3">
        <v>0</v>
      </c>
      <c r="AI3">
        <v>228</v>
      </c>
      <c r="AJ3">
        <v>19</v>
      </c>
      <c r="AK3">
        <v>263</v>
      </c>
      <c r="AL3">
        <v>1.01</v>
      </c>
    </row>
    <row r="4" spans="1:38" x14ac:dyDescent="0.3">
      <c r="A4" t="s">
        <v>266</v>
      </c>
      <c r="B4">
        <v>17086</v>
      </c>
      <c r="C4">
        <v>1</v>
      </c>
      <c r="D4" t="s">
        <v>277</v>
      </c>
      <c r="E4" t="s">
        <v>278</v>
      </c>
      <c r="F4">
        <v>297</v>
      </c>
      <c r="G4">
        <v>15.14</v>
      </c>
      <c r="H4">
        <v>50.06</v>
      </c>
      <c r="I4">
        <v>11.29</v>
      </c>
      <c r="J4">
        <v>37.35</v>
      </c>
      <c r="K4">
        <v>45</v>
      </c>
      <c r="T4">
        <v>1</v>
      </c>
      <c r="U4">
        <v>1</v>
      </c>
      <c r="V4" t="s">
        <v>279</v>
      </c>
      <c r="W4">
        <v>50</v>
      </c>
      <c r="X4">
        <v>15</v>
      </c>
      <c r="Y4">
        <v>9</v>
      </c>
      <c r="Z4" t="s">
        <v>280</v>
      </c>
      <c r="AA4" t="s">
        <v>281</v>
      </c>
      <c r="AB4" t="s">
        <v>272</v>
      </c>
      <c r="AC4" t="s">
        <v>273</v>
      </c>
      <c r="AD4" t="s">
        <v>274</v>
      </c>
      <c r="AE4" t="s">
        <v>275</v>
      </c>
      <c r="AG4" t="s">
        <v>282</v>
      </c>
      <c r="AH4">
        <v>0</v>
      </c>
      <c r="AI4">
        <v>218</v>
      </c>
      <c r="AJ4">
        <v>22</v>
      </c>
      <c r="AK4">
        <v>243</v>
      </c>
      <c r="AL4">
        <v>0.82</v>
      </c>
    </row>
    <row r="5" spans="1:38" x14ac:dyDescent="0.3">
      <c r="A5" t="s">
        <v>266</v>
      </c>
      <c r="B5">
        <v>17086</v>
      </c>
      <c r="C5">
        <v>2</v>
      </c>
      <c r="D5" t="s">
        <v>277</v>
      </c>
      <c r="E5" t="s">
        <v>278</v>
      </c>
      <c r="F5">
        <v>297</v>
      </c>
      <c r="G5">
        <v>15.87</v>
      </c>
      <c r="H5">
        <v>52.47</v>
      </c>
      <c r="I5">
        <v>11.84</v>
      </c>
      <c r="J5">
        <v>39.15</v>
      </c>
      <c r="K5">
        <v>30</v>
      </c>
      <c r="T5">
        <v>1</v>
      </c>
      <c r="U5">
        <v>1</v>
      </c>
      <c r="V5" t="s">
        <v>279</v>
      </c>
      <c r="W5">
        <v>52</v>
      </c>
      <c r="X5">
        <v>15</v>
      </c>
      <c r="Y5">
        <v>9</v>
      </c>
      <c r="Z5" t="s">
        <v>280</v>
      </c>
      <c r="AA5" t="s">
        <v>281</v>
      </c>
      <c r="AB5" t="s">
        <v>272</v>
      </c>
      <c r="AC5" t="s">
        <v>273</v>
      </c>
      <c r="AD5" t="s">
        <v>274</v>
      </c>
      <c r="AE5" t="s">
        <v>275</v>
      </c>
      <c r="AG5" t="s">
        <v>282</v>
      </c>
      <c r="AH5">
        <v>0</v>
      </c>
      <c r="AI5">
        <v>218</v>
      </c>
      <c r="AJ5">
        <v>22</v>
      </c>
      <c r="AK5">
        <v>243</v>
      </c>
      <c r="AL5">
        <v>0.82</v>
      </c>
    </row>
    <row r="6" spans="1:38" x14ac:dyDescent="0.3">
      <c r="A6" t="s">
        <v>266</v>
      </c>
      <c r="B6">
        <v>17086</v>
      </c>
      <c r="C6">
        <v>3</v>
      </c>
      <c r="D6" t="s">
        <v>277</v>
      </c>
      <c r="E6" t="s">
        <v>278</v>
      </c>
      <c r="F6">
        <v>297</v>
      </c>
      <c r="G6">
        <v>21.74</v>
      </c>
      <c r="H6">
        <v>71.89</v>
      </c>
      <c r="I6">
        <v>16.22</v>
      </c>
      <c r="J6">
        <v>53.64</v>
      </c>
      <c r="K6">
        <v>72</v>
      </c>
      <c r="T6">
        <v>3</v>
      </c>
      <c r="U6">
        <v>1</v>
      </c>
      <c r="V6" t="s">
        <v>279</v>
      </c>
      <c r="W6" t="s">
        <v>66</v>
      </c>
      <c r="X6">
        <v>15</v>
      </c>
      <c r="Y6">
        <v>9</v>
      </c>
      <c r="Z6" t="s">
        <v>280</v>
      </c>
      <c r="AA6" t="s">
        <v>281</v>
      </c>
      <c r="AB6" t="s">
        <v>272</v>
      </c>
      <c r="AC6" t="s">
        <v>273</v>
      </c>
      <c r="AD6" t="s">
        <v>274</v>
      </c>
      <c r="AE6" t="s">
        <v>275</v>
      </c>
      <c r="AG6" t="s">
        <v>282</v>
      </c>
      <c r="AH6">
        <v>0</v>
      </c>
      <c r="AI6">
        <v>218</v>
      </c>
      <c r="AJ6">
        <v>22</v>
      </c>
      <c r="AK6">
        <v>243</v>
      </c>
      <c r="AL6">
        <v>0.82</v>
      </c>
    </row>
    <row r="7" spans="1:38" x14ac:dyDescent="0.3">
      <c r="A7" t="s">
        <v>266</v>
      </c>
      <c r="B7">
        <v>17086</v>
      </c>
      <c r="C7">
        <v>4</v>
      </c>
      <c r="D7" t="s">
        <v>277</v>
      </c>
      <c r="E7" t="s">
        <v>278</v>
      </c>
      <c r="F7">
        <v>297</v>
      </c>
      <c r="G7">
        <v>22.47</v>
      </c>
      <c r="H7">
        <v>74.3</v>
      </c>
      <c r="I7">
        <v>16.77</v>
      </c>
      <c r="J7">
        <v>55.44</v>
      </c>
      <c r="K7">
        <v>39</v>
      </c>
      <c r="T7">
        <v>3</v>
      </c>
      <c r="U7">
        <v>1</v>
      </c>
      <c r="V7" t="s">
        <v>279</v>
      </c>
      <c r="W7" t="s">
        <v>67</v>
      </c>
      <c r="X7">
        <v>15</v>
      </c>
      <c r="Y7">
        <v>9</v>
      </c>
      <c r="Z7" t="s">
        <v>280</v>
      </c>
      <c r="AA7" t="s">
        <v>281</v>
      </c>
      <c r="AB7" t="s">
        <v>272</v>
      </c>
      <c r="AC7" t="s">
        <v>273</v>
      </c>
      <c r="AD7" t="s">
        <v>274</v>
      </c>
      <c r="AE7" t="s">
        <v>275</v>
      </c>
      <c r="AG7" t="s">
        <v>282</v>
      </c>
      <c r="AH7">
        <v>0</v>
      </c>
      <c r="AI7">
        <v>218</v>
      </c>
      <c r="AJ7">
        <v>22</v>
      </c>
      <c r="AK7">
        <v>243</v>
      </c>
      <c r="AL7">
        <v>0.82</v>
      </c>
    </row>
    <row r="8" spans="1:38" x14ac:dyDescent="0.3">
      <c r="A8" t="s">
        <v>266</v>
      </c>
      <c r="B8">
        <v>17086</v>
      </c>
      <c r="C8">
        <v>5</v>
      </c>
      <c r="D8" t="s">
        <v>277</v>
      </c>
      <c r="E8" t="s">
        <v>278</v>
      </c>
      <c r="F8">
        <v>297</v>
      </c>
      <c r="G8">
        <v>24.26</v>
      </c>
      <c r="H8">
        <v>80.209999999999994</v>
      </c>
      <c r="I8">
        <v>18.100000000000001</v>
      </c>
      <c r="J8">
        <v>59.85</v>
      </c>
      <c r="K8">
        <v>111</v>
      </c>
      <c r="T8">
        <v>3</v>
      </c>
      <c r="U8">
        <v>1</v>
      </c>
      <c r="V8" t="s">
        <v>279</v>
      </c>
      <c r="W8">
        <v>80</v>
      </c>
      <c r="X8">
        <v>15</v>
      </c>
      <c r="Y8">
        <v>9</v>
      </c>
      <c r="Z8" t="s">
        <v>280</v>
      </c>
      <c r="AA8" t="s">
        <v>281</v>
      </c>
      <c r="AB8" t="s">
        <v>272</v>
      </c>
      <c r="AC8" t="s">
        <v>273</v>
      </c>
      <c r="AD8" t="s">
        <v>274</v>
      </c>
      <c r="AE8" t="s">
        <v>275</v>
      </c>
      <c r="AG8" t="s">
        <v>282</v>
      </c>
      <c r="AH8">
        <v>0</v>
      </c>
      <c r="AI8">
        <v>218</v>
      </c>
      <c r="AJ8">
        <v>22</v>
      </c>
      <c r="AK8">
        <v>243</v>
      </c>
      <c r="AL8">
        <v>0.82</v>
      </c>
    </row>
    <row r="9" spans="1:38" x14ac:dyDescent="0.3">
      <c r="A9" t="s">
        <v>283</v>
      </c>
      <c r="B9">
        <v>124848</v>
      </c>
      <c r="C9">
        <v>1</v>
      </c>
      <c r="D9" t="s">
        <v>284</v>
      </c>
      <c r="E9" t="s">
        <v>285</v>
      </c>
      <c r="F9">
        <v>36</v>
      </c>
      <c r="G9">
        <v>22.91</v>
      </c>
      <c r="H9">
        <v>75.75</v>
      </c>
      <c r="I9">
        <v>22.91</v>
      </c>
      <c r="J9">
        <v>75.75</v>
      </c>
      <c r="K9">
        <v>3</v>
      </c>
      <c r="T9">
        <v>3</v>
      </c>
      <c r="U9">
        <v>1</v>
      </c>
      <c r="V9" t="s">
        <v>269</v>
      </c>
      <c r="W9">
        <v>75</v>
      </c>
      <c r="X9">
        <v>5</v>
      </c>
      <c r="Y9">
        <v>5</v>
      </c>
      <c r="Z9" t="s">
        <v>286</v>
      </c>
      <c r="AA9" t="s">
        <v>287</v>
      </c>
      <c r="AB9" t="s">
        <v>272</v>
      </c>
      <c r="AC9" t="s">
        <v>273</v>
      </c>
      <c r="AD9" t="s">
        <v>274</v>
      </c>
      <c r="AE9" t="s">
        <v>288</v>
      </c>
      <c r="AG9" t="s">
        <v>289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283</v>
      </c>
      <c r="B10">
        <v>124848</v>
      </c>
      <c r="C10">
        <v>2</v>
      </c>
      <c r="D10" t="s">
        <v>284</v>
      </c>
      <c r="E10" t="s">
        <v>285</v>
      </c>
      <c r="F10">
        <v>36</v>
      </c>
      <c r="G10">
        <v>24.91</v>
      </c>
      <c r="H10">
        <v>82.35</v>
      </c>
      <c r="I10">
        <v>24.91</v>
      </c>
      <c r="J10">
        <v>82.35</v>
      </c>
      <c r="K10">
        <v>3</v>
      </c>
      <c r="T10">
        <v>3</v>
      </c>
      <c r="U10">
        <v>2</v>
      </c>
      <c r="V10" t="s">
        <v>269</v>
      </c>
      <c r="W10">
        <v>82</v>
      </c>
      <c r="X10">
        <v>5</v>
      </c>
      <c r="Y10">
        <v>5</v>
      </c>
      <c r="Z10" t="s">
        <v>286</v>
      </c>
      <c r="AA10" t="s">
        <v>287</v>
      </c>
      <c r="AB10" t="s">
        <v>272</v>
      </c>
      <c r="AC10" t="s">
        <v>273</v>
      </c>
      <c r="AD10" t="s">
        <v>274</v>
      </c>
      <c r="AE10" t="s">
        <v>288</v>
      </c>
      <c r="AG10" t="s">
        <v>289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283</v>
      </c>
      <c r="B11">
        <v>124848</v>
      </c>
      <c r="C11">
        <v>3</v>
      </c>
      <c r="D11" t="s">
        <v>284</v>
      </c>
      <c r="E11" t="s">
        <v>285</v>
      </c>
      <c r="F11">
        <v>36</v>
      </c>
      <c r="G11">
        <v>26.02</v>
      </c>
      <c r="H11">
        <v>86.04</v>
      </c>
      <c r="I11">
        <v>26.02</v>
      </c>
      <c r="J11">
        <v>86.04</v>
      </c>
      <c r="K11">
        <v>21</v>
      </c>
      <c r="T11">
        <v>3</v>
      </c>
      <c r="U11">
        <v>2</v>
      </c>
      <c r="V11" t="s">
        <v>269</v>
      </c>
      <c r="W11">
        <v>86</v>
      </c>
      <c r="X11">
        <v>5</v>
      </c>
      <c r="Y11">
        <v>5</v>
      </c>
      <c r="Z11" t="s">
        <v>286</v>
      </c>
      <c r="AA11" t="s">
        <v>287</v>
      </c>
      <c r="AB11" t="s">
        <v>272</v>
      </c>
      <c r="AC11" t="s">
        <v>273</v>
      </c>
      <c r="AD11" t="s">
        <v>274</v>
      </c>
      <c r="AE11" t="s">
        <v>288</v>
      </c>
      <c r="AG11" t="s">
        <v>289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283</v>
      </c>
      <c r="B12">
        <v>124848</v>
      </c>
      <c r="C12">
        <v>4</v>
      </c>
      <c r="D12" t="s">
        <v>284</v>
      </c>
      <c r="E12" t="s">
        <v>285</v>
      </c>
      <c r="F12">
        <v>36</v>
      </c>
      <c r="G12">
        <v>31.11</v>
      </c>
      <c r="H12">
        <v>102.86</v>
      </c>
      <c r="I12">
        <v>31.11</v>
      </c>
      <c r="J12">
        <v>102.86</v>
      </c>
      <c r="K12">
        <v>3</v>
      </c>
      <c r="T12">
        <v>3</v>
      </c>
      <c r="U12">
        <v>2</v>
      </c>
      <c r="V12" t="s">
        <v>269</v>
      </c>
      <c r="W12">
        <v>102</v>
      </c>
      <c r="X12">
        <v>5</v>
      </c>
      <c r="Y12">
        <v>5</v>
      </c>
      <c r="Z12" t="s">
        <v>286</v>
      </c>
      <c r="AA12" t="s">
        <v>287</v>
      </c>
      <c r="AB12" t="s">
        <v>272</v>
      </c>
      <c r="AC12" t="s">
        <v>273</v>
      </c>
      <c r="AD12" t="s">
        <v>274</v>
      </c>
      <c r="AE12" t="s">
        <v>288</v>
      </c>
      <c r="AG12" t="s">
        <v>289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283</v>
      </c>
      <c r="B13">
        <v>124848</v>
      </c>
      <c r="C13">
        <v>5</v>
      </c>
      <c r="D13" t="s">
        <v>284</v>
      </c>
      <c r="E13" t="s">
        <v>285</v>
      </c>
      <c r="F13">
        <v>36</v>
      </c>
      <c r="G13">
        <v>32.520000000000003</v>
      </c>
      <c r="H13">
        <v>107.52</v>
      </c>
      <c r="I13">
        <v>32.520000000000003</v>
      </c>
      <c r="J13">
        <v>107.52</v>
      </c>
      <c r="K13">
        <v>3</v>
      </c>
      <c r="T13">
        <v>3</v>
      </c>
      <c r="U13">
        <v>2</v>
      </c>
      <c r="V13" t="s">
        <v>269</v>
      </c>
      <c r="W13" t="s">
        <v>196</v>
      </c>
      <c r="X13">
        <v>5</v>
      </c>
      <c r="Y13">
        <v>5</v>
      </c>
      <c r="Z13" t="s">
        <v>286</v>
      </c>
      <c r="AA13" t="s">
        <v>287</v>
      </c>
      <c r="AB13" t="s">
        <v>272</v>
      </c>
      <c r="AC13" t="s">
        <v>273</v>
      </c>
      <c r="AD13" t="s">
        <v>274</v>
      </c>
      <c r="AE13" t="s">
        <v>288</v>
      </c>
      <c r="AG13" t="s">
        <v>289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283</v>
      </c>
      <c r="B14">
        <v>124848</v>
      </c>
      <c r="C14">
        <v>6</v>
      </c>
      <c r="D14" t="s">
        <v>284</v>
      </c>
      <c r="E14" t="s">
        <v>285</v>
      </c>
      <c r="F14">
        <v>36</v>
      </c>
      <c r="G14">
        <v>32.99</v>
      </c>
      <c r="H14">
        <v>109.09</v>
      </c>
      <c r="I14">
        <v>32.99</v>
      </c>
      <c r="J14">
        <v>109.09</v>
      </c>
      <c r="K14">
        <v>3</v>
      </c>
      <c r="T14">
        <v>3</v>
      </c>
      <c r="U14">
        <v>2</v>
      </c>
      <c r="V14" t="s">
        <v>269</v>
      </c>
      <c r="W14" t="s">
        <v>71</v>
      </c>
      <c r="X14">
        <v>5</v>
      </c>
      <c r="Y14">
        <v>5</v>
      </c>
      <c r="Z14" t="s">
        <v>286</v>
      </c>
      <c r="AA14" t="s">
        <v>287</v>
      </c>
      <c r="AB14" t="s">
        <v>272</v>
      </c>
      <c r="AC14" t="s">
        <v>273</v>
      </c>
      <c r="AD14" t="s">
        <v>274</v>
      </c>
      <c r="AE14" t="s">
        <v>288</v>
      </c>
      <c r="AG14" t="s">
        <v>289</v>
      </c>
      <c r="AH14">
        <v>0</v>
      </c>
      <c r="AI14">
        <v>0</v>
      </c>
      <c r="AJ14">
        <v>0</v>
      </c>
      <c r="AK14">
        <v>0</v>
      </c>
      <c r="AL14">
        <v>0</v>
      </c>
    </row>
    <row r="15" spans="1:38" x14ac:dyDescent="0.3">
      <c r="A15" t="s">
        <v>283</v>
      </c>
      <c r="B15">
        <v>121732</v>
      </c>
      <c r="C15">
        <v>1</v>
      </c>
      <c r="D15" t="s">
        <v>290</v>
      </c>
      <c r="E15" t="s">
        <v>291</v>
      </c>
      <c r="F15">
        <v>14</v>
      </c>
      <c r="G15">
        <v>22.36</v>
      </c>
      <c r="H15">
        <v>73.94</v>
      </c>
      <c r="I15">
        <v>15.46</v>
      </c>
      <c r="J15">
        <v>51.11</v>
      </c>
      <c r="K15">
        <v>7</v>
      </c>
      <c r="T15">
        <v>3</v>
      </c>
      <c r="U15">
        <v>1</v>
      </c>
      <c r="V15" t="s">
        <v>269</v>
      </c>
      <c r="W15">
        <v>73</v>
      </c>
      <c r="X15">
        <v>9</v>
      </c>
      <c r="Y15">
        <v>9</v>
      </c>
      <c r="Z15" t="s">
        <v>292</v>
      </c>
      <c r="AA15" t="s">
        <v>293</v>
      </c>
      <c r="AB15" t="s">
        <v>272</v>
      </c>
      <c r="AC15" t="s">
        <v>273</v>
      </c>
      <c r="AD15" t="s">
        <v>274</v>
      </c>
      <c r="AE15" t="s">
        <v>288</v>
      </c>
      <c r="AG15" t="s">
        <v>294</v>
      </c>
      <c r="AH15">
        <v>0</v>
      </c>
      <c r="AI15">
        <v>271</v>
      </c>
      <c r="AJ15">
        <v>50</v>
      </c>
      <c r="AK15">
        <v>11</v>
      </c>
      <c r="AL15">
        <v>0.79</v>
      </c>
    </row>
    <row r="16" spans="1:38" x14ac:dyDescent="0.3">
      <c r="A16" t="s">
        <v>283</v>
      </c>
      <c r="B16">
        <v>121732</v>
      </c>
      <c r="C16">
        <v>2</v>
      </c>
      <c r="D16" t="s">
        <v>290</v>
      </c>
      <c r="E16" t="s">
        <v>291</v>
      </c>
      <c r="F16">
        <v>14</v>
      </c>
      <c r="G16">
        <v>22.8</v>
      </c>
      <c r="H16">
        <v>75.39</v>
      </c>
      <c r="I16">
        <v>15.93</v>
      </c>
      <c r="J16">
        <v>52.68</v>
      </c>
      <c r="K16">
        <v>7</v>
      </c>
      <c r="T16">
        <v>3</v>
      </c>
      <c r="U16">
        <v>1</v>
      </c>
      <c r="V16" t="s">
        <v>269</v>
      </c>
      <c r="W16">
        <v>75</v>
      </c>
      <c r="X16">
        <v>9</v>
      </c>
      <c r="Y16">
        <v>9</v>
      </c>
      <c r="Z16" t="s">
        <v>292</v>
      </c>
      <c r="AA16" t="s">
        <v>293</v>
      </c>
      <c r="AB16" t="s">
        <v>272</v>
      </c>
      <c r="AC16" t="s">
        <v>273</v>
      </c>
      <c r="AD16" t="s">
        <v>274</v>
      </c>
      <c r="AE16" t="s">
        <v>288</v>
      </c>
      <c r="AG16" t="s">
        <v>294</v>
      </c>
      <c r="AH16">
        <v>0</v>
      </c>
      <c r="AI16">
        <v>271</v>
      </c>
      <c r="AJ16">
        <v>50</v>
      </c>
      <c r="AK16">
        <v>11</v>
      </c>
      <c r="AL16">
        <v>0.79</v>
      </c>
    </row>
    <row r="17" spans="1:38" x14ac:dyDescent="0.3">
      <c r="A17" t="s">
        <v>283</v>
      </c>
      <c r="B17">
        <v>24998</v>
      </c>
      <c r="C17">
        <v>1</v>
      </c>
      <c r="D17" t="s">
        <v>295</v>
      </c>
      <c r="E17" t="s">
        <v>296</v>
      </c>
      <c r="F17">
        <v>602</v>
      </c>
      <c r="G17">
        <v>24.93</v>
      </c>
      <c r="H17">
        <v>82.42</v>
      </c>
      <c r="I17">
        <v>18.13</v>
      </c>
      <c r="J17">
        <v>59.96</v>
      </c>
      <c r="K17">
        <v>98</v>
      </c>
      <c r="T17">
        <v>3</v>
      </c>
      <c r="U17">
        <v>2</v>
      </c>
      <c r="V17" t="s">
        <v>269</v>
      </c>
      <c r="W17">
        <v>82</v>
      </c>
      <c r="X17">
        <v>20</v>
      </c>
      <c r="Y17">
        <v>6</v>
      </c>
      <c r="Z17" t="s">
        <v>297</v>
      </c>
      <c r="AA17" t="s">
        <v>298</v>
      </c>
      <c r="AB17" t="s">
        <v>272</v>
      </c>
      <c r="AC17" t="s">
        <v>273</v>
      </c>
      <c r="AD17" t="s">
        <v>274</v>
      </c>
      <c r="AE17" t="s">
        <v>288</v>
      </c>
      <c r="AG17" t="s">
        <v>299</v>
      </c>
      <c r="AH17">
        <v>0</v>
      </c>
      <c r="AI17">
        <v>249</v>
      </c>
      <c r="AJ17">
        <v>21</v>
      </c>
      <c r="AK17">
        <v>738</v>
      </c>
      <c r="AL17">
        <v>1.23</v>
      </c>
    </row>
    <row r="18" spans="1:38" x14ac:dyDescent="0.3">
      <c r="A18" t="s">
        <v>283</v>
      </c>
      <c r="B18">
        <v>24998</v>
      </c>
      <c r="C18">
        <v>2</v>
      </c>
      <c r="D18" t="s">
        <v>295</v>
      </c>
      <c r="E18" t="s">
        <v>296</v>
      </c>
      <c r="F18">
        <v>602</v>
      </c>
      <c r="G18">
        <v>33.11</v>
      </c>
      <c r="H18">
        <v>109.46</v>
      </c>
      <c r="I18">
        <v>25.69</v>
      </c>
      <c r="J18">
        <v>84.93</v>
      </c>
      <c r="K18">
        <v>244</v>
      </c>
      <c r="T18">
        <v>3</v>
      </c>
      <c r="U18">
        <v>2</v>
      </c>
      <c r="V18" t="s">
        <v>269</v>
      </c>
      <c r="W18" t="s">
        <v>70</v>
      </c>
      <c r="X18">
        <v>20</v>
      </c>
      <c r="Y18">
        <v>6</v>
      </c>
      <c r="Z18" t="s">
        <v>297</v>
      </c>
      <c r="AA18" t="s">
        <v>298</v>
      </c>
      <c r="AB18" t="s">
        <v>272</v>
      </c>
      <c r="AC18" t="s">
        <v>273</v>
      </c>
      <c r="AD18" t="s">
        <v>274</v>
      </c>
      <c r="AE18" t="s">
        <v>288</v>
      </c>
      <c r="AG18" t="s">
        <v>299</v>
      </c>
      <c r="AH18">
        <v>0</v>
      </c>
      <c r="AI18">
        <v>249</v>
      </c>
      <c r="AJ18">
        <v>21</v>
      </c>
      <c r="AK18">
        <v>738</v>
      </c>
      <c r="AL18">
        <v>1.23</v>
      </c>
    </row>
    <row r="19" spans="1:38" x14ac:dyDescent="0.3">
      <c r="A19" t="s">
        <v>283</v>
      </c>
      <c r="B19">
        <v>24998</v>
      </c>
      <c r="C19">
        <v>3</v>
      </c>
      <c r="D19" t="s">
        <v>295</v>
      </c>
      <c r="E19" t="s">
        <v>296</v>
      </c>
      <c r="F19">
        <v>602</v>
      </c>
      <c r="G19">
        <v>33.21</v>
      </c>
      <c r="H19">
        <v>109.8</v>
      </c>
      <c r="I19">
        <v>25.7</v>
      </c>
      <c r="J19">
        <v>84.98</v>
      </c>
      <c r="K19">
        <v>15</v>
      </c>
      <c r="T19">
        <v>3</v>
      </c>
      <c r="U19">
        <v>2</v>
      </c>
      <c r="V19" t="s">
        <v>269</v>
      </c>
      <c r="W19" t="s">
        <v>71</v>
      </c>
      <c r="X19">
        <v>20</v>
      </c>
      <c r="Y19">
        <v>6</v>
      </c>
      <c r="Z19" t="s">
        <v>297</v>
      </c>
      <c r="AA19" t="s">
        <v>298</v>
      </c>
      <c r="AB19" t="s">
        <v>272</v>
      </c>
      <c r="AC19" t="s">
        <v>273</v>
      </c>
      <c r="AD19" t="s">
        <v>274</v>
      </c>
      <c r="AE19" t="s">
        <v>288</v>
      </c>
      <c r="AG19" t="s">
        <v>299</v>
      </c>
      <c r="AH19">
        <v>0</v>
      </c>
      <c r="AI19">
        <v>249</v>
      </c>
      <c r="AJ19">
        <v>21</v>
      </c>
      <c r="AK19">
        <v>738</v>
      </c>
      <c r="AL19">
        <v>1.23</v>
      </c>
    </row>
    <row r="20" spans="1:38" x14ac:dyDescent="0.3">
      <c r="A20" t="s">
        <v>283</v>
      </c>
      <c r="B20">
        <v>24998</v>
      </c>
      <c r="C20">
        <v>4</v>
      </c>
      <c r="D20" t="s">
        <v>295</v>
      </c>
      <c r="E20" t="s">
        <v>296</v>
      </c>
      <c r="F20">
        <v>602</v>
      </c>
      <c r="G20">
        <v>33.35</v>
      </c>
      <c r="H20">
        <v>110.27</v>
      </c>
      <c r="I20">
        <v>25.64</v>
      </c>
      <c r="J20">
        <v>84.78</v>
      </c>
      <c r="K20">
        <v>18</v>
      </c>
      <c r="T20">
        <v>3</v>
      </c>
      <c r="U20">
        <v>2</v>
      </c>
      <c r="V20" t="s">
        <v>269</v>
      </c>
      <c r="W20" t="s">
        <v>73</v>
      </c>
      <c r="X20">
        <v>20</v>
      </c>
      <c r="Y20">
        <v>6</v>
      </c>
      <c r="Z20" t="s">
        <v>297</v>
      </c>
      <c r="AA20" t="s">
        <v>298</v>
      </c>
      <c r="AB20" t="s">
        <v>272</v>
      </c>
      <c r="AC20" t="s">
        <v>273</v>
      </c>
      <c r="AD20" t="s">
        <v>274</v>
      </c>
      <c r="AE20" t="s">
        <v>288</v>
      </c>
      <c r="AG20" t="s">
        <v>299</v>
      </c>
      <c r="AH20">
        <v>0</v>
      </c>
      <c r="AI20">
        <v>249</v>
      </c>
      <c r="AJ20">
        <v>21</v>
      </c>
      <c r="AK20">
        <v>738</v>
      </c>
      <c r="AL20">
        <v>1.23</v>
      </c>
    </row>
    <row r="21" spans="1:38" x14ac:dyDescent="0.3">
      <c r="A21" t="s">
        <v>283</v>
      </c>
      <c r="B21">
        <v>24998</v>
      </c>
      <c r="C21">
        <v>5</v>
      </c>
      <c r="D21" t="s">
        <v>295</v>
      </c>
      <c r="E21" t="s">
        <v>296</v>
      </c>
      <c r="F21">
        <v>602</v>
      </c>
      <c r="G21">
        <v>45.85</v>
      </c>
      <c r="H21">
        <v>151.6</v>
      </c>
      <c r="I21">
        <v>37.28</v>
      </c>
      <c r="J21">
        <v>123.25</v>
      </c>
      <c r="K21">
        <v>25</v>
      </c>
      <c r="T21">
        <v>4</v>
      </c>
      <c r="U21">
        <v>2</v>
      </c>
      <c r="V21" t="s">
        <v>269</v>
      </c>
      <c r="W21" t="s">
        <v>74</v>
      </c>
      <c r="X21">
        <v>20</v>
      </c>
      <c r="Y21">
        <v>6</v>
      </c>
      <c r="Z21" t="s">
        <v>297</v>
      </c>
      <c r="AA21" t="s">
        <v>298</v>
      </c>
      <c r="AB21" t="s">
        <v>272</v>
      </c>
      <c r="AC21" t="s">
        <v>273</v>
      </c>
      <c r="AD21" t="s">
        <v>274</v>
      </c>
      <c r="AE21" t="s">
        <v>288</v>
      </c>
      <c r="AG21" t="s">
        <v>299</v>
      </c>
      <c r="AH21">
        <v>0</v>
      </c>
      <c r="AI21">
        <v>249</v>
      </c>
      <c r="AJ21">
        <v>21</v>
      </c>
      <c r="AK21">
        <v>738</v>
      </c>
      <c r="AL21">
        <v>1.23</v>
      </c>
    </row>
    <row r="22" spans="1:38" x14ac:dyDescent="0.3">
      <c r="A22" t="s">
        <v>283</v>
      </c>
      <c r="B22">
        <v>24998</v>
      </c>
      <c r="C22">
        <v>6</v>
      </c>
      <c r="D22" t="s">
        <v>295</v>
      </c>
      <c r="E22" t="s">
        <v>296</v>
      </c>
      <c r="F22">
        <v>602</v>
      </c>
      <c r="G22">
        <v>45.98</v>
      </c>
      <c r="H22">
        <v>152.03</v>
      </c>
      <c r="I22">
        <v>37.770000000000003</v>
      </c>
      <c r="J22">
        <v>124.88</v>
      </c>
      <c r="K22">
        <v>133</v>
      </c>
      <c r="T22">
        <v>4</v>
      </c>
      <c r="U22">
        <v>2</v>
      </c>
      <c r="V22" t="s">
        <v>269</v>
      </c>
      <c r="W22" t="s">
        <v>75</v>
      </c>
      <c r="X22">
        <v>20</v>
      </c>
      <c r="Y22">
        <v>6</v>
      </c>
      <c r="Z22" t="s">
        <v>297</v>
      </c>
      <c r="AA22" t="s">
        <v>298</v>
      </c>
      <c r="AB22" t="s">
        <v>272</v>
      </c>
      <c r="AC22" t="s">
        <v>273</v>
      </c>
      <c r="AD22" t="s">
        <v>274</v>
      </c>
      <c r="AE22" t="s">
        <v>288</v>
      </c>
      <c r="AG22" t="s">
        <v>299</v>
      </c>
      <c r="AH22">
        <v>0</v>
      </c>
      <c r="AI22">
        <v>249</v>
      </c>
      <c r="AJ22">
        <v>21</v>
      </c>
      <c r="AK22">
        <v>738</v>
      </c>
      <c r="AL22">
        <v>1.23</v>
      </c>
    </row>
    <row r="23" spans="1:38" x14ac:dyDescent="0.3">
      <c r="A23" t="s">
        <v>283</v>
      </c>
      <c r="B23">
        <v>24998</v>
      </c>
      <c r="C23">
        <v>7</v>
      </c>
      <c r="D23" t="s">
        <v>295</v>
      </c>
      <c r="E23" t="s">
        <v>296</v>
      </c>
      <c r="F23">
        <v>602</v>
      </c>
      <c r="G23">
        <v>52.34</v>
      </c>
      <c r="H23">
        <v>173.04</v>
      </c>
      <c r="I23">
        <v>44.05</v>
      </c>
      <c r="J23">
        <v>145.63</v>
      </c>
      <c r="K23">
        <v>69</v>
      </c>
      <c r="T23">
        <v>5</v>
      </c>
      <c r="U23">
        <v>2</v>
      </c>
      <c r="V23" t="s">
        <v>269</v>
      </c>
      <c r="W23">
        <v>173</v>
      </c>
      <c r="X23">
        <v>20</v>
      </c>
      <c r="Y23">
        <v>6</v>
      </c>
      <c r="Z23" t="s">
        <v>297</v>
      </c>
      <c r="AA23" t="s">
        <v>298</v>
      </c>
      <c r="AB23" t="s">
        <v>272</v>
      </c>
      <c r="AC23" t="s">
        <v>273</v>
      </c>
      <c r="AD23" t="s">
        <v>274</v>
      </c>
      <c r="AE23" t="s">
        <v>288</v>
      </c>
      <c r="AG23" t="s">
        <v>299</v>
      </c>
      <c r="AH23">
        <v>0</v>
      </c>
      <c r="AI23">
        <v>249</v>
      </c>
      <c r="AJ23">
        <v>21</v>
      </c>
      <c r="AK23">
        <v>738</v>
      </c>
      <c r="AL23">
        <v>1.23</v>
      </c>
    </row>
    <row r="24" spans="1:38" x14ac:dyDescent="0.3">
      <c r="A24" t="s">
        <v>283</v>
      </c>
      <c r="B24">
        <v>108587</v>
      </c>
      <c r="C24">
        <v>1</v>
      </c>
      <c r="D24" t="s">
        <v>300</v>
      </c>
      <c r="E24" t="s">
        <v>301</v>
      </c>
      <c r="F24">
        <v>50</v>
      </c>
      <c r="G24">
        <v>27.27</v>
      </c>
      <c r="H24">
        <v>90.18</v>
      </c>
      <c r="I24">
        <v>25.53</v>
      </c>
      <c r="J24">
        <v>84.42</v>
      </c>
      <c r="K24">
        <v>30</v>
      </c>
      <c r="T24">
        <v>3</v>
      </c>
      <c r="U24">
        <v>1</v>
      </c>
      <c r="V24" t="s">
        <v>269</v>
      </c>
      <c r="W24" t="s">
        <v>302</v>
      </c>
      <c r="X24">
        <v>5</v>
      </c>
      <c r="Y24">
        <v>5</v>
      </c>
      <c r="Z24" t="s">
        <v>303</v>
      </c>
      <c r="AA24" t="s">
        <v>304</v>
      </c>
      <c r="AB24" t="s">
        <v>272</v>
      </c>
      <c r="AC24" t="s">
        <v>273</v>
      </c>
      <c r="AD24" t="s">
        <v>274</v>
      </c>
      <c r="AE24" t="s">
        <v>288</v>
      </c>
      <c r="AG24" t="s">
        <v>305</v>
      </c>
      <c r="AH24">
        <v>0</v>
      </c>
      <c r="AI24">
        <v>0</v>
      </c>
      <c r="AJ24">
        <v>0</v>
      </c>
      <c r="AK24">
        <v>0</v>
      </c>
      <c r="AL24">
        <v>0</v>
      </c>
    </row>
    <row r="25" spans="1:38" x14ac:dyDescent="0.3">
      <c r="A25" t="s">
        <v>283</v>
      </c>
      <c r="B25">
        <v>108587</v>
      </c>
      <c r="C25">
        <v>2</v>
      </c>
      <c r="D25" t="s">
        <v>300</v>
      </c>
      <c r="E25" t="s">
        <v>301</v>
      </c>
      <c r="F25">
        <v>50</v>
      </c>
      <c r="G25">
        <v>27.22</v>
      </c>
      <c r="H25">
        <v>90</v>
      </c>
      <c r="I25">
        <v>25.48</v>
      </c>
      <c r="J25">
        <v>84.24</v>
      </c>
      <c r="K25">
        <v>20</v>
      </c>
      <c r="T25">
        <v>3</v>
      </c>
      <c r="U25">
        <v>1</v>
      </c>
      <c r="V25" t="s">
        <v>269</v>
      </c>
      <c r="W25" t="s">
        <v>133</v>
      </c>
      <c r="X25">
        <v>5</v>
      </c>
      <c r="Y25">
        <v>5</v>
      </c>
      <c r="Z25" t="s">
        <v>303</v>
      </c>
      <c r="AA25" t="s">
        <v>304</v>
      </c>
      <c r="AB25" t="s">
        <v>272</v>
      </c>
      <c r="AC25" t="s">
        <v>273</v>
      </c>
      <c r="AD25" t="s">
        <v>274</v>
      </c>
      <c r="AE25" t="s">
        <v>288</v>
      </c>
      <c r="AG25" t="s">
        <v>305</v>
      </c>
      <c r="AH25">
        <v>0</v>
      </c>
      <c r="AI25">
        <v>0</v>
      </c>
      <c r="AJ25">
        <v>0</v>
      </c>
      <c r="AK25">
        <v>0</v>
      </c>
      <c r="AL25">
        <v>0</v>
      </c>
    </row>
    <row r="26" spans="1:38" x14ac:dyDescent="0.3">
      <c r="A26" t="s">
        <v>283</v>
      </c>
      <c r="B26">
        <v>5278</v>
      </c>
      <c r="C26">
        <v>1</v>
      </c>
      <c r="D26" t="s">
        <v>306</v>
      </c>
      <c r="E26" t="s">
        <v>307</v>
      </c>
      <c r="F26">
        <v>165</v>
      </c>
      <c r="G26">
        <v>25.41</v>
      </c>
      <c r="H26">
        <v>84.03</v>
      </c>
      <c r="I26">
        <v>18.14</v>
      </c>
      <c r="J26">
        <v>59.97</v>
      </c>
      <c r="K26">
        <v>139</v>
      </c>
      <c r="T26">
        <v>3</v>
      </c>
      <c r="U26">
        <v>1</v>
      </c>
      <c r="V26" t="s">
        <v>279</v>
      </c>
      <c r="W26">
        <v>84</v>
      </c>
      <c r="X26">
        <v>16</v>
      </c>
      <c r="Y26">
        <v>5</v>
      </c>
      <c r="Z26" t="s">
        <v>308</v>
      </c>
      <c r="AA26" t="s">
        <v>309</v>
      </c>
      <c r="AB26" t="s">
        <v>272</v>
      </c>
      <c r="AC26" t="s">
        <v>273</v>
      </c>
      <c r="AD26" t="s">
        <v>274</v>
      </c>
      <c r="AE26" t="s">
        <v>288</v>
      </c>
      <c r="AG26" t="s">
        <v>310</v>
      </c>
      <c r="AH26">
        <v>0</v>
      </c>
      <c r="AI26">
        <v>0</v>
      </c>
      <c r="AJ26">
        <v>0</v>
      </c>
      <c r="AK26">
        <v>247</v>
      </c>
      <c r="AL26">
        <v>1.5</v>
      </c>
    </row>
    <row r="27" spans="1:38" x14ac:dyDescent="0.3">
      <c r="A27" t="s">
        <v>283</v>
      </c>
      <c r="B27">
        <v>5278</v>
      </c>
      <c r="C27">
        <v>2</v>
      </c>
      <c r="D27" t="s">
        <v>306</v>
      </c>
      <c r="E27" t="s">
        <v>307</v>
      </c>
      <c r="F27">
        <v>165</v>
      </c>
      <c r="G27">
        <v>31.1</v>
      </c>
      <c r="H27">
        <v>102.82</v>
      </c>
      <c r="I27">
        <v>22.19</v>
      </c>
      <c r="J27">
        <v>73.38</v>
      </c>
      <c r="K27">
        <v>26</v>
      </c>
      <c r="T27">
        <v>3</v>
      </c>
      <c r="U27">
        <v>2</v>
      </c>
      <c r="V27" t="s">
        <v>279</v>
      </c>
      <c r="W27">
        <v>102</v>
      </c>
      <c r="X27">
        <v>16</v>
      </c>
      <c r="Y27">
        <v>5</v>
      </c>
      <c r="Z27" t="s">
        <v>308</v>
      </c>
      <c r="AA27" t="s">
        <v>309</v>
      </c>
      <c r="AB27" t="s">
        <v>272</v>
      </c>
      <c r="AC27" t="s">
        <v>273</v>
      </c>
      <c r="AD27" t="s">
        <v>274</v>
      </c>
      <c r="AE27" t="s">
        <v>288</v>
      </c>
      <c r="AG27" t="s">
        <v>310</v>
      </c>
      <c r="AH27">
        <v>0</v>
      </c>
      <c r="AI27">
        <v>0</v>
      </c>
      <c r="AJ27">
        <v>0</v>
      </c>
      <c r="AK27">
        <v>247</v>
      </c>
      <c r="AL27">
        <v>1.5</v>
      </c>
    </row>
    <row r="28" spans="1:38" x14ac:dyDescent="0.3">
      <c r="A28" t="s">
        <v>283</v>
      </c>
      <c r="B28">
        <v>5284</v>
      </c>
      <c r="C28">
        <v>1</v>
      </c>
      <c r="D28" t="s">
        <v>311</v>
      </c>
      <c r="E28" t="s">
        <v>312</v>
      </c>
      <c r="F28">
        <v>19</v>
      </c>
      <c r="G28">
        <v>48.53</v>
      </c>
      <c r="H28">
        <v>160.46</v>
      </c>
      <c r="I28">
        <v>40.11</v>
      </c>
      <c r="J28">
        <v>132.6</v>
      </c>
      <c r="K28">
        <v>19</v>
      </c>
      <c r="T28">
        <v>4</v>
      </c>
      <c r="U28">
        <v>2</v>
      </c>
      <c r="V28" t="s">
        <v>269</v>
      </c>
      <c r="W28">
        <v>160</v>
      </c>
      <c r="X28">
        <v>5</v>
      </c>
      <c r="Y28">
        <v>5</v>
      </c>
      <c r="Z28" t="s">
        <v>313</v>
      </c>
      <c r="AA28" t="s">
        <v>314</v>
      </c>
      <c r="AB28" t="s">
        <v>272</v>
      </c>
      <c r="AC28" t="s">
        <v>273</v>
      </c>
      <c r="AD28" t="s">
        <v>274</v>
      </c>
      <c r="AE28" t="s">
        <v>288</v>
      </c>
      <c r="AG28" t="s">
        <v>315</v>
      </c>
      <c r="AH28">
        <v>0</v>
      </c>
      <c r="AI28">
        <v>121</v>
      </c>
      <c r="AJ28">
        <v>27</v>
      </c>
      <c r="AK28">
        <v>19</v>
      </c>
      <c r="AL28">
        <v>1</v>
      </c>
    </row>
    <row r="29" spans="1:38" x14ac:dyDescent="0.3">
      <c r="A29" t="s">
        <v>283</v>
      </c>
      <c r="B29">
        <v>5280</v>
      </c>
      <c r="C29">
        <v>1</v>
      </c>
      <c r="D29" t="s">
        <v>316</v>
      </c>
      <c r="E29" t="s">
        <v>317</v>
      </c>
      <c r="F29">
        <v>80</v>
      </c>
      <c r="G29">
        <v>19.940000000000001</v>
      </c>
      <c r="H29">
        <v>65.92</v>
      </c>
      <c r="I29">
        <v>16.66</v>
      </c>
      <c r="J29">
        <v>55.08</v>
      </c>
      <c r="K29">
        <v>45</v>
      </c>
      <c r="T29">
        <v>3</v>
      </c>
      <c r="U29">
        <v>1</v>
      </c>
      <c r="V29" t="s">
        <v>269</v>
      </c>
      <c r="W29" t="s">
        <v>318</v>
      </c>
      <c r="X29">
        <v>5</v>
      </c>
      <c r="Y29">
        <v>5</v>
      </c>
      <c r="Z29" t="s">
        <v>319</v>
      </c>
      <c r="AA29" t="s">
        <v>320</v>
      </c>
      <c r="AB29" t="s">
        <v>272</v>
      </c>
      <c r="AC29" t="s">
        <v>273</v>
      </c>
      <c r="AD29" t="s">
        <v>274</v>
      </c>
      <c r="AE29" t="s">
        <v>288</v>
      </c>
      <c r="AG29" t="s">
        <v>321</v>
      </c>
      <c r="AH29">
        <v>0</v>
      </c>
      <c r="AI29">
        <v>0</v>
      </c>
      <c r="AJ29">
        <v>0</v>
      </c>
      <c r="AK29">
        <v>0</v>
      </c>
      <c r="AL29">
        <v>0</v>
      </c>
    </row>
    <row r="30" spans="1:38" x14ac:dyDescent="0.3">
      <c r="A30" t="s">
        <v>283</v>
      </c>
      <c r="B30">
        <v>5280</v>
      </c>
      <c r="C30">
        <v>2</v>
      </c>
      <c r="D30" t="s">
        <v>316</v>
      </c>
      <c r="E30" t="s">
        <v>317</v>
      </c>
      <c r="F30">
        <v>80</v>
      </c>
      <c r="G30">
        <v>20</v>
      </c>
      <c r="H30">
        <v>66.12</v>
      </c>
      <c r="I30">
        <v>16.55</v>
      </c>
      <c r="J30">
        <v>54.72</v>
      </c>
      <c r="K30">
        <v>35</v>
      </c>
      <c r="T30">
        <v>3</v>
      </c>
      <c r="U30">
        <v>1</v>
      </c>
      <c r="V30" t="s">
        <v>269</v>
      </c>
      <c r="W30" t="s">
        <v>322</v>
      </c>
      <c r="X30">
        <v>5</v>
      </c>
      <c r="Y30">
        <v>5</v>
      </c>
      <c r="Z30" t="s">
        <v>319</v>
      </c>
      <c r="AA30" t="s">
        <v>320</v>
      </c>
      <c r="AB30" t="s">
        <v>272</v>
      </c>
      <c r="AC30" t="s">
        <v>273</v>
      </c>
      <c r="AD30" t="s">
        <v>274</v>
      </c>
      <c r="AE30" t="s">
        <v>288</v>
      </c>
      <c r="AG30" t="s">
        <v>321</v>
      </c>
      <c r="AH30">
        <v>0</v>
      </c>
      <c r="AI30">
        <v>0</v>
      </c>
      <c r="AJ30">
        <v>0</v>
      </c>
      <c r="AK30">
        <v>0</v>
      </c>
      <c r="AL30">
        <v>0</v>
      </c>
    </row>
    <row r="31" spans="1:38" x14ac:dyDescent="0.3">
      <c r="A31" t="s">
        <v>283</v>
      </c>
      <c r="B31">
        <v>5281</v>
      </c>
      <c r="C31">
        <v>1</v>
      </c>
      <c r="D31" t="s">
        <v>323</v>
      </c>
      <c r="E31" t="s">
        <v>324</v>
      </c>
      <c r="F31">
        <v>40</v>
      </c>
      <c r="G31">
        <v>21.15</v>
      </c>
      <c r="H31">
        <v>69.930000000000007</v>
      </c>
      <c r="I31">
        <v>19.41</v>
      </c>
      <c r="J31">
        <v>64.17</v>
      </c>
      <c r="K31">
        <v>40</v>
      </c>
      <c r="T31">
        <v>2</v>
      </c>
      <c r="U31">
        <v>1</v>
      </c>
      <c r="V31" t="s">
        <v>269</v>
      </c>
      <c r="W31">
        <v>69</v>
      </c>
      <c r="X31">
        <v>5</v>
      </c>
      <c r="Y31">
        <v>5</v>
      </c>
      <c r="Z31" t="s">
        <v>325</v>
      </c>
      <c r="AA31" t="s">
        <v>326</v>
      </c>
      <c r="AB31" t="s">
        <v>272</v>
      </c>
      <c r="AC31" t="s">
        <v>273</v>
      </c>
      <c r="AD31" t="s">
        <v>274</v>
      </c>
      <c r="AE31" t="s">
        <v>288</v>
      </c>
      <c r="AG31" t="s">
        <v>327</v>
      </c>
      <c r="AH31">
        <v>0</v>
      </c>
      <c r="AI31">
        <v>0</v>
      </c>
      <c r="AJ31">
        <v>0</v>
      </c>
      <c r="AK31">
        <v>0</v>
      </c>
      <c r="AL31">
        <v>0</v>
      </c>
    </row>
    <row r="32" spans="1:38" x14ac:dyDescent="0.3">
      <c r="A32" t="s">
        <v>283</v>
      </c>
      <c r="B32">
        <v>144360</v>
      </c>
      <c r="C32">
        <v>1</v>
      </c>
      <c r="D32" t="s">
        <v>328</v>
      </c>
      <c r="E32" t="s">
        <v>329</v>
      </c>
      <c r="F32">
        <v>92</v>
      </c>
      <c r="G32">
        <v>33.549999999999997</v>
      </c>
      <c r="H32">
        <v>110.93</v>
      </c>
      <c r="I32">
        <v>25.64</v>
      </c>
      <c r="J32">
        <v>84.77</v>
      </c>
      <c r="K32">
        <v>22</v>
      </c>
      <c r="T32">
        <v>3</v>
      </c>
      <c r="U32">
        <v>2</v>
      </c>
      <c r="V32" t="s">
        <v>269</v>
      </c>
      <c r="W32" t="s">
        <v>132</v>
      </c>
      <c r="X32">
        <v>28</v>
      </c>
      <c r="Y32">
        <v>28</v>
      </c>
      <c r="Z32" t="s">
        <v>330</v>
      </c>
      <c r="AA32" t="s">
        <v>331</v>
      </c>
      <c r="AB32" t="s">
        <v>272</v>
      </c>
      <c r="AC32" t="s">
        <v>273</v>
      </c>
      <c r="AD32" t="s">
        <v>274</v>
      </c>
      <c r="AE32" t="s">
        <v>288</v>
      </c>
      <c r="AG32" t="s">
        <v>332</v>
      </c>
      <c r="AH32">
        <v>0</v>
      </c>
      <c r="AI32">
        <v>497</v>
      </c>
      <c r="AJ32">
        <v>68</v>
      </c>
      <c r="AK32">
        <v>0</v>
      </c>
      <c r="AL32">
        <v>0</v>
      </c>
    </row>
    <row r="33" spans="1:38" x14ac:dyDescent="0.3">
      <c r="A33" t="s">
        <v>283</v>
      </c>
      <c r="B33">
        <v>144360</v>
      </c>
      <c r="C33">
        <v>2</v>
      </c>
      <c r="D33" t="s">
        <v>328</v>
      </c>
      <c r="E33" t="s">
        <v>329</v>
      </c>
      <c r="F33">
        <v>92</v>
      </c>
      <c r="G33">
        <v>33.33</v>
      </c>
      <c r="H33">
        <v>110.2</v>
      </c>
      <c r="I33">
        <v>25.48</v>
      </c>
      <c r="J33">
        <v>84.25</v>
      </c>
      <c r="K33">
        <v>22</v>
      </c>
      <c r="T33">
        <v>3</v>
      </c>
      <c r="U33">
        <v>2</v>
      </c>
      <c r="V33" t="s">
        <v>269</v>
      </c>
      <c r="W33" t="s">
        <v>73</v>
      </c>
      <c r="X33">
        <v>28</v>
      </c>
      <c r="Y33">
        <v>28</v>
      </c>
      <c r="Z33" t="s">
        <v>330</v>
      </c>
      <c r="AA33" t="s">
        <v>331</v>
      </c>
      <c r="AB33" t="s">
        <v>272</v>
      </c>
      <c r="AC33" t="s">
        <v>273</v>
      </c>
      <c r="AD33" t="s">
        <v>274</v>
      </c>
      <c r="AE33" t="s">
        <v>288</v>
      </c>
      <c r="AG33" t="s">
        <v>332</v>
      </c>
      <c r="AH33">
        <v>0</v>
      </c>
      <c r="AI33">
        <v>497</v>
      </c>
      <c r="AJ33">
        <v>68</v>
      </c>
      <c r="AK33">
        <v>0</v>
      </c>
      <c r="AL33">
        <v>0</v>
      </c>
    </row>
    <row r="34" spans="1:38" x14ac:dyDescent="0.3">
      <c r="A34" t="s">
        <v>283</v>
      </c>
      <c r="B34">
        <v>144360</v>
      </c>
      <c r="C34">
        <v>3</v>
      </c>
      <c r="D34" t="s">
        <v>328</v>
      </c>
      <c r="E34" t="s">
        <v>329</v>
      </c>
      <c r="F34">
        <v>92</v>
      </c>
      <c r="G34">
        <v>33.58</v>
      </c>
      <c r="H34">
        <v>111.04</v>
      </c>
      <c r="I34">
        <v>25.7</v>
      </c>
      <c r="J34">
        <v>84.97</v>
      </c>
      <c r="K34">
        <v>48</v>
      </c>
      <c r="T34">
        <v>3</v>
      </c>
      <c r="U34">
        <v>2</v>
      </c>
      <c r="V34" t="s">
        <v>269</v>
      </c>
      <c r="W34" t="s">
        <v>109</v>
      </c>
      <c r="X34">
        <v>28</v>
      </c>
      <c r="Y34">
        <v>28</v>
      </c>
      <c r="Z34" t="s">
        <v>330</v>
      </c>
      <c r="AA34" t="s">
        <v>331</v>
      </c>
      <c r="AB34" t="s">
        <v>272</v>
      </c>
      <c r="AC34" t="s">
        <v>273</v>
      </c>
      <c r="AD34" t="s">
        <v>274</v>
      </c>
      <c r="AE34" t="s">
        <v>288</v>
      </c>
      <c r="AG34" t="s">
        <v>332</v>
      </c>
      <c r="AH34">
        <v>0</v>
      </c>
      <c r="AI34">
        <v>497</v>
      </c>
      <c r="AJ34">
        <v>68</v>
      </c>
      <c r="AK34">
        <v>0</v>
      </c>
      <c r="AL34">
        <v>0</v>
      </c>
    </row>
    <row r="35" spans="1:38" x14ac:dyDescent="0.3">
      <c r="A35" t="s">
        <v>283</v>
      </c>
      <c r="B35">
        <v>5283</v>
      </c>
      <c r="C35">
        <v>1</v>
      </c>
      <c r="D35" t="s">
        <v>333</v>
      </c>
      <c r="E35" t="s">
        <v>301</v>
      </c>
      <c r="F35">
        <v>80</v>
      </c>
      <c r="G35">
        <v>32</v>
      </c>
      <c r="H35">
        <v>105.81</v>
      </c>
      <c r="I35">
        <v>25.24</v>
      </c>
      <c r="J35">
        <v>83.46</v>
      </c>
      <c r="K35">
        <v>20</v>
      </c>
      <c r="T35">
        <v>3</v>
      </c>
      <c r="U35">
        <v>1</v>
      </c>
      <c r="V35" t="s">
        <v>269</v>
      </c>
      <c r="W35">
        <v>105</v>
      </c>
      <c r="X35">
        <v>5</v>
      </c>
      <c r="Y35">
        <v>5</v>
      </c>
      <c r="Z35" t="s">
        <v>334</v>
      </c>
      <c r="AA35" t="s">
        <v>335</v>
      </c>
      <c r="AB35" t="s">
        <v>272</v>
      </c>
      <c r="AC35" t="s">
        <v>273</v>
      </c>
      <c r="AD35" t="s">
        <v>274</v>
      </c>
      <c r="AE35" t="s">
        <v>288</v>
      </c>
      <c r="AG35" t="s">
        <v>336</v>
      </c>
      <c r="AH35">
        <v>0</v>
      </c>
      <c r="AI35">
        <v>0</v>
      </c>
      <c r="AJ35">
        <v>0</v>
      </c>
      <c r="AK35">
        <v>0</v>
      </c>
      <c r="AL35">
        <v>0</v>
      </c>
    </row>
    <row r="36" spans="1:38" x14ac:dyDescent="0.3">
      <c r="A36" t="s">
        <v>283</v>
      </c>
      <c r="B36">
        <v>5283</v>
      </c>
      <c r="C36">
        <v>2</v>
      </c>
      <c r="D36" t="s">
        <v>333</v>
      </c>
      <c r="E36" t="s">
        <v>301</v>
      </c>
      <c r="F36">
        <v>80</v>
      </c>
      <c r="G36">
        <v>32.85</v>
      </c>
      <c r="H36">
        <v>108.62</v>
      </c>
      <c r="I36">
        <v>25.7</v>
      </c>
      <c r="J36">
        <v>84.99</v>
      </c>
      <c r="K36">
        <v>60</v>
      </c>
      <c r="T36">
        <v>3</v>
      </c>
      <c r="U36">
        <v>1</v>
      </c>
      <c r="V36" t="s">
        <v>269</v>
      </c>
      <c r="W36">
        <v>108</v>
      </c>
      <c r="X36">
        <v>5</v>
      </c>
      <c r="Y36">
        <v>5</v>
      </c>
      <c r="Z36" t="s">
        <v>334</v>
      </c>
      <c r="AA36" t="s">
        <v>335</v>
      </c>
      <c r="AB36" t="s">
        <v>272</v>
      </c>
      <c r="AC36" t="s">
        <v>273</v>
      </c>
      <c r="AD36" t="s">
        <v>274</v>
      </c>
      <c r="AE36" t="s">
        <v>288</v>
      </c>
      <c r="AG36" t="s">
        <v>336</v>
      </c>
      <c r="AH36">
        <v>0</v>
      </c>
      <c r="AI36">
        <v>0</v>
      </c>
      <c r="AJ36">
        <v>0</v>
      </c>
      <c r="AK36">
        <v>0</v>
      </c>
      <c r="AL36">
        <v>0</v>
      </c>
    </row>
    <row r="37" spans="1:38" x14ac:dyDescent="0.3">
      <c r="A37" t="s">
        <v>283</v>
      </c>
      <c r="B37">
        <v>127580</v>
      </c>
      <c r="C37">
        <v>1</v>
      </c>
      <c r="D37" t="s">
        <v>337</v>
      </c>
      <c r="E37" t="s">
        <v>324</v>
      </c>
      <c r="F37">
        <v>30</v>
      </c>
      <c r="G37">
        <v>21.75</v>
      </c>
      <c r="H37">
        <v>71.91</v>
      </c>
      <c r="I37">
        <v>19.899999999999999</v>
      </c>
      <c r="J37">
        <v>65.790000000000006</v>
      </c>
      <c r="K37">
        <v>20</v>
      </c>
      <c r="T37">
        <v>3</v>
      </c>
      <c r="U37">
        <v>1</v>
      </c>
      <c r="V37" t="s">
        <v>269</v>
      </c>
      <c r="W37" t="s">
        <v>338</v>
      </c>
      <c r="X37">
        <v>5</v>
      </c>
      <c r="Y37">
        <v>5</v>
      </c>
      <c r="Z37" t="s">
        <v>339</v>
      </c>
      <c r="AA37" t="s">
        <v>340</v>
      </c>
      <c r="AB37" t="s">
        <v>272</v>
      </c>
      <c r="AC37" t="s">
        <v>273</v>
      </c>
      <c r="AD37" t="s">
        <v>274</v>
      </c>
      <c r="AE37" t="s">
        <v>288</v>
      </c>
      <c r="AG37" t="s">
        <v>341</v>
      </c>
      <c r="AH37">
        <v>0</v>
      </c>
      <c r="AI37">
        <v>0</v>
      </c>
      <c r="AJ37">
        <v>0</v>
      </c>
      <c r="AK37">
        <v>0</v>
      </c>
      <c r="AL37">
        <v>0</v>
      </c>
    </row>
    <row r="38" spans="1:38" x14ac:dyDescent="0.3">
      <c r="A38" t="s">
        <v>283</v>
      </c>
      <c r="B38">
        <v>127580</v>
      </c>
      <c r="C38">
        <v>2</v>
      </c>
      <c r="D38" t="s">
        <v>337</v>
      </c>
      <c r="E38" t="s">
        <v>324</v>
      </c>
      <c r="F38">
        <v>30</v>
      </c>
      <c r="G38">
        <v>21.81</v>
      </c>
      <c r="H38">
        <v>72.13</v>
      </c>
      <c r="I38">
        <v>19.73</v>
      </c>
      <c r="J38">
        <v>65.25</v>
      </c>
      <c r="K38">
        <v>10</v>
      </c>
      <c r="T38">
        <v>3</v>
      </c>
      <c r="U38">
        <v>1</v>
      </c>
      <c r="V38" t="s">
        <v>269</v>
      </c>
      <c r="W38" t="s">
        <v>342</v>
      </c>
      <c r="X38">
        <v>5</v>
      </c>
      <c r="Y38">
        <v>5</v>
      </c>
      <c r="Z38" t="s">
        <v>339</v>
      </c>
      <c r="AA38" t="s">
        <v>340</v>
      </c>
      <c r="AB38" t="s">
        <v>272</v>
      </c>
      <c r="AC38" t="s">
        <v>273</v>
      </c>
      <c r="AD38" t="s">
        <v>274</v>
      </c>
      <c r="AE38" t="s">
        <v>288</v>
      </c>
      <c r="AG38" t="s">
        <v>341</v>
      </c>
      <c r="AH38">
        <v>0</v>
      </c>
      <c r="AI38">
        <v>0</v>
      </c>
      <c r="AJ38">
        <v>0</v>
      </c>
      <c r="AK38">
        <v>0</v>
      </c>
      <c r="AL38">
        <v>0</v>
      </c>
    </row>
    <row r="39" spans="1:38" x14ac:dyDescent="0.3">
      <c r="A39" t="s">
        <v>283</v>
      </c>
      <c r="B39">
        <v>125196</v>
      </c>
      <c r="C39">
        <v>1</v>
      </c>
      <c r="D39" t="s">
        <v>343</v>
      </c>
      <c r="E39" t="s">
        <v>324</v>
      </c>
      <c r="F39">
        <v>20</v>
      </c>
      <c r="G39">
        <v>19.95</v>
      </c>
      <c r="H39">
        <v>65.97</v>
      </c>
      <c r="I39">
        <v>18.100000000000001</v>
      </c>
      <c r="J39">
        <v>59.85</v>
      </c>
      <c r="K39">
        <v>20</v>
      </c>
      <c r="T39">
        <v>3</v>
      </c>
      <c r="U39">
        <v>2</v>
      </c>
      <c r="V39" t="s">
        <v>269</v>
      </c>
      <c r="W39">
        <v>65</v>
      </c>
      <c r="X39">
        <v>5</v>
      </c>
      <c r="Y39">
        <v>5</v>
      </c>
      <c r="Z39" t="s">
        <v>344</v>
      </c>
      <c r="AA39" t="s">
        <v>345</v>
      </c>
      <c r="AB39" t="s">
        <v>272</v>
      </c>
      <c r="AC39" t="s">
        <v>273</v>
      </c>
      <c r="AD39" t="s">
        <v>274</v>
      </c>
      <c r="AE39" t="s">
        <v>288</v>
      </c>
      <c r="AG39" t="s">
        <v>346</v>
      </c>
      <c r="AH39">
        <v>0</v>
      </c>
      <c r="AI39">
        <v>0</v>
      </c>
      <c r="AJ39">
        <v>0</v>
      </c>
      <c r="AK39">
        <v>0</v>
      </c>
      <c r="AL39">
        <v>0</v>
      </c>
    </row>
    <row r="40" spans="1:38" x14ac:dyDescent="0.3">
      <c r="A40" t="s">
        <v>283</v>
      </c>
      <c r="B40">
        <v>120579</v>
      </c>
      <c r="C40">
        <v>1</v>
      </c>
      <c r="D40" t="s">
        <v>347</v>
      </c>
      <c r="E40" t="s">
        <v>348</v>
      </c>
      <c r="F40">
        <v>62</v>
      </c>
      <c r="G40">
        <v>11.49</v>
      </c>
      <c r="H40">
        <v>38</v>
      </c>
      <c r="I40">
        <v>8.2799999999999994</v>
      </c>
      <c r="J40">
        <v>27.38</v>
      </c>
      <c r="K40">
        <v>34</v>
      </c>
      <c r="T40">
        <v>1</v>
      </c>
      <c r="U40">
        <v>1</v>
      </c>
      <c r="V40" t="s">
        <v>269</v>
      </c>
      <c r="W40" t="s">
        <v>349</v>
      </c>
      <c r="X40">
        <v>9</v>
      </c>
      <c r="Y40">
        <v>8</v>
      </c>
      <c r="Z40" t="s">
        <v>350</v>
      </c>
      <c r="AA40" t="s">
        <v>351</v>
      </c>
      <c r="AB40" t="s">
        <v>272</v>
      </c>
      <c r="AC40" t="s">
        <v>273</v>
      </c>
      <c r="AD40" t="s">
        <v>274</v>
      </c>
      <c r="AE40" t="s">
        <v>288</v>
      </c>
      <c r="AG40" t="s">
        <v>352</v>
      </c>
      <c r="AH40">
        <v>0</v>
      </c>
      <c r="AI40">
        <v>470</v>
      </c>
      <c r="AJ40">
        <v>63</v>
      </c>
      <c r="AK40">
        <v>20</v>
      </c>
      <c r="AL40">
        <v>0.32</v>
      </c>
    </row>
    <row r="41" spans="1:38" x14ac:dyDescent="0.3">
      <c r="A41" t="s">
        <v>283</v>
      </c>
      <c r="B41">
        <v>120579</v>
      </c>
      <c r="C41">
        <v>2</v>
      </c>
      <c r="D41" t="s">
        <v>347</v>
      </c>
      <c r="E41" t="s">
        <v>348</v>
      </c>
      <c r="F41">
        <v>62</v>
      </c>
      <c r="G41">
        <v>11.51</v>
      </c>
      <c r="H41">
        <v>38.049999999999997</v>
      </c>
      <c r="I41">
        <v>8.17</v>
      </c>
      <c r="J41">
        <v>27.02</v>
      </c>
      <c r="K41">
        <v>1</v>
      </c>
      <c r="T41">
        <v>1</v>
      </c>
      <c r="U41">
        <v>1</v>
      </c>
      <c r="V41" t="s">
        <v>269</v>
      </c>
      <c r="W41" t="s">
        <v>353</v>
      </c>
      <c r="X41">
        <v>9</v>
      </c>
      <c r="Y41">
        <v>8</v>
      </c>
      <c r="Z41" t="s">
        <v>350</v>
      </c>
      <c r="AA41" t="s">
        <v>351</v>
      </c>
      <c r="AB41" t="s">
        <v>272</v>
      </c>
      <c r="AC41" t="s">
        <v>273</v>
      </c>
      <c r="AD41" t="s">
        <v>274</v>
      </c>
      <c r="AE41" t="s">
        <v>288</v>
      </c>
      <c r="AG41" t="s">
        <v>352</v>
      </c>
      <c r="AH41">
        <v>0</v>
      </c>
      <c r="AI41">
        <v>470</v>
      </c>
      <c r="AJ41">
        <v>63</v>
      </c>
      <c r="AK41">
        <v>20</v>
      </c>
      <c r="AL41">
        <v>0.32</v>
      </c>
    </row>
    <row r="42" spans="1:38" x14ac:dyDescent="0.3">
      <c r="A42" t="s">
        <v>283</v>
      </c>
      <c r="B42">
        <v>120579</v>
      </c>
      <c r="C42">
        <v>3</v>
      </c>
      <c r="D42" t="s">
        <v>347</v>
      </c>
      <c r="E42" t="s">
        <v>348</v>
      </c>
      <c r="F42">
        <v>62</v>
      </c>
      <c r="G42">
        <v>11.55</v>
      </c>
      <c r="H42">
        <v>38.21</v>
      </c>
      <c r="I42">
        <v>8.2100000000000009</v>
      </c>
      <c r="J42">
        <v>27.17</v>
      </c>
      <c r="K42">
        <v>1</v>
      </c>
      <c r="T42">
        <v>1</v>
      </c>
      <c r="U42">
        <v>1</v>
      </c>
      <c r="V42" t="s">
        <v>269</v>
      </c>
      <c r="W42" t="s">
        <v>354</v>
      </c>
      <c r="X42">
        <v>9</v>
      </c>
      <c r="Y42">
        <v>8</v>
      </c>
      <c r="Z42" t="s">
        <v>350</v>
      </c>
      <c r="AA42" t="s">
        <v>351</v>
      </c>
      <c r="AB42" t="s">
        <v>272</v>
      </c>
      <c r="AC42" t="s">
        <v>273</v>
      </c>
      <c r="AD42" t="s">
        <v>274</v>
      </c>
      <c r="AE42" t="s">
        <v>288</v>
      </c>
      <c r="AG42" t="s">
        <v>352</v>
      </c>
      <c r="AH42">
        <v>0</v>
      </c>
      <c r="AI42">
        <v>470</v>
      </c>
      <c r="AJ42">
        <v>63</v>
      </c>
      <c r="AK42">
        <v>20</v>
      </c>
      <c r="AL42">
        <v>0.32</v>
      </c>
    </row>
    <row r="43" spans="1:38" x14ac:dyDescent="0.3">
      <c r="A43" t="s">
        <v>283</v>
      </c>
      <c r="B43">
        <v>120579</v>
      </c>
      <c r="C43">
        <v>4</v>
      </c>
      <c r="D43" t="s">
        <v>347</v>
      </c>
      <c r="E43" t="s">
        <v>348</v>
      </c>
      <c r="F43">
        <v>62</v>
      </c>
      <c r="G43">
        <v>13.71</v>
      </c>
      <c r="H43">
        <v>45.35</v>
      </c>
      <c r="I43">
        <v>9.8699999999999992</v>
      </c>
      <c r="J43">
        <v>32.659999999999997</v>
      </c>
      <c r="K43">
        <v>7</v>
      </c>
      <c r="T43">
        <v>1</v>
      </c>
      <c r="U43">
        <v>1</v>
      </c>
      <c r="V43" t="s">
        <v>269</v>
      </c>
      <c r="W43" t="s">
        <v>355</v>
      </c>
      <c r="X43">
        <v>9</v>
      </c>
      <c r="Y43">
        <v>8</v>
      </c>
      <c r="Z43" t="s">
        <v>350</v>
      </c>
      <c r="AA43" t="s">
        <v>351</v>
      </c>
      <c r="AB43" t="s">
        <v>272</v>
      </c>
      <c r="AC43" t="s">
        <v>273</v>
      </c>
      <c r="AD43" t="s">
        <v>274</v>
      </c>
      <c r="AE43" t="s">
        <v>288</v>
      </c>
      <c r="AG43" t="s">
        <v>352</v>
      </c>
      <c r="AH43">
        <v>0</v>
      </c>
      <c r="AI43">
        <v>470</v>
      </c>
      <c r="AJ43">
        <v>63</v>
      </c>
      <c r="AK43">
        <v>20</v>
      </c>
      <c r="AL43">
        <v>0.32</v>
      </c>
    </row>
    <row r="44" spans="1:38" x14ac:dyDescent="0.3">
      <c r="A44" t="s">
        <v>283</v>
      </c>
      <c r="B44">
        <v>120579</v>
      </c>
      <c r="C44">
        <v>5</v>
      </c>
      <c r="D44" t="s">
        <v>347</v>
      </c>
      <c r="E44" t="s">
        <v>348</v>
      </c>
      <c r="F44">
        <v>62</v>
      </c>
      <c r="G44">
        <v>14.04</v>
      </c>
      <c r="H44">
        <v>46.43</v>
      </c>
      <c r="I44">
        <v>10.119999999999999</v>
      </c>
      <c r="J44">
        <v>33.47</v>
      </c>
      <c r="K44">
        <v>13</v>
      </c>
      <c r="T44">
        <v>1</v>
      </c>
      <c r="U44">
        <v>1</v>
      </c>
      <c r="V44" t="s">
        <v>269</v>
      </c>
      <c r="W44" t="s">
        <v>356</v>
      </c>
      <c r="X44">
        <v>9</v>
      </c>
      <c r="Y44">
        <v>8</v>
      </c>
      <c r="Z44" t="s">
        <v>350</v>
      </c>
      <c r="AA44" t="s">
        <v>351</v>
      </c>
      <c r="AB44" t="s">
        <v>272</v>
      </c>
      <c r="AC44" t="s">
        <v>273</v>
      </c>
      <c r="AD44" t="s">
        <v>274</v>
      </c>
      <c r="AE44" t="s">
        <v>288</v>
      </c>
      <c r="AG44" t="s">
        <v>352</v>
      </c>
      <c r="AH44">
        <v>0</v>
      </c>
      <c r="AI44">
        <v>470</v>
      </c>
      <c r="AJ44">
        <v>63</v>
      </c>
      <c r="AK44">
        <v>20</v>
      </c>
      <c r="AL44">
        <v>0.32</v>
      </c>
    </row>
    <row r="45" spans="1:38" x14ac:dyDescent="0.3">
      <c r="A45" t="s">
        <v>283</v>
      </c>
      <c r="B45">
        <v>120579</v>
      </c>
      <c r="C45">
        <v>6</v>
      </c>
      <c r="D45" t="s">
        <v>347</v>
      </c>
      <c r="E45" t="s">
        <v>348</v>
      </c>
      <c r="F45">
        <v>62</v>
      </c>
      <c r="G45">
        <v>14.58</v>
      </c>
      <c r="H45">
        <v>48.2</v>
      </c>
      <c r="I45">
        <v>10.5</v>
      </c>
      <c r="J45">
        <v>34.72</v>
      </c>
      <c r="K45">
        <v>6</v>
      </c>
      <c r="T45">
        <v>1</v>
      </c>
      <c r="U45">
        <v>1</v>
      </c>
      <c r="V45" t="s">
        <v>269</v>
      </c>
      <c r="W45">
        <v>48</v>
      </c>
      <c r="X45">
        <v>9</v>
      </c>
      <c r="Y45">
        <v>8</v>
      </c>
      <c r="Z45" t="s">
        <v>350</v>
      </c>
      <c r="AA45" t="s">
        <v>351</v>
      </c>
      <c r="AB45" t="s">
        <v>272</v>
      </c>
      <c r="AC45" t="s">
        <v>273</v>
      </c>
      <c r="AD45" t="s">
        <v>274</v>
      </c>
      <c r="AE45" t="s">
        <v>288</v>
      </c>
      <c r="AG45" t="s">
        <v>352</v>
      </c>
      <c r="AH45">
        <v>0</v>
      </c>
      <c r="AI45">
        <v>470</v>
      </c>
      <c r="AJ45">
        <v>63</v>
      </c>
      <c r="AK45">
        <v>20</v>
      </c>
      <c r="AL45">
        <v>0.32</v>
      </c>
    </row>
    <row r="46" spans="1:38" x14ac:dyDescent="0.3">
      <c r="A46" t="s">
        <v>283</v>
      </c>
      <c r="B46">
        <v>108815</v>
      </c>
      <c r="C46">
        <v>1</v>
      </c>
      <c r="D46" t="s">
        <v>357</v>
      </c>
      <c r="E46" t="s">
        <v>358</v>
      </c>
      <c r="F46">
        <v>240</v>
      </c>
      <c r="G46">
        <v>23.76</v>
      </c>
      <c r="H46">
        <v>78.55</v>
      </c>
      <c r="I46">
        <v>17.989999999999998</v>
      </c>
      <c r="J46">
        <v>59.5</v>
      </c>
      <c r="K46">
        <v>160</v>
      </c>
      <c r="T46">
        <v>3</v>
      </c>
      <c r="U46">
        <v>2</v>
      </c>
      <c r="V46" t="s">
        <v>269</v>
      </c>
      <c r="W46" t="s">
        <v>76</v>
      </c>
      <c r="X46">
        <v>29</v>
      </c>
      <c r="Y46">
        <v>28</v>
      </c>
      <c r="Z46" t="s">
        <v>359</v>
      </c>
      <c r="AA46" t="s">
        <v>360</v>
      </c>
      <c r="AB46" t="s">
        <v>272</v>
      </c>
      <c r="AC46" t="s">
        <v>273</v>
      </c>
      <c r="AD46" t="s">
        <v>274</v>
      </c>
      <c r="AE46" t="s">
        <v>288</v>
      </c>
      <c r="AG46" t="s">
        <v>361</v>
      </c>
      <c r="AH46">
        <v>0</v>
      </c>
      <c r="AI46">
        <v>497</v>
      </c>
      <c r="AJ46">
        <v>63</v>
      </c>
      <c r="AK46">
        <v>266</v>
      </c>
      <c r="AL46">
        <v>1.1100000000000001</v>
      </c>
    </row>
    <row r="47" spans="1:38" x14ac:dyDescent="0.3">
      <c r="A47" t="s">
        <v>283</v>
      </c>
      <c r="B47">
        <v>108815</v>
      </c>
      <c r="C47">
        <v>2</v>
      </c>
      <c r="D47" t="s">
        <v>357</v>
      </c>
      <c r="E47" t="s">
        <v>358</v>
      </c>
      <c r="F47">
        <v>240</v>
      </c>
      <c r="G47">
        <v>30.4</v>
      </c>
      <c r="H47">
        <v>100.51</v>
      </c>
      <c r="I47">
        <v>23.01</v>
      </c>
      <c r="J47">
        <v>76.08</v>
      </c>
      <c r="K47">
        <v>80</v>
      </c>
      <c r="T47">
        <v>3</v>
      </c>
      <c r="U47">
        <v>2</v>
      </c>
      <c r="V47" t="s">
        <v>269</v>
      </c>
      <c r="W47" t="s">
        <v>77</v>
      </c>
      <c r="X47">
        <v>29</v>
      </c>
      <c r="Y47">
        <v>28</v>
      </c>
      <c r="Z47" t="s">
        <v>359</v>
      </c>
      <c r="AA47" t="s">
        <v>360</v>
      </c>
      <c r="AB47" t="s">
        <v>272</v>
      </c>
      <c r="AC47" t="s">
        <v>273</v>
      </c>
      <c r="AD47" t="s">
        <v>274</v>
      </c>
      <c r="AE47" t="s">
        <v>288</v>
      </c>
      <c r="AG47" t="s">
        <v>361</v>
      </c>
      <c r="AH47">
        <v>0</v>
      </c>
      <c r="AI47">
        <v>497</v>
      </c>
      <c r="AJ47">
        <v>63</v>
      </c>
      <c r="AK47">
        <v>266</v>
      </c>
      <c r="AL47">
        <v>1.1100000000000001</v>
      </c>
    </row>
    <row r="48" spans="1:38" x14ac:dyDescent="0.3">
      <c r="A48" t="s">
        <v>283</v>
      </c>
      <c r="B48">
        <v>124353</v>
      </c>
      <c r="C48">
        <v>1</v>
      </c>
      <c r="D48" t="s">
        <v>362</v>
      </c>
      <c r="E48" t="s">
        <v>363</v>
      </c>
      <c r="F48">
        <v>24</v>
      </c>
      <c r="G48">
        <v>32.04</v>
      </c>
      <c r="H48">
        <v>105.94</v>
      </c>
      <c r="I48">
        <v>27.44</v>
      </c>
      <c r="J48">
        <v>90.72</v>
      </c>
      <c r="K48">
        <v>24</v>
      </c>
      <c r="T48">
        <v>3</v>
      </c>
      <c r="U48">
        <v>2</v>
      </c>
      <c r="V48" t="s">
        <v>269</v>
      </c>
      <c r="W48">
        <v>105</v>
      </c>
      <c r="X48">
        <v>5</v>
      </c>
      <c r="Y48">
        <v>5</v>
      </c>
      <c r="Z48" t="s">
        <v>364</v>
      </c>
      <c r="AA48" t="s">
        <v>365</v>
      </c>
      <c r="AB48" t="s">
        <v>272</v>
      </c>
      <c r="AC48" t="s">
        <v>273</v>
      </c>
      <c r="AD48" t="s">
        <v>274</v>
      </c>
      <c r="AE48" t="s">
        <v>288</v>
      </c>
      <c r="AG48" t="s">
        <v>366</v>
      </c>
      <c r="AH48">
        <v>0</v>
      </c>
      <c r="AI48">
        <v>0</v>
      </c>
      <c r="AJ48">
        <v>0</v>
      </c>
      <c r="AK48">
        <v>0</v>
      </c>
      <c r="AL48">
        <v>0</v>
      </c>
    </row>
    <row r="49" spans="1:38" x14ac:dyDescent="0.3">
      <c r="A49" t="s">
        <v>283</v>
      </c>
      <c r="B49">
        <v>102968</v>
      </c>
      <c r="C49">
        <v>1</v>
      </c>
      <c r="D49" t="s">
        <v>367</v>
      </c>
      <c r="E49" t="s">
        <v>368</v>
      </c>
      <c r="F49">
        <v>80</v>
      </c>
      <c r="G49">
        <v>27.4</v>
      </c>
      <c r="H49">
        <v>90.6</v>
      </c>
      <c r="I49">
        <v>25.55</v>
      </c>
      <c r="J49">
        <v>84.48</v>
      </c>
      <c r="K49">
        <v>40</v>
      </c>
      <c r="T49">
        <v>3</v>
      </c>
      <c r="U49">
        <v>1</v>
      </c>
      <c r="V49" t="s">
        <v>269</v>
      </c>
      <c r="W49">
        <v>90</v>
      </c>
      <c r="X49">
        <v>5</v>
      </c>
      <c r="Y49">
        <v>5</v>
      </c>
      <c r="Z49" t="s">
        <v>369</v>
      </c>
      <c r="AA49" t="s">
        <v>370</v>
      </c>
      <c r="AB49" t="s">
        <v>272</v>
      </c>
      <c r="AC49" t="s">
        <v>273</v>
      </c>
      <c r="AD49" t="s">
        <v>274</v>
      </c>
      <c r="AE49" t="s">
        <v>288</v>
      </c>
      <c r="AG49" t="s">
        <v>371</v>
      </c>
      <c r="AH49">
        <v>0</v>
      </c>
      <c r="AI49">
        <v>0</v>
      </c>
      <c r="AJ49">
        <v>0</v>
      </c>
      <c r="AK49">
        <v>0</v>
      </c>
      <c r="AL49">
        <v>0</v>
      </c>
    </row>
    <row r="50" spans="1:38" x14ac:dyDescent="0.3">
      <c r="A50" t="s">
        <v>283</v>
      </c>
      <c r="B50">
        <v>102968</v>
      </c>
      <c r="C50">
        <v>2</v>
      </c>
      <c r="D50" t="s">
        <v>367</v>
      </c>
      <c r="E50" t="s">
        <v>368</v>
      </c>
      <c r="F50">
        <v>80</v>
      </c>
      <c r="G50">
        <v>32.700000000000003</v>
      </c>
      <c r="H50">
        <v>108.13</v>
      </c>
      <c r="I50">
        <v>25.58</v>
      </c>
      <c r="J50">
        <v>84.57</v>
      </c>
      <c r="K50">
        <v>40</v>
      </c>
      <c r="T50">
        <v>3</v>
      </c>
      <c r="U50">
        <v>1</v>
      </c>
      <c r="V50" t="s">
        <v>269</v>
      </c>
      <c r="W50">
        <v>108</v>
      </c>
      <c r="X50">
        <v>5</v>
      </c>
      <c r="Y50">
        <v>5</v>
      </c>
      <c r="Z50" t="s">
        <v>369</v>
      </c>
      <c r="AA50" t="s">
        <v>370</v>
      </c>
      <c r="AB50" t="s">
        <v>272</v>
      </c>
      <c r="AC50" t="s">
        <v>273</v>
      </c>
      <c r="AD50" t="s">
        <v>274</v>
      </c>
      <c r="AE50" t="s">
        <v>288</v>
      </c>
      <c r="AG50" t="s">
        <v>371</v>
      </c>
      <c r="AH50">
        <v>0</v>
      </c>
      <c r="AI50">
        <v>0</v>
      </c>
      <c r="AJ50">
        <v>0</v>
      </c>
      <c r="AK50">
        <v>0</v>
      </c>
      <c r="AL50">
        <v>0</v>
      </c>
    </row>
    <row r="51" spans="1:38" x14ac:dyDescent="0.3">
      <c r="A51" t="s">
        <v>283</v>
      </c>
      <c r="B51">
        <v>124411</v>
      </c>
      <c r="C51">
        <v>1</v>
      </c>
      <c r="D51" t="s">
        <v>372</v>
      </c>
      <c r="E51" t="s">
        <v>301</v>
      </c>
      <c r="F51">
        <v>50</v>
      </c>
      <c r="G51">
        <v>20.8</v>
      </c>
      <c r="H51">
        <v>68.78</v>
      </c>
      <c r="I51">
        <v>17.82</v>
      </c>
      <c r="J51">
        <v>58.91</v>
      </c>
      <c r="K51">
        <v>40</v>
      </c>
      <c r="T51">
        <v>3</v>
      </c>
      <c r="U51">
        <v>1</v>
      </c>
      <c r="V51" t="s">
        <v>269</v>
      </c>
      <c r="W51" t="s">
        <v>192</v>
      </c>
      <c r="X51">
        <v>5</v>
      </c>
      <c r="Y51">
        <v>5</v>
      </c>
      <c r="Z51" t="s">
        <v>373</v>
      </c>
      <c r="AA51" t="s">
        <v>374</v>
      </c>
      <c r="AB51" t="s">
        <v>272</v>
      </c>
      <c r="AC51" t="s">
        <v>273</v>
      </c>
      <c r="AD51" t="s">
        <v>274</v>
      </c>
      <c r="AE51" t="s">
        <v>288</v>
      </c>
      <c r="AG51" t="s">
        <v>375</v>
      </c>
      <c r="AH51">
        <v>0</v>
      </c>
      <c r="AI51">
        <v>0</v>
      </c>
      <c r="AJ51">
        <v>0</v>
      </c>
      <c r="AK51">
        <v>0</v>
      </c>
      <c r="AL51">
        <v>0</v>
      </c>
    </row>
    <row r="52" spans="1:38" x14ac:dyDescent="0.3">
      <c r="A52" t="s">
        <v>283</v>
      </c>
      <c r="B52">
        <v>124411</v>
      </c>
      <c r="C52">
        <v>2</v>
      </c>
      <c r="D52" t="s">
        <v>372</v>
      </c>
      <c r="E52" t="s">
        <v>301</v>
      </c>
      <c r="F52">
        <v>50</v>
      </c>
      <c r="G52">
        <v>20.86</v>
      </c>
      <c r="H52">
        <v>68.97</v>
      </c>
      <c r="I52">
        <v>17.91</v>
      </c>
      <c r="J52">
        <v>59.22</v>
      </c>
      <c r="K52">
        <v>5</v>
      </c>
      <c r="T52">
        <v>3</v>
      </c>
      <c r="U52">
        <v>1</v>
      </c>
      <c r="V52" t="s">
        <v>269</v>
      </c>
      <c r="W52" t="s">
        <v>376</v>
      </c>
      <c r="X52">
        <v>5</v>
      </c>
      <c r="Y52">
        <v>5</v>
      </c>
      <c r="Z52" t="s">
        <v>373</v>
      </c>
      <c r="AA52" t="s">
        <v>374</v>
      </c>
      <c r="AB52" t="s">
        <v>272</v>
      </c>
      <c r="AC52" t="s">
        <v>273</v>
      </c>
      <c r="AD52" t="s">
        <v>274</v>
      </c>
      <c r="AE52" t="s">
        <v>288</v>
      </c>
      <c r="AG52" t="s">
        <v>375</v>
      </c>
      <c r="AH52">
        <v>0</v>
      </c>
      <c r="AI52">
        <v>0</v>
      </c>
      <c r="AJ52">
        <v>0</v>
      </c>
      <c r="AK52">
        <v>0</v>
      </c>
      <c r="AL52">
        <v>0</v>
      </c>
    </row>
    <row r="53" spans="1:38" x14ac:dyDescent="0.3">
      <c r="A53" t="s">
        <v>283</v>
      </c>
      <c r="B53">
        <v>124411</v>
      </c>
      <c r="C53">
        <v>3</v>
      </c>
      <c r="D53" t="s">
        <v>372</v>
      </c>
      <c r="E53" t="s">
        <v>301</v>
      </c>
      <c r="F53">
        <v>50</v>
      </c>
      <c r="G53">
        <v>20.87</v>
      </c>
      <c r="H53">
        <v>69</v>
      </c>
      <c r="I53">
        <v>17.920000000000002</v>
      </c>
      <c r="J53">
        <v>59.25</v>
      </c>
      <c r="K53">
        <v>5</v>
      </c>
      <c r="T53">
        <v>3</v>
      </c>
      <c r="U53">
        <v>1</v>
      </c>
      <c r="V53" t="s">
        <v>269</v>
      </c>
      <c r="W53" t="s">
        <v>123</v>
      </c>
      <c r="X53">
        <v>5</v>
      </c>
      <c r="Y53">
        <v>5</v>
      </c>
      <c r="Z53" t="s">
        <v>373</v>
      </c>
      <c r="AA53" t="s">
        <v>374</v>
      </c>
      <c r="AB53" t="s">
        <v>272</v>
      </c>
      <c r="AC53" t="s">
        <v>273</v>
      </c>
      <c r="AD53" t="s">
        <v>274</v>
      </c>
      <c r="AE53" t="s">
        <v>288</v>
      </c>
      <c r="AG53" t="s">
        <v>375</v>
      </c>
      <c r="AH53">
        <v>0</v>
      </c>
      <c r="AI53">
        <v>0</v>
      </c>
      <c r="AJ53">
        <v>0</v>
      </c>
      <c r="AK53">
        <v>0</v>
      </c>
      <c r="AL53">
        <v>0</v>
      </c>
    </row>
    <row r="54" spans="1:38" x14ac:dyDescent="0.3">
      <c r="A54" t="s">
        <v>283</v>
      </c>
      <c r="B54">
        <v>5275</v>
      </c>
      <c r="C54">
        <v>1</v>
      </c>
      <c r="D54" t="s">
        <v>377</v>
      </c>
      <c r="E54" t="s">
        <v>378</v>
      </c>
      <c r="F54">
        <v>117</v>
      </c>
      <c r="G54">
        <v>31.8</v>
      </c>
      <c r="H54">
        <v>105.14</v>
      </c>
      <c r="I54">
        <v>25.56</v>
      </c>
      <c r="J54">
        <v>84.51</v>
      </c>
      <c r="K54">
        <v>72</v>
      </c>
      <c r="T54">
        <v>3</v>
      </c>
      <c r="U54">
        <v>1</v>
      </c>
      <c r="V54" t="s">
        <v>269</v>
      </c>
      <c r="W54">
        <v>105</v>
      </c>
      <c r="X54">
        <v>9</v>
      </c>
      <c r="Y54">
        <v>9</v>
      </c>
      <c r="Z54" t="s">
        <v>379</v>
      </c>
      <c r="AA54" t="s">
        <v>380</v>
      </c>
      <c r="AB54" t="s">
        <v>272</v>
      </c>
      <c r="AC54" t="s">
        <v>273</v>
      </c>
      <c r="AD54" t="s">
        <v>274</v>
      </c>
      <c r="AE54" t="s">
        <v>288</v>
      </c>
      <c r="AG54" t="s">
        <v>381</v>
      </c>
      <c r="AH54">
        <v>0</v>
      </c>
      <c r="AI54">
        <v>0</v>
      </c>
      <c r="AJ54">
        <v>0</v>
      </c>
      <c r="AK54">
        <v>0</v>
      </c>
      <c r="AL54">
        <v>0</v>
      </c>
    </row>
    <row r="55" spans="1:38" x14ac:dyDescent="0.3">
      <c r="A55" t="s">
        <v>283</v>
      </c>
      <c r="B55">
        <v>5275</v>
      </c>
      <c r="C55">
        <v>2</v>
      </c>
      <c r="D55" t="s">
        <v>377</v>
      </c>
      <c r="E55" t="s">
        <v>378</v>
      </c>
      <c r="F55">
        <v>117</v>
      </c>
      <c r="G55">
        <v>32.880000000000003</v>
      </c>
      <c r="H55">
        <v>108.72</v>
      </c>
      <c r="I55">
        <v>26.94</v>
      </c>
      <c r="J55">
        <v>89.06</v>
      </c>
      <c r="K55">
        <v>18</v>
      </c>
      <c r="T55">
        <v>3</v>
      </c>
      <c r="U55">
        <v>1</v>
      </c>
      <c r="V55" t="s">
        <v>269</v>
      </c>
      <c r="W55">
        <v>108</v>
      </c>
      <c r="X55">
        <v>9</v>
      </c>
      <c r="Y55">
        <v>9</v>
      </c>
      <c r="Z55" t="s">
        <v>379</v>
      </c>
      <c r="AA55" t="s">
        <v>380</v>
      </c>
      <c r="AB55" t="s">
        <v>272</v>
      </c>
      <c r="AC55" t="s">
        <v>273</v>
      </c>
      <c r="AD55" t="s">
        <v>274</v>
      </c>
      <c r="AE55" t="s">
        <v>288</v>
      </c>
      <c r="AG55" t="s">
        <v>381</v>
      </c>
      <c r="AH55">
        <v>0</v>
      </c>
      <c r="AI55">
        <v>0</v>
      </c>
      <c r="AJ55">
        <v>0</v>
      </c>
      <c r="AK55">
        <v>0</v>
      </c>
      <c r="AL55">
        <v>0</v>
      </c>
    </row>
    <row r="56" spans="1:38" x14ac:dyDescent="0.3">
      <c r="A56" t="s">
        <v>283</v>
      </c>
      <c r="B56">
        <v>5275</v>
      </c>
      <c r="C56">
        <v>3</v>
      </c>
      <c r="D56" t="s">
        <v>377</v>
      </c>
      <c r="E56" t="s">
        <v>378</v>
      </c>
      <c r="F56">
        <v>117</v>
      </c>
      <c r="G56">
        <v>34.159999999999997</v>
      </c>
      <c r="H56">
        <v>112.93</v>
      </c>
      <c r="I56">
        <v>28.09</v>
      </c>
      <c r="J56">
        <v>92.86</v>
      </c>
      <c r="K56">
        <v>18</v>
      </c>
      <c r="T56">
        <v>3</v>
      </c>
      <c r="U56">
        <v>1</v>
      </c>
      <c r="V56" t="s">
        <v>269</v>
      </c>
      <c r="W56">
        <v>112</v>
      </c>
      <c r="X56">
        <v>9</v>
      </c>
      <c r="Y56">
        <v>9</v>
      </c>
      <c r="Z56" t="s">
        <v>379</v>
      </c>
      <c r="AA56" t="s">
        <v>380</v>
      </c>
      <c r="AB56" t="s">
        <v>272</v>
      </c>
      <c r="AC56" t="s">
        <v>273</v>
      </c>
      <c r="AD56" t="s">
        <v>274</v>
      </c>
      <c r="AE56" t="s">
        <v>288</v>
      </c>
      <c r="AG56" t="s">
        <v>381</v>
      </c>
      <c r="AH56">
        <v>0</v>
      </c>
      <c r="AI56">
        <v>0</v>
      </c>
      <c r="AJ56">
        <v>0</v>
      </c>
      <c r="AK56">
        <v>0</v>
      </c>
      <c r="AL56">
        <v>0</v>
      </c>
    </row>
    <row r="57" spans="1:38" x14ac:dyDescent="0.3">
      <c r="A57" t="s">
        <v>283</v>
      </c>
      <c r="B57">
        <v>5275</v>
      </c>
      <c r="C57">
        <v>4</v>
      </c>
      <c r="D57" t="s">
        <v>377</v>
      </c>
      <c r="E57" t="s">
        <v>378</v>
      </c>
      <c r="F57">
        <v>117</v>
      </c>
      <c r="G57">
        <v>37.6</v>
      </c>
      <c r="H57">
        <v>124.32</v>
      </c>
      <c r="I57">
        <v>28.77</v>
      </c>
      <c r="J57">
        <v>95.13</v>
      </c>
      <c r="K57">
        <v>9</v>
      </c>
      <c r="T57">
        <v>3</v>
      </c>
      <c r="U57">
        <v>1</v>
      </c>
      <c r="V57" t="s">
        <v>269</v>
      </c>
      <c r="W57">
        <v>124</v>
      </c>
      <c r="X57">
        <v>9</v>
      </c>
      <c r="Y57">
        <v>9</v>
      </c>
      <c r="Z57" t="s">
        <v>379</v>
      </c>
      <c r="AA57" t="s">
        <v>380</v>
      </c>
      <c r="AB57" t="s">
        <v>272</v>
      </c>
      <c r="AC57" t="s">
        <v>273</v>
      </c>
      <c r="AD57" t="s">
        <v>274</v>
      </c>
      <c r="AE57" t="s">
        <v>288</v>
      </c>
      <c r="AG57" t="s">
        <v>381</v>
      </c>
      <c r="AH57">
        <v>0</v>
      </c>
      <c r="AI57">
        <v>0</v>
      </c>
      <c r="AJ57">
        <v>0</v>
      </c>
      <c r="AK57">
        <v>0</v>
      </c>
      <c r="AL57">
        <v>0</v>
      </c>
    </row>
    <row r="58" spans="1:38" x14ac:dyDescent="0.3">
      <c r="A58" t="s">
        <v>283</v>
      </c>
      <c r="B58">
        <v>126025</v>
      </c>
      <c r="C58">
        <v>1</v>
      </c>
      <c r="D58" t="s">
        <v>382</v>
      </c>
      <c r="E58" t="s">
        <v>324</v>
      </c>
      <c r="F58">
        <v>35</v>
      </c>
      <c r="G58">
        <v>20.49</v>
      </c>
      <c r="H58">
        <v>67.739999999999995</v>
      </c>
      <c r="I58">
        <v>18.62</v>
      </c>
      <c r="J58">
        <v>61.56</v>
      </c>
      <c r="K58">
        <v>5</v>
      </c>
      <c r="T58">
        <v>3</v>
      </c>
      <c r="U58">
        <v>1</v>
      </c>
      <c r="V58" t="s">
        <v>269</v>
      </c>
      <c r="W58">
        <v>67</v>
      </c>
      <c r="X58">
        <v>5</v>
      </c>
      <c r="Y58">
        <v>5</v>
      </c>
      <c r="Z58" t="s">
        <v>383</v>
      </c>
      <c r="AA58" t="s">
        <v>384</v>
      </c>
      <c r="AB58" t="s">
        <v>272</v>
      </c>
      <c r="AC58" t="s">
        <v>273</v>
      </c>
      <c r="AD58" t="s">
        <v>274</v>
      </c>
      <c r="AE58" t="s">
        <v>288</v>
      </c>
      <c r="AG58" t="s">
        <v>385</v>
      </c>
      <c r="AH58">
        <v>0</v>
      </c>
      <c r="AI58">
        <v>0</v>
      </c>
      <c r="AJ58">
        <v>0</v>
      </c>
      <c r="AK58">
        <v>0</v>
      </c>
      <c r="AL58">
        <v>0</v>
      </c>
    </row>
    <row r="59" spans="1:38" x14ac:dyDescent="0.3">
      <c r="A59" t="s">
        <v>283</v>
      </c>
      <c r="B59">
        <v>126025</v>
      </c>
      <c r="C59">
        <v>2</v>
      </c>
      <c r="D59" t="s">
        <v>382</v>
      </c>
      <c r="E59" t="s">
        <v>324</v>
      </c>
      <c r="F59">
        <v>35</v>
      </c>
      <c r="G59">
        <v>21.74</v>
      </c>
      <c r="H59">
        <v>71.87</v>
      </c>
      <c r="I59">
        <v>19.87</v>
      </c>
      <c r="J59">
        <v>65.7</v>
      </c>
      <c r="K59">
        <v>30</v>
      </c>
      <c r="T59">
        <v>3</v>
      </c>
      <c r="U59">
        <v>1</v>
      </c>
      <c r="V59" t="s">
        <v>269</v>
      </c>
      <c r="W59">
        <v>71</v>
      </c>
      <c r="X59">
        <v>5</v>
      </c>
      <c r="Y59">
        <v>5</v>
      </c>
      <c r="Z59" t="s">
        <v>383</v>
      </c>
      <c r="AA59" t="s">
        <v>384</v>
      </c>
      <c r="AB59" t="s">
        <v>272</v>
      </c>
      <c r="AC59" t="s">
        <v>273</v>
      </c>
      <c r="AD59" t="s">
        <v>274</v>
      </c>
      <c r="AE59" t="s">
        <v>288</v>
      </c>
      <c r="AG59" t="s">
        <v>385</v>
      </c>
      <c r="AH59">
        <v>0</v>
      </c>
      <c r="AI59">
        <v>0</v>
      </c>
      <c r="AJ59">
        <v>0</v>
      </c>
      <c r="AK59">
        <v>0</v>
      </c>
      <c r="AL59">
        <v>0</v>
      </c>
    </row>
    <row r="60" spans="1:38" x14ac:dyDescent="0.3">
      <c r="A60" t="s">
        <v>283</v>
      </c>
      <c r="B60">
        <v>143877</v>
      </c>
      <c r="C60">
        <v>1</v>
      </c>
      <c r="D60" t="s">
        <v>386</v>
      </c>
      <c r="E60" t="s">
        <v>387</v>
      </c>
      <c r="F60">
        <v>15</v>
      </c>
      <c r="G60">
        <v>20.13</v>
      </c>
      <c r="H60">
        <v>66.569999999999993</v>
      </c>
      <c r="I60">
        <v>17.809999999999999</v>
      </c>
      <c r="J60">
        <v>58.89</v>
      </c>
      <c r="K60">
        <v>15</v>
      </c>
      <c r="T60">
        <v>3</v>
      </c>
      <c r="U60">
        <v>1</v>
      </c>
      <c r="V60" t="s">
        <v>269</v>
      </c>
      <c r="W60">
        <v>66</v>
      </c>
      <c r="X60">
        <v>5</v>
      </c>
      <c r="Y60">
        <v>5</v>
      </c>
      <c r="Z60" t="s">
        <v>388</v>
      </c>
      <c r="AA60" t="s">
        <v>389</v>
      </c>
      <c r="AB60" t="s">
        <v>272</v>
      </c>
      <c r="AC60" t="s">
        <v>273</v>
      </c>
      <c r="AD60" t="s">
        <v>274</v>
      </c>
      <c r="AE60" t="s">
        <v>288</v>
      </c>
      <c r="AG60" t="s">
        <v>390</v>
      </c>
      <c r="AH60">
        <v>0</v>
      </c>
      <c r="AI60">
        <v>0</v>
      </c>
      <c r="AJ60">
        <v>0</v>
      </c>
      <c r="AK60">
        <v>0</v>
      </c>
      <c r="AL60">
        <v>0</v>
      </c>
    </row>
    <row r="61" spans="1:38" x14ac:dyDescent="0.3">
      <c r="A61" t="s">
        <v>283</v>
      </c>
      <c r="B61">
        <v>136126</v>
      </c>
      <c r="C61">
        <v>1</v>
      </c>
      <c r="D61" t="s">
        <v>391</v>
      </c>
      <c r="E61" t="s">
        <v>392</v>
      </c>
      <c r="F61">
        <v>30</v>
      </c>
      <c r="G61">
        <v>18.32</v>
      </c>
      <c r="H61">
        <v>60.57</v>
      </c>
      <c r="I61">
        <v>16.579999999999998</v>
      </c>
      <c r="J61">
        <v>54.81</v>
      </c>
      <c r="K61">
        <v>5</v>
      </c>
      <c r="T61">
        <v>2</v>
      </c>
      <c r="U61">
        <v>1</v>
      </c>
      <c r="V61" t="s">
        <v>279</v>
      </c>
      <c r="W61">
        <v>60</v>
      </c>
      <c r="X61">
        <v>5</v>
      </c>
      <c r="Y61">
        <v>5</v>
      </c>
      <c r="Z61" t="s">
        <v>393</v>
      </c>
      <c r="AA61" t="s">
        <v>394</v>
      </c>
      <c r="AB61" t="s">
        <v>272</v>
      </c>
      <c r="AC61" t="s">
        <v>273</v>
      </c>
      <c r="AD61" t="s">
        <v>274</v>
      </c>
      <c r="AE61" t="s">
        <v>288</v>
      </c>
      <c r="AG61" t="s">
        <v>395</v>
      </c>
      <c r="AH61">
        <v>0</v>
      </c>
      <c r="AI61">
        <v>141</v>
      </c>
      <c r="AJ61">
        <v>28</v>
      </c>
      <c r="AK61">
        <v>0</v>
      </c>
      <c r="AL61">
        <v>0</v>
      </c>
    </row>
    <row r="62" spans="1:38" x14ac:dyDescent="0.3">
      <c r="A62" t="s">
        <v>283</v>
      </c>
      <c r="B62">
        <v>136126</v>
      </c>
      <c r="C62">
        <v>2</v>
      </c>
      <c r="D62" t="s">
        <v>391</v>
      </c>
      <c r="E62" t="s">
        <v>392</v>
      </c>
      <c r="F62">
        <v>30</v>
      </c>
      <c r="G62">
        <v>19.71</v>
      </c>
      <c r="H62">
        <v>65.16</v>
      </c>
      <c r="I62">
        <v>17.96</v>
      </c>
      <c r="J62">
        <v>59.4</v>
      </c>
      <c r="K62">
        <v>24</v>
      </c>
      <c r="T62">
        <v>3</v>
      </c>
      <c r="U62">
        <v>2</v>
      </c>
      <c r="V62" t="s">
        <v>279</v>
      </c>
      <c r="W62" t="s">
        <v>396</v>
      </c>
      <c r="X62">
        <v>5</v>
      </c>
      <c r="Y62">
        <v>5</v>
      </c>
      <c r="Z62" t="s">
        <v>393</v>
      </c>
      <c r="AA62" t="s">
        <v>394</v>
      </c>
      <c r="AB62" t="s">
        <v>272</v>
      </c>
      <c r="AC62" t="s">
        <v>273</v>
      </c>
      <c r="AD62" t="s">
        <v>274</v>
      </c>
      <c r="AE62" t="s">
        <v>288</v>
      </c>
      <c r="AG62" t="s">
        <v>395</v>
      </c>
      <c r="AH62">
        <v>0</v>
      </c>
      <c r="AI62">
        <v>141</v>
      </c>
      <c r="AJ62">
        <v>28</v>
      </c>
      <c r="AK62">
        <v>0</v>
      </c>
      <c r="AL62">
        <v>0</v>
      </c>
    </row>
    <row r="63" spans="1:38" x14ac:dyDescent="0.3">
      <c r="A63" t="s">
        <v>283</v>
      </c>
      <c r="B63">
        <v>136126</v>
      </c>
      <c r="C63">
        <v>3</v>
      </c>
      <c r="D63" t="s">
        <v>391</v>
      </c>
      <c r="E63" t="s">
        <v>392</v>
      </c>
      <c r="F63">
        <v>30</v>
      </c>
      <c r="G63">
        <v>19.8</v>
      </c>
      <c r="H63">
        <v>65.459999999999994</v>
      </c>
      <c r="I63">
        <v>18.05</v>
      </c>
      <c r="J63">
        <v>59.7</v>
      </c>
      <c r="K63">
        <v>1</v>
      </c>
      <c r="T63">
        <v>3</v>
      </c>
      <c r="U63">
        <v>2</v>
      </c>
      <c r="V63" t="s">
        <v>279</v>
      </c>
      <c r="W63" t="s">
        <v>318</v>
      </c>
      <c r="X63">
        <v>5</v>
      </c>
      <c r="Y63">
        <v>5</v>
      </c>
      <c r="Z63" t="s">
        <v>393</v>
      </c>
      <c r="AA63" t="s">
        <v>394</v>
      </c>
      <c r="AB63" t="s">
        <v>272</v>
      </c>
      <c r="AC63" t="s">
        <v>273</v>
      </c>
      <c r="AD63" t="s">
        <v>274</v>
      </c>
      <c r="AE63" t="s">
        <v>288</v>
      </c>
      <c r="AG63" t="s">
        <v>395</v>
      </c>
      <c r="AH63">
        <v>0</v>
      </c>
      <c r="AI63">
        <v>141</v>
      </c>
      <c r="AJ63">
        <v>28</v>
      </c>
      <c r="AK63">
        <v>0</v>
      </c>
      <c r="AL63">
        <v>0</v>
      </c>
    </row>
    <row r="64" spans="1:38" x14ac:dyDescent="0.3">
      <c r="A64" t="s">
        <v>283</v>
      </c>
      <c r="B64">
        <v>111285</v>
      </c>
      <c r="C64">
        <v>1</v>
      </c>
      <c r="D64" t="s">
        <v>397</v>
      </c>
      <c r="E64" t="s">
        <v>398</v>
      </c>
      <c r="F64">
        <v>218</v>
      </c>
      <c r="G64">
        <v>24.67</v>
      </c>
      <c r="H64">
        <v>81.56</v>
      </c>
      <c r="I64">
        <v>18.13</v>
      </c>
      <c r="J64">
        <v>59.96</v>
      </c>
      <c r="K64">
        <v>130</v>
      </c>
      <c r="T64">
        <v>3</v>
      </c>
      <c r="U64">
        <v>2</v>
      </c>
      <c r="V64" t="s">
        <v>269</v>
      </c>
      <c r="W64">
        <v>81</v>
      </c>
      <c r="X64">
        <v>23</v>
      </c>
      <c r="Y64">
        <v>11</v>
      </c>
      <c r="Z64" t="s">
        <v>399</v>
      </c>
      <c r="AA64" t="s">
        <v>400</v>
      </c>
      <c r="AB64" t="s">
        <v>272</v>
      </c>
      <c r="AC64" t="s">
        <v>273</v>
      </c>
      <c r="AD64" t="s">
        <v>274</v>
      </c>
      <c r="AE64" t="s">
        <v>288</v>
      </c>
      <c r="AG64" t="s">
        <v>401</v>
      </c>
      <c r="AH64">
        <v>0</v>
      </c>
      <c r="AI64">
        <v>223</v>
      </c>
      <c r="AJ64">
        <v>18</v>
      </c>
      <c r="AK64">
        <v>236</v>
      </c>
      <c r="AL64">
        <v>1.08</v>
      </c>
    </row>
    <row r="65" spans="1:38" x14ac:dyDescent="0.3">
      <c r="A65" t="s">
        <v>283</v>
      </c>
      <c r="B65">
        <v>111285</v>
      </c>
      <c r="C65">
        <v>2</v>
      </c>
      <c r="D65" t="s">
        <v>397</v>
      </c>
      <c r="E65" t="s">
        <v>398</v>
      </c>
      <c r="F65">
        <v>218</v>
      </c>
      <c r="G65">
        <v>34.56</v>
      </c>
      <c r="H65">
        <v>114.26</v>
      </c>
      <c r="I65">
        <v>25.7</v>
      </c>
      <c r="J65">
        <v>84.97</v>
      </c>
      <c r="K65">
        <v>46</v>
      </c>
      <c r="T65">
        <v>3</v>
      </c>
      <c r="U65">
        <v>2</v>
      </c>
      <c r="V65" t="s">
        <v>269</v>
      </c>
      <c r="W65" t="s">
        <v>78</v>
      </c>
      <c r="X65">
        <v>23</v>
      </c>
      <c r="Y65">
        <v>11</v>
      </c>
      <c r="Z65" t="s">
        <v>399</v>
      </c>
      <c r="AA65" t="s">
        <v>400</v>
      </c>
      <c r="AB65" t="s">
        <v>272</v>
      </c>
      <c r="AC65" t="s">
        <v>273</v>
      </c>
      <c r="AD65" t="s">
        <v>274</v>
      </c>
      <c r="AE65" t="s">
        <v>288</v>
      </c>
      <c r="AG65" t="s">
        <v>401</v>
      </c>
      <c r="AH65">
        <v>0</v>
      </c>
      <c r="AI65">
        <v>223</v>
      </c>
      <c r="AJ65">
        <v>18</v>
      </c>
      <c r="AK65">
        <v>236</v>
      </c>
      <c r="AL65">
        <v>1.08</v>
      </c>
    </row>
    <row r="66" spans="1:38" x14ac:dyDescent="0.3">
      <c r="A66" t="s">
        <v>283</v>
      </c>
      <c r="B66">
        <v>111285</v>
      </c>
      <c r="C66">
        <v>3</v>
      </c>
      <c r="D66" t="s">
        <v>397</v>
      </c>
      <c r="E66" t="s">
        <v>398</v>
      </c>
      <c r="F66">
        <v>218</v>
      </c>
      <c r="G66">
        <v>34.549999999999997</v>
      </c>
      <c r="H66">
        <v>114.24</v>
      </c>
      <c r="I66">
        <v>25.7</v>
      </c>
      <c r="J66">
        <v>84.97</v>
      </c>
      <c r="K66">
        <v>42</v>
      </c>
      <c r="T66">
        <v>3</v>
      </c>
      <c r="U66">
        <v>2</v>
      </c>
      <c r="V66" t="s">
        <v>269</v>
      </c>
      <c r="W66" t="s">
        <v>79</v>
      </c>
      <c r="X66">
        <v>23</v>
      </c>
      <c r="Y66">
        <v>11</v>
      </c>
      <c r="Z66" t="s">
        <v>399</v>
      </c>
      <c r="AA66" t="s">
        <v>400</v>
      </c>
      <c r="AB66" t="s">
        <v>272</v>
      </c>
      <c r="AC66" t="s">
        <v>273</v>
      </c>
      <c r="AD66" t="s">
        <v>274</v>
      </c>
      <c r="AE66" t="s">
        <v>288</v>
      </c>
      <c r="AG66" t="s">
        <v>401</v>
      </c>
      <c r="AH66">
        <v>0</v>
      </c>
      <c r="AI66">
        <v>223</v>
      </c>
      <c r="AJ66">
        <v>18</v>
      </c>
      <c r="AK66">
        <v>236</v>
      </c>
      <c r="AL66">
        <v>1.08</v>
      </c>
    </row>
    <row r="67" spans="1:38" x14ac:dyDescent="0.3">
      <c r="A67" t="s">
        <v>283</v>
      </c>
      <c r="B67">
        <v>134162</v>
      </c>
      <c r="C67">
        <v>1</v>
      </c>
      <c r="D67" t="s">
        <v>402</v>
      </c>
      <c r="E67" t="s">
        <v>403</v>
      </c>
      <c r="F67">
        <v>30</v>
      </c>
      <c r="G67">
        <v>19.84</v>
      </c>
      <c r="H67">
        <v>65.61</v>
      </c>
      <c r="I67">
        <v>17.989999999999998</v>
      </c>
      <c r="J67">
        <v>59.49</v>
      </c>
      <c r="K67">
        <v>30</v>
      </c>
      <c r="T67">
        <v>3</v>
      </c>
      <c r="U67">
        <v>1</v>
      </c>
      <c r="V67" t="s">
        <v>269</v>
      </c>
      <c r="W67">
        <v>65</v>
      </c>
      <c r="X67">
        <v>5</v>
      </c>
      <c r="Y67">
        <v>5</v>
      </c>
      <c r="Z67" t="s">
        <v>404</v>
      </c>
      <c r="AA67" t="s">
        <v>405</v>
      </c>
      <c r="AB67" t="s">
        <v>272</v>
      </c>
      <c r="AC67" t="s">
        <v>273</v>
      </c>
      <c r="AD67" t="s">
        <v>274</v>
      </c>
      <c r="AE67" t="s">
        <v>288</v>
      </c>
      <c r="AG67" t="s">
        <v>406</v>
      </c>
      <c r="AH67">
        <v>0</v>
      </c>
      <c r="AI67">
        <v>130</v>
      </c>
      <c r="AJ67">
        <v>26</v>
      </c>
      <c r="AK67">
        <v>0</v>
      </c>
      <c r="AL67">
        <v>0</v>
      </c>
    </row>
    <row r="68" spans="1:38" x14ac:dyDescent="0.3">
      <c r="A68" t="s">
        <v>283</v>
      </c>
      <c r="B68">
        <v>130965</v>
      </c>
      <c r="C68">
        <v>1</v>
      </c>
      <c r="D68" t="s">
        <v>407</v>
      </c>
      <c r="E68" t="s">
        <v>301</v>
      </c>
      <c r="F68">
        <v>35</v>
      </c>
      <c r="G68">
        <v>32.25</v>
      </c>
      <c r="H68">
        <v>106.63</v>
      </c>
      <c r="I68">
        <v>25.48</v>
      </c>
      <c r="J68">
        <v>84.24</v>
      </c>
      <c r="K68">
        <v>5</v>
      </c>
      <c r="T68">
        <v>3</v>
      </c>
      <c r="U68">
        <v>2</v>
      </c>
      <c r="V68" t="s">
        <v>279</v>
      </c>
      <c r="W68" t="s">
        <v>92</v>
      </c>
      <c r="X68">
        <v>5</v>
      </c>
      <c r="Y68">
        <v>5</v>
      </c>
      <c r="Z68" t="s">
        <v>408</v>
      </c>
      <c r="AA68" t="s">
        <v>409</v>
      </c>
      <c r="AB68" t="s">
        <v>272</v>
      </c>
      <c r="AC68" t="s">
        <v>273</v>
      </c>
      <c r="AD68" t="s">
        <v>274</v>
      </c>
      <c r="AE68" t="s">
        <v>288</v>
      </c>
      <c r="AG68" t="s">
        <v>410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283</v>
      </c>
      <c r="B69">
        <v>130965</v>
      </c>
      <c r="C69">
        <v>2</v>
      </c>
      <c r="D69" t="s">
        <v>407</v>
      </c>
      <c r="E69" t="s">
        <v>301</v>
      </c>
      <c r="F69">
        <v>35</v>
      </c>
      <c r="G69">
        <v>32.31</v>
      </c>
      <c r="H69">
        <v>106.81</v>
      </c>
      <c r="I69">
        <v>25.53</v>
      </c>
      <c r="J69">
        <v>84.42</v>
      </c>
      <c r="K69">
        <v>5</v>
      </c>
      <c r="T69">
        <v>3</v>
      </c>
      <c r="U69">
        <v>2</v>
      </c>
      <c r="V69" t="s">
        <v>269</v>
      </c>
      <c r="W69" t="s">
        <v>219</v>
      </c>
      <c r="X69">
        <v>5</v>
      </c>
      <c r="Y69">
        <v>5</v>
      </c>
      <c r="Z69" t="s">
        <v>408</v>
      </c>
      <c r="AA69" t="s">
        <v>409</v>
      </c>
      <c r="AB69" t="s">
        <v>272</v>
      </c>
      <c r="AC69" t="s">
        <v>273</v>
      </c>
      <c r="AD69" t="s">
        <v>274</v>
      </c>
      <c r="AE69" t="s">
        <v>288</v>
      </c>
      <c r="AG69" t="s">
        <v>410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283</v>
      </c>
      <c r="B70">
        <v>130965</v>
      </c>
      <c r="C70">
        <v>3</v>
      </c>
      <c r="D70" t="s">
        <v>407</v>
      </c>
      <c r="E70" t="s">
        <v>301</v>
      </c>
      <c r="F70">
        <v>35</v>
      </c>
      <c r="G70">
        <v>32.54</v>
      </c>
      <c r="H70">
        <v>107.6</v>
      </c>
      <c r="I70">
        <v>25.59</v>
      </c>
      <c r="J70">
        <v>84.6</v>
      </c>
      <c r="K70">
        <v>20</v>
      </c>
      <c r="T70">
        <v>3</v>
      </c>
      <c r="U70">
        <v>2</v>
      </c>
      <c r="V70" t="s">
        <v>269</v>
      </c>
      <c r="W70">
        <v>107</v>
      </c>
      <c r="X70">
        <v>5</v>
      </c>
      <c r="Y70">
        <v>5</v>
      </c>
      <c r="Z70" t="s">
        <v>408</v>
      </c>
      <c r="AA70" t="s">
        <v>409</v>
      </c>
      <c r="AB70" t="s">
        <v>272</v>
      </c>
      <c r="AC70" t="s">
        <v>273</v>
      </c>
      <c r="AD70" t="s">
        <v>274</v>
      </c>
      <c r="AE70" t="s">
        <v>288</v>
      </c>
      <c r="AG70" t="s">
        <v>410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3">
      <c r="A71" t="s">
        <v>283</v>
      </c>
      <c r="B71">
        <v>130965</v>
      </c>
      <c r="C71">
        <v>4</v>
      </c>
      <c r="D71" t="s">
        <v>407</v>
      </c>
      <c r="E71" t="s">
        <v>301</v>
      </c>
      <c r="F71">
        <v>35</v>
      </c>
      <c r="G71">
        <v>32.450000000000003</v>
      </c>
      <c r="H71">
        <v>107.29</v>
      </c>
      <c r="I71">
        <v>25.68</v>
      </c>
      <c r="J71">
        <v>84.9</v>
      </c>
      <c r="K71">
        <v>5</v>
      </c>
      <c r="T71">
        <v>3</v>
      </c>
      <c r="U71">
        <v>2</v>
      </c>
      <c r="V71" t="s">
        <v>269</v>
      </c>
      <c r="W71" t="s">
        <v>411</v>
      </c>
      <c r="X71">
        <v>5</v>
      </c>
      <c r="Y71">
        <v>5</v>
      </c>
      <c r="Z71" t="s">
        <v>408</v>
      </c>
      <c r="AA71" t="s">
        <v>409</v>
      </c>
      <c r="AB71" t="s">
        <v>272</v>
      </c>
      <c r="AC71" t="s">
        <v>273</v>
      </c>
      <c r="AD71" t="s">
        <v>274</v>
      </c>
      <c r="AE71" t="s">
        <v>288</v>
      </c>
      <c r="AG71" t="s">
        <v>410</v>
      </c>
      <c r="AH71">
        <v>0</v>
      </c>
      <c r="AI71">
        <v>0</v>
      </c>
      <c r="AJ71">
        <v>0</v>
      </c>
      <c r="AK71">
        <v>0</v>
      </c>
      <c r="AL71">
        <v>0</v>
      </c>
    </row>
    <row r="72" spans="1:38" x14ac:dyDescent="0.3">
      <c r="A72" t="s">
        <v>283</v>
      </c>
      <c r="B72">
        <v>129199</v>
      </c>
      <c r="C72">
        <v>1</v>
      </c>
      <c r="D72" t="s">
        <v>412</v>
      </c>
      <c r="E72" t="s">
        <v>413</v>
      </c>
      <c r="F72">
        <v>25</v>
      </c>
      <c r="G72">
        <v>45.12</v>
      </c>
      <c r="H72">
        <v>149.16999999999999</v>
      </c>
      <c r="I72">
        <v>40.01</v>
      </c>
      <c r="J72">
        <v>132.28</v>
      </c>
      <c r="K72">
        <v>15</v>
      </c>
      <c r="T72">
        <v>4</v>
      </c>
      <c r="U72">
        <v>2</v>
      </c>
      <c r="V72" t="s">
        <v>269</v>
      </c>
      <c r="W72">
        <v>149</v>
      </c>
      <c r="X72">
        <v>5</v>
      </c>
      <c r="Y72">
        <v>5</v>
      </c>
      <c r="Z72" t="s">
        <v>414</v>
      </c>
      <c r="AA72" t="s">
        <v>415</v>
      </c>
      <c r="AB72" t="s">
        <v>272</v>
      </c>
      <c r="AC72" t="s">
        <v>273</v>
      </c>
      <c r="AD72" t="s">
        <v>274</v>
      </c>
      <c r="AE72" t="s">
        <v>288</v>
      </c>
      <c r="AG72" t="s">
        <v>416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 x14ac:dyDescent="0.3">
      <c r="A73" t="s">
        <v>283</v>
      </c>
      <c r="B73">
        <v>129199</v>
      </c>
      <c r="C73">
        <v>2</v>
      </c>
      <c r="D73" t="s">
        <v>412</v>
      </c>
      <c r="E73" t="s">
        <v>413</v>
      </c>
      <c r="F73">
        <v>25</v>
      </c>
      <c r="G73">
        <v>48.46</v>
      </c>
      <c r="H73">
        <v>160.22999999999999</v>
      </c>
      <c r="I73">
        <v>41.35</v>
      </c>
      <c r="J73">
        <v>136.71</v>
      </c>
      <c r="K73">
        <v>5</v>
      </c>
      <c r="T73">
        <v>4</v>
      </c>
      <c r="U73">
        <v>2</v>
      </c>
      <c r="V73" t="s">
        <v>269</v>
      </c>
      <c r="W73" t="s">
        <v>417</v>
      </c>
      <c r="X73">
        <v>5</v>
      </c>
      <c r="Y73">
        <v>5</v>
      </c>
      <c r="Z73" t="s">
        <v>414</v>
      </c>
      <c r="AA73" t="s">
        <v>415</v>
      </c>
      <c r="AB73" t="s">
        <v>272</v>
      </c>
      <c r="AC73" t="s">
        <v>273</v>
      </c>
      <c r="AD73" t="s">
        <v>274</v>
      </c>
      <c r="AE73" t="s">
        <v>288</v>
      </c>
      <c r="AG73" t="s">
        <v>416</v>
      </c>
      <c r="AH73">
        <v>0</v>
      </c>
      <c r="AI73">
        <v>0</v>
      </c>
      <c r="AJ73">
        <v>0</v>
      </c>
      <c r="AK73">
        <v>0</v>
      </c>
      <c r="AL73">
        <v>0</v>
      </c>
    </row>
    <row r="74" spans="1:38" x14ac:dyDescent="0.3">
      <c r="A74" t="s">
        <v>283</v>
      </c>
      <c r="B74">
        <v>129199</v>
      </c>
      <c r="C74">
        <v>3</v>
      </c>
      <c r="D74" t="s">
        <v>412</v>
      </c>
      <c r="E74" t="s">
        <v>413</v>
      </c>
      <c r="F74">
        <v>25</v>
      </c>
      <c r="G74">
        <v>48.45</v>
      </c>
      <c r="H74">
        <v>160.16999999999999</v>
      </c>
      <c r="I74">
        <v>43.34</v>
      </c>
      <c r="J74">
        <v>143.28</v>
      </c>
      <c r="K74">
        <v>5</v>
      </c>
      <c r="T74">
        <v>4</v>
      </c>
      <c r="U74">
        <v>2</v>
      </c>
      <c r="V74" t="s">
        <v>269</v>
      </c>
      <c r="W74" t="s">
        <v>418</v>
      </c>
      <c r="X74">
        <v>5</v>
      </c>
      <c r="Y74">
        <v>5</v>
      </c>
      <c r="Z74" t="s">
        <v>414</v>
      </c>
      <c r="AA74" t="s">
        <v>415</v>
      </c>
      <c r="AB74" t="s">
        <v>272</v>
      </c>
      <c r="AC74" t="s">
        <v>273</v>
      </c>
      <c r="AD74" t="s">
        <v>274</v>
      </c>
      <c r="AE74" t="s">
        <v>288</v>
      </c>
      <c r="AG74" t="s">
        <v>416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419</v>
      </c>
      <c r="B75">
        <v>116718</v>
      </c>
      <c r="C75">
        <v>1</v>
      </c>
      <c r="D75" t="s">
        <v>420</v>
      </c>
      <c r="E75" t="s">
        <v>421</v>
      </c>
      <c r="F75">
        <v>30</v>
      </c>
      <c r="G75">
        <v>32.46</v>
      </c>
      <c r="H75">
        <v>107.31</v>
      </c>
      <c r="I75">
        <v>25.63</v>
      </c>
      <c r="J75">
        <v>84.76</v>
      </c>
      <c r="K75">
        <v>30</v>
      </c>
      <c r="T75">
        <v>3</v>
      </c>
      <c r="U75">
        <v>2</v>
      </c>
      <c r="V75" t="s">
        <v>279</v>
      </c>
      <c r="W75">
        <v>107</v>
      </c>
      <c r="X75">
        <v>5</v>
      </c>
      <c r="Y75">
        <v>5</v>
      </c>
      <c r="Z75" t="s">
        <v>422</v>
      </c>
      <c r="AA75" t="s">
        <v>423</v>
      </c>
      <c r="AB75" t="s">
        <v>272</v>
      </c>
      <c r="AC75" t="s">
        <v>273</v>
      </c>
      <c r="AD75" t="s">
        <v>274</v>
      </c>
      <c r="AE75" t="s">
        <v>424</v>
      </c>
      <c r="AG75" t="s">
        <v>425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419</v>
      </c>
      <c r="B76">
        <v>5289</v>
      </c>
      <c r="C76">
        <v>1</v>
      </c>
      <c r="D76" t="s">
        <v>426</v>
      </c>
      <c r="E76" t="s">
        <v>427</v>
      </c>
      <c r="F76">
        <v>110</v>
      </c>
      <c r="G76">
        <v>19.07</v>
      </c>
      <c r="H76">
        <v>63.05</v>
      </c>
      <c r="I76">
        <v>16.62</v>
      </c>
      <c r="J76">
        <v>54.97</v>
      </c>
      <c r="K76">
        <v>5</v>
      </c>
      <c r="T76">
        <v>2</v>
      </c>
      <c r="U76">
        <v>1</v>
      </c>
      <c r="V76" t="s">
        <v>269</v>
      </c>
      <c r="W76">
        <v>63</v>
      </c>
      <c r="X76">
        <v>5</v>
      </c>
      <c r="Y76">
        <v>5</v>
      </c>
      <c r="Z76" t="s">
        <v>428</v>
      </c>
      <c r="AA76" t="s">
        <v>429</v>
      </c>
      <c r="AB76" t="s">
        <v>272</v>
      </c>
      <c r="AC76" t="s">
        <v>273</v>
      </c>
      <c r="AD76" t="s">
        <v>274</v>
      </c>
      <c r="AE76" t="s">
        <v>424</v>
      </c>
      <c r="AG76" t="s">
        <v>430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419</v>
      </c>
      <c r="B77">
        <v>5289</v>
      </c>
      <c r="C77">
        <v>2</v>
      </c>
      <c r="D77" t="s">
        <v>426</v>
      </c>
      <c r="E77" t="s">
        <v>427</v>
      </c>
      <c r="F77">
        <v>110</v>
      </c>
      <c r="G77">
        <v>19.97</v>
      </c>
      <c r="H77">
        <v>66.02</v>
      </c>
      <c r="I77">
        <v>17.52</v>
      </c>
      <c r="J77">
        <v>57.94</v>
      </c>
      <c r="K77">
        <v>5</v>
      </c>
      <c r="T77">
        <v>2</v>
      </c>
      <c r="U77">
        <v>1</v>
      </c>
      <c r="V77" t="s">
        <v>269</v>
      </c>
      <c r="W77">
        <v>66</v>
      </c>
      <c r="X77">
        <v>5</v>
      </c>
      <c r="Y77">
        <v>5</v>
      </c>
      <c r="Z77" t="s">
        <v>428</v>
      </c>
      <c r="AA77" t="s">
        <v>429</v>
      </c>
      <c r="AB77" t="s">
        <v>272</v>
      </c>
      <c r="AC77" t="s">
        <v>273</v>
      </c>
      <c r="AD77" t="s">
        <v>274</v>
      </c>
      <c r="AE77" t="s">
        <v>424</v>
      </c>
      <c r="AG77" t="s">
        <v>430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419</v>
      </c>
      <c r="B78">
        <v>5289</v>
      </c>
      <c r="C78">
        <v>3</v>
      </c>
      <c r="D78" t="s">
        <v>426</v>
      </c>
      <c r="E78" t="s">
        <v>427</v>
      </c>
      <c r="F78">
        <v>110</v>
      </c>
      <c r="G78">
        <v>22.82</v>
      </c>
      <c r="H78">
        <v>75.44</v>
      </c>
      <c r="I78">
        <v>20.37</v>
      </c>
      <c r="J78">
        <v>67.36</v>
      </c>
      <c r="K78">
        <v>25</v>
      </c>
      <c r="T78">
        <v>3</v>
      </c>
      <c r="U78">
        <v>1</v>
      </c>
      <c r="V78" t="s">
        <v>269</v>
      </c>
      <c r="W78" t="s">
        <v>431</v>
      </c>
      <c r="X78">
        <v>5</v>
      </c>
      <c r="Y78">
        <v>5</v>
      </c>
      <c r="Z78" t="s">
        <v>428</v>
      </c>
      <c r="AA78" t="s">
        <v>429</v>
      </c>
      <c r="AB78" t="s">
        <v>272</v>
      </c>
      <c r="AC78" t="s">
        <v>273</v>
      </c>
      <c r="AD78" t="s">
        <v>274</v>
      </c>
      <c r="AE78" t="s">
        <v>424</v>
      </c>
      <c r="AG78" t="s">
        <v>430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419</v>
      </c>
      <c r="B79">
        <v>5289</v>
      </c>
      <c r="C79">
        <v>4</v>
      </c>
      <c r="D79" t="s">
        <v>426</v>
      </c>
      <c r="E79" t="s">
        <v>427</v>
      </c>
      <c r="F79">
        <v>110</v>
      </c>
      <c r="G79">
        <v>23.35</v>
      </c>
      <c r="H79">
        <v>77.209999999999994</v>
      </c>
      <c r="I79">
        <v>20.91</v>
      </c>
      <c r="J79">
        <v>69.13</v>
      </c>
      <c r="K79">
        <v>30</v>
      </c>
      <c r="T79">
        <v>3</v>
      </c>
      <c r="U79">
        <v>1</v>
      </c>
      <c r="V79" t="s">
        <v>269</v>
      </c>
      <c r="W79" t="s">
        <v>152</v>
      </c>
      <c r="X79">
        <v>5</v>
      </c>
      <c r="Y79">
        <v>5</v>
      </c>
      <c r="Z79" t="s">
        <v>428</v>
      </c>
      <c r="AA79" t="s">
        <v>429</v>
      </c>
      <c r="AB79" t="s">
        <v>272</v>
      </c>
      <c r="AC79" t="s">
        <v>273</v>
      </c>
      <c r="AD79" t="s">
        <v>274</v>
      </c>
      <c r="AE79" t="s">
        <v>424</v>
      </c>
      <c r="AG79" t="s">
        <v>430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419</v>
      </c>
      <c r="B80">
        <v>5289</v>
      </c>
      <c r="C80">
        <v>5</v>
      </c>
      <c r="D80" t="s">
        <v>426</v>
      </c>
      <c r="E80" t="s">
        <v>427</v>
      </c>
      <c r="F80">
        <v>110</v>
      </c>
      <c r="G80">
        <v>23.59</v>
      </c>
      <c r="H80">
        <v>78</v>
      </c>
      <c r="I80">
        <v>21.15</v>
      </c>
      <c r="J80">
        <v>69.92</v>
      </c>
      <c r="K80">
        <v>5</v>
      </c>
      <c r="T80">
        <v>3</v>
      </c>
      <c r="U80">
        <v>1</v>
      </c>
      <c r="V80" t="s">
        <v>269</v>
      </c>
      <c r="W80">
        <v>78</v>
      </c>
      <c r="X80">
        <v>5</v>
      </c>
      <c r="Y80">
        <v>5</v>
      </c>
      <c r="Z80" t="s">
        <v>428</v>
      </c>
      <c r="AA80" t="s">
        <v>429</v>
      </c>
      <c r="AB80" t="s">
        <v>272</v>
      </c>
      <c r="AC80" t="s">
        <v>273</v>
      </c>
      <c r="AD80" t="s">
        <v>274</v>
      </c>
      <c r="AE80" t="s">
        <v>424</v>
      </c>
      <c r="AG80" t="s">
        <v>430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419</v>
      </c>
      <c r="B81">
        <v>5289</v>
      </c>
      <c r="C81">
        <v>6</v>
      </c>
      <c r="D81" t="s">
        <v>426</v>
      </c>
      <c r="E81" t="s">
        <v>427</v>
      </c>
      <c r="F81">
        <v>110</v>
      </c>
      <c r="G81">
        <v>24.82</v>
      </c>
      <c r="H81">
        <v>82.07</v>
      </c>
      <c r="I81">
        <v>22.38</v>
      </c>
      <c r="J81">
        <v>73.989999999999995</v>
      </c>
      <c r="K81">
        <v>20</v>
      </c>
      <c r="T81">
        <v>3</v>
      </c>
      <c r="U81">
        <v>1</v>
      </c>
      <c r="V81" t="s">
        <v>269</v>
      </c>
      <c r="W81" t="s">
        <v>145</v>
      </c>
      <c r="X81">
        <v>5</v>
      </c>
      <c r="Y81">
        <v>5</v>
      </c>
      <c r="Z81" t="s">
        <v>428</v>
      </c>
      <c r="AA81" t="s">
        <v>429</v>
      </c>
      <c r="AB81" t="s">
        <v>272</v>
      </c>
      <c r="AC81" t="s">
        <v>273</v>
      </c>
      <c r="AD81" t="s">
        <v>274</v>
      </c>
      <c r="AE81" t="s">
        <v>424</v>
      </c>
      <c r="AG81" t="s">
        <v>430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419</v>
      </c>
      <c r="B82">
        <v>5289</v>
      </c>
      <c r="C82">
        <v>7</v>
      </c>
      <c r="D82" t="s">
        <v>426</v>
      </c>
      <c r="E82" t="s">
        <v>427</v>
      </c>
      <c r="F82">
        <v>110</v>
      </c>
      <c r="G82">
        <v>25.08</v>
      </c>
      <c r="H82">
        <v>82.94</v>
      </c>
      <c r="I82">
        <v>22.64</v>
      </c>
      <c r="J82">
        <v>74.86</v>
      </c>
      <c r="K82">
        <v>15</v>
      </c>
      <c r="T82">
        <v>3</v>
      </c>
      <c r="U82">
        <v>1</v>
      </c>
      <c r="V82" t="s">
        <v>269</v>
      </c>
      <c r="W82" t="s">
        <v>146</v>
      </c>
      <c r="X82">
        <v>5</v>
      </c>
      <c r="Y82">
        <v>5</v>
      </c>
      <c r="Z82" t="s">
        <v>428</v>
      </c>
      <c r="AA82" t="s">
        <v>429</v>
      </c>
      <c r="AB82" t="s">
        <v>272</v>
      </c>
      <c r="AC82" t="s">
        <v>273</v>
      </c>
      <c r="AD82" t="s">
        <v>274</v>
      </c>
      <c r="AE82" t="s">
        <v>424</v>
      </c>
      <c r="AG82" t="s">
        <v>430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3">
      <c r="A83" t="s">
        <v>419</v>
      </c>
      <c r="B83">
        <v>5289</v>
      </c>
      <c r="C83">
        <v>8</v>
      </c>
      <c r="D83" t="s">
        <v>426</v>
      </c>
      <c r="E83" t="s">
        <v>427</v>
      </c>
      <c r="F83">
        <v>110</v>
      </c>
      <c r="G83">
        <v>26.43</v>
      </c>
      <c r="H83">
        <v>87.39</v>
      </c>
      <c r="I83">
        <v>23.99</v>
      </c>
      <c r="J83">
        <v>79.31</v>
      </c>
      <c r="K83">
        <v>5</v>
      </c>
      <c r="T83">
        <v>3</v>
      </c>
      <c r="U83">
        <v>1</v>
      </c>
      <c r="V83" t="s">
        <v>269</v>
      </c>
      <c r="W83">
        <v>87</v>
      </c>
      <c r="X83">
        <v>5</v>
      </c>
      <c r="Y83">
        <v>5</v>
      </c>
      <c r="Z83" t="s">
        <v>428</v>
      </c>
      <c r="AA83" t="s">
        <v>429</v>
      </c>
      <c r="AB83" t="s">
        <v>272</v>
      </c>
      <c r="AC83" t="s">
        <v>273</v>
      </c>
      <c r="AD83" t="s">
        <v>274</v>
      </c>
      <c r="AE83" t="s">
        <v>424</v>
      </c>
      <c r="AG83" t="s">
        <v>430</v>
      </c>
      <c r="AH83">
        <v>0</v>
      </c>
      <c r="AI83">
        <v>0</v>
      </c>
      <c r="AJ83">
        <v>0</v>
      </c>
      <c r="AK83">
        <v>0</v>
      </c>
      <c r="AL83">
        <v>0</v>
      </c>
    </row>
    <row r="84" spans="1:38" x14ac:dyDescent="0.3">
      <c r="A84" t="s">
        <v>419</v>
      </c>
      <c r="B84">
        <v>139133</v>
      </c>
      <c r="C84">
        <v>1</v>
      </c>
      <c r="D84" t="s">
        <v>432</v>
      </c>
      <c r="E84" t="s">
        <v>433</v>
      </c>
      <c r="F84">
        <v>24</v>
      </c>
      <c r="G84">
        <v>23</v>
      </c>
      <c r="H84">
        <v>76.05</v>
      </c>
      <c r="I84">
        <v>23</v>
      </c>
      <c r="J84">
        <v>76.05</v>
      </c>
      <c r="K84">
        <v>24</v>
      </c>
      <c r="T84">
        <v>3</v>
      </c>
      <c r="U84">
        <v>1</v>
      </c>
      <c r="V84" t="s">
        <v>279</v>
      </c>
      <c r="W84">
        <v>76</v>
      </c>
      <c r="X84">
        <v>4</v>
      </c>
      <c r="Y84">
        <v>4</v>
      </c>
      <c r="Z84" t="s">
        <v>434</v>
      </c>
      <c r="AA84" t="s">
        <v>435</v>
      </c>
      <c r="AB84" t="s">
        <v>272</v>
      </c>
      <c r="AC84" t="s">
        <v>273</v>
      </c>
      <c r="AD84" t="s">
        <v>274</v>
      </c>
      <c r="AE84" t="s">
        <v>424</v>
      </c>
      <c r="AG84" t="s">
        <v>436</v>
      </c>
      <c r="AH84">
        <v>0</v>
      </c>
      <c r="AI84">
        <v>137</v>
      </c>
      <c r="AJ84">
        <v>34</v>
      </c>
      <c r="AK84">
        <v>0</v>
      </c>
      <c r="AL84">
        <v>0</v>
      </c>
    </row>
    <row r="85" spans="1:38" x14ac:dyDescent="0.3">
      <c r="A85" t="s">
        <v>419</v>
      </c>
      <c r="B85">
        <v>118234</v>
      </c>
      <c r="C85">
        <v>1</v>
      </c>
      <c r="D85" t="s">
        <v>437</v>
      </c>
      <c r="E85" t="s">
        <v>438</v>
      </c>
      <c r="F85">
        <v>60</v>
      </c>
      <c r="G85">
        <v>26.05</v>
      </c>
      <c r="H85">
        <v>86.13</v>
      </c>
      <c r="I85">
        <v>23.38</v>
      </c>
      <c r="J85">
        <v>77.31</v>
      </c>
      <c r="K85">
        <v>5</v>
      </c>
      <c r="T85">
        <v>3</v>
      </c>
      <c r="U85">
        <v>2</v>
      </c>
      <c r="V85" t="s">
        <v>269</v>
      </c>
      <c r="W85">
        <v>86</v>
      </c>
      <c r="X85">
        <v>5</v>
      </c>
      <c r="Y85">
        <v>5</v>
      </c>
      <c r="Z85" t="s">
        <v>439</v>
      </c>
      <c r="AA85" t="s">
        <v>440</v>
      </c>
      <c r="AB85" t="s">
        <v>272</v>
      </c>
      <c r="AC85" t="s">
        <v>273</v>
      </c>
      <c r="AD85" t="s">
        <v>274</v>
      </c>
      <c r="AE85" t="s">
        <v>424</v>
      </c>
      <c r="AG85" t="s">
        <v>441</v>
      </c>
      <c r="AH85">
        <v>0</v>
      </c>
      <c r="AI85">
        <v>0</v>
      </c>
      <c r="AJ85">
        <v>0</v>
      </c>
      <c r="AK85">
        <v>0</v>
      </c>
      <c r="AL85">
        <v>0</v>
      </c>
    </row>
    <row r="86" spans="1:38" x14ac:dyDescent="0.3">
      <c r="A86" t="s">
        <v>419</v>
      </c>
      <c r="B86">
        <v>118234</v>
      </c>
      <c r="C86">
        <v>2</v>
      </c>
      <c r="D86" t="s">
        <v>437</v>
      </c>
      <c r="E86" t="s">
        <v>438</v>
      </c>
      <c r="F86">
        <v>60</v>
      </c>
      <c r="G86">
        <v>27.11</v>
      </c>
      <c r="H86">
        <v>89.64</v>
      </c>
      <c r="I86">
        <v>25.37</v>
      </c>
      <c r="J86">
        <v>83.88</v>
      </c>
      <c r="K86">
        <v>10</v>
      </c>
      <c r="T86">
        <v>3</v>
      </c>
      <c r="U86">
        <v>2</v>
      </c>
      <c r="V86" t="s">
        <v>269</v>
      </c>
      <c r="W86" t="s">
        <v>442</v>
      </c>
      <c r="X86">
        <v>5</v>
      </c>
      <c r="Y86">
        <v>5</v>
      </c>
      <c r="Z86" t="s">
        <v>439</v>
      </c>
      <c r="AA86" t="s">
        <v>440</v>
      </c>
      <c r="AB86" t="s">
        <v>272</v>
      </c>
      <c r="AC86" t="s">
        <v>273</v>
      </c>
      <c r="AD86" t="s">
        <v>274</v>
      </c>
      <c r="AE86" t="s">
        <v>424</v>
      </c>
      <c r="AG86" t="s">
        <v>441</v>
      </c>
      <c r="AH86">
        <v>0</v>
      </c>
      <c r="AI86">
        <v>0</v>
      </c>
      <c r="AJ86">
        <v>0</v>
      </c>
      <c r="AK86">
        <v>0</v>
      </c>
      <c r="AL86">
        <v>0</v>
      </c>
    </row>
    <row r="87" spans="1:38" x14ac:dyDescent="0.3">
      <c r="A87" t="s">
        <v>419</v>
      </c>
      <c r="B87">
        <v>118234</v>
      </c>
      <c r="C87">
        <v>3</v>
      </c>
      <c r="D87" t="s">
        <v>437</v>
      </c>
      <c r="E87" t="s">
        <v>438</v>
      </c>
      <c r="F87">
        <v>60</v>
      </c>
      <c r="G87">
        <v>26.98</v>
      </c>
      <c r="H87">
        <v>89.22</v>
      </c>
      <c r="I87">
        <v>24.32</v>
      </c>
      <c r="J87">
        <v>80.400000000000006</v>
      </c>
      <c r="K87">
        <v>5</v>
      </c>
      <c r="T87">
        <v>3</v>
      </c>
      <c r="U87">
        <v>2</v>
      </c>
      <c r="V87" t="s">
        <v>269</v>
      </c>
      <c r="W87" t="s">
        <v>443</v>
      </c>
      <c r="X87">
        <v>5</v>
      </c>
      <c r="Y87">
        <v>5</v>
      </c>
      <c r="Z87" t="s">
        <v>439</v>
      </c>
      <c r="AA87" t="s">
        <v>440</v>
      </c>
      <c r="AB87" t="s">
        <v>272</v>
      </c>
      <c r="AC87" t="s">
        <v>273</v>
      </c>
      <c r="AD87" t="s">
        <v>274</v>
      </c>
      <c r="AE87" t="s">
        <v>424</v>
      </c>
      <c r="AG87" t="s">
        <v>441</v>
      </c>
      <c r="AH87">
        <v>0</v>
      </c>
      <c r="AI87">
        <v>0</v>
      </c>
      <c r="AJ87">
        <v>0</v>
      </c>
      <c r="AK87">
        <v>0</v>
      </c>
      <c r="AL87">
        <v>0</v>
      </c>
    </row>
    <row r="88" spans="1:38" x14ac:dyDescent="0.3">
      <c r="A88" t="s">
        <v>419</v>
      </c>
      <c r="B88">
        <v>118234</v>
      </c>
      <c r="C88">
        <v>4</v>
      </c>
      <c r="D88" t="s">
        <v>437</v>
      </c>
      <c r="E88" t="s">
        <v>438</v>
      </c>
      <c r="F88">
        <v>60</v>
      </c>
      <c r="G88">
        <v>27.33</v>
      </c>
      <c r="H88">
        <v>90.36</v>
      </c>
      <c r="I88">
        <v>25.59</v>
      </c>
      <c r="J88">
        <v>84.6</v>
      </c>
      <c r="K88">
        <v>20</v>
      </c>
      <c r="T88">
        <v>3</v>
      </c>
      <c r="U88">
        <v>2</v>
      </c>
      <c r="V88" t="s">
        <v>269</v>
      </c>
      <c r="W88" t="s">
        <v>444</v>
      </c>
      <c r="X88">
        <v>5</v>
      </c>
      <c r="Y88">
        <v>5</v>
      </c>
      <c r="Z88" t="s">
        <v>439</v>
      </c>
      <c r="AA88" t="s">
        <v>440</v>
      </c>
      <c r="AB88" t="s">
        <v>272</v>
      </c>
      <c r="AC88" t="s">
        <v>273</v>
      </c>
      <c r="AD88" t="s">
        <v>274</v>
      </c>
      <c r="AE88" t="s">
        <v>424</v>
      </c>
      <c r="AG88" t="s">
        <v>441</v>
      </c>
      <c r="AH88">
        <v>0</v>
      </c>
      <c r="AI88">
        <v>0</v>
      </c>
      <c r="AJ88">
        <v>0</v>
      </c>
      <c r="AK88">
        <v>0</v>
      </c>
      <c r="AL88">
        <v>0</v>
      </c>
    </row>
    <row r="89" spans="1:38" x14ac:dyDescent="0.3">
      <c r="A89" t="s">
        <v>419</v>
      </c>
      <c r="B89">
        <v>118234</v>
      </c>
      <c r="C89">
        <v>5</v>
      </c>
      <c r="D89" t="s">
        <v>437</v>
      </c>
      <c r="E89" t="s">
        <v>438</v>
      </c>
      <c r="F89">
        <v>60</v>
      </c>
      <c r="G89">
        <v>32.049999999999997</v>
      </c>
      <c r="H89">
        <v>105.97</v>
      </c>
      <c r="I89">
        <v>29.04</v>
      </c>
      <c r="J89">
        <v>96.03</v>
      </c>
      <c r="K89">
        <v>5</v>
      </c>
      <c r="T89">
        <v>3</v>
      </c>
      <c r="U89">
        <v>2</v>
      </c>
      <c r="V89" t="s">
        <v>269</v>
      </c>
      <c r="W89" t="s">
        <v>215</v>
      </c>
      <c r="X89">
        <v>5</v>
      </c>
      <c r="Y89">
        <v>5</v>
      </c>
      <c r="Z89" t="s">
        <v>439</v>
      </c>
      <c r="AA89" t="s">
        <v>440</v>
      </c>
      <c r="AB89" t="s">
        <v>272</v>
      </c>
      <c r="AC89" t="s">
        <v>273</v>
      </c>
      <c r="AD89" t="s">
        <v>274</v>
      </c>
      <c r="AE89" t="s">
        <v>424</v>
      </c>
      <c r="AG89" t="s">
        <v>441</v>
      </c>
      <c r="AH89">
        <v>0</v>
      </c>
      <c r="AI89">
        <v>0</v>
      </c>
      <c r="AJ89">
        <v>0</v>
      </c>
      <c r="AK89">
        <v>0</v>
      </c>
      <c r="AL89">
        <v>0</v>
      </c>
    </row>
    <row r="90" spans="1:38" x14ac:dyDescent="0.3">
      <c r="A90" t="s">
        <v>419</v>
      </c>
      <c r="B90">
        <v>118234</v>
      </c>
      <c r="C90">
        <v>6</v>
      </c>
      <c r="D90" t="s">
        <v>437</v>
      </c>
      <c r="E90" t="s">
        <v>438</v>
      </c>
      <c r="F90">
        <v>60</v>
      </c>
      <c r="G90">
        <v>32.43</v>
      </c>
      <c r="H90">
        <v>107.23</v>
      </c>
      <c r="I90">
        <v>29.43</v>
      </c>
      <c r="J90">
        <v>97.29</v>
      </c>
      <c r="K90">
        <v>5</v>
      </c>
      <c r="T90">
        <v>3</v>
      </c>
      <c r="U90">
        <v>2</v>
      </c>
      <c r="V90" t="s">
        <v>269</v>
      </c>
      <c r="W90" t="s">
        <v>189</v>
      </c>
      <c r="X90">
        <v>5</v>
      </c>
      <c r="Y90">
        <v>5</v>
      </c>
      <c r="Z90" t="s">
        <v>439</v>
      </c>
      <c r="AA90" t="s">
        <v>440</v>
      </c>
      <c r="AB90" t="s">
        <v>272</v>
      </c>
      <c r="AC90" t="s">
        <v>273</v>
      </c>
      <c r="AD90" t="s">
        <v>274</v>
      </c>
      <c r="AE90" t="s">
        <v>424</v>
      </c>
      <c r="AG90" t="s">
        <v>441</v>
      </c>
      <c r="AH90">
        <v>0</v>
      </c>
      <c r="AI90">
        <v>0</v>
      </c>
      <c r="AJ90">
        <v>0</v>
      </c>
      <c r="AK90">
        <v>0</v>
      </c>
      <c r="AL90">
        <v>0</v>
      </c>
    </row>
    <row r="91" spans="1:38" x14ac:dyDescent="0.3">
      <c r="A91" t="s">
        <v>419</v>
      </c>
      <c r="B91">
        <v>118234</v>
      </c>
      <c r="C91">
        <v>7</v>
      </c>
      <c r="D91" t="s">
        <v>437</v>
      </c>
      <c r="E91" t="s">
        <v>438</v>
      </c>
      <c r="F91">
        <v>60</v>
      </c>
      <c r="G91">
        <v>41</v>
      </c>
      <c r="H91">
        <v>135.54</v>
      </c>
      <c r="I91">
        <v>39.14</v>
      </c>
      <c r="J91">
        <v>129.41999999999999</v>
      </c>
      <c r="K91">
        <v>6</v>
      </c>
      <c r="T91">
        <v>4</v>
      </c>
      <c r="U91">
        <v>2</v>
      </c>
      <c r="V91" t="s">
        <v>269</v>
      </c>
      <c r="W91" t="s">
        <v>445</v>
      </c>
      <c r="X91">
        <v>5</v>
      </c>
      <c r="Y91">
        <v>5</v>
      </c>
      <c r="Z91" t="s">
        <v>439</v>
      </c>
      <c r="AA91" t="s">
        <v>440</v>
      </c>
      <c r="AB91" t="s">
        <v>272</v>
      </c>
      <c r="AC91" t="s">
        <v>273</v>
      </c>
      <c r="AD91" t="s">
        <v>274</v>
      </c>
      <c r="AE91" t="s">
        <v>424</v>
      </c>
      <c r="AG91" t="s">
        <v>441</v>
      </c>
      <c r="AH91">
        <v>0</v>
      </c>
      <c r="AI91">
        <v>0</v>
      </c>
      <c r="AJ91">
        <v>0</v>
      </c>
      <c r="AK91">
        <v>0</v>
      </c>
      <c r="AL91">
        <v>0</v>
      </c>
    </row>
    <row r="92" spans="1:38" x14ac:dyDescent="0.3">
      <c r="A92" t="s">
        <v>419</v>
      </c>
      <c r="B92">
        <v>118234</v>
      </c>
      <c r="C92">
        <v>8</v>
      </c>
      <c r="D92" t="s">
        <v>437</v>
      </c>
      <c r="E92" t="s">
        <v>438</v>
      </c>
      <c r="F92">
        <v>60</v>
      </c>
      <c r="G92">
        <v>41</v>
      </c>
      <c r="H92">
        <v>135.54</v>
      </c>
      <c r="I92">
        <v>39.14</v>
      </c>
      <c r="J92">
        <v>129.41999999999999</v>
      </c>
      <c r="K92">
        <v>4</v>
      </c>
      <c r="T92">
        <v>4</v>
      </c>
      <c r="U92">
        <v>2</v>
      </c>
      <c r="V92" t="s">
        <v>269</v>
      </c>
      <c r="W92" t="s">
        <v>446</v>
      </c>
      <c r="X92">
        <v>5</v>
      </c>
      <c r="Y92">
        <v>5</v>
      </c>
      <c r="Z92" t="s">
        <v>439</v>
      </c>
      <c r="AA92" t="s">
        <v>440</v>
      </c>
      <c r="AB92" t="s">
        <v>272</v>
      </c>
      <c r="AC92" t="s">
        <v>273</v>
      </c>
      <c r="AD92" t="s">
        <v>274</v>
      </c>
      <c r="AE92" t="s">
        <v>424</v>
      </c>
      <c r="AG92" t="s">
        <v>441</v>
      </c>
      <c r="AH92">
        <v>0</v>
      </c>
      <c r="AI92">
        <v>0</v>
      </c>
      <c r="AJ92">
        <v>0</v>
      </c>
      <c r="AK92">
        <v>0</v>
      </c>
      <c r="AL92">
        <v>0</v>
      </c>
    </row>
    <row r="93" spans="1:38" x14ac:dyDescent="0.3">
      <c r="A93" t="s">
        <v>419</v>
      </c>
      <c r="B93">
        <v>128100</v>
      </c>
      <c r="C93">
        <v>1</v>
      </c>
      <c r="D93" t="s">
        <v>447</v>
      </c>
      <c r="E93" t="s">
        <v>448</v>
      </c>
      <c r="F93">
        <v>276</v>
      </c>
      <c r="G93">
        <v>20.12</v>
      </c>
      <c r="H93">
        <v>66.53</v>
      </c>
      <c r="I93">
        <v>15.06</v>
      </c>
      <c r="J93">
        <v>49.8</v>
      </c>
      <c r="K93">
        <v>64</v>
      </c>
      <c r="T93">
        <v>3</v>
      </c>
      <c r="U93">
        <v>1</v>
      </c>
      <c r="V93" t="s">
        <v>269</v>
      </c>
      <c r="W93">
        <v>66</v>
      </c>
      <c r="X93">
        <v>15</v>
      </c>
      <c r="Y93">
        <v>5</v>
      </c>
      <c r="Z93" t="s">
        <v>449</v>
      </c>
      <c r="AA93" t="s">
        <v>450</v>
      </c>
      <c r="AB93" t="s">
        <v>272</v>
      </c>
      <c r="AC93" t="s">
        <v>273</v>
      </c>
      <c r="AD93" t="s">
        <v>274</v>
      </c>
      <c r="AE93" t="s">
        <v>424</v>
      </c>
      <c r="AG93" t="s">
        <v>451</v>
      </c>
      <c r="AH93">
        <v>0</v>
      </c>
      <c r="AI93">
        <v>293</v>
      </c>
      <c r="AJ93">
        <v>22</v>
      </c>
      <c r="AK93">
        <v>124</v>
      </c>
      <c r="AL93">
        <v>0.45</v>
      </c>
    </row>
    <row r="94" spans="1:38" x14ac:dyDescent="0.3">
      <c r="A94" t="s">
        <v>419</v>
      </c>
      <c r="B94">
        <v>128100</v>
      </c>
      <c r="C94">
        <v>2</v>
      </c>
      <c r="D94" t="s">
        <v>447</v>
      </c>
      <c r="E94" t="s">
        <v>448</v>
      </c>
      <c r="F94">
        <v>276</v>
      </c>
      <c r="G94">
        <v>21.95</v>
      </c>
      <c r="H94">
        <v>72.58</v>
      </c>
      <c r="I94">
        <v>16.420000000000002</v>
      </c>
      <c r="J94">
        <v>54.3</v>
      </c>
      <c r="K94">
        <v>61</v>
      </c>
      <c r="T94">
        <v>3</v>
      </c>
      <c r="U94">
        <v>1</v>
      </c>
      <c r="V94" t="s">
        <v>269</v>
      </c>
      <c r="W94">
        <v>72</v>
      </c>
      <c r="X94">
        <v>15</v>
      </c>
      <c r="Y94">
        <v>5</v>
      </c>
      <c r="Z94" t="s">
        <v>449</v>
      </c>
      <c r="AA94" t="s">
        <v>450</v>
      </c>
      <c r="AB94" t="s">
        <v>272</v>
      </c>
      <c r="AC94" t="s">
        <v>273</v>
      </c>
      <c r="AD94" t="s">
        <v>274</v>
      </c>
      <c r="AE94" t="s">
        <v>424</v>
      </c>
      <c r="AG94" t="s">
        <v>451</v>
      </c>
      <c r="AH94">
        <v>0</v>
      </c>
      <c r="AI94">
        <v>293</v>
      </c>
      <c r="AJ94">
        <v>22</v>
      </c>
      <c r="AK94">
        <v>124</v>
      </c>
      <c r="AL94">
        <v>0.45</v>
      </c>
    </row>
    <row r="95" spans="1:38" x14ac:dyDescent="0.3">
      <c r="A95" t="s">
        <v>419</v>
      </c>
      <c r="B95">
        <v>128100</v>
      </c>
      <c r="C95">
        <v>3</v>
      </c>
      <c r="D95" t="s">
        <v>447</v>
      </c>
      <c r="E95" t="s">
        <v>448</v>
      </c>
      <c r="F95">
        <v>276</v>
      </c>
      <c r="G95">
        <v>23.98</v>
      </c>
      <c r="H95">
        <v>79.3</v>
      </c>
      <c r="I95">
        <v>17.829999999999998</v>
      </c>
      <c r="J95">
        <v>58.95</v>
      </c>
      <c r="K95">
        <v>54</v>
      </c>
      <c r="T95">
        <v>3</v>
      </c>
      <c r="U95">
        <v>1</v>
      </c>
      <c r="V95" t="s">
        <v>269</v>
      </c>
      <c r="W95" t="s">
        <v>80</v>
      </c>
      <c r="X95">
        <v>15</v>
      </c>
      <c r="Y95">
        <v>5</v>
      </c>
      <c r="Z95" t="s">
        <v>449</v>
      </c>
      <c r="AA95" t="s">
        <v>450</v>
      </c>
      <c r="AB95" t="s">
        <v>272</v>
      </c>
      <c r="AC95" t="s">
        <v>273</v>
      </c>
      <c r="AD95" t="s">
        <v>274</v>
      </c>
      <c r="AE95" t="s">
        <v>424</v>
      </c>
      <c r="AG95" t="s">
        <v>451</v>
      </c>
      <c r="AH95">
        <v>0</v>
      </c>
      <c r="AI95">
        <v>293</v>
      </c>
      <c r="AJ95">
        <v>22</v>
      </c>
      <c r="AK95">
        <v>124</v>
      </c>
      <c r="AL95">
        <v>0.45</v>
      </c>
    </row>
    <row r="96" spans="1:38" x14ac:dyDescent="0.3">
      <c r="A96" t="s">
        <v>419</v>
      </c>
      <c r="B96">
        <v>128100</v>
      </c>
      <c r="C96">
        <v>4</v>
      </c>
      <c r="D96" t="s">
        <v>447</v>
      </c>
      <c r="E96" t="s">
        <v>448</v>
      </c>
      <c r="F96">
        <v>276</v>
      </c>
      <c r="G96">
        <v>24.41</v>
      </c>
      <c r="H96">
        <v>80.709999999999994</v>
      </c>
      <c r="I96">
        <v>18.149999999999999</v>
      </c>
      <c r="J96">
        <v>60</v>
      </c>
      <c r="K96">
        <v>97</v>
      </c>
      <c r="T96">
        <v>3</v>
      </c>
      <c r="U96">
        <v>1</v>
      </c>
      <c r="V96" t="s">
        <v>269</v>
      </c>
      <c r="W96" t="s">
        <v>81</v>
      </c>
      <c r="X96">
        <v>15</v>
      </c>
      <c r="Y96">
        <v>5</v>
      </c>
      <c r="Z96" t="s">
        <v>449</v>
      </c>
      <c r="AA96" t="s">
        <v>450</v>
      </c>
      <c r="AB96" t="s">
        <v>272</v>
      </c>
      <c r="AC96" t="s">
        <v>273</v>
      </c>
      <c r="AD96" t="s">
        <v>274</v>
      </c>
      <c r="AE96" t="s">
        <v>424</v>
      </c>
      <c r="AG96" t="s">
        <v>451</v>
      </c>
      <c r="AH96">
        <v>0</v>
      </c>
      <c r="AI96">
        <v>293</v>
      </c>
      <c r="AJ96">
        <v>22</v>
      </c>
      <c r="AK96">
        <v>124</v>
      </c>
      <c r="AL96">
        <v>0.45</v>
      </c>
    </row>
    <row r="97" spans="1:38" x14ac:dyDescent="0.3">
      <c r="A97" t="s">
        <v>419</v>
      </c>
      <c r="B97">
        <v>116760</v>
      </c>
      <c r="C97">
        <v>1</v>
      </c>
      <c r="D97" t="s">
        <v>452</v>
      </c>
      <c r="E97" t="s">
        <v>453</v>
      </c>
      <c r="F97">
        <v>52</v>
      </c>
      <c r="G97">
        <v>20.010000000000002</v>
      </c>
      <c r="H97">
        <v>66.150000000000006</v>
      </c>
      <c r="I97">
        <v>20.010000000000002</v>
      </c>
      <c r="J97">
        <v>66.150000000000006</v>
      </c>
      <c r="K97">
        <v>16</v>
      </c>
      <c r="T97">
        <v>2</v>
      </c>
      <c r="U97">
        <v>1</v>
      </c>
      <c r="V97" t="s">
        <v>269</v>
      </c>
      <c r="W97">
        <v>66</v>
      </c>
      <c r="X97">
        <v>5</v>
      </c>
      <c r="Y97">
        <v>4</v>
      </c>
      <c r="Z97" t="s">
        <v>454</v>
      </c>
      <c r="AA97" t="s">
        <v>455</v>
      </c>
      <c r="AB97" t="s">
        <v>272</v>
      </c>
      <c r="AC97" t="s">
        <v>273</v>
      </c>
      <c r="AD97" t="s">
        <v>274</v>
      </c>
      <c r="AE97" t="s">
        <v>424</v>
      </c>
      <c r="AG97" t="s">
        <v>456</v>
      </c>
      <c r="AH97">
        <v>0</v>
      </c>
      <c r="AI97">
        <v>0</v>
      </c>
      <c r="AJ97">
        <v>0</v>
      </c>
      <c r="AK97">
        <v>0</v>
      </c>
      <c r="AL97">
        <v>0</v>
      </c>
    </row>
    <row r="98" spans="1:38" x14ac:dyDescent="0.3">
      <c r="A98" t="s">
        <v>419</v>
      </c>
      <c r="B98">
        <v>116760</v>
      </c>
      <c r="C98">
        <v>2</v>
      </c>
      <c r="D98" t="s">
        <v>452</v>
      </c>
      <c r="E98" t="s">
        <v>453</v>
      </c>
      <c r="F98">
        <v>52</v>
      </c>
      <c r="G98">
        <v>24.77</v>
      </c>
      <c r="H98">
        <v>81.900000000000006</v>
      </c>
      <c r="I98">
        <v>24.77</v>
      </c>
      <c r="J98">
        <v>81.900000000000006</v>
      </c>
      <c r="K98">
        <v>16</v>
      </c>
      <c r="T98">
        <v>2</v>
      </c>
      <c r="U98">
        <v>1</v>
      </c>
      <c r="V98" t="s">
        <v>269</v>
      </c>
      <c r="W98">
        <v>81</v>
      </c>
      <c r="X98">
        <v>5</v>
      </c>
      <c r="Y98">
        <v>4</v>
      </c>
      <c r="Z98" t="s">
        <v>454</v>
      </c>
      <c r="AA98" t="s">
        <v>455</v>
      </c>
      <c r="AB98" t="s">
        <v>272</v>
      </c>
      <c r="AC98" t="s">
        <v>273</v>
      </c>
      <c r="AD98" t="s">
        <v>274</v>
      </c>
      <c r="AE98" t="s">
        <v>424</v>
      </c>
      <c r="AG98" t="s">
        <v>456</v>
      </c>
      <c r="AH98">
        <v>0</v>
      </c>
      <c r="AI98">
        <v>0</v>
      </c>
      <c r="AJ98">
        <v>0</v>
      </c>
      <c r="AK98">
        <v>0</v>
      </c>
      <c r="AL98">
        <v>0</v>
      </c>
    </row>
    <row r="99" spans="1:38" x14ac:dyDescent="0.3">
      <c r="A99" t="s">
        <v>419</v>
      </c>
      <c r="B99">
        <v>116760</v>
      </c>
      <c r="C99">
        <v>3</v>
      </c>
      <c r="D99" t="s">
        <v>452</v>
      </c>
      <c r="E99" t="s">
        <v>453</v>
      </c>
      <c r="F99">
        <v>52</v>
      </c>
      <c r="G99">
        <v>29.83</v>
      </c>
      <c r="H99">
        <v>98.62</v>
      </c>
      <c r="I99">
        <v>24.44</v>
      </c>
      <c r="J99">
        <v>80.819999999999993</v>
      </c>
      <c r="K99">
        <v>6</v>
      </c>
      <c r="T99">
        <v>3</v>
      </c>
      <c r="U99">
        <v>1</v>
      </c>
      <c r="V99" t="s">
        <v>269</v>
      </c>
      <c r="W99" t="s">
        <v>194</v>
      </c>
      <c r="X99">
        <v>5</v>
      </c>
      <c r="Y99">
        <v>4</v>
      </c>
      <c r="Z99" t="s">
        <v>454</v>
      </c>
      <c r="AA99" t="s">
        <v>455</v>
      </c>
      <c r="AB99" t="s">
        <v>272</v>
      </c>
      <c r="AC99" t="s">
        <v>273</v>
      </c>
      <c r="AD99" t="s">
        <v>274</v>
      </c>
      <c r="AE99" t="s">
        <v>424</v>
      </c>
      <c r="AG99" t="s">
        <v>456</v>
      </c>
      <c r="AH99">
        <v>0</v>
      </c>
      <c r="AI99">
        <v>0</v>
      </c>
      <c r="AJ99">
        <v>0</v>
      </c>
      <c r="AK99">
        <v>0</v>
      </c>
      <c r="AL99">
        <v>0</v>
      </c>
    </row>
    <row r="100" spans="1:38" x14ac:dyDescent="0.3">
      <c r="A100" t="s">
        <v>419</v>
      </c>
      <c r="B100">
        <v>116760</v>
      </c>
      <c r="C100">
        <v>4</v>
      </c>
      <c r="D100" t="s">
        <v>452</v>
      </c>
      <c r="E100" t="s">
        <v>453</v>
      </c>
      <c r="F100">
        <v>52</v>
      </c>
      <c r="G100">
        <v>29.83</v>
      </c>
      <c r="H100">
        <v>98.63</v>
      </c>
      <c r="I100">
        <v>24.44</v>
      </c>
      <c r="J100">
        <v>80.819999999999993</v>
      </c>
      <c r="K100">
        <v>4</v>
      </c>
      <c r="T100">
        <v>3</v>
      </c>
      <c r="U100">
        <v>1</v>
      </c>
      <c r="V100" t="s">
        <v>269</v>
      </c>
      <c r="W100" t="s">
        <v>113</v>
      </c>
      <c r="X100">
        <v>5</v>
      </c>
      <c r="Y100">
        <v>4</v>
      </c>
      <c r="Z100" t="s">
        <v>454</v>
      </c>
      <c r="AA100" t="s">
        <v>455</v>
      </c>
      <c r="AB100" t="s">
        <v>272</v>
      </c>
      <c r="AC100" t="s">
        <v>273</v>
      </c>
      <c r="AD100" t="s">
        <v>274</v>
      </c>
      <c r="AE100" t="s">
        <v>424</v>
      </c>
      <c r="AG100" t="s">
        <v>456</v>
      </c>
      <c r="AH100">
        <v>0</v>
      </c>
      <c r="AI100">
        <v>0</v>
      </c>
      <c r="AJ100">
        <v>0</v>
      </c>
      <c r="AK100">
        <v>0</v>
      </c>
      <c r="AL100">
        <v>0</v>
      </c>
    </row>
    <row r="101" spans="1:38" x14ac:dyDescent="0.3">
      <c r="A101" t="s">
        <v>419</v>
      </c>
      <c r="B101">
        <v>116760</v>
      </c>
      <c r="C101">
        <v>5</v>
      </c>
      <c r="D101" t="s">
        <v>452</v>
      </c>
      <c r="E101" t="s">
        <v>453</v>
      </c>
      <c r="F101">
        <v>52</v>
      </c>
      <c r="G101">
        <v>30.97</v>
      </c>
      <c r="H101">
        <v>102.4</v>
      </c>
      <c r="I101">
        <v>25.45</v>
      </c>
      <c r="J101">
        <v>84.15</v>
      </c>
      <c r="K101">
        <v>7</v>
      </c>
      <c r="T101">
        <v>3</v>
      </c>
      <c r="U101">
        <v>1</v>
      </c>
      <c r="V101" t="s">
        <v>269</v>
      </c>
      <c r="W101" t="s">
        <v>135</v>
      </c>
      <c r="X101">
        <v>5</v>
      </c>
      <c r="Y101">
        <v>4</v>
      </c>
      <c r="Z101" t="s">
        <v>454</v>
      </c>
      <c r="AA101" t="s">
        <v>455</v>
      </c>
      <c r="AB101" t="s">
        <v>272</v>
      </c>
      <c r="AC101" t="s">
        <v>273</v>
      </c>
      <c r="AD101" t="s">
        <v>274</v>
      </c>
      <c r="AE101" t="s">
        <v>424</v>
      </c>
      <c r="AG101" t="s">
        <v>456</v>
      </c>
      <c r="AH101">
        <v>0</v>
      </c>
      <c r="AI101">
        <v>0</v>
      </c>
      <c r="AJ101">
        <v>0</v>
      </c>
      <c r="AK101">
        <v>0</v>
      </c>
      <c r="AL101">
        <v>0</v>
      </c>
    </row>
    <row r="102" spans="1:38" x14ac:dyDescent="0.3">
      <c r="A102" t="s">
        <v>419</v>
      </c>
      <c r="B102">
        <v>116760</v>
      </c>
      <c r="C102">
        <v>6</v>
      </c>
      <c r="D102" t="s">
        <v>452</v>
      </c>
      <c r="E102" t="s">
        <v>453</v>
      </c>
      <c r="F102">
        <v>52</v>
      </c>
      <c r="G102">
        <v>30.91</v>
      </c>
      <c r="H102">
        <v>102.2</v>
      </c>
      <c r="I102">
        <v>25.45</v>
      </c>
      <c r="J102">
        <v>84.15</v>
      </c>
      <c r="K102">
        <v>1</v>
      </c>
      <c r="T102">
        <v>3</v>
      </c>
      <c r="U102">
        <v>1</v>
      </c>
      <c r="V102" t="s">
        <v>269</v>
      </c>
      <c r="W102" t="s">
        <v>136</v>
      </c>
      <c r="X102">
        <v>5</v>
      </c>
      <c r="Y102">
        <v>4</v>
      </c>
      <c r="Z102" t="s">
        <v>454</v>
      </c>
      <c r="AA102" t="s">
        <v>455</v>
      </c>
      <c r="AB102" t="s">
        <v>272</v>
      </c>
      <c r="AC102" t="s">
        <v>273</v>
      </c>
      <c r="AD102" t="s">
        <v>274</v>
      </c>
      <c r="AE102" t="s">
        <v>424</v>
      </c>
      <c r="AG102" t="s">
        <v>456</v>
      </c>
      <c r="AH102">
        <v>0</v>
      </c>
      <c r="AI102">
        <v>0</v>
      </c>
      <c r="AJ102">
        <v>0</v>
      </c>
      <c r="AK102">
        <v>0</v>
      </c>
      <c r="AL102">
        <v>0</v>
      </c>
    </row>
    <row r="103" spans="1:38" x14ac:dyDescent="0.3">
      <c r="A103" t="s">
        <v>419</v>
      </c>
      <c r="B103">
        <v>116760</v>
      </c>
      <c r="C103">
        <v>7</v>
      </c>
      <c r="D103" t="s">
        <v>452</v>
      </c>
      <c r="E103" t="s">
        <v>453</v>
      </c>
      <c r="F103">
        <v>52</v>
      </c>
      <c r="G103">
        <v>31.27</v>
      </c>
      <c r="H103">
        <v>103.4</v>
      </c>
      <c r="I103">
        <v>25.45</v>
      </c>
      <c r="J103">
        <v>84.15</v>
      </c>
      <c r="K103">
        <v>2</v>
      </c>
      <c r="T103">
        <v>3</v>
      </c>
      <c r="U103">
        <v>1</v>
      </c>
      <c r="V103" t="s">
        <v>269</v>
      </c>
      <c r="W103" t="s">
        <v>457</v>
      </c>
      <c r="X103">
        <v>5</v>
      </c>
      <c r="Y103">
        <v>4</v>
      </c>
      <c r="Z103" t="s">
        <v>454</v>
      </c>
      <c r="AA103" t="s">
        <v>455</v>
      </c>
      <c r="AB103" t="s">
        <v>272</v>
      </c>
      <c r="AC103" t="s">
        <v>273</v>
      </c>
      <c r="AD103" t="s">
        <v>274</v>
      </c>
      <c r="AE103" t="s">
        <v>424</v>
      </c>
      <c r="AG103" t="s">
        <v>456</v>
      </c>
      <c r="AH103">
        <v>0</v>
      </c>
      <c r="AI103">
        <v>0</v>
      </c>
      <c r="AJ103">
        <v>0</v>
      </c>
      <c r="AK103">
        <v>0</v>
      </c>
      <c r="AL103">
        <v>0</v>
      </c>
    </row>
    <row r="104" spans="1:38" x14ac:dyDescent="0.3">
      <c r="A104" t="s">
        <v>419</v>
      </c>
      <c r="B104">
        <v>5287</v>
      </c>
      <c r="C104">
        <v>1</v>
      </c>
      <c r="D104" t="s">
        <v>458</v>
      </c>
      <c r="E104" t="s">
        <v>459</v>
      </c>
      <c r="F104">
        <v>102</v>
      </c>
      <c r="G104">
        <v>26.95</v>
      </c>
      <c r="H104">
        <v>89.1</v>
      </c>
      <c r="I104">
        <v>22.78</v>
      </c>
      <c r="J104">
        <v>75.31</v>
      </c>
      <c r="K104">
        <v>50</v>
      </c>
      <c r="T104">
        <v>3</v>
      </c>
      <c r="U104">
        <v>1</v>
      </c>
      <c r="V104" t="s">
        <v>269</v>
      </c>
      <c r="W104">
        <v>89</v>
      </c>
      <c r="X104">
        <v>5</v>
      </c>
      <c r="Y104">
        <v>3</v>
      </c>
      <c r="Z104" t="s">
        <v>460</v>
      </c>
      <c r="AA104" t="s">
        <v>461</v>
      </c>
      <c r="AB104" t="s">
        <v>272</v>
      </c>
      <c r="AC104" t="s">
        <v>273</v>
      </c>
      <c r="AD104" t="s">
        <v>274</v>
      </c>
      <c r="AE104" t="s">
        <v>424</v>
      </c>
      <c r="AG104" t="s">
        <v>462</v>
      </c>
      <c r="AH104">
        <v>0</v>
      </c>
      <c r="AI104">
        <v>0</v>
      </c>
      <c r="AJ104">
        <v>0</v>
      </c>
      <c r="AK104">
        <v>0</v>
      </c>
      <c r="AL104">
        <v>0</v>
      </c>
    </row>
    <row r="105" spans="1:38" x14ac:dyDescent="0.3">
      <c r="A105" t="s">
        <v>419</v>
      </c>
      <c r="B105">
        <v>5287</v>
      </c>
      <c r="C105">
        <v>2</v>
      </c>
      <c r="D105" t="s">
        <v>458</v>
      </c>
      <c r="E105" t="s">
        <v>459</v>
      </c>
      <c r="F105">
        <v>102</v>
      </c>
      <c r="G105">
        <v>29.07</v>
      </c>
      <c r="H105">
        <v>96.12</v>
      </c>
      <c r="I105">
        <v>24.72</v>
      </c>
      <c r="J105">
        <v>81.73</v>
      </c>
      <c r="K105">
        <v>40</v>
      </c>
      <c r="T105">
        <v>3</v>
      </c>
      <c r="U105">
        <v>1</v>
      </c>
      <c r="V105" t="s">
        <v>269</v>
      </c>
      <c r="W105" t="s">
        <v>463</v>
      </c>
      <c r="X105">
        <v>5</v>
      </c>
      <c r="Y105">
        <v>3</v>
      </c>
      <c r="Z105" t="s">
        <v>460</v>
      </c>
      <c r="AA105" t="s">
        <v>461</v>
      </c>
      <c r="AB105" t="s">
        <v>272</v>
      </c>
      <c r="AC105" t="s">
        <v>273</v>
      </c>
      <c r="AD105" t="s">
        <v>274</v>
      </c>
      <c r="AE105" t="s">
        <v>424</v>
      </c>
      <c r="AG105" t="s">
        <v>462</v>
      </c>
      <c r="AH105">
        <v>0</v>
      </c>
      <c r="AI105">
        <v>0</v>
      </c>
      <c r="AJ105">
        <v>0</v>
      </c>
      <c r="AK105">
        <v>0</v>
      </c>
      <c r="AL105">
        <v>0</v>
      </c>
    </row>
    <row r="106" spans="1:38" x14ac:dyDescent="0.3">
      <c r="A106" t="s">
        <v>419</v>
      </c>
      <c r="B106">
        <v>5287</v>
      </c>
      <c r="C106">
        <v>3</v>
      </c>
      <c r="D106" t="s">
        <v>458</v>
      </c>
      <c r="E106" t="s">
        <v>459</v>
      </c>
      <c r="F106">
        <v>102</v>
      </c>
      <c r="G106">
        <v>29.43</v>
      </c>
      <c r="H106">
        <v>97.32</v>
      </c>
      <c r="I106">
        <v>25.5</v>
      </c>
      <c r="J106">
        <v>84.33</v>
      </c>
      <c r="K106">
        <v>12</v>
      </c>
      <c r="T106">
        <v>3</v>
      </c>
      <c r="U106">
        <v>1</v>
      </c>
      <c r="V106" t="s">
        <v>269</v>
      </c>
      <c r="W106" t="s">
        <v>464</v>
      </c>
      <c r="X106">
        <v>5</v>
      </c>
      <c r="Y106">
        <v>3</v>
      </c>
      <c r="Z106" t="s">
        <v>460</v>
      </c>
      <c r="AA106" t="s">
        <v>461</v>
      </c>
      <c r="AB106" t="s">
        <v>272</v>
      </c>
      <c r="AC106" t="s">
        <v>273</v>
      </c>
      <c r="AD106" t="s">
        <v>274</v>
      </c>
      <c r="AE106" t="s">
        <v>424</v>
      </c>
      <c r="AG106" t="s">
        <v>462</v>
      </c>
      <c r="AH106">
        <v>0</v>
      </c>
      <c r="AI106">
        <v>0</v>
      </c>
      <c r="AJ106">
        <v>0</v>
      </c>
      <c r="AK106">
        <v>0</v>
      </c>
      <c r="AL106">
        <v>0</v>
      </c>
    </row>
    <row r="107" spans="1:38" x14ac:dyDescent="0.3">
      <c r="A107" t="s">
        <v>419</v>
      </c>
      <c r="B107">
        <v>101163</v>
      </c>
      <c r="C107">
        <v>1</v>
      </c>
      <c r="D107" t="s">
        <v>465</v>
      </c>
      <c r="E107" t="s">
        <v>466</v>
      </c>
      <c r="F107">
        <v>120</v>
      </c>
      <c r="G107">
        <v>25.19</v>
      </c>
      <c r="H107">
        <v>83.29</v>
      </c>
      <c r="I107">
        <v>22.13</v>
      </c>
      <c r="J107">
        <v>73.16</v>
      </c>
      <c r="K107">
        <v>40</v>
      </c>
      <c r="T107">
        <v>3</v>
      </c>
      <c r="U107">
        <v>1</v>
      </c>
      <c r="V107" t="s">
        <v>269</v>
      </c>
      <c r="W107">
        <v>83</v>
      </c>
      <c r="X107">
        <v>5</v>
      </c>
      <c r="Y107">
        <v>5</v>
      </c>
      <c r="Z107" t="s">
        <v>467</v>
      </c>
      <c r="AA107" t="s">
        <v>468</v>
      </c>
      <c r="AB107" t="s">
        <v>272</v>
      </c>
      <c r="AC107" t="s">
        <v>273</v>
      </c>
      <c r="AD107" t="s">
        <v>274</v>
      </c>
      <c r="AE107" t="s">
        <v>424</v>
      </c>
      <c r="AG107" t="s">
        <v>469</v>
      </c>
      <c r="AH107">
        <v>0</v>
      </c>
      <c r="AI107">
        <v>0</v>
      </c>
      <c r="AJ107">
        <v>0</v>
      </c>
      <c r="AK107">
        <v>0</v>
      </c>
      <c r="AL107">
        <v>0</v>
      </c>
    </row>
    <row r="108" spans="1:38" x14ac:dyDescent="0.3">
      <c r="A108" t="s">
        <v>419</v>
      </c>
      <c r="B108">
        <v>101163</v>
      </c>
      <c r="C108">
        <v>2</v>
      </c>
      <c r="D108" t="s">
        <v>465</v>
      </c>
      <c r="E108" t="s">
        <v>466</v>
      </c>
      <c r="F108">
        <v>120</v>
      </c>
      <c r="G108">
        <v>28.36</v>
      </c>
      <c r="H108">
        <v>93.78</v>
      </c>
      <c r="I108">
        <v>25.14</v>
      </c>
      <c r="J108">
        <v>83.13</v>
      </c>
      <c r="K108">
        <v>45</v>
      </c>
      <c r="T108">
        <v>3</v>
      </c>
      <c r="U108">
        <v>1</v>
      </c>
      <c r="V108" t="s">
        <v>269</v>
      </c>
      <c r="W108">
        <v>93</v>
      </c>
      <c r="X108">
        <v>5</v>
      </c>
      <c r="Y108">
        <v>5</v>
      </c>
      <c r="Z108" t="s">
        <v>467</v>
      </c>
      <c r="AA108" t="s">
        <v>468</v>
      </c>
      <c r="AB108" t="s">
        <v>272</v>
      </c>
      <c r="AC108" t="s">
        <v>273</v>
      </c>
      <c r="AD108" t="s">
        <v>274</v>
      </c>
      <c r="AE108" t="s">
        <v>424</v>
      </c>
      <c r="AG108" t="s">
        <v>469</v>
      </c>
      <c r="AH108">
        <v>0</v>
      </c>
      <c r="AI108">
        <v>0</v>
      </c>
      <c r="AJ108">
        <v>0</v>
      </c>
      <c r="AK108">
        <v>0</v>
      </c>
      <c r="AL108">
        <v>0</v>
      </c>
    </row>
    <row r="109" spans="1:38" x14ac:dyDescent="0.3">
      <c r="A109" t="s">
        <v>419</v>
      </c>
      <c r="B109">
        <v>101163</v>
      </c>
      <c r="C109">
        <v>3</v>
      </c>
      <c r="D109" t="s">
        <v>465</v>
      </c>
      <c r="E109" t="s">
        <v>466</v>
      </c>
      <c r="F109">
        <v>120</v>
      </c>
      <c r="G109">
        <v>28.88</v>
      </c>
      <c r="H109">
        <v>95.48</v>
      </c>
      <c r="I109">
        <v>25.15</v>
      </c>
      <c r="J109">
        <v>83.16</v>
      </c>
      <c r="K109">
        <v>5</v>
      </c>
      <c r="T109">
        <v>3</v>
      </c>
      <c r="U109">
        <v>1</v>
      </c>
      <c r="V109" t="s">
        <v>269</v>
      </c>
      <c r="W109" t="s">
        <v>470</v>
      </c>
      <c r="X109">
        <v>5</v>
      </c>
      <c r="Y109">
        <v>5</v>
      </c>
      <c r="Z109" t="s">
        <v>467</v>
      </c>
      <c r="AA109" t="s">
        <v>468</v>
      </c>
      <c r="AB109" t="s">
        <v>272</v>
      </c>
      <c r="AC109" t="s">
        <v>273</v>
      </c>
      <c r="AD109" t="s">
        <v>274</v>
      </c>
      <c r="AE109" t="s">
        <v>424</v>
      </c>
      <c r="AG109" t="s">
        <v>469</v>
      </c>
      <c r="AH109">
        <v>0</v>
      </c>
      <c r="AI109">
        <v>0</v>
      </c>
      <c r="AJ109">
        <v>0</v>
      </c>
      <c r="AK109">
        <v>0</v>
      </c>
      <c r="AL109">
        <v>0</v>
      </c>
    </row>
    <row r="110" spans="1:38" x14ac:dyDescent="0.3">
      <c r="A110" t="s">
        <v>419</v>
      </c>
      <c r="B110">
        <v>101163</v>
      </c>
      <c r="C110">
        <v>4</v>
      </c>
      <c r="D110" t="s">
        <v>465</v>
      </c>
      <c r="E110" t="s">
        <v>466</v>
      </c>
      <c r="F110">
        <v>120</v>
      </c>
      <c r="G110">
        <v>28.95</v>
      </c>
      <c r="H110">
        <v>95.73</v>
      </c>
      <c r="I110">
        <v>25.7</v>
      </c>
      <c r="J110">
        <v>84.96</v>
      </c>
      <c r="K110">
        <v>5</v>
      </c>
      <c r="T110">
        <v>3</v>
      </c>
      <c r="U110">
        <v>1</v>
      </c>
      <c r="V110" t="s">
        <v>269</v>
      </c>
      <c r="W110" t="s">
        <v>471</v>
      </c>
      <c r="X110">
        <v>5</v>
      </c>
      <c r="Y110">
        <v>5</v>
      </c>
      <c r="Z110" t="s">
        <v>467</v>
      </c>
      <c r="AA110" t="s">
        <v>468</v>
      </c>
      <c r="AB110" t="s">
        <v>272</v>
      </c>
      <c r="AC110" t="s">
        <v>273</v>
      </c>
      <c r="AD110" t="s">
        <v>274</v>
      </c>
      <c r="AE110" t="s">
        <v>424</v>
      </c>
      <c r="AG110" t="s">
        <v>469</v>
      </c>
      <c r="AH110">
        <v>0</v>
      </c>
      <c r="AI110">
        <v>0</v>
      </c>
      <c r="AJ110">
        <v>0</v>
      </c>
      <c r="AK110">
        <v>0</v>
      </c>
      <c r="AL110">
        <v>0</v>
      </c>
    </row>
    <row r="111" spans="1:38" x14ac:dyDescent="0.3">
      <c r="A111" t="s">
        <v>419</v>
      </c>
      <c r="B111">
        <v>101163</v>
      </c>
      <c r="C111">
        <v>5</v>
      </c>
      <c r="D111" t="s">
        <v>465</v>
      </c>
      <c r="E111" t="s">
        <v>466</v>
      </c>
      <c r="F111">
        <v>120</v>
      </c>
      <c r="G111">
        <v>29.31</v>
      </c>
      <c r="H111">
        <v>96.9</v>
      </c>
      <c r="I111">
        <v>25.57</v>
      </c>
      <c r="J111">
        <v>84.54</v>
      </c>
      <c r="K111">
        <v>5</v>
      </c>
      <c r="T111">
        <v>3</v>
      </c>
      <c r="U111">
        <v>1</v>
      </c>
      <c r="V111" t="s">
        <v>269</v>
      </c>
      <c r="W111" t="s">
        <v>472</v>
      </c>
      <c r="X111">
        <v>5</v>
      </c>
      <c r="Y111">
        <v>5</v>
      </c>
      <c r="Z111" t="s">
        <v>467</v>
      </c>
      <c r="AA111" t="s">
        <v>468</v>
      </c>
      <c r="AB111" t="s">
        <v>272</v>
      </c>
      <c r="AC111" t="s">
        <v>273</v>
      </c>
      <c r="AD111" t="s">
        <v>274</v>
      </c>
      <c r="AE111" t="s">
        <v>424</v>
      </c>
      <c r="AG111" t="s">
        <v>469</v>
      </c>
      <c r="AH111">
        <v>0</v>
      </c>
      <c r="AI111">
        <v>0</v>
      </c>
      <c r="AJ111">
        <v>0</v>
      </c>
      <c r="AK111">
        <v>0</v>
      </c>
      <c r="AL111">
        <v>0</v>
      </c>
    </row>
    <row r="112" spans="1:38" x14ac:dyDescent="0.3">
      <c r="A112" t="s">
        <v>419</v>
      </c>
      <c r="B112">
        <v>101163</v>
      </c>
      <c r="C112">
        <v>6</v>
      </c>
      <c r="D112" t="s">
        <v>465</v>
      </c>
      <c r="E112" t="s">
        <v>466</v>
      </c>
      <c r="F112">
        <v>120</v>
      </c>
      <c r="G112">
        <v>33.61</v>
      </c>
      <c r="H112">
        <v>111.14</v>
      </c>
      <c r="I112">
        <v>30.13</v>
      </c>
      <c r="J112">
        <v>99.61</v>
      </c>
      <c r="K112">
        <v>20</v>
      </c>
      <c r="T112">
        <v>4</v>
      </c>
      <c r="U112">
        <v>2</v>
      </c>
      <c r="V112" t="s">
        <v>269</v>
      </c>
      <c r="W112">
        <v>111</v>
      </c>
      <c r="X112">
        <v>5</v>
      </c>
      <c r="Y112">
        <v>5</v>
      </c>
      <c r="Z112" t="s">
        <v>467</v>
      </c>
      <c r="AA112" t="s">
        <v>468</v>
      </c>
      <c r="AB112" t="s">
        <v>272</v>
      </c>
      <c r="AC112" t="s">
        <v>273</v>
      </c>
      <c r="AD112" t="s">
        <v>274</v>
      </c>
      <c r="AE112" t="s">
        <v>424</v>
      </c>
      <c r="AG112" t="s">
        <v>469</v>
      </c>
      <c r="AH112">
        <v>0</v>
      </c>
      <c r="AI112">
        <v>0</v>
      </c>
      <c r="AJ112">
        <v>0</v>
      </c>
      <c r="AK112">
        <v>0</v>
      </c>
      <c r="AL112">
        <v>0</v>
      </c>
    </row>
    <row r="113" spans="1:38" x14ac:dyDescent="0.3">
      <c r="A113" t="s">
        <v>473</v>
      </c>
      <c r="B113">
        <v>101338</v>
      </c>
      <c r="C113">
        <v>1</v>
      </c>
      <c r="D113" t="s">
        <v>474</v>
      </c>
      <c r="E113" t="s">
        <v>475</v>
      </c>
      <c r="F113">
        <v>601</v>
      </c>
      <c r="G113">
        <v>24.13</v>
      </c>
      <c r="H113">
        <v>79.8</v>
      </c>
      <c r="I113">
        <v>18.13</v>
      </c>
      <c r="J113">
        <v>59.95</v>
      </c>
      <c r="K113">
        <v>94</v>
      </c>
      <c r="T113">
        <v>2</v>
      </c>
      <c r="U113">
        <v>2</v>
      </c>
      <c r="V113" t="s">
        <v>269</v>
      </c>
      <c r="W113" t="s">
        <v>84</v>
      </c>
      <c r="X113">
        <v>12</v>
      </c>
      <c r="Y113">
        <v>9</v>
      </c>
      <c r="Z113" t="s">
        <v>476</v>
      </c>
      <c r="AA113" t="s">
        <v>477</v>
      </c>
      <c r="AB113" t="s">
        <v>272</v>
      </c>
      <c r="AC113" t="s">
        <v>273</v>
      </c>
      <c r="AD113" t="s">
        <v>274</v>
      </c>
      <c r="AE113" t="s">
        <v>478</v>
      </c>
      <c r="AG113" t="s">
        <v>479</v>
      </c>
      <c r="AH113">
        <v>0</v>
      </c>
      <c r="AI113">
        <v>193</v>
      </c>
      <c r="AJ113">
        <v>27</v>
      </c>
      <c r="AK113">
        <v>608</v>
      </c>
      <c r="AL113">
        <v>1.01</v>
      </c>
    </row>
    <row r="114" spans="1:38" x14ac:dyDescent="0.3">
      <c r="A114" t="s">
        <v>473</v>
      </c>
      <c r="B114">
        <v>101338</v>
      </c>
      <c r="C114">
        <v>2</v>
      </c>
      <c r="D114" t="s">
        <v>474</v>
      </c>
      <c r="E114" t="s">
        <v>475</v>
      </c>
      <c r="F114">
        <v>601</v>
      </c>
      <c r="G114">
        <v>24.36</v>
      </c>
      <c r="H114">
        <v>80.55</v>
      </c>
      <c r="I114">
        <v>18.14</v>
      </c>
      <c r="J114">
        <v>59.97</v>
      </c>
      <c r="K114">
        <v>275</v>
      </c>
      <c r="T114">
        <v>3</v>
      </c>
      <c r="U114">
        <v>2</v>
      </c>
      <c r="V114" t="s">
        <v>269</v>
      </c>
      <c r="W114" t="s">
        <v>85</v>
      </c>
      <c r="X114">
        <v>12</v>
      </c>
      <c r="Y114">
        <v>9</v>
      </c>
      <c r="Z114" t="s">
        <v>476</v>
      </c>
      <c r="AA114" t="s">
        <v>477</v>
      </c>
      <c r="AB114" t="s">
        <v>272</v>
      </c>
      <c r="AC114" t="s">
        <v>273</v>
      </c>
      <c r="AD114" t="s">
        <v>274</v>
      </c>
      <c r="AE114" t="s">
        <v>478</v>
      </c>
      <c r="AG114" t="s">
        <v>479</v>
      </c>
      <c r="AH114">
        <v>0</v>
      </c>
      <c r="AI114">
        <v>193</v>
      </c>
      <c r="AJ114">
        <v>27</v>
      </c>
      <c r="AK114">
        <v>608</v>
      </c>
      <c r="AL114">
        <v>1.01</v>
      </c>
    </row>
    <row r="115" spans="1:38" x14ac:dyDescent="0.3">
      <c r="A115" t="s">
        <v>473</v>
      </c>
      <c r="B115">
        <v>101338</v>
      </c>
      <c r="C115">
        <v>3</v>
      </c>
      <c r="D115" t="s">
        <v>474</v>
      </c>
      <c r="E115" t="s">
        <v>475</v>
      </c>
      <c r="F115">
        <v>601</v>
      </c>
      <c r="G115">
        <v>24.59</v>
      </c>
      <c r="H115">
        <v>81.319999999999993</v>
      </c>
      <c r="I115">
        <v>18.14</v>
      </c>
      <c r="J115">
        <v>59.97</v>
      </c>
      <c r="K115">
        <v>232</v>
      </c>
      <c r="T115">
        <v>3</v>
      </c>
      <c r="U115">
        <v>2</v>
      </c>
      <c r="V115" t="s">
        <v>269</v>
      </c>
      <c r="W115">
        <v>81</v>
      </c>
      <c r="X115">
        <v>12</v>
      </c>
      <c r="Y115">
        <v>9</v>
      </c>
      <c r="Z115" t="s">
        <v>476</v>
      </c>
      <c r="AA115" t="s">
        <v>477</v>
      </c>
      <c r="AB115" t="s">
        <v>272</v>
      </c>
      <c r="AC115" t="s">
        <v>273</v>
      </c>
      <c r="AD115" t="s">
        <v>274</v>
      </c>
      <c r="AE115" t="s">
        <v>478</v>
      </c>
      <c r="AG115" t="s">
        <v>479</v>
      </c>
      <c r="AH115">
        <v>0</v>
      </c>
      <c r="AI115">
        <v>193</v>
      </c>
      <c r="AJ115">
        <v>27</v>
      </c>
      <c r="AK115">
        <v>608</v>
      </c>
      <c r="AL115">
        <v>1.01</v>
      </c>
    </row>
    <row r="116" spans="1:38" x14ac:dyDescent="0.3">
      <c r="A116" t="s">
        <v>473</v>
      </c>
      <c r="B116">
        <v>15014</v>
      </c>
      <c r="C116">
        <v>1</v>
      </c>
      <c r="D116" t="s">
        <v>447</v>
      </c>
      <c r="E116" t="s">
        <v>448</v>
      </c>
      <c r="F116">
        <v>276</v>
      </c>
      <c r="G116">
        <v>20.260000000000002</v>
      </c>
      <c r="H116">
        <v>66.98</v>
      </c>
      <c r="I116">
        <v>15.06</v>
      </c>
      <c r="J116">
        <v>49.8</v>
      </c>
      <c r="K116">
        <v>64</v>
      </c>
      <c r="T116">
        <v>2</v>
      </c>
      <c r="U116">
        <v>1</v>
      </c>
      <c r="V116" t="s">
        <v>279</v>
      </c>
      <c r="W116">
        <v>66</v>
      </c>
      <c r="X116">
        <v>15</v>
      </c>
      <c r="Y116">
        <v>6</v>
      </c>
      <c r="Z116" t="s">
        <v>480</v>
      </c>
      <c r="AA116" t="s">
        <v>481</v>
      </c>
      <c r="AB116" t="s">
        <v>272</v>
      </c>
      <c r="AC116" t="s">
        <v>273</v>
      </c>
      <c r="AD116" t="s">
        <v>274</v>
      </c>
      <c r="AE116" t="s">
        <v>478</v>
      </c>
      <c r="AG116" t="s">
        <v>451</v>
      </c>
      <c r="AH116">
        <v>0</v>
      </c>
      <c r="AI116">
        <v>293</v>
      </c>
      <c r="AJ116">
        <v>22</v>
      </c>
      <c r="AK116">
        <v>119</v>
      </c>
      <c r="AL116">
        <v>0.43</v>
      </c>
    </row>
    <row r="117" spans="1:38" x14ac:dyDescent="0.3">
      <c r="A117" t="s">
        <v>473</v>
      </c>
      <c r="B117">
        <v>15014</v>
      </c>
      <c r="C117">
        <v>2</v>
      </c>
      <c r="D117" t="s">
        <v>447</v>
      </c>
      <c r="E117" t="s">
        <v>448</v>
      </c>
      <c r="F117">
        <v>276</v>
      </c>
      <c r="G117">
        <v>22.1</v>
      </c>
      <c r="H117">
        <v>73.06</v>
      </c>
      <c r="I117">
        <v>16.420000000000002</v>
      </c>
      <c r="J117">
        <v>54.3</v>
      </c>
      <c r="K117">
        <v>61</v>
      </c>
      <c r="T117">
        <v>2</v>
      </c>
      <c r="U117">
        <v>1</v>
      </c>
      <c r="V117" t="s">
        <v>279</v>
      </c>
      <c r="W117">
        <v>73</v>
      </c>
      <c r="X117">
        <v>15</v>
      </c>
      <c r="Y117">
        <v>6</v>
      </c>
      <c r="Z117" t="s">
        <v>480</v>
      </c>
      <c r="AA117" t="s">
        <v>481</v>
      </c>
      <c r="AB117" t="s">
        <v>272</v>
      </c>
      <c r="AC117" t="s">
        <v>273</v>
      </c>
      <c r="AD117" t="s">
        <v>274</v>
      </c>
      <c r="AE117" t="s">
        <v>478</v>
      </c>
      <c r="AG117" t="s">
        <v>451</v>
      </c>
      <c r="AH117">
        <v>0</v>
      </c>
      <c r="AI117">
        <v>293</v>
      </c>
      <c r="AJ117">
        <v>22</v>
      </c>
      <c r="AK117">
        <v>119</v>
      </c>
      <c r="AL117">
        <v>0.43</v>
      </c>
    </row>
    <row r="118" spans="1:38" x14ac:dyDescent="0.3">
      <c r="A118" t="s">
        <v>473</v>
      </c>
      <c r="B118">
        <v>15014</v>
      </c>
      <c r="C118">
        <v>3</v>
      </c>
      <c r="D118" t="s">
        <v>447</v>
      </c>
      <c r="E118" t="s">
        <v>448</v>
      </c>
      <c r="F118">
        <v>276</v>
      </c>
      <c r="G118">
        <v>23.98</v>
      </c>
      <c r="H118">
        <v>79.3</v>
      </c>
      <c r="I118">
        <v>17.829999999999998</v>
      </c>
      <c r="J118">
        <v>58.95</v>
      </c>
      <c r="K118">
        <v>54</v>
      </c>
      <c r="T118">
        <v>3</v>
      </c>
      <c r="U118">
        <v>1</v>
      </c>
      <c r="V118" t="s">
        <v>279</v>
      </c>
      <c r="W118" t="s">
        <v>84</v>
      </c>
      <c r="X118">
        <v>15</v>
      </c>
      <c r="Y118">
        <v>6</v>
      </c>
      <c r="Z118" t="s">
        <v>480</v>
      </c>
      <c r="AA118" t="s">
        <v>481</v>
      </c>
      <c r="AB118" t="s">
        <v>272</v>
      </c>
      <c r="AC118" t="s">
        <v>273</v>
      </c>
      <c r="AD118" t="s">
        <v>274</v>
      </c>
      <c r="AE118" t="s">
        <v>478</v>
      </c>
      <c r="AG118" t="s">
        <v>451</v>
      </c>
      <c r="AH118">
        <v>0</v>
      </c>
      <c r="AI118">
        <v>293</v>
      </c>
      <c r="AJ118">
        <v>22</v>
      </c>
      <c r="AK118">
        <v>119</v>
      </c>
      <c r="AL118">
        <v>0.43</v>
      </c>
    </row>
    <row r="119" spans="1:38" x14ac:dyDescent="0.3">
      <c r="A119" t="s">
        <v>473</v>
      </c>
      <c r="B119">
        <v>15014</v>
      </c>
      <c r="C119">
        <v>4</v>
      </c>
      <c r="D119" t="s">
        <v>447</v>
      </c>
      <c r="E119" t="s">
        <v>448</v>
      </c>
      <c r="F119">
        <v>276</v>
      </c>
      <c r="G119">
        <v>24.41</v>
      </c>
      <c r="H119">
        <v>80.709999999999994</v>
      </c>
      <c r="I119">
        <v>18.149999999999999</v>
      </c>
      <c r="J119">
        <v>60</v>
      </c>
      <c r="K119">
        <v>97</v>
      </c>
      <c r="T119">
        <v>3</v>
      </c>
      <c r="U119">
        <v>1</v>
      </c>
      <c r="V119" t="s">
        <v>279</v>
      </c>
      <c r="W119" t="s">
        <v>85</v>
      </c>
      <c r="X119">
        <v>15</v>
      </c>
      <c r="Y119">
        <v>6</v>
      </c>
      <c r="Z119" t="s">
        <v>480</v>
      </c>
      <c r="AA119" t="s">
        <v>481</v>
      </c>
      <c r="AB119" t="s">
        <v>272</v>
      </c>
      <c r="AC119" t="s">
        <v>273</v>
      </c>
      <c r="AD119" t="s">
        <v>274</v>
      </c>
      <c r="AE119" t="s">
        <v>478</v>
      </c>
      <c r="AG119" t="s">
        <v>451</v>
      </c>
      <c r="AH119">
        <v>0</v>
      </c>
      <c r="AI119">
        <v>293</v>
      </c>
      <c r="AJ119">
        <v>22</v>
      </c>
      <c r="AK119">
        <v>119</v>
      </c>
      <c r="AL119">
        <v>0.43</v>
      </c>
    </row>
    <row r="120" spans="1:38" x14ac:dyDescent="0.3">
      <c r="A120" t="s">
        <v>473</v>
      </c>
      <c r="B120">
        <v>102517</v>
      </c>
      <c r="C120">
        <v>1</v>
      </c>
      <c r="D120" t="s">
        <v>482</v>
      </c>
      <c r="E120" t="s">
        <v>483</v>
      </c>
      <c r="F120">
        <v>413</v>
      </c>
      <c r="G120">
        <v>33.17</v>
      </c>
      <c r="H120">
        <v>109.66</v>
      </c>
      <c r="I120">
        <v>25.64</v>
      </c>
      <c r="J120">
        <v>84.79</v>
      </c>
      <c r="K120">
        <v>140</v>
      </c>
      <c r="T120">
        <v>3</v>
      </c>
      <c r="U120">
        <v>2</v>
      </c>
      <c r="V120" t="s">
        <v>269</v>
      </c>
      <c r="W120" t="s">
        <v>86</v>
      </c>
      <c r="X120">
        <v>12</v>
      </c>
      <c r="Y120">
        <v>11</v>
      </c>
      <c r="Z120" t="s">
        <v>484</v>
      </c>
      <c r="AA120" t="s">
        <v>485</v>
      </c>
      <c r="AB120" t="s">
        <v>272</v>
      </c>
      <c r="AC120" t="s">
        <v>273</v>
      </c>
      <c r="AD120" t="s">
        <v>274</v>
      </c>
      <c r="AE120" t="s">
        <v>478</v>
      </c>
      <c r="AG120" t="s">
        <v>486</v>
      </c>
      <c r="AH120">
        <v>0</v>
      </c>
      <c r="AI120">
        <v>199</v>
      </c>
      <c r="AJ120">
        <v>26</v>
      </c>
      <c r="AK120">
        <v>471</v>
      </c>
      <c r="AL120">
        <v>1.1399999999999999</v>
      </c>
    </row>
    <row r="121" spans="1:38" x14ac:dyDescent="0.3">
      <c r="A121" t="s">
        <v>473</v>
      </c>
      <c r="B121">
        <v>102517</v>
      </c>
      <c r="C121">
        <v>2</v>
      </c>
      <c r="D121" t="s">
        <v>482</v>
      </c>
      <c r="E121" t="s">
        <v>483</v>
      </c>
      <c r="F121">
        <v>413</v>
      </c>
      <c r="G121">
        <v>33.21</v>
      </c>
      <c r="H121">
        <v>109.81</v>
      </c>
      <c r="I121">
        <v>25.69</v>
      </c>
      <c r="J121">
        <v>84.93</v>
      </c>
      <c r="K121">
        <v>138</v>
      </c>
      <c r="T121">
        <v>3</v>
      </c>
      <c r="U121">
        <v>2</v>
      </c>
      <c r="V121" t="s">
        <v>269</v>
      </c>
      <c r="W121" t="s">
        <v>88</v>
      </c>
      <c r="X121">
        <v>12</v>
      </c>
      <c r="Y121">
        <v>11</v>
      </c>
      <c r="Z121" t="s">
        <v>484</v>
      </c>
      <c r="AA121" t="s">
        <v>485</v>
      </c>
      <c r="AB121" t="s">
        <v>272</v>
      </c>
      <c r="AC121" t="s">
        <v>273</v>
      </c>
      <c r="AD121" t="s">
        <v>274</v>
      </c>
      <c r="AE121" t="s">
        <v>478</v>
      </c>
      <c r="AG121" t="s">
        <v>486</v>
      </c>
      <c r="AH121">
        <v>0</v>
      </c>
      <c r="AI121">
        <v>199</v>
      </c>
      <c r="AJ121">
        <v>26</v>
      </c>
      <c r="AK121">
        <v>471</v>
      </c>
      <c r="AL121">
        <v>1.1399999999999999</v>
      </c>
    </row>
    <row r="122" spans="1:38" x14ac:dyDescent="0.3">
      <c r="A122" t="s">
        <v>473</v>
      </c>
      <c r="B122">
        <v>102517</v>
      </c>
      <c r="C122">
        <v>3</v>
      </c>
      <c r="D122" t="s">
        <v>482</v>
      </c>
      <c r="E122" t="s">
        <v>483</v>
      </c>
      <c r="F122">
        <v>413</v>
      </c>
      <c r="G122">
        <v>33.24</v>
      </c>
      <c r="H122">
        <v>109.91</v>
      </c>
      <c r="I122">
        <v>25.7</v>
      </c>
      <c r="J122">
        <v>84.96</v>
      </c>
      <c r="K122">
        <v>69</v>
      </c>
      <c r="T122">
        <v>3</v>
      </c>
      <c r="U122">
        <v>2</v>
      </c>
      <c r="V122" t="s">
        <v>269</v>
      </c>
      <c r="W122" t="s">
        <v>71</v>
      </c>
      <c r="X122">
        <v>12</v>
      </c>
      <c r="Y122">
        <v>11</v>
      </c>
      <c r="Z122" t="s">
        <v>484</v>
      </c>
      <c r="AA122" t="s">
        <v>485</v>
      </c>
      <c r="AB122" t="s">
        <v>272</v>
      </c>
      <c r="AC122" t="s">
        <v>273</v>
      </c>
      <c r="AD122" t="s">
        <v>274</v>
      </c>
      <c r="AE122" t="s">
        <v>478</v>
      </c>
      <c r="AG122" t="s">
        <v>486</v>
      </c>
      <c r="AH122">
        <v>0</v>
      </c>
      <c r="AI122">
        <v>199</v>
      </c>
      <c r="AJ122">
        <v>26</v>
      </c>
      <c r="AK122">
        <v>471</v>
      </c>
      <c r="AL122">
        <v>1.1399999999999999</v>
      </c>
    </row>
    <row r="123" spans="1:38" x14ac:dyDescent="0.3">
      <c r="A123" t="s">
        <v>473</v>
      </c>
      <c r="B123">
        <v>102517</v>
      </c>
      <c r="C123">
        <v>4</v>
      </c>
      <c r="D123" t="s">
        <v>482</v>
      </c>
      <c r="E123" t="s">
        <v>483</v>
      </c>
      <c r="F123">
        <v>413</v>
      </c>
      <c r="G123">
        <v>33.25</v>
      </c>
      <c r="H123">
        <v>109.93</v>
      </c>
      <c r="I123">
        <v>25.68</v>
      </c>
      <c r="J123">
        <v>84.92</v>
      </c>
      <c r="K123">
        <v>44</v>
      </c>
      <c r="T123">
        <v>3</v>
      </c>
      <c r="U123">
        <v>2</v>
      </c>
      <c r="V123" t="s">
        <v>269</v>
      </c>
      <c r="W123" t="s">
        <v>90</v>
      </c>
      <c r="X123">
        <v>12</v>
      </c>
      <c r="Y123">
        <v>11</v>
      </c>
      <c r="Z123" t="s">
        <v>484</v>
      </c>
      <c r="AA123" t="s">
        <v>485</v>
      </c>
      <c r="AB123" t="s">
        <v>272</v>
      </c>
      <c r="AC123" t="s">
        <v>273</v>
      </c>
      <c r="AD123" t="s">
        <v>274</v>
      </c>
      <c r="AE123" t="s">
        <v>478</v>
      </c>
      <c r="AG123" t="s">
        <v>486</v>
      </c>
      <c r="AH123">
        <v>0</v>
      </c>
      <c r="AI123">
        <v>199</v>
      </c>
      <c r="AJ123">
        <v>26</v>
      </c>
      <c r="AK123">
        <v>471</v>
      </c>
      <c r="AL123">
        <v>1.1399999999999999</v>
      </c>
    </row>
    <row r="124" spans="1:38" x14ac:dyDescent="0.3">
      <c r="A124" t="s">
        <v>473</v>
      </c>
      <c r="B124">
        <v>102517</v>
      </c>
      <c r="C124">
        <v>5</v>
      </c>
      <c r="D124" t="s">
        <v>482</v>
      </c>
      <c r="E124" t="s">
        <v>483</v>
      </c>
      <c r="F124">
        <v>413</v>
      </c>
      <c r="G124">
        <v>33.29</v>
      </c>
      <c r="H124">
        <v>110.06</v>
      </c>
      <c r="I124">
        <v>25.7</v>
      </c>
      <c r="J124">
        <v>84.99</v>
      </c>
      <c r="K124">
        <v>22</v>
      </c>
      <c r="T124">
        <v>3</v>
      </c>
      <c r="U124">
        <v>2</v>
      </c>
      <c r="V124" t="s">
        <v>269</v>
      </c>
      <c r="W124" t="s">
        <v>91</v>
      </c>
      <c r="X124">
        <v>12</v>
      </c>
      <c r="Y124">
        <v>11</v>
      </c>
      <c r="Z124" t="s">
        <v>484</v>
      </c>
      <c r="AA124" t="s">
        <v>485</v>
      </c>
      <c r="AB124" t="s">
        <v>272</v>
      </c>
      <c r="AC124" t="s">
        <v>273</v>
      </c>
      <c r="AD124" t="s">
        <v>274</v>
      </c>
      <c r="AE124" t="s">
        <v>478</v>
      </c>
      <c r="AG124" t="s">
        <v>486</v>
      </c>
      <c r="AH124">
        <v>0</v>
      </c>
      <c r="AI124">
        <v>199</v>
      </c>
      <c r="AJ124">
        <v>26</v>
      </c>
      <c r="AK124">
        <v>471</v>
      </c>
      <c r="AL124">
        <v>1.1399999999999999</v>
      </c>
    </row>
    <row r="125" spans="1:38" x14ac:dyDescent="0.3">
      <c r="A125" t="s">
        <v>473</v>
      </c>
      <c r="B125">
        <v>103591</v>
      </c>
      <c r="C125">
        <v>1</v>
      </c>
      <c r="D125" t="s">
        <v>487</v>
      </c>
      <c r="E125" t="s">
        <v>488</v>
      </c>
      <c r="F125">
        <v>319</v>
      </c>
      <c r="G125">
        <v>32.19</v>
      </c>
      <c r="H125">
        <v>106.43</v>
      </c>
      <c r="I125">
        <v>23.16</v>
      </c>
      <c r="J125">
        <v>76.569999999999993</v>
      </c>
      <c r="K125">
        <v>117</v>
      </c>
      <c r="T125">
        <v>3</v>
      </c>
      <c r="U125">
        <v>2</v>
      </c>
      <c r="V125" t="s">
        <v>269</v>
      </c>
      <c r="W125" t="s">
        <v>92</v>
      </c>
      <c r="X125">
        <v>12</v>
      </c>
      <c r="Y125">
        <v>8</v>
      </c>
      <c r="Z125" t="s">
        <v>489</v>
      </c>
      <c r="AA125" t="s">
        <v>490</v>
      </c>
      <c r="AB125" t="s">
        <v>272</v>
      </c>
      <c r="AC125" t="s">
        <v>273</v>
      </c>
      <c r="AD125" t="s">
        <v>274</v>
      </c>
      <c r="AE125" t="s">
        <v>478</v>
      </c>
      <c r="AG125" t="s">
        <v>491</v>
      </c>
      <c r="AH125">
        <v>0</v>
      </c>
      <c r="AI125">
        <v>199</v>
      </c>
      <c r="AJ125">
        <v>28</v>
      </c>
      <c r="AK125">
        <v>355</v>
      </c>
      <c r="AL125">
        <v>1.1100000000000001</v>
      </c>
    </row>
    <row r="126" spans="1:38" x14ac:dyDescent="0.3">
      <c r="A126" t="s">
        <v>473</v>
      </c>
      <c r="B126">
        <v>103591</v>
      </c>
      <c r="C126">
        <v>2</v>
      </c>
      <c r="D126" t="s">
        <v>487</v>
      </c>
      <c r="E126" t="s">
        <v>488</v>
      </c>
      <c r="F126">
        <v>319</v>
      </c>
      <c r="G126">
        <v>34.99</v>
      </c>
      <c r="H126">
        <v>115.69</v>
      </c>
      <c r="I126">
        <v>25.44</v>
      </c>
      <c r="J126">
        <v>84.13</v>
      </c>
      <c r="K126">
        <v>57</v>
      </c>
      <c r="T126">
        <v>3</v>
      </c>
      <c r="U126">
        <v>2</v>
      </c>
      <c r="V126" t="s">
        <v>269</v>
      </c>
      <c r="W126" t="s">
        <v>94</v>
      </c>
      <c r="X126">
        <v>12</v>
      </c>
      <c r="Y126">
        <v>8</v>
      </c>
      <c r="Z126" t="s">
        <v>489</v>
      </c>
      <c r="AA126" t="s">
        <v>490</v>
      </c>
      <c r="AB126" t="s">
        <v>272</v>
      </c>
      <c r="AC126" t="s">
        <v>273</v>
      </c>
      <c r="AD126" t="s">
        <v>274</v>
      </c>
      <c r="AE126" t="s">
        <v>478</v>
      </c>
      <c r="AG126" t="s">
        <v>491</v>
      </c>
      <c r="AH126">
        <v>0</v>
      </c>
      <c r="AI126">
        <v>199</v>
      </c>
      <c r="AJ126">
        <v>28</v>
      </c>
      <c r="AK126">
        <v>355</v>
      </c>
      <c r="AL126">
        <v>1.1100000000000001</v>
      </c>
    </row>
    <row r="127" spans="1:38" x14ac:dyDescent="0.3">
      <c r="A127" t="s">
        <v>473</v>
      </c>
      <c r="B127">
        <v>103591</v>
      </c>
      <c r="C127">
        <v>3</v>
      </c>
      <c r="D127" t="s">
        <v>487</v>
      </c>
      <c r="E127" t="s">
        <v>488</v>
      </c>
      <c r="F127">
        <v>319</v>
      </c>
      <c r="G127">
        <v>34.83</v>
      </c>
      <c r="H127">
        <v>115.17</v>
      </c>
      <c r="I127">
        <v>25.31</v>
      </c>
      <c r="J127">
        <v>83.7</v>
      </c>
      <c r="K127">
        <v>9</v>
      </c>
      <c r="T127">
        <v>3</v>
      </c>
      <c r="U127">
        <v>2</v>
      </c>
      <c r="V127" t="s">
        <v>269</v>
      </c>
      <c r="W127" t="s">
        <v>95</v>
      </c>
      <c r="X127">
        <v>12</v>
      </c>
      <c r="Y127">
        <v>8</v>
      </c>
      <c r="Z127" t="s">
        <v>489</v>
      </c>
      <c r="AA127" t="s">
        <v>490</v>
      </c>
      <c r="AB127" t="s">
        <v>272</v>
      </c>
      <c r="AC127" t="s">
        <v>273</v>
      </c>
      <c r="AD127" t="s">
        <v>274</v>
      </c>
      <c r="AE127" t="s">
        <v>478</v>
      </c>
      <c r="AG127" t="s">
        <v>491</v>
      </c>
      <c r="AH127">
        <v>0</v>
      </c>
      <c r="AI127">
        <v>199</v>
      </c>
      <c r="AJ127">
        <v>28</v>
      </c>
      <c r="AK127">
        <v>355</v>
      </c>
      <c r="AL127">
        <v>1.1100000000000001</v>
      </c>
    </row>
    <row r="128" spans="1:38" x14ac:dyDescent="0.3">
      <c r="A128" t="s">
        <v>473</v>
      </c>
      <c r="B128">
        <v>103591</v>
      </c>
      <c r="C128">
        <v>4</v>
      </c>
      <c r="D128" t="s">
        <v>487</v>
      </c>
      <c r="E128" t="s">
        <v>488</v>
      </c>
      <c r="F128">
        <v>319</v>
      </c>
      <c r="G128">
        <v>35.53</v>
      </c>
      <c r="H128">
        <v>117.46</v>
      </c>
      <c r="I128">
        <v>25.59</v>
      </c>
      <c r="J128">
        <v>84.61</v>
      </c>
      <c r="K128">
        <v>127</v>
      </c>
      <c r="T128">
        <v>3</v>
      </c>
      <c r="U128">
        <v>2</v>
      </c>
      <c r="V128" t="s">
        <v>269</v>
      </c>
      <c r="W128" t="s">
        <v>96</v>
      </c>
      <c r="X128">
        <v>12</v>
      </c>
      <c r="Y128">
        <v>8</v>
      </c>
      <c r="Z128" t="s">
        <v>489</v>
      </c>
      <c r="AA128" t="s">
        <v>490</v>
      </c>
      <c r="AB128" t="s">
        <v>272</v>
      </c>
      <c r="AC128" t="s">
        <v>273</v>
      </c>
      <c r="AD128" t="s">
        <v>274</v>
      </c>
      <c r="AE128" t="s">
        <v>478</v>
      </c>
      <c r="AG128" t="s">
        <v>491</v>
      </c>
      <c r="AH128">
        <v>0</v>
      </c>
      <c r="AI128">
        <v>199</v>
      </c>
      <c r="AJ128">
        <v>28</v>
      </c>
      <c r="AK128">
        <v>355</v>
      </c>
      <c r="AL128">
        <v>1.1100000000000001</v>
      </c>
    </row>
    <row r="129" spans="1:38" x14ac:dyDescent="0.3">
      <c r="A129" t="s">
        <v>473</v>
      </c>
      <c r="B129">
        <v>103591</v>
      </c>
      <c r="C129">
        <v>5</v>
      </c>
      <c r="D129" t="s">
        <v>487</v>
      </c>
      <c r="E129" t="s">
        <v>488</v>
      </c>
      <c r="F129">
        <v>319</v>
      </c>
      <c r="G129">
        <v>35.56</v>
      </c>
      <c r="H129">
        <v>117.56</v>
      </c>
      <c r="I129">
        <v>25.61</v>
      </c>
      <c r="J129">
        <v>84.69</v>
      </c>
      <c r="K129">
        <v>9</v>
      </c>
      <c r="T129">
        <v>3</v>
      </c>
      <c r="U129">
        <v>2</v>
      </c>
      <c r="V129" t="s">
        <v>269</v>
      </c>
      <c r="W129" t="s">
        <v>97</v>
      </c>
      <c r="X129">
        <v>12</v>
      </c>
      <c r="Y129">
        <v>8</v>
      </c>
      <c r="Z129" t="s">
        <v>489</v>
      </c>
      <c r="AA129" t="s">
        <v>490</v>
      </c>
      <c r="AB129" t="s">
        <v>272</v>
      </c>
      <c r="AC129" t="s">
        <v>273</v>
      </c>
      <c r="AD129" t="s">
        <v>274</v>
      </c>
      <c r="AE129" t="s">
        <v>478</v>
      </c>
      <c r="AG129" t="s">
        <v>491</v>
      </c>
      <c r="AH129">
        <v>0</v>
      </c>
      <c r="AI129">
        <v>199</v>
      </c>
      <c r="AJ129">
        <v>28</v>
      </c>
      <c r="AK129">
        <v>355</v>
      </c>
      <c r="AL129">
        <v>1.1100000000000001</v>
      </c>
    </row>
    <row r="130" spans="1:38" x14ac:dyDescent="0.3">
      <c r="A130" t="s">
        <v>473</v>
      </c>
      <c r="B130">
        <v>112828</v>
      </c>
      <c r="C130">
        <v>1</v>
      </c>
      <c r="D130" t="s">
        <v>492</v>
      </c>
      <c r="E130" t="s">
        <v>493</v>
      </c>
      <c r="F130">
        <v>118</v>
      </c>
      <c r="G130">
        <v>29.87</v>
      </c>
      <c r="H130">
        <v>98.76</v>
      </c>
      <c r="I130">
        <v>22.45</v>
      </c>
      <c r="J130">
        <v>74.22</v>
      </c>
      <c r="K130">
        <v>12</v>
      </c>
      <c r="T130">
        <v>3</v>
      </c>
      <c r="U130">
        <v>2</v>
      </c>
      <c r="V130" t="s">
        <v>269</v>
      </c>
      <c r="W130">
        <v>98</v>
      </c>
      <c r="X130">
        <v>12</v>
      </c>
      <c r="Y130">
        <v>11</v>
      </c>
      <c r="Z130" t="s">
        <v>494</v>
      </c>
      <c r="AA130" t="s">
        <v>495</v>
      </c>
      <c r="AB130" t="s">
        <v>272</v>
      </c>
      <c r="AC130" t="s">
        <v>273</v>
      </c>
      <c r="AD130" t="s">
        <v>274</v>
      </c>
      <c r="AE130" t="s">
        <v>478</v>
      </c>
      <c r="AG130" t="s">
        <v>496</v>
      </c>
      <c r="AH130">
        <v>0</v>
      </c>
      <c r="AI130">
        <v>221</v>
      </c>
      <c r="AJ130">
        <v>26</v>
      </c>
      <c r="AK130">
        <v>145</v>
      </c>
      <c r="AL130">
        <v>1.23</v>
      </c>
    </row>
    <row r="131" spans="1:38" x14ac:dyDescent="0.3">
      <c r="A131" t="s">
        <v>473</v>
      </c>
      <c r="B131">
        <v>112828</v>
      </c>
      <c r="C131">
        <v>2</v>
      </c>
      <c r="D131" t="s">
        <v>492</v>
      </c>
      <c r="E131" t="s">
        <v>493</v>
      </c>
      <c r="F131">
        <v>118</v>
      </c>
      <c r="G131">
        <v>30.56</v>
      </c>
      <c r="H131">
        <v>101.05</v>
      </c>
      <c r="I131">
        <v>23.02</v>
      </c>
      <c r="J131">
        <v>76.099999999999994</v>
      </c>
      <c r="K131">
        <v>106</v>
      </c>
      <c r="T131">
        <v>3</v>
      </c>
      <c r="U131">
        <v>2</v>
      </c>
      <c r="V131" t="s">
        <v>269</v>
      </c>
      <c r="W131">
        <v>101</v>
      </c>
      <c r="X131">
        <v>12</v>
      </c>
      <c r="Y131">
        <v>11</v>
      </c>
      <c r="Z131" t="s">
        <v>494</v>
      </c>
      <c r="AA131" t="s">
        <v>495</v>
      </c>
      <c r="AB131" t="s">
        <v>272</v>
      </c>
      <c r="AC131" t="s">
        <v>273</v>
      </c>
      <c r="AD131" t="s">
        <v>274</v>
      </c>
      <c r="AE131" t="s">
        <v>478</v>
      </c>
      <c r="AG131" t="s">
        <v>496</v>
      </c>
      <c r="AH131">
        <v>0</v>
      </c>
      <c r="AI131">
        <v>221</v>
      </c>
      <c r="AJ131">
        <v>26</v>
      </c>
      <c r="AK131">
        <v>145</v>
      </c>
      <c r="AL131">
        <v>1.23</v>
      </c>
    </row>
    <row r="132" spans="1:38" x14ac:dyDescent="0.3">
      <c r="A132" t="s">
        <v>473</v>
      </c>
      <c r="B132">
        <v>101354</v>
      </c>
      <c r="C132">
        <v>1</v>
      </c>
      <c r="D132" t="s">
        <v>497</v>
      </c>
      <c r="E132" t="s">
        <v>498</v>
      </c>
      <c r="F132">
        <v>331</v>
      </c>
      <c r="G132">
        <v>33.130000000000003</v>
      </c>
      <c r="H132">
        <v>109.54</v>
      </c>
      <c r="I132">
        <v>25.7</v>
      </c>
      <c r="J132">
        <v>84.99</v>
      </c>
      <c r="K132">
        <v>211</v>
      </c>
      <c r="T132">
        <v>3</v>
      </c>
      <c r="U132">
        <v>2</v>
      </c>
      <c r="V132" t="s">
        <v>269</v>
      </c>
      <c r="W132" t="s">
        <v>71</v>
      </c>
      <c r="X132">
        <v>12</v>
      </c>
      <c r="Y132">
        <v>11</v>
      </c>
      <c r="Z132" t="s">
        <v>499</v>
      </c>
      <c r="AA132" t="s">
        <v>500</v>
      </c>
      <c r="AB132" t="s">
        <v>272</v>
      </c>
      <c r="AC132" t="s">
        <v>273</v>
      </c>
      <c r="AD132" t="s">
        <v>274</v>
      </c>
      <c r="AE132" t="s">
        <v>478</v>
      </c>
      <c r="AG132" t="s">
        <v>501</v>
      </c>
      <c r="AH132">
        <v>0</v>
      </c>
      <c r="AI132">
        <v>199</v>
      </c>
      <c r="AJ132">
        <v>26</v>
      </c>
      <c r="AK132">
        <v>368</v>
      </c>
      <c r="AL132">
        <v>1.1100000000000001</v>
      </c>
    </row>
    <row r="133" spans="1:38" x14ac:dyDescent="0.3">
      <c r="A133" t="s">
        <v>473</v>
      </c>
      <c r="B133">
        <v>101354</v>
      </c>
      <c r="C133">
        <v>2</v>
      </c>
      <c r="D133" t="s">
        <v>497</v>
      </c>
      <c r="E133" t="s">
        <v>498</v>
      </c>
      <c r="F133">
        <v>331</v>
      </c>
      <c r="G133">
        <v>32.979999999999997</v>
      </c>
      <c r="H133">
        <v>109.03</v>
      </c>
      <c r="I133">
        <v>25.7</v>
      </c>
      <c r="J133">
        <v>84.99</v>
      </c>
      <c r="K133">
        <v>119</v>
      </c>
      <c r="T133">
        <v>3</v>
      </c>
      <c r="U133">
        <v>2</v>
      </c>
      <c r="V133" t="s">
        <v>269</v>
      </c>
      <c r="W133" t="s">
        <v>86</v>
      </c>
      <c r="X133">
        <v>12</v>
      </c>
      <c r="Y133">
        <v>11</v>
      </c>
      <c r="Z133" t="s">
        <v>499</v>
      </c>
      <c r="AA133" t="s">
        <v>500</v>
      </c>
      <c r="AB133" t="s">
        <v>272</v>
      </c>
      <c r="AC133" t="s">
        <v>273</v>
      </c>
      <c r="AD133" t="s">
        <v>274</v>
      </c>
      <c r="AE133" t="s">
        <v>478</v>
      </c>
      <c r="AG133" t="s">
        <v>501</v>
      </c>
      <c r="AH133">
        <v>0</v>
      </c>
      <c r="AI133">
        <v>199</v>
      </c>
      <c r="AJ133">
        <v>26</v>
      </c>
      <c r="AK133">
        <v>368</v>
      </c>
      <c r="AL133">
        <v>1.1100000000000001</v>
      </c>
    </row>
    <row r="134" spans="1:38" x14ac:dyDescent="0.3">
      <c r="A134" t="s">
        <v>473</v>
      </c>
      <c r="B134">
        <v>101354</v>
      </c>
      <c r="C134">
        <v>3</v>
      </c>
      <c r="D134" t="s">
        <v>497</v>
      </c>
      <c r="E134" t="s">
        <v>498</v>
      </c>
      <c r="F134">
        <v>331</v>
      </c>
      <c r="G134">
        <v>33.130000000000003</v>
      </c>
      <c r="H134">
        <v>109.54</v>
      </c>
      <c r="I134">
        <v>25.7</v>
      </c>
      <c r="J134">
        <v>84.99</v>
      </c>
      <c r="K134">
        <v>1</v>
      </c>
      <c r="T134">
        <v>3</v>
      </c>
      <c r="U134">
        <v>2</v>
      </c>
      <c r="V134" t="s">
        <v>269</v>
      </c>
      <c r="W134" t="s">
        <v>70</v>
      </c>
      <c r="X134">
        <v>12</v>
      </c>
      <c r="Y134">
        <v>11</v>
      </c>
      <c r="Z134" t="s">
        <v>499</v>
      </c>
      <c r="AA134" t="s">
        <v>500</v>
      </c>
      <c r="AB134" t="s">
        <v>272</v>
      </c>
      <c r="AC134" t="s">
        <v>273</v>
      </c>
      <c r="AD134" t="s">
        <v>274</v>
      </c>
      <c r="AE134" t="s">
        <v>478</v>
      </c>
      <c r="AG134" t="s">
        <v>501</v>
      </c>
      <c r="AH134">
        <v>0</v>
      </c>
      <c r="AI134">
        <v>199</v>
      </c>
      <c r="AJ134">
        <v>26</v>
      </c>
      <c r="AK134">
        <v>368</v>
      </c>
      <c r="AL134">
        <v>1.1100000000000001</v>
      </c>
    </row>
    <row r="135" spans="1:38" x14ac:dyDescent="0.3">
      <c r="A135" t="s">
        <v>473</v>
      </c>
      <c r="B135">
        <v>5290</v>
      </c>
      <c r="C135">
        <v>1</v>
      </c>
      <c r="D135" t="s">
        <v>502</v>
      </c>
      <c r="E135" t="s">
        <v>503</v>
      </c>
      <c r="F135">
        <v>240</v>
      </c>
      <c r="G135">
        <v>29.04</v>
      </c>
      <c r="H135">
        <v>96</v>
      </c>
      <c r="I135">
        <v>25.48</v>
      </c>
      <c r="J135">
        <v>84.24</v>
      </c>
      <c r="K135">
        <v>30</v>
      </c>
      <c r="T135">
        <v>3</v>
      </c>
      <c r="U135">
        <v>2</v>
      </c>
      <c r="V135" t="s">
        <v>269</v>
      </c>
      <c r="W135">
        <v>96</v>
      </c>
      <c r="X135">
        <v>5</v>
      </c>
      <c r="Y135">
        <v>5</v>
      </c>
      <c r="Z135" t="s">
        <v>504</v>
      </c>
      <c r="AA135" t="s">
        <v>505</v>
      </c>
      <c r="AB135" t="s">
        <v>272</v>
      </c>
      <c r="AC135" t="s">
        <v>273</v>
      </c>
      <c r="AD135" t="s">
        <v>274</v>
      </c>
      <c r="AE135" t="s">
        <v>478</v>
      </c>
      <c r="AG135" t="s">
        <v>506</v>
      </c>
      <c r="AH135">
        <v>0</v>
      </c>
      <c r="AI135">
        <v>0</v>
      </c>
      <c r="AJ135">
        <v>0</v>
      </c>
      <c r="AK135">
        <v>210</v>
      </c>
      <c r="AL135">
        <v>0.88</v>
      </c>
    </row>
    <row r="136" spans="1:38" x14ac:dyDescent="0.3">
      <c r="A136" t="s">
        <v>473</v>
      </c>
      <c r="B136">
        <v>5290</v>
      </c>
      <c r="C136">
        <v>2</v>
      </c>
      <c r="D136" t="s">
        <v>502</v>
      </c>
      <c r="E136" t="s">
        <v>503</v>
      </c>
      <c r="F136">
        <v>240</v>
      </c>
      <c r="G136">
        <v>34.369999999999997</v>
      </c>
      <c r="H136">
        <v>113.65</v>
      </c>
      <c r="I136">
        <v>25.68</v>
      </c>
      <c r="J136">
        <v>84.9</v>
      </c>
      <c r="K136">
        <v>135</v>
      </c>
      <c r="T136">
        <v>3</v>
      </c>
      <c r="U136">
        <v>2</v>
      </c>
      <c r="V136" t="s">
        <v>279</v>
      </c>
      <c r="W136">
        <v>113</v>
      </c>
      <c r="X136">
        <v>5</v>
      </c>
      <c r="Y136">
        <v>5</v>
      </c>
      <c r="Z136" t="s">
        <v>504</v>
      </c>
      <c r="AA136" t="s">
        <v>505</v>
      </c>
      <c r="AB136" t="s">
        <v>272</v>
      </c>
      <c r="AC136" t="s">
        <v>273</v>
      </c>
      <c r="AD136" t="s">
        <v>274</v>
      </c>
      <c r="AE136" t="s">
        <v>478</v>
      </c>
      <c r="AG136" t="s">
        <v>506</v>
      </c>
      <c r="AH136">
        <v>0</v>
      </c>
      <c r="AI136">
        <v>0</v>
      </c>
      <c r="AJ136">
        <v>0</v>
      </c>
      <c r="AK136">
        <v>210</v>
      </c>
      <c r="AL136">
        <v>0.88</v>
      </c>
    </row>
    <row r="137" spans="1:38" x14ac:dyDescent="0.3">
      <c r="A137" t="s">
        <v>473</v>
      </c>
      <c r="B137">
        <v>5290</v>
      </c>
      <c r="C137">
        <v>3</v>
      </c>
      <c r="D137" t="s">
        <v>502</v>
      </c>
      <c r="E137" t="s">
        <v>503</v>
      </c>
      <c r="F137">
        <v>240</v>
      </c>
      <c r="G137">
        <v>37.24</v>
      </c>
      <c r="H137">
        <v>123.12</v>
      </c>
      <c r="I137">
        <v>32.99</v>
      </c>
      <c r="J137">
        <v>109.08</v>
      </c>
      <c r="K137">
        <v>30</v>
      </c>
      <c r="T137">
        <v>3</v>
      </c>
      <c r="U137">
        <v>2</v>
      </c>
      <c r="V137" t="s">
        <v>269</v>
      </c>
      <c r="W137">
        <v>123</v>
      </c>
      <c r="X137">
        <v>5</v>
      </c>
      <c r="Y137">
        <v>5</v>
      </c>
      <c r="Z137" t="s">
        <v>504</v>
      </c>
      <c r="AA137" t="s">
        <v>505</v>
      </c>
      <c r="AB137" t="s">
        <v>272</v>
      </c>
      <c r="AC137" t="s">
        <v>273</v>
      </c>
      <c r="AD137" t="s">
        <v>274</v>
      </c>
      <c r="AE137" t="s">
        <v>478</v>
      </c>
      <c r="AG137" t="s">
        <v>506</v>
      </c>
      <c r="AH137">
        <v>0</v>
      </c>
      <c r="AI137">
        <v>0</v>
      </c>
      <c r="AJ137">
        <v>0</v>
      </c>
      <c r="AK137">
        <v>210</v>
      </c>
      <c r="AL137">
        <v>0.88</v>
      </c>
    </row>
    <row r="138" spans="1:38" x14ac:dyDescent="0.3">
      <c r="A138" t="s">
        <v>473</v>
      </c>
      <c r="B138">
        <v>5290</v>
      </c>
      <c r="C138">
        <v>4</v>
      </c>
      <c r="D138" t="s">
        <v>502</v>
      </c>
      <c r="E138" t="s">
        <v>503</v>
      </c>
      <c r="F138">
        <v>240</v>
      </c>
      <c r="G138">
        <v>41.65</v>
      </c>
      <c r="H138">
        <v>137.69</v>
      </c>
      <c r="I138">
        <v>31.77</v>
      </c>
      <c r="J138">
        <v>105.03</v>
      </c>
      <c r="K138">
        <v>45</v>
      </c>
      <c r="T138">
        <v>4</v>
      </c>
      <c r="U138">
        <v>2</v>
      </c>
      <c r="V138" t="s">
        <v>279</v>
      </c>
      <c r="W138">
        <v>137</v>
      </c>
      <c r="X138">
        <v>5</v>
      </c>
      <c r="Y138">
        <v>5</v>
      </c>
      <c r="Z138" t="s">
        <v>504</v>
      </c>
      <c r="AA138" t="s">
        <v>505</v>
      </c>
      <c r="AB138" t="s">
        <v>272</v>
      </c>
      <c r="AC138" t="s">
        <v>273</v>
      </c>
      <c r="AD138" t="s">
        <v>274</v>
      </c>
      <c r="AE138" t="s">
        <v>478</v>
      </c>
      <c r="AG138" t="s">
        <v>506</v>
      </c>
      <c r="AH138">
        <v>0</v>
      </c>
      <c r="AI138">
        <v>0</v>
      </c>
      <c r="AJ138">
        <v>0</v>
      </c>
      <c r="AK138">
        <v>210</v>
      </c>
      <c r="AL138">
        <v>0.88</v>
      </c>
    </row>
    <row r="139" spans="1:38" x14ac:dyDescent="0.3">
      <c r="A139" t="s">
        <v>473</v>
      </c>
      <c r="B139">
        <v>109541</v>
      </c>
      <c r="C139">
        <v>1</v>
      </c>
      <c r="D139" t="s">
        <v>507</v>
      </c>
      <c r="E139" t="s">
        <v>508</v>
      </c>
      <c r="F139">
        <v>367</v>
      </c>
      <c r="G139">
        <v>24.42</v>
      </c>
      <c r="H139">
        <v>80.739999999999995</v>
      </c>
      <c r="I139">
        <v>18.13</v>
      </c>
      <c r="J139">
        <v>59.95</v>
      </c>
      <c r="K139">
        <v>84</v>
      </c>
      <c r="T139">
        <v>3</v>
      </c>
      <c r="U139">
        <v>2</v>
      </c>
      <c r="V139" t="s">
        <v>269</v>
      </c>
      <c r="W139" t="s">
        <v>81</v>
      </c>
      <c r="X139">
        <v>12</v>
      </c>
      <c r="Y139">
        <v>5</v>
      </c>
      <c r="Z139" t="s">
        <v>509</v>
      </c>
      <c r="AA139" t="s">
        <v>510</v>
      </c>
      <c r="AB139" t="s">
        <v>272</v>
      </c>
      <c r="AC139" t="s">
        <v>273</v>
      </c>
      <c r="AD139" t="s">
        <v>274</v>
      </c>
      <c r="AE139" t="s">
        <v>478</v>
      </c>
      <c r="AG139" t="s">
        <v>511</v>
      </c>
      <c r="AH139">
        <v>0</v>
      </c>
      <c r="AI139">
        <v>187</v>
      </c>
      <c r="AJ139">
        <v>45</v>
      </c>
      <c r="AK139">
        <v>396</v>
      </c>
      <c r="AL139">
        <v>1.08</v>
      </c>
    </row>
    <row r="140" spans="1:38" x14ac:dyDescent="0.3">
      <c r="A140" t="s">
        <v>473</v>
      </c>
      <c r="B140">
        <v>109541</v>
      </c>
      <c r="C140">
        <v>2</v>
      </c>
      <c r="D140" t="s">
        <v>507</v>
      </c>
      <c r="E140" t="s">
        <v>508</v>
      </c>
      <c r="F140">
        <v>367</v>
      </c>
      <c r="G140">
        <v>24.41</v>
      </c>
      <c r="H140">
        <v>80.709999999999994</v>
      </c>
      <c r="I140">
        <v>18.12</v>
      </c>
      <c r="J140">
        <v>59.91</v>
      </c>
      <c r="K140">
        <v>68</v>
      </c>
      <c r="T140">
        <v>3</v>
      </c>
      <c r="U140">
        <v>2</v>
      </c>
      <c r="V140" t="s">
        <v>269</v>
      </c>
      <c r="W140" t="s">
        <v>98</v>
      </c>
      <c r="X140">
        <v>12</v>
      </c>
      <c r="Y140">
        <v>5</v>
      </c>
      <c r="Z140" t="s">
        <v>509</v>
      </c>
      <c r="AA140" t="s">
        <v>510</v>
      </c>
      <c r="AB140" t="s">
        <v>272</v>
      </c>
      <c r="AC140" t="s">
        <v>273</v>
      </c>
      <c r="AD140" t="s">
        <v>274</v>
      </c>
      <c r="AE140" t="s">
        <v>478</v>
      </c>
      <c r="AG140" t="s">
        <v>511</v>
      </c>
      <c r="AH140">
        <v>0</v>
      </c>
      <c r="AI140">
        <v>187</v>
      </c>
      <c r="AJ140">
        <v>45</v>
      </c>
      <c r="AK140">
        <v>396</v>
      </c>
      <c r="AL140">
        <v>1.08</v>
      </c>
    </row>
    <row r="141" spans="1:38" x14ac:dyDescent="0.3">
      <c r="A141" t="s">
        <v>473</v>
      </c>
      <c r="B141">
        <v>109541</v>
      </c>
      <c r="C141">
        <v>3</v>
      </c>
      <c r="D141" t="s">
        <v>507</v>
      </c>
      <c r="E141" t="s">
        <v>508</v>
      </c>
      <c r="F141">
        <v>367</v>
      </c>
      <c r="G141">
        <v>24.58</v>
      </c>
      <c r="H141">
        <v>81.28</v>
      </c>
      <c r="I141">
        <v>18.14</v>
      </c>
      <c r="J141">
        <v>59.97</v>
      </c>
      <c r="K141">
        <v>94</v>
      </c>
      <c r="T141">
        <v>3</v>
      </c>
      <c r="U141">
        <v>2</v>
      </c>
      <c r="V141" t="s">
        <v>269</v>
      </c>
      <c r="W141" t="s">
        <v>100</v>
      </c>
      <c r="X141">
        <v>12</v>
      </c>
      <c r="Y141">
        <v>5</v>
      </c>
      <c r="Z141" t="s">
        <v>509</v>
      </c>
      <c r="AA141" t="s">
        <v>510</v>
      </c>
      <c r="AB141" t="s">
        <v>272</v>
      </c>
      <c r="AC141" t="s">
        <v>273</v>
      </c>
      <c r="AD141" t="s">
        <v>274</v>
      </c>
      <c r="AE141" t="s">
        <v>478</v>
      </c>
      <c r="AG141" t="s">
        <v>511</v>
      </c>
      <c r="AH141">
        <v>0</v>
      </c>
      <c r="AI141">
        <v>187</v>
      </c>
      <c r="AJ141">
        <v>45</v>
      </c>
      <c r="AK141">
        <v>396</v>
      </c>
      <c r="AL141">
        <v>1.08</v>
      </c>
    </row>
    <row r="142" spans="1:38" x14ac:dyDescent="0.3">
      <c r="A142" t="s">
        <v>473</v>
      </c>
      <c r="B142">
        <v>109541</v>
      </c>
      <c r="C142">
        <v>4</v>
      </c>
      <c r="D142" t="s">
        <v>507</v>
      </c>
      <c r="E142" t="s">
        <v>508</v>
      </c>
      <c r="F142">
        <v>367</v>
      </c>
      <c r="G142">
        <v>34.06</v>
      </c>
      <c r="H142">
        <v>112.61</v>
      </c>
      <c r="I142">
        <v>25.68</v>
      </c>
      <c r="J142">
        <v>84.92</v>
      </c>
      <c r="K142">
        <v>78</v>
      </c>
      <c r="T142">
        <v>3</v>
      </c>
      <c r="U142">
        <v>2</v>
      </c>
      <c r="V142" t="s">
        <v>269</v>
      </c>
      <c r="W142" t="s">
        <v>101</v>
      </c>
      <c r="X142">
        <v>12</v>
      </c>
      <c r="Y142">
        <v>5</v>
      </c>
      <c r="Z142" t="s">
        <v>509</v>
      </c>
      <c r="AA142" t="s">
        <v>510</v>
      </c>
      <c r="AB142" t="s">
        <v>272</v>
      </c>
      <c r="AC142" t="s">
        <v>273</v>
      </c>
      <c r="AD142" t="s">
        <v>274</v>
      </c>
      <c r="AE142" t="s">
        <v>478</v>
      </c>
      <c r="AG142" t="s">
        <v>511</v>
      </c>
      <c r="AH142">
        <v>0</v>
      </c>
      <c r="AI142">
        <v>187</v>
      </c>
      <c r="AJ142">
        <v>45</v>
      </c>
      <c r="AK142">
        <v>396</v>
      </c>
      <c r="AL142">
        <v>1.08</v>
      </c>
    </row>
    <row r="143" spans="1:38" x14ac:dyDescent="0.3">
      <c r="A143" t="s">
        <v>473</v>
      </c>
      <c r="B143">
        <v>109541</v>
      </c>
      <c r="C143">
        <v>5</v>
      </c>
      <c r="D143" t="s">
        <v>507</v>
      </c>
      <c r="E143" t="s">
        <v>508</v>
      </c>
      <c r="F143">
        <v>367</v>
      </c>
      <c r="G143">
        <v>34.159999999999997</v>
      </c>
      <c r="H143">
        <v>112.93</v>
      </c>
      <c r="I143">
        <v>25.69</v>
      </c>
      <c r="J143">
        <v>84.93</v>
      </c>
      <c r="K143">
        <v>20</v>
      </c>
      <c r="T143">
        <v>3</v>
      </c>
      <c r="U143">
        <v>2</v>
      </c>
      <c r="V143" t="s">
        <v>269</v>
      </c>
      <c r="W143" t="s">
        <v>102</v>
      </c>
      <c r="X143">
        <v>12</v>
      </c>
      <c r="Y143">
        <v>5</v>
      </c>
      <c r="Z143" t="s">
        <v>509</v>
      </c>
      <c r="AA143" t="s">
        <v>510</v>
      </c>
      <c r="AB143" t="s">
        <v>272</v>
      </c>
      <c r="AC143" t="s">
        <v>273</v>
      </c>
      <c r="AD143" t="s">
        <v>274</v>
      </c>
      <c r="AE143" t="s">
        <v>478</v>
      </c>
      <c r="AG143" t="s">
        <v>511</v>
      </c>
      <c r="AH143">
        <v>0</v>
      </c>
      <c r="AI143">
        <v>187</v>
      </c>
      <c r="AJ143">
        <v>45</v>
      </c>
      <c r="AK143">
        <v>396</v>
      </c>
      <c r="AL143">
        <v>1.08</v>
      </c>
    </row>
    <row r="144" spans="1:38" x14ac:dyDescent="0.3">
      <c r="A144" t="s">
        <v>473</v>
      </c>
      <c r="B144">
        <v>109541</v>
      </c>
      <c r="C144">
        <v>6</v>
      </c>
      <c r="D144" t="s">
        <v>507</v>
      </c>
      <c r="E144" t="s">
        <v>508</v>
      </c>
      <c r="F144">
        <v>367</v>
      </c>
      <c r="G144">
        <v>34.51</v>
      </c>
      <c r="H144">
        <v>114.09</v>
      </c>
      <c r="I144">
        <v>25.7</v>
      </c>
      <c r="J144">
        <v>84.98</v>
      </c>
      <c r="K144">
        <v>23</v>
      </c>
      <c r="T144">
        <v>3</v>
      </c>
      <c r="U144">
        <v>2</v>
      </c>
      <c r="V144" t="s">
        <v>269</v>
      </c>
      <c r="W144" t="s">
        <v>79</v>
      </c>
      <c r="X144">
        <v>12</v>
      </c>
      <c r="Y144">
        <v>5</v>
      </c>
      <c r="Z144" t="s">
        <v>509</v>
      </c>
      <c r="AA144" t="s">
        <v>510</v>
      </c>
      <c r="AB144" t="s">
        <v>272</v>
      </c>
      <c r="AC144" t="s">
        <v>273</v>
      </c>
      <c r="AD144" t="s">
        <v>274</v>
      </c>
      <c r="AE144" t="s">
        <v>478</v>
      </c>
      <c r="AG144" t="s">
        <v>511</v>
      </c>
      <c r="AH144">
        <v>0</v>
      </c>
      <c r="AI144">
        <v>187</v>
      </c>
      <c r="AJ144">
        <v>45</v>
      </c>
      <c r="AK144">
        <v>396</v>
      </c>
      <c r="AL144">
        <v>1.08</v>
      </c>
    </row>
    <row r="145" spans="1:38" x14ac:dyDescent="0.3">
      <c r="A145" t="s">
        <v>512</v>
      </c>
      <c r="B145">
        <v>115894</v>
      </c>
      <c r="C145">
        <v>1</v>
      </c>
      <c r="D145" t="s">
        <v>513</v>
      </c>
      <c r="E145" t="s">
        <v>514</v>
      </c>
      <c r="F145">
        <v>625</v>
      </c>
      <c r="G145">
        <v>33.04</v>
      </c>
      <c r="H145">
        <v>109.23</v>
      </c>
      <c r="I145">
        <v>25.7</v>
      </c>
      <c r="J145">
        <v>84.99</v>
      </c>
      <c r="K145">
        <v>517</v>
      </c>
      <c r="T145">
        <v>3</v>
      </c>
      <c r="U145">
        <v>2</v>
      </c>
      <c r="V145" t="s">
        <v>269</v>
      </c>
      <c r="W145" t="s">
        <v>70</v>
      </c>
      <c r="X145">
        <v>20</v>
      </c>
      <c r="Y145">
        <v>19</v>
      </c>
      <c r="Z145" t="s">
        <v>515</v>
      </c>
      <c r="AA145" t="s">
        <v>516</v>
      </c>
      <c r="AB145" t="s">
        <v>272</v>
      </c>
      <c r="AC145" t="s">
        <v>273</v>
      </c>
      <c r="AD145" t="s">
        <v>274</v>
      </c>
      <c r="AE145" t="s">
        <v>243</v>
      </c>
      <c r="AG145" t="s">
        <v>517</v>
      </c>
      <c r="AH145">
        <v>0</v>
      </c>
      <c r="AI145">
        <v>176</v>
      </c>
      <c r="AJ145">
        <v>15</v>
      </c>
      <c r="AK145">
        <v>902</v>
      </c>
      <c r="AL145">
        <v>1.44</v>
      </c>
    </row>
    <row r="146" spans="1:38" x14ac:dyDescent="0.3">
      <c r="A146" t="s">
        <v>512</v>
      </c>
      <c r="B146">
        <v>115894</v>
      </c>
      <c r="C146">
        <v>2</v>
      </c>
      <c r="D146" t="s">
        <v>513</v>
      </c>
      <c r="E146" t="s">
        <v>514</v>
      </c>
      <c r="F146">
        <v>625</v>
      </c>
      <c r="G146">
        <v>33.01</v>
      </c>
      <c r="H146">
        <v>109.14</v>
      </c>
      <c r="I146">
        <v>25.7</v>
      </c>
      <c r="J146">
        <v>84.99</v>
      </c>
      <c r="K146">
        <v>108</v>
      </c>
      <c r="T146">
        <v>3</v>
      </c>
      <c r="U146">
        <v>2</v>
      </c>
      <c r="V146" t="s">
        <v>269</v>
      </c>
      <c r="W146" t="s">
        <v>71</v>
      </c>
      <c r="X146">
        <v>20</v>
      </c>
      <c r="Y146">
        <v>19</v>
      </c>
      <c r="Z146" t="s">
        <v>515</v>
      </c>
      <c r="AA146" t="s">
        <v>516</v>
      </c>
      <c r="AB146" t="s">
        <v>272</v>
      </c>
      <c r="AC146" t="s">
        <v>273</v>
      </c>
      <c r="AD146" t="s">
        <v>274</v>
      </c>
      <c r="AE146" t="s">
        <v>243</v>
      </c>
      <c r="AG146" t="s">
        <v>517</v>
      </c>
      <c r="AH146">
        <v>0</v>
      </c>
      <c r="AI146">
        <v>176</v>
      </c>
      <c r="AJ146">
        <v>15</v>
      </c>
      <c r="AK146">
        <v>902</v>
      </c>
      <c r="AL146">
        <v>1.44</v>
      </c>
    </row>
    <row r="147" spans="1:38" x14ac:dyDescent="0.3">
      <c r="A147" t="s">
        <v>512</v>
      </c>
      <c r="B147">
        <v>122588</v>
      </c>
      <c r="C147">
        <v>1</v>
      </c>
      <c r="D147" t="s">
        <v>518</v>
      </c>
      <c r="E147" t="s">
        <v>519</v>
      </c>
      <c r="F147">
        <v>177</v>
      </c>
      <c r="G147">
        <v>32.68</v>
      </c>
      <c r="H147">
        <v>108.06</v>
      </c>
      <c r="I147">
        <v>27.23</v>
      </c>
      <c r="J147">
        <v>90.02</v>
      </c>
      <c r="K147">
        <v>2</v>
      </c>
      <c r="T147">
        <v>4</v>
      </c>
      <c r="U147">
        <v>2</v>
      </c>
      <c r="V147" t="s">
        <v>269</v>
      </c>
      <c r="W147" t="s">
        <v>520</v>
      </c>
      <c r="X147">
        <v>4</v>
      </c>
      <c r="Y147">
        <v>4</v>
      </c>
      <c r="Z147" t="s">
        <v>521</v>
      </c>
      <c r="AA147" t="s">
        <v>522</v>
      </c>
      <c r="AB147" t="s">
        <v>272</v>
      </c>
      <c r="AC147" t="s">
        <v>273</v>
      </c>
      <c r="AD147" t="s">
        <v>274</v>
      </c>
      <c r="AE147" t="s">
        <v>243</v>
      </c>
      <c r="AG147" t="s">
        <v>523</v>
      </c>
      <c r="AH147">
        <v>0</v>
      </c>
      <c r="AI147">
        <v>99</v>
      </c>
      <c r="AJ147">
        <v>39</v>
      </c>
      <c r="AK147">
        <v>280</v>
      </c>
      <c r="AL147">
        <v>1.58</v>
      </c>
    </row>
    <row r="148" spans="1:38" x14ac:dyDescent="0.3">
      <c r="A148" t="s">
        <v>512</v>
      </c>
      <c r="B148">
        <v>122588</v>
      </c>
      <c r="C148">
        <v>2</v>
      </c>
      <c r="D148" t="s">
        <v>518</v>
      </c>
      <c r="E148" t="s">
        <v>519</v>
      </c>
      <c r="F148">
        <v>177</v>
      </c>
      <c r="G148">
        <v>32.68</v>
      </c>
      <c r="H148">
        <v>108.06</v>
      </c>
      <c r="I148">
        <v>27.23</v>
      </c>
      <c r="J148">
        <v>90.02</v>
      </c>
      <c r="K148">
        <v>2</v>
      </c>
      <c r="T148">
        <v>3</v>
      </c>
      <c r="U148">
        <v>2</v>
      </c>
      <c r="V148" t="s">
        <v>269</v>
      </c>
      <c r="W148" t="s">
        <v>524</v>
      </c>
      <c r="X148">
        <v>4</v>
      </c>
      <c r="Y148">
        <v>4</v>
      </c>
      <c r="Z148" t="s">
        <v>521</v>
      </c>
      <c r="AA148" t="s">
        <v>522</v>
      </c>
      <c r="AB148" t="s">
        <v>272</v>
      </c>
      <c r="AC148" t="s">
        <v>273</v>
      </c>
      <c r="AD148" t="s">
        <v>274</v>
      </c>
      <c r="AE148" t="s">
        <v>243</v>
      </c>
      <c r="AG148" t="s">
        <v>523</v>
      </c>
      <c r="AH148">
        <v>0</v>
      </c>
      <c r="AI148">
        <v>99</v>
      </c>
      <c r="AJ148">
        <v>39</v>
      </c>
      <c r="AK148">
        <v>280</v>
      </c>
      <c r="AL148">
        <v>1.58</v>
      </c>
    </row>
    <row r="149" spans="1:38" x14ac:dyDescent="0.3">
      <c r="A149" t="s">
        <v>512</v>
      </c>
      <c r="B149">
        <v>122588</v>
      </c>
      <c r="C149">
        <v>3</v>
      </c>
      <c r="D149" t="s">
        <v>518</v>
      </c>
      <c r="E149" t="s">
        <v>519</v>
      </c>
      <c r="F149">
        <v>177</v>
      </c>
      <c r="G149">
        <v>33.700000000000003</v>
      </c>
      <c r="H149">
        <v>111.42</v>
      </c>
      <c r="I149">
        <v>25.61</v>
      </c>
      <c r="J149">
        <v>84.67</v>
      </c>
      <c r="K149">
        <v>18</v>
      </c>
      <c r="T149">
        <v>3</v>
      </c>
      <c r="U149">
        <v>2</v>
      </c>
      <c r="V149" t="s">
        <v>269</v>
      </c>
      <c r="W149" t="s">
        <v>525</v>
      </c>
      <c r="X149">
        <v>4</v>
      </c>
      <c r="Y149">
        <v>4</v>
      </c>
      <c r="Z149" t="s">
        <v>521</v>
      </c>
      <c r="AA149" t="s">
        <v>522</v>
      </c>
      <c r="AB149" t="s">
        <v>272</v>
      </c>
      <c r="AC149" t="s">
        <v>273</v>
      </c>
      <c r="AD149" t="s">
        <v>274</v>
      </c>
      <c r="AE149" t="s">
        <v>243</v>
      </c>
      <c r="AG149" t="s">
        <v>523</v>
      </c>
      <c r="AH149">
        <v>0</v>
      </c>
      <c r="AI149">
        <v>99</v>
      </c>
      <c r="AJ149">
        <v>39</v>
      </c>
      <c r="AK149">
        <v>280</v>
      </c>
      <c r="AL149">
        <v>1.58</v>
      </c>
    </row>
    <row r="150" spans="1:38" x14ac:dyDescent="0.3">
      <c r="A150" t="s">
        <v>512</v>
      </c>
      <c r="B150">
        <v>122588</v>
      </c>
      <c r="C150">
        <v>4</v>
      </c>
      <c r="D150" t="s">
        <v>518</v>
      </c>
      <c r="E150" t="s">
        <v>519</v>
      </c>
      <c r="F150">
        <v>177</v>
      </c>
      <c r="G150">
        <v>33.700000000000003</v>
      </c>
      <c r="H150">
        <v>111.42</v>
      </c>
      <c r="I150">
        <v>25.61</v>
      </c>
      <c r="J150">
        <v>84.67</v>
      </c>
      <c r="K150">
        <v>18</v>
      </c>
      <c r="T150">
        <v>3</v>
      </c>
      <c r="U150">
        <v>2</v>
      </c>
      <c r="V150" t="s">
        <v>269</v>
      </c>
      <c r="W150" t="s">
        <v>526</v>
      </c>
      <c r="X150">
        <v>4</v>
      </c>
      <c r="Y150">
        <v>4</v>
      </c>
      <c r="Z150" t="s">
        <v>521</v>
      </c>
      <c r="AA150" t="s">
        <v>522</v>
      </c>
      <c r="AB150" t="s">
        <v>272</v>
      </c>
      <c r="AC150" t="s">
        <v>273</v>
      </c>
      <c r="AD150" t="s">
        <v>274</v>
      </c>
      <c r="AE150" t="s">
        <v>243</v>
      </c>
      <c r="AG150" t="s">
        <v>523</v>
      </c>
      <c r="AH150">
        <v>0</v>
      </c>
      <c r="AI150">
        <v>99</v>
      </c>
      <c r="AJ150">
        <v>39</v>
      </c>
      <c r="AK150">
        <v>280</v>
      </c>
      <c r="AL150">
        <v>1.58</v>
      </c>
    </row>
    <row r="151" spans="1:38" x14ac:dyDescent="0.3">
      <c r="A151" t="s">
        <v>512</v>
      </c>
      <c r="B151">
        <v>122588</v>
      </c>
      <c r="C151">
        <v>5</v>
      </c>
      <c r="D151" t="s">
        <v>518</v>
      </c>
      <c r="E151" t="s">
        <v>519</v>
      </c>
      <c r="F151">
        <v>177</v>
      </c>
      <c r="G151">
        <v>33.86</v>
      </c>
      <c r="H151">
        <v>111.95</v>
      </c>
      <c r="I151">
        <v>25.63</v>
      </c>
      <c r="J151">
        <v>84.75</v>
      </c>
      <c r="K151">
        <v>18</v>
      </c>
      <c r="T151">
        <v>3</v>
      </c>
      <c r="U151">
        <v>2</v>
      </c>
      <c r="V151" t="s">
        <v>269</v>
      </c>
      <c r="W151" t="s">
        <v>527</v>
      </c>
      <c r="X151">
        <v>4</v>
      </c>
      <c r="Y151">
        <v>4</v>
      </c>
      <c r="Z151" t="s">
        <v>521</v>
      </c>
      <c r="AA151" t="s">
        <v>522</v>
      </c>
      <c r="AB151" t="s">
        <v>272</v>
      </c>
      <c r="AC151" t="s">
        <v>273</v>
      </c>
      <c r="AD151" t="s">
        <v>274</v>
      </c>
      <c r="AE151" t="s">
        <v>243</v>
      </c>
      <c r="AG151" t="s">
        <v>523</v>
      </c>
      <c r="AH151">
        <v>0</v>
      </c>
      <c r="AI151">
        <v>99</v>
      </c>
      <c r="AJ151">
        <v>39</v>
      </c>
      <c r="AK151">
        <v>280</v>
      </c>
      <c r="AL151">
        <v>1.58</v>
      </c>
    </row>
    <row r="152" spans="1:38" x14ac:dyDescent="0.3">
      <c r="A152" t="s">
        <v>512</v>
      </c>
      <c r="B152">
        <v>122588</v>
      </c>
      <c r="C152">
        <v>6</v>
      </c>
      <c r="D152" t="s">
        <v>518</v>
      </c>
      <c r="E152" t="s">
        <v>519</v>
      </c>
      <c r="F152">
        <v>177</v>
      </c>
      <c r="G152">
        <v>33.700000000000003</v>
      </c>
      <c r="H152">
        <v>111.42</v>
      </c>
      <c r="I152">
        <v>25.61</v>
      </c>
      <c r="J152">
        <v>84.67</v>
      </c>
      <c r="K152">
        <v>18</v>
      </c>
      <c r="T152">
        <v>3</v>
      </c>
      <c r="U152">
        <v>2</v>
      </c>
      <c r="V152" t="s">
        <v>269</v>
      </c>
      <c r="W152" t="s">
        <v>528</v>
      </c>
      <c r="X152">
        <v>4</v>
      </c>
      <c r="Y152">
        <v>4</v>
      </c>
      <c r="Z152" t="s">
        <v>521</v>
      </c>
      <c r="AA152" t="s">
        <v>522</v>
      </c>
      <c r="AB152" t="s">
        <v>272</v>
      </c>
      <c r="AC152" t="s">
        <v>273</v>
      </c>
      <c r="AD152" t="s">
        <v>274</v>
      </c>
      <c r="AE152" t="s">
        <v>243</v>
      </c>
      <c r="AG152" t="s">
        <v>523</v>
      </c>
      <c r="AH152">
        <v>0</v>
      </c>
      <c r="AI152">
        <v>99</v>
      </c>
      <c r="AJ152">
        <v>39</v>
      </c>
      <c r="AK152">
        <v>280</v>
      </c>
      <c r="AL152">
        <v>1.58</v>
      </c>
    </row>
    <row r="153" spans="1:38" x14ac:dyDescent="0.3">
      <c r="A153" t="s">
        <v>512</v>
      </c>
      <c r="B153">
        <v>122588</v>
      </c>
      <c r="C153">
        <v>7</v>
      </c>
      <c r="D153" t="s">
        <v>518</v>
      </c>
      <c r="E153" t="s">
        <v>519</v>
      </c>
      <c r="F153">
        <v>177</v>
      </c>
      <c r="G153">
        <v>33.67</v>
      </c>
      <c r="H153">
        <v>111.33</v>
      </c>
      <c r="I153">
        <v>25.56</v>
      </c>
      <c r="J153">
        <v>84.5</v>
      </c>
      <c r="K153">
        <v>6</v>
      </c>
      <c r="T153">
        <v>3</v>
      </c>
      <c r="U153">
        <v>2</v>
      </c>
      <c r="V153" t="s">
        <v>269</v>
      </c>
      <c r="W153" t="s">
        <v>529</v>
      </c>
      <c r="X153">
        <v>4</v>
      </c>
      <c r="Y153">
        <v>4</v>
      </c>
      <c r="Z153" t="s">
        <v>521</v>
      </c>
      <c r="AA153" t="s">
        <v>522</v>
      </c>
      <c r="AB153" t="s">
        <v>272</v>
      </c>
      <c r="AC153" t="s">
        <v>273</v>
      </c>
      <c r="AD153" t="s">
        <v>274</v>
      </c>
      <c r="AE153" t="s">
        <v>243</v>
      </c>
      <c r="AG153" t="s">
        <v>523</v>
      </c>
      <c r="AH153">
        <v>0</v>
      </c>
      <c r="AI153">
        <v>99</v>
      </c>
      <c r="AJ153">
        <v>39</v>
      </c>
      <c r="AK153">
        <v>280</v>
      </c>
      <c r="AL153">
        <v>1.58</v>
      </c>
    </row>
    <row r="154" spans="1:38" x14ac:dyDescent="0.3">
      <c r="A154" t="s">
        <v>512</v>
      </c>
      <c r="B154">
        <v>122588</v>
      </c>
      <c r="C154">
        <v>8</v>
      </c>
      <c r="D154" t="s">
        <v>518</v>
      </c>
      <c r="E154" t="s">
        <v>519</v>
      </c>
      <c r="F154">
        <v>177</v>
      </c>
      <c r="G154">
        <v>33.67</v>
      </c>
      <c r="H154">
        <v>111.33</v>
      </c>
      <c r="I154">
        <v>25.56</v>
      </c>
      <c r="J154">
        <v>84.5</v>
      </c>
      <c r="K154">
        <v>6</v>
      </c>
      <c r="T154">
        <v>3</v>
      </c>
      <c r="U154">
        <v>2</v>
      </c>
      <c r="V154" t="s">
        <v>269</v>
      </c>
      <c r="W154" t="s">
        <v>530</v>
      </c>
      <c r="X154">
        <v>4</v>
      </c>
      <c r="Y154">
        <v>4</v>
      </c>
      <c r="Z154" t="s">
        <v>521</v>
      </c>
      <c r="AA154" t="s">
        <v>522</v>
      </c>
      <c r="AB154" t="s">
        <v>272</v>
      </c>
      <c r="AC154" t="s">
        <v>273</v>
      </c>
      <c r="AD154" t="s">
        <v>274</v>
      </c>
      <c r="AE154" t="s">
        <v>243</v>
      </c>
      <c r="AG154" t="s">
        <v>523</v>
      </c>
      <c r="AH154">
        <v>0</v>
      </c>
      <c r="AI154">
        <v>99</v>
      </c>
      <c r="AJ154">
        <v>39</v>
      </c>
      <c r="AK154">
        <v>280</v>
      </c>
      <c r="AL154">
        <v>1.58</v>
      </c>
    </row>
    <row r="155" spans="1:38" x14ac:dyDescent="0.3">
      <c r="A155" t="s">
        <v>512</v>
      </c>
      <c r="B155">
        <v>122588</v>
      </c>
      <c r="C155">
        <v>9</v>
      </c>
      <c r="D155" t="s">
        <v>518</v>
      </c>
      <c r="E155" t="s">
        <v>519</v>
      </c>
      <c r="F155">
        <v>177</v>
      </c>
      <c r="G155">
        <v>33.74</v>
      </c>
      <c r="H155">
        <v>111.54</v>
      </c>
      <c r="I155">
        <v>25.54</v>
      </c>
      <c r="J155">
        <v>84.45</v>
      </c>
      <c r="K155">
        <v>4</v>
      </c>
      <c r="T155">
        <v>3</v>
      </c>
      <c r="U155">
        <v>2</v>
      </c>
      <c r="V155" t="s">
        <v>269</v>
      </c>
      <c r="W155" t="s">
        <v>531</v>
      </c>
      <c r="X155">
        <v>4</v>
      </c>
      <c r="Y155">
        <v>4</v>
      </c>
      <c r="Z155" t="s">
        <v>521</v>
      </c>
      <c r="AA155" t="s">
        <v>522</v>
      </c>
      <c r="AB155" t="s">
        <v>272</v>
      </c>
      <c r="AC155" t="s">
        <v>273</v>
      </c>
      <c r="AD155" t="s">
        <v>274</v>
      </c>
      <c r="AE155" t="s">
        <v>243</v>
      </c>
      <c r="AG155" t="s">
        <v>523</v>
      </c>
      <c r="AH155">
        <v>0</v>
      </c>
      <c r="AI155">
        <v>99</v>
      </c>
      <c r="AJ155">
        <v>39</v>
      </c>
      <c r="AK155">
        <v>280</v>
      </c>
      <c r="AL155">
        <v>1.58</v>
      </c>
    </row>
    <row r="156" spans="1:38" x14ac:dyDescent="0.3">
      <c r="A156" t="s">
        <v>512</v>
      </c>
      <c r="B156">
        <v>122588</v>
      </c>
      <c r="C156">
        <v>10</v>
      </c>
      <c r="D156" t="s">
        <v>518</v>
      </c>
      <c r="E156" t="s">
        <v>519</v>
      </c>
      <c r="F156">
        <v>177</v>
      </c>
      <c r="G156">
        <v>33.74</v>
      </c>
      <c r="H156">
        <v>111.54</v>
      </c>
      <c r="I156">
        <v>25.54</v>
      </c>
      <c r="J156">
        <v>84.45</v>
      </c>
      <c r="K156">
        <v>4</v>
      </c>
      <c r="T156">
        <v>3</v>
      </c>
      <c r="U156">
        <v>2</v>
      </c>
      <c r="V156" t="s">
        <v>269</v>
      </c>
      <c r="W156" t="s">
        <v>532</v>
      </c>
      <c r="X156">
        <v>4</v>
      </c>
      <c r="Y156">
        <v>4</v>
      </c>
      <c r="Z156" t="s">
        <v>521</v>
      </c>
      <c r="AA156" t="s">
        <v>522</v>
      </c>
      <c r="AB156" t="s">
        <v>272</v>
      </c>
      <c r="AC156" t="s">
        <v>273</v>
      </c>
      <c r="AD156" t="s">
        <v>274</v>
      </c>
      <c r="AE156" t="s">
        <v>243</v>
      </c>
      <c r="AG156" t="s">
        <v>523</v>
      </c>
      <c r="AH156">
        <v>0</v>
      </c>
      <c r="AI156">
        <v>99</v>
      </c>
      <c r="AJ156">
        <v>39</v>
      </c>
      <c r="AK156">
        <v>280</v>
      </c>
      <c r="AL156">
        <v>1.58</v>
      </c>
    </row>
    <row r="157" spans="1:38" x14ac:dyDescent="0.3">
      <c r="A157" t="s">
        <v>512</v>
      </c>
      <c r="B157">
        <v>122588</v>
      </c>
      <c r="C157">
        <v>11</v>
      </c>
      <c r="D157" t="s">
        <v>518</v>
      </c>
      <c r="E157" t="s">
        <v>519</v>
      </c>
      <c r="F157">
        <v>177</v>
      </c>
      <c r="G157">
        <v>33.74</v>
      </c>
      <c r="H157">
        <v>111.54</v>
      </c>
      <c r="I157">
        <v>25.54</v>
      </c>
      <c r="J157">
        <v>84.45</v>
      </c>
      <c r="K157">
        <v>2</v>
      </c>
      <c r="T157">
        <v>3</v>
      </c>
      <c r="U157">
        <v>2</v>
      </c>
      <c r="V157" t="s">
        <v>269</v>
      </c>
      <c r="W157" t="s">
        <v>533</v>
      </c>
      <c r="X157">
        <v>4</v>
      </c>
      <c r="Y157">
        <v>4</v>
      </c>
      <c r="Z157" t="s">
        <v>521</v>
      </c>
      <c r="AA157" t="s">
        <v>522</v>
      </c>
      <c r="AB157" t="s">
        <v>272</v>
      </c>
      <c r="AC157" t="s">
        <v>273</v>
      </c>
      <c r="AD157" t="s">
        <v>274</v>
      </c>
      <c r="AE157" t="s">
        <v>243</v>
      </c>
      <c r="AG157" t="s">
        <v>523</v>
      </c>
      <c r="AH157">
        <v>0</v>
      </c>
      <c r="AI157">
        <v>99</v>
      </c>
      <c r="AJ157">
        <v>39</v>
      </c>
      <c r="AK157">
        <v>280</v>
      </c>
      <c r="AL157">
        <v>1.58</v>
      </c>
    </row>
    <row r="158" spans="1:38" x14ac:dyDescent="0.3">
      <c r="A158" t="s">
        <v>512</v>
      </c>
      <c r="B158">
        <v>122588</v>
      </c>
      <c r="C158">
        <v>12</v>
      </c>
      <c r="D158" t="s">
        <v>518</v>
      </c>
      <c r="E158" t="s">
        <v>519</v>
      </c>
      <c r="F158">
        <v>177</v>
      </c>
      <c r="G158">
        <v>33.880000000000003</v>
      </c>
      <c r="H158">
        <v>112.03</v>
      </c>
      <c r="I158">
        <v>25.63</v>
      </c>
      <c r="J158">
        <v>84.73</v>
      </c>
      <c r="K158">
        <v>6</v>
      </c>
      <c r="T158">
        <v>3</v>
      </c>
      <c r="U158">
        <v>2</v>
      </c>
      <c r="V158" t="s">
        <v>269</v>
      </c>
      <c r="W158" t="s">
        <v>534</v>
      </c>
      <c r="X158">
        <v>4</v>
      </c>
      <c r="Y158">
        <v>4</v>
      </c>
      <c r="Z158" t="s">
        <v>521</v>
      </c>
      <c r="AA158" t="s">
        <v>522</v>
      </c>
      <c r="AB158" t="s">
        <v>272</v>
      </c>
      <c r="AC158" t="s">
        <v>273</v>
      </c>
      <c r="AD158" t="s">
        <v>274</v>
      </c>
      <c r="AE158" t="s">
        <v>243</v>
      </c>
      <c r="AG158" t="s">
        <v>523</v>
      </c>
      <c r="AH158">
        <v>0</v>
      </c>
      <c r="AI158">
        <v>99</v>
      </c>
      <c r="AJ158">
        <v>39</v>
      </c>
      <c r="AK158">
        <v>280</v>
      </c>
      <c r="AL158">
        <v>1.58</v>
      </c>
    </row>
    <row r="159" spans="1:38" x14ac:dyDescent="0.3">
      <c r="A159" t="s">
        <v>512</v>
      </c>
      <c r="B159">
        <v>122588</v>
      </c>
      <c r="C159">
        <v>13</v>
      </c>
      <c r="D159" t="s">
        <v>518</v>
      </c>
      <c r="E159" t="s">
        <v>519</v>
      </c>
      <c r="F159">
        <v>177</v>
      </c>
      <c r="G159">
        <v>33.99</v>
      </c>
      <c r="H159">
        <v>112.37</v>
      </c>
      <c r="I159">
        <v>25.58</v>
      </c>
      <c r="J159">
        <v>84.59</v>
      </c>
      <c r="K159">
        <v>6</v>
      </c>
      <c r="T159">
        <v>3</v>
      </c>
      <c r="U159">
        <v>2</v>
      </c>
      <c r="V159" t="s">
        <v>269</v>
      </c>
      <c r="W159" t="s">
        <v>535</v>
      </c>
      <c r="X159">
        <v>4</v>
      </c>
      <c r="Y159">
        <v>4</v>
      </c>
      <c r="Z159" t="s">
        <v>521</v>
      </c>
      <c r="AA159" t="s">
        <v>522</v>
      </c>
      <c r="AB159" t="s">
        <v>272</v>
      </c>
      <c r="AC159" t="s">
        <v>273</v>
      </c>
      <c r="AD159" t="s">
        <v>274</v>
      </c>
      <c r="AE159" t="s">
        <v>243</v>
      </c>
      <c r="AG159" t="s">
        <v>523</v>
      </c>
      <c r="AH159">
        <v>0</v>
      </c>
      <c r="AI159">
        <v>99</v>
      </c>
      <c r="AJ159">
        <v>39</v>
      </c>
      <c r="AK159">
        <v>280</v>
      </c>
      <c r="AL159">
        <v>1.58</v>
      </c>
    </row>
    <row r="160" spans="1:38" x14ac:dyDescent="0.3">
      <c r="A160" t="s">
        <v>512</v>
      </c>
      <c r="B160">
        <v>122588</v>
      </c>
      <c r="C160">
        <v>14</v>
      </c>
      <c r="D160" t="s">
        <v>518</v>
      </c>
      <c r="E160" t="s">
        <v>519</v>
      </c>
      <c r="F160">
        <v>177</v>
      </c>
      <c r="G160">
        <v>33.94</v>
      </c>
      <c r="H160">
        <v>112.21</v>
      </c>
      <c r="I160">
        <v>25.56</v>
      </c>
      <c r="J160">
        <v>84.51</v>
      </c>
      <c r="K160">
        <v>4</v>
      </c>
      <c r="T160">
        <v>3</v>
      </c>
      <c r="U160">
        <v>2</v>
      </c>
      <c r="V160" t="s">
        <v>269</v>
      </c>
      <c r="W160" t="s">
        <v>536</v>
      </c>
      <c r="X160">
        <v>4</v>
      </c>
      <c r="Y160">
        <v>4</v>
      </c>
      <c r="Z160" t="s">
        <v>521</v>
      </c>
      <c r="AA160" t="s">
        <v>522</v>
      </c>
      <c r="AB160" t="s">
        <v>272</v>
      </c>
      <c r="AC160" t="s">
        <v>273</v>
      </c>
      <c r="AD160" t="s">
        <v>274</v>
      </c>
      <c r="AE160" t="s">
        <v>243</v>
      </c>
      <c r="AG160" t="s">
        <v>523</v>
      </c>
      <c r="AH160">
        <v>0</v>
      </c>
      <c r="AI160">
        <v>99</v>
      </c>
      <c r="AJ160">
        <v>39</v>
      </c>
      <c r="AK160">
        <v>280</v>
      </c>
      <c r="AL160">
        <v>1.58</v>
      </c>
    </row>
    <row r="161" spans="1:38" x14ac:dyDescent="0.3">
      <c r="A161" t="s">
        <v>512</v>
      </c>
      <c r="B161">
        <v>122588</v>
      </c>
      <c r="C161">
        <v>15</v>
      </c>
      <c r="D161" t="s">
        <v>518</v>
      </c>
      <c r="E161" t="s">
        <v>519</v>
      </c>
      <c r="F161">
        <v>177</v>
      </c>
      <c r="G161">
        <v>34.85</v>
      </c>
      <c r="H161">
        <v>115.22</v>
      </c>
      <c r="I161">
        <v>29.2</v>
      </c>
      <c r="J161">
        <v>96.54</v>
      </c>
      <c r="K161">
        <v>2</v>
      </c>
      <c r="T161">
        <v>3</v>
      </c>
      <c r="U161">
        <v>2</v>
      </c>
      <c r="V161" t="s">
        <v>269</v>
      </c>
      <c r="W161" t="s">
        <v>537</v>
      </c>
      <c r="X161">
        <v>4</v>
      </c>
      <c r="Y161">
        <v>4</v>
      </c>
      <c r="Z161" t="s">
        <v>521</v>
      </c>
      <c r="AA161" t="s">
        <v>522</v>
      </c>
      <c r="AB161" t="s">
        <v>272</v>
      </c>
      <c r="AC161" t="s">
        <v>273</v>
      </c>
      <c r="AD161" t="s">
        <v>274</v>
      </c>
      <c r="AE161" t="s">
        <v>243</v>
      </c>
      <c r="AG161" t="s">
        <v>523</v>
      </c>
      <c r="AH161">
        <v>0</v>
      </c>
      <c r="AI161">
        <v>99</v>
      </c>
      <c r="AJ161">
        <v>39</v>
      </c>
      <c r="AK161">
        <v>280</v>
      </c>
      <c r="AL161">
        <v>1.58</v>
      </c>
    </row>
    <row r="162" spans="1:38" x14ac:dyDescent="0.3">
      <c r="A162" t="s">
        <v>512</v>
      </c>
      <c r="B162">
        <v>122588</v>
      </c>
      <c r="C162">
        <v>16</v>
      </c>
      <c r="D162" t="s">
        <v>518</v>
      </c>
      <c r="E162" t="s">
        <v>519</v>
      </c>
      <c r="F162">
        <v>177</v>
      </c>
      <c r="G162">
        <v>41.01</v>
      </c>
      <c r="H162">
        <v>135.58000000000001</v>
      </c>
      <c r="I162">
        <v>34.64</v>
      </c>
      <c r="J162">
        <v>114.54</v>
      </c>
      <c r="K162">
        <v>3</v>
      </c>
      <c r="T162">
        <v>4</v>
      </c>
      <c r="U162">
        <v>2</v>
      </c>
      <c r="V162" t="s">
        <v>269</v>
      </c>
      <c r="W162" t="s">
        <v>538</v>
      </c>
      <c r="X162">
        <v>4</v>
      </c>
      <c r="Y162">
        <v>4</v>
      </c>
      <c r="Z162" t="s">
        <v>521</v>
      </c>
      <c r="AA162" t="s">
        <v>522</v>
      </c>
      <c r="AB162" t="s">
        <v>272</v>
      </c>
      <c r="AC162" t="s">
        <v>273</v>
      </c>
      <c r="AD162" t="s">
        <v>274</v>
      </c>
      <c r="AE162" t="s">
        <v>243</v>
      </c>
      <c r="AG162" t="s">
        <v>523</v>
      </c>
      <c r="AH162">
        <v>0</v>
      </c>
      <c r="AI162">
        <v>99</v>
      </c>
      <c r="AJ162">
        <v>39</v>
      </c>
      <c r="AK162">
        <v>280</v>
      </c>
      <c r="AL162">
        <v>1.58</v>
      </c>
    </row>
    <row r="163" spans="1:38" x14ac:dyDescent="0.3">
      <c r="A163" t="s">
        <v>512</v>
      </c>
      <c r="B163">
        <v>122588</v>
      </c>
      <c r="C163">
        <v>17</v>
      </c>
      <c r="D163" t="s">
        <v>518</v>
      </c>
      <c r="E163" t="s">
        <v>519</v>
      </c>
      <c r="F163">
        <v>177</v>
      </c>
      <c r="G163">
        <v>41.01</v>
      </c>
      <c r="H163">
        <v>135.58000000000001</v>
      </c>
      <c r="I163">
        <v>34.64</v>
      </c>
      <c r="J163">
        <v>114.54</v>
      </c>
      <c r="K163">
        <v>3</v>
      </c>
      <c r="T163">
        <v>3</v>
      </c>
      <c r="U163">
        <v>2</v>
      </c>
      <c r="V163" t="s">
        <v>269</v>
      </c>
      <c r="W163" t="s">
        <v>539</v>
      </c>
      <c r="X163">
        <v>4</v>
      </c>
      <c r="Y163">
        <v>4</v>
      </c>
      <c r="Z163" t="s">
        <v>521</v>
      </c>
      <c r="AA163" t="s">
        <v>522</v>
      </c>
      <c r="AB163" t="s">
        <v>272</v>
      </c>
      <c r="AC163" t="s">
        <v>273</v>
      </c>
      <c r="AD163" t="s">
        <v>274</v>
      </c>
      <c r="AE163" t="s">
        <v>243</v>
      </c>
      <c r="AG163" t="s">
        <v>523</v>
      </c>
      <c r="AH163">
        <v>0</v>
      </c>
      <c r="AI163">
        <v>99</v>
      </c>
      <c r="AJ163">
        <v>39</v>
      </c>
      <c r="AK163">
        <v>280</v>
      </c>
      <c r="AL163">
        <v>1.58</v>
      </c>
    </row>
    <row r="164" spans="1:38" x14ac:dyDescent="0.3">
      <c r="A164" t="s">
        <v>512</v>
      </c>
      <c r="B164">
        <v>122588</v>
      </c>
      <c r="C164">
        <v>18</v>
      </c>
      <c r="D164" t="s">
        <v>518</v>
      </c>
      <c r="E164" t="s">
        <v>519</v>
      </c>
      <c r="F164">
        <v>177</v>
      </c>
      <c r="G164">
        <v>41.16</v>
      </c>
      <c r="H164">
        <v>136.07</v>
      </c>
      <c r="I164">
        <v>35.020000000000003</v>
      </c>
      <c r="J164">
        <v>115.78</v>
      </c>
      <c r="K164">
        <v>11</v>
      </c>
      <c r="T164">
        <v>4</v>
      </c>
      <c r="U164">
        <v>2</v>
      </c>
      <c r="V164" t="s">
        <v>269</v>
      </c>
      <c r="W164" t="s">
        <v>540</v>
      </c>
      <c r="X164">
        <v>4</v>
      </c>
      <c r="Y164">
        <v>4</v>
      </c>
      <c r="Z164" t="s">
        <v>521</v>
      </c>
      <c r="AA164" t="s">
        <v>522</v>
      </c>
      <c r="AB164" t="s">
        <v>272</v>
      </c>
      <c r="AC164" t="s">
        <v>273</v>
      </c>
      <c r="AD164" t="s">
        <v>274</v>
      </c>
      <c r="AE164" t="s">
        <v>243</v>
      </c>
      <c r="AG164" t="s">
        <v>523</v>
      </c>
      <c r="AH164">
        <v>0</v>
      </c>
      <c r="AI164">
        <v>99</v>
      </c>
      <c r="AJ164">
        <v>39</v>
      </c>
      <c r="AK164">
        <v>280</v>
      </c>
      <c r="AL164">
        <v>1.58</v>
      </c>
    </row>
    <row r="165" spans="1:38" x14ac:dyDescent="0.3">
      <c r="A165" t="s">
        <v>512</v>
      </c>
      <c r="B165">
        <v>122588</v>
      </c>
      <c r="C165">
        <v>19</v>
      </c>
      <c r="D165" t="s">
        <v>518</v>
      </c>
      <c r="E165" t="s">
        <v>519</v>
      </c>
      <c r="F165">
        <v>177</v>
      </c>
      <c r="G165">
        <v>41.16</v>
      </c>
      <c r="H165">
        <v>136.07</v>
      </c>
      <c r="I165">
        <v>35.020000000000003</v>
      </c>
      <c r="J165">
        <v>115.78</v>
      </c>
      <c r="K165">
        <v>11</v>
      </c>
      <c r="T165">
        <v>3</v>
      </c>
      <c r="U165">
        <v>2</v>
      </c>
      <c r="V165" t="s">
        <v>269</v>
      </c>
      <c r="W165" t="s">
        <v>541</v>
      </c>
      <c r="X165">
        <v>4</v>
      </c>
      <c r="Y165">
        <v>4</v>
      </c>
      <c r="Z165" t="s">
        <v>521</v>
      </c>
      <c r="AA165" t="s">
        <v>522</v>
      </c>
      <c r="AB165" t="s">
        <v>272</v>
      </c>
      <c r="AC165" t="s">
        <v>273</v>
      </c>
      <c r="AD165" t="s">
        <v>274</v>
      </c>
      <c r="AE165" t="s">
        <v>243</v>
      </c>
      <c r="AG165" t="s">
        <v>523</v>
      </c>
      <c r="AH165">
        <v>0</v>
      </c>
      <c r="AI165">
        <v>99</v>
      </c>
      <c r="AJ165">
        <v>39</v>
      </c>
      <c r="AK165">
        <v>280</v>
      </c>
      <c r="AL165">
        <v>1.58</v>
      </c>
    </row>
    <row r="166" spans="1:38" x14ac:dyDescent="0.3">
      <c r="A166" t="s">
        <v>512</v>
      </c>
      <c r="B166">
        <v>122588</v>
      </c>
      <c r="C166">
        <v>20</v>
      </c>
      <c r="D166" t="s">
        <v>518</v>
      </c>
      <c r="E166" t="s">
        <v>519</v>
      </c>
      <c r="F166">
        <v>177</v>
      </c>
      <c r="G166">
        <v>41.14</v>
      </c>
      <c r="H166">
        <v>136</v>
      </c>
      <c r="I166">
        <v>35.020000000000003</v>
      </c>
      <c r="J166">
        <v>115.77</v>
      </c>
      <c r="K166">
        <v>1</v>
      </c>
      <c r="T166">
        <v>4</v>
      </c>
      <c r="U166">
        <v>2</v>
      </c>
      <c r="V166" t="s">
        <v>269</v>
      </c>
      <c r="W166" t="s">
        <v>542</v>
      </c>
      <c r="X166">
        <v>4</v>
      </c>
      <c r="Y166">
        <v>4</v>
      </c>
      <c r="Z166" t="s">
        <v>521</v>
      </c>
      <c r="AA166" t="s">
        <v>522</v>
      </c>
      <c r="AB166" t="s">
        <v>272</v>
      </c>
      <c r="AC166" t="s">
        <v>273</v>
      </c>
      <c r="AD166" t="s">
        <v>274</v>
      </c>
      <c r="AE166" t="s">
        <v>243</v>
      </c>
      <c r="AG166" t="s">
        <v>523</v>
      </c>
      <c r="AH166">
        <v>0</v>
      </c>
      <c r="AI166">
        <v>99</v>
      </c>
      <c r="AJ166">
        <v>39</v>
      </c>
      <c r="AK166">
        <v>280</v>
      </c>
      <c r="AL166">
        <v>1.58</v>
      </c>
    </row>
    <row r="167" spans="1:38" x14ac:dyDescent="0.3">
      <c r="A167" t="s">
        <v>512</v>
      </c>
      <c r="B167">
        <v>122588</v>
      </c>
      <c r="C167">
        <v>21</v>
      </c>
      <c r="D167" t="s">
        <v>518</v>
      </c>
      <c r="E167" t="s">
        <v>519</v>
      </c>
      <c r="F167">
        <v>177</v>
      </c>
      <c r="G167">
        <v>41.14</v>
      </c>
      <c r="H167">
        <v>136</v>
      </c>
      <c r="I167">
        <v>35.020000000000003</v>
      </c>
      <c r="J167">
        <v>115.77</v>
      </c>
      <c r="K167">
        <v>1</v>
      </c>
      <c r="T167">
        <v>3</v>
      </c>
      <c r="U167">
        <v>2</v>
      </c>
      <c r="V167" t="s">
        <v>269</v>
      </c>
      <c r="W167" t="s">
        <v>543</v>
      </c>
      <c r="X167">
        <v>4</v>
      </c>
      <c r="Y167">
        <v>4</v>
      </c>
      <c r="Z167" t="s">
        <v>521</v>
      </c>
      <c r="AA167" t="s">
        <v>522</v>
      </c>
      <c r="AB167" t="s">
        <v>272</v>
      </c>
      <c r="AC167" t="s">
        <v>273</v>
      </c>
      <c r="AD167" t="s">
        <v>274</v>
      </c>
      <c r="AE167" t="s">
        <v>243</v>
      </c>
      <c r="AG167" t="s">
        <v>523</v>
      </c>
      <c r="AH167">
        <v>0</v>
      </c>
      <c r="AI167">
        <v>99</v>
      </c>
      <c r="AJ167">
        <v>39</v>
      </c>
      <c r="AK167">
        <v>280</v>
      </c>
      <c r="AL167">
        <v>1.58</v>
      </c>
    </row>
    <row r="168" spans="1:38" x14ac:dyDescent="0.3">
      <c r="A168" t="s">
        <v>512</v>
      </c>
      <c r="B168">
        <v>122588</v>
      </c>
      <c r="C168">
        <v>22</v>
      </c>
      <c r="D168" t="s">
        <v>518</v>
      </c>
      <c r="E168" t="s">
        <v>519</v>
      </c>
      <c r="F168">
        <v>177</v>
      </c>
      <c r="G168">
        <v>44.46</v>
      </c>
      <c r="H168">
        <v>146.99</v>
      </c>
      <c r="I168">
        <v>37.79</v>
      </c>
      <c r="J168">
        <v>124.93</v>
      </c>
      <c r="K168">
        <v>11</v>
      </c>
      <c r="T168">
        <v>3</v>
      </c>
      <c r="U168">
        <v>2</v>
      </c>
      <c r="V168" t="s">
        <v>269</v>
      </c>
      <c r="W168" t="s">
        <v>544</v>
      </c>
      <c r="X168">
        <v>4</v>
      </c>
      <c r="Y168">
        <v>4</v>
      </c>
      <c r="Z168" t="s">
        <v>521</v>
      </c>
      <c r="AA168" t="s">
        <v>522</v>
      </c>
      <c r="AB168" t="s">
        <v>272</v>
      </c>
      <c r="AC168" t="s">
        <v>273</v>
      </c>
      <c r="AD168" t="s">
        <v>274</v>
      </c>
      <c r="AE168" t="s">
        <v>243</v>
      </c>
      <c r="AG168" t="s">
        <v>523</v>
      </c>
      <c r="AH168">
        <v>0</v>
      </c>
      <c r="AI168">
        <v>99</v>
      </c>
      <c r="AJ168">
        <v>39</v>
      </c>
      <c r="AK168">
        <v>280</v>
      </c>
      <c r="AL168">
        <v>1.58</v>
      </c>
    </row>
    <row r="169" spans="1:38" x14ac:dyDescent="0.3">
      <c r="A169" t="s">
        <v>512</v>
      </c>
      <c r="B169">
        <v>122588</v>
      </c>
      <c r="C169">
        <v>23</v>
      </c>
      <c r="D169" t="s">
        <v>518</v>
      </c>
      <c r="E169" t="s">
        <v>519</v>
      </c>
      <c r="F169">
        <v>177</v>
      </c>
      <c r="G169">
        <v>44.37</v>
      </c>
      <c r="H169">
        <v>146.68</v>
      </c>
      <c r="I169">
        <v>37.71</v>
      </c>
      <c r="J169">
        <v>124.67</v>
      </c>
      <c r="K169">
        <v>1</v>
      </c>
      <c r="T169">
        <v>3</v>
      </c>
      <c r="U169">
        <v>2</v>
      </c>
      <c r="V169" t="s">
        <v>269</v>
      </c>
      <c r="W169" t="s">
        <v>545</v>
      </c>
      <c r="X169">
        <v>4</v>
      </c>
      <c r="Y169">
        <v>4</v>
      </c>
      <c r="Z169" t="s">
        <v>521</v>
      </c>
      <c r="AA169" t="s">
        <v>522</v>
      </c>
      <c r="AB169" t="s">
        <v>272</v>
      </c>
      <c r="AC169" t="s">
        <v>273</v>
      </c>
      <c r="AD169" t="s">
        <v>274</v>
      </c>
      <c r="AE169" t="s">
        <v>243</v>
      </c>
      <c r="AG169" t="s">
        <v>523</v>
      </c>
      <c r="AH169">
        <v>0</v>
      </c>
      <c r="AI169">
        <v>99</v>
      </c>
      <c r="AJ169">
        <v>39</v>
      </c>
      <c r="AK169">
        <v>280</v>
      </c>
      <c r="AL169">
        <v>1.58</v>
      </c>
    </row>
    <row r="170" spans="1:38" x14ac:dyDescent="0.3">
      <c r="A170" t="s">
        <v>512</v>
      </c>
      <c r="B170">
        <v>122588</v>
      </c>
      <c r="C170">
        <v>24</v>
      </c>
      <c r="D170" t="s">
        <v>518</v>
      </c>
      <c r="E170" t="s">
        <v>519</v>
      </c>
      <c r="F170">
        <v>177</v>
      </c>
      <c r="G170">
        <v>44.5</v>
      </c>
      <c r="H170">
        <v>147.13</v>
      </c>
      <c r="I170">
        <v>37.729999999999997</v>
      </c>
      <c r="J170">
        <v>124.73</v>
      </c>
      <c r="K170">
        <v>3</v>
      </c>
      <c r="T170">
        <v>3</v>
      </c>
      <c r="U170">
        <v>2</v>
      </c>
      <c r="V170" t="s">
        <v>269</v>
      </c>
      <c r="W170" t="s">
        <v>546</v>
      </c>
      <c r="X170">
        <v>4</v>
      </c>
      <c r="Y170">
        <v>4</v>
      </c>
      <c r="Z170" t="s">
        <v>521</v>
      </c>
      <c r="AA170" t="s">
        <v>522</v>
      </c>
      <c r="AB170" t="s">
        <v>272</v>
      </c>
      <c r="AC170" t="s">
        <v>273</v>
      </c>
      <c r="AD170" t="s">
        <v>274</v>
      </c>
      <c r="AE170" t="s">
        <v>243</v>
      </c>
      <c r="AG170" t="s">
        <v>523</v>
      </c>
      <c r="AH170">
        <v>0</v>
      </c>
      <c r="AI170">
        <v>99</v>
      </c>
      <c r="AJ170">
        <v>39</v>
      </c>
      <c r="AK170">
        <v>280</v>
      </c>
      <c r="AL170">
        <v>1.58</v>
      </c>
    </row>
    <row r="171" spans="1:38" x14ac:dyDescent="0.3">
      <c r="A171" t="s">
        <v>512</v>
      </c>
      <c r="B171">
        <v>122588</v>
      </c>
      <c r="C171">
        <v>25</v>
      </c>
      <c r="D171" t="s">
        <v>518</v>
      </c>
      <c r="E171" t="s">
        <v>519</v>
      </c>
      <c r="F171">
        <v>177</v>
      </c>
      <c r="G171">
        <v>51.49</v>
      </c>
      <c r="H171">
        <v>170.23</v>
      </c>
      <c r="I171">
        <v>44.01</v>
      </c>
      <c r="J171">
        <v>145.52000000000001</v>
      </c>
      <c r="K171">
        <v>2</v>
      </c>
      <c r="T171">
        <v>3</v>
      </c>
      <c r="U171">
        <v>2</v>
      </c>
      <c r="V171" t="s">
        <v>269</v>
      </c>
      <c r="W171" t="s">
        <v>547</v>
      </c>
      <c r="X171">
        <v>4</v>
      </c>
      <c r="Y171">
        <v>4</v>
      </c>
      <c r="Z171" t="s">
        <v>521</v>
      </c>
      <c r="AA171" t="s">
        <v>522</v>
      </c>
      <c r="AB171" t="s">
        <v>272</v>
      </c>
      <c r="AC171" t="s">
        <v>273</v>
      </c>
      <c r="AD171" t="s">
        <v>274</v>
      </c>
      <c r="AE171" t="s">
        <v>243</v>
      </c>
      <c r="AG171" t="s">
        <v>523</v>
      </c>
      <c r="AH171">
        <v>0</v>
      </c>
      <c r="AI171">
        <v>99</v>
      </c>
      <c r="AJ171">
        <v>39</v>
      </c>
      <c r="AK171">
        <v>280</v>
      </c>
      <c r="AL171">
        <v>1.58</v>
      </c>
    </row>
    <row r="172" spans="1:38" x14ac:dyDescent="0.3">
      <c r="A172" t="s">
        <v>512</v>
      </c>
      <c r="B172">
        <v>122588</v>
      </c>
      <c r="C172">
        <v>26</v>
      </c>
      <c r="D172" t="s">
        <v>518</v>
      </c>
      <c r="E172" t="s">
        <v>519</v>
      </c>
      <c r="F172">
        <v>177</v>
      </c>
      <c r="G172">
        <v>65.66</v>
      </c>
      <c r="H172">
        <v>217.07</v>
      </c>
      <c r="I172">
        <v>54.15</v>
      </c>
      <c r="J172">
        <v>179.02</v>
      </c>
      <c r="K172">
        <v>1</v>
      </c>
      <c r="T172">
        <v>4</v>
      </c>
      <c r="U172">
        <v>3</v>
      </c>
      <c r="V172" t="s">
        <v>269</v>
      </c>
      <c r="W172" t="s">
        <v>548</v>
      </c>
      <c r="X172">
        <v>4</v>
      </c>
      <c r="Y172">
        <v>4</v>
      </c>
      <c r="Z172" t="s">
        <v>521</v>
      </c>
      <c r="AA172" t="s">
        <v>522</v>
      </c>
      <c r="AB172" t="s">
        <v>272</v>
      </c>
      <c r="AC172" t="s">
        <v>273</v>
      </c>
      <c r="AD172" t="s">
        <v>274</v>
      </c>
      <c r="AE172" t="s">
        <v>243</v>
      </c>
      <c r="AG172" t="s">
        <v>523</v>
      </c>
      <c r="AH172">
        <v>0</v>
      </c>
      <c r="AI172">
        <v>99</v>
      </c>
      <c r="AJ172">
        <v>39</v>
      </c>
      <c r="AK172">
        <v>280</v>
      </c>
      <c r="AL172">
        <v>1.58</v>
      </c>
    </row>
    <row r="173" spans="1:38" x14ac:dyDescent="0.3">
      <c r="A173" t="s">
        <v>512</v>
      </c>
      <c r="B173">
        <v>122588</v>
      </c>
      <c r="C173">
        <v>27</v>
      </c>
      <c r="D173" t="s">
        <v>518</v>
      </c>
      <c r="E173" t="s">
        <v>519</v>
      </c>
      <c r="F173">
        <v>177</v>
      </c>
      <c r="G173">
        <v>80.33</v>
      </c>
      <c r="H173">
        <v>265.58</v>
      </c>
      <c r="I173">
        <v>67.3</v>
      </c>
      <c r="J173">
        <v>222.5</v>
      </c>
      <c r="K173">
        <v>1</v>
      </c>
      <c r="T173">
        <v>4</v>
      </c>
      <c r="U173">
        <v>3</v>
      </c>
      <c r="V173" t="s">
        <v>269</v>
      </c>
      <c r="W173" t="s">
        <v>549</v>
      </c>
      <c r="X173">
        <v>4</v>
      </c>
      <c r="Y173">
        <v>4</v>
      </c>
      <c r="Z173" t="s">
        <v>521</v>
      </c>
      <c r="AA173" t="s">
        <v>522</v>
      </c>
      <c r="AB173" t="s">
        <v>272</v>
      </c>
      <c r="AC173" t="s">
        <v>273</v>
      </c>
      <c r="AD173" t="s">
        <v>274</v>
      </c>
      <c r="AE173" t="s">
        <v>243</v>
      </c>
      <c r="AG173" t="s">
        <v>523</v>
      </c>
      <c r="AH173">
        <v>0</v>
      </c>
      <c r="AI173">
        <v>99</v>
      </c>
      <c r="AJ173">
        <v>39</v>
      </c>
      <c r="AK173">
        <v>280</v>
      </c>
      <c r="AL173">
        <v>1.58</v>
      </c>
    </row>
    <row r="174" spans="1:38" x14ac:dyDescent="0.3">
      <c r="A174" t="s">
        <v>512</v>
      </c>
      <c r="B174">
        <v>122588</v>
      </c>
      <c r="C174">
        <v>28</v>
      </c>
      <c r="D174" t="s">
        <v>518</v>
      </c>
      <c r="E174" t="s">
        <v>519</v>
      </c>
      <c r="F174">
        <v>177</v>
      </c>
      <c r="G174">
        <v>87.54</v>
      </c>
      <c r="H174">
        <v>289.42</v>
      </c>
      <c r="I174">
        <v>73.680000000000007</v>
      </c>
      <c r="J174">
        <v>243.59</v>
      </c>
      <c r="K174">
        <v>3</v>
      </c>
      <c r="T174">
        <v>4</v>
      </c>
      <c r="U174">
        <v>3</v>
      </c>
      <c r="V174" t="s">
        <v>269</v>
      </c>
      <c r="W174" t="s">
        <v>550</v>
      </c>
      <c r="X174">
        <v>4</v>
      </c>
      <c r="Y174">
        <v>4</v>
      </c>
      <c r="Z174" t="s">
        <v>521</v>
      </c>
      <c r="AA174" t="s">
        <v>522</v>
      </c>
      <c r="AB174" t="s">
        <v>272</v>
      </c>
      <c r="AC174" t="s">
        <v>273</v>
      </c>
      <c r="AD174" t="s">
        <v>274</v>
      </c>
      <c r="AE174" t="s">
        <v>243</v>
      </c>
      <c r="AG174" t="s">
        <v>523</v>
      </c>
      <c r="AH174">
        <v>0</v>
      </c>
      <c r="AI174">
        <v>99</v>
      </c>
      <c r="AJ174">
        <v>39</v>
      </c>
      <c r="AK174">
        <v>280</v>
      </c>
      <c r="AL174">
        <v>1.58</v>
      </c>
    </row>
    <row r="175" spans="1:38" x14ac:dyDescent="0.3">
      <c r="A175" t="s">
        <v>512</v>
      </c>
      <c r="B175">
        <v>122588</v>
      </c>
      <c r="C175">
        <v>29</v>
      </c>
      <c r="D175" t="s">
        <v>518</v>
      </c>
      <c r="E175" t="s">
        <v>519</v>
      </c>
      <c r="F175">
        <v>177</v>
      </c>
      <c r="G175">
        <v>88.08</v>
      </c>
      <c r="H175">
        <v>291.19</v>
      </c>
      <c r="I175">
        <v>74.209999999999994</v>
      </c>
      <c r="J175">
        <v>245.34</v>
      </c>
      <c r="K175">
        <v>6</v>
      </c>
      <c r="T175">
        <v>4</v>
      </c>
      <c r="U175">
        <v>3</v>
      </c>
      <c r="V175" t="s">
        <v>269</v>
      </c>
      <c r="W175" t="s">
        <v>551</v>
      </c>
      <c r="X175">
        <v>4</v>
      </c>
      <c r="Y175">
        <v>4</v>
      </c>
      <c r="Z175" t="s">
        <v>521</v>
      </c>
      <c r="AA175" t="s">
        <v>522</v>
      </c>
      <c r="AB175" t="s">
        <v>272</v>
      </c>
      <c r="AC175" t="s">
        <v>273</v>
      </c>
      <c r="AD175" t="s">
        <v>274</v>
      </c>
      <c r="AE175" t="s">
        <v>243</v>
      </c>
      <c r="AG175" t="s">
        <v>523</v>
      </c>
      <c r="AH175">
        <v>0</v>
      </c>
      <c r="AI175">
        <v>99</v>
      </c>
      <c r="AJ175">
        <v>39</v>
      </c>
      <c r="AK175">
        <v>280</v>
      </c>
      <c r="AL175">
        <v>1.58</v>
      </c>
    </row>
    <row r="176" spans="1:38" x14ac:dyDescent="0.3">
      <c r="A176" t="s">
        <v>512</v>
      </c>
      <c r="B176">
        <v>122588</v>
      </c>
      <c r="C176">
        <v>30</v>
      </c>
      <c r="D176" t="s">
        <v>518</v>
      </c>
      <c r="E176" t="s">
        <v>519</v>
      </c>
      <c r="F176">
        <v>177</v>
      </c>
      <c r="G176">
        <v>88.08</v>
      </c>
      <c r="H176">
        <v>291.19</v>
      </c>
      <c r="I176">
        <v>74.209999999999994</v>
      </c>
      <c r="J176">
        <v>245.34</v>
      </c>
      <c r="K176">
        <v>1</v>
      </c>
      <c r="T176">
        <v>4</v>
      </c>
      <c r="U176">
        <v>3</v>
      </c>
      <c r="V176" t="s">
        <v>269</v>
      </c>
      <c r="W176" t="s">
        <v>552</v>
      </c>
      <c r="X176">
        <v>4</v>
      </c>
      <c r="Y176">
        <v>4</v>
      </c>
      <c r="Z176" t="s">
        <v>521</v>
      </c>
      <c r="AA176" t="s">
        <v>522</v>
      </c>
      <c r="AB176" t="s">
        <v>272</v>
      </c>
      <c r="AC176" t="s">
        <v>273</v>
      </c>
      <c r="AD176" t="s">
        <v>274</v>
      </c>
      <c r="AE176" t="s">
        <v>243</v>
      </c>
      <c r="AG176" t="s">
        <v>523</v>
      </c>
      <c r="AH176">
        <v>0</v>
      </c>
      <c r="AI176">
        <v>99</v>
      </c>
      <c r="AJ176">
        <v>39</v>
      </c>
      <c r="AK176">
        <v>280</v>
      </c>
      <c r="AL176">
        <v>1.58</v>
      </c>
    </row>
    <row r="177" spans="1:38" x14ac:dyDescent="0.3">
      <c r="A177" t="s">
        <v>512</v>
      </c>
      <c r="B177">
        <v>122588</v>
      </c>
      <c r="C177">
        <v>31</v>
      </c>
      <c r="D177" t="s">
        <v>518</v>
      </c>
      <c r="E177" t="s">
        <v>519</v>
      </c>
      <c r="F177">
        <v>177</v>
      </c>
      <c r="G177">
        <v>93.58</v>
      </c>
      <c r="H177">
        <v>309.38</v>
      </c>
      <c r="I177">
        <v>78.650000000000006</v>
      </c>
      <c r="J177">
        <v>260.02</v>
      </c>
      <c r="K177">
        <v>2</v>
      </c>
      <c r="T177">
        <v>4</v>
      </c>
      <c r="U177">
        <v>3</v>
      </c>
      <c r="V177" t="s">
        <v>269</v>
      </c>
      <c r="W177" t="s">
        <v>553</v>
      </c>
      <c r="X177">
        <v>4</v>
      </c>
      <c r="Y177">
        <v>4</v>
      </c>
      <c r="Z177" t="s">
        <v>521</v>
      </c>
      <c r="AA177" t="s">
        <v>522</v>
      </c>
      <c r="AB177" t="s">
        <v>272</v>
      </c>
      <c r="AC177" t="s">
        <v>273</v>
      </c>
      <c r="AD177" t="s">
        <v>274</v>
      </c>
      <c r="AE177" t="s">
        <v>243</v>
      </c>
      <c r="AG177" t="s">
        <v>523</v>
      </c>
      <c r="AH177">
        <v>0</v>
      </c>
      <c r="AI177">
        <v>99</v>
      </c>
      <c r="AJ177">
        <v>39</v>
      </c>
      <c r="AK177">
        <v>280</v>
      </c>
      <c r="AL177">
        <v>1.58</v>
      </c>
    </row>
    <row r="178" spans="1:38" x14ac:dyDescent="0.3">
      <c r="A178" t="s">
        <v>512</v>
      </c>
      <c r="B178">
        <v>115408</v>
      </c>
      <c r="C178">
        <v>1</v>
      </c>
      <c r="D178" t="s">
        <v>554</v>
      </c>
      <c r="E178" t="s">
        <v>398</v>
      </c>
      <c r="F178">
        <v>711</v>
      </c>
      <c r="G178">
        <v>25.39</v>
      </c>
      <c r="H178">
        <v>83.96</v>
      </c>
      <c r="I178">
        <v>18.12</v>
      </c>
      <c r="J178">
        <v>59.93</v>
      </c>
      <c r="K178">
        <v>55</v>
      </c>
      <c r="T178">
        <v>3</v>
      </c>
      <c r="U178">
        <v>2</v>
      </c>
      <c r="V178" t="s">
        <v>269</v>
      </c>
      <c r="W178" t="s">
        <v>103</v>
      </c>
      <c r="X178">
        <v>20</v>
      </c>
      <c r="Y178">
        <v>15</v>
      </c>
      <c r="Z178" t="s">
        <v>555</v>
      </c>
      <c r="AA178" t="s">
        <v>556</v>
      </c>
      <c r="AB178" t="s">
        <v>272</v>
      </c>
      <c r="AC178" t="s">
        <v>273</v>
      </c>
      <c r="AD178" t="s">
        <v>274</v>
      </c>
      <c r="AE178" t="s">
        <v>243</v>
      </c>
      <c r="AG178" t="s">
        <v>557</v>
      </c>
      <c r="AH178">
        <v>0</v>
      </c>
      <c r="AI178">
        <v>163</v>
      </c>
      <c r="AJ178">
        <v>16</v>
      </c>
      <c r="AK178">
        <v>714</v>
      </c>
      <c r="AL178">
        <v>1</v>
      </c>
    </row>
    <row r="179" spans="1:38" x14ac:dyDescent="0.3">
      <c r="A179" t="s">
        <v>512</v>
      </c>
      <c r="B179">
        <v>115408</v>
      </c>
      <c r="C179">
        <v>2</v>
      </c>
      <c r="D179" t="s">
        <v>554</v>
      </c>
      <c r="E179" t="s">
        <v>398</v>
      </c>
      <c r="F179">
        <v>711</v>
      </c>
      <c r="G179">
        <v>25.41</v>
      </c>
      <c r="H179">
        <v>84</v>
      </c>
      <c r="I179">
        <v>18.13</v>
      </c>
      <c r="J179">
        <v>59.96</v>
      </c>
      <c r="K179">
        <v>546</v>
      </c>
      <c r="T179">
        <v>3</v>
      </c>
      <c r="U179">
        <v>2</v>
      </c>
      <c r="V179" t="s">
        <v>269</v>
      </c>
      <c r="W179" t="s">
        <v>60</v>
      </c>
      <c r="X179">
        <v>20</v>
      </c>
      <c r="Y179">
        <v>15</v>
      </c>
      <c r="Z179" t="s">
        <v>555</v>
      </c>
      <c r="AA179" t="s">
        <v>556</v>
      </c>
      <c r="AB179" t="s">
        <v>272</v>
      </c>
      <c r="AC179" t="s">
        <v>273</v>
      </c>
      <c r="AD179" t="s">
        <v>274</v>
      </c>
      <c r="AE179" t="s">
        <v>243</v>
      </c>
      <c r="AG179" t="s">
        <v>557</v>
      </c>
      <c r="AH179">
        <v>0</v>
      </c>
      <c r="AI179">
        <v>163</v>
      </c>
      <c r="AJ179">
        <v>16</v>
      </c>
      <c r="AK179">
        <v>714</v>
      </c>
      <c r="AL179">
        <v>1</v>
      </c>
    </row>
    <row r="180" spans="1:38" x14ac:dyDescent="0.3">
      <c r="A180" t="s">
        <v>512</v>
      </c>
      <c r="B180">
        <v>115408</v>
      </c>
      <c r="C180">
        <v>3</v>
      </c>
      <c r="D180" t="s">
        <v>554</v>
      </c>
      <c r="E180" t="s">
        <v>398</v>
      </c>
      <c r="F180">
        <v>711</v>
      </c>
      <c r="G180">
        <v>25.41</v>
      </c>
      <c r="H180">
        <v>84</v>
      </c>
      <c r="I180">
        <v>18.13</v>
      </c>
      <c r="J180">
        <v>59.96</v>
      </c>
      <c r="K180">
        <v>55</v>
      </c>
      <c r="T180">
        <v>3</v>
      </c>
      <c r="U180">
        <v>2</v>
      </c>
      <c r="V180" t="s">
        <v>269</v>
      </c>
      <c r="W180" t="s">
        <v>105</v>
      </c>
      <c r="X180">
        <v>20</v>
      </c>
      <c r="Y180">
        <v>15</v>
      </c>
      <c r="Z180" t="s">
        <v>555</v>
      </c>
      <c r="AA180" t="s">
        <v>556</v>
      </c>
      <c r="AB180" t="s">
        <v>272</v>
      </c>
      <c r="AC180" t="s">
        <v>273</v>
      </c>
      <c r="AD180" t="s">
        <v>274</v>
      </c>
      <c r="AE180" t="s">
        <v>243</v>
      </c>
      <c r="AG180" t="s">
        <v>557</v>
      </c>
      <c r="AH180">
        <v>0</v>
      </c>
      <c r="AI180">
        <v>163</v>
      </c>
      <c r="AJ180">
        <v>16</v>
      </c>
      <c r="AK180">
        <v>714</v>
      </c>
      <c r="AL180">
        <v>1</v>
      </c>
    </row>
    <row r="181" spans="1:38" x14ac:dyDescent="0.3">
      <c r="A181" t="s">
        <v>512</v>
      </c>
      <c r="B181">
        <v>115408</v>
      </c>
      <c r="C181">
        <v>4</v>
      </c>
      <c r="D181" t="s">
        <v>554</v>
      </c>
      <c r="E181" t="s">
        <v>398</v>
      </c>
      <c r="F181">
        <v>711</v>
      </c>
      <c r="G181">
        <v>25.41</v>
      </c>
      <c r="H181">
        <v>84</v>
      </c>
      <c r="I181">
        <v>18.13</v>
      </c>
      <c r="J181">
        <v>59.96</v>
      </c>
      <c r="K181">
        <v>55</v>
      </c>
      <c r="T181">
        <v>3</v>
      </c>
      <c r="U181">
        <v>2</v>
      </c>
      <c r="V181" t="s">
        <v>269</v>
      </c>
      <c r="W181" t="s">
        <v>106</v>
      </c>
      <c r="X181">
        <v>20</v>
      </c>
      <c r="Y181">
        <v>15</v>
      </c>
      <c r="Z181" t="s">
        <v>555</v>
      </c>
      <c r="AA181" t="s">
        <v>556</v>
      </c>
      <c r="AB181" t="s">
        <v>272</v>
      </c>
      <c r="AC181" t="s">
        <v>273</v>
      </c>
      <c r="AD181" t="s">
        <v>274</v>
      </c>
      <c r="AE181" t="s">
        <v>243</v>
      </c>
      <c r="AG181" t="s">
        <v>557</v>
      </c>
      <c r="AH181">
        <v>0</v>
      </c>
      <c r="AI181">
        <v>163</v>
      </c>
      <c r="AJ181">
        <v>16</v>
      </c>
      <c r="AK181">
        <v>714</v>
      </c>
      <c r="AL181">
        <v>1</v>
      </c>
    </row>
    <row r="182" spans="1:38" x14ac:dyDescent="0.3">
      <c r="A182" t="s">
        <v>512</v>
      </c>
      <c r="B182">
        <v>115353</v>
      </c>
      <c r="C182">
        <v>1</v>
      </c>
      <c r="D182" t="s">
        <v>558</v>
      </c>
      <c r="E182" t="s">
        <v>559</v>
      </c>
      <c r="F182">
        <v>615</v>
      </c>
      <c r="G182">
        <v>38.6</v>
      </c>
      <c r="H182">
        <v>127.62</v>
      </c>
      <c r="I182">
        <v>31.55</v>
      </c>
      <c r="J182">
        <v>104.33</v>
      </c>
      <c r="K182">
        <v>312</v>
      </c>
      <c r="T182">
        <v>4</v>
      </c>
      <c r="U182">
        <v>2</v>
      </c>
      <c r="V182" t="s">
        <v>269</v>
      </c>
      <c r="W182">
        <v>127</v>
      </c>
      <c r="X182">
        <v>20</v>
      </c>
      <c r="Y182">
        <v>15</v>
      </c>
      <c r="Z182" t="s">
        <v>560</v>
      </c>
      <c r="AA182" t="s">
        <v>561</v>
      </c>
      <c r="AB182" t="s">
        <v>272</v>
      </c>
      <c r="AC182" t="s">
        <v>273</v>
      </c>
      <c r="AD182" t="s">
        <v>274</v>
      </c>
      <c r="AE182" t="s">
        <v>243</v>
      </c>
      <c r="AG182" t="s">
        <v>562</v>
      </c>
      <c r="AH182">
        <v>0</v>
      </c>
      <c r="AI182">
        <v>179</v>
      </c>
      <c r="AJ182">
        <v>16</v>
      </c>
      <c r="AK182">
        <v>1163</v>
      </c>
      <c r="AL182">
        <v>1.89</v>
      </c>
    </row>
    <row r="183" spans="1:38" x14ac:dyDescent="0.3">
      <c r="A183" t="s">
        <v>512</v>
      </c>
      <c r="B183">
        <v>115353</v>
      </c>
      <c r="C183">
        <v>2</v>
      </c>
      <c r="D183" t="s">
        <v>558</v>
      </c>
      <c r="E183" t="s">
        <v>559</v>
      </c>
      <c r="F183">
        <v>615</v>
      </c>
      <c r="G183">
        <v>42.99</v>
      </c>
      <c r="H183">
        <v>142.13</v>
      </c>
      <c r="I183">
        <v>35.049999999999997</v>
      </c>
      <c r="J183">
        <v>115.9</v>
      </c>
      <c r="K183">
        <v>189</v>
      </c>
      <c r="T183">
        <v>4</v>
      </c>
      <c r="U183">
        <v>2</v>
      </c>
      <c r="V183" t="s">
        <v>269</v>
      </c>
      <c r="W183">
        <v>142</v>
      </c>
      <c r="X183">
        <v>20</v>
      </c>
      <c r="Y183">
        <v>15</v>
      </c>
      <c r="Z183" t="s">
        <v>560</v>
      </c>
      <c r="AA183" t="s">
        <v>561</v>
      </c>
      <c r="AB183" t="s">
        <v>272</v>
      </c>
      <c r="AC183" t="s">
        <v>273</v>
      </c>
      <c r="AD183" t="s">
        <v>274</v>
      </c>
      <c r="AE183" t="s">
        <v>243</v>
      </c>
      <c r="AG183" t="s">
        <v>562</v>
      </c>
      <c r="AH183">
        <v>0</v>
      </c>
      <c r="AI183">
        <v>179</v>
      </c>
      <c r="AJ183">
        <v>16</v>
      </c>
      <c r="AK183">
        <v>1163</v>
      </c>
      <c r="AL183">
        <v>1.89</v>
      </c>
    </row>
    <row r="184" spans="1:38" x14ac:dyDescent="0.3">
      <c r="A184" t="s">
        <v>512</v>
      </c>
      <c r="B184">
        <v>115353</v>
      </c>
      <c r="C184">
        <v>3</v>
      </c>
      <c r="D184" t="s">
        <v>558</v>
      </c>
      <c r="E184" t="s">
        <v>559</v>
      </c>
      <c r="F184">
        <v>615</v>
      </c>
      <c r="G184">
        <v>46.04</v>
      </c>
      <c r="H184">
        <v>152.22</v>
      </c>
      <c r="I184">
        <v>37.549999999999997</v>
      </c>
      <c r="J184">
        <v>124.16</v>
      </c>
      <c r="K184">
        <v>114</v>
      </c>
      <c r="T184">
        <v>4</v>
      </c>
      <c r="U184">
        <v>2</v>
      </c>
      <c r="V184" t="s">
        <v>269</v>
      </c>
      <c r="W184">
        <v>152</v>
      </c>
      <c r="X184">
        <v>20</v>
      </c>
      <c r="Y184">
        <v>15</v>
      </c>
      <c r="Z184" t="s">
        <v>560</v>
      </c>
      <c r="AA184" t="s">
        <v>561</v>
      </c>
      <c r="AB184" t="s">
        <v>272</v>
      </c>
      <c r="AC184" t="s">
        <v>273</v>
      </c>
      <c r="AD184" t="s">
        <v>274</v>
      </c>
      <c r="AE184" t="s">
        <v>243</v>
      </c>
      <c r="AG184" t="s">
        <v>562</v>
      </c>
      <c r="AH184">
        <v>0</v>
      </c>
      <c r="AI184">
        <v>179</v>
      </c>
      <c r="AJ184">
        <v>16</v>
      </c>
      <c r="AK184">
        <v>1163</v>
      </c>
      <c r="AL184">
        <v>1.89</v>
      </c>
    </row>
    <row r="185" spans="1:38" x14ac:dyDescent="0.3">
      <c r="A185" t="s">
        <v>512</v>
      </c>
      <c r="B185">
        <v>113510</v>
      </c>
      <c r="C185">
        <v>1</v>
      </c>
      <c r="D185" t="s">
        <v>563</v>
      </c>
      <c r="E185" t="s">
        <v>564</v>
      </c>
      <c r="F185">
        <v>553</v>
      </c>
      <c r="G185">
        <v>33.72</v>
      </c>
      <c r="H185">
        <v>111.48</v>
      </c>
      <c r="I185">
        <v>25.69</v>
      </c>
      <c r="J185">
        <v>84.93</v>
      </c>
      <c r="K185">
        <v>344</v>
      </c>
      <c r="T185">
        <v>3</v>
      </c>
      <c r="U185">
        <v>2</v>
      </c>
      <c r="V185" t="s">
        <v>269</v>
      </c>
      <c r="W185" t="s">
        <v>109</v>
      </c>
      <c r="X185">
        <v>20</v>
      </c>
      <c r="Y185">
        <v>18</v>
      </c>
      <c r="Z185" t="s">
        <v>565</v>
      </c>
      <c r="AA185" t="s">
        <v>566</v>
      </c>
      <c r="AB185" t="s">
        <v>272</v>
      </c>
      <c r="AC185" t="s">
        <v>273</v>
      </c>
      <c r="AD185" t="s">
        <v>274</v>
      </c>
      <c r="AE185" t="s">
        <v>243</v>
      </c>
      <c r="AG185" t="s">
        <v>567</v>
      </c>
      <c r="AH185">
        <v>0</v>
      </c>
      <c r="AI185">
        <v>179</v>
      </c>
      <c r="AJ185">
        <v>15</v>
      </c>
      <c r="AK185">
        <v>821</v>
      </c>
      <c r="AL185">
        <v>1.48</v>
      </c>
    </row>
    <row r="186" spans="1:38" x14ac:dyDescent="0.3">
      <c r="A186" t="s">
        <v>512</v>
      </c>
      <c r="B186">
        <v>113510</v>
      </c>
      <c r="C186">
        <v>2</v>
      </c>
      <c r="D186" t="s">
        <v>563</v>
      </c>
      <c r="E186" t="s">
        <v>564</v>
      </c>
      <c r="F186">
        <v>553</v>
      </c>
      <c r="G186">
        <v>33.85</v>
      </c>
      <c r="H186">
        <v>111.92</v>
      </c>
      <c r="I186">
        <v>25.64</v>
      </c>
      <c r="J186">
        <v>84.79</v>
      </c>
      <c r="K186">
        <v>19</v>
      </c>
      <c r="T186">
        <v>3</v>
      </c>
      <c r="U186">
        <v>2</v>
      </c>
      <c r="V186" t="s">
        <v>269</v>
      </c>
      <c r="W186" t="s">
        <v>110</v>
      </c>
      <c r="X186">
        <v>20</v>
      </c>
      <c r="Y186">
        <v>18</v>
      </c>
      <c r="Z186" t="s">
        <v>565</v>
      </c>
      <c r="AA186" t="s">
        <v>566</v>
      </c>
      <c r="AB186" t="s">
        <v>272</v>
      </c>
      <c r="AC186" t="s">
        <v>273</v>
      </c>
      <c r="AD186" t="s">
        <v>274</v>
      </c>
      <c r="AE186" t="s">
        <v>243</v>
      </c>
      <c r="AG186" t="s">
        <v>567</v>
      </c>
      <c r="AH186">
        <v>0</v>
      </c>
      <c r="AI186">
        <v>179</v>
      </c>
      <c r="AJ186">
        <v>15</v>
      </c>
      <c r="AK186">
        <v>821</v>
      </c>
      <c r="AL186">
        <v>1.48</v>
      </c>
    </row>
    <row r="187" spans="1:38" x14ac:dyDescent="0.3">
      <c r="A187" t="s">
        <v>512</v>
      </c>
      <c r="B187">
        <v>113510</v>
      </c>
      <c r="C187">
        <v>3</v>
      </c>
      <c r="D187" t="s">
        <v>563</v>
      </c>
      <c r="E187" t="s">
        <v>564</v>
      </c>
      <c r="F187">
        <v>553</v>
      </c>
      <c r="G187">
        <v>40.44</v>
      </c>
      <c r="H187">
        <v>133.69999999999999</v>
      </c>
      <c r="I187">
        <v>31.16</v>
      </c>
      <c r="J187">
        <v>103.03</v>
      </c>
      <c r="K187">
        <v>190</v>
      </c>
      <c r="T187">
        <v>3</v>
      </c>
      <c r="U187">
        <v>2</v>
      </c>
      <c r="V187" t="s">
        <v>269</v>
      </c>
      <c r="W187">
        <v>133</v>
      </c>
      <c r="X187">
        <v>20</v>
      </c>
      <c r="Y187">
        <v>18</v>
      </c>
      <c r="Z187" t="s">
        <v>565</v>
      </c>
      <c r="AA187" t="s">
        <v>566</v>
      </c>
      <c r="AB187" t="s">
        <v>272</v>
      </c>
      <c r="AC187" t="s">
        <v>273</v>
      </c>
      <c r="AD187" t="s">
        <v>274</v>
      </c>
      <c r="AE187" t="s">
        <v>243</v>
      </c>
      <c r="AG187" t="s">
        <v>567</v>
      </c>
      <c r="AH187">
        <v>0</v>
      </c>
      <c r="AI187">
        <v>179</v>
      </c>
      <c r="AJ187">
        <v>15</v>
      </c>
      <c r="AK187">
        <v>821</v>
      </c>
      <c r="AL187">
        <v>1.48</v>
      </c>
    </row>
    <row r="188" spans="1:38" x14ac:dyDescent="0.3">
      <c r="A188" t="s">
        <v>512</v>
      </c>
      <c r="B188">
        <v>112814</v>
      </c>
      <c r="C188">
        <v>1</v>
      </c>
      <c r="D188" t="s">
        <v>568</v>
      </c>
      <c r="E188" t="s">
        <v>564</v>
      </c>
      <c r="F188">
        <v>1070</v>
      </c>
      <c r="G188">
        <v>30.11</v>
      </c>
      <c r="H188">
        <v>99.54</v>
      </c>
      <c r="I188">
        <v>22.42</v>
      </c>
      <c r="J188">
        <v>74.12</v>
      </c>
      <c r="K188">
        <v>294</v>
      </c>
      <c r="T188">
        <v>3</v>
      </c>
      <c r="U188">
        <v>2</v>
      </c>
      <c r="V188" t="s">
        <v>269</v>
      </c>
      <c r="W188">
        <v>99</v>
      </c>
      <c r="X188">
        <v>20</v>
      </c>
      <c r="Y188">
        <v>15</v>
      </c>
      <c r="Z188" t="s">
        <v>569</v>
      </c>
      <c r="AA188" t="s">
        <v>570</v>
      </c>
      <c r="AB188" t="s">
        <v>272</v>
      </c>
      <c r="AC188" t="s">
        <v>273</v>
      </c>
      <c r="AD188" t="s">
        <v>274</v>
      </c>
      <c r="AE188" t="s">
        <v>243</v>
      </c>
      <c r="AG188" t="s">
        <v>571</v>
      </c>
      <c r="AH188">
        <v>0</v>
      </c>
      <c r="AI188">
        <v>174</v>
      </c>
      <c r="AJ188">
        <v>16</v>
      </c>
      <c r="AK188">
        <v>1436</v>
      </c>
      <c r="AL188">
        <v>1.34</v>
      </c>
    </row>
    <row r="189" spans="1:38" x14ac:dyDescent="0.3">
      <c r="A189" t="s">
        <v>512</v>
      </c>
      <c r="B189">
        <v>112814</v>
      </c>
      <c r="C189">
        <v>2</v>
      </c>
      <c r="D189" t="s">
        <v>568</v>
      </c>
      <c r="E189" t="s">
        <v>564</v>
      </c>
      <c r="F189">
        <v>1070</v>
      </c>
      <c r="G189">
        <v>33.68</v>
      </c>
      <c r="H189">
        <v>111.34</v>
      </c>
      <c r="I189">
        <v>25.69</v>
      </c>
      <c r="J189">
        <v>84.95</v>
      </c>
      <c r="K189">
        <v>776</v>
      </c>
      <c r="T189">
        <v>4</v>
      </c>
      <c r="U189">
        <v>2</v>
      </c>
      <c r="V189" t="s">
        <v>269</v>
      </c>
      <c r="W189">
        <v>111</v>
      </c>
      <c r="X189">
        <v>20</v>
      </c>
      <c r="Y189">
        <v>15</v>
      </c>
      <c r="Z189" t="s">
        <v>569</v>
      </c>
      <c r="AA189" t="s">
        <v>570</v>
      </c>
      <c r="AB189" t="s">
        <v>272</v>
      </c>
      <c r="AC189" t="s">
        <v>273</v>
      </c>
      <c r="AD189" t="s">
        <v>274</v>
      </c>
      <c r="AE189" t="s">
        <v>243</v>
      </c>
      <c r="AG189" t="s">
        <v>571</v>
      </c>
      <c r="AH189">
        <v>0</v>
      </c>
      <c r="AI189">
        <v>174</v>
      </c>
      <c r="AJ189">
        <v>16</v>
      </c>
      <c r="AK189">
        <v>1436</v>
      </c>
      <c r="AL189">
        <v>1.34</v>
      </c>
    </row>
    <row r="190" spans="1:38" x14ac:dyDescent="0.3">
      <c r="A190" t="s">
        <v>572</v>
      </c>
      <c r="B190">
        <v>111855</v>
      </c>
      <c r="C190">
        <v>1</v>
      </c>
      <c r="D190" t="s">
        <v>573</v>
      </c>
      <c r="E190" t="s">
        <v>574</v>
      </c>
      <c r="F190">
        <v>328</v>
      </c>
      <c r="G190">
        <v>25.11</v>
      </c>
      <c r="H190">
        <v>83.02</v>
      </c>
      <c r="I190">
        <v>18.09</v>
      </c>
      <c r="J190">
        <v>59.83</v>
      </c>
      <c r="K190">
        <v>312</v>
      </c>
      <c r="T190">
        <v>3</v>
      </c>
      <c r="U190">
        <v>2</v>
      </c>
      <c r="V190" t="s">
        <v>269</v>
      </c>
      <c r="W190" t="s">
        <v>112</v>
      </c>
      <c r="X190">
        <v>29</v>
      </c>
      <c r="Y190">
        <v>14</v>
      </c>
      <c r="Z190" t="s">
        <v>575</v>
      </c>
      <c r="AA190" t="s">
        <v>576</v>
      </c>
      <c r="AB190" t="s">
        <v>272</v>
      </c>
      <c r="AC190" t="s">
        <v>273</v>
      </c>
      <c r="AD190" t="s">
        <v>274</v>
      </c>
      <c r="AE190" t="s">
        <v>577</v>
      </c>
      <c r="AG190" t="s">
        <v>578</v>
      </c>
      <c r="AH190">
        <v>0</v>
      </c>
      <c r="AI190">
        <v>228</v>
      </c>
      <c r="AJ190">
        <v>18</v>
      </c>
      <c r="AK190">
        <v>295</v>
      </c>
      <c r="AL190">
        <v>0.9</v>
      </c>
    </row>
    <row r="191" spans="1:38" x14ac:dyDescent="0.3">
      <c r="A191" t="s">
        <v>572</v>
      </c>
      <c r="B191">
        <v>111855</v>
      </c>
      <c r="C191">
        <v>2</v>
      </c>
      <c r="D191" t="s">
        <v>573</v>
      </c>
      <c r="E191" t="s">
        <v>574</v>
      </c>
      <c r="F191">
        <v>328</v>
      </c>
      <c r="G191">
        <v>29.8</v>
      </c>
      <c r="H191">
        <v>98.52</v>
      </c>
      <c r="I191">
        <v>18.14</v>
      </c>
      <c r="J191">
        <v>59.97</v>
      </c>
      <c r="K191">
        <v>16</v>
      </c>
      <c r="T191">
        <v>3</v>
      </c>
      <c r="U191">
        <v>2</v>
      </c>
      <c r="V191" t="s">
        <v>269</v>
      </c>
      <c r="W191" t="s">
        <v>113</v>
      </c>
      <c r="X191">
        <v>29</v>
      </c>
      <c r="Y191">
        <v>14</v>
      </c>
      <c r="Z191" t="s">
        <v>575</v>
      </c>
      <c r="AA191" t="s">
        <v>576</v>
      </c>
      <c r="AB191" t="s">
        <v>272</v>
      </c>
      <c r="AC191" t="s">
        <v>273</v>
      </c>
      <c r="AD191" t="s">
        <v>274</v>
      </c>
      <c r="AE191" t="s">
        <v>577</v>
      </c>
      <c r="AG191" t="s">
        <v>578</v>
      </c>
      <c r="AH191">
        <v>0</v>
      </c>
      <c r="AI191">
        <v>228</v>
      </c>
      <c r="AJ191">
        <v>18</v>
      </c>
      <c r="AK191">
        <v>295</v>
      </c>
      <c r="AL191">
        <v>0.9</v>
      </c>
    </row>
    <row r="192" spans="1:38" x14ac:dyDescent="0.3">
      <c r="A192" t="s">
        <v>572</v>
      </c>
      <c r="B192">
        <v>101164</v>
      </c>
      <c r="C192">
        <v>1</v>
      </c>
      <c r="D192" t="s">
        <v>474</v>
      </c>
      <c r="E192" t="s">
        <v>579</v>
      </c>
      <c r="F192">
        <v>264</v>
      </c>
      <c r="G192">
        <v>26.22</v>
      </c>
      <c r="H192">
        <v>86.68</v>
      </c>
      <c r="I192">
        <v>15.38</v>
      </c>
      <c r="J192">
        <v>50.87</v>
      </c>
      <c r="K192">
        <v>5</v>
      </c>
      <c r="T192">
        <v>2</v>
      </c>
      <c r="U192">
        <v>1</v>
      </c>
      <c r="V192" t="s">
        <v>269</v>
      </c>
      <c r="W192">
        <v>86</v>
      </c>
      <c r="X192">
        <v>15</v>
      </c>
      <c r="Y192">
        <v>10</v>
      </c>
      <c r="Z192" t="s">
        <v>580</v>
      </c>
      <c r="AA192" t="s">
        <v>581</v>
      </c>
      <c r="AB192" t="s">
        <v>272</v>
      </c>
      <c r="AC192" t="s">
        <v>273</v>
      </c>
      <c r="AD192" t="s">
        <v>274</v>
      </c>
      <c r="AE192" t="s">
        <v>577</v>
      </c>
      <c r="AG192" t="s">
        <v>582</v>
      </c>
      <c r="AH192">
        <v>0</v>
      </c>
      <c r="AI192">
        <v>211</v>
      </c>
      <c r="AJ192">
        <v>21</v>
      </c>
      <c r="AK192">
        <v>273</v>
      </c>
      <c r="AL192">
        <v>1.03</v>
      </c>
    </row>
    <row r="193" spans="1:38" x14ac:dyDescent="0.3">
      <c r="A193" t="s">
        <v>572</v>
      </c>
      <c r="B193">
        <v>101164</v>
      </c>
      <c r="C193">
        <v>2</v>
      </c>
      <c r="D193" t="s">
        <v>474</v>
      </c>
      <c r="E193" t="s">
        <v>579</v>
      </c>
      <c r="F193">
        <v>264</v>
      </c>
      <c r="G193">
        <v>31.98</v>
      </c>
      <c r="H193">
        <v>105.75</v>
      </c>
      <c r="I193">
        <v>23.31</v>
      </c>
      <c r="J193">
        <v>77.06</v>
      </c>
      <c r="K193">
        <v>1</v>
      </c>
      <c r="T193">
        <v>3</v>
      </c>
      <c r="U193">
        <v>1</v>
      </c>
      <c r="V193" t="s">
        <v>269</v>
      </c>
      <c r="W193">
        <v>105</v>
      </c>
      <c r="X193">
        <v>15</v>
      </c>
      <c r="Y193">
        <v>10</v>
      </c>
      <c r="Z193" t="s">
        <v>580</v>
      </c>
      <c r="AA193" t="s">
        <v>581</v>
      </c>
      <c r="AB193" t="s">
        <v>272</v>
      </c>
      <c r="AC193" t="s">
        <v>273</v>
      </c>
      <c r="AD193" t="s">
        <v>274</v>
      </c>
      <c r="AE193" t="s">
        <v>577</v>
      </c>
      <c r="AG193" t="s">
        <v>582</v>
      </c>
      <c r="AH193">
        <v>0</v>
      </c>
      <c r="AI193">
        <v>211</v>
      </c>
      <c r="AJ193">
        <v>21</v>
      </c>
      <c r="AK193">
        <v>273</v>
      </c>
      <c r="AL193">
        <v>1.03</v>
      </c>
    </row>
    <row r="194" spans="1:38" x14ac:dyDescent="0.3">
      <c r="A194" t="s">
        <v>572</v>
      </c>
      <c r="B194">
        <v>101164</v>
      </c>
      <c r="C194">
        <v>3</v>
      </c>
      <c r="D194" t="s">
        <v>474</v>
      </c>
      <c r="E194" t="s">
        <v>579</v>
      </c>
      <c r="F194">
        <v>264</v>
      </c>
      <c r="G194">
        <v>34.42</v>
      </c>
      <c r="H194">
        <v>113.79</v>
      </c>
      <c r="I194">
        <v>24.59</v>
      </c>
      <c r="J194">
        <v>81.31</v>
      </c>
      <c r="K194">
        <v>1</v>
      </c>
      <c r="T194">
        <v>3</v>
      </c>
      <c r="U194">
        <v>2</v>
      </c>
      <c r="V194" t="s">
        <v>269</v>
      </c>
      <c r="W194">
        <v>113</v>
      </c>
      <c r="X194">
        <v>15</v>
      </c>
      <c r="Y194">
        <v>10</v>
      </c>
      <c r="Z194" t="s">
        <v>580</v>
      </c>
      <c r="AA194" t="s">
        <v>581</v>
      </c>
      <c r="AB194" t="s">
        <v>272</v>
      </c>
      <c r="AC194" t="s">
        <v>273</v>
      </c>
      <c r="AD194" t="s">
        <v>274</v>
      </c>
      <c r="AE194" t="s">
        <v>577</v>
      </c>
      <c r="AG194" t="s">
        <v>582</v>
      </c>
      <c r="AH194">
        <v>0</v>
      </c>
      <c r="AI194">
        <v>211</v>
      </c>
      <c r="AJ194">
        <v>21</v>
      </c>
      <c r="AK194">
        <v>273</v>
      </c>
      <c r="AL194">
        <v>1.03</v>
      </c>
    </row>
    <row r="195" spans="1:38" x14ac:dyDescent="0.3">
      <c r="A195" t="s">
        <v>572</v>
      </c>
      <c r="B195">
        <v>101164</v>
      </c>
      <c r="C195">
        <v>4</v>
      </c>
      <c r="D195" t="s">
        <v>474</v>
      </c>
      <c r="E195" t="s">
        <v>579</v>
      </c>
      <c r="F195">
        <v>264</v>
      </c>
      <c r="G195">
        <v>36.72</v>
      </c>
      <c r="H195">
        <v>121.39</v>
      </c>
      <c r="I195">
        <v>25.65</v>
      </c>
      <c r="J195">
        <v>84.82</v>
      </c>
      <c r="K195">
        <v>257</v>
      </c>
      <c r="T195">
        <v>3</v>
      </c>
      <c r="U195">
        <v>2</v>
      </c>
      <c r="V195" t="s">
        <v>269</v>
      </c>
      <c r="W195">
        <v>121</v>
      </c>
      <c r="X195">
        <v>15</v>
      </c>
      <c r="Y195">
        <v>10</v>
      </c>
      <c r="Z195" t="s">
        <v>580</v>
      </c>
      <c r="AA195" t="s">
        <v>581</v>
      </c>
      <c r="AB195" t="s">
        <v>272</v>
      </c>
      <c r="AC195" t="s">
        <v>273</v>
      </c>
      <c r="AD195" t="s">
        <v>274</v>
      </c>
      <c r="AE195" t="s">
        <v>577</v>
      </c>
      <c r="AG195" t="s">
        <v>582</v>
      </c>
      <c r="AH195">
        <v>0</v>
      </c>
      <c r="AI195">
        <v>211</v>
      </c>
      <c r="AJ195">
        <v>21</v>
      </c>
      <c r="AK195">
        <v>273</v>
      </c>
      <c r="AL195">
        <v>1.03</v>
      </c>
    </row>
    <row r="196" spans="1:38" x14ac:dyDescent="0.3">
      <c r="A196" t="s">
        <v>572</v>
      </c>
      <c r="B196">
        <v>126137</v>
      </c>
      <c r="C196">
        <v>1</v>
      </c>
      <c r="D196" t="s">
        <v>583</v>
      </c>
      <c r="E196" t="s">
        <v>584</v>
      </c>
      <c r="F196">
        <v>188</v>
      </c>
      <c r="G196">
        <v>21.07</v>
      </c>
      <c r="H196">
        <v>69.66</v>
      </c>
      <c r="I196">
        <v>15.17</v>
      </c>
      <c r="J196">
        <v>50.15</v>
      </c>
      <c r="K196">
        <v>56</v>
      </c>
      <c r="T196">
        <v>2</v>
      </c>
      <c r="U196">
        <v>1</v>
      </c>
      <c r="V196" t="s">
        <v>269</v>
      </c>
      <c r="W196" t="s">
        <v>124</v>
      </c>
      <c r="X196">
        <v>18</v>
      </c>
      <c r="Y196">
        <v>13</v>
      </c>
      <c r="Z196" t="s">
        <v>585</v>
      </c>
      <c r="AA196" t="s">
        <v>586</v>
      </c>
      <c r="AB196" t="s">
        <v>272</v>
      </c>
      <c r="AC196" t="s">
        <v>273</v>
      </c>
      <c r="AD196" t="s">
        <v>274</v>
      </c>
      <c r="AE196" t="s">
        <v>577</v>
      </c>
      <c r="AG196" t="s">
        <v>587</v>
      </c>
      <c r="AH196">
        <v>0</v>
      </c>
      <c r="AI196">
        <v>0</v>
      </c>
      <c r="AJ196">
        <v>0</v>
      </c>
      <c r="AK196">
        <v>205</v>
      </c>
      <c r="AL196">
        <v>1.0900000000000001</v>
      </c>
    </row>
    <row r="197" spans="1:38" x14ac:dyDescent="0.3">
      <c r="A197" t="s">
        <v>572</v>
      </c>
      <c r="B197">
        <v>126137</v>
      </c>
      <c r="C197">
        <v>2</v>
      </c>
      <c r="D197" t="s">
        <v>583</v>
      </c>
      <c r="E197" t="s">
        <v>584</v>
      </c>
      <c r="F197">
        <v>188</v>
      </c>
      <c r="G197">
        <v>21.06</v>
      </c>
      <c r="H197">
        <v>69.650000000000006</v>
      </c>
      <c r="I197">
        <v>15.16</v>
      </c>
      <c r="J197">
        <v>50.12</v>
      </c>
      <c r="K197">
        <v>29</v>
      </c>
      <c r="T197">
        <v>2</v>
      </c>
      <c r="U197">
        <v>1</v>
      </c>
      <c r="V197" t="s">
        <v>269</v>
      </c>
      <c r="W197" t="s">
        <v>193</v>
      </c>
      <c r="X197">
        <v>18</v>
      </c>
      <c r="Y197">
        <v>13</v>
      </c>
      <c r="Z197" t="s">
        <v>585</v>
      </c>
      <c r="AA197" t="s">
        <v>586</v>
      </c>
      <c r="AB197" t="s">
        <v>272</v>
      </c>
      <c r="AC197" t="s">
        <v>273</v>
      </c>
      <c r="AD197" t="s">
        <v>274</v>
      </c>
      <c r="AE197" t="s">
        <v>577</v>
      </c>
      <c r="AG197" t="s">
        <v>587</v>
      </c>
      <c r="AH197">
        <v>0</v>
      </c>
      <c r="AI197">
        <v>0</v>
      </c>
      <c r="AJ197">
        <v>0</v>
      </c>
      <c r="AK197">
        <v>205</v>
      </c>
      <c r="AL197">
        <v>1.0900000000000001</v>
      </c>
    </row>
    <row r="198" spans="1:38" x14ac:dyDescent="0.3">
      <c r="A198" t="s">
        <v>572</v>
      </c>
      <c r="B198">
        <v>126137</v>
      </c>
      <c r="C198">
        <v>3</v>
      </c>
      <c r="D198" t="s">
        <v>583</v>
      </c>
      <c r="E198" t="s">
        <v>584</v>
      </c>
      <c r="F198">
        <v>188</v>
      </c>
      <c r="G198">
        <v>25</v>
      </c>
      <c r="H198">
        <v>82.67</v>
      </c>
      <c r="I198">
        <v>18.100000000000001</v>
      </c>
      <c r="J198">
        <v>59.86</v>
      </c>
      <c r="K198">
        <v>68</v>
      </c>
      <c r="T198">
        <v>3</v>
      </c>
      <c r="U198">
        <v>2</v>
      </c>
      <c r="V198" t="s">
        <v>269</v>
      </c>
      <c r="W198" t="s">
        <v>145</v>
      </c>
      <c r="X198">
        <v>18</v>
      </c>
      <c r="Y198">
        <v>13</v>
      </c>
      <c r="Z198" t="s">
        <v>585</v>
      </c>
      <c r="AA198" t="s">
        <v>586</v>
      </c>
      <c r="AB198" t="s">
        <v>272</v>
      </c>
      <c r="AC198" t="s">
        <v>273</v>
      </c>
      <c r="AD198" t="s">
        <v>274</v>
      </c>
      <c r="AE198" t="s">
        <v>577</v>
      </c>
      <c r="AG198" t="s">
        <v>587</v>
      </c>
      <c r="AH198">
        <v>0</v>
      </c>
      <c r="AI198">
        <v>0</v>
      </c>
      <c r="AJ198">
        <v>0</v>
      </c>
      <c r="AK198">
        <v>205</v>
      </c>
      <c r="AL198">
        <v>1.0900000000000001</v>
      </c>
    </row>
    <row r="199" spans="1:38" x14ac:dyDescent="0.3">
      <c r="A199" t="s">
        <v>572</v>
      </c>
      <c r="B199">
        <v>126137</v>
      </c>
      <c r="C199">
        <v>4</v>
      </c>
      <c r="D199" t="s">
        <v>583</v>
      </c>
      <c r="E199" t="s">
        <v>584</v>
      </c>
      <c r="F199">
        <v>188</v>
      </c>
      <c r="G199">
        <v>25</v>
      </c>
      <c r="H199">
        <v>82.67</v>
      </c>
      <c r="I199">
        <v>18.100000000000001</v>
      </c>
      <c r="J199">
        <v>59.86</v>
      </c>
      <c r="K199">
        <v>35</v>
      </c>
      <c r="T199">
        <v>3</v>
      </c>
      <c r="U199">
        <v>2</v>
      </c>
      <c r="V199" t="s">
        <v>269</v>
      </c>
      <c r="W199" t="s">
        <v>146</v>
      </c>
      <c r="X199">
        <v>18</v>
      </c>
      <c r="Y199">
        <v>13</v>
      </c>
      <c r="Z199" t="s">
        <v>585</v>
      </c>
      <c r="AA199" t="s">
        <v>586</v>
      </c>
      <c r="AB199" t="s">
        <v>272</v>
      </c>
      <c r="AC199" t="s">
        <v>273</v>
      </c>
      <c r="AD199" t="s">
        <v>274</v>
      </c>
      <c r="AE199" t="s">
        <v>577</v>
      </c>
      <c r="AG199" t="s">
        <v>587</v>
      </c>
      <c r="AH199">
        <v>0</v>
      </c>
      <c r="AI199">
        <v>0</v>
      </c>
      <c r="AJ199">
        <v>0</v>
      </c>
      <c r="AK199">
        <v>205</v>
      </c>
      <c r="AL199">
        <v>1.0900000000000001</v>
      </c>
    </row>
    <row r="200" spans="1:38" x14ac:dyDescent="0.3">
      <c r="A200" t="s">
        <v>572</v>
      </c>
      <c r="B200">
        <v>108982</v>
      </c>
      <c r="C200">
        <v>1</v>
      </c>
      <c r="D200" t="s">
        <v>588</v>
      </c>
      <c r="E200" t="s">
        <v>589</v>
      </c>
      <c r="F200">
        <v>835</v>
      </c>
      <c r="G200">
        <v>12.71</v>
      </c>
      <c r="H200">
        <v>42.03</v>
      </c>
      <c r="I200">
        <v>8.68</v>
      </c>
      <c r="J200">
        <v>28.71</v>
      </c>
      <c r="K200">
        <v>835</v>
      </c>
      <c r="T200">
        <v>1</v>
      </c>
      <c r="U200">
        <v>1</v>
      </c>
      <c r="V200" t="s">
        <v>269</v>
      </c>
      <c r="W200">
        <v>42</v>
      </c>
      <c r="X200">
        <v>12</v>
      </c>
      <c r="Y200">
        <v>9</v>
      </c>
      <c r="Z200" t="s">
        <v>590</v>
      </c>
      <c r="AA200" t="s">
        <v>591</v>
      </c>
      <c r="AB200" t="s">
        <v>272</v>
      </c>
      <c r="AC200" t="s">
        <v>273</v>
      </c>
      <c r="AD200" t="s">
        <v>274</v>
      </c>
      <c r="AE200" t="s">
        <v>577</v>
      </c>
      <c r="AG200" t="s">
        <v>592</v>
      </c>
      <c r="AH200">
        <v>0</v>
      </c>
      <c r="AI200">
        <v>296</v>
      </c>
      <c r="AJ200">
        <v>27</v>
      </c>
      <c r="AK200">
        <v>524</v>
      </c>
      <c r="AL200">
        <v>0.63</v>
      </c>
    </row>
    <row r="201" spans="1:38" x14ac:dyDescent="0.3">
      <c r="A201" t="s">
        <v>572</v>
      </c>
      <c r="B201">
        <v>107847</v>
      </c>
      <c r="C201">
        <v>1</v>
      </c>
      <c r="D201" t="s">
        <v>593</v>
      </c>
      <c r="E201" t="s">
        <v>594</v>
      </c>
      <c r="F201">
        <v>211</v>
      </c>
      <c r="G201">
        <v>25.95</v>
      </c>
      <c r="H201">
        <v>85.8</v>
      </c>
      <c r="I201">
        <v>18.12</v>
      </c>
      <c r="J201">
        <v>59.93</v>
      </c>
      <c r="K201">
        <v>136</v>
      </c>
      <c r="T201">
        <v>3</v>
      </c>
      <c r="U201">
        <v>2</v>
      </c>
      <c r="V201" t="s">
        <v>269</v>
      </c>
      <c r="W201" t="s">
        <v>114</v>
      </c>
      <c r="X201">
        <v>27</v>
      </c>
      <c r="Y201">
        <v>22</v>
      </c>
      <c r="Z201" t="s">
        <v>595</v>
      </c>
      <c r="AA201" t="s">
        <v>596</v>
      </c>
      <c r="AB201" t="s">
        <v>272</v>
      </c>
      <c r="AC201" t="s">
        <v>273</v>
      </c>
      <c r="AD201" t="s">
        <v>274</v>
      </c>
      <c r="AE201" t="s">
        <v>577</v>
      </c>
      <c r="AG201" t="s">
        <v>597</v>
      </c>
      <c r="AH201">
        <v>0</v>
      </c>
      <c r="AI201">
        <v>463</v>
      </c>
      <c r="AJ201">
        <v>55</v>
      </c>
      <c r="AK201">
        <v>207</v>
      </c>
      <c r="AL201">
        <v>0.98</v>
      </c>
    </row>
    <row r="202" spans="1:38" x14ac:dyDescent="0.3">
      <c r="A202" t="s">
        <v>572</v>
      </c>
      <c r="B202">
        <v>107847</v>
      </c>
      <c r="C202">
        <v>2</v>
      </c>
      <c r="D202" t="s">
        <v>593</v>
      </c>
      <c r="E202" t="s">
        <v>594</v>
      </c>
      <c r="F202">
        <v>211</v>
      </c>
      <c r="G202">
        <v>25.94</v>
      </c>
      <c r="H202">
        <v>85.76</v>
      </c>
      <c r="I202">
        <v>18.11</v>
      </c>
      <c r="J202">
        <v>59.9</v>
      </c>
      <c r="K202">
        <v>25</v>
      </c>
      <c r="T202">
        <v>3</v>
      </c>
      <c r="U202">
        <v>2</v>
      </c>
      <c r="V202" t="s">
        <v>269</v>
      </c>
      <c r="W202" t="s">
        <v>115</v>
      </c>
      <c r="X202">
        <v>27</v>
      </c>
      <c r="Y202">
        <v>22</v>
      </c>
      <c r="Z202" t="s">
        <v>595</v>
      </c>
      <c r="AA202" t="s">
        <v>596</v>
      </c>
      <c r="AB202" t="s">
        <v>272</v>
      </c>
      <c r="AC202" t="s">
        <v>273</v>
      </c>
      <c r="AD202" t="s">
        <v>274</v>
      </c>
      <c r="AE202" t="s">
        <v>577</v>
      </c>
      <c r="AG202" t="s">
        <v>597</v>
      </c>
      <c r="AH202">
        <v>0</v>
      </c>
      <c r="AI202">
        <v>463</v>
      </c>
      <c r="AJ202">
        <v>55</v>
      </c>
      <c r="AK202">
        <v>207</v>
      </c>
      <c r="AL202">
        <v>0.98</v>
      </c>
    </row>
    <row r="203" spans="1:38" x14ac:dyDescent="0.3">
      <c r="A203" t="s">
        <v>572</v>
      </c>
      <c r="B203">
        <v>107847</v>
      </c>
      <c r="C203">
        <v>3</v>
      </c>
      <c r="D203" t="s">
        <v>593</v>
      </c>
      <c r="E203" t="s">
        <v>594</v>
      </c>
      <c r="F203">
        <v>211</v>
      </c>
      <c r="G203">
        <v>29.63</v>
      </c>
      <c r="H203">
        <v>97.96</v>
      </c>
      <c r="I203">
        <v>20.7</v>
      </c>
      <c r="J203">
        <v>68.430000000000007</v>
      </c>
      <c r="K203">
        <v>50</v>
      </c>
      <c r="T203">
        <v>3</v>
      </c>
      <c r="U203">
        <v>2</v>
      </c>
      <c r="V203" t="s">
        <v>269</v>
      </c>
      <c r="W203">
        <v>97</v>
      </c>
      <c r="X203">
        <v>27</v>
      </c>
      <c r="Y203">
        <v>22</v>
      </c>
      <c r="Z203" t="s">
        <v>595</v>
      </c>
      <c r="AA203" t="s">
        <v>596</v>
      </c>
      <c r="AB203" t="s">
        <v>272</v>
      </c>
      <c r="AC203" t="s">
        <v>273</v>
      </c>
      <c r="AD203" t="s">
        <v>274</v>
      </c>
      <c r="AE203" t="s">
        <v>577</v>
      </c>
      <c r="AG203" t="s">
        <v>597</v>
      </c>
      <c r="AH203">
        <v>0</v>
      </c>
      <c r="AI203">
        <v>463</v>
      </c>
      <c r="AJ203">
        <v>55</v>
      </c>
      <c r="AK203">
        <v>207</v>
      </c>
      <c r="AL203">
        <v>0.98</v>
      </c>
    </row>
    <row r="204" spans="1:38" x14ac:dyDescent="0.3">
      <c r="A204" t="s">
        <v>572</v>
      </c>
      <c r="B204">
        <v>117389</v>
      </c>
      <c r="C204">
        <v>1</v>
      </c>
      <c r="D204" t="s">
        <v>598</v>
      </c>
      <c r="E204" t="s">
        <v>599</v>
      </c>
      <c r="F204">
        <v>505</v>
      </c>
      <c r="G204">
        <v>24.31</v>
      </c>
      <c r="H204">
        <v>80.38</v>
      </c>
      <c r="I204">
        <v>18.05</v>
      </c>
      <c r="J204">
        <v>59.69</v>
      </c>
      <c r="K204">
        <v>188</v>
      </c>
      <c r="T204">
        <v>3</v>
      </c>
      <c r="U204">
        <v>2</v>
      </c>
      <c r="V204" t="s">
        <v>269</v>
      </c>
      <c r="W204">
        <v>80</v>
      </c>
      <c r="X204">
        <v>27</v>
      </c>
      <c r="Y204">
        <v>15</v>
      </c>
      <c r="Z204" t="s">
        <v>600</v>
      </c>
      <c r="AA204" t="s">
        <v>601</v>
      </c>
      <c r="AB204" t="s">
        <v>272</v>
      </c>
      <c r="AC204" t="s">
        <v>273</v>
      </c>
      <c r="AD204" t="s">
        <v>274</v>
      </c>
      <c r="AE204" t="s">
        <v>577</v>
      </c>
      <c r="AG204" t="s">
        <v>602</v>
      </c>
      <c r="AH204">
        <v>0</v>
      </c>
      <c r="AI204">
        <v>220</v>
      </c>
      <c r="AJ204">
        <v>18</v>
      </c>
      <c r="AK204">
        <v>589</v>
      </c>
      <c r="AL204">
        <v>1.17</v>
      </c>
    </row>
    <row r="205" spans="1:38" x14ac:dyDescent="0.3">
      <c r="A205" t="s">
        <v>572</v>
      </c>
      <c r="B205">
        <v>117389</v>
      </c>
      <c r="C205">
        <v>2</v>
      </c>
      <c r="D205" t="s">
        <v>598</v>
      </c>
      <c r="E205" t="s">
        <v>599</v>
      </c>
      <c r="F205">
        <v>505</v>
      </c>
      <c r="G205">
        <v>26.32</v>
      </c>
      <c r="H205">
        <v>87.01</v>
      </c>
      <c r="I205">
        <v>19.54</v>
      </c>
      <c r="J205">
        <v>64.62</v>
      </c>
      <c r="K205">
        <v>159</v>
      </c>
      <c r="T205">
        <v>3</v>
      </c>
      <c r="U205">
        <v>2</v>
      </c>
      <c r="V205" t="s">
        <v>269</v>
      </c>
      <c r="W205">
        <v>87</v>
      </c>
      <c r="X205">
        <v>27</v>
      </c>
      <c r="Y205">
        <v>15</v>
      </c>
      <c r="Z205" t="s">
        <v>600</v>
      </c>
      <c r="AA205" t="s">
        <v>601</v>
      </c>
      <c r="AB205" t="s">
        <v>272</v>
      </c>
      <c r="AC205" t="s">
        <v>273</v>
      </c>
      <c r="AD205" t="s">
        <v>274</v>
      </c>
      <c r="AE205" t="s">
        <v>577</v>
      </c>
      <c r="AG205" t="s">
        <v>602</v>
      </c>
      <c r="AH205">
        <v>0</v>
      </c>
      <c r="AI205">
        <v>220</v>
      </c>
      <c r="AJ205">
        <v>18</v>
      </c>
      <c r="AK205">
        <v>589</v>
      </c>
      <c r="AL205">
        <v>1.17</v>
      </c>
    </row>
    <row r="206" spans="1:38" x14ac:dyDescent="0.3">
      <c r="A206" t="s">
        <v>572</v>
      </c>
      <c r="B206">
        <v>117389</v>
      </c>
      <c r="C206">
        <v>3</v>
      </c>
      <c r="D206" t="s">
        <v>598</v>
      </c>
      <c r="E206" t="s">
        <v>599</v>
      </c>
      <c r="F206">
        <v>505</v>
      </c>
      <c r="G206">
        <v>34.53</v>
      </c>
      <c r="H206">
        <v>114.15</v>
      </c>
      <c r="I206">
        <v>25.64</v>
      </c>
      <c r="J206">
        <v>84.77</v>
      </c>
      <c r="K206">
        <v>158</v>
      </c>
      <c r="T206">
        <v>3</v>
      </c>
      <c r="U206">
        <v>2</v>
      </c>
      <c r="V206" t="s">
        <v>269</v>
      </c>
      <c r="W206">
        <v>114</v>
      </c>
      <c r="X206">
        <v>27</v>
      </c>
      <c r="Y206">
        <v>15</v>
      </c>
      <c r="Z206" t="s">
        <v>600</v>
      </c>
      <c r="AA206" t="s">
        <v>601</v>
      </c>
      <c r="AB206" t="s">
        <v>272</v>
      </c>
      <c r="AC206" t="s">
        <v>273</v>
      </c>
      <c r="AD206" t="s">
        <v>274</v>
      </c>
      <c r="AE206" t="s">
        <v>577</v>
      </c>
      <c r="AG206" t="s">
        <v>602</v>
      </c>
      <c r="AH206">
        <v>0</v>
      </c>
      <c r="AI206">
        <v>220</v>
      </c>
      <c r="AJ206">
        <v>18</v>
      </c>
      <c r="AK206">
        <v>589</v>
      </c>
      <c r="AL206">
        <v>1.17</v>
      </c>
    </row>
    <row r="207" spans="1:38" x14ac:dyDescent="0.3">
      <c r="A207" t="s">
        <v>572</v>
      </c>
      <c r="B207">
        <v>5301</v>
      </c>
      <c r="C207">
        <v>1</v>
      </c>
      <c r="D207" t="s">
        <v>603</v>
      </c>
      <c r="E207" t="s">
        <v>604</v>
      </c>
      <c r="F207">
        <v>158</v>
      </c>
      <c r="G207">
        <v>23.5</v>
      </c>
      <c r="H207">
        <v>77.69</v>
      </c>
      <c r="I207">
        <v>18.13</v>
      </c>
      <c r="J207">
        <v>59.94</v>
      </c>
      <c r="K207">
        <v>144</v>
      </c>
      <c r="T207">
        <v>3</v>
      </c>
      <c r="U207">
        <v>1</v>
      </c>
      <c r="V207" t="s">
        <v>279</v>
      </c>
      <c r="W207">
        <v>77</v>
      </c>
      <c r="X207">
        <v>19</v>
      </c>
      <c r="Y207">
        <v>11</v>
      </c>
      <c r="Z207" t="s">
        <v>605</v>
      </c>
      <c r="AA207" t="s">
        <v>606</v>
      </c>
      <c r="AB207" t="s">
        <v>272</v>
      </c>
      <c r="AC207" t="s">
        <v>273</v>
      </c>
      <c r="AD207" t="s">
        <v>274</v>
      </c>
      <c r="AE207" t="s">
        <v>577</v>
      </c>
      <c r="AG207" t="s">
        <v>607</v>
      </c>
      <c r="AH207">
        <v>0</v>
      </c>
      <c r="AI207">
        <v>0</v>
      </c>
      <c r="AJ207">
        <v>0</v>
      </c>
      <c r="AK207">
        <v>0</v>
      </c>
      <c r="AL207">
        <v>0</v>
      </c>
    </row>
    <row r="208" spans="1:38" x14ac:dyDescent="0.3">
      <c r="A208" t="s">
        <v>572</v>
      </c>
      <c r="B208">
        <v>5301</v>
      </c>
      <c r="C208">
        <v>2</v>
      </c>
      <c r="D208" t="s">
        <v>603</v>
      </c>
      <c r="E208" t="s">
        <v>604</v>
      </c>
      <c r="F208">
        <v>158</v>
      </c>
      <c r="G208">
        <v>23.45</v>
      </c>
      <c r="H208">
        <v>77.540000000000006</v>
      </c>
      <c r="I208">
        <v>18.09</v>
      </c>
      <c r="J208">
        <v>59.82</v>
      </c>
      <c r="K208">
        <v>14</v>
      </c>
      <c r="T208">
        <v>2</v>
      </c>
      <c r="U208">
        <v>1</v>
      </c>
      <c r="V208" t="s">
        <v>279</v>
      </c>
      <c r="W208">
        <v>77</v>
      </c>
      <c r="X208">
        <v>19</v>
      </c>
      <c r="Y208">
        <v>11</v>
      </c>
      <c r="Z208" t="s">
        <v>605</v>
      </c>
      <c r="AA208" t="s">
        <v>606</v>
      </c>
      <c r="AB208" t="s">
        <v>272</v>
      </c>
      <c r="AC208" t="s">
        <v>273</v>
      </c>
      <c r="AD208" t="s">
        <v>274</v>
      </c>
      <c r="AE208" t="s">
        <v>577</v>
      </c>
      <c r="AG208" t="s">
        <v>607</v>
      </c>
      <c r="AH208">
        <v>0</v>
      </c>
      <c r="AI208">
        <v>0</v>
      </c>
      <c r="AJ208">
        <v>0</v>
      </c>
      <c r="AK208">
        <v>0</v>
      </c>
      <c r="AL208">
        <v>0</v>
      </c>
    </row>
    <row r="209" spans="1:38" x14ac:dyDescent="0.3">
      <c r="A209" t="s">
        <v>572</v>
      </c>
      <c r="B209">
        <v>15019</v>
      </c>
      <c r="C209">
        <v>1</v>
      </c>
      <c r="D209" t="s">
        <v>608</v>
      </c>
      <c r="E209" t="s">
        <v>448</v>
      </c>
      <c r="F209">
        <v>486</v>
      </c>
      <c r="G209">
        <v>25.67</v>
      </c>
      <c r="H209">
        <v>84.86</v>
      </c>
      <c r="I209">
        <v>18.11</v>
      </c>
      <c r="J209">
        <v>59.88</v>
      </c>
      <c r="K209">
        <v>486</v>
      </c>
      <c r="T209">
        <v>2</v>
      </c>
      <c r="U209">
        <v>1</v>
      </c>
      <c r="V209" t="s">
        <v>279</v>
      </c>
      <c r="W209">
        <v>84</v>
      </c>
      <c r="X209">
        <v>18</v>
      </c>
      <c r="Y209">
        <v>18</v>
      </c>
      <c r="Z209" t="s">
        <v>609</v>
      </c>
      <c r="AA209" t="s">
        <v>610</v>
      </c>
      <c r="AB209" t="s">
        <v>272</v>
      </c>
      <c r="AC209" t="s">
        <v>273</v>
      </c>
      <c r="AD209" t="s">
        <v>274</v>
      </c>
      <c r="AE209" t="s">
        <v>577</v>
      </c>
      <c r="AG209" t="s">
        <v>611</v>
      </c>
      <c r="AH209">
        <v>0</v>
      </c>
      <c r="AI209">
        <v>239</v>
      </c>
      <c r="AJ209">
        <v>19</v>
      </c>
      <c r="AK209">
        <v>301</v>
      </c>
      <c r="AL209">
        <v>0.62</v>
      </c>
    </row>
    <row r="210" spans="1:38" x14ac:dyDescent="0.3">
      <c r="A210" t="s">
        <v>572</v>
      </c>
      <c r="B210">
        <v>107112</v>
      </c>
      <c r="C210">
        <v>1</v>
      </c>
      <c r="D210" t="s">
        <v>612</v>
      </c>
      <c r="E210" t="s">
        <v>613</v>
      </c>
      <c r="F210">
        <v>210</v>
      </c>
      <c r="G210">
        <v>26.26</v>
      </c>
      <c r="H210">
        <v>86.81</v>
      </c>
      <c r="I210">
        <v>18.11</v>
      </c>
      <c r="J210">
        <v>59.87</v>
      </c>
      <c r="K210">
        <v>124</v>
      </c>
      <c r="T210">
        <v>3</v>
      </c>
      <c r="U210">
        <v>2</v>
      </c>
      <c r="V210" t="s">
        <v>269</v>
      </c>
      <c r="W210" t="s">
        <v>116</v>
      </c>
      <c r="X210">
        <v>24</v>
      </c>
      <c r="Y210">
        <v>7</v>
      </c>
      <c r="Z210" t="s">
        <v>614</v>
      </c>
      <c r="AA210" t="s">
        <v>615</v>
      </c>
      <c r="AB210" t="s">
        <v>272</v>
      </c>
      <c r="AC210" t="s">
        <v>273</v>
      </c>
      <c r="AD210" t="s">
        <v>274</v>
      </c>
      <c r="AE210" t="s">
        <v>577</v>
      </c>
      <c r="AG210" t="s">
        <v>616</v>
      </c>
      <c r="AH210">
        <v>0</v>
      </c>
      <c r="AI210">
        <v>217</v>
      </c>
      <c r="AJ210">
        <v>20</v>
      </c>
      <c r="AK210">
        <v>215</v>
      </c>
      <c r="AL210">
        <v>1.02</v>
      </c>
    </row>
    <row r="211" spans="1:38" x14ac:dyDescent="0.3">
      <c r="A211" t="s">
        <v>572</v>
      </c>
      <c r="B211">
        <v>107112</v>
      </c>
      <c r="C211">
        <v>2</v>
      </c>
      <c r="D211" t="s">
        <v>612</v>
      </c>
      <c r="E211" t="s">
        <v>613</v>
      </c>
      <c r="F211">
        <v>210</v>
      </c>
      <c r="G211">
        <v>26.26</v>
      </c>
      <c r="H211">
        <v>86.81</v>
      </c>
      <c r="I211">
        <v>18.11</v>
      </c>
      <c r="J211">
        <v>59.87</v>
      </c>
      <c r="K211">
        <v>70</v>
      </c>
      <c r="T211">
        <v>3</v>
      </c>
      <c r="U211">
        <v>2</v>
      </c>
      <c r="V211" t="s">
        <v>269</v>
      </c>
      <c r="W211" t="s">
        <v>117</v>
      </c>
      <c r="X211">
        <v>24</v>
      </c>
      <c r="Y211">
        <v>7</v>
      </c>
      <c r="Z211" t="s">
        <v>614</v>
      </c>
      <c r="AA211" t="s">
        <v>615</v>
      </c>
      <c r="AB211" t="s">
        <v>272</v>
      </c>
      <c r="AC211" t="s">
        <v>273</v>
      </c>
      <c r="AD211" t="s">
        <v>274</v>
      </c>
      <c r="AE211" t="s">
        <v>577</v>
      </c>
      <c r="AG211" t="s">
        <v>616</v>
      </c>
      <c r="AH211">
        <v>0</v>
      </c>
      <c r="AI211">
        <v>217</v>
      </c>
      <c r="AJ211">
        <v>20</v>
      </c>
      <c r="AK211">
        <v>215</v>
      </c>
      <c r="AL211">
        <v>1.02</v>
      </c>
    </row>
    <row r="212" spans="1:38" x14ac:dyDescent="0.3">
      <c r="A212" t="s">
        <v>572</v>
      </c>
      <c r="B212">
        <v>107112</v>
      </c>
      <c r="C212">
        <v>3</v>
      </c>
      <c r="D212" t="s">
        <v>612</v>
      </c>
      <c r="E212" t="s">
        <v>613</v>
      </c>
      <c r="F212">
        <v>210</v>
      </c>
      <c r="G212">
        <v>26.48</v>
      </c>
      <c r="H212">
        <v>87.56</v>
      </c>
      <c r="I212">
        <v>18.13</v>
      </c>
      <c r="J212">
        <v>59.95</v>
      </c>
      <c r="K212">
        <v>10</v>
      </c>
      <c r="T212">
        <v>3</v>
      </c>
      <c r="U212">
        <v>2</v>
      </c>
      <c r="V212" t="s">
        <v>269</v>
      </c>
      <c r="W212" t="s">
        <v>118</v>
      </c>
      <c r="X212">
        <v>24</v>
      </c>
      <c r="Y212">
        <v>7</v>
      </c>
      <c r="Z212" t="s">
        <v>614</v>
      </c>
      <c r="AA212" t="s">
        <v>615</v>
      </c>
      <c r="AB212" t="s">
        <v>272</v>
      </c>
      <c r="AC212" t="s">
        <v>273</v>
      </c>
      <c r="AD212" t="s">
        <v>274</v>
      </c>
      <c r="AE212" t="s">
        <v>577</v>
      </c>
      <c r="AG212" t="s">
        <v>616</v>
      </c>
      <c r="AH212">
        <v>0</v>
      </c>
      <c r="AI212">
        <v>217</v>
      </c>
      <c r="AJ212">
        <v>20</v>
      </c>
      <c r="AK212">
        <v>215</v>
      </c>
      <c r="AL212">
        <v>1.02</v>
      </c>
    </row>
    <row r="213" spans="1:38" x14ac:dyDescent="0.3">
      <c r="A213" t="s">
        <v>572</v>
      </c>
      <c r="B213">
        <v>107112</v>
      </c>
      <c r="C213">
        <v>4</v>
      </c>
      <c r="D213" t="s">
        <v>612</v>
      </c>
      <c r="E213" t="s">
        <v>613</v>
      </c>
      <c r="F213">
        <v>210</v>
      </c>
      <c r="G213">
        <v>26.71</v>
      </c>
      <c r="H213">
        <v>88.33</v>
      </c>
      <c r="I213">
        <v>18.010000000000002</v>
      </c>
      <c r="J213">
        <v>59.56</v>
      </c>
      <c r="K213">
        <v>6</v>
      </c>
      <c r="T213">
        <v>3</v>
      </c>
      <c r="U213">
        <v>2</v>
      </c>
      <c r="V213" t="s">
        <v>269</v>
      </c>
      <c r="W213" t="s">
        <v>119</v>
      </c>
      <c r="X213">
        <v>24</v>
      </c>
      <c r="Y213">
        <v>7</v>
      </c>
      <c r="Z213" t="s">
        <v>614</v>
      </c>
      <c r="AA213" t="s">
        <v>615</v>
      </c>
      <c r="AB213" t="s">
        <v>272</v>
      </c>
      <c r="AC213" t="s">
        <v>273</v>
      </c>
      <c r="AD213" t="s">
        <v>274</v>
      </c>
      <c r="AE213" t="s">
        <v>577</v>
      </c>
      <c r="AG213" t="s">
        <v>616</v>
      </c>
      <c r="AH213">
        <v>0</v>
      </c>
      <c r="AI213">
        <v>217</v>
      </c>
      <c r="AJ213">
        <v>20</v>
      </c>
      <c r="AK213">
        <v>215</v>
      </c>
      <c r="AL213">
        <v>1.02</v>
      </c>
    </row>
    <row r="214" spans="1:38" x14ac:dyDescent="0.3">
      <c r="A214" t="s">
        <v>572</v>
      </c>
      <c r="B214">
        <v>5297</v>
      </c>
      <c r="C214">
        <v>1</v>
      </c>
      <c r="D214" t="s">
        <v>617</v>
      </c>
      <c r="E214" t="s">
        <v>618</v>
      </c>
      <c r="F214">
        <v>418</v>
      </c>
      <c r="G214">
        <v>23.03</v>
      </c>
      <c r="H214">
        <v>76.14</v>
      </c>
      <c r="I214">
        <v>18.14</v>
      </c>
      <c r="J214">
        <v>59.98</v>
      </c>
      <c r="K214">
        <v>190</v>
      </c>
      <c r="T214">
        <v>3</v>
      </c>
      <c r="U214">
        <v>1</v>
      </c>
      <c r="V214" t="s">
        <v>269</v>
      </c>
      <c r="W214">
        <v>76</v>
      </c>
      <c r="X214">
        <v>20</v>
      </c>
      <c r="Y214">
        <v>8</v>
      </c>
      <c r="Z214" t="s">
        <v>619</v>
      </c>
      <c r="AA214" t="s">
        <v>620</v>
      </c>
      <c r="AB214" t="s">
        <v>272</v>
      </c>
      <c r="AC214" t="s">
        <v>273</v>
      </c>
      <c r="AD214" t="s">
        <v>274</v>
      </c>
      <c r="AE214" t="s">
        <v>577</v>
      </c>
      <c r="AG214" t="s">
        <v>621</v>
      </c>
      <c r="AH214">
        <v>0</v>
      </c>
      <c r="AI214">
        <v>265</v>
      </c>
      <c r="AJ214">
        <v>21</v>
      </c>
      <c r="AK214">
        <v>418</v>
      </c>
      <c r="AL214">
        <v>1</v>
      </c>
    </row>
    <row r="215" spans="1:38" x14ac:dyDescent="0.3">
      <c r="A215" t="s">
        <v>572</v>
      </c>
      <c r="B215">
        <v>5297</v>
      </c>
      <c r="C215">
        <v>2</v>
      </c>
      <c r="D215" t="s">
        <v>617</v>
      </c>
      <c r="E215" t="s">
        <v>618</v>
      </c>
      <c r="F215">
        <v>418</v>
      </c>
      <c r="G215">
        <v>32.46</v>
      </c>
      <c r="H215">
        <v>107.32</v>
      </c>
      <c r="I215">
        <v>25.57</v>
      </c>
      <c r="J215">
        <v>84.54</v>
      </c>
      <c r="K215">
        <v>204</v>
      </c>
      <c r="T215">
        <v>3</v>
      </c>
      <c r="U215">
        <v>2</v>
      </c>
      <c r="V215" t="s">
        <v>269</v>
      </c>
      <c r="W215">
        <v>107</v>
      </c>
      <c r="X215">
        <v>20</v>
      </c>
      <c r="Y215">
        <v>8</v>
      </c>
      <c r="Z215" t="s">
        <v>619</v>
      </c>
      <c r="AA215" t="s">
        <v>620</v>
      </c>
      <c r="AB215" t="s">
        <v>272</v>
      </c>
      <c r="AC215" t="s">
        <v>273</v>
      </c>
      <c r="AD215" t="s">
        <v>274</v>
      </c>
      <c r="AE215" t="s">
        <v>577</v>
      </c>
      <c r="AG215" t="s">
        <v>621</v>
      </c>
      <c r="AH215">
        <v>0</v>
      </c>
      <c r="AI215">
        <v>265</v>
      </c>
      <c r="AJ215">
        <v>21</v>
      </c>
      <c r="AK215">
        <v>418</v>
      </c>
      <c r="AL215">
        <v>1</v>
      </c>
    </row>
    <row r="216" spans="1:38" x14ac:dyDescent="0.3">
      <c r="A216" t="s">
        <v>572</v>
      </c>
      <c r="B216">
        <v>5297</v>
      </c>
      <c r="C216">
        <v>3</v>
      </c>
      <c r="D216" t="s">
        <v>617</v>
      </c>
      <c r="E216" t="s">
        <v>618</v>
      </c>
      <c r="F216">
        <v>418</v>
      </c>
      <c r="G216">
        <v>48.78</v>
      </c>
      <c r="H216">
        <v>161.27000000000001</v>
      </c>
      <c r="I216">
        <v>38.42</v>
      </c>
      <c r="J216">
        <v>127.03</v>
      </c>
      <c r="K216">
        <v>24</v>
      </c>
      <c r="T216">
        <v>4</v>
      </c>
      <c r="U216">
        <v>2</v>
      </c>
      <c r="V216" t="s">
        <v>269</v>
      </c>
      <c r="W216">
        <v>161</v>
      </c>
      <c r="X216">
        <v>20</v>
      </c>
      <c r="Y216">
        <v>8</v>
      </c>
      <c r="Z216" t="s">
        <v>619</v>
      </c>
      <c r="AA216" t="s">
        <v>620</v>
      </c>
      <c r="AB216" t="s">
        <v>272</v>
      </c>
      <c r="AC216" t="s">
        <v>273</v>
      </c>
      <c r="AD216" t="s">
        <v>274</v>
      </c>
      <c r="AE216" t="s">
        <v>577</v>
      </c>
      <c r="AG216" t="s">
        <v>621</v>
      </c>
      <c r="AH216">
        <v>0</v>
      </c>
      <c r="AI216">
        <v>265</v>
      </c>
      <c r="AJ216">
        <v>21</v>
      </c>
      <c r="AK216">
        <v>418</v>
      </c>
      <c r="AL216">
        <v>1</v>
      </c>
    </row>
    <row r="217" spans="1:38" x14ac:dyDescent="0.3">
      <c r="A217" t="s">
        <v>622</v>
      </c>
      <c r="B217">
        <v>124504</v>
      </c>
      <c r="C217">
        <v>1</v>
      </c>
      <c r="D217" t="s">
        <v>623</v>
      </c>
      <c r="E217" t="s">
        <v>624</v>
      </c>
      <c r="F217">
        <v>70</v>
      </c>
      <c r="G217">
        <v>14.38</v>
      </c>
      <c r="H217">
        <v>47.55</v>
      </c>
      <c r="I217">
        <v>11.7</v>
      </c>
      <c r="J217">
        <v>38.700000000000003</v>
      </c>
      <c r="K217">
        <v>5</v>
      </c>
      <c r="T217">
        <v>2</v>
      </c>
      <c r="U217">
        <v>1</v>
      </c>
      <c r="V217" t="s">
        <v>269</v>
      </c>
      <c r="W217">
        <v>47</v>
      </c>
      <c r="X217">
        <v>5</v>
      </c>
      <c r="Y217">
        <v>5</v>
      </c>
      <c r="Z217" t="s">
        <v>625</v>
      </c>
      <c r="AA217" t="s">
        <v>626</v>
      </c>
      <c r="AB217" t="s">
        <v>272</v>
      </c>
      <c r="AC217" t="s">
        <v>273</v>
      </c>
      <c r="AD217" t="s">
        <v>274</v>
      </c>
      <c r="AE217" t="s">
        <v>240</v>
      </c>
      <c r="AG217" t="s">
        <v>627</v>
      </c>
      <c r="AH217">
        <v>0</v>
      </c>
      <c r="AI217">
        <v>0</v>
      </c>
      <c r="AJ217">
        <v>0</v>
      </c>
      <c r="AK217">
        <v>0</v>
      </c>
      <c r="AL217">
        <v>0</v>
      </c>
    </row>
    <row r="218" spans="1:38" x14ac:dyDescent="0.3">
      <c r="A218" t="s">
        <v>622</v>
      </c>
      <c r="B218">
        <v>124504</v>
      </c>
      <c r="C218">
        <v>2</v>
      </c>
      <c r="D218" t="s">
        <v>623</v>
      </c>
      <c r="E218" t="s">
        <v>624</v>
      </c>
      <c r="F218">
        <v>70</v>
      </c>
      <c r="G218">
        <v>14.53</v>
      </c>
      <c r="H218">
        <v>48.06</v>
      </c>
      <c r="I218">
        <v>11.86</v>
      </c>
      <c r="J218">
        <v>39.21</v>
      </c>
      <c r="K218">
        <v>65</v>
      </c>
      <c r="T218">
        <v>2</v>
      </c>
      <c r="U218">
        <v>1</v>
      </c>
      <c r="V218" t="s">
        <v>269</v>
      </c>
      <c r="W218">
        <v>48</v>
      </c>
      <c r="X218">
        <v>5</v>
      </c>
      <c r="Y218">
        <v>5</v>
      </c>
      <c r="Z218" t="s">
        <v>625</v>
      </c>
      <c r="AA218" t="s">
        <v>626</v>
      </c>
      <c r="AB218" t="s">
        <v>272</v>
      </c>
      <c r="AC218" t="s">
        <v>273</v>
      </c>
      <c r="AD218" t="s">
        <v>274</v>
      </c>
      <c r="AE218" t="s">
        <v>240</v>
      </c>
      <c r="AG218" t="s">
        <v>627</v>
      </c>
      <c r="AH218">
        <v>0</v>
      </c>
      <c r="AI218">
        <v>0</v>
      </c>
      <c r="AJ218">
        <v>0</v>
      </c>
      <c r="AK218">
        <v>0</v>
      </c>
      <c r="AL218">
        <v>0</v>
      </c>
    </row>
    <row r="219" spans="1:38" x14ac:dyDescent="0.3">
      <c r="A219" t="s">
        <v>622</v>
      </c>
      <c r="B219">
        <v>19308</v>
      </c>
      <c r="C219">
        <v>1</v>
      </c>
      <c r="D219" t="s">
        <v>628</v>
      </c>
      <c r="E219" t="s">
        <v>579</v>
      </c>
      <c r="F219">
        <v>360</v>
      </c>
      <c r="G219">
        <v>40.89</v>
      </c>
      <c r="H219">
        <v>135.18</v>
      </c>
      <c r="I219">
        <v>31.11</v>
      </c>
      <c r="J219">
        <v>102.87</v>
      </c>
      <c r="K219">
        <v>360</v>
      </c>
      <c r="T219">
        <v>3</v>
      </c>
      <c r="U219">
        <v>2</v>
      </c>
      <c r="V219" t="s">
        <v>269</v>
      </c>
      <c r="W219">
        <v>135</v>
      </c>
      <c r="X219">
        <v>17</v>
      </c>
      <c r="Y219">
        <v>13</v>
      </c>
      <c r="Z219" t="s">
        <v>629</v>
      </c>
      <c r="AA219" t="s">
        <v>630</v>
      </c>
      <c r="AB219" t="s">
        <v>272</v>
      </c>
      <c r="AC219" t="s">
        <v>273</v>
      </c>
      <c r="AD219" t="s">
        <v>274</v>
      </c>
      <c r="AE219" t="s">
        <v>240</v>
      </c>
      <c r="AG219" t="s">
        <v>631</v>
      </c>
      <c r="AH219">
        <v>0</v>
      </c>
      <c r="AI219">
        <v>249</v>
      </c>
      <c r="AJ219">
        <v>20</v>
      </c>
      <c r="AK219">
        <v>502</v>
      </c>
      <c r="AL219">
        <v>1.39</v>
      </c>
    </row>
    <row r="220" spans="1:38" x14ac:dyDescent="0.3">
      <c r="A220" t="s">
        <v>622</v>
      </c>
      <c r="B220">
        <v>5476</v>
      </c>
      <c r="C220">
        <v>1</v>
      </c>
      <c r="D220" t="s">
        <v>632</v>
      </c>
      <c r="E220" t="s">
        <v>633</v>
      </c>
      <c r="F220">
        <v>533</v>
      </c>
      <c r="G220">
        <v>14.65</v>
      </c>
      <c r="H220">
        <v>48.46</v>
      </c>
      <c r="I220">
        <v>12.06</v>
      </c>
      <c r="J220">
        <v>39.880000000000003</v>
      </c>
      <c r="K220">
        <v>40</v>
      </c>
      <c r="T220">
        <v>2</v>
      </c>
      <c r="U220">
        <v>1</v>
      </c>
      <c r="V220" t="s">
        <v>269</v>
      </c>
      <c r="W220">
        <v>48</v>
      </c>
      <c r="X220">
        <v>5</v>
      </c>
      <c r="Y220">
        <v>3</v>
      </c>
      <c r="Z220" t="s">
        <v>634</v>
      </c>
      <c r="AA220" t="s">
        <v>635</v>
      </c>
      <c r="AB220" t="s">
        <v>272</v>
      </c>
      <c r="AC220" t="s">
        <v>273</v>
      </c>
      <c r="AD220" t="s">
        <v>274</v>
      </c>
      <c r="AE220" t="s">
        <v>240</v>
      </c>
      <c r="AG220" t="s">
        <v>636</v>
      </c>
      <c r="AH220">
        <v>0</v>
      </c>
      <c r="AI220">
        <v>0</v>
      </c>
      <c r="AJ220">
        <v>0</v>
      </c>
      <c r="AK220">
        <v>500</v>
      </c>
      <c r="AL220">
        <v>0.94</v>
      </c>
    </row>
    <row r="221" spans="1:38" x14ac:dyDescent="0.3">
      <c r="A221" t="s">
        <v>622</v>
      </c>
      <c r="B221">
        <v>5476</v>
      </c>
      <c r="C221">
        <v>2</v>
      </c>
      <c r="D221" t="s">
        <v>632</v>
      </c>
      <c r="E221" t="s">
        <v>633</v>
      </c>
      <c r="F221">
        <v>533</v>
      </c>
      <c r="G221">
        <v>18.07</v>
      </c>
      <c r="H221">
        <v>59.76</v>
      </c>
      <c r="I221">
        <v>15.1</v>
      </c>
      <c r="J221">
        <v>49.95</v>
      </c>
      <c r="K221">
        <v>120</v>
      </c>
      <c r="T221">
        <v>3</v>
      </c>
      <c r="U221">
        <v>1</v>
      </c>
      <c r="V221" t="s">
        <v>279</v>
      </c>
      <c r="W221">
        <v>59</v>
      </c>
      <c r="X221">
        <v>5</v>
      </c>
      <c r="Y221">
        <v>3</v>
      </c>
      <c r="Z221" t="s">
        <v>634</v>
      </c>
      <c r="AA221" t="s">
        <v>635</v>
      </c>
      <c r="AB221" t="s">
        <v>272</v>
      </c>
      <c r="AC221" t="s">
        <v>273</v>
      </c>
      <c r="AD221" t="s">
        <v>274</v>
      </c>
      <c r="AE221" t="s">
        <v>240</v>
      </c>
      <c r="AG221" t="s">
        <v>636</v>
      </c>
      <c r="AH221">
        <v>0</v>
      </c>
      <c r="AI221">
        <v>0</v>
      </c>
      <c r="AJ221">
        <v>0</v>
      </c>
      <c r="AK221">
        <v>500</v>
      </c>
      <c r="AL221">
        <v>0.94</v>
      </c>
    </row>
    <row r="222" spans="1:38" x14ac:dyDescent="0.3">
      <c r="A222" t="s">
        <v>622</v>
      </c>
      <c r="B222">
        <v>5476</v>
      </c>
      <c r="C222">
        <v>3</v>
      </c>
      <c r="D222" t="s">
        <v>632</v>
      </c>
      <c r="E222" t="s">
        <v>633</v>
      </c>
      <c r="F222">
        <v>533</v>
      </c>
      <c r="G222">
        <v>19.510000000000002</v>
      </c>
      <c r="H222">
        <v>64.52</v>
      </c>
      <c r="I222">
        <v>17.53</v>
      </c>
      <c r="J222">
        <v>57.96</v>
      </c>
      <c r="K222">
        <v>65</v>
      </c>
      <c r="T222">
        <v>3</v>
      </c>
      <c r="U222">
        <v>1</v>
      </c>
      <c r="V222" t="s">
        <v>269</v>
      </c>
      <c r="W222" t="s">
        <v>120</v>
      </c>
      <c r="X222">
        <v>5</v>
      </c>
      <c r="Y222">
        <v>3</v>
      </c>
      <c r="Z222" t="s">
        <v>634</v>
      </c>
      <c r="AA222" t="s">
        <v>635</v>
      </c>
      <c r="AB222" t="s">
        <v>272</v>
      </c>
      <c r="AC222" t="s">
        <v>273</v>
      </c>
      <c r="AD222" t="s">
        <v>274</v>
      </c>
      <c r="AE222" t="s">
        <v>240</v>
      </c>
      <c r="AG222" t="s">
        <v>636</v>
      </c>
      <c r="AH222">
        <v>0</v>
      </c>
      <c r="AI222">
        <v>0</v>
      </c>
      <c r="AJ222">
        <v>0</v>
      </c>
      <c r="AK222">
        <v>500</v>
      </c>
      <c r="AL222">
        <v>0.94</v>
      </c>
    </row>
    <row r="223" spans="1:38" x14ac:dyDescent="0.3">
      <c r="A223" t="s">
        <v>622</v>
      </c>
      <c r="B223">
        <v>5476</v>
      </c>
      <c r="C223">
        <v>4</v>
      </c>
      <c r="D223" t="s">
        <v>632</v>
      </c>
      <c r="E223" t="s">
        <v>633</v>
      </c>
      <c r="F223">
        <v>533</v>
      </c>
      <c r="G223">
        <v>19.72</v>
      </c>
      <c r="H223">
        <v>65.22</v>
      </c>
      <c r="I223">
        <v>17.98</v>
      </c>
      <c r="J223">
        <v>59.46</v>
      </c>
      <c r="K223">
        <v>30</v>
      </c>
      <c r="T223">
        <v>3</v>
      </c>
      <c r="U223">
        <v>1</v>
      </c>
      <c r="V223" t="s">
        <v>269</v>
      </c>
      <c r="W223" t="s">
        <v>121</v>
      </c>
      <c r="X223">
        <v>5</v>
      </c>
      <c r="Y223">
        <v>3</v>
      </c>
      <c r="Z223" t="s">
        <v>634</v>
      </c>
      <c r="AA223" t="s">
        <v>635</v>
      </c>
      <c r="AB223" t="s">
        <v>272</v>
      </c>
      <c r="AC223" t="s">
        <v>273</v>
      </c>
      <c r="AD223" t="s">
        <v>274</v>
      </c>
      <c r="AE223" t="s">
        <v>240</v>
      </c>
      <c r="AG223" t="s">
        <v>636</v>
      </c>
      <c r="AH223">
        <v>0</v>
      </c>
      <c r="AI223">
        <v>0</v>
      </c>
      <c r="AJ223">
        <v>0</v>
      </c>
      <c r="AK223">
        <v>500</v>
      </c>
      <c r="AL223">
        <v>0.94</v>
      </c>
    </row>
    <row r="224" spans="1:38" x14ac:dyDescent="0.3">
      <c r="A224" t="s">
        <v>622</v>
      </c>
      <c r="B224">
        <v>5476</v>
      </c>
      <c r="C224">
        <v>5</v>
      </c>
      <c r="D224" t="s">
        <v>632</v>
      </c>
      <c r="E224" t="s">
        <v>633</v>
      </c>
      <c r="F224">
        <v>533</v>
      </c>
      <c r="G224">
        <v>20.010000000000002</v>
      </c>
      <c r="H224">
        <v>66.150000000000006</v>
      </c>
      <c r="I224">
        <v>18.02</v>
      </c>
      <c r="J224">
        <v>59.58</v>
      </c>
      <c r="K224">
        <v>40</v>
      </c>
      <c r="T224">
        <v>3</v>
      </c>
      <c r="U224">
        <v>1</v>
      </c>
      <c r="V224" t="s">
        <v>269</v>
      </c>
      <c r="W224" t="s">
        <v>122</v>
      </c>
      <c r="X224">
        <v>5</v>
      </c>
      <c r="Y224">
        <v>3</v>
      </c>
      <c r="Z224" t="s">
        <v>634</v>
      </c>
      <c r="AA224" t="s">
        <v>635</v>
      </c>
      <c r="AB224" t="s">
        <v>272</v>
      </c>
      <c r="AC224" t="s">
        <v>273</v>
      </c>
      <c r="AD224" t="s">
        <v>274</v>
      </c>
      <c r="AE224" t="s">
        <v>240</v>
      </c>
      <c r="AG224" t="s">
        <v>636</v>
      </c>
      <c r="AH224">
        <v>0</v>
      </c>
      <c r="AI224">
        <v>0</v>
      </c>
      <c r="AJ224">
        <v>0</v>
      </c>
      <c r="AK224">
        <v>500</v>
      </c>
      <c r="AL224">
        <v>0.94</v>
      </c>
    </row>
    <row r="225" spans="1:38" x14ac:dyDescent="0.3">
      <c r="A225" t="s">
        <v>622</v>
      </c>
      <c r="B225">
        <v>5476</v>
      </c>
      <c r="C225">
        <v>6</v>
      </c>
      <c r="D225" t="s">
        <v>632</v>
      </c>
      <c r="E225" t="s">
        <v>633</v>
      </c>
      <c r="F225">
        <v>533</v>
      </c>
      <c r="G225">
        <v>21.06</v>
      </c>
      <c r="H225">
        <v>69.64</v>
      </c>
      <c r="I225">
        <v>18.11</v>
      </c>
      <c r="J225">
        <v>59.88</v>
      </c>
      <c r="K225">
        <v>40</v>
      </c>
      <c r="T225">
        <v>3</v>
      </c>
      <c r="U225">
        <v>1</v>
      </c>
      <c r="V225" t="s">
        <v>269</v>
      </c>
      <c r="W225" t="s">
        <v>123</v>
      </c>
      <c r="X225">
        <v>5</v>
      </c>
      <c r="Y225">
        <v>3</v>
      </c>
      <c r="Z225" t="s">
        <v>634</v>
      </c>
      <c r="AA225" t="s">
        <v>635</v>
      </c>
      <c r="AB225" t="s">
        <v>272</v>
      </c>
      <c r="AC225" t="s">
        <v>273</v>
      </c>
      <c r="AD225" t="s">
        <v>274</v>
      </c>
      <c r="AE225" t="s">
        <v>240</v>
      </c>
      <c r="AG225" t="s">
        <v>636</v>
      </c>
      <c r="AH225">
        <v>0</v>
      </c>
      <c r="AI225">
        <v>0</v>
      </c>
      <c r="AJ225">
        <v>0</v>
      </c>
      <c r="AK225">
        <v>500</v>
      </c>
      <c r="AL225">
        <v>0.94</v>
      </c>
    </row>
    <row r="226" spans="1:38" x14ac:dyDescent="0.3">
      <c r="A226" t="s">
        <v>622</v>
      </c>
      <c r="B226">
        <v>5476</v>
      </c>
      <c r="C226">
        <v>7</v>
      </c>
      <c r="D226" t="s">
        <v>632</v>
      </c>
      <c r="E226" t="s">
        <v>633</v>
      </c>
      <c r="F226">
        <v>533</v>
      </c>
      <c r="G226">
        <v>21.07</v>
      </c>
      <c r="H226">
        <v>69.66</v>
      </c>
      <c r="I226">
        <v>17.579999999999998</v>
      </c>
      <c r="J226">
        <v>58.14</v>
      </c>
      <c r="K226">
        <v>3</v>
      </c>
      <c r="T226">
        <v>3</v>
      </c>
      <c r="U226">
        <v>1</v>
      </c>
      <c r="V226" t="s">
        <v>269</v>
      </c>
      <c r="W226" t="s">
        <v>124</v>
      </c>
      <c r="X226">
        <v>5</v>
      </c>
      <c r="Y226">
        <v>3</v>
      </c>
      <c r="Z226" t="s">
        <v>634</v>
      </c>
      <c r="AA226" t="s">
        <v>635</v>
      </c>
      <c r="AB226" t="s">
        <v>272</v>
      </c>
      <c r="AC226" t="s">
        <v>273</v>
      </c>
      <c r="AD226" t="s">
        <v>274</v>
      </c>
      <c r="AE226" t="s">
        <v>240</v>
      </c>
      <c r="AG226" t="s">
        <v>636</v>
      </c>
      <c r="AH226">
        <v>0</v>
      </c>
      <c r="AI226">
        <v>0</v>
      </c>
      <c r="AJ226">
        <v>0</v>
      </c>
      <c r="AK226">
        <v>500</v>
      </c>
      <c r="AL226">
        <v>0.94</v>
      </c>
    </row>
    <row r="227" spans="1:38" x14ac:dyDescent="0.3">
      <c r="A227" t="s">
        <v>622</v>
      </c>
      <c r="B227">
        <v>5476</v>
      </c>
      <c r="C227">
        <v>8</v>
      </c>
      <c r="D227" t="s">
        <v>632</v>
      </c>
      <c r="E227" t="s">
        <v>633</v>
      </c>
      <c r="F227">
        <v>533</v>
      </c>
      <c r="G227">
        <v>21.23</v>
      </c>
      <c r="H227">
        <v>70.2</v>
      </c>
      <c r="I227">
        <v>18.100000000000001</v>
      </c>
      <c r="J227">
        <v>59.85</v>
      </c>
      <c r="K227">
        <v>195</v>
      </c>
      <c r="T227">
        <v>3</v>
      </c>
      <c r="U227">
        <v>1</v>
      </c>
      <c r="V227" t="s">
        <v>269</v>
      </c>
      <c r="W227" t="s">
        <v>125</v>
      </c>
      <c r="X227">
        <v>5</v>
      </c>
      <c r="Y227">
        <v>3</v>
      </c>
      <c r="Z227" t="s">
        <v>634</v>
      </c>
      <c r="AA227" t="s">
        <v>635</v>
      </c>
      <c r="AB227" t="s">
        <v>272</v>
      </c>
      <c r="AC227" t="s">
        <v>273</v>
      </c>
      <c r="AD227" t="s">
        <v>274</v>
      </c>
      <c r="AE227" t="s">
        <v>240</v>
      </c>
      <c r="AG227" t="s">
        <v>636</v>
      </c>
      <c r="AH227">
        <v>0</v>
      </c>
      <c r="AI227">
        <v>0</v>
      </c>
      <c r="AJ227">
        <v>0</v>
      </c>
      <c r="AK227">
        <v>500</v>
      </c>
      <c r="AL227">
        <v>0.94</v>
      </c>
    </row>
    <row r="228" spans="1:38" x14ac:dyDescent="0.3">
      <c r="A228" t="s">
        <v>622</v>
      </c>
      <c r="B228">
        <v>15031</v>
      </c>
      <c r="C228">
        <v>1</v>
      </c>
      <c r="D228" t="s">
        <v>637</v>
      </c>
      <c r="E228" t="s">
        <v>638</v>
      </c>
      <c r="F228">
        <v>417</v>
      </c>
      <c r="G228">
        <v>23.18</v>
      </c>
      <c r="H228">
        <v>76.64</v>
      </c>
      <c r="I228">
        <v>18.09</v>
      </c>
      <c r="J228">
        <v>59.83</v>
      </c>
      <c r="K228">
        <v>198</v>
      </c>
      <c r="T228">
        <v>3</v>
      </c>
      <c r="U228">
        <v>1</v>
      </c>
      <c r="V228" t="s">
        <v>269</v>
      </c>
      <c r="W228">
        <v>76</v>
      </c>
      <c r="X228">
        <v>20</v>
      </c>
      <c r="Y228">
        <v>19</v>
      </c>
      <c r="Z228" t="s">
        <v>639</v>
      </c>
      <c r="AA228" t="s">
        <v>640</v>
      </c>
      <c r="AB228" t="s">
        <v>272</v>
      </c>
      <c r="AC228" t="s">
        <v>273</v>
      </c>
      <c r="AD228" t="s">
        <v>274</v>
      </c>
      <c r="AE228" t="s">
        <v>240</v>
      </c>
      <c r="AG228" t="s">
        <v>641</v>
      </c>
      <c r="AH228">
        <v>0</v>
      </c>
      <c r="AI228">
        <v>281</v>
      </c>
      <c r="AJ228">
        <v>17</v>
      </c>
      <c r="AK228">
        <v>427</v>
      </c>
      <c r="AL228">
        <v>1.02</v>
      </c>
    </row>
    <row r="229" spans="1:38" x14ac:dyDescent="0.3">
      <c r="A229" t="s">
        <v>622</v>
      </c>
      <c r="B229">
        <v>15031</v>
      </c>
      <c r="C229">
        <v>2</v>
      </c>
      <c r="D229" t="s">
        <v>637</v>
      </c>
      <c r="E229" t="s">
        <v>638</v>
      </c>
      <c r="F229">
        <v>417</v>
      </c>
      <c r="G229">
        <v>28.5</v>
      </c>
      <c r="H229">
        <v>94.23</v>
      </c>
      <c r="I229">
        <v>22.25</v>
      </c>
      <c r="J229">
        <v>73.569999999999993</v>
      </c>
      <c r="K229">
        <v>20</v>
      </c>
      <c r="T229">
        <v>3</v>
      </c>
      <c r="U229">
        <v>1</v>
      </c>
      <c r="V229" t="s">
        <v>269</v>
      </c>
      <c r="W229">
        <v>94</v>
      </c>
      <c r="X229">
        <v>20</v>
      </c>
      <c r="Y229">
        <v>19</v>
      </c>
      <c r="Z229" t="s">
        <v>639</v>
      </c>
      <c r="AA229" t="s">
        <v>640</v>
      </c>
      <c r="AB229" t="s">
        <v>272</v>
      </c>
      <c r="AC229" t="s">
        <v>273</v>
      </c>
      <c r="AD229" t="s">
        <v>274</v>
      </c>
      <c r="AE229" t="s">
        <v>240</v>
      </c>
      <c r="AG229" t="s">
        <v>641</v>
      </c>
      <c r="AH229">
        <v>0</v>
      </c>
      <c r="AI229">
        <v>281</v>
      </c>
      <c r="AJ229">
        <v>17</v>
      </c>
      <c r="AK229">
        <v>427</v>
      </c>
      <c r="AL229">
        <v>1.02</v>
      </c>
    </row>
    <row r="230" spans="1:38" x14ac:dyDescent="0.3">
      <c r="A230" t="s">
        <v>622</v>
      </c>
      <c r="B230">
        <v>15031</v>
      </c>
      <c r="C230">
        <v>3</v>
      </c>
      <c r="D230" t="s">
        <v>637</v>
      </c>
      <c r="E230" t="s">
        <v>638</v>
      </c>
      <c r="F230">
        <v>417</v>
      </c>
      <c r="G230">
        <v>32.869999999999997</v>
      </c>
      <c r="H230">
        <v>108.68</v>
      </c>
      <c r="I230">
        <v>25.66</v>
      </c>
      <c r="J230">
        <v>84.85</v>
      </c>
      <c r="K230">
        <v>119</v>
      </c>
      <c r="T230">
        <v>3</v>
      </c>
      <c r="U230">
        <v>2</v>
      </c>
      <c r="V230" t="s">
        <v>269</v>
      </c>
      <c r="W230" t="s">
        <v>128</v>
      </c>
      <c r="X230">
        <v>20</v>
      </c>
      <c r="Y230">
        <v>19</v>
      </c>
      <c r="Z230" t="s">
        <v>639</v>
      </c>
      <c r="AA230" t="s">
        <v>640</v>
      </c>
      <c r="AB230" t="s">
        <v>272</v>
      </c>
      <c r="AC230" t="s">
        <v>273</v>
      </c>
      <c r="AD230" t="s">
        <v>274</v>
      </c>
      <c r="AE230" t="s">
        <v>240</v>
      </c>
      <c r="AG230" t="s">
        <v>641</v>
      </c>
      <c r="AH230">
        <v>0</v>
      </c>
      <c r="AI230">
        <v>281</v>
      </c>
      <c r="AJ230">
        <v>17</v>
      </c>
      <c r="AK230">
        <v>427</v>
      </c>
      <c r="AL230">
        <v>1.02</v>
      </c>
    </row>
    <row r="231" spans="1:38" x14ac:dyDescent="0.3">
      <c r="A231" t="s">
        <v>622</v>
      </c>
      <c r="B231">
        <v>15031</v>
      </c>
      <c r="C231">
        <v>4</v>
      </c>
      <c r="D231" t="s">
        <v>637</v>
      </c>
      <c r="E231" t="s">
        <v>638</v>
      </c>
      <c r="F231">
        <v>417</v>
      </c>
      <c r="G231">
        <v>32.79</v>
      </c>
      <c r="H231">
        <v>108.41</v>
      </c>
      <c r="I231">
        <v>25.6</v>
      </c>
      <c r="J231">
        <v>84.64</v>
      </c>
      <c r="K231">
        <v>20</v>
      </c>
      <c r="T231">
        <v>3</v>
      </c>
      <c r="U231">
        <v>2</v>
      </c>
      <c r="V231" t="s">
        <v>269</v>
      </c>
      <c r="W231" t="s">
        <v>129</v>
      </c>
      <c r="X231">
        <v>20</v>
      </c>
      <c r="Y231">
        <v>19</v>
      </c>
      <c r="Z231" t="s">
        <v>639</v>
      </c>
      <c r="AA231" t="s">
        <v>640</v>
      </c>
      <c r="AB231" t="s">
        <v>272</v>
      </c>
      <c r="AC231" t="s">
        <v>273</v>
      </c>
      <c r="AD231" t="s">
        <v>274</v>
      </c>
      <c r="AE231" t="s">
        <v>240</v>
      </c>
      <c r="AG231" t="s">
        <v>641</v>
      </c>
      <c r="AH231">
        <v>0</v>
      </c>
      <c r="AI231">
        <v>281</v>
      </c>
      <c r="AJ231">
        <v>17</v>
      </c>
      <c r="AK231">
        <v>427</v>
      </c>
      <c r="AL231">
        <v>1.02</v>
      </c>
    </row>
    <row r="232" spans="1:38" x14ac:dyDescent="0.3">
      <c r="A232" t="s">
        <v>622</v>
      </c>
      <c r="B232">
        <v>15031</v>
      </c>
      <c r="C232">
        <v>5</v>
      </c>
      <c r="D232" t="s">
        <v>637</v>
      </c>
      <c r="E232" t="s">
        <v>638</v>
      </c>
      <c r="F232">
        <v>417</v>
      </c>
      <c r="G232">
        <v>32.880000000000003</v>
      </c>
      <c r="H232">
        <v>108.7</v>
      </c>
      <c r="I232">
        <v>25.67</v>
      </c>
      <c r="J232">
        <v>84.86</v>
      </c>
      <c r="K232">
        <v>20</v>
      </c>
      <c r="T232">
        <v>3</v>
      </c>
      <c r="U232">
        <v>2</v>
      </c>
      <c r="V232" t="s">
        <v>269</v>
      </c>
      <c r="W232" t="s">
        <v>130</v>
      </c>
      <c r="X232">
        <v>20</v>
      </c>
      <c r="Y232">
        <v>19</v>
      </c>
      <c r="Z232" t="s">
        <v>639</v>
      </c>
      <c r="AA232" t="s">
        <v>640</v>
      </c>
      <c r="AB232" t="s">
        <v>272</v>
      </c>
      <c r="AC232" t="s">
        <v>273</v>
      </c>
      <c r="AD232" t="s">
        <v>274</v>
      </c>
      <c r="AE232" t="s">
        <v>240</v>
      </c>
      <c r="AG232" t="s">
        <v>641</v>
      </c>
      <c r="AH232">
        <v>0</v>
      </c>
      <c r="AI232">
        <v>281</v>
      </c>
      <c r="AJ232">
        <v>17</v>
      </c>
      <c r="AK232">
        <v>427</v>
      </c>
      <c r="AL232">
        <v>1.02</v>
      </c>
    </row>
    <row r="233" spans="1:38" x14ac:dyDescent="0.3">
      <c r="A233" t="s">
        <v>622</v>
      </c>
      <c r="B233">
        <v>15031</v>
      </c>
      <c r="C233">
        <v>6</v>
      </c>
      <c r="D233" t="s">
        <v>637</v>
      </c>
      <c r="E233" t="s">
        <v>638</v>
      </c>
      <c r="F233">
        <v>417</v>
      </c>
      <c r="G233">
        <v>38.35</v>
      </c>
      <c r="H233">
        <v>126.8</v>
      </c>
      <c r="I233">
        <v>30.96</v>
      </c>
      <c r="J233">
        <v>102.36</v>
      </c>
      <c r="K233">
        <v>40</v>
      </c>
      <c r="T233">
        <v>3</v>
      </c>
      <c r="U233">
        <v>2</v>
      </c>
      <c r="V233" t="s">
        <v>269</v>
      </c>
      <c r="W233">
        <v>126</v>
      </c>
      <c r="X233">
        <v>20</v>
      </c>
      <c r="Y233">
        <v>19</v>
      </c>
      <c r="Z233" t="s">
        <v>639</v>
      </c>
      <c r="AA233" t="s">
        <v>640</v>
      </c>
      <c r="AB233" t="s">
        <v>272</v>
      </c>
      <c r="AC233" t="s">
        <v>273</v>
      </c>
      <c r="AD233" t="s">
        <v>274</v>
      </c>
      <c r="AE233" t="s">
        <v>240</v>
      </c>
      <c r="AG233" t="s">
        <v>641</v>
      </c>
      <c r="AH233">
        <v>0</v>
      </c>
      <c r="AI233">
        <v>281</v>
      </c>
      <c r="AJ233">
        <v>17</v>
      </c>
      <c r="AK233">
        <v>427</v>
      </c>
      <c r="AL233">
        <v>1.02</v>
      </c>
    </row>
    <row r="234" spans="1:38" x14ac:dyDescent="0.3">
      <c r="A234" t="s">
        <v>622</v>
      </c>
      <c r="B234">
        <v>5484</v>
      </c>
      <c r="C234">
        <v>1</v>
      </c>
      <c r="D234" t="s">
        <v>642</v>
      </c>
      <c r="E234" t="s">
        <v>643</v>
      </c>
      <c r="F234">
        <v>394</v>
      </c>
      <c r="G234">
        <v>25.61</v>
      </c>
      <c r="H234">
        <v>84.68</v>
      </c>
      <c r="I234">
        <v>18.11</v>
      </c>
      <c r="J234">
        <v>59.88</v>
      </c>
      <c r="K234">
        <v>174</v>
      </c>
      <c r="T234">
        <v>2</v>
      </c>
      <c r="U234">
        <v>1</v>
      </c>
      <c r="V234" t="s">
        <v>269</v>
      </c>
      <c r="W234">
        <v>84</v>
      </c>
      <c r="X234">
        <v>20</v>
      </c>
      <c r="Y234">
        <v>14</v>
      </c>
      <c r="Z234" t="s">
        <v>644</v>
      </c>
      <c r="AA234" t="s">
        <v>645</v>
      </c>
      <c r="AB234" t="s">
        <v>272</v>
      </c>
      <c r="AC234" t="s">
        <v>273</v>
      </c>
      <c r="AD234" t="s">
        <v>274</v>
      </c>
      <c r="AE234" t="s">
        <v>240</v>
      </c>
      <c r="AG234" t="s">
        <v>646</v>
      </c>
      <c r="AH234">
        <v>0</v>
      </c>
      <c r="AI234">
        <v>0</v>
      </c>
      <c r="AJ234">
        <v>0</v>
      </c>
      <c r="AK234">
        <v>300</v>
      </c>
      <c r="AL234">
        <v>0.76</v>
      </c>
    </row>
    <row r="235" spans="1:38" x14ac:dyDescent="0.3">
      <c r="A235" t="s">
        <v>622</v>
      </c>
      <c r="B235">
        <v>5484</v>
      </c>
      <c r="C235">
        <v>2</v>
      </c>
      <c r="D235" t="s">
        <v>642</v>
      </c>
      <c r="E235" t="s">
        <v>643</v>
      </c>
      <c r="F235">
        <v>394</v>
      </c>
      <c r="G235">
        <v>31.95</v>
      </c>
      <c r="H235">
        <v>105.65</v>
      </c>
      <c r="I235">
        <v>25.69</v>
      </c>
      <c r="J235">
        <v>84.93</v>
      </c>
      <c r="K235">
        <v>199</v>
      </c>
      <c r="T235">
        <v>3</v>
      </c>
      <c r="U235">
        <v>2</v>
      </c>
      <c r="V235" t="s">
        <v>269</v>
      </c>
      <c r="W235">
        <v>105</v>
      </c>
      <c r="X235">
        <v>20</v>
      </c>
      <c r="Y235">
        <v>14</v>
      </c>
      <c r="Z235" t="s">
        <v>644</v>
      </c>
      <c r="AA235" t="s">
        <v>645</v>
      </c>
      <c r="AB235" t="s">
        <v>272</v>
      </c>
      <c r="AC235" t="s">
        <v>273</v>
      </c>
      <c r="AD235" t="s">
        <v>274</v>
      </c>
      <c r="AE235" t="s">
        <v>240</v>
      </c>
      <c r="AG235" t="s">
        <v>646</v>
      </c>
      <c r="AH235">
        <v>0</v>
      </c>
      <c r="AI235">
        <v>0</v>
      </c>
      <c r="AJ235">
        <v>0</v>
      </c>
      <c r="AK235">
        <v>300</v>
      </c>
      <c r="AL235">
        <v>0.76</v>
      </c>
    </row>
    <row r="236" spans="1:38" x14ac:dyDescent="0.3">
      <c r="A236" t="s">
        <v>622</v>
      </c>
      <c r="B236">
        <v>5484</v>
      </c>
      <c r="C236">
        <v>3</v>
      </c>
      <c r="D236" t="s">
        <v>642</v>
      </c>
      <c r="E236" t="s">
        <v>643</v>
      </c>
      <c r="F236">
        <v>394</v>
      </c>
      <c r="G236">
        <v>32.54</v>
      </c>
      <c r="H236">
        <v>107.59</v>
      </c>
      <c r="I236">
        <v>25.69</v>
      </c>
      <c r="J236">
        <v>84.95</v>
      </c>
      <c r="K236">
        <v>21</v>
      </c>
      <c r="T236">
        <v>3</v>
      </c>
      <c r="U236">
        <v>2</v>
      </c>
      <c r="V236" t="s">
        <v>269</v>
      </c>
      <c r="W236">
        <v>107</v>
      </c>
      <c r="X236">
        <v>20</v>
      </c>
      <c r="Y236">
        <v>14</v>
      </c>
      <c r="Z236" t="s">
        <v>644</v>
      </c>
      <c r="AA236" t="s">
        <v>645</v>
      </c>
      <c r="AB236" t="s">
        <v>272</v>
      </c>
      <c r="AC236" t="s">
        <v>273</v>
      </c>
      <c r="AD236" t="s">
        <v>274</v>
      </c>
      <c r="AE236" t="s">
        <v>240</v>
      </c>
      <c r="AG236" t="s">
        <v>646</v>
      </c>
      <c r="AH236">
        <v>0</v>
      </c>
      <c r="AI236">
        <v>0</v>
      </c>
      <c r="AJ236">
        <v>0</v>
      </c>
      <c r="AK236">
        <v>300</v>
      </c>
      <c r="AL236">
        <v>0.76</v>
      </c>
    </row>
    <row r="237" spans="1:38" x14ac:dyDescent="0.3">
      <c r="A237" t="s">
        <v>622</v>
      </c>
      <c r="B237">
        <v>25378</v>
      </c>
      <c r="C237">
        <v>1</v>
      </c>
      <c r="D237" t="s">
        <v>647</v>
      </c>
      <c r="E237" t="s">
        <v>648</v>
      </c>
      <c r="F237">
        <v>520</v>
      </c>
      <c r="G237">
        <v>34.89</v>
      </c>
      <c r="H237">
        <v>115.34</v>
      </c>
      <c r="I237">
        <v>25.68</v>
      </c>
      <c r="J237">
        <v>84.92</v>
      </c>
      <c r="K237">
        <v>91</v>
      </c>
      <c r="T237">
        <v>3</v>
      </c>
      <c r="U237">
        <v>2</v>
      </c>
      <c r="V237" t="s">
        <v>269</v>
      </c>
      <c r="W237">
        <v>115</v>
      </c>
      <c r="X237">
        <v>24</v>
      </c>
      <c r="Y237">
        <v>12</v>
      </c>
      <c r="Z237" t="s">
        <v>649</v>
      </c>
      <c r="AA237" t="s">
        <v>650</v>
      </c>
      <c r="AB237" t="s">
        <v>272</v>
      </c>
      <c r="AC237" t="s">
        <v>273</v>
      </c>
      <c r="AD237" t="s">
        <v>274</v>
      </c>
      <c r="AE237" t="s">
        <v>240</v>
      </c>
      <c r="AG237" t="s">
        <v>651</v>
      </c>
      <c r="AH237">
        <v>0</v>
      </c>
      <c r="AI237">
        <v>384</v>
      </c>
      <c r="AJ237">
        <v>69</v>
      </c>
      <c r="AK237">
        <v>1111</v>
      </c>
      <c r="AL237">
        <v>2.14</v>
      </c>
    </row>
    <row r="238" spans="1:38" x14ac:dyDescent="0.3">
      <c r="A238" t="s">
        <v>622</v>
      </c>
      <c r="B238">
        <v>25378</v>
      </c>
      <c r="C238">
        <v>2</v>
      </c>
      <c r="D238" t="s">
        <v>647</v>
      </c>
      <c r="E238" t="s">
        <v>648</v>
      </c>
      <c r="F238">
        <v>520</v>
      </c>
      <c r="G238">
        <v>39.65</v>
      </c>
      <c r="H238">
        <v>131.08000000000001</v>
      </c>
      <c r="I238">
        <v>30.57</v>
      </c>
      <c r="J238">
        <v>101.08</v>
      </c>
      <c r="K238">
        <v>61</v>
      </c>
      <c r="T238">
        <v>3</v>
      </c>
      <c r="U238">
        <v>2</v>
      </c>
      <c r="V238" t="s">
        <v>269</v>
      </c>
      <c r="W238">
        <v>131</v>
      </c>
      <c r="X238">
        <v>24</v>
      </c>
      <c r="Y238">
        <v>12</v>
      </c>
      <c r="Z238" t="s">
        <v>649</v>
      </c>
      <c r="AA238" t="s">
        <v>650</v>
      </c>
      <c r="AB238" t="s">
        <v>272</v>
      </c>
      <c r="AC238" t="s">
        <v>273</v>
      </c>
      <c r="AD238" t="s">
        <v>274</v>
      </c>
      <c r="AE238" t="s">
        <v>240</v>
      </c>
      <c r="AG238" t="s">
        <v>651</v>
      </c>
      <c r="AH238">
        <v>0</v>
      </c>
      <c r="AI238">
        <v>384</v>
      </c>
      <c r="AJ238">
        <v>69</v>
      </c>
      <c r="AK238">
        <v>1111</v>
      </c>
      <c r="AL238">
        <v>2.14</v>
      </c>
    </row>
    <row r="239" spans="1:38" x14ac:dyDescent="0.3">
      <c r="A239" t="s">
        <v>622</v>
      </c>
      <c r="B239">
        <v>25378</v>
      </c>
      <c r="C239">
        <v>3</v>
      </c>
      <c r="D239" t="s">
        <v>647</v>
      </c>
      <c r="E239" t="s">
        <v>648</v>
      </c>
      <c r="F239">
        <v>520</v>
      </c>
      <c r="G239">
        <v>43.74</v>
      </c>
      <c r="H239">
        <v>144.61000000000001</v>
      </c>
      <c r="I239">
        <v>34.159999999999997</v>
      </c>
      <c r="J239">
        <v>112.94</v>
      </c>
      <c r="K239">
        <v>218</v>
      </c>
      <c r="T239">
        <v>4</v>
      </c>
      <c r="U239">
        <v>2</v>
      </c>
      <c r="V239" t="s">
        <v>269</v>
      </c>
      <c r="W239">
        <v>144</v>
      </c>
      <c r="X239">
        <v>24</v>
      </c>
      <c r="Y239">
        <v>12</v>
      </c>
      <c r="Z239" t="s">
        <v>649</v>
      </c>
      <c r="AA239" t="s">
        <v>650</v>
      </c>
      <c r="AB239" t="s">
        <v>272</v>
      </c>
      <c r="AC239" t="s">
        <v>273</v>
      </c>
      <c r="AD239" t="s">
        <v>274</v>
      </c>
      <c r="AE239" t="s">
        <v>240</v>
      </c>
      <c r="AG239" t="s">
        <v>651</v>
      </c>
      <c r="AH239">
        <v>0</v>
      </c>
      <c r="AI239">
        <v>384</v>
      </c>
      <c r="AJ239">
        <v>69</v>
      </c>
      <c r="AK239">
        <v>1111</v>
      </c>
      <c r="AL239">
        <v>2.14</v>
      </c>
    </row>
    <row r="240" spans="1:38" x14ac:dyDescent="0.3">
      <c r="A240" t="s">
        <v>622</v>
      </c>
      <c r="B240">
        <v>25378</v>
      </c>
      <c r="C240">
        <v>4</v>
      </c>
      <c r="D240" t="s">
        <v>647</v>
      </c>
      <c r="E240" t="s">
        <v>648</v>
      </c>
      <c r="F240">
        <v>520</v>
      </c>
      <c r="G240">
        <v>55.76</v>
      </c>
      <c r="H240">
        <v>184.36</v>
      </c>
      <c r="I240">
        <v>43.49</v>
      </c>
      <c r="J240">
        <v>143.78</v>
      </c>
      <c r="K240">
        <v>140</v>
      </c>
      <c r="T240">
        <v>4</v>
      </c>
      <c r="U240">
        <v>2</v>
      </c>
      <c r="V240" t="s">
        <v>269</v>
      </c>
      <c r="W240">
        <v>184</v>
      </c>
      <c r="X240">
        <v>24</v>
      </c>
      <c r="Y240">
        <v>12</v>
      </c>
      <c r="Z240" t="s">
        <v>649</v>
      </c>
      <c r="AA240" t="s">
        <v>650</v>
      </c>
      <c r="AB240" t="s">
        <v>272</v>
      </c>
      <c r="AC240" t="s">
        <v>273</v>
      </c>
      <c r="AD240" t="s">
        <v>274</v>
      </c>
      <c r="AE240" t="s">
        <v>240</v>
      </c>
      <c r="AG240" t="s">
        <v>651</v>
      </c>
      <c r="AH240">
        <v>0</v>
      </c>
      <c r="AI240">
        <v>384</v>
      </c>
      <c r="AJ240">
        <v>69</v>
      </c>
      <c r="AK240">
        <v>1111</v>
      </c>
      <c r="AL240">
        <v>2.14</v>
      </c>
    </row>
    <row r="241" spans="1:38" x14ac:dyDescent="0.3">
      <c r="A241" t="s">
        <v>622</v>
      </c>
      <c r="B241">
        <v>25378</v>
      </c>
      <c r="C241">
        <v>5</v>
      </c>
      <c r="D241" t="s">
        <v>647</v>
      </c>
      <c r="E241" t="s">
        <v>648</v>
      </c>
      <c r="F241">
        <v>520</v>
      </c>
      <c r="G241">
        <v>71.010000000000005</v>
      </c>
      <c r="H241">
        <v>234.77</v>
      </c>
      <c r="I241">
        <v>55.13</v>
      </c>
      <c r="J241">
        <v>182.27</v>
      </c>
      <c r="K241">
        <v>10</v>
      </c>
      <c r="T241">
        <v>5</v>
      </c>
      <c r="U241">
        <v>3</v>
      </c>
      <c r="V241" t="s">
        <v>269</v>
      </c>
      <c r="W241">
        <v>234</v>
      </c>
      <c r="X241">
        <v>24</v>
      </c>
      <c r="Y241">
        <v>12</v>
      </c>
      <c r="Z241" t="s">
        <v>649</v>
      </c>
      <c r="AA241" t="s">
        <v>650</v>
      </c>
      <c r="AB241" t="s">
        <v>272</v>
      </c>
      <c r="AC241" t="s">
        <v>273</v>
      </c>
      <c r="AD241" t="s">
        <v>274</v>
      </c>
      <c r="AE241" t="s">
        <v>240</v>
      </c>
      <c r="AG241" t="s">
        <v>651</v>
      </c>
      <c r="AH241">
        <v>0</v>
      </c>
      <c r="AI241">
        <v>384</v>
      </c>
      <c r="AJ241">
        <v>69</v>
      </c>
      <c r="AK241">
        <v>1111</v>
      </c>
      <c r="AL241">
        <v>2.14</v>
      </c>
    </row>
    <row r="242" spans="1:38" x14ac:dyDescent="0.3">
      <c r="A242" t="s">
        <v>622</v>
      </c>
      <c r="B242">
        <v>116541</v>
      </c>
      <c r="C242">
        <v>1</v>
      </c>
      <c r="D242" t="s">
        <v>652</v>
      </c>
      <c r="E242" t="s">
        <v>653</v>
      </c>
      <c r="F242">
        <v>70</v>
      </c>
      <c r="G242">
        <v>21.31</v>
      </c>
      <c r="H242">
        <v>70.459999999999994</v>
      </c>
      <c r="I242">
        <v>18.32</v>
      </c>
      <c r="J242">
        <v>60.57</v>
      </c>
      <c r="K242">
        <v>30</v>
      </c>
      <c r="T242">
        <v>3</v>
      </c>
      <c r="U242">
        <v>1</v>
      </c>
      <c r="V242" t="s">
        <v>269</v>
      </c>
      <c r="W242" t="s">
        <v>654</v>
      </c>
      <c r="X242">
        <v>5</v>
      </c>
      <c r="Y242">
        <v>5</v>
      </c>
      <c r="Z242" t="s">
        <v>655</v>
      </c>
      <c r="AA242" t="s">
        <v>656</v>
      </c>
      <c r="AB242" t="s">
        <v>272</v>
      </c>
      <c r="AC242" t="s">
        <v>273</v>
      </c>
      <c r="AD242" t="s">
        <v>274</v>
      </c>
      <c r="AE242" t="s">
        <v>240</v>
      </c>
      <c r="AG242" t="s">
        <v>657</v>
      </c>
      <c r="AH242">
        <v>0</v>
      </c>
      <c r="AI242">
        <v>0</v>
      </c>
      <c r="AJ242">
        <v>0</v>
      </c>
      <c r="AK242">
        <v>0</v>
      </c>
      <c r="AL242">
        <v>0</v>
      </c>
    </row>
    <row r="243" spans="1:38" x14ac:dyDescent="0.3">
      <c r="A243" t="s">
        <v>622</v>
      </c>
      <c r="B243">
        <v>116541</v>
      </c>
      <c r="C243">
        <v>2</v>
      </c>
      <c r="D243" t="s">
        <v>652</v>
      </c>
      <c r="E243" t="s">
        <v>653</v>
      </c>
      <c r="F243">
        <v>70</v>
      </c>
      <c r="G243">
        <v>21.19</v>
      </c>
      <c r="H243">
        <v>70.08</v>
      </c>
      <c r="I243">
        <v>18.18</v>
      </c>
      <c r="J243">
        <v>60.12</v>
      </c>
      <c r="K243">
        <v>4</v>
      </c>
      <c r="T243">
        <v>3</v>
      </c>
      <c r="U243">
        <v>1</v>
      </c>
      <c r="V243" t="s">
        <v>269</v>
      </c>
      <c r="W243" t="s">
        <v>658</v>
      </c>
      <c r="X243">
        <v>5</v>
      </c>
      <c r="Y243">
        <v>5</v>
      </c>
      <c r="Z243" t="s">
        <v>655</v>
      </c>
      <c r="AA243" t="s">
        <v>656</v>
      </c>
      <c r="AB243" t="s">
        <v>272</v>
      </c>
      <c r="AC243" t="s">
        <v>273</v>
      </c>
      <c r="AD243" t="s">
        <v>274</v>
      </c>
      <c r="AE243" t="s">
        <v>240</v>
      </c>
      <c r="AG243" t="s">
        <v>657</v>
      </c>
      <c r="AH243">
        <v>0</v>
      </c>
      <c r="AI243">
        <v>0</v>
      </c>
      <c r="AJ243">
        <v>0</v>
      </c>
      <c r="AK243">
        <v>0</v>
      </c>
      <c r="AL243">
        <v>0</v>
      </c>
    </row>
    <row r="244" spans="1:38" x14ac:dyDescent="0.3">
      <c r="A244" t="s">
        <v>622</v>
      </c>
      <c r="B244">
        <v>116541</v>
      </c>
      <c r="C244">
        <v>3</v>
      </c>
      <c r="D244" t="s">
        <v>652</v>
      </c>
      <c r="E244" t="s">
        <v>653</v>
      </c>
      <c r="F244">
        <v>70</v>
      </c>
      <c r="G244">
        <v>21.18</v>
      </c>
      <c r="H244">
        <v>70.040000000000006</v>
      </c>
      <c r="I244">
        <v>18.18</v>
      </c>
      <c r="J244">
        <v>60.12</v>
      </c>
      <c r="K244">
        <v>1</v>
      </c>
      <c r="T244">
        <v>3</v>
      </c>
      <c r="U244">
        <v>1</v>
      </c>
      <c r="V244" t="s">
        <v>269</v>
      </c>
      <c r="W244" t="s">
        <v>125</v>
      </c>
      <c r="X244">
        <v>5</v>
      </c>
      <c r="Y244">
        <v>5</v>
      </c>
      <c r="Z244" t="s">
        <v>655</v>
      </c>
      <c r="AA244" t="s">
        <v>656</v>
      </c>
      <c r="AB244" t="s">
        <v>272</v>
      </c>
      <c r="AC244" t="s">
        <v>273</v>
      </c>
      <c r="AD244" t="s">
        <v>274</v>
      </c>
      <c r="AE244" t="s">
        <v>240</v>
      </c>
      <c r="AG244" t="s">
        <v>657</v>
      </c>
      <c r="AH244">
        <v>0</v>
      </c>
      <c r="AI244">
        <v>0</v>
      </c>
      <c r="AJ244">
        <v>0</v>
      </c>
      <c r="AK244">
        <v>0</v>
      </c>
      <c r="AL244">
        <v>0</v>
      </c>
    </row>
    <row r="245" spans="1:38" x14ac:dyDescent="0.3">
      <c r="A245" t="s">
        <v>622</v>
      </c>
      <c r="B245">
        <v>116541</v>
      </c>
      <c r="C245">
        <v>4</v>
      </c>
      <c r="D245" t="s">
        <v>652</v>
      </c>
      <c r="E245" t="s">
        <v>653</v>
      </c>
      <c r="F245">
        <v>70</v>
      </c>
      <c r="G245">
        <v>21.48</v>
      </c>
      <c r="H245">
        <v>71.040000000000006</v>
      </c>
      <c r="I245">
        <v>18.48</v>
      </c>
      <c r="J245">
        <v>61.11</v>
      </c>
      <c r="K245">
        <v>20</v>
      </c>
      <c r="T245">
        <v>3</v>
      </c>
      <c r="U245">
        <v>1</v>
      </c>
      <c r="V245" t="s">
        <v>269</v>
      </c>
      <c r="W245" t="s">
        <v>659</v>
      </c>
      <c r="X245">
        <v>5</v>
      </c>
      <c r="Y245">
        <v>5</v>
      </c>
      <c r="Z245" t="s">
        <v>655</v>
      </c>
      <c r="AA245" t="s">
        <v>656</v>
      </c>
      <c r="AB245" t="s">
        <v>272</v>
      </c>
      <c r="AC245" t="s">
        <v>273</v>
      </c>
      <c r="AD245" t="s">
        <v>274</v>
      </c>
      <c r="AE245" t="s">
        <v>240</v>
      </c>
      <c r="AG245" t="s">
        <v>657</v>
      </c>
      <c r="AH245">
        <v>0</v>
      </c>
      <c r="AI245">
        <v>0</v>
      </c>
      <c r="AJ245">
        <v>0</v>
      </c>
      <c r="AK245">
        <v>0</v>
      </c>
      <c r="AL245">
        <v>0</v>
      </c>
    </row>
    <row r="246" spans="1:38" x14ac:dyDescent="0.3">
      <c r="A246" t="s">
        <v>622</v>
      </c>
      <c r="B246">
        <v>116541</v>
      </c>
      <c r="C246">
        <v>5</v>
      </c>
      <c r="D246" t="s">
        <v>652</v>
      </c>
      <c r="E246" t="s">
        <v>653</v>
      </c>
      <c r="F246">
        <v>70</v>
      </c>
      <c r="G246">
        <v>22.36</v>
      </c>
      <c r="H246">
        <v>73.94</v>
      </c>
      <c r="I246">
        <v>19.3</v>
      </c>
      <c r="J246">
        <v>63.81</v>
      </c>
      <c r="K246">
        <v>5</v>
      </c>
      <c r="T246">
        <v>3</v>
      </c>
      <c r="U246">
        <v>1</v>
      </c>
      <c r="V246" t="s">
        <v>269</v>
      </c>
      <c r="W246">
        <v>73</v>
      </c>
      <c r="X246">
        <v>5</v>
      </c>
      <c r="Y246">
        <v>5</v>
      </c>
      <c r="Z246" t="s">
        <v>655</v>
      </c>
      <c r="AA246" t="s">
        <v>656</v>
      </c>
      <c r="AB246" t="s">
        <v>272</v>
      </c>
      <c r="AC246" t="s">
        <v>273</v>
      </c>
      <c r="AD246" t="s">
        <v>274</v>
      </c>
      <c r="AE246" t="s">
        <v>240</v>
      </c>
      <c r="AG246" t="s">
        <v>657</v>
      </c>
      <c r="AH246">
        <v>0</v>
      </c>
      <c r="AI246">
        <v>0</v>
      </c>
      <c r="AJ246">
        <v>0</v>
      </c>
      <c r="AK246">
        <v>0</v>
      </c>
      <c r="AL246">
        <v>0</v>
      </c>
    </row>
    <row r="247" spans="1:38" x14ac:dyDescent="0.3">
      <c r="A247" t="s">
        <v>622</v>
      </c>
      <c r="B247">
        <v>116541</v>
      </c>
      <c r="C247">
        <v>6</v>
      </c>
      <c r="D247" t="s">
        <v>652</v>
      </c>
      <c r="E247" t="s">
        <v>653</v>
      </c>
      <c r="F247">
        <v>70</v>
      </c>
      <c r="G247">
        <v>25.84</v>
      </c>
      <c r="H247">
        <v>85.45</v>
      </c>
      <c r="I247">
        <v>22.54</v>
      </c>
      <c r="J247">
        <v>74.52</v>
      </c>
      <c r="K247">
        <v>5</v>
      </c>
      <c r="T247">
        <v>3</v>
      </c>
      <c r="U247">
        <v>2</v>
      </c>
      <c r="V247" t="s">
        <v>269</v>
      </c>
      <c r="W247">
        <v>85</v>
      </c>
      <c r="X247">
        <v>5</v>
      </c>
      <c r="Y247">
        <v>5</v>
      </c>
      <c r="Z247" t="s">
        <v>655</v>
      </c>
      <c r="AA247" t="s">
        <v>656</v>
      </c>
      <c r="AB247" t="s">
        <v>272</v>
      </c>
      <c r="AC247" t="s">
        <v>273</v>
      </c>
      <c r="AD247" t="s">
        <v>274</v>
      </c>
      <c r="AE247" t="s">
        <v>240</v>
      </c>
      <c r="AG247" t="s">
        <v>657</v>
      </c>
      <c r="AH247">
        <v>0</v>
      </c>
      <c r="AI247">
        <v>0</v>
      </c>
      <c r="AJ247">
        <v>0</v>
      </c>
      <c r="AK247">
        <v>0</v>
      </c>
      <c r="AL247">
        <v>0</v>
      </c>
    </row>
    <row r="248" spans="1:38" x14ac:dyDescent="0.3">
      <c r="A248" t="s">
        <v>622</v>
      </c>
      <c r="B248">
        <v>116541</v>
      </c>
      <c r="C248">
        <v>7</v>
      </c>
      <c r="D248" t="s">
        <v>652</v>
      </c>
      <c r="E248" t="s">
        <v>653</v>
      </c>
      <c r="F248">
        <v>70</v>
      </c>
      <c r="G248">
        <v>27.46</v>
      </c>
      <c r="H248">
        <v>90.78</v>
      </c>
      <c r="I248">
        <v>24.04</v>
      </c>
      <c r="J248">
        <v>79.48</v>
      </c>
      <c r="K248">
        <v>5</v>
      </c>
      <c r="T248">
        <v>3</v>
      </c>
      <c r="U248">
        <v>2</v>
      </c>
      <c r="V248" t="s">
        <v>269</v>
      </c>
      <c r="W248">
        <v>90</v>
      </c>
      <c r="X248">
        <v>5</v>
      </c>
      <c r="Y248">
        <v>5</v>
      </c>
      <c r="Z248" t="s">
        <v>655</v>
      </c>
      <c r="AA248" t="s">
        <v>656</v>
      </c>
      <c r="AB248" t="s">
        <v>272</v>
      </c>
      <c r="AC248" t="s">
        <v>273</v>
      </c>
      <c r="AD248" t="s">
        <v>274</v>
      </c>
      <c r="AE248" t="s">
        <v>240</v>
      </c>
      <c r="AG248" t="s">
        <v>657</v>
      </c>
      <c r="AH248">
        <v>0</v>
      </c>
      <c r="AI248">
        <v>0</v>
      </c>
      <c r="AJ248">
        <v>0</v>
      </c>
      <c r="AK248">
        <v>0</v>
      </c>
      <c r="AL248">
        <v>0</v>
      </c>
    </row>
    <row r="249" spans="1:38" x14ac:dyDescent="0.3">
      <c r="A249" t="s">
        <v>622</v>
      </c>
      <c r="B249">
        <v>27176</v>
      </c>
      <c r="C249">
        <v>1</v>
      </c>
      <c r="D249" t="s">
        <v>660</v>
      </c>
      <c r="E249" t="s">
        <v>661</v>
      </c>
      <c r="F249">
        <v>478</v>
      </c>
      <c r="G249">
        <v>40.97</v>
      </c>
      <c r="H249">
        <v>135.44999999999999</v>
      </c>
      <c r="I249">
        <v>30.82</v>
      </c>
      <c r="J249">
        <v>101.89</v>
      </c>
      <c r="K249">
        <v>118</v>
      </c>
      <c r="T249">
        <v>3</v>
      </c>
      <c r="U249">
        <v>2</v>
      </c>
      <c r="V249" t="s">
        <v>269</v>
      </c>
      <c r="W249">
        <v>135</v>
      </c>
      <c r="X249">
        <v>12</v>
      </c>
      <c r="Y249">
        <v>12</v>
      </c>
      <c r="Z249" t="s">
        <v>662</v>
      </c>
      <c r="AA249" t="s">
        <v>663</v>
      </c>
      <c r="AB249" t="s">
        <v>272</v>
      </c>
      <c r="AC249" t="s">
        <v>273</v>
      </c>
      <c r="AD249" t="s">
        <v>274</v>
      </c>
      <c r="AE249" t="s">
        <v>240</v>
      </c>
      <c r="AG249" t="s">
        <v>664</v>
      </c>
      <c r="AH249">
        <v>0</v>
      </c>
      <c r="AI249">
        <v>207</v>
      </c>
      <c r="AJ249">
        <v>23</v>
      </c>
      <c r="AK249">
        <v>905</v>
      </c>
      <c r="AL249">
        <v>1.89</v>
      </c>
    </row>
    <row r="250" spans="1:38" x14ac:dyDescent="0.3">
      <c r="A250" t="s">
        <v>622</v>
      </c>
      <c r="B250">
        <v>27176</v>
      </c>
      <c r="C250">
        <v>2</v>
      </c>
      <c r="D250" t="s">
        <v>660</v>
      </c>
      <c r="E250" t="s">
        <v>661</v>
      </c>
      <c r="F250">
        <v>478</v>
      </c>
      <c r="G250">
        <v>49.76</v>
      </c>
      <c r="H250">
        <v>164.52</v>
      </c>
      <c r="I250">
        <v>38.26</v>
      </c>
      <c r="J250">
        <v>126.5</v>
      </c>
      <c r="K250">
        <v>168</v>
      </c>
      <c r="T250">
        <v>4</v>
      </c>
      <c r="U250">
        <v>2</v>
      </c>
      <c r="V250" t="s">
        <v>269</v>
      </c>
      <c r="W250">
        <v>164</v>
      </c>
      <c r="X250">
        <v>12</v>
      </c>
      <c r="Y250">
        <v>12</v>
      </c>
      <c r="Z250" t="s">
        <v>662</v>
      </c>
      <c r="AA250" t="s">
        <v>663</v>
      </c>
      <c r="AB250" t="s">
        <v>272</v>
      </c>
      <c r="AC250" t="s">
        <v>273</v>
      </c>
      <c r="AD250" t="s">
        <v>274</v>
      </c>
      <c r="AE250" t="s">
        <v>240</v>
      </c>
      <c r="AG250" t="s">
        <v>664</v>
      </c>
      <c r="AH250">
        <v>0</v>
      </c>
      <c r="AI250">
        <v>207</v>
      </c>
      <c r="AJ250">
        <v>23</v>
      </c>
      <c r="AK250">
        <v>905</v>
      </c>
      <c r="AL250">
        <v>1.89</v>
      </c>
    </row>
    <row r="251" spans="1:38" x14ac:dyDescent="0.3">
      <c r="A251" t="s">
        <v>622</v>
      </c>
      <c r="B251">
        <v>27176</v>
      </c>
      <c r="C251">
        <v>3</v>
      </c>
      <c r="D251" t="s">
        <v>660</v>
      </c>
      <c r="E251" t="s">
        <v>661</v>
      </c>
      <c r="F251">
        <v>478</v>
      </c>
      <c r="G251">
        <v>57.96</v>
      </c>
      <c r="H251">
        <v>191.61</v>
      </c>
      <c r="I251">
        <v>46.59</v>
      </c>
      <c r="J251">
        <v>154.03</v>
      </c>
      <c r="K251">
        <v>144</v>
      </c>
      <c r="T251">
        <v>4</v>
      </c>
      <c r="U251">
        <v>2</v>
      </c>
      <c r="V251" t="s">
        <v>269</v>
      </c>
      <c r="W251">
        <v>191</v>
      </c>
      <c r="X251">
        <v>12</v>
      </c>
      <c r="Y251">
        <v>12</v>
      </c>
      <c r="Z251" t="s">
        <v>662</v>
      </c>
      <c r="AA251" t="s">
        <v>663</v>
      </c>
      <c r="AB251" t="s">
        <v>272</v>
      </c>
      <c r="AC251" t="s">
        <v>273</v>
      </c>
      <c r="AD251" t="s">
        <v>274</v>
      </c>
      <c r="AE251" t="s">
        <v>240</v>
      </c>
      <c r="AG251" t="s">
        <v>664</v>
      </c>
      <c r="AH251">
        <v>0</v>
      </c>
      <c r="AI251">
        <v>207</v>
      </c>
      <c r="AJ251">
        <v>23</v>
      </c>
      <c r="AK251">
        <v>905</v>
      </c>
      <c r="AL251">
        <v>1.89</v>
      </c>
    </row>
    <row r="252" spans="1:38" x14ac:dyDescent="0.3">
      <c r="A252" t="s">
        <v>622</v>
      </c>
      <c r="B252">
        <v>27176</v>
      </c>
      <c r="C252">
        <v>4</v>
      </c>
      <c r="D252" t="s">
        <v>660</v>
      </c>
      <c r="E252" t="s">
        <v>661</v>
      </c>
      <c r="F252">
        <v>478</v>
      </c>
      <c r="G252">
        <v>65.62</v>
      </c>
      <c r="H252">
        <v>216.95</v>
      </c>
      <c r="I252">
        <v>55.59</v>
      </c>
      <c r="J252">
        <v>183.79</v>
      </c>
      <c r="K252">
        <v>48</v>
      </c>
      <c r="T252">
        <v>4</v>
      </c>
      <c r="U252">
        <v>2</v>
      </c>
      <c r="V252" t="s">
        <v>269</v>
      </c>
      <c r="W252">
        <v>216</v>
      </c>
      <c r="X252">
        <v>12</v>
      </c>
      <c r="Y252">
        <v>12</v>
      </c>
      <c r="Z252" t="s">
        <v>662</v>
      </c>
      <c r="AA252" t="s">
        <v>663</v>
      </c>
      <c r="AB252" t="s">
        <v>272</v>
      </c>
      <c r="AC252" t="s">
        <v>273</v>
      </c>
      <c r="AD252" t="s">
        <v>274</v>
      </c>
      <c r="AE252" t="s">
        <v>240</v>
      </c>
      <c r="AG252" t="s">
        <v>664</v>
      </c>
      <c r="AH252">
        <v>0</v>
      </c>
      <c r="AI252">
        <v>207</v>
      </c>
      <c r="AJ252">
        <v>23</v>
      </c>
      <c r="AK252">
        <v>905</v>
      </c>
      <c r="AL252">
        <v>1.89</v>
      </c>
    </row>
    <row r="253" spans="1:38" x14ac:dyDescent="0.3">
      <c r="A253" t="s">
        <v>622</v>
      </c>
      <c r="B253">
        <v>106691</v>
      </c>
      <c r="C253">
        <v>1</v>
      </c>
      <c r="D253" t="s">
        <v>665</v>
      </c>
      <c r="E253" t="s">
        <v>666</v>
      </c>
      <c r="F253">
        <v>464</v>
      </c>
      <c r="G253">
        <v>33.53</v>
      </c>
      <c r="H253">
        <v>110.86</v>
      </c>
      <c r="I253">
        <v>25.68</v>
      </c>
      <c r="J253">
        <v>84.92</v>
      </c>
      <c r="K253">
        <v>180</v>
      </c>
      <c r="T253">
        <v>3</v>
      </c>
      <c r="U253">
        <v>2</v>
      </c>
      <c r="V253" t="s">
        <v>269</v>
      </c>
      <c r="W253" t="s">
        <v>132</v>
      </c>
      <c r="X253">
        <v>16</v>
      </c>
      <c r="Y253">
        <v>6</v>
      </c>
      <c r="Z253" t="s">
        <v>667</v>
      </c>
      <c r="AA253" t="s">
        <v>668</v>
      </c>
      <c r="AB253" t="s">
        <v>272</v>
      </c>
      <c r="AC253" t="s">
        <v>273</v>
      </c>
      <c r="AD253" t="s">
        <v>274</v>
      </c>
      <c r="AE253" t="s">
        <v>240</v>
      </c>
      <c r="AG253" t="s">
        <v>669</v>
      </c>
      <c r="AH253">
        <v>0</v>
      </c>
      <c r="AI253">
        <v>228</v>
      </c>
      <c r="AJ253">
        <v>23</v>
      </c>
      <c r="AK253">
        <v>583</v>
      </c>
      <c r="AL253">
        <v>1.26</v>
      </c>
    </row>
    <row r="254" spans="1:38" x14ac:dyDescent="0.3">
      <c r="A254" t="s">
        <v>622</v>
      </c>
      <c r="B254">
        <v>106691</v>
      </c>
      <c r="C254">
        <v>2</v>
      </c>
      <c r="D254" t="s">
        <v>665</v>
      </c>
      <c r="E254" t="s">
        <v>666</v>
      </c>
      <c r="F254">
        <v>464</v>
      </c>
      <c r="G254">
        <v>33.299999999999997</v>
      </c>
      <c r="H254">
        <v>110.09</v>
      </c>
      <c r="I254">
        <v>25.7</v>
      </c>
      <c r="J254">
        <v>84.98</v>
      </c>
      <c r="K254">
        <v>160</v>
      </c>
      <c r="T254">
        <v>3</v>
      </c>
      <c r="U254">
        <v>2</v>
      </c>
      <c r="V254" t="s">
        <v>269</v>
      </c>
      <c r="W254" t="s">
        <v>91</v>
      </c>
      <c r="X254">
        <v>16</v>
      </c>
      <c r="Y254">
        <v>6</v>
      </c>
      <c r="Z254" t="s">
        <v>667</v>
      </c>
      <c r="AA254" t="s">
        <v>668</v>
      </c>
      <c r="AB254" t="s">
        <v>272</v>
      </c>
      <c r="AC254" t="s">
        <v>273</v>
      </c>
      <c r="AD254" t="s">
        <v>274</v>
      </c>
      <c r="AE254" t="s">
        <v>240</v>
      </c>
      <c r="AG254" t="s">
        <v>669</v>
      </c>
      <c r="AH254">
        <v>0</v>
      </c>
      <c r="AI254">
        <v>228</v>
      </c>
      <c r="AJ254">
        <v>23</v>
      </c>
      <c r="AK254">
        <v>583</v>
      </c>
      <c r="AL254">
        <v>1.26</v>
      </c>
    </row>
    <row r="255" spans="1:38" x14ac:dyDescent="0.3">
      <c r="A255" t="s">
        <v>622</v>
      </c>
      <c r="B255">
        <v>106691</v>
      </c>
      <c r="C255">
        <v>3</v>
      </c>
      <c r="D255" t="s">
        <v>665</v>
      </c>
      <c r="E255" t="s">
        <v>666</v>
      </c>
      <c r="F255">
        <v>464</v>
      </c>
      <c r="G255">
        <v>33.42</v>
      </c>
      <c r="H255">
        <v>110.49</v>
      </c>
      <c r="I255">
        <v>25.69</v>
      </c>
      <c r="J255">
        <v>84.93</v>
      </c>
      <c r="K255">
        <v>124</v>
      </c>
      <c r="T255">
        <v>3</v>
      </c>
      <c r="U255">
        <v>2</v>
      </c>
      <c r="V255" t="s">
        <v>269</v>
      </c>
      <c r="W255" t="s">
        <v>73</v>
      </c>
      <c r="X255">
        <v>16</v>
      </c>
      <c r="Y255">
        <v>6</v>
      </c>
      <c r="Z255" t="s">
        <v>667</v>
      </c>
      <c r="AA255" t="s">
        <v>668</v>
      </c>
      <c r="AB255" t="s">
        <v>272</v>
      </c>
      <c r="AC255" t="s">
        <v>273</v>
      </c>
      <c r="AD255" t="s">
        <v>274</v>
      </c>
      <c r="AE255" t="s">
        <v>240</v>
      </c>
      <c r="AG255" t="s">
        <v>669</v>
      </c>
      <c r="AH255">
        <v>0</v>
      </c>
      <c r="AI255">
        <v>228</v>
      </c>
      <c r="AJ255">
        <v>23</v>
      </c>
      <c r="AK255">
        <v>583</v>
      </c>
      <c r="AL255">
        <v>1.26</v>
      </c>
    </row>
    <row r="256" spans="1:38" x14ac:dyDescent="0.3">
      <c r="A256" t="s">
        <v>622</v>
      </c>
      <c r="B256">
        <v>112427</v>
      </c>
      <c r="C256">
        <v>1</v>
      </c>
      <c r="D256" t="s">
        <v>670</v>
      </c>
      <c r="E256" t="s">
        <v>671</v>
      </c>
      <c r="F256">
        <v>116</v>
      </c>
      <c r="G256">
        <v>15.46</v>
      </c>
      <c r="H256">
        <v>51.13</v>
      </c>
      <c r="I256">
        <v>10.56</v>
      </c>
      <c r="J256">
        <v>34.93</v>
      </c>
      <c r="K256">
        <v>12</v>
      </c>
      <c r="T256">
        <v>1</v>
      </c>
      <c r="U256">
        <v>1</v>
      </c>
      <c r="V256" t="s">
        <v>269</v>
      </c>
      <c r="W256">
        <v>51</v>
      </c>
      <c r="X256">
        <v>15</v>
      </c>
      <c r="Y256">
        <v>15</v>
      </c>
      <c r="Z256" t="s">
        <v>672</v>
      </c>
      <c r="AA256" t="s">
        <v>673</v>
      </c>
      <c r="AB256" t="s">
        <v>272</v>
      </c>
      <c r="AC256" t="s">
        <v>273</v>
      </c>
      <c r="AD256" t="s">
        <v>274</v>
      </c>
      <c r="AE256" t="s">
        <v>240</v>
      </c>
      <c r="AG256" t="s">
        <v>674</v>
      </c>
      <c r="AH256">
        <v>0</v>
      </c>
      <c r="AI256">
        <v>592</v>
      </c>
      <c r="AJ256">
        <v>69</v>
      </c>
      <c r="AK256">
        <v>107</v>
      </c>
      <c r="AL256">
        <v>0.92</v>
      </c>
    </row>
    <row r="257" spans="1:38" x14ac:dyDescent="0.3">
      <c r="A257" t="s">
        <v>622</v>
      </c>
      <c r="B257">
        <v>112427</v>
      </c>
      <c r="C257">
        <v>2</v>
      </c>
      <c r="D257" t="s">
        <v>670</v>
      </c>
      <c r="E257" t="s">
        <v>671</v>
      </c>
      <c r="F257">
        <v>116</v>
      </c>
      <c r="G257">
        <v>22.12</v>
      </c>
      <c r="H257">
        <v>73.150000000000006</v>
      </c>
      <c r="I257">
        <v>15.11</v>
      </c>
      <c r="J257">
        <v>49.97</v>
      </c>
      <c r="K257">
        <v>78</v>
      </c>
      <c r="T257">
        <v>2</v>
      </c>
      <c r="U257">
        <v>1</v>
      </c>
      <c r="V257" t="s">
        <v>269</v>
      </c>
      <c r="W257" t="s">
        <v>675</v>
      </c>
      <c r="X257">
        <v>15</v>
      </c>
      <c r="Y257">
        <v>15</v>
      </c>
      <c r="Z257" t="s">
        <v>672</v>
      </c>
      <c r="AA257" t="s">
        <v>673</v>
      </c>
      <c r="AB257" t="s">
        <v>272</v>
      </c>
      <c r="AC257" t="s">
        <v>273</v>
      </c>
      <c r="AD257" t="s">
        <v>274</v>
      </c>
      <c r="AE257" t="s">
        <v>240</v>
      </c>
      <c r="AG257" t="s">
        <v>674</v>
      </c>
      <c r="AH257">
        <v>0</v>
      </c>
      <c r="AI257">
        <v>592</v>
      </c>
      <c r="AJ257">
        <v>69</v>
      </c>
      <c r="AK257">
        <v>107</v>
      </c>
      <c r="AL257">
        <v>0.92</v>
      </c>
    </row>
    <row r="258" spans="1:38" x14ac:dyDescent="0.3">
      <c r="A258" t="s">
        <v>622</v>
      </c>
      <c r="B258">
        <v>112427</v>
      </c>
      <c r="C258">
        <v>3</v>
      </c>
      <c r="D258" t="s">
        <v>670</v>
      </c>
      <c r="E258" t="s">
        <v>671</v>
      </c>
      <c r="F258">
        <v>116</v>
      </c>
      <c r="G258">
        <v>22.11</v>
      </c>
      <c r="H258">
        <v>73.12</v>
      </c>
      <c r="I258">
        <v>15.1</v>
      </c>
      <c r="J258">
        <v>49.95</v>
      </c>
      <c r="K258">
        <v>26</v>
      </c>
      <c r="T258">
        <v>2</v>
      </c>
      <c r="U258">
        <v>1</v>
      </c>
      <c r="V258" t="s">
        <v>269</v>
      </c>
      <c r="W258" t="s">
        <v>676</v>
      </c>
      <c r="X258">
        <v>15</v>
      </c>
      <c r="Y258">
        <v>15</v>
      </c>
      <c r="Z258" t="s">
        <v>672</v>
      </c>
      <c r="AA258" t="s">
        <v>673</v>
      </c>
      <c r="AB258" t="s">
        <v>272</v>
      </c>
      <c r="AC258" t="s">
        <v>273</v>
      </c>
      <c r="AD258" t="s">
        <v>274</v>
      </c>
      <c r="AE258" t="s">
        <v>240</v>
      </c>
      <c r="AG258" t="s">
        <v>674</v>
      </c>
      <c r="AH258">
        <v>0</v>
      </c>
      <c r="AI258">
        <v>592</v>
      </c>
      <c r="AJ258">
        <v>69</v>
      </c>
      <c r="AK258">
        <v>107</v>
      </c>
      <c r="AL258">
        <v>0.92</v>
      </c>
    </row>
    <row r="259" spans="1:38" x14ac:dyDescent="0.3">
      <c r="A259" t="s">
        <v>622</v>
      </c>
      <c r="B259">
        <v>118486</v>
      </c>
      <c r="C259">
        <v>1</v>
      </c>
      <c r="D259" t="s">
        <v>677</v>
      </c>
      <c r="E259" t="s">
        <v>678</v>
      </c>
      <c r="F259">
        <v>57</v>
      </c>
      <c r="G259">
        <v>18.93</v>
      </c>
      <c r="H259">
        <v>62.6</v>
      </c>
      <c r="I259">
        <v>17.559999999999999</v>
      </c>
      <c r="J259">
        <v>58.05</v>
      </c>
      <c r="K259">
        <v>4</v>
      </c>
      <c r="T259">
        <v>2</v>
      </c>
      <c r="U259">
        <v>1</v>
      </c>
      <c r="V259" t="s">
        <v>269</v>
      </c>
      <c r="W259" t="s">
        <v>679</v>
      </c>
      <c r="X259">
        <v>5</v>
      </c>
      <c r="Y259">
        <v>5</v>
      </c>
      <c r="Z259" t="s">
        <v>680</v>
      </c>
      <c r="AA259" t="s">
        <v>681</v>
      </c>
      <c r="AB259" t="s">
        <v>272</v>
      </c>
      <c r="AC259" t="s">
        <v>273</v>
      </c>
      <c r="AD259" t="s">
        <v>274</v>
      </c>
      <c r="AE259" t="s">
        <v>240</v>
      </c>
      <c r="AG259" t="s">
        <v>682</v>
      </c>
      <c r="AH259">
        <v>0</v>
      </c>
      <c r="AI259">
        <v>0</v>
      </c>
      <c r="AJ259">
        <v>0</v>
      </c>
      <c r="AK259">
        <v>0</v>
      </c>
      <c r="AL259">
        <v>0</v>
      </c>
    </row>
    <row r="260" spans="1:38" x14ac:dyDescent="0.3">
      <c r="A260" t="s">
        <v>622</v>
      </c>
      <c r="B260">
        <v>118486</v>
      </c>
      <c r="C260">
        <v>2</v>
      </c>
      <c r="D260" t="s">
        <v>677</v>
      </c>
      <c r="E260" t="s">
        <v>678</v>
      </c>
      <c r="F260">
        <v>57</v>
      </c>
      <c r="G260">
        <v>19.48</v>
      </c>
      <c r="H260">
        <v>64.42</v>
      </c>
      <c r="I260">
        <v>18.07</v>
      </c>
      <c r="J260">
        <v>59.76</v>
      </c>
      <c r="K260">
        <v>4</v>
      </c>
      <c r="T260">
        <v>2</v>
      </c>
      <c r="U260">
        <v>1</v>
      </c>
      <c r="V260" t="s">
        <v>269</v>
      </c>
      <c r="W260" t="s">
        <v>683</v>
      </c>
      <c r="X260">
        <v>5</v>
      </c>
      <c r="Y260">
        <v>5</v>
      </c>
      <c r="Z260" t="s">
        <v>680</v>
      </c>
      <c r="AA260" t="s">
        <v>681</v>
      </c>
      <c r="AB260" t="s">
        <v>272</v>
      </c>
      <c r="AC260" t="s">
        <v>273</v>
      </c>
      <c r="AD260" t="s">
        <v>274</v>
      </c>
      <c r="AE260" t="s">
        <v>240</v>
      </c>
      <c r="AG260" t="s">
        <v>682</v>
      </c>
      <c r="AH260">
        <v>0</v>
      </c>
      <c r="AI260">
        <v>0</v>
      </c>
      <c r="AJ260">
        <v>0</v>
      </c>
      <c r="AK260">
        <v>0</v>
      </c>
      <c r="AL260">
        <v>0</v>
      </c>
    </row>
    <row r="261" spans="1:38" x14ac:dyDescent="0.3">
      <c r="A261" t="s">
        <v>622</v>
      </c>
      <c r="B261">
        <v>118486</v>
      </c>
      <c r="C261">
        <v>3</v>
      </c>
      <c r="D261" t="s">
        <v>677</v>
      </c>
      <c r="E261" t="s">
        <v>678</v>
      </c>
      <c r="F261">
        <v>57</v>
      </c>
      <c r="G261">
        <v>19.68</v>
      </c>
      <c r="H261">
        <v>65.06</v>
      </c>
      <c r="I261">
        <v>18.25</v>
      </c>
      <c r="J261">
        <v>60.36</v>
      </c>
      <c r="K261">
        <v>28</v>
      </c>
      <c r="T261">
        <v>3</v>
      </c>
      <c r="U261">
        <v>1</v>
      </c>
      <c r="V261" t="s">
        <v>269</v>
      </c>
      <c r="W261" t="s">
        <v>396</v>
      </c>
      <c r="X261">
        <v>5</v>
      </c>
      <c r="Y261">
        <v>5</v>
      </c>
      <c r="Z261" t="s">
        <v>680</v>
      </c>
      <c r="AA261" t="s">
        <v>681</v>
      </c>
      <c r="AB261" t="s">
        <v>272</v>
      </c>
      <c r="AC261" t="s">
        <v>273</v>
      </c>
      <c r="AD261" t="s">
        <v>274</v>
      </c>
      <c r="AE261" t="s">
        <v>240</v>
      </c>
      <c r="AG261" t="s">
        <v>682</v>
      </c>
      <c r="AH261">
        <v>0</v>
      </c>
      <c r="AI261">
        <v>0</v>
      </c>
      <c r="AJ261">
        <v>0</v>
      </c>
      <c r="AK261">
        <v>0</v>
      </c>
      <c r="AL261">
        <v>0</v>
      </c>
    </row>
    <row r="262" spans="1:38" x14ac:dyDescent="0.3">
      <c r="A262" t="s">
        <v>622</v>
      </c>
      <c r="B262">
        <v>118486</v>
      </c>
      <c r="C262">
        <v>4</v>
      </c>
      <c r="D262" t="s">
        <v>677</v>
      </c>
      <c r="E262" t="s">
        <v>678</v>
      </c>
      <c r="F262">
        <v>57</v>
      </c>
      <c r="G262">
        <v>19.68</v>
      </c>
      <c r="H262">
        <v>65.08</v>
      </c>
      <c r="I262">
        <v>18.25</v>
      </c>
      <c r="J262">
        <v>60.36</v>
      </c>
      <c r="K262">
        <v>1</v>
      </c>
      <c r="T262">
        <v>3</v>
      </c>
      <c r="U262">
        <v>1</v>
      </c>
      <c r="V262" t="s">
        <v>269</v>
      </c>
      <c r="W262" t="s">
        <v>318</v>
      </c>
      <c r="X262">
        <v>5</v>
      </c>
      <c r="Y262">
        <v>5</v>
      </c>
      <c r="Z262" t="s">
        <v>680</v>
      </c>
      <c r="AA262" t="s">
        <v>681</v>
      </c>
      <c r="AB262" t="s">
        <v>272</v>
      </c>
      <c r="AC262" t="s">
        <v>273</v>
      </c>
      <c r="AD262" t="s">
        <v>274</v>
      </c>
      <c r="AE262" t="s">
        <v>240</v>
      </c>
      <c r="AG262" t="s">
        <v>682</v>
      </c>
      <c r="AH262">
        <v>0</v>
      </c>
      <c r="AI262">
        <v>0</v>
      </c>
      <c r="AJ262">
        <v>0</v>
      </c>
      <c r="AK262">
        <v>0</v>
      </c>
      <c r="AL262">
        <v>0</v>
      </c>
    </row>
    <row r="263" spans="1:38" x14ac:dyDescent="0.3">
      <c r="A263" t="s">
        <v>622</v>
      </c>
      <c r="B263">
        <v>118486</v>
      </c>
      <c r="C263">
        <v>5</v>
      </c>
      <c r="D263" t="s">
        <v>677</v>
      </c>
      <c r="E263" t="s">
        <v>678</v>
      </c>
      <c r="F263">
        <v>57</v>
      </c>
      <c r="G263">
        <v>23.32</v>
      </c>
      <c r="H263">
        <v>77.099999999999994</v>
      </c>
      <c r="I263">
        <v>20.03</v>
      </c>
      <c r="J263">
        <v>66.239999999999995</v>
      </c>
      <c r="K263">
        <v>10</v>
      </c>
      <c r="T263">
        <v>3</v>
      </c>
      <c r="U263">
        <v>1</v>
      </c>
      <c r="V263" t="s">
        <v>269</v>
      </c>
      <c r="W263" t="s">
        <v>684</v>
      </c>
      <c r="X263">
        <v>5</v>
      </c>
      <c r="Y263">
        <v>5</v>
      </c>
      <c r="Z263" t="s">
        <v>680</v>
      </c>
      <c r="AA263" t="s">
        <v>681</v>
      </c>
      <c r="AB263" t="s">
        <v>272</v>
      </c>
      <c r="AC263" t="s">
        <v>273</v>
      </c>
      <c r="AD263" t="s">
        <v>274</v>
      </c>
      <c r="AE263" t="s">
        <v>240</v>
      </c>
      <c r="AG263" t="s">
        <v>682</v>
      </c>
      <c r="AH263">
        <v>0</v>
      </c>
      <c r="AI263">
        <v>0</v>
      </c>
      <c r="AJ263">
        <v>0</v>
      </c>
      <c r="AK263">
        <v>0</v>
      </c>
      <c r="AL263">
        <v>0</v>
      </c>
    </row>
    <row r="264" spans="1:38" x14ac:dyDescent="0.3">
      <c r="A264" t="s">
        <v>622</v>
      </c>
      <c r="B264">
        <v>118486</v>
      </c>
      <c r="C264">
        <v>6</v>
      </c>
      <c r="D264" t="s">
        <v>677</v>
      </c>
      <c r="E264" t="s">
        <v>678</v>
      </c>
      <c r="F264">
        <v>57</v>
      </c>
      <c r="G264">
        <v>23.54</v>
      </c>
      <c r="H264">
        <v>77.84</v>
      </c>
      <c r="I264">
        <v>20.260000000000002</v>
      </c>
      <c r="J264">
        <v>66.98</v>
      </c>
      <c r="K264">
        <v>5</v>
      </c>
      <c r="T264">
        <v>3</v>
      </c>
      <c r="U264">
        <v>1</v>
      </c>
      <c r="V264" t="s">
        <v>269</v>
      </c>
      <c r="W264">
        <v>77</v>
      </c>
      <c r="X264">
        <v>5</v>
      </c>
      <c r="Y264">
        <v>5</v>
      </c>
      <c r="Z264" t="s">
        <v>680</v>
      </c>
      <c r="AA264" t="s">
        <v>681</v>
      </c>
      <c r="AB264" t="s">
        <v>272</v>
      </c>
      <c r="AC264" t="s">
        <v>273</v>
      </c>
      <c r="AD264" t="s">
        <v>274</v>
      </c>
      <c r="AE264" t="s">
        <v>240</v>
      </c>
      <c r="AG264" t="s">
        <v>682</v>
      </c>
      <c r="AH264">
        <v>0</v>
      </c>
      <c r="AI264">
        <v>0</v>
      </c>
      <c r="AJ264">
        <v>0</v>
      </c>
      <c r="AK264">
        <v>0</v>
      </c>
      <c r="AL264">
        <v>0</v>
      </c>
    </row>
    <row r="265" spans="1:38" x14ac:dyDescent="0.3">
      <c r="A265" t="s">
        <v>622</v>
      </c>
      <c r="B265">
        <v>118486</v>
      </c>
      <c r="C265">
        <v>7</v>
      </c>
      <c r="D265" t="s">
        <v>677</v>
      </c>
      <c r="E265" t="s">
        <v>678</v>
      </c>
      <c r="F265">
        <v>57</v>
      </c>
      <c r="G265">
        <v>23.39</v>
      </c>
      <c r="H265">
        <v>77.34</v>
      </c>
      <c r="I265">
        <v>20.11</v>
      </c>
      <c r="J265">
        <v>66.48</v>
      </c>
      <c r="K265">
        <v>5</v>
      </c>
      <c r="T265">
        <v>3</v>
      </c>
      <c r="U265">
        <v>1</v>
      </c>
      <c r="V265" t="s">
        <v>269</v>
      </c>
      <c r="W265" t="s">
        <v>152</v>
      </c>
      <c r="X265">
        <v>5</v>
      </c>
      <c r="Y265">
        <v>5</v>
      </c>
      <c r="Z265" t="s">
        <v>680</v>
      </c>
      <c r="AA265" t="s">
        <v>681</v>
      </c>
      <c r="AB265" t="s">
        <v>272</v>
      </c>
      <c r="AC265" t="s">
        <v>273</v>
      </c>
      <c r="AD265" t="s">
        <v>274</v>
      </c>
      <c r="AE265" t="s">
        <v>240</v>
      </c>
      <c r="AG265" t="s">
        <v>682</v>
      </c>
      <c r="AH265">
        <v>0</v>
      </c>
      <c r="AI265">
        <v>0</v>
      </c>
      <c r="AJ265">
        <v>0</v>
      </c>
      <c r="AK265">
        <v>0</v>
      </c>
      <c r="AL265">
        <v>0</v>
      </c>
    </row>
    <row r="266" spans="1:38" x14ac:dyDescent="0.3">
      <c r="A266" t="s">
        <v>622</v>
      </c>
      <c r="B266">
        <v>5508</v>
      </c>
      <c r="C266">
        <v>1</v>
      </c>
      <c r="D266" t="s">
        <v>337</v>
      </c>
      <c r="E266" t="s">
        <v>685</v>
      </c>
      <c r="F266">
        <v>782</v>
      </c>
      <c r="G266">
        <v>27.5</v>
      </c>
      <c r="H266">
        <v>90.92</v>
      </c>
      <c r="I266">
        <v>22.74</v>
      </c>
      <c r="J266">
        <v>75.180000000000007</v>
      </c>
      <c r="K266">
        <v>165</v>
      </c>
      <c r="T266">
        <v>3</v>
      </c>
      <c r="U266">
        <v>1</v>
      </c>
      <c r="V266" t="s">
        <v>269</v>
      </c>
      <c r="W266" t="s">
        <v>133</v>
      </c>
      <c r="X266">
        <v>15</v>
      </c>
      <c r="Y266">
        <v>9</v>
      </c>
      <c r="Z266" t="s">
        <v>686</v>
      </c>
      <c r="AA266" t="s">
        <v>687</v>
      </c>
      <c r="AB266" t="s">
        <v>272</v>
      </c>
      <c r="AC266" t="s">
        <v>273</v>
      </c>
      <c r="AD266" t="s">
        <v>274</v>
      </c>
      <c r="AE266" t="s">
        <v>240</v>
      </c>
      <c r="AG266" t="s">
        <v>688</v>
      </c>
      <c r="AH266">
        <v>0</v>
      </c>
      <c r="AI266">
        <v>250</v>
      </c>
      <c r="AJ266">
        <v>21</v>
      </c>
      <c r="AK266">
        <v>279</v>
      </c>
      <c r="AL266">
        <v>0.36</v>
      </c>
    </row>
    <row r="267" spans="1:38" x14ac:dyDescent="0.3">
      <c r="A267" t="s">
        <v>622</v>
      </c>
      <c r="B267">
        <v>5508</v>
      </c>
      <c r="C267">
        <v>2</v>
      </c>
      <c r="D267" t="s">
        <v>337</v>
      </c>
      <c r="E267" t="s">
        <v>685</v>
      </c>
      <c r="F267">
        <v>782</v>
      </c>
      <c r="G267">
        <v>27.57</v>
      </c>
      <c r="H267">
        <v>91.17</v>
      </c>
      <c r="I267">
        <v>22.8</v>
      </c>
      <c r="J267">
        <v>75.39</v>
      </c>
      <c r="K267">
        <v>15</v>
      </c>
      <c r="T267">
        <v>3</v>
      </c>
      <c r="U267">
        <v>1</v>
      </c>
      <c r="V267" t="s">
        <v>269</v>
      </c>
      <c r="W267" t="s">
        <v>134</v>
      </c>
      <c r="X267">
        <v>15</v>
      </c>
      <c r="Y267">
        <v>9</v>
      </c>
      <c r="Z267" t="s">
        <v>686</v>
      </c>
      <c r="AA267" t="s">
        <v>687</v>
      </c>
      <c r="AB267" t="s">
        <v>272</v>
      </c>
      <c r="AC267" t="s">
        <v>273</v>
      </c>
      <c r="AD267" t="s">
        <v>274</v>
      </c>
      <c r="AE267" t="s">
        <v>240</v>
      </c>
      <c r="AG267" t="s">
        <v>688</v>
      </c>
      <c r="AH267">
        <v>0</v>
      </c>
      <c r="AI267">
        <v>250</v>
      </c>
      <c r="AJ267">
        <v>21</v>
      </c>
      <c r="AK267">
        <v>279</v>
      </c>
      <c r="AL267">
        <v>0.36</v>
      </c>
    </row>
    <row r="268" spans="1:38" x14ac:dyDescent="0.3">
      <c r="A268" t="s">
        <v>622</v>
      </c>
      <c r="B268">
        <v>5508</v>
      </c>
      <c r="C268">
        <v>3</v>
      </c>
      <c r="D268" t="s">
        <v>337</v>
      </c>
      <c r="E268" t="s">
        <v>685</v>
      </c>
      <c r="F268">
        <v>782</v>
      </c>
      <c r="G268">
        <v>30.95</v>
      </c>
      <c r="H268">
        <v>102.34</v>
      </c>
      <c r="I268">
        <v>25.6</v>
      </c>
      <c r="J268">
        <v>84.63</v>
      </c>
      <c r="K268">
        <v>395</v>
      </c>
      <c r="T268">
        <v>3</v>
      </c>
      <c r="U268">
        <v>2</v>
      </c>
      <c r="V268" t="s">
        <v>269</v>
      </c>
      <c r="W268" t="s">
        <v>135</v>
      </c>
      <c r="X268">
        <v>15</v>
      </c>
      <c r="Y268">
        <v>9</v>
      </c>
      <c r="Z268" t="s">
        <v>686</v>
      </c>
      <c r="AA268" t="s">
        <v>687</v>
      </c>
      <c r="AB268" t="s">
        <v>272</v>
      </c>
      <c r="AC268" t="s">
        <v>273</v>
      </c>
      <c r="AD268" t="s">
        <v>274</v>
      </c>
      <c r="AE268" t="s">
        <v>240</v>
      </c>
      <c r="AG268" t="s">
        <v>688</v>
      </c>
      <c r="AH268">
        <v>0</v>
      </c>
      <c r="AI268">
        <v>250</v>
      </c>
      <c r="AJ268">
        <v>21</v>
      </c>
      <c r="AK268">
        <v>279</v>
      </c>
      <c r="AL268">
        <v>0.36</v>
      </c>
    </row>
    <row r="269" spans="1:38" x14ac:dyDescent="0.3">
      <c r="A269" t="s">
        <v>622</v>
      </c>
      <c r="B269">
        <v>5508</v>
      </c>
      <c r="C269">
        <v>4</v>
      </c>
      <c r="D269" t="s">
        <v>337</v>
      </c>
      <c r="E269" t="s">
        <v>685</v>
      </c>
      <c r="F269">
        <v>782</v>
      </c>
      <c r="G269">
        <v>30.92</v>
      </c>
      <c r="H269">
        <v>102.24</v>
      </c>
      <c r="I269">
        <v>25.57</v>
      </c>
      <c r="J269">
        <v>84.54</v>
      </c>
      <c r="K269">
        <v>45</v>
      </c>
      <c r="T269">
        <v>3</v>
      </c>
      <c r="U269">
        <v>2</v>
      </c>
      <c r="V269" t="s">
        <v>269</v>
      </c>
      <c r="W269" t="s">
        <v>136</v>
      </c>
      <c r="X269">
        <v>15</v>
      </c>
      <c r="Y269">
        <v>9</v>
      </c>
      <c r="Z269" t="s">
        <v>686</v>
      </c>
      <c r="AA269" t="s">
        <v>687</v>
      </c>
      <c r="AB269" t="s">
        <v>272</v>
      </c>
      <c r="AC269" t="s">
        <v>273</v>
      </c>
      <c r="AD269" t="s">
        <v>274</v>
      </c>
      <c r="AE269" t="s">
        <v>240</v>
      </c>
      <c r="AG269" t="s">
        <v>688</v>
      </c>
      <c r="AH269">
        <v>0</v>
      </c>
      <c r="AI269">
        <v>250</v>
      </c>
      <c r="AJ269">
        <v>21</v>
      </c>
      <c r="AK269">
        <v>279</v>
      </c>
      <c r="AL269">
        <v>0.36</v>
      </c>
    </row>
    <row r="270" spans="1:38" x14ac:dyDescent="0.3">
      <c r="A270" t="s">
        <v>622</v>
      </c>
      <c r="B270">
        <v>5508</v>
      </c>
      <c r="C270">
        <v>5</v>
      </c>
      <c r="D270" t="s">
        <v>337</v>
      </c>
      <c r="E270" t="s">
        <v>685</v>
      </c>
      <c r="F270">
        <v>782</v>
      </c>
      <c r="G270">
        <v>42.7</v>
      </c>
      <c r="H270">
        <v>141.16</v>
      </c>
      <c r="I270">
        <v>35.299999999999997</v>
      </c>
      <c r="J270">
        <v>116.72</v>
      </c>
      <c r="K270">
        <v>162</v>
      </c>
      <c r="T270">
        <v>4</v>
      </c>
      <c r="U270">
        <v>2</v>
      </c>
      <c r="V270" t="s">
        <v>269</v>
      </c>
      <c r="W270">
        <v>141</v>
      </c>
      <c r="X270">
        <v>15</v>
      </c>
      <c r="Y270">
        <v>9</v>
      </c>
      <c r="Z270" t="s">
        <v>686</v>
      </c>
      <c r="AA270" t="s">
        <v>687</v>
      </c>
      <c r="AB270" t="s">
        <v>272</v>
      </c>
      <c r="AC270" t="s">
        <v>273</v>
      </c>
      <c r="AD270" t="s">
        <v>274</v>
      </c>
      <c r="AE270" t="s">
        <v>240</v>
      </c>
      <c r="AG270" t="s">
        <v>688</v>
      </c>
      <c r="AH270">
        <v>0</v>
      </c>
      <c r="AI270">
        <v>250</v>
      </c>
      <c r="AJ270">
        <v>21</v>
      </c>
      <c r="AK270">
        <v>279</v>
      </c>
      <c r="AL270">
        <v>0.36</v>
      </c>
    </row>
    <row r="271" spans="1:38" x14ac:dyDescent="0.3">
      <c r="A271" t="s">
        <v>622</v>
      </c>
      <c r="B271">
        <v>106616</v>
      </c>
      <c r="C271">
        <v>1</v>
      </c>
      <c r="D271" t="s">
        <v>689</v>
      </c>
      <c r="E271" t="s">
        <v>690</v>
      </c>
      <c r="F271">
        <v>53</v>
      </c>
      <c r="G271">
        <v>21.51</v>
      </c>
      <c r="H271">
        <v>71.11</v>
      </c>
      <c r="I271">
        <v>18.11</v>
      </c>
      <c r="J271">
        <v>59.88</v>
      </c>
      <c r="K271">
        <v>23</v>
      </c>
      <c r="T271">
        <v>3</v>
      </c>
      <c r="U271">
        <v>1</v>
      </c>
      <c r="V271" t="s">
        <v>279</v>
      </c>
      <c r="W271" t="s">
        <v>66</v>
      </c>
      <c r="X271">
        <v>5</v>
      </c>
      <c r="Y271">
        <v>3</v>
      </c>
      <c r="Z271" t="s">
        <v>691</v>
      </c>
      <c r="AA271" t="s">
        <v>692</v>
      </c>
      <c r="AB271" t="s">
        <v>272</v>
      </c>
      <c r="AC271" t="s">
        <v>273</v>
      </c>
      <c r="AD271" t="s">
        <v>274</v>
      </c>
      <c r="AE271" t="s">
        <v>240</v>
      </c>
      <c r="AG271" t="s">
        <v>693</v>
      </c>
      <c r="AH271">
        <v>0</v>
      </c>
      <c r="AI271">
        <v>0</v>
      </c>
      <c r="AJ271">
        <v>0</v>
      </c>
      <c r="AK271">
        <v>0</v>
      </c>
      <c r="AL271">
        <v>0</v>
      </c>
    </row>
    <row r="272" spans="1:38" x14ac:dyDescent="0.3">
      <c r="A272" t="s">
        <v>622</v>
      </c>
      <c r="B272">
        <v>106616</v>
      </c>
      <c r="C272">
        <v>2</v>
      </c>
      <c r="D272" t="s">
        <v>689</v>
      </c>
      <c r="E272" t="s">
        <v>690</v>
      </c>
      <c r="F272">
        <v>53</v>
      </c>
      <c r="G272">
        <v>21.53</v>
      </c>
      <c r="H272">
        <v>71.19</v>
      </c>
      <c r="I272">
        <v>18.13</v>
      </c>
      <c r="J272">
        <v>59.95</v>
      </c>
      <c r="K272">
        <v>20</v>
      </c>
      <c r="T272">
        <v>3</v>
      </c>
      <c r="U272">
        <v>1</v>
      </c>
      <c r="V272" t="s">
        <v>279</v>
      </c>
      <c r="W272" t="s">
        <v>694</v>
      </c>
      <c r="X272">
        <v>5</v>
      </c>
      <c r="Y272">
        <v>3</v>
      </c>
      <c r="Z272" t="s">
        <v>691</v>
      </c>
      <c r="AA272" t="s">
        <v>692</v>
      </c>
      <c r="AB272" t="s">
        <v>272</v>
      </c>
      <c r="AC272" t="s">
        <v>273</v>
      </c>
      <c r="AD272" t="s">
        <v>274</v>
      </c>
      <c r="AE272" t="s">
        <v>240</v>
      </c>
      <c r="AG272" t="s">
        <v>693</v>
      </c>
      <c r="AH272">
        <v>0</v>
      </c>
      <c r="AI272">
        <v>0</v>
      </c>
      <c r="AJ272">
        <v>0</v>
      </c>
      <c r="AK272">
        <v>0</v>
      </c>
      <c r="AL272">
        <v>0</v>
      </c>
    </row>
    <row r="273" spans="1:38" x14ac:dyDescent="0.3">
      <c r="A273" t="s">
        <v>622</v>
      </c>
      <c r="B273">
        <v>106616</v>
      </c>
      <c r="C273">
        <v>3</v>
      </c>
      <c r="D273" t="s">
        <v>689</v>
      </c>
      <c r="E273" t="s">
        <v>690</v>
      </c>
      <c r="F273">
        <v>53</v>
      </c>
      <c r="G273">
        <v>21.52</v>
      </c>
      <c r="H273">
        <v>71.16</v>
      </c>
      <c r="I273">
        <v>18.12</v>
      </c>
      <c r="J273">
        <v>59.92</v>
      </c>
      <c r="K273">
        <v>10</v>
      </c>
      <c r="T273">
        <v>3</v>
      </c>
      <c r="U273">
        <v>1</v>
      </c>
      <c r="V273" t="s">
        <v>279</v>
      </c>
      <c r="W273" t="s">
        <v>338</v>
      </c>
      <c r="X273">
        <v>5</v>
      </c>
      <c r="Y273">
        <v>3</v>
      </c>
      <c r="Z273" t="s">
        <v>691</v>
      </c>
      <c r="AA273" t="s">
        <v>692</v>
      </c>
      <c r="AB273" t="s">
        <v>272</v>
      </c>
      <c r="AC273" t="s">
        <v>273</v>
      </c>
      <c r="AD273" t="s">
        <v>274</v>
      </c>
      <c r="AE273" t="s">
        <v>240</v>
      </c>
      <c r="AG273" t="s">
        <v>693</v>
      </c>
      <c r="AH273">
        <v>0</v>
      </c>
      <c r="AI273">
        <v>0</v>
      </c>
      <c r="AJ273">
        <v>0</v>
      </c>
      <c r="AK273">
        <v>0</v>
      </c>
      <c r="AL273">
        <v>0</v>
      </c>
    </row>
    <row r="274" spans="1:38" x14ac:dyDescent="0.3">
      <c r="A274" t="s">
        <v>622</v>
      </c>
      <c r="B274">
        <v>25368</v>
      </c>
      <c r="C274">
        <v>1</v>
      </c>
      <c r="D274" t="s">
        <v>695</v>
      </c>
      <c r="E274" t="s">
        <v>696</v>
      </c>
      <c r="F274">
        <v>183</v>
      </c>
      <c r="G274">
        <v>25.6</v>
      </c>
      <c r="H274">
        <v>84.65</v>
      </c>
      <c r="I274">
        <v>17.96</v>
      </c>
      <c r="J274">
        <v>59.4</v>
      </c>
      <c r="K274">
        <v>69</v>
      </c>
      <c r="T274">
        <v>3</v>
      </c>
      <c r="U274">
        <v>1</v>
      </c>
      <c r="V274" t="s">
        <v>279</v>
      </c>
      <c r="W274">
        <v>84</v>
      </c>
      <c r="X274">
        <v>23</v>
      </c>
      <c r="Y274">
        <v>11</v>
      </c>
      <c r="Z274" t="s">
        <v>697</v>
      </c>
      <c r="AA274" t="s">
        <v>698</v>
      </c>
      <c r="AB274" t="s">
        <v>272</v>
      </c>
      <c r="AC274" t="s">
        <v>273</v>
      </c>
      <c r="AD274" t="s">
        <v>274</v>
      </c>
      <c r="AE274" t="s">
        <v>240</v>
      </c>
      <c r="AG274" t="s">
        <v>699</v>
      </c>
      <c r="AH274">
        <v>0</v>
      </c>
      <c r="AI274">
        <v>392</v>
      </c>
      <c r="AJ274">
        <v>32</v>
      </c>
      <c r="AK274">
        <v>110</v>
      </c>
      <c r="AL274">
        <v>0.6</v>
      </c>
    </row>
    <row r="275" spans="1:38" x14ac:dyDescent="0.3">
      <c r="A275" t="s">
        <v>622</v>
      </c>
      <c r="B275">
        <v>25368</v>
      </c>
      <c r="C275">
        <v>2</v>
      </c>
      <c r="D275" t="s">
        <v>695</v>
      </c>
      <c r="E275" t="s">
        <v>696</v>
      </c>
      <c r="F275">
        <v>183</v>
      </c>
      <c r="G275">
        <v>30.28</v>
      </c>
      <c r="H275">
        <v>100.1</v>
      </c>
      <c r="I275">
        <v>25.59</v>
      </c>
      <c r="J275">
        <v>84.62</v>
      </c>
      <c r="K275">
        <v>92</v>
      </c>
      <c r="T275">
        <v>3</v>
      </c>
      <c r="U275">
        <v>2</v>
      </c>
      <c r="V275" t="s">
        <v>269</v>
      </c>
      <c r="W275">
        <v>100</v>
      </c>
      <c r="X275">
        <v>23</v>
      </c>
      <c r="Y275">
        <v>11</v>
      </c>
      <c r="Z275" t="s">
        <v>697</v>
      </c>
      <c r="AA275" t="s">
        <v>698</v>
      </c>
      <c r="AB275" t="s">
        <v>272</v>
      </c>
      <c r="AC275" t="s">
        <v>273</v>
      </c>
      <c r="AD275" t="s">
        <v>274</v>
      </c>
      <c r="AE275" t="s">
        <v>240</v>
      </c>
      <c r="AG275" t="s">
        <v>699</v>
      </c>
      <c r="AH275">
        <v>0</v>
      </c>
      <c r="AI275">
        <v>392</v>
      </c>
      <c r="AJ275">
        <v>32</v>
      </c>
      <c r="AK275">
        <v>110</v>
      </c>
      <c r="AL275">
        <v>0.6</v>
      </c>
    </row>
    <row r="276" spans="1:38" x14ac:dyDescent="0.3">
      <c r="A276" t="s">
        <v>622</v>
      </c>
      <c r="B276">
        <v>25368</v>
      </c>
      <c r="C276">
        <v>3</v>
      </c>
      <c r="D276" t="s">
        <v>695</v>
      </c>
      <c r="E276" t="s">
        <v>696</v>
      </c>
      <c r="F276">
        <v>183</v>
      </c>
      <c r="G276">
        <v>36.6</v>
      </c>
      <c r="H276">
        <v>121.01</v>
      </c>
      <c r="I276">
        <v>30.94</v>
      </c>
      <c r="J276">
        <v>102.29</v>
      </c>
      <c r="K276">
        <v>22</v>
      </c>
      <c r="T276">
        <v>4</v>
      </c>
      <c r="U276">
        <v>2</v>
      </c>
      <c r="V276" t="s">
        <v>269</v>
      </c>
      <c r="W276">
        <v>121</v>
      </c>
      <c r="X276">
        <v>23</v>
      </c>
      <c r="Y276">
        <v>11</v>
      </c>
      <c r="Z276" t="s">
        <v>697</v>
      </c>
      <c r="AA276" t="s">
        <v>698</v>
      </c>
      <c r="AB276" t="s">
        <v>272</v>
      </c>
      <c r="AC276" t="s">
        <v>273</v>
      </c>
      <c r="AD276" t="s">
        <v>274</v>
      </c>
      <c r="AE276" t="s">
        <v>240</v>
      </c>
      <c r="AG276" t="s">
        <v>699</v>
      </c>
      <c r="AH276">
        <v>0</v>
      </c>
      <c r="AI276">
        <v>392</v>
      </c>
      <c r="AJ276">
        <v>32</v>
      </c>
      <c r="AK276">
        <v>110</v>
      </c>
      <c r="AL276">
        <v>0.6</v>
      </c>
    </row>
    <row r="277" spans="1:38" x14ac:dyDescent="0.3">
      <c r="A277" t="s">
        <v>622</v>
      </c>
      <c r="B277">
        <v>19032</v>
      </c>
      <c r="C277">
        <v>1</v>
      </c>
      <c r="D277" t="s">
        <v>700</v>
      </c>
      <c r="E277" t="s">
        <v>579</v>
      </c>
      <c r="F277">
        <v>428</v>
      </c>
      <c r="G277">
        <v>34.229999999999997</v>
      </c>
      <c r="H277">
        <v>113.19</v>
      </c>
      <c r="I277">
        <v>25.7</v>
      </c>
      <c r="J277">
        <v>84.98</v>
      </c>
      <c r="K277">
        <v>324</v>
      </c>
      <c r="T277">
        <v>3</v>
      </c>
      <c r="U277">
        <v>2</v>
      </c>
      <c r="V277" t="s">
        <v>269</v>
      </c>
      <c r="W277">
        <v>113</v>
      </c>
      <c r="X277">
        <v>19</v>
      </c>
      <c r="Y277">
        <v>14</v>
      </c>
      <c r="Z277" t="s">
        <v>701</v>
      </c>
      <c r="AA277" t="s">
        <v>702</v>
      </c>
      <c r="AB277" t="s">
        <v>272</v>
      </c>
      <c r="AC277" t="s">
        <v>273</v>
      </c>
      <c r="AD277" t="s">
        <v>274</v>
      </c>
      <c r="AE277" t="s">
        <v>240</v>
      </c>
      <c r="AG277" t="s">
        <v>703</v>
      </c>
      <c r="AH277">
        <v>0</v>
      </c>
      <c r="AI277">
        <v>248</v>
      </c>
      <c r="AJ277">
        <v>20</v>
      </c>
      <c r="AK277">
        <v>540</v>
      </c>
      <c r="AL277">
        <v>1.26</v>
      </c>
    </row>
    <row r="278" spans="1:38" x14ac:dyDescent="0.3">
      <c r="A278" t="s">
        <v>622</v>
      </c>
      <c r="B278">
        <v>19032</v>
      </c>
      <c r="C278">
        <v>2</v>
      </c>
      <c r="D278" t="s">
        <v>700</v>
      </c>
      <c r="E278" t="s">
        <v>579</v>
      </c>
      <c r="F278">
        <v>428</v>
      </c>
      <c r="G278">
        <v>47.72</v>
      </c>
      <c r="H278">
        <v>157.76</v>
      </c>
      <c r="I278">
        <v>37.979999999999997</v>
      </c>
      <c r="J278">
        <v>125.58</v>
      </c>
      <c r="K278">
        <v>104</v>
      </c>
      <c r="T278">
        <v>4</v>
      </c>
      <c r="U278">
        <v>2</v>
      </c>
      <c r="V278" t="s">
        <v>269</v>
      </c>
      <c r="W278">
        <v>157</v>
      </c>
      <c r="X278">
        <v>19</v>
      </c>
      <c r="Y278">
        <v>14</v>
      </c>
      <c r="Z278" t="s">
        <v>701</v>
      </c>
      <c r="AA278" t="s">
        <v>702</v>
      </c>
      <c r="AB278" t="s">
        <v>272</v>
      </c>
      <c r="AC278" t="s">
        <v>273</v>
      </c>
      <c r="AD278" t="s">
        <v>274</v>
      </c>
      <c r="AE278" t="s">
        <v>240</v>
      </c>
      <c r="AG278" t="s">
        <v>703</v>
      </c>
      <c r="AH278">
        <v>0</v>
      </c>
      <c r="AI278">
        <v>248</v>
      </c>
      <c r="AJ278">
        <v>20</v>
      </c>
      <c r="AK278">
        <v>540</v>
      </c>
      <c r="AL278">
        <v>1.26</v>
      </c>
    </row>
    <row r="279" spans="1:38" x14ac:dyDescent="0.3">
      <c r="A279" t="s">
        <v>622</v>
      </c>
      <c r="B279">
        <v>5519</v>
      </c>
      <c r="C279">
        <v>1</v>
      </c>
      <c r="D279" t="s">
        <v>704</v>
      </c>
      <c r="E279" t="s">
        <v>705</v>
      </c>
      <c r="F279">
        <v>180</v>
      </c>
      <c r="G279">
        <v>28.76</v>
      </c>
      <c r="H279">
        <v>95.09</v>
      </c>
      <c r="I279">
        <v>25.61</v>
      </c>
      <c r="J279">
        <v>84.68</v>
      </c>
      <c r="K279">
        <v>3</v>
      </c>
      <c r="T279">
        <v>2</v>
      </c>
      <c r="U279">
        <v>2</v>
      </c>
      <c r="V279" t="s">
        <v>269</v>
      </c>
      <c r="W279">
        <v>95</v>
      </c>
      <c r="X279">
        <v>12</v>
      </c>
      <c r="Y279">
        <v>11</v>
      </c>
      <c r="Z279" t="s">
        <v>706</v>
      </c>
      <c r="AA279" t="s">
        <v>707</v>
      </c>
      <c r="AB279" t="s">
        <v>272</v>
      </c>
      <c r="AC279" t="s">
        <v>273</v>
      </c>
      <c r="AD279" t="s">
        <v>274</v>
      </c>
      <c r="AE279" t="s">
        <v>240</v>
      </c>
      <c r="AG279" t="s">
        <v>708</v>
      </c>
      <c r="AH279">
        <v>0</v>
      </c>
      <c r="AI279">
        <v>187</v>
      </c>
      <c r="AJ279">
        <v>21</v>
      </c>
      <c r="AK279">
        <v>277</v>
      </c>
      <c r="AL279">
        <v>1.54</v>
      </c>
    </row>
    <row r="280" spans="1:38" x14ac:dyDescent="0.3">
      <c r="A280" t="s">
        <v>622</v>
      </c>
      <c r="B280">
        <v>5519</v>
      </c>
      <c r="C280">
        <v>2</v>
      </c>
      <c r="D280" t="s">
        <v>704</v>
      </c>
      <c r="E280" t="s">
        <v>705</v>
      </c>
      <c r="F280">
        <v>180</v>
      </c>
      <c r="G280">
        <v>33.96</v>
      </c>
      <c r="H280">
        <v>112.27</v>
      </c>
      <c r="I280">
        <v>30.24</v>
      </c>
      <c r="J280">
        <v>99.98</v>
      </c>
      <c r="K280">
        <v>129</v>
      </c>
      <c r="T280">
        <v>3</v>
      </c>
      <c r="U280">
        <v>2</v>
      </c>
      <c r="V280" t="s">
        <v>269</v>
      </c>
      <c r="W280">
        <v>112</v>
      </c>
      <c r="X280">
        <v>12</v>
      </c>
      <c r="Y280">
        <v>11</v>
      </c>
      <c r="Z280" t="s">
        <v>706</v>
      </c>
      <c r="AA280" t="s">
        <v>707</v>
      </c>
      <c r="AB280" t="s">
        <v>272</v>
      </c>
      <c r="AC280" t="s">
        <v>273</v>
      </c>
      <c r="AD280" t="s">
        <v>274</v>
      </c>
      <c r="AE280" t="s">
        <v>240</v>
      </c>
      <c r="AG280" t="s">
        <v>708</v>
      </c>
      <c r="AH280">
        <v>0</v>
      </c>
      <c r="AI280">
        <v>187</v>
      </c>
      <c r="AJ280">
        <v>21</v>
      </c>
      <c r="AK280">
        <v>277</v>
      </c>
      <c r="AL280">
        <v>1.54</v>
      </c>
    </row>
    <row r="281" spans="1:38" x14ac:dyDescent="0.3">
      <c r="A281" t="s">
        <v>622</v>
      </c>
      <c r="B281">
        <v>5519</v>
      </c>
      <c r="C281">
        <v>3</v>
      </c>
      <c r="D281" t="s">
        <v>704</v>
      </c>
      <c r="E281" t="s">
        <v>705</v>
      </c>
      <c r="F281">
        <v>180</v>
      </c>
      <c r="G281">
        <v>45.78</v>
      </c>
      <c r="H281">
        <v>151.36000000000001</v>
      </c>
      <c r="I281">
        <v>40.770000000000003</v>
      </c>
      <c r="J281">
        <v>134.79</v>
      </c>
      <c r="K281">
        <v>24</v>
      </c>
      <c r="T281">
        <v>4</v>
      </c>
      <c r="U281">
        <v>2</v>
      </c>
      <c r="V281" t="s">
        <v>269</v>
      </c>
      <c r="W281">
        <v>151</v>
      </c>
      <c r="X281">
        <v>12</v>
      </c>
      <c r="Y281">
        <v>11</v>
      </c>
      <c r="Z281" t="s">
        <v>706</v>
      </c>
      <c r="AA281" t="s">
        <v>707</v>
      </c>
      <c r="AB281" t="s">
        <v>272</v>
      </c>
      <c r="AC281" t="s">
        <v>273</v>
      </c>
      <c r="AD281" t="s">
        <v>274</v>
      </c>
      <c r="AE281" t="s">
        <v>240</v>
      </c>
      <c r="AG281" t="s">
        <v>708</v>
      </c>
      <c r="AH281">
        <v>0</v>
      </c>
      <c r="AI281">
        <v>187</v>
      </c>
      <c r="AJ281">
        <v>21</v>
      </c>
      <c r="AK281">
        <v>277</v>
      </c>
      <c r="AL281">
        <v>1.54</v>
      </c>
    </row>
    <row r="282" spans="1:38" x14ac:dyDescent="0.3">
      <c r="A282" t="s">
        <v>622</v>
      </c>
      <c r="B282">
        <v>5519</v>
      </c>
      <c r="C282">
        <v>4</v>
      </c>
      <c r="D282" t="s">
        <v>704</v>
      </c>
      <c r="E282" t="s">
        <v>705</v>
      </c>
      <c r="F282">
        <v>180</v>
      </c>
      <c r="G282">
        <v>60.7</v>
      </c>
      <c r="H282">
        <v>200.68</v>
      </c>
      <c r="I282">
        <v>54.05</v>
      </c>
      <c r="J282">
        <v>178.71</v>
      </c>
      <c r="K282">
        <v>24</v>
      </c>
      <c r="T282">
        <v>5</v>
      </c>
      <c r="U282">
        <v>3</v>
      </c>
      <c r="V282" t="s">
        <v>269</v>
      </c>
      <c r="W282">
        <v>200</v>
      </c>
      <c r="X282">
        <v>12</v>
      </c>
      <c r="Y282">
        <v>11</v>
      </c>
      <c r="Z282" t="s">
        <v>706</v>
      </c>
      <c r="AA282" t="s">
        <v>707</v>
      </c>
      <c r="AB282" t="s">
        <v>272</v>
      </c>
      <c r="AC282" t="s">
        <v>273</v>
      </c>
      <c r="AD282" t="s">
        <v>274</v>
      </c>
      <c r="AE282" t="s">
        <v>240</v>
      </c>
      <c r="AG282" t="s">
        <v>708</v>
      </c>
      <c r="AH282">
        <v>0</v>
      </c>
      <c r="AI282">
        <v>187</v>
      </c>
      <c r="AJ282">
        <v>21</v>
      </c>
      <c r="AK282">
        <v>277</v>
      </c>
      <c r="AL282">
        <v>1.54</v>
      </c>
    </row>
    <row r="283" spans="1:38" x14ac:dyDescent="0.3">
      <c r="A283" t="s">
        <v>622</v>
      </c>
      <c r="B283">
        <v>27177</v>
      </c>
      <c r="C283">
        <v>1</v>
      </c>
      <c r="D283" t="s">
        <v>709</v>
      </c>
      <c r="E283" t="s">
        <v>661</v>
      </c>
      <c r="F283">
        <v>304</v>
      </c>
      <c r="G283">
        <v>41.07</v>
      </c>
      <c r="H283">
        <v>135.80000000000001</v>
      </c>
      <c r="I283">
        <v>30.82</v>
      </c>
      <c r="J283">
        <v>101.89</v>
      </c>
      <c r="K283">
        <v>197</v>
      </c>
      <c r="T283">
        <v>3</v>
      </c>
      <c r="U283">
        <v>2</v>
      </c>
      <c r="V283" t="s">
        <v>269</v>
      </c>
      <c r="W283">
        <v>135</v>
      </c>
      <c r="X283">
        <v>12</v>
      </c>
      <c r="Y283">
        <v>8</v>
      </c>
      <c r="Z283" t="s">
        <v>710</v>
      </c>
      <c r="AA283" t="s">
        <v>711</v>
      </c>
      <c r="AB283" t="s">
        <v>272</v>
      </c>
      <c r="AC283" t="s">
        <v>273</v>
      </c>
      <c r="AD283" t="s">
        <v>274</v>
      </c>
      <c r="AE283" t="s">
        <v>240</v>
      </c>
      <c r="AG283" t="s">
        <v>712</v>
      </c>
      <c r="AH283">
        <v>0</v>
      </c>
      <c r="AI283">
        <v>202</v>
      </c>
      <c r="AJ283">
        <v>23</v>
      </c>
      <c r="AK283">
        <v>464</v>
      </c>
      <c r="AL283">
        <v>1.53</v>
      </c>
    </row>
    <row r="284" spans="1:38" x14ac:dyDescent="0.3">
      <c r="A284" t="s">
        <v>622</v>
      </c>
      <c r="B284">
        <v>27177</v>
      </c>
      <c r="C284">
        <v>2</v>
      </c>
      <c r="D284" t="s">
        <v>709</v>
      </c>
      <c r="E284" t="s">
        <v>661</v>
      </c>
      <c r="F284">
        <v>304</v>
      </c>
      <c r="G284">
        <v>50.08</v>
      </c>
      <c r="H284">
        <v>165.56</v>
      </c>
      <c r="I284">
        <v>38.26</v>
      </c>
      <c r="J284">
        <v>126.5</v>
      </c>
      <c r="K284">
        <v>107</v>
      </c>
      <c r="T284">
        <v>4</v>
      </c>
      <c r="U284">
        <v>2</v>
      </c>
      <c r="V284" t="s">
        <v>269</v>
      </c>
      <c r="W284">
        <v>165</v>
      </c>
      <c r="X284">
        <v>12</v>
      </c>
      <c r="Y284">
        <v>8</v>
      </c>
      <c r="Z284" t="s">
        <v>710</v>
      </c>
      <c r="AA284" t="s">
        <v>711</v>
      </c>
      <c r="AB284" t="s">
        <v>272</v>
      </c>
      <c r="AC284" t="s">
        <v>273</v>
      </c>
      <c r="AD284" t="s">
        <v>274</v>
      </c>
      <c r="AE284" t="s">
        <v>240</v>
      </c>
      <c r="AG284" t="s">
        <v>712</v>
      </c>
      <c r="AH284">
        <v>0</v>
      </c>
      <c r="AI284">
        <v>202</v>
      </c>
      <c r="AJ284">
        <v>23</v>
      </c>
      <c r="AK284">
        <v>464</v>
      </c>
      <c r="AL284">
        <v>1.53</v>
      </c>
    </row>
    <row r="285" spans="1:38" x14ac:dyDescent="0.3">
      <c r="A285" t="s">
        <v>622</v>
      </c>
      <c r="B285">
        <v>109637</v>
      </c>
      <c r="C285">
        <v>1</v>
      </c>
      <c r="D285" t="s">
        <v>713</v>
      </c>
      <c r="E285" t="s">
        <v>624</v>
      </c>
      <c r="F285">
        <v>118</v>
      </c>
      <c r="G285">
        <v>14.59</v>
      </c>
      <c r="H285">
        <v>48.26</v>
      </c>
      <c r="I285">
        <v>11.96</v>
      </c>
      <c r="J285">
        <v>39.57</v>
      </c>
      <c r="K285">
        <v>118</v>
      </c>
      <c r="T285">
        <v>2</v>
      </c>
      <c r="U285">
        <v>1</v>
      </c>
      <c r="V285" t="s">
        <v>269</v>
      </c>
      <c r="W285">
        <v>48</v>
      </c>
      <c r="X285">
        <v>5</v>
      </c>
      <c r="Y285">
        <v>4</v>
      </c>
      <c r="Z285" t="s">
        <v>714</v>
      </c>
      <c r="AA285" t="s">
        <v>715</v>
      </c>
      <c r="AB285" t="s">
        <v>272</v>
      </c>
      <c r="AC285" t="s">
        <v>273</v>
      </c>
      <c r="AD285" t="s">
        <v>274</v>
      </c>
      <c r="AE285" t="s">
        <v>240</v>
      </c>
      <c r="AG285" t="s">
        <v>716</v>
      </c>
      <c r="AH285">
        <v>0</v>
      </c>
      <c r="AI285">
        <v>0</v>
      </c>
      <c r="AJ285">
        <v>0</v>
      </c>
      <c r="AK285">
        <v>0</v>
      </c>
      <c r="AL285">
        <v>0</v>
      </c>
    </row>
    <row r="286" spans="1:38" x14ac:dyDescent="0.3">
      <c r="A286" t="s">
        <v>622</v>
      </c>
      <c r="B286">
        <v>133092</v>
      </c>
      <c r="C286">
        <v>1</v>
      </c>
      <c r="D286" t="s">
        <v>717</v>
      </c>
      <c r="E286" t="s">
        <v>718</v>
      </c>
      <c r="F286">
        <v>43</v>
      </c>
      <c r="G286">
        <v>27.57</v>
      </c>
      <c r="H286">
        <v>91.17</v>
      </c>
      <c r="I286">
        <v>23.8</v>
      </c>
      <c r="J286">
        <v>78.709999999999994</v>
      </c>
      <c r="K286">
        <v>4</v>
      </c>
      <c r="T286">
        <v>3</v>
      </c>
      <c r="U286">
        <v>2</v>
      </c>
      <c r="V286" t="s">
        <v>269</v>
      </c>
      <c r="W286">
        <v>91</v>
      </c>
      <c r="X286">
        <v>5</v>
      </c>
      <c r="Y286">
        <v>5</v>
      </c>
      <c r="Z286" t="s">
        <v>719</v>
      </c>
      <c r="AA286" t="s">
        <v>720</v>
      </c>
      <c r="AB286" t="s">
        <v>272</v>
      </c>
      <c r="AC286" t="s">
        <v>273</v>
      </c>
      <c r="AD286" t="s">
        <v>274</v>
      </c>
      <c r="AE286" t="s">
        <v>240</v>
      </c>
      <c r="AG286" t="s">
        <v>721</v>
      </c>
      <c r="AH286">
        <v>0</v>
      </c>
      <c r="AI286">
        <v>0</v>
      </c>
      <c r="AJ286">
        <v>0</v>
      </c>
      <c r="AK286">
        <v>47</v>
      </c>
      <c r="AL286">
        <v>1.0900000000000001</v>
      </c>
    </row>
    <row r="287" spans="1:38" x14ac:dyDescent="0.3">
      <c r="A287" t="s">
        <v>622</v>
      </c>
      <c r="B287">
        <v>133092</v>
      </c>
      <c r="C287">
        <v>2</v>
      </c>
      <c r="D287" t="s">
        <v>717</v>
      </c>
      <c r="E287" t="s">
        <v>718</v>
      </c>
      <c r="F287">
        <v>43</v>
      </c>
      <c r="G287">
        <v>29.57</v>
      </c>
      <c r="H287">
        <v>97.77</v>
      </c>
      <c r="I287">
        <v>25.53</v>
      </c>
      <c r="J287">
        <v>84.41</v>
      </c>
      <c r="K287">
        <v>4</v>
      </c>
      <c r="T287">
        <v>3</v>
      </c>
      <c r="U287">
        <v>2</v>
      </c>
      <c r="V287" t="s">
        <v>269</v>
      </c>
      <c r="W287" t="s">
        <v>464</v>
      </c>
      <c r="X287">
        <v>5</v>
      </c>
      <c r="Y287">
        <v>5</v>
      </c>
      <c r="Z287" t="s">
        <v>719</v>
      </c>
      <c r="AA287" t="s">
        <v>720</v>
      </c>
      <c r="AB287" t="s">
        <v>272</v>
      </c>
      <c r="AC287" t="s">
        <v>273</v>
      </c>
      <c r="AD287" t="s">
        <v>274</v>
      </c>
      <c r="AE287" t="s">
        <v>240</v>
      </c>
      <c r="AG287" t="s">
        <v>721</v>
      </c>
      <c r="AH287">
        <v>0</v>
      </c>
      <c r="AI287">
        <v>0</v>
      </c>
      <c r="AJ287">
        <v>0</v>
      </c>
      <c r="AK287">
        <v>47</v>
      </c>
      <c r="AL287">
        <v>1.0900000000000001</v>
      </c>
    </row>
    <row r="288" spans="1:38" x14ac:dyDescent="0.3">
      <c r="A288" t="s">
        <v>622</v>
      </c>
      <c r="B288">
        <v>133092</v>
      </c>
      <c r="C288">
        <v>3</v>
      </c>
      <c r="D288" t="s">
        <v>717</v>
      </c>
      <c r="E288" t="s">
        <v>718</v>
      </c>
      <c r="F288">
        <v>43</v>
      </c>
      <c r="G288">
        <v>29.67</v>
      </c>
      <c r="H288">
        <v>98.09</v>
      </c>
      <c r="I288">
        <v>25.61</v>
      </c>
      <c r="J288">
        <v>84.69</v>
      </c>
      <c r="K288">
        <v>4</v>
      </c>
      <c r="T288">
        <v>3</v>
      </c>
      <c r="U288">
        <v>2</v>
      </c>
      <c r="V288" t="s">
        <v>269</v>
      </c>
      <c r="W288" t="s">
        <v>722</v>
      </c>
      <c r="X288">
        <v>5</v>
      </c>
      <c r="Y288">
        <v>5</v>
      </c>
      <c r="Z288" t="s">
        <v>719</v>
      </c>
      <c r="AA288" t="s">
        <v>720</v>
      </c>
      <c r="AB288" t="s">
        <v>272</v>
      </c>
      <c r="AC288" t="s">
        <v>273</v>
      </c>
      <c r="AD288" t="s">
        <v>274</v>
      </c>
      <c r="AE288" t="s">
        <v>240</v>
      </c>
      <c r="AG288" t="s">
        <v>721</v>
      </c>
      <c r="AH288">
        <v>0</v>
      </c>
      <c r="AI288">
        <v>0</v>
      </c>
      <c r="AJ288">
        <v>0</v>
      </c>
      <c r="AK288">
        <v>47</v>
      </c>
      <c r="AL288">
        <v>1.0900000000000001</v>
      </c>
    </row>
    <row r="289" spans="1:38" x14ac:dyDescent="0.3">
      <c r="A289" t="s">
        <v>622</v>
      </c>
      <c r="B289">
        <v>133092</v>
      </c>
      <c r="C289">
        <v>4</v>
      </c>
      <c r="D289" t="s">
        <v>717</v>
      </c>
      <c r="E289" t="s">
        <v>718</v>
      </c>
      <c r="F289">
        <v>43</v>
      </c>
      <c r="G289">
        <v>30.03</v>
      </c>
      <c r="H289">
        <v>99.3</v>
      </c>
      <c r="I289">
        <v>24.06</v>
      </c>
      <c r="J289">
        <v>79.55</v>
      </c>
      <c r="K289">
        <v>4</v>
      </c>
      <c r="T289">
        <v>3</v>
      </c>
      <c r="U289">
        <v>2</v>
      </c>
      <c r="V289" t="s">
        <v>269</v>
      </c>
      <c r="W289" t="s">
        <v>723</v>
      </c>
      <c r="X289">
        <v>5</v>
      </c>
      <c r="Y289">
        <v>5</v>
      </c>
      <c r="Z289" t="s">
        <v>719</v>
      </c>
      <c r="AA289" t="s">
        <v>720</v>
      </c>
      <c r="AB289" t="s">
        <v>272</v>
      </c>
      <c r="AC289" t="s">
        <v>273</v>
      </c>
      <c r="AD289" t="s">
        <v>274</v>
      </c>
      <c r="AE289" t="s">
        <v>240</v>
      </c>
      <c r="AG289" t="s">
        <v>721</v>
      </c>
      <c r="AH289">
        <v>0</v>
      </c>
      <c r="AI289">
        <v>0</v>
      </c>
      <c r="AJ289">
        <v>0</v>
      </c>
      <c r="AK289">
        <v>47</v>
      </c>
      <c r="AL289">
        <v>1.0900000000000001</v>
      </c>
    </row>
    <row r="290" spans="1:38" x14ac:dyDescent="0.3">
      <c r="A290" t="s">
        <v>622</v>
      </c>
      <c r="B290">
        <v>133092</v>
      </c>
      <c r="C290">
        <v>5</v>
      </c>
      <c r="D290" t="s">
        <v>717</v>
      </c>
      <c r="E290" t="s">
        <v>718</v>
      </c>
      <c r="F290">
        <v>43</v>
      </c>
      <c r="G290">
        <v>30.29</v>
      </c>
      <c r="H290">
        <v>100.15</v>
      </c>
      <c r="I290">
        <v>25.53</v>
      </c>
      <c r="J290">
        <v>84.41</v>
      </c>
      <c r="K290">
        <v>4</v>
      </c>
      <c r="T290">
        <v>3</v>
      </c>
      <c r="U290">
        <v>2</v>
      </c>
      <c r="V290" t="s">
        <v>269</v>
      </c>
      <c r="W290" t="s">
        <v>724</v>
      </c>
      <c r="X290">
        <v>5</v>
      </c>
      <c r="Y290">
        <v>5</v>
      </c>
      <c r="Z290" t="s">
        <v>719</v>
      </c>
      <c r="AA290" t="s">
        <v>720</v>
      </c>
      <c r="AB290" t="s">
        <v>272</v>
      </c>
      <c r="AC290" t="s">
        <v>273</v>
      </c>
      <c r="AD290" t="s">
        <v>274</v>
      </c>
      <c r="AE290" t="s">
        <v>240</v>
      </c>
      <c r="AG290" t="s">
        <v>721</v>
      </c>
      <c r="AH290">
        <v>0</v>
      </c>
      <c r="AI290">
        <v>0</v>
      </c>
      <c r="AJ290">
        <v>0</v>
      </c>
      <c r="AK290">
        <v>47</v>
      </c>
      <c r="AL290">
        <v>1.0900000000000001</v>
      </c>
    </row>
    <row r="291" spans="1:38" x14ac:dyDescent="0.3">
      <c r="A291" t="s">
        <v>622</v>
      </c>
      <c r="B291">
        <v>133092</v>
      </c>
      <c r="C291">
        <v>6</v>
      </c>
      <c r="D291" t="s">
        <v>717</v>
      </c>
      <c r="E291" t="s">
        <v>718</v>
      </c>
      <c r="F291">
        <v>43</v>
      </c>
      <c r="G291">
        <v>30.38</v>
      </c>
      <c r="H291">
        <v>100.44</v>
      </c>
      <c r="I291">
        <v>25.6</v>
      </c>
      <c r="J291">
        <v>84.65</v>
      </c>
      <c r="K291">
        <v>4</v>
      </c>
      <c r="T291">
        <v>3</v>
      </c>
      <c r="U291">
        <v>2</v>
      </c>
      <c r="V291" t="s">
        <v>269</v>
      </c>
      <c r="W291" t="s">
        <v>725</v>
      </c>
      <c r="X291">
        <v>5</v>
      </c>
      <c r="Y291">
        <v>5</v>
      </c>
      <c r="Z291" t="s">
        <v>719</v>
      </c>
      <c r="AA291" t="s">
        <v>720</v>
      </c>
      <c r="AB291" t="s">
        <v>272</v>
      </c>
      <c r="AC291" t="s">
        <v>273</v>
      </c>
      <c r="AD291" t="s">
        <v>274</v>
      </c>
      <c r="AE291" t="s">
        <v>240</v>
      </c>
      <c r="AG291" t="s">
        <v>721</v>
      </c>
      <c r="AH291">
        <v>0</v>
      </c>
      <c r="AI291">
        <v>0</v>
      </c>
      <c r="AJ291">
        <v>0</v>
      </c>
      <c r="AK291">
        <v>47</v>
      </c>
      <c r="AL291">
        <v>1.0900000000000001</v>
      </c>
    </row>
    <row r="292" spans="1:38" x14ac:dyDescent="0.3">
      <c r="A292" t="s">
        <v>622</v>
      </c>
      <c r="B292">
        <v>133092</v>
      </c>
      <c r="C292">
        <v>7</v>
      </c>
      <c r="D292" t="s">
        <v>717</v>
      </c>
      <c r="E292" t="s">
        <v>718</v>
      </c>
      <c r="F292">
        <v>43</v>
      </c>
      <c r="G292">
        <v>30.4</v>
      </c>
      <c r="H292">
        <v>100.51</v>
      </c>
      <c r="I292">
        <v>25.62</v>
      </c>
      <c r="J292">
        <v>84.71</v>
      </c>
      <c r="K292">
        <v>4</v>
      </c>
      <c r="T292">
        <v>3</v>
      </c>
      <c r="U292">
        <v>2</v>
      </c>
      <c r="V292" t="s">
        <v>269</v>
      </c>
      <c r="W292" t="s">
        <v>726</v>
      </c>
      <c r="X292">
        <v>5</v>
      </c>
      <c r="Y292">
        <v>5</v>
      </c>
      <c r="Z292" t="s">
        <v>719</v>
      </c>
      <c r="AA292" t="s">
        <v>720</v>
      </c>
      <c r="AB292" t="s">
        <v>272</v>
      </c>
      <c r="AC292" t="s">
        <v>273</v>
      </c>
      <c r="AD292" t="s">
        <v>274</v>
      </c>
      <c r="AE292" t="s">
        <v>240</v>
      </c>
      <c r="AG292" t="s">
        <v>721</v>
      </c>
      <c r="AH292">
        <v>0</v>
      </c>
      <c r="AI292">
        <v>0</v>
      </c>
      <c r="AJ292">
        <v>0</v>
      </c>
      <c r="AK292">
        <v>47</v>
      </c>
      <c r="AL292">
        <v>1.0900000000000001</v>
      </c>
    </row>
    <row r="293" spans="1:38" x14ac:dyDescent="0.3">
      <c r="A293" t="s">
        <v>622</v>
      </c>
      <c r="B293">
        <v>133092</v>
      </c>
      <c r="C293">
        <v>8</v>
      </c>
      <c r="D293" t="s">
        <v>717</v>
      </c>
      <c r="E293" t="s">
        <v>718</v>
      </c>
      <c r="F293">
        <v>43</v>
      </c>
      <c r="G293">
        <v>30.85</v>
      </c>
      <c r="H293">
        <v>102.01</v>
      </c>
      <c r="I293">
        <v>25.59</v>
      </c>
      <c r="J293">
        <v>84.6</v>
      </c>
      <c r="K293">
        <v>3</v>
      </c>
      <c r="T293">
        <v>3</v>
      </c>
      <c r="U293">
        <v>2</v>
      </c>
      <c r="V293" t="s">
        <v>269</v>
      </c>
      <c r="W293" t="s">
        <v>135</v>
      </c>
      <c r="X293">
        <v>5</v>
      </c>
      <c r="Y293">
        <v>5</v>
      </c>
      <c r="Z293" t="s">
        <v>719</v>
      </c>
      <c r="AA293" t="s">
        <v>720</v>
      </c>
      <c r="AB293" t="s">
        <v>272</v>
      </c>
      <c r="AC293" t="s">
        <v>273</v>
      </c>
      <c r="AD293" t="s">
        <v>274</v>
      </c>
      <c r="AE293" t="s">
        <v>240</v>
      </c>
      <c r="AG293" t="s">
        <v>721</v>
      </c>
      <c r="AH293">
        <v>0</v>
      </c>
      <c r="AI293">
        <v>0</v>
      </c>
      <c r="AJ293">
        <v>0</v>
      </c>
      <c r="AK293">
        <v>47</v>
      </c>
      <c r="AL293">
        <v>1.0900000000000001</v>
      </c>
    </row>
    <row r="294" spans="1:38" x14ac:dyDescent="0.3">
      <c r="A294" t="s">
        <v>622</v>
      </c>
      <c r="B294">
        <v>133092</v>
      </c>
      <c r="C294">
        <v>9</v>
      </c>
      <c r="D294" t="s">
        <v>717</v>
      </c>
      <c r="E294" t="s">
        <v>718</v>
      </c>
      <c r="F294">
        <v>43</v>
      </c>
      <c r="G294">
        <v>30.9</v>
      </c>
      <c r="H294">
        <v>102.18</v>
      </c>
      <c r="I294">
        <v>25.63</v>
      </c>
      <c r="J294">
        <v>84.74</v>
      </c>
      <c r="K294">
        <v>3</v>
      </c>
      <c r="T294">
        <v>3</v>
      </c>
      <c r="U294">
        <v>2</v>
      </c>
      <c r="V294" t="s">
        <v>269</v>
      </c>
      <c r="W294" t="s">
        <v>727</v>
      </c>
      <c r="X294">
        <v>5</v>
      </c>
      <c r="Y294">
        <v>5</v>
      </c>
      <c r="Z294" t="s">
        <v>719</v>
      </c>
      <c r="AA294" t="s">
        <v>720</v>
      </c>
      <c r="AB294" t="s">
        <v>272</v>
      </c>
      <c r="AC294" t="s">
        <v>273</v>
      </c>
      <c r="AD294" t="s">
        <v>274</v>
      </c>
      <c r="AE294" t="s">
        <v>240</v>
      </c>
      <c r="AG294" t="s">
        <v>721</v>
      </c>
      <c r="AH294">
        <v>0</v>
      </c>
      <c r="AI294">
        <v>0</v>
      </c>
      <c r="AJ294">
        <v>0</v>
      </c>
      <c r="AK294">
        <v>47</v>
      </c>
      <c r="AL294">
        <v>1.0900000000000001</v>
      </c>
    </row>
    <row r="295" spans="1:38" x14ac:dyDescent="0.3">
      <c r="A295" t="s">
        <v>622</v>
      </c>
      <c r="B295">
        <v>133092</v>
      </c>
      <c r="C295">
        <v>10</v>
      </c>
      <c r="D295" t="s">
        <v>717</v>
      </c>
      <c r="E295" t="s">
        <v>718</v>
      </c>
      <c r="F295">
        <v>43</v>
      </c>
      <c r="G295">
        <v>30.96</v>
      </c>
      <c r="H295">
        <v>102.35</v>
      </c>
      <c r="I295">
        <v>25.67</v>
      </c>
      <c r="J295">
        <v>84.88</v>
      </c>
      <c r="K295">
        <v>3</v>
      </c>
      <c r="T295">
        <v>3</v>
      </c>
      <c r="U295">
        <v>2</v>
      </c>
      <c r="V295" t="s">
        <v>269</v>
      </c>
      <c r="W295" t="s">
        <v>728</v>
      </c>
      <c r="X295">
        <v>5</v>
      </c>
      <c r="Y295">
        <v>5</v>
      </c>
      <c r="Z295" t="s">
        <v>719</v>
      </c>
      <c r="AA295" t="s">
        <v>720</v>
      </c>
      <c r="AB295" t="s">
        <v>272</v>
      </c>
      <c r="AC295" t="s">
        <v>273</v>
      </c>
      <c r="AD295" t="s">
        <v>274</v>
      </c>
      <c r="AE295" t="s">
        <v>240</v>
      </c>
      <c r="AG295" t="s">
        <v>721</v>
      </c>
      <c r="AH295">
        <v>0</v>
      </c>
      <c r="AI295">
        <v>0</v>
      </c>
      <c r="AJ295">
        <v>0</v>
      </c>
      <c r="AK295">
        <v>47</v>
      </c>
      <c r="AL295">
        <v>1.0900000000000001</v>
      </c>
    </row>
    <row r="296" spans="1:38" x14ac:dyDescent="0.3">
      <c r="A296" t="s">
        <v>622</v>
      </c>
      <c r="B296">
        <v>133092</v>
      </c>
      <c r="C296">
        <v>11</v>
      </c>
      <c r="D296" t="s">
        <v>717</v>
      </c>
      <c r="E296" t="s">
        <v>718</v>
      </c>
      <c r="F296">
        <v>43</v>
      </c>
      <c r="G296">
        <v>31.2</v>
      </c>
      <c r="H296">
        <v>103.16</v>
      </c>
      <c r="I296">
        <v>24.99</v>
      </c>
      <c r="J296">
        <v>82.64</v>
      </c>
      <c r="K296">
        <v>4</v>
      </c>
      <c r="T296">
        <v>3</v>
      </c>
      <c r="U296">
        <v>2</v>
      </c>
      <c r="V296" t="s">
        <v>269</v>
      </c>
      <c r="W296" t="s">
        <v>143</v>
      </c>
      <c r="X296">
        <v>5</v>
      </c>
      <c r="Y296">
        <v>5</v>
      </c>
      <c r="Z296" t="s">
        <v>719</v>
      </c>
      <c r="AA296" t="s">
        <v>720</v>
      </c>
      <c r="AB296" t="s">
        <v>272</v>
      </c>
      <c r="AC296" t="s">
        <v>273</v>
      </c>
      <c r="AD296" t="s">
        <v>274</v>
      </c>
      <c r="AE296" t="s">
        <v>240</v>
      </c>
      <c r="AG296" t="s">
        <v>721</v>
      </c>
      <c r="AH296">
        <v>0</v>
      </c>
      <c r="AI296">
        <v>0</v>
      </c>
      <c r="AJ296">
        <v>0</v>
      </c>
      <c r="AK296">
        <v>47</v>
      </c>
      <c r="AL296">
        <v>1.0900000000000001</v>
      </c>
    </row>
    <row r="297" spans="1:38" x14ac:dyDescent="0.3">
      <c r="A297" t="s">
        <v>622</v>
      </c>
      <c r="B297">
        <v>133092</v>
      </c>
      <c r="C297">
        <v>12</v>
      </c>
      <c r="D297" t="s">
        <v>717</v>
      </c>
      <c r="E297" t="s">
        <v>718</v>
      </c>
      <c r="F297">
        <v>43</v>
      </c>
      <c r="G297">
        <v>31.47</v>
      </c>
      <c r="H297">
        <v>104.04</v>
      </c>
      <c r="I297">
        <v>26.09</v>
      </c>
      <c r="J297">
        <v>86.28</v>
      </c>
      <c r="K297">
        <v>1</v>
      </c>
      <c r="T297">
        <v>3</v>
      </c>
      <c r="U297">
        <v>2</v>
      </c>
      <c r="V297" t="s">
        <v>269</v>
      </c>
      <c r="W297" t="s">
        <v>729</v>
      </c>
      <c r="X297">
        <v>5</v>
      </c>
      <c r="Y297">
        <v>5</v>
      </c>
      <c r="Z297" t="s">
        <v>719</v>
      </c>
      <c r="AA297" t="s">
        <v>720</v>
      </c>
      <c r="AB297" t="s">
        <v>272</v>
      </c>
      <c r="AC297" t="s">
        <v>273</v>
      </c>
      <c r="AD297" t="s">
        <v>274</v>
      </c>
      <c r="AE297" t="s">
        <v>240</v>
      </c>
      <c r="AG297" t="s">
        <v>721</v>
      </c>
      <c r="AH297">
        <v>0</v>
      </c>
      <c r="AI297">
        <v>0</v>
      </c>
      <c r="AJ297">
        <v>0</v>
      </c>
      <c r="AK297">
        <v>47</v>
      </c>
      <c r="AL297">
        <v>1.0900000000000001</v>
      </c>
    </row>
    <row r="298" spans="1:38" x14ac:dyDescent="0.3">
      <c r="A298" t="s">
        <v>622</v>
      </c>
      <c r="B298">
        <v>133092</v>
      </c>
      <c r="C298">
        <v>13</v>
      </c>
      <c r="D298" t="s">
        <v>717</v>
      </c>
      <c r="E298" t="s">
        <v>718</v>
      </c>
      <c r="F298">
        <v>43</v>
      </c>
      <c r="G298">
        <v>49.75</v>
      </c>
      <c r="H298">
        <v>164.49</v>
      </c>
      <c r="I298">
        <v>41.26</v>
      </c>
      <c r="J298">
        <v>136.41</v>
      </c>
      <c r="K298">
        <v>1</v>
      </c>
      <c r="T298">
        <v>4</v>
      </c>
      <c r="U298">
        <v>2</v>
      </c>
      <c r="V298" t="s">
        <v>269</v>
      </c>
      <c r="W298">
        <v>164</v>
      </c>
      <c r="X298">
        <v>5</v>
      </c>
      <c r="Y298">
        <v>5</v>
      </c>
      <c r="Z298" t="s">
        <v>719</v>
      </c>
      <c r="AA298" t="s">
        <v>720</v>
      </c>
      <c r="AB298" t="s">
        <v>272</v>
      </c>
      <c r="AC298" t="s">
        <v>273</v>
      </c>
      <c r="AD298" t="s">
        <v>274</v>
      </c>
      <c r="AE298" t="s">
        <v>240</v>
      </c>
      <c r="AG298" t="s">
        <v>721</v>
      </c>
      <c r="AH298">
        <v>0</v>
      </c>
      <c r="AI298">
        <v>0</v>
      </c>
      <c r="AJ298">
        <v>0</v>
      </c>
      <c r="AK298">
        <v>47</v>
      </c>
      <c r="AL298">
        <v>1.0900000000000001</v>
      </c>
    </row>
    <row r="299" spans="1:38" x14ac:dyDescent="0.3">
      <c r="A299" t="s">
        <v>622</v>
      </c>
      <c r="B299">
        <v>123544</v>
      </c>
      <c r="C299">
        <v>1</v>
      </c>
      <c r="D299" t="s">
        <v>730</v>
      </c>
      <c r="E299" t="s">
        <v>731</v>
      </c>
      <c r="F299">
        <v>48</v>
      </c>
      <c r="G299">
        <v>20.69</v>
      </c>
      <c r="H299">
        <v>68.41</v>
      </c>
      <c r="I299">
        <v>16.71</v>
      </c>
      <c r="J299">
        <v>55.26</v>
      </c>
      <c r="K299">
        <v>35</v>
      </c>
      <c r="T299">
        <v>2</v>
      </c>
      <c r="U299">
        <v>1</v>
      </c>
      <c r="V299" t="s">
        <v>279</v>
      </c>
      <c r="W299" t="s">
        <v>192</v>
      </c>
      <c r="X299">
        <v>5</v>
      </c>
      <c r="Y299">
        <v>4</v>
      </c>
      <c r="Z299" t="s">
        <v>732</v>
      </c>
      <c r="AA299" t="s">
        <v>733</v>
      </c>
      <c r="AB299" t="s">
        <v>272</v>
      </c>
      <c r="AC299" t="s">
        <v>273</v>
      </c>
      <c r="AD299" t="s">
        <v>274</v>
      </c>
      <c r="AE299" t="s">
        <v>240</v>
      </c>
      <c r="AG299" t="s">
        <v>734</v>
      </c>
      <c r="AH299">
        <v>0</v>
      </c>
      <c r="AI299">
        <v>0</v>
      </c>
      <c r="AJ299">
        <v>0</v>
      </c>
      <c r="AK299">
        <v>0</v>
      </c>
      <c r="AL299">
        <v>0</v>
      </c>
    </row>
    <row r="300" spans="1:38" x14ac:dyDescent="0.3">
      <c r="A300" t="s">
        <v>622</v>
      </c>
      <c r="B300">
        <v>123544</v>
      </c>
      <c r="C300">
        <v>2</v>
      </c>
      <c r="D300" t="s">
        <v>730</v>
      </c>
      <c r="E300" t="s">
        <v>731</v>
      </c>
      <c r="F300">
        <v>48</v>
      </c>
      <c r="G300">
        <v>21.05</v>
      </c>
      <c r="H300">
        <v>69.59</v>
      </c>
      <c r="I300">
        <v>17.07</v>
      </c>
      <c r="J300">
        <v>56.44</v>
      </c>
      <c r="K300">
        <v>5</v>
      </c>
      <c r="T300">
        <v>2</v>
      </c>
      <c r="U300">
        <v>1</v>
      </c>
      <c r="V300" t="s">
        <v>279</v>
      </c>
      <c r="W300" t="s">
        <v>193</v>
      </c>
      <c r="X300">
        <v>5</v>
      </c>
      <c r="Y300">
        <v>4</v>
      </c>
      <c r="Z300" t="s">
        <v>732</v>
      </c>
      <c r="AA300" t="s">
        <v>733</v>
      </c>
      <c r="AB300" t="s">
        <v>272</v>
      </c>
      <c r="AC300" t="s">
        <v>273</v>
      </c>
      <c r="AD300" t="s">
        <v>274</v>
      </c>
      <c r="AE300" t="s">
        <v>240</v>
      </c>
      <c r="AG300" t="s">
        <v>734</v>
      </c>
      <c r="AH300">
        <v>0</v>
      </c>
      <c r="AI300">
        <v>0</v>
      </c>
      <c r="AJ300">
        <v>0</v>
      </c>
      <c r="AK300">
        <v>0</v>
      </c>
      <c r="AL300">
        <v>0</v>
      </c>
    </row>
    <row r="301" spans="1:38" x14ac:dyDescent="0.3">
      <c r="A301" t="s">
        <v>622</v>
      </c>
      <c r="B301">
        <v>123544</v>
      </c>
      <c r="C301">
        <v>3</v>
      </c>
      <c r="D301" t="s">
        <v>730</v>
      </c>
      <c r="E301" t="s">
        <v>731</v>
      </c>
      <c r="F301">
        <v>48</v>
      </c>
      <c r="G301">
        <v>21.61</v>
      </c>
      <c r="H301">
        <v>71.47</v>
      </c>
      <c r="I301">
        <v>17.64</v>
      </c>
      <c r="J301">
        <v>58.32</v>
      </c>
      <c r="K301">
        <v>8</v>
      </c>
      <c r="T301">
        <v>2</v>
      </c>
      <c r="U301">
        <v>1</v>
      </c>
      <c r="V301" t="s">
        <v>279</v>
      </c>
      <c r="W301">
        <v>71</v>
      </c>
      <c r="X301">
        <v>5</v>
      </c>
      <c r="Y301">
        <v>4</v>
      </c>
      <c r="Z301" t="s">
        <v>732</v>
      </c>
      <c r="AA301" t="s">
        <v>733</v>
      </c>
      <c r="AB301" t="s">
        <v>272</v>
      </c>
      <c r="AC301" t="s">
        <v>273</v>
      </c>
      <c r="AD301" t="s">
        <v>274</v>
      </c>
      <c r="AE301" t="s">
        <v>240</v>
      </c>
      <c r="AG301" t="s">
        <v>734</v>
      </c>
      <c r="AH301">
        <v>0</v>
      </c>
      <c r="AI301">
        <v>0</v>
      </c>
      <c r="AJ301">
        <v>0</v>
      </c>
      <c r="AK301">
        <v>0</v>
      </c>
      <c r="AL301">
        <v>0</v>
      </c>
    </row>
    <row r="302" spans="1:38" x14ac:dyDescent="0.3">
      <c r="A302" t="s">
        <v>622</v>
      </c>
      <c r="B302">
        <v>15023</v>
      </c>
      <c r="C302">
        <v>1</v>
      </c>
      <c r="D302" t="s">
        <v>735</v>
      </c>
      <c r="E302" t="s">
        <v>736</v>
      </c>
      <c r="F302">
        <v>317</v>
      </c>
      <c r="G302">
        <v>21.08</v>
      </c>
      <c r="H302">
        <v>69.709999999999994</v>
      </c>
      <c r="I302">
        <v>18.13</v>
      </c>
      <c r="J302">
        <v>59.94</v>
      </c>
      <c r="K302">
        <v>314</v>
      </c>
      <c r="T302">
        <v>2</v>
      </c>
      <c r="U302">
        <v>1</v>
      </c>
      <c r="V302" t="s">
        <v>269</v>
      </c>
      <c r="W302">
        <v>69</v>
      </c>
      <c r="X302">
        <v>5</v>
      </c>
      <c r="Y302">
        <v>4</v>
      </c>
      <c r="Z302" t="s">
        <v>737</v>
      </c>
      <c r="AA302" t="s">
        <v>738</v>
      </c>
      <c r="AB302" t="s">
        <v>272</v>
      </c>
      <c r="AC302" t="s">
        <v>273</v>
      </c>
      <c r="AD302" t="s">
        <v>274</v>
      </c>
      <c r="AE302" t="s">
        <v>240</v>
      </c>
      <c r="AG302" t="s">
        <v>739</v>
      </c>
      <c r="AH302">
        <v>0</v>
      </c>
      <c r="AI302">
        <v>0</v>
      </c>
      <c r="AJ302">
        <v>0</v>
      </c>
      <c r="AK302">
        <v>0</v>
      </c>
      <c r="AL302">
        <v>0</v>
      </c>
    </row>
    <row r="303" spans="1:38" x14ac:dyDescent="0.3">
      <c r="A303" t="s">
        <v>622</v>
      </c>
      <c r="B303">
        <v>15023</v>
      </c>
      <c r="C303">
        <v>2</v>
      </c>
      <c r="D303" t="s">
        <v>735</v>
      </c>
      <c r="E303" t="s">
        <v>736</v>
      </c>
      <c r="F303">
        <v>317</v>
      </c>
      <c r="G303">
        <v>21.57</v>
      </c>
      <c r="H303">
        <v>71.31</v>
      </c>
      <c r="I303">
        <v>17.91</v>
      </c>
      <c r="J303">
        <v>59.22</v>
      </c>
      <c r="K303">
        <v>3</v>
      </c>
      <c r="T303">
        <v>2</v>
      </c>
      <c r="U303">
        <v>1</v>
      </c>
      <c r="V303" t="s">
        <v>269</v>
      </c>
      <c r="W303">
        <v>71</v>
      </c>
      <c r="X303">
        <v>5</v>
      </c>
      <c r="Y303">
        <v>4</v>
      </c>
      <c r="Z303" t="s">
        <v>737</v>
      </c>
      <c r="AA303" t="s">
        <v>738</v>
      </c>
      <c r="AB303" t="s">
        <v>272</v>
      </c>
      <c r="AC303" t="s">
        <v>273</v>
      </c>
      <c r="AD303" t="s">
        <v>274</v>
      </c>
      <c r="AE303" t="s">
        <v>240</v>
      </c>
      <c r="AG303" t="s">
        <v>739</v>
      </c>
      <c r="AH303">
        <v>0</v>
      </c>
      <c r="AI303">
        <v>0</v>
      </c>
      <c r="AJ303">
        <v>0</v>
      </c>
      <c r="AK303">
        <v>0</v>
      </c>
      <c r="AL303">
        <v>0</v>
      </c>
    </row>
    <row r="304" spans="1:38" x14ac:dyDescent="0.3">
      <c r="A304" t="s">
        <v>622</v>
      </c>
      <c r="B304">
        <v>5505</v>
      </c>
      <c r="C304">
        <v>1</v>
      </c>
      <c r="D304" t="s">
        <v>740</v>
      </c>
      <c r="E304" t="s">
        <v>741</v>
      </c>
      <c r="F304">
        <v>272</v>
      </c>
      <c r="G304">
        <v>32.01</v>
      </c>
      <c r="H304">
        <v>105.85</v>
      </c>
      <c r="I304">
        <v>25.7</v>
      </c>
      <c r="J304">
        <v>84.96</v>
      </c>
      <c r="K304">
        <v>134</v>
      </c>
      <c r="T304">
        <v>3</v>
      </c>
      <c r="U304">
        <v>2</v>
      </c>
      <c r="V304" t="s">
        <v>269</v>
      </c>
      <c r="W304">
        <v>105</v>
      </c>
      <c r="X304">
        <v>17</v>
      </c>
      <c r="Y304">
        <v>9</v>
      </c>
      <c r="Z304" t="s">
        <v>742</v>
      </c>
      <c r="AA304" t="s">
        <v>743</v>
      </c>
      <c r="AB304" t="s">
        <v>272</v>
      </c>
      <c r="AC304" t="s">
        <v>273</v>
      </c>
      <c r="AD304" t="s">
        <v>274</v>
      </c>
      <c r="AE304" t="s">
        <v>240</v>
      </c>
      <c r="AG304" t="s">
        <v>744</v>
      </c>
      <c r="AH304">
        <v>0</v>
      </c>
      <c r="AI304">
        <v>216</v>
      </c>
      <c r="AJ304">
        <v>32</v>
      </c>
      <c r="AK304">
        <v>376</v>
      </c>
      <c r="AL304">
        <v>1.38</v>
      </c>
    </row>
    <row r="305" spans="1:38" x14ac:dyDescent="0.3">
      <c r="A305" t="s">
        <v>622</v>
      </c>
      <c r="B305">
        <v>5505</v>
      </c>
      <c r="C305">
        <v>2</v>
      </c>
      <c r="D305" t="s">
        <v>740</v>
      </c>
      <c r="E305" t="s">
        <v>741</v>
      </c>
      <c r="F305">
        <v>272</v>
      </c>
      <c r="G305">
        <v>37.46</v>
      </c>
      <c r="H305">
        <v>123.86</v>
      </c>
      <c r="I305">
        <v>30.2</v>
      </c>
      <c r="J305">
        <v>99.84</v>
      </c>
      <c r="K305">
        <v>87</v>
      </c>
      <c r="T305">
        <v>4</v>
      </c>
      <c r="U305">
        <v>2</v>
      </c>
      <c r="V305" t="s">
        <v>269</v>
      </c>
      <c r="W305">
        <v>123</v>
      </c>
      <c r="X305">
        <v>17</v>
      </c>
      <c r="Y305">
        <v>9</v>
      </c>
      <c r="Z305" t="s">
        <v>742</v>
      </c>
      <c r="AA305" t="s">
        <v>743</v>
      </c>
      <c r="AB305" t="s">
        <v>272</v>
      </c>
      <c r="AC305" t="s">
        <v>273</v>
      </c>
      <c r="AD305" t="s">
        <v>274</v>
      </c>
      <c r="AE305" t="s">
        <v>240</v>
      </c>
      <c r="AG305" t="s">
        <v>744</v>
      </c>
      <c r="AH305">
        <v>0</v>
      </c>
      <c r="AI305">
        <v>216</v>
      </c>
      <c r="AJ305">
        <v>32</v>
      </c>
      <c r="AK305">
        <v>376</v>
      </c>
      <c r="AL305">
        <v>1.38</v>
      </c>
    </row>
    <row r="306" spans="1:38" x14ac:dyDescent="0.3">
      <c r="A306" t="s">
        <v>622</v>
      </c>
      <c r="B306">
        <v>5505</v>
      </c>
      <c r="C306">
        <v>3</v>
      </c>
      <c r="D306" t="s">
        <v>740</v>
      </c>
      <c r="E306" t="s">
        <v>741</v>
      </c>
      <c r="F306">
        <v>272</v>
      </c>
      <c r="G306">
        <v>49.1</v>
      </c>
      <c r="H306">
        <v>162.34</v>
      </c>
      <c r="I306">
        <v>40.82</v>
      </c>
      <c r="J306">
        <v>134.97</v>
      </c>
      <c r="K306">
        <v>51</v>
      </c>
      <c r="T306">
        <v>4</v>
      </c>
      <c r="U306">
        <v>2</v>
      </c>
      <c r="V306" t="s">
        <v>269</v>
      </c>
      <c r="W306">
        <v>162</v>
      </c>
      <c r="X306">
        <v>17</v>
      </c>
      <c r="Y306">
        <v>9</v>
      </c>
      <c r="Z306" t="s">
        <v>742</v>
      </c>
      <c r="AA306" t="s">
        <v>743</v>
      </c>
      <c r="AB306" t="s">
        <v>272</v>
      </c>
      <c r="AC306" t="s">
        <v>273</v>
      </c>
      <c r="AD306" t="s">
        <v>274</v>
      </c>
      <c r="AE306" t="s">
        <v>240</v>
      </c>
      <c r="AG306" t="s">
        <v>744</v>
      </c>
      <c r="AH306">
        <v>0</v>
      </c>
      <c r="AI306">
        <v>216</v>
      </c>
      <c r="AJ306">
        <v>32</v>
      </c>
      <c r="AK306">
        <v>376</v>
      </c>
      <c r="AL306">
        <v>1.38</v>
      </c>
    </row>
    <row r="307" spans="1:38" x14ac:dyDescent="0.3">
      <c r="A307" t="s">
        <v>622</v>
      </c>
      <c r="B307">
        <v>26323</v>
      </c>
      <c r="C307">
        <v>1</v>
      </c>
      <c r="D307" t="s">
        <v>745</v>
      </c>
      <c r="E307" t="s">
        <v>648</v>
      </c>
      <c r="F307">
        <v>900</v>
      </c>
      <c r="G307">
        <v>34.700000000000003</v>
      </c>
      <c r="H307">
        <v>114.73</v>
      </c>
      <c r="I307">
        <v>25.7</v>
      </c>
      <c r="J307">
        <v>84.97</v>
      </c>
      <c r="K307">
        <v>612</v>
      </c>
      <c r="T307">
        <v>3</v>
      </c>
      <c r="U307">
        <v>2</v>
      </c>
      <c r="V307" t="s">
        <v>269</v>
      </c>
      <c r="W307">
        <v>114</v>
      </c>
      <c r="X307">
        <v>14</v>
      </c>
      <c r="Y307">
        <v>12</v>
      </c>
      <c r="Z307" t="s">
        <v>746</v>
      </c>
      <c r="AA307" t="s">
        <v>747</v>
      </c>
      <c r="AB307" t="s">
        <v>272</v>
      </c>
      <c r="AC307" t="s">
        <v>273</v>
      </c>
      <c r="AD307" t="s">
        <v>274</v>
      </c>
      <c r="AE307" t="s">
        <v>240</v>
      </c>
      <c r="AG307" t="s">
        <v>748</v>
      </c>
      <c r="AH307">
        <v>0</v>
      </c>
      <c r="AI307">
        <v>217</v>
      </c>
      <c r="AJ307">
        <v>23</v>
      </c>
      <c r="AK307">
        <v>1203</v>
      </c>
      <c r="AL307">
        <v>1.34</v>
      </c>
    </row>
    <row r="308" spans="1:38" x14ac:dyDescent="0.3">
      <c r="A308" t="s">
        <v>622</v>
      </c>
      <c r="B308">
        <v>26323</v>
      </c>
      <c r="C308">
        <v>2</v>
      </c>
      <c r="D308" t="s">
        <v>745</v>
      </c>
      <c r="E308" t="s">
        <v>648</v>
      </c>
      <c r="F308">
        <v>900</v>
      </c>
      <c r="G308">
        <v>45.91</v>
      </c>
      <c r="H308">
        <v>151.78</v>
      </c>
      <c r="I308">
        <v>36.880000000000003</v>
      </c>
      <c r="J308">
        <v>121.95</v>
      </c>
      <c r="K308">
        <v>216</v>
      </c>
      <c r="T308">
        <v>4</v>
      </c>
      <c r="U308">
        <v>2</v>
      </c>
      <c r="V308" t="s">
        <v>269</v>
      </c>
      <c r="W308">
        <v>151</v>
      </c>
      <c r="X308">
        <v>14</v>
      </c>
      <c r="Y308">
        <v>12</v>
      </c>
      <c r="Z308" t="s">
        <v>746</v>
      </c>
      <c r="AA308" t="s">
        <v>747</v>
      </c>
      <c r="AB308" t="s">
        <v>272</v>
      </c>
      <c r="AC308" t="s">
        <v>273</v>
      </c>
      <c r="AD308" t="s">
        <v>274</v>
      </c>
      <c r="AE308" t="s">
        <v>240</v>
      </c>
      <c r="AG308" t="s">
        <v>748</v>
      </c>
      <c r="AH308">
        <v>0</v>
      </c>
      <c r="AI308">
        <v>217</v>
      </c>
      <c r="AJ308">
        <v>23</v>
      </c>
      <c r="AK308">
        <v>1203</v>
      </c>
      <c r="AL308">
        <v>1.34</v>
      </c>
    </row>
    <row r="309" spans="1:38" x14ac:dyDescent="0.3">
      <c r="A309" t="s">
        <v>622</v>
      </c>
      <c r="B309">
        <v>26323</v>
      </c>
      <c r="C309">
        <v>3</v>
      </c>
      <c r="D309" t="s">
        <v>745</v>
      </c>
      <c r="E309" t="s">
        <v>648</v>
      </c>
      <c r="F309">
        <v>900</v>
      </c>
      <c r="G309">
        <v>56.82</v>
      </c>
      <c r="H309">
        <v>187.85</v>
      </c>
      <c r="I309">
        <v>47.1</v>
      </c>
      <c r="J309">
        <v>155.72</v>
      </c>
      <c r="K309">
        <v>72</v>
      </c>
      <c r="T309">
        <v>4</v>
      </c>
      <c r="U309">
        <v>2</v>
      </c>
      <c r="V309" t="s">
        <v>269</v>
      </c>
      <c r="W309">
        <v>187</v>
      </c>
      <c r="X309">
        <v>14</v>
      </c>
      <c r="Y309">
        <v>12</v>
      </c>
      <c r="Z309" t="s">
        <v>746</v>
      </c>
      <c r="AA309" t="s">
        <v>747</v>
      </c>
      <c r="AB309" t="s">
        <v>272</v>
      </c>
      <c r="AC309" t="s">
        <v>273</v>
      </c>
      <c r="AD309" t="s">
        <v>274</v>
      </c>
      <c r="AE309" t="s">
        <v>240</v>
      </c>
      <c r="AG309" t="s">
        <v>748</v>
      </c>
      <c r="AH309">
        <v>0</v>
      </c>
      <c r="AI309">
        <v>217</v>
      </c>
      <c r="AJ309">
        <v>23</v>
      </c>
      <c r="AK309">
        <v>1203</v>
      </c>
      <c r="AL309">
        <v>1.34</v>
      </c>
    </row>
    <row r="310" spans="1:38" x14ac:dyDescent="0.3">
      <c r="A310" t="s">
        <v>622</v>
      </c>
      <c r="B310">
        <v>118894</v>
      </c>
      <c r="C310">
        <v>1</v>
      </c>
      <c r="D310" t="s">
        <v>749</v>
      </c>
      <c r="E310" t="s">
        <v>278</v>
      </c>
      <c r="F310">
        <v>80</v>
      </c>
      <c r="G310">
        <v>24.42</v>
      </c>
      <c r="H310">
        <v>80.739999999999995</v>
      </c>
      <c r="I310">
        <v>18.14</v>
      </c>
      <c r="J310">
        <v>59.97</v>
      </c>
      <c r="K310">
        <v>80</v>
      </c>
      <c r="T310">
        <v>3</v>
      </c>
      <c r="U310">
        <v>2</v>
      </c>
      <c r="V310" t="s">
        <v>269</v>
      </c>
      <c r="W310">
        <v>80</v>
      </c>
      <c r="X310">
        <v>9</v>
      </c>
      <c r="Y310">
        <v>9</v>
      </c>
      <c r="Z310" t="s">
        <v>750</v>
      </c>
      <c r="AA310" t="s">
        <v>751</v>
      </c>
      <c r="AB310" t="s">
        <v>272</v>
      </c>
      <c r="AC310" t="s">
        <v>273</v>
      </c>
      <c r="AD310" t="s">
        <v>274</v>
      </c>
      <c r="AE310" t="s">
        <v>240</v>
      </c>
      <c r="AG310" t="s">
        <v>752</v>
      </c>
      <c r="AH310">
        <v>0</v>
      </c>
      <c r="AI310">
        <v>190</v>
      </c>
      <c r="AJ310">
        <v>27</v>
      </c>
      <c r="AK310">
        <v>59</v>
      </c>
      <c r="AL310">
        <v>0.74</v>
      </c>
    </row>
    <row r="311" spans="1:38" x14ac:dyDescent="0.3">
      <c r="A311" t="s">
        <v>622</v>
      </c>
      <c r="B311">
        <v>101017</v>
      </c>
      <c r="C311">
        <v>1</v>
      </c>
      <c r="D311" t="s">
        <v>753</v>
      </c>
      <c r="E311" t="s">
        <v>754</v>
      </c>
      <c r="F311">
        <v>117</v>
      </c>
      <c r="G311">
        <v>28.48</v>
      </c>
      <c r="H311">
        <v>94.15</v>
      </c>
      <c r="I311">
        <v>23.69</v>
      </c>
      <c r="J311">
        <v>78.319999999999993</v>
      </c>
      <c r="K311">
        <v>22</v>
      </c>
      <c r="T311">
        <v>3</v>
      </c>
      <c r="U311">
        <v>1</v>
      </c>
      <c r="V311" t="s">
        <v>269</v>
      </c>
      <c r="W311">
        <v>94</v>
      </c>
      <c r="X311">
        <v>15</v>
      </c>
      <c r="Y311">
        <v>5</v>
      </c>
      <c r="Z311" t="s">
        <v>755</v>
      </c>
      <c r="AA311" t="s">
        <v>756</v>
      </c>
      <c r="AB311" t="s">
        <v>272</v>
      </c>
      <c r="AC311" t="s">
        <v>273</v>
      </c>
      <c r="AD311" t="s">
        <v>274</v>
      </c>
      <c r="AE311" t="s">
        <v>240</v>
      </c>
      <c r="AG311" t="s">
        <v>757</v>
      </c>
      <c r="AH311">
        <v>0</v>
      </c>
      <c r="AI311">
        <v>0</v>
      </c>
      <c r="AJ311">
        <v>0</v>
      </c>
      <c r="AK311">
        <v>0</v>
      </c>
      <c r="AL311">
        <v>0</v>
      </c>
    </row>
    <row r="312" spans="1:38" x14ac:dyDescent="0.3">
      <c r="A312" t="s">
        <v>622</v>
      </c>
      <c r="B312">
        <v>101017</v>
      </c>
      <c r="C312">
        <v>2</v>
      </c>
      <c r="D312" t="s">
        <v>753</v>
      </c>
      <c r="E312" t="s">
        <v>754</v>
      </c>
      <c r="F312">
        <v>117</v>
      </c>
      <c r="G312">
        <v>30.79</v>
      </c>
      <c r="H312">
        <v>101.81</v>
      </c>
      <c r="I312">
        <v>25.61</v>
      </c>
      <c r="J312">
        <v>84.68</v>
      </c>
      <c r="K312">
        <v>95</v>
      </c>
      <c r="T312">
        <v>3</v>
      </c>
      <c r="U312">
        <v>2</v>
      </c>
      <c r="V312" t="s">
        <v>269</v>
      </c>
      <c r="W312">
        <v>101</v>
      </c>
      <c r="X312">
        <v>15</v>
      </c>
      <c r="Y312">
        <v>5</v>
      </c>
      <c r="Z312" t="s">
        <v>755</v>
      </c>
      <c r="AA312" t="s">
        <v>756</v>
      </c>
      <c r="AB312" t="s">
        <v>272</v>
      </c>
      <c r="AC312" t="s">
        <v>273</v>
      </c>
      <c r="AD312" t="s">
        <v>274</v>
      </c>
      <c r="AE312" t="s">
        <v>240</v>
      </c>
      <c r="AG312" t="s">
        <v>757</v>
      </c>
      <c r="AH312">
        <v>0</v>
      </c>
      <c r="AI312">
        <v>0</v>
      </c>
      <c r="AJ312">
        <v>0</v>
      </c>
      <c r="AK312">
        <v>0</v>
      </c>
      <c r="AL312">
        <v>0</v>
      </c>
    </row>
    <row r="313" spans="1:38" x14ac:dyDescent="0.3">
      <c r="A313" t="s">
        <v>622</v>
      </c>
      <c r="B313">
        <v>121502</v>
      </c>
      <c r="C313">
        <v>1</v>
      </c>
      <c r="D313" t="s">
        <v>758</v>
      </c>
      <c r="E313" t="s">
        <v>759</v>
      </c>
      <c r="F313">
        <v>44</v>
      </c>
      <c r="G313">
        <v>15.47</v>
      </c>
      <c r="H313">
        <v>51.16</v>
      </c>
      <c r="I313">
        <v>11.05</v>
      </c>
      <c r="J313">
        <v>36.56</v>
      </c>
      <c r="K313">
        <v>32</v>
      </c>
      <c r="T313">
        <v>2</v>
      </c>
      <c r="U313">
        <v>1</v>
      </c>
      <c r="V313" t="s">
        <v>279</v>
      </c>
      <c r="W313">
        <v>51</v>
      </c>
      <c r="X313">
        <v>7</v>
      </c>
      <c r="Y313">
        <v>4</v>
      </c>
      <c r="Z313" t="s">
        <v>760</v>
      </c>
      <c r="AA313" t="s">
        <v>761</v>
      </c>
      <c r="AB313" t="s">
        <v>272</v>
      </c>
      <c r="AC313" t="s">
        <v>273</v>
      </c>
      <c r="AD313" t="s">
        <v>274</v>
      </c>
      <c r="AE313" t="s">
        <v>240</v>
      </c>
      <c r="AG313" t="s">
        <v>762</v>
      </c>
      <c r="AH313">
        <v>0</v>
      </c>
      <c r="AI313">
        <v>199</v>
      </c>
      <c r="AJ313">
        <v>37</v>
      </c>
      <c r="AK313">
        <v>29</v>
      </c>
      <c r="AL313">
        <v>0.66</v>
      </c>
    </row>
    <row r="314" spans="1:38" x14ac:dyDescent="0.3">
      <c r="A314" t="s">
        <v>622</v>
      </c>
      <c r="B314">
        <v>121502</v>
      </c>
      <c r="C314">
        <v>2</v>
      </c>
      <c r="D314" t="s">
        <v>758</v>
      </c>
      <c r="E314" t="s">
        <v>759</v>
      </c>
      <c r="F314">
        <v>44</v>
      </c>
      <c r="G314">
        <v>16.899999999999999</v>
      </c>
      <c r="H314">
        <v>55.87</v>
      </c>
      <c r="I314">
        <v>12.07</v>
      </c>
      <c r="J314">
        <v>39.92</v>
      </c>
      <c r="K314">
        <v>12</v>
      </c>
      <c r="T314">
        <v>2</v>
      </c>
      <c r="U314">
        <v>1</v>
      </c>
      <c r="V314" t="s">
        <v>279</v>
      </c>
      <c r="W314">
        <v>55</v>
      </c>
      <c r="X314">
        <v>7</v>
      </c>
      <c r="Y314">
        <v>4</v>
      </c>
      <c r="Z314" t="s">
        <v>760</v>
      </c>
      <c r="AA314" t="s">
        <v>761</v>
      </c>
      <c r="AB314" t="s">
        <v>272</v>
      </c>
      <c r="AC314" t="s">
        <v>273</v>
      </c>
      <c r="AD314" t="s">
        <v>274</v>
      </c>
      <c r="AE314" t="s">
        <v>240</v>
      </c>
      <c r="AG314" t="s">
        <v>762</v>
      </c>
      <c r="AH314">
        <v>0</v>
      </c>
      <c r="AI314">
        <v>199</v>
      </c>
      <c r="AJ314">
        <v>37</v>
      </c>
      <c r="AK314">
        <v>29</v>
      </c>
      <c r="AL314">
        <v>0.66</v>
      </c>
    </row>
    <row r="315" spans="1:38" x14ac:dyDescent="0.3">
      <c r="A315" t="s">
        <v>622</v>
      </c>
      <c r="B315">
        <v>5469</v>
      </c>
      <c r="C315">
        <v>1</v>
      </c>
      <c r="D315" t="s">
        <v>763</v>
      </c>
      <c r="E315" t="s">
        <v>764</v>
      </c>
      <c r="F315">
        <v>174</v>
      </c>
      <c r="G315">
        <v>30.84</v>
      </c>
      <c r="H315">
        <v>101.97</v>
      </c>
      <c r="I315">
        <v>25.66</v>
      </c>
      <c r="J315">
        <v>84.85</v>
      </c>
      <c r="K315">
        <v>143</v>
      </c>
      <c r="T315">
        <v>3</v>
      </c>
      <c r="U315">
        <v>2</v>
      </c>
      <c r="V315" t="s">
        <v>269</v>
      </c>
      <c r="W315" t="s">
        <v>765</v>
      </c>
      <c r="X315">
        <v>15</v>
      </c>
      <c r="Y315">
        <v>3</v>
      </c>
      <c r="Z315" t="s">
        <v>766</v>
      </c>
      <c r="AA315" t="s">
        <v>767</v>
      </c>
      <c r="AB315" t="s">
        <v>272</v>
      </c>
      <c r="AC315" t="s">
        <v>273</v>
      </c>
      <c r="AD315" t="s">
        <v>274</v>
      </c>
      <c r="AE315" t="s">
        <v>240</v>
      </c>
      <c r="AG315" t="s">
        <v>768</v>
      </c>
      <c r="AH315">
        <v>0</v>
      </c>
      <c r="AI315">
        <v>0</v>
      </c>
      <c r="AJ315">
        <v>0</v>
      </c>
      <c r="AK315">
        <v>0</v>
      </c>
      <c r="AL315">
        <v>0</v>
      </c>
    </row>
    <row r="316" spans="1:38" x14ac:dyDescent="0.3">
      <c r="A316" t="s">
        <v>622</v>
      </c>
      <c r="B316">
        <v>5469</v>
      </c>
      <c r="C316">
        <v>2</v>
      </c>
      <c r="D316" t="s">
        <v>763</v>
      </c>
      <c r="E316" t="s">
        <v>764</v>
      </c>
      <c r="F316">
        <v>174</v>
      </c>
      <c r="G316">
        <v>30.59</v>
      </c>
      <c r="H316">
        <v>101.15</v>
      </c>
      <c r="I316">
        <v>25.6</v>
      </c>
      <c r="J316">
        <v>84.65</v>
      </c>
      <c r="K316">
        <v>31</v>
      </c>
      <c r="T316">
        <v>3</v>
      </c>
      <c r="U316">
        <v>2</v>
      </c>
      <c r="V316" t="s">
        <v>269</v>
      </c>
      <c r="W316" t="s">
        <v>142</v>
      </c>
      <c r="X316">
        <v>15</v>
      </c>
      <c r="Y316">
        <v>3</v>
      </c>
      <c r="Z316" t="s">
        <v>766</v>
      </c>
      <c r="AA316" t="s">
        <v>767</v>
      </c>
      <c r="AB316" t="s">
        <v>272</v>
      </c>
      <c r="AC316" t="s">
        <v>273</v>
      </c>
      <c r="AD316" t="s">
        <v>274</v>
      </c>
      <c r="AE316" t="s">
        <v>240</v>
      </c>
      <c r="AG316" t="s">
        <v>768</v>
      </c>
      <c r="AH316">
        <v>0</v>
      </c>
      <c r="AI316">
        <v>0</v>
      </c>
      <c r="AJ316">
        <v>0</v>
      </c>
      <c r="AK316">
        <v>0</v>
      </c>
      <c r="AL316">
        <v>0</v>
      </c>
    </row>
    <row r="317" spans="1:38" x14ac:dyDescent="0.3">
      <c r="A317" t="s">
        <v>622</v>
      </c>
      <c r="B317">
        <v>15021</v>
      </c>
      <c r="C317">
        <v>1</v>
      </c>
      <c r="D317" t="s">
        <v>769</v>
      </c>
      <c r="E317" t="s">
        <v>770</v>
      </c>
      <c r="F317">
        <v>261</v>
      </c>
      <c r="G317">
        <v>22.9</v>
      </c>
      <c r="H317">
        <v>75.709999999999994</v>
      </c>
      <c r="I317">
        <v>16.600000000000001</v>
      </c>
      <c r="J317">
        <v>54.9</v>
      </c>
      <c r="K317">
        <v>30</v>
      </c>
      <c r="T317">
        <v>3</v>
      </c>
      <c r="U317">
        <v>1</v>
      </c>
      <c r="V317" t="s">
        <v>279</v>
      </c>
      <c r="W317">
        <v>75</v>
      </c>
      <c r="X317">
        <v>15</v>
      </c>
      <c r="Y317">
        <v>5</v>
      </c>
      <c r="Z317" t="s">
        <v>771</v>
      </c>
      <c r="AA317" t="s">
        <v>772</v>
      </c>
      <c r="AB317" t="s">
        <v>272</v>
      </c>
      <c r="AC317" t="s">
        <v>273</v>
      </c>
      <c r="AD317" t="s">
        <v>274</v>
      </c>
      <c r="AE317" t="s">
        <v>240</v>
      </c>
      <c r="AG317" t="s">
        <v>773</v>
      </c>
      <c r="AH317">
        <v>0</v>
      </c>
      <c r="AI317">
        <v>0</v>
      </c>
      <c r="AJ317">
        <v>0</v>
      </c>
      <c r="AK317">
        <v>0</v>
      </c>
      <c r="AL317">
        <v>0</v>
      </c>
    </row>
    <row r="318" spans="1:38" x14ac:dyDescent="0.3">
      <c r="A318" t="s">
        <v>622</v>
      </c>
      <c r="B318">
        <v>15021</v>
      </c>
      <c r="C318">
        <v>2</v>
      </c>
      <c r="D318" t="s">
        <v>769</v>
      </c>
      <c r="E318" t="s">
        <v>770</v>
      </c>
      <c r="F318">
        <v>261</v>
      </c>
      <c r="G318">
        <v>24.9</v>
      </c>
      <c r="H318">
        <v>82.33</v>
      </c>
      <c r="I318">
        <v>18.05</v>
      </c>
      <c r="J318">
        <v>59.7</v>
      </c>
      <c r="K318">
        <v>231</v>
      </c>
      <c r="T318">
        <v>3</v>
      </c>
      <c r="U318">
        <v>1</v>
      </c>
      <c r="V318" t="s">
        <v>279</v>
      </c>
      <c r="W318">
        <v>82</v>
      </c>
      <c r="X318">
        <v>15</v>
      </c>
      <c r="Y318">
        <v>5</v>
      </c>
      <c r="Z318" t="s">
        <v>771</v>
      </c>
      <c r="AA318" t="s">
        <v>772</v>
      </c>
      <c r="AB318" t="s">
        <v>272</v>
      </c>
      <c r="AC318" t="s">
        <v>273</v>
      </c>
      <c r="AD318" t="s">
        <v>274</v>
      </c>
      <c r="AE318" t="s">
        <v>240</v>
      </c>
      <c r="AG318" t="s">
        <v>773</v>
      </c>
      <c r="AH318">
        <v>0</v>
      </c>
      <c r="AI318">
        <v>0</v>
      </c>
      <c r="AJ318">
        <v>0</v>
      </c>
      <c r="AK318">
        <v>0</v>
      </c>
      <c r="AL318">
        <v>0</v>
      </c>
    </row>
    <row r="319" spans="1:38" x14ac:dyDescent="0.3">
      <c r="A319" t="s">
        <v>622</v>
      </c>
      <c r="B319">
        <v>25377</v>
      </c>
      <c r="C319">
        <v>1</v>
      </c>
      <c r="D319" t="s">
        <v>774</v>
      </c>
      <c r="E319" t="s">
        <v>775</v>
      </c>
      <c r="F319">
        <v>468</v>
      </c>
      <c r="G319">
        <v>32.020000000000003</v>
      </c>
      <c r="H319">
        <v>105.86</v>
      </c>
      <c r="I319">
        <v>25.65</v>
      </c>
      <c r="J319">
        <v>84.8</v>
      </c>
      <c r="K319">
        <v>118</v>
      </c>
      <c r="T319">
        <v>3</v>
      </c>
      <c r="U319">
        <v>2</v>
      </c>
      <c r="V319" t="s">
        <v>269</v>
      </c>
      <c r="W319">
        <v>105</v>
      </c>
      <c r="X319">
        <v>15</v>
      </c>
      <c r="Y319">
        <v>13</v>
      </c>
      <c r="Z319" t="s">
        <v>776</v>
      </c>
      <c r="AA319" t="s">
        <v>777</v>
      </c>
      <c r="AB319" t="s">
        <v>272</v>
      </c>
      <c r="AC319" t="s">
        <v>273</v>
      </c>
      <c r="AD319" t="s">
        <v>274</v>
      </c>
      <c r="AE319" t="s">
        <v>240</v>
      </c>
      <c r="AG319" t="s">
        <v>778</v>
      </c>
      <c r="AH319">
        <v>0</v>
      </c>
      <c r="AI319">
        <v>229</v>
      </c>
      <c r="AJ319">
        <v>20</v>
      </c>
      <c r="AK319">
        <v>902</v>
      </c>
      <c r="AL319">
        <v>1.93</v>
      </c>
    </row>
    <row r="320" spans="1:38" x14ac:dyDescent="0.3">
      <c r="A320" t="s">
        <v>622</v>
      </c>
      <c r="B320">
        <v>25377</v>
      </c>
      <c r="C320">
        <v>2</v>
      </c>
      <c r="D320" t="s">
        <v>774</v>
      </c>
      <c r="E320" t="s">
        <v>775</v>
      </c>
      <c r="F320">
        <v>468</v>
      </c>
      <c r="G320">
        <v>38.01</v>
      </c>
      <c r="H320">
        <v>125.68</v>
      </c>
      <c r="I320">
        <v>30.25</v>
      </c>
      <c r="J320">
        <v>100.03</v>
      </c>
      <c r="K320">
        <v>60</v>
      </c>
      <c r="T320">
        <v>3</v>
      </c>
      <c r="U320">
        <v>2</v>
      </c>
      <c r="V320" t="s">
        <v>269</v>
      </c>
      <c r="W320" t="s">
        <v>138</v>
      </c>
      <c r="X320">
        <v>15</v>
      </c>
      <c r="Y320">
        <v>13</v>
      </c>
      <c r="Z320" t="s">
        <v>776</v>
      </c>
      <c r="AA320" t="s">
        <v>777</v>
      </c>
      <c r="AB320" t="s">
        <v>272</v>
      </c>
      <c r="AC320" t="s">
        <v>273</v>
      </c>
      <c r="AD320" t="s">
        <v>274</v>
      </c>
      <c r="AE320" t="s">
        <v>240</v>
      </c>
      <c r="AG320" t="s">
        <v>778</v>
      </c>
      <c r="AH320">
        <v>0</v>
      </c>
      <c r="AI320">
        <v>229</v>
      </c>
      <c r="AJ320">
        <v>20</v>
      </c>
      <c r="AK320">
        <v>902</v>
      </c>
      <c r="AL320">
        <v>1.93</v>
      </c>
    </row>
    <row r="321" spans="1:38" x14ac:dyDescent="0.3">
      <c r="A321" t="s">
        <v>622</v>
      </c>
      <c r="B321">
        <v>25377</v>
      </c>
      <c r="C321">
        <v>3</v>
      </c>
      <c r="D321" t="s">
        <v>774</v>
      </c>
      <c r="E321" t="s">
        <v>775</v>
      </c>
      <c r="F321">
        <v>468</v>
      </c>
      <c r="G321">
        <v>38.520000000000003</v>
      </c>
      <c r="H321">
        <v>127.36</v>
      </c>
      <c r="I321">
        <v>31.22</v>
      </c>
      <c r="J321">
        <v>103.23</v>
      </c>
      <c r="K321">
        <v>180</v>
      </c>
      <c r="T321">
        <v>4</v>
      </c>
      <c r="U321">
        <v>2</v>
      </c>
      <c r="V321" t="s">
        <v>269</v>
      </c>
      <c r="W321" t="s">
        <v>139</v>
      </c>
      <c r="X321">
        <v>15</v>
      </c>
      <c r="Y321">
        <v>13</v>
      </c>
      <c r="Z321" t="s">
        <v>776</v>
      </c>
      <c r="AA321" t="s">
        <v>777</v>
      </c>
      <c r="AB321" t="s">
        <v>272</v>
      </c>
      <c r="AC321" t="s">
        <v>273</v>
      </c>
      <c r="AD321" t="s">
        <v>274</v>
      </c>
      <c r="AE321" t="s">
        <v>240</v>
      </c>
      <c r="AG321" t="s">
        <v>778</v>
      </c>
      <c r="AH321">
        <v>0</v>
      </c>
      <c r="AI321">
        <v>229</v>
      </c>
      <c r="AJ321">
        <v>20</v>
      </c>
      <c r="AK321">
        <v>902</v>
      </c>
      <c r="AL321">
        <v>1.93</v>
      </c>
    </row>
    <row r="322" spans="1:38" x14ac:dyDescent="0.3">
      <c r="A322" t="s">
        <v>622</v>
      </c>
      <c r="B322">
        <v>25377</v>
      </c>
      <c r="C322">
        <v>4</v>
      </c>
      <c r="D322" t="s">
        <v>774</v>
      </c>
      <c r="E322" t="s">
        <v>775</v>
      </c>
      <c r="F322">
        <v>468</v>
      </c>
      <c r="G322">
        <v>45.18</v>
      </c>
      <c r="H322">
        <v>149.36000000000001</v>
      </c>
      <c r="I322">
        <v>35.43</v>
      </c>
      <c r="J322">
        <v>117.14</v>
      </c>
      <c r="K322">
        <v>110</v>
      </c>
      <c r="T322">
        <v>4</v>
      </c>
      <c r="U322">
        <v>2</v>
      </c>
      <c r="V322" t="s">
        <v>269</v>
      </c>
      <c r="W322">
        <v>149</v>
      </c>
      <c r="X322">
        <v>15</v>
      </c>
      <c r="Y322">
        <v>13</v>
      </c>
      <c r="Z322" t="s">
        <v>776</v>
      </c>
      <c r="AA322" t="s">
        <v>777</v>
      </c>
      <c r="AB322" t="s">
        <v>272</v>
      </c>
      <c r="AC322" t="s">
        <v>273</v>
      </c>
      <c r="AD322" t="s">
        <v>274</v>
      </c>
      <c r="AE322" t="s">
        <v>240</v>
      </c>
      <c r="AG322" t="s">
        <v>778</v>
      </c>
      <c r="AH322">
        <v>0</v>
      </c>
      <c r="AI322">
        <v>229</v>
      </c>
      <c r="AJ322">
        <v>20</v>
      </c>
      <c r="AK322">
        <v>902</v>
      </c>
      <c r="AL322">
        <v>1.93</v>
      </c>
    </row>
    <row r="323" spans="1:38" x14ac:dyDescent="0.3">
      <c r="A323" t="s">
        <v>622</v>
      </c>
      <c r="B323">
        <v>109024</v>
      </c>
      <c r="C323">
        <v>1</v>
      </c>
      <c r="D323" t="s">
        <v>779</v>
      </c>
      <c r="E323" t="s">
        <v>358</v>
      </c>
      <c r="F323">
        <v>480</v>
      </c>
      <c r="G323">
        <v>33.229999999999997</v>
      </c>
      <c r="H323">
        <v>109.88</v>
      </c>
      <c r="I323">
        <v>25.68</v>
      </c>
      <c r="J323">
        <v>84.91</v>
      </c>
      <c r="K323">
        <v>129</v>
      </c>
      <c r="T323">
        <v>3</v>
      </c>
      <c r="U323">
        <v>2</v>
      </c>
      <c r="V323" t="s">
        <v>269</v>
      </c>
      <c r="W323" t="s">
        <v>70</v>
      </c>
      <c r="X323">
        <v>15</v>
      </c>
      <c r="Y323">
        <v>8</v>
      </c>
      <c r="Z323" t="s">
        <v>780</v>
      </c>
      <c r="AA323" t="s">
        <v>781</v>
      </c>
      <c r="AB323" t="s">
        <v>272</v>
      </c>
      <c r="AC323" t="s">
        <v>273</v>
      </c>
      <c r="AD323" t="s">
        <v>274</v>
      </c>
      <c r="AE323" t="s">
        <v>240</v>
      </c>
      <c r="AG323" t="s">
        <v>782</v>
      </c>
      <c r="AH323">
        <v>0</v>
      </c>
      <c r="AI323">
        <v>228</v>
      </c>
      <c r="AJ323">
        <v>29</v>
      </c>
      <c r="AK323">
        <v>605</v>
      </c>
      <c r="AL323">
        <v>1.26</v>
      </c>
    </row>
    <row r="324" spans="1:38" x14ac:dyDescent="0.3">
      <c r="A324" t="s">
        <v>622</v>
      </c>
      <c r="B324">
        <v>109024</v>
      </c>
      <c r="C324">
        <v>2</v>
      </c>
      <c r="D324" t="s">
        <v>779</v>
      </c>
      <c r="E324" t="s">
        <v>358</v>
      </c>
      <c r="F324">
        <v>480</v>
      </c>
      <c r="G324">
        <v>33.25</v>
      </c>
      <c r="H324">
        <v>109.92</v>
      </c>
      <c r="I324">
        <v>25.68</v>
      </c>
      <c r="J324">
        <v>84.9</v>
      </c>
      <c r="K324">
        <v>129</v>
      </c>
      <c r="T324">
        <v>3</v>
      </c>
      <c r="U324">
        <v>2</v>
      </c>
      <c r="V324" t="s">
        <v>269</v>
      </c>
      <c r="W324" t="s">
        <v>140</v>
      </c>
      <c r="X324">
        <v>15</v>
      </c>
      <c r="Y324">
        <v>8</v>
      </c>
      <c r="Z324" t="s">
        <v>780</v>
      </c>
      <c r="AA324" t="s">
        <v>781</v>
      </c>
      <c r="AB324" t="s">
        <v>272</v>
      </c>
      <c r="AC324" t="s">
        <v>273</v>
      </c>
      <c r="AD324" t="s">
        <v>274</v>
      </c>
      <c r="AE324" t="s">
        <v>240</v>
      </c>
      <c r="AG324" t="s">
        <v>782</v>
      </c>
      <c r="AH324">
        <v>0</v>
      </c>
      <c r="AI324">
        <v>228</v>
      </c>
      <c r="AJ324">
        <v>29</v>
      </c>
      <c r="AK324">
        <v>605</v>
      </c>
      <c r="AL324">
        <v>1.26</v>
      </c>
    </row>
    <row r="325" spans="1:38" x14ac:dyDescent="0.3">
      <c r="A325" t="s">
        <v>622</v>
      </c>
      <c r="B325">
        <v>109024</v>
      </c>
      <c r="C325">
        <v>3</v>
      </c>
      <c r="D325" t="s">
        <v>779</v>
      </c>
      <c r="E325" t="s">
        <v>358</v>
      </c>
      <c r="F325">
        <v>480</v>
      </c>
      <c r="G325">
        <v>33.36</v>
      </c>
      <c r="H325">
        <v>110.3</v>
      </c>
      <c r="I325">
        <v>25.68</v>
      </c>
      <c r="J325">
        <v>84.91</v>
      </c>
      <c r="K325">
        <v>222</v>
      </c>
      <c r="T325">
        <v>3</v>
      </c>
      <c r="U325">
        <v>2</v>
      </c>
      <c r="V325" t="s">
        <v>269</v>
      </c>
      <c r="W325" t="s">
        <v>132</v>
      </c>
      <c r="X325">
        <v>15</v>
      </c>
      <c r="Y325">
        <v>8</v>
      </c>
      <c r="Z325" t="s">
        <v>780</v>
      </c>
      <c r="AA325" t="s">
        <v>781</v>
      </c>
      <c r="AB325" t="s">
        <v>272</v>
      </c>
      <c r="AC325" t="s">
        <v>273</v>
      </c>
      <c r="AD325" t="s">
        <v>274</v>
      </c>
      <c r="AE325" t="s">
        <v>240</v>
      </c>
      <c r="AG325" t="s">
        <v>782</v>
      </c>
      <c r="AH325">
        <v>0</v>
      </c>
      <c r="AI325">
        <v>228</v>
      </c>
      <c r="AJ325">
        <v>29</v>
      </c>
      <c r="AK325">
        <v>605</v>
      </c>
      <c r="AL325">
        <v>1.26</v>
      </c>
    </row>
    <row r="326" spans="1:38" x14ac:dyDescent="0.3">
      <c r="A326" t="s">
        <v>622</v>
      </c>
      <c r="B326">
        <v>5512</v>
      </c>
      <c r="C326">
        <v>1</v>
      </c>
      <c r="D326" t="s">
        <v>783</v>
      </c>
      <c r="E326" t="s">
        <v>784</v>
      </c>
      <c r="F326">
        <v>585</v>
      </c>
      <c r="G326">
        <v>23.98</v>
      </c>
      <c r="H326">
        <v>79.290000000000006</v>
      </c>
      <c r="I326">
        <v>18.14</v>
      </c>
      <c r="J326">
        <v>59.97</v>
      </c>
      <c r="K326">
        <v>262</v>
      </c>
      <c r="T326">
        <v>3</v>
      </c>
      <c r="U326">
        <v>1</v>
      </c>
      <c r="V326" t="s">
        <v>269</v>
      </c>
      <c r="W326">
        <v>79</v>
      </c>
      <c r="X326">
        <v>19</v>
      </c>
      <c r="Y326">
        <v>15</v>
      </c>
      <c r="Z326" t="s">
        <v>785</v>
      </c>
      <c r="AA326" t="s">
        <v>786</v>
      </c>
      <c r="AB326" t="s">
        <v>272</v>
      </c>
      <c r="AC326" t="s">
        <v>273</v>
      </c>
      <c r="AD326" t="s">
        <v>274</v>
      </c>
      <c r="AE326" t="s">
        <v>240</v>
      </c>
      <c r="AG326" t="s">
        <v>787</v>
      </c>
      <c r="AH326">
        <v>0</v>
      </c>
      <c r="AI326">
        <v>249</v>
      </c>
      <c r="AJ326">
        <v>20</v>
      </c>
      <c r="AK326">
        <v>460</v>
      </c>
      <c r="AL326">
        <v>0.79</v>
      </c>
    </row>
    <row r="327" spans="1:38" x14ac:dyDescent="0.3">
      <c r="A327" t="s">
        <v>622</v>
      </c>
      <c r="B327">
        <v>5512</v>
      </c>
      <c r="C327">
        <v>2</v>
      </c>
      <c r="D327" t="s">
        <v>783</v>
      </c>
      <c r="E327" t="s">
        <v>784</v>
      </c>
      <c r="F327">
        <v>585</v>
      </c>
      <c r="G327">
        <v>29.04</v>
      </c>
      <c r="H327">
        <v>96</v>
      </c>
      <c r="I327">
        <v>22.72</v>
      </c>
      <c r="J327">
        <v>75.12</v>
      </c>
      <c r="K327">
        <v>108</v>
      </c>
      <c r="T327">
        <v>3</v>
      </c>
      <c r="U327">
        <v>1</v>
      </c>
      <c r="V327" t="s">
        <v>269</v>
      </c>
      <c r="W327">
        <v>96</v>
      </c>
      <c r="X327">
        <v>19</v>
      </c>
      <c r="Y327">
        <v>15</v>
      </c>
      <c r="Z327" t="s">
        <v>785</v>
      </c>
      <c r="AA327" t="s">
        <v>786</v>
      </c>
      <c r="AB327" t="s">
        <v>272</v>
      </c>
      <c r="AC327" t="s">
        <v>273</v>
      </c>
      <c r="AD327" t="s">
        <v>274</v>
      </c>
      <c r="AE327" t="s">
        <v>240</v>
      </c>
      <c r="AG327" t="s">
        <v>787</v>
      </c>
      <c r="AH327">
        <v>0</v>
      </c>
      <c r="AI327">
        <v>249</v>
      </c>
      <c r="AJ327">
        <v>20</v>
      </c>
      <c r="AK327">
        <v>460</v>
      </c>
      <c r="AL327">
        <v>0.79</v>
      </c>
    </row>
    <row r="328" spans="1:38" x14ac:dyDescent="0.3">
      <c r="A328" t="s">
        <v>622</v>
      </c>
      <c r="B328">
        <v>5512</v>
      </c>
      <c r="C328">
        <v>3</v>
      </c>
      <c r="D328" t="s">
        <v>783</v>
      </c>
      <c r="E328" t="s">
        <v>784</v>
      </c>
      <c r="F328">
        <v>585</v>
      </c>
      <c r="G328">
        <v>32.26</v>
      </c>
      <c r="H328">
        <v>106.66</v>
      </c>
      <c r="I328">
        <v>25.7</v>
      </c>
      <c r="J328">
        <v>84.96</v>
      </c>
      <c r="K328">
        <v>215</v>
      </c>
      <c r="T328">
        <v>3</v>
      </c>
      <c r="U328">
        <v>2</v>
      </c>
      <c r="V328" t="s">
        <v>269</v>
      </c>
      <c r="W328">
        <v>106</v>
      </c>
      <c r="X328">
        <v>19</v>
      </c>
      <c r="Y328">
        <v>15</v>
      </c>
      <c r="Z328" t="s">
        <v>785</v>
      </c>
      <c r="AA328" t="s">
        <v>786</v>
      </c>
      <c r="AB328" t="s">
        <v>272</v>
      </c>
      <c r="AC328" t="s">
        <v>273</v>
      </c>
      <c r="AD328" t="s">
        <v>274</v>
      </c>
      <c r="AE328" t="s">
        <v>240</v>
      </c>
      <c r="AG328" t="s">
        <v>787</v>
      </c>
      <c r="AH328">
        <v>0</v>
      </c>
      <c r="AI328">
        <v>249</v>
      </c>
      <c r="AJ328">
        <v>20</v>
      </c>
      <c r="AK328">
        <v>460</v>
      </c>
      <c r="AL328">
        <v>0.79</v>
      </c>
    </row>
    <row r="329" spans="1:38" x14ac:dyDescent="0.3">
      <c r="A329" t="s">
        <v>622</v>
      </c>
      <c r="B329">
        <v>5479</v>
      </c>
      <c r="C329">
        <v>1</v>
      </c>
      <c r="D329" t="s">
        <v>788</v>
      </c>
      <c r="E329" t="s">
        <v>789</v>
      </c>
      <c r="F329">
        <v>480</v>
      </c>
      <c r="G329">
        <v>30.84</v>
      </c>
      <c r="H329">
        <v>101.97</v>
      </c>
      <c r="I329">
        <v>25.57</v>
      </c>
      <c r="J329">
        <v>84.55</v>
      </c>
      <c r="K329">
        <v>210</v>
      </c>
      <c r="T329">
        <v>3</v>
      </c>
      <c r="U329">
        <v>2</v>
      </c>
      <c r="V329" t="s">
        <v>269</v>
      </c>
      <c r="W329" t="s">
        <v>142</v>
      </c>
      <c r="X329">
        <v>15</v>
      </c>
      <c r="Y329">
        <v>15</v>
      </c>
      <c r="Z329" t="s">
        <v>790</v>
      </c>
      <c r="AA329" t="s">
        <v>791</v>
      </c>
      <c r="AB329" t="s">
        <v>272</v>
      </c>
      <c r="AC329" t="s">
        <v>273</v>
      </c>
      <c r="AD329" t="s">
        <v>274</v>
      </c>
      <c r="AE329" t="s">
        <v>240</v>
      </c>
      <c r="AG329" t="s">
        <v>792</v>
      </c>
      <c r="AH329">
        <v>0</v>
      </c>
      <c r="AI329">
        <v>0</v>
      </c>
      <c r="AJ329">
        <v>0</v>
      </c>
      <c r="AK329">
        <v>480</v>
      </c>
      <c r="AL329">
        <v>1</v>
      </c>
    </row>
    <row r="330" spans="1:38" x14ac:dyDescent="0.3">
      <c r="A330" t="s">
        <v>622</v>
      </c>
      <c r="B330">
        <v>5479</v>
      </c>
      <c r="C330">
        <v>2</v>
      </c>
      <c r="D330" t="s">
        <v>788</v>
      </c>
      <c r="E330" t="s">
        <v>789</v>
      </c>
      <c r="F330">
        <v>480</v>
      </c>
      <c r="G330">
        <v>30.98</v>
      </c>
      <c r="H330">
        <v>102.42</v>
      </c>
      <c r="I330">
        <v>25.62</v>
      </c>
      <c r="J330">
        <v>84.72</v>
      </c>
      <c r="K330">
        <v>150</v>
      </c>
      <c r="T330">
        <v>3</v>
      </c>
      <c r="U330">
        <v>2</v>
      </c>
      <c r="V330" t="s">
        <v>269</v>
      </c>
      <c r="W330" t="s">
        <v>135</v>
      </c>
      <c r="X330">
        <v>15</v>
      </c>
      <c r="Y330">
        <v>15</v>
      </c>
      <c r="Z330" t="s">
        <v>790</v>
      </c>
      <c r="AA330" t="s">
        <v>791</v>
      </c>
      <c r="AB330" t="s">
        <v>272</v>
      </c>
      <c r="AC330" t="s">
        <v>273</v>
      </c>
      <c r="AD330" t="s">
        <v>274</v>
      </c>
      <c r="AE330" t="s">
        <v>240</v>
      </c>
      <c r="AG330" t="s">
        <v>792</v>
      </c>
      <c r="AH330">
        <v>0</v>
      </c>
      <c r="AI330">
        <v>0</v>
      </c>
      <c r="AJ330">
        <v>0</v>
      </c>
      <c r="AK330">
        <v>480</v>
      </c>
      <c r="AL330">
        <v>1</v>
      </c>
    </row>
    <row r="331" spans="1:38" x14ac:dyDescent="0.3">
      <c r="A331" t="s">
        <v>622</v>
      </c>
      <c r="B331">
        <v>5479</v>
      </c>
      <c r="C331">
        <v>3</v>
      </c>
      <c r="D331" t="s">
        <v>788</v>
      </c>
      <c r="E331" t="s">
        <v>789</v>
      </c>
      <c r="F331">
        <v>480</v>
      </c>
      <c r="G331">
        <v>46.22</v>
      </c>
      <c r="H331">
        <v>152.81</v>
      </c>
      <c r="I331">
        <v>39.6</v>
      </c>
      <c r="J331">
        <v>130.91999999999999</v>
      </c>
      <c r="K331">
        <v>60</v>
      </c>
      <c r="T331">
        <v>4</v>
      </c>
      <c r="U331">
        <v>2</v>
      </c>
      <c r="V331" t="s">
        <v>269</v>
      </c>
      <c r="W331">
        <v>152</v>
      </c>
      <c r="X331">
        <v>15</v>
      </c>
      <c r="Y331">
        <v>15</v>
      </c>
      <c r="Z331" t="s">
        <v>790</v>
      </c>
      <c r="AA331" t="s">
        <v>791</v>
      </c>
      <c r="AB331" t="s">
        <v>272</v>
      </c>
      <c r="AC331" t="s">
        <v>273</v>
      </c>
      <c r="AD331" t="s">
        <v>274</v>
      </c>
      <c r="AE331" t="s">
        <v>240</v>
      </c>
      <c r="AG331" t="s">
        <v>792</v>
      </c>
      <c r="AH331">
        <v>0</v>
      </c>
      <c r="AI331">
        <v>0</v>
      </c>
      <c r="AJ331">
        <v>0</v>
      </c>
      <c r="AK331">
        <v>480</v>
      </c>
      <c r="AL331">
        <v>1</v>
      </c>
    </row>
    <row r="332" spans="1:38" x14ac:dyDescent="0.3">
      <c r="A332" t="s">
        <v>622</v>
      </c>
      <c r="B332">
        <v>5479</v>
      </c>
      <c r="C332">
        <v>4</v>
      </c>
      <c r="D332" t="s">
        <v>788</v>
      </c>
      <c r="E332" t="s">
        <v>789</v>
      </c>
      <c r="F332">
        <v>480</v>
      </c>
      <c r="G332">
        <v>58.66</v>
      </c>
      <c r="H332">
        <v>193.95</v>
      </c>
      <c r="I332">
        <v>49.89</v>
      </c>
      <c r="J332">
        <v>164.93</v>
      </c>
      <c r="K332">
        <v>60</v>
      </c>
      <c r="T332">
        <v>5</v>
      </c>
      <c r="U332">
        <v>3</v>
      </c>
      <c r="V332" t="s">
        <v>269</v>
      </c>
      <c r="W332">
        <v>193</v>
      </c>
      <c r="X332">
        <v>15</v>
      </c>
      <c r="Y332">
        <v>15</v>
      </c>
      <c r="Z332" t="s">
        <v>790</v>
      </c>
      <c r="AA332" t="s">
        <v>791</v>
      </c>
      <c r="AB332" t="s">
        <v>272</v>
      </c>
      <c r="AC332" t="s">
        <v>273</v>
      </c>
      <c r="AD332" t="s">
        <v>274</v>
      </c>
      <c r="AE332" t="s">
        <v>240</v>
      </c>
      <c r="AG332" t="s">
        <v>792</v>
      </c>
      <c r="AH332">
        <v>0</v>
      </c>
      <c r="AI332">
        <v>0</v>
      </c>
      <c r="AJ332">
        <v>0</v>
      </c>
      <c r="AK332">
        <v>480</v>
      </c>
      <c r="AL332">
        <v>1</v>
      </c>
    </row>
    <row r="333" spans="1:38" x14ac:dyDescent="0.3">
      <c r="A333" t="s">
        <v>622</v>
      </c>
      <c r="B333">
        <v>15025</v>
      </c>
      <c r="C333">
        <v>1</v>
      </c>
      <c r="D333" t="s">
        <v>793</v>
      </c>
      <c r="E333" t="s">
        <v>794</v>
      </c>
      <c r="F333">
        <v>753</v>
      </c>
      <c r="G333">
        <v>24.48</v>
      </c>
      <c r="H333">
        <v>80.95</v>
      </c>
      <c r="I333">
        <v>18.11</v>
      </c>
      <c r="J333">
        <v>59.9</v>
      </c>
      <c r="K333">
        <v>273</v>
      </c>
      <c r="T333">
        <v>2</v>
      </c>
      <c r="U333">
        <v>1</v>
      </c>
      <c r="V333" t="s">
        <v>279</v>
      </c>
      <c r="W333">
        <v>80</v>
      </c>
      <c r="X333">
        <v>20</v>
      </c>
      <c r="Y333">
        <v>13</v>
      </c>
      <c r="Z333" t="s">
        <v>795</v>
      </c>
      <c r="AA333" t="s">
        <v>796</v>
      </c>
      <c r="AB333" t="s">
        <v>272</v>
      </c>
      <c r="AC333" t="s">
        <v>273</v>
      </c>
      <c r="AD333" t="s">
        <v>274</v>
      </c>
      <c r="AE333" t="s">
        <v>240</v>
      </c>
      <c r="AG333" t="s">
        <v>797</v>
      </c>
      <c r="AH333">
        <v>0</v>
      </c>
      <c r="AI333">
        <v>345</v>
      </c>
      <c r="AJ333">
        <v>24</v>
      </c>
      <c r="AK333">
        <v>641</v>
      </c>
      <c r="AL333">
        <v>0.85</v>
      </c>
    </row>
    <row r="334" spans="1:38" x14ac:dyDescent="0.3">
      <c r="A334" t="s">
        <v>622</v>
      </c>
      <c r="B334">
        <v>15025</v>
      </c>
      <c r="C334">
        <v>2</v>
      </c>
      <c r="D334" t="s">
        <v>793</v>
      </c>
      <c r="E334" t="s">
        <v>794</v>
      </c>
      <c r="F334">
        <v>753</v>
      </c>
      <c r="G334">
        <v>31.39</v>
      </c>
      <c r="H334">
        <v>103.78</v>
      </c>
      <c r="I334">
        <v>25.64</v>
      </c>
      <c r="J334">
        <v>84.77</v>
      </c>
      <c r="K334">
        <v>39</v>
      </c>
      <c r="T334">
        <v>3</v>
      </c>
      <c r="U334">
        <v>2</v>
      </c>
      <c r="V334" t="s">
        <v>269</v>
      </c>
      <c r="W334" t="s">
        <v>143</v>
      </c>
      <c r="X334">
        <v>20</v>
      </c>
      <c r="Y334">
        <v>13</v>
      </c>
      <c r="Z334" t="s">
        <v>795</v>
      </c>
      <c r="AA334" t="s">
        <v>796</v>
      </c>
      <c r="AB334" t="s">
        <v>272</v>
      </c>
      <c r="AC334" t="s">
        <v>273</v>
      </c>
      <c r="AD334" t="s">
        <v>274</v>
      </c>
      <c r="AE334" t="s">
        <v>240</v>
      </c>
      <c r="AG334" t="s">
        <v>797</v>
      </c>
      <c r="AH334">
        <v>0</v>
      </c>
      <c r="AI334">
        <v>345</v>
      </c>
      <c r="AJ334">
        <v>24</v>
      </c>
      <c r="AK334">
        <v>641</v>
      </c>
      <c r="AL334">
        <v>0.85</v>
      </c>
    </row>
    <row r="335" spans="1:38" x14ac:dyDescent="0.3">
      <c r="A335" t="s">
        <v>622</v>
      </c>
      <c r="B335">
        <v>15025</v>
      </c>
      <c r="C335">
        <v>3</v>
      </c>
      <c r="D335" t="s">
        <v>793</v>
      </c>
      <c r="E335" t="s">
        <v>794</v>
      </c>
      <c r="F335">
        <v>753</v>
      </c>
      <c r="G335">
        <v>31.47</v>
      </c>
      <c r="H335">
        <v>104.06</v>
      </c>
      <c r="I335">
        <v>25.7</v>
      </c>
      <c r="J335">
        <v>84.99</v>
      </c>
      <c r="K335">
        <v>281</v>
      </c>
      <c r="T335">
        <v>3</v>
      </c>
      <c r="U335">
        <v>2</v>
      </c>
      <c r="V335" t="s">
        <v>269</v>
      </c>
      <c r="W335" t="s">
        <v>144</v>
      </c>
      <c r="X335">
        <v>20</v>
      </c>
      <c r="Y335">
        <v>13</v>
      </c>
      <c r="Z335" t="s">
        <v>795</v>
      </c>
      <c r="AA335" t="s">
        <v>796</v>
      </c>
      <c r="AB335" t="s">
        <v>272</v>
      </c>
      <c r="AC335" t="s">
        <v>273</v>
      </c>
      <c r="AD335" t="s">
        <v>274</v>
      </c>
      <c r="AE335" t="s">
        <v>240</v>
      </c>
      <c r="AG335" t="s">
        <v>797</v>
      </c>
      <c r="AH335">
        <v>0</v>
      </c>
      <c r="AI335">
        <v>345</v>
      </c>
      <c r="AJ335">
        <v>24</v>
      </c>
      <c r="AK335">
        <v>641</v>
      </c>
      <c r="AL335">
        <v>0.85</v>
      </c>
    </row>
    <row r="336" spans="1:38" x14ac:dyDescent="0.3">
      <c r="A336" t="s">
        <v>622</v>
      </c>
      <c r="B336">
        <v>15025</v>
      </c>
      <c r="C336">
        <v>4</v>
      </c>
      <c r="D336" t="s">
        <v>793</v>
      </c>
      <c r="E336" t="s">
        <v>794</v>
      </c>
      <c r="F336">
        <v>753</v>
      </c>
      <c r="G336">
        <v>46.24</v>
      </c>
      <c r="H336">
        <v>152.88</v>
      </c>
      <c r="I336">
        <v>39.43</v>
      </c>
      <c r="J336">
        <v>130.36000000000001</v>
      </c>
      <c r="K336">
        <v>160</v>
      </c>
      <c r="T336">
        <v>4</v>
      </c>
      <c r="U336">
        <v>2</v>
      </c>
      <c r="V336" t="s">
        <v>269</v>
      </c>
      <c r="W336">
        <v>152</v>
      </c>
      <c r="X336">
        <v>20</v>
      </c>
      <c r="Y336">
        <v>13</v>
      </c>
      <c r="Z336" t="s">
        <v>795</v>
      </c>
      <c r="AA336" t="s">
        <v>796</v>
      </c>
      <c r="AB336" t="s">
        <v>272</v>
      </c>
      <c r="AC336" t="s">
        <v>273</v>
      </c>
      <c r="AD336" t="s">
        <v>274</v>
      </c>
      <c r="AE336" t="s">
        <v>240</v>
      </c>
      <c r="AG336" t="s">
        <v>797</v>
      </c>
      <c r="AH336">
        <v>0</v>
      </c>
      <c r="AI336">
        <v>345</v>
      </c>
      <c r="AJ336">
        <v>24</v>
      </c>
      <c r="AK336">
        <v>641</v>
      </c>
      <c r="AL336">
        <v>0.85</v>
      </c>
    </row>
    <row r="337" spans="1:38" x14ac:dyDescent="0.3">
      <c r="A337" t="s">
        <v>622</v>
      </c>
      <c r="B337">
        <v>124457</v>
      </c>
      <c r="C337">
        <v>1</v>
      </c>
      <c r="D337" t="s">
        <v>798</v>
      </c>
      <c r="E337" t="s">
        <v>799</v>
      </c>
      <c r="F337">
        <v>396</v>
      </c>
      <c r="G337">
        <v>33.22</v>
      </c>
      <c r="H337">
        <v>109.85</v>
      </c>
      <c r="I337">
        <v>25.65</v>
      </c>
      <c r="J337">
        <v>84.82</v>
      </c>
      <c r="K337">
        <v>374</v>
      </c>
      <c r="T337">
        <v>3</v>
      </c>
      <c r="U337">
        <v>2</v>
      </c>
      <c r="V337" t="s">
        <v>269</v>
      </c>
      <c r="W337" t="s">
        <v>70</v>
      </c>
      <c r="X337">
        <v>17</v>
      </c>
      <c r="Y337">
        <v>8</v>
      </c>
      <c r="Z337" t="s">
        <v>800</v>
      </c>
      <c r="AA337" t="s">
        <v>801</v>
      </c>
      <c r="AB337" t="s">
        <v>272</v>
      </c>
      <c r="AC337" t="s">
        <v>273</v>
      </c>
      <c r="AD337" t="s">
        <v>274</v>
      </c>
      <c r="AE337" t="s">
        <v>240</v>
      </c>
      <c r="AG337" t="s">
        <v>802</v>
      </c>
      <c r="AH337">
        <v>0</v>
      </c>
      <c r="AI337">
        <v>181</v>
      </c>
      <c r="AJ337">
        <v>18</v>
      </c>
      <c r="AK337">
        <v>499</v>
      </c>
      <c r="AL337">
        <v>1.26</v>
      </c>
    </row>
    <row r="338" spans="1:38" x14ac:dyDescent="0.3">
      <c r="A338" t="s">
        <v>622</v>
      </c>
      <c r="B338">
        <v>124457</v>
      </c>
      <c r="C338">
        <v>2</v>
      </c>
      <c r="D338" t="s">
        <v>798</v>
      </c>
      <c r="E338" t="s">
        <v>799</v>
      </c>
      <c r="F338">
        <v>396</v>
      </c>
      <c r="G338">
        <v>33.520000000000003</v>
      </c>
      <c r="H338">
        <v>110.83</v>
      </c>
      <c r="I338">
        <v>25.6</v>
      </c>
      <c r="J338">
        <v>84.65</v>
      </c>
      <c r="K338">
        <v>22</v>
      </c>
      <c r="T338">
        <v>3</v>
      </c>
      <c r="U338">
        <v>2</v>
      </c>
      <c r="V338" t="s">
        <v>269</v>
      </c>
      <c r="W338" t="s">
        <v>132</v>
      </c>
      <c r="X338">
        <v>17</v>
      </c>
      <c r="Y338">
        <v>8</v>
      </c>
      <c r="Z338" t="s">
        <v>800</v>
      </c>
      <c r="AA338" t="s">
        <v>801</v>
      </c>
      <c r="AB338" t="s">
        <v>272</v>
      </c>
      <c r="AC338" t="s">
        <v>273</v>
      </c>
      <c r="AD338" t="s">
        <v>274</v>
      </c>
      <c r="AE338" t="s">
        <v>240</v>
      </c>
      <c r="AG338" t="s">
        <v>802</v>
      </c>
      <c r="AH338">
        <v>0</v>
      </c>
      <c r="AI338">
        <v>181</v>
      </c>
      <c r="AJ338">
        <v>18</v>
      </c>
      <c r="AK338">
        <v>499</v>
      </c>
      <c r="AL338">
        <v>1.26</v>
      </c>
    </row>
    <row r="339" spans="1:38" x14ac:dyDescent="0.3">
      <c r="A339" t="s">
        <v>622</v>
      </c>
      <c r="B339">
        <v>5464</v>
      </c>
      <c r="C339">
        <v>1</v>
      </c>
      <c r="D339" t="s">
        <v>803</v>
      </c>
      <c r="E339" t="s">
        <v>804</v>
      </c>
      <c r="F339">
        <v>275</v>
      </c>
      <c r="G339">
        <v>23.9</v>
      </c>
      <c r="H339">
        <v>79.010000000000005</v>
      </c>
      <c r="I339">
        <v>18.14</v>
      </c>
      <c r="J339">
        <v>59.97</v>
      </c>
      <c r="K339">
        <v>178</v>
      </c>
      <c r="T339">
        <v>3</v>
      </c>
      <c r="U339">
        <v>1</v>
      </c>
      <c r="V339" t="s">
        <v>279</v>
      </c>
      <c r="W339">
        <v>79</v>
      </c>
      <c r="X339">
        <v>15</v>
      </c>
      <c r="Y339">
        <v>9</v>
      </c>
      <c r="Z339" t="s">
        <v>805</v>
      </c>
      <c r="AA339" t="s">
        <v>806</v>
      </c>
      <c r="AB339" t="s">
        <v>272</v>
      </c>
      <c r="AC339" t="s">
        <v>273</v>
      </c>
      <c r="AD339" t="s">
        <v>274</v>
      </c>
      <c r="AE339" t="s">
        <v>240</v>
      </c>
      <c r="AG339" t="s">
        <v>807</v>
      </c>
      <c r="AH339">
        <v>0</v>
      </c>
      <c r="AI339">
        <v>293</v>
      </c>
      <c r="AJ339">
        <v>23</v>
      </c>
      <c r="AK339">
        <v>0</v>
      </c>
      <c r="AL339">
        <v>0</v>
      </c>
    </row>
    <row r="340" spans="1:38" x14ac:dyDescent="0.3">
      <c r="A340" t="s">
        <v>622</v>
      </c>
      <c r="B340">
        <v>5464</v>
      </c>
      <c r="C340">
        <v>2</v>
      </c>
      <c r="D340" t="s">
        <v>803</v>
      </c>
      <c r="E340" t="s">
        <v>804</v>
      </c>
      <c r="F340">
        <v>275</v>
      </c>
      <c r="G340">
        <v>31.75</v>
      </c>
      <c r="H340">
        <v>104.98</v>
      </c>
      <c r="I340">
        <v>25.7</v>
      </c>
      <c r="J340">
        <v>84.96</v>
      </c>
      <c r="K340">
        <v>97</v>
      </c>
      <c r="T340">
        <v>3</v>
      </c>
      <c r="U340">
        <v>2</v>
      </c>
      <c r="V340" t="s">
        <v>269</v>
      </c>
      <c r="W340">
        <v>104</v>
      </c>
      <c r="X340">
        <v>15</v>
      </c>
      <c r="Y340">
        <v>9</v>
      </c>
      <c r="Z340" t="s">
        <v>805</v>
      </c>
      <c r="AA340" t="s">
        <v>806</v>
      </c>
      <c r="AB340" t="s">
        <v>272</v>
      </c>
      <c r="AC340" t="s">
        <v>273</v>
      </c>
      <c r="AD340" t="s">
        <v>274</v>
      </c>
      <c r="AE340" t="s">
        <v>240</v>
      </c>
      <c r="AG340" t="s">
        <v>807</v>
      </c>
      <c r="AH340">
        <v>0</v>
      </c>
      <c r="AI340">
        <v>293</v>
      </c>
      <c r="AJ340">
        <v>23</v>
      </c>
      <c r="AK340">
        <v>0</v>
      </c>
      <c r="AL340">
        <v>0</v>
      </c>
    </row>
    <row r="341" spans="1:38" x14ac:dyDescent="0.3">
      <c r="A341" t="s">
        <v>622</v>
      </c>
      <c r="B341">
        <v>15026</v>
      </c>
      <c r="C341">
        <v>1</v>
      </c>
      <c r="D341" t="s">
        <v>808</v>
      </c>
      <c r="E341" t="s">
        <v>794</v>
      </c>
      <c r="F341">
        <v>205</v>
      </c>
      <c r="G341">
        <v>24.25</v>
      </c>
      <c r="H341">
        <v>80.180000000000007</v>
      </c>
      <c r="I341">
        <v>18.100000000000001</v>
      </c>
      <c r="J341">
        <v>59.85</v>
      </c>
      <c r="K341">
        <v>205</v>
      </c>
      <c r="T341">
        <v>3</v>
      </c>
      <c r="U341">
        <v>1</v>
      </c>
      <c r="V341" t="s">
        <v>279</v>
      </c>
      <c r="W341">
        <v>80</v>
      </c>
      <c r="X341">
        <v>15</v>
      </c>
      <c r="Y341">
        <v>10</v>
      </c>
      <c r="Z341" t="s">
        <v>809</v>
      </c>
      <c r="AA341" t="s">
        <v>810</v>
      </c>
      <c r="AB341" t="s">
        <v>272</v>
      </c>
      <c r="AC341" t="s">
        <v>273</v>
      </c>
      <c r="AD341" t="s">
        <v>274</v>
      </c>
      <c r="AE341" t="s">
        <v>240</v>
      </c>
      <c r="AG341" t="s">
        <v>811</v>
      </c>
      <c r="AH341">
        <v>0</v>
      </c>
      <c r="AI341">
        <v>0</v>
      </c>
      <c r="AJ341">
        <v>0</v>
      </c>
      <c r="AK341">
        <v>112</v>
      </c>
      <c r="AL341">
        <v>0.55000000000000004</v>
      </c>
    </row>
    <row r="342" spans="1:38" x14ac:dyDescent="0.3">
      <c r="A342" t="s">
        <v>622</v>
      </c>
      <c r="B342">
        <v>15027</v>
      </c>
      <c r="C342">
        <v>1</v>
      </c>
      <c r="D342" t="s">
        <v>812</v>
      </c>
      <c r="E342" t="s">
        <v>813</v>
      </c>
      <c r="F342">
        <v>242</v>
      </c>
      <c r="G342">
        <v>23.98</v>
      </c>
      <c r="H342">
        <v>79.3</v>
      </c>
      <c r="I342">
        <v>18.09</v>
      </c>
      <c r="J342">
        <v>59.82</v>
      </c>
      <c r="K342">
        <v>80</v>
      </c>
      <c r="T342">
        <v>3</v>
      </c>
      <c r="U342">
        <v>2</v>
      </c>
      <c r="V342" t="s">
        <v>269</v>
      </c>
      <c r="W342" t="s">
        <v>84</v>
      </c>
      <c r="X342">
        <v>17</v>
      </c>
      <c r="Y342">
        <v>8</v>
      </c>
      <c r="Z342" t="s">
        <v>814</v>
      </c>
      <c r="AA342" t="s">
        <v>815</v>
      </c>
      <c r="AB342" t="s">
        <v>272</v>
      </c>
      <c r="AC342" t="s">
        <v>273</v>
      </c>
      <c r="AD342" t="s">
        <v>274</v>
      </c>
      <c r="AE342" t="s">
        <v>240</v>
      </c>
      <c r="AG342" t="s">
        <v>816</v>
      </c>
      <c r="AH342">
        <v>0</v>
      </c>
      <c r="AI342">
        <v>227</v>
      </c>
      <c r="AJ342">
        <v>16</v>
      </c>
      <c r="AK342">
        <v>242</v>
      </c>
      <c r="AL342">
        <v>1</v>
      </c>
    </row>
    <row r="343" spans="1:38" x14ac:dyDescent="0.3">
      <c r="A343" t="s">
        <v>622</v>
      </c>
      <c r="B343">
        <v>15027</v>
      </c>
      <c r="C343">
        <v>2</v>
      </c>
      <c r="D343" t="s">
        <v>812</v>
      </c>
      <c r="E343" t="s">
        <v>813</v>
      </c>
      <c r="F343">
        <v>242</v>
      </c>
      <c r="G343">
        <v>24.03</v>
      </c>
      <c r="H343">
        <v>79.47</v>
      </c>
      <c r="I343">
        <v>18.13</v>
      </c>
      <c r="J343">
        <v>59.95</v>
      </c>
      <c r="K343">
        <v>17</v>
      </c>
      <c r="T343">
        <v>3</v>
      </c>
      <c r="U343">
        <v>2</v>
      </c>
      <c r="V343" t="s">
        <v>269</v>
      </c>
      <c r="W343" t="s">
        <v>80</v>
      </c>
      <c r="X343">
        <v>17</v>
      </c>
      <c r="Y343">
        <v>8</v>
      </c>
      <c r="Z343" t="s">
        <v>814</v>
      </c>
      <c r="AA343" t="s">
        <v>815</v>
      </c>
      <c r="AB343" t="s">
        <v>272</v>
      </c>
      <c r="AC343" t="s">
        <v>273</v>
      </c>
      <c r="AD343" t="s">
        <v>274</v>
      </c>
      <c r="AE343" t="s">
        <v>240</v>
      </c>
      <c r="AG343" t="s">
        <v>816</v>
      </c>
      <c r="AH343">
        <v>0</v>
      </c>
      <c r="AI343">
        <v>227</v>
      </c>
      <c r="AJ343">
        <v>16</v>
      </c>
      <c r="AK343">
        <v>242</v>
      </c>
      <c r="AL343">
        <v>1</v>
      </c>
    </row>
    <row r="344" spans="1:38" x14ac:dyDescent="0.3">
      <c r="A344" t="s">
        <v>622</v>
      </c>
      <c r="B344">
        <v>15027</v>
      </c>
      <c r="C344">
        <v>3</v>
      </c>
      <c r="D344" t="s">
        <v>812</v>
      </c>
      <c r="E344" t="s">
        <v>813</v>
      </c>
      <c r="F344">
        <v>242</v>
      </c>
      <c r="G344">
        <v>32.659999999999997</v>
      </c>
      <c r="H344">
        <v>107.99</v>
      </c>
      <c r="I344">
        <v>25.68</v>
      </c>
      <c r="J344">
        <v>84.9</v>
      </c>
      <c r="K344">
        <v>93</v>
      </c>
      <c r="T344">
        <v>3</v>
      </c>
      <c r="U344">
        <v>2</v>
      </c>
      <c r="V344" t="s">
        <v>269</v>
      </c>
      <c r="W344">
        <v>107</v>
      </c>
      <c r="X344">
        <v>17</v>
      </c>
      <c r="Y344">
        <v>8</v>
      </c>
      <c r="Z344" t="s">
        <v>814</v>
      </c>
      <c r="AA344" t="s">
        <v>815</v>
      </c>
      <c r="AB344" t="s">
        <v>272</v>
      </c>
      <c r="AC344" t="s">
        <v>273</v>
      </c>
      <c r="AD344" t="s">
        <v>274</v>
      </c>
      <c r="AE344" t="s">
        <v>240</v>
      </c>
      <c r="AG344" t="s">
        <v>816</v>
      </c>
      <c r="AH344">
        <v>0</v>
      </c>
      <c r="AI344">
        <v>227</v>
      </c>
      <c r="AJ344">
        <v>16</v>
      </c>
      <c r="AK344">
        <v>242</v>
      </c>
      <c r="AL344">
        <v>1</v>
      </c>
    </row>
    <row r="345" spans="1:38" x14ac:dyDescent="0.3">
      <c r="A345" t="s">
        <v>622</v>
      </c>
      <c r="B345">
        <v>15027</v>
      </c>
      <c r="C345">
        <v>4</v>
      </c>
      <c r="D345" t="s">
        <v>812</v>
      </c>
      <c r="E345" t="s">
        <v>813</v>
      </c>
      <c r="F345">
        <v>242</v>
      </c>
      <c r="G345">
        <v>35.880000000000003</v>
      </c>
      <c r="H345">
        <v>118.64</v>
      </c>
      <c r="I345">
        <v>29.98</v>
      </c>
      <c r="J345">
        <v>99.12</v>
      </c>
      <c r="K345">
        <v>26</v>
      </c>
      <c r="T345">
        <v>3</v>
      </c>
      <c r="U345">
        <v>2</v>
      </c>
      <c r="V345" t="s">
        <v>269</v>
      </c>
      <c r="W345">
        <v>118</v>
      </c>
      <c r="X345">
        <v>17</v>
      </c>
      <c r="Y345">
        <v>8</v>
      </c>
      <c r="Z345" t="s">
        <v>814</v>
      </c>
      <c r="AA345" t="s">
        <v>815</v>
      </c>
      <c r="AB345" t="s">
        <v>272</v>
      </c>
      <c r="AC345" t="s">
        <v>273</v>
      </c>
      <c r="AD345" t="s">
        <v>274</v>
      </c>
      <c r="AE345" t="s">
        <v>240</v>
      </c>
      <c r="AG345" t="s">
        <v>816</v>
      </c>
      <c r="AH345">
        <v>0</v>
      </c>
      <c r="AI345">
        <v>227</v>
      </c>
      <c r="AJ345">
        <v>16</v>
      </c>
      <c r="AK345">
        <v>242</v>
      </c>
      <c r="AL345">
        <v>1</v>
      </c>
    </row>
    <row r="346" spans="1:38" x14ac:dyDescent="0.3">
      <c r="A346" t="s">
        <v>622</v>
      </c>
      <c r="B346">
        <v>15027</v>
      </c>
      <c r="C346">
        <v>5</v>
      </c>
      <c r="D346" t="s">
        <v>812</v>
      </c>
      <c r="E346" t="s">
        <v>813</v>
      </c>
      <c r="F346">
        <v>242</v>
      </c>
      <c r="G346">
        <v>41.56</v>
      </c>
      <c r="H346">
        <v>137.38999999999999</v>
      </c>
      <c r="I346">
        <v>34.72</v>
      </c>
      <c r="J346">
        <v>114.78</v>
      </c>
      <c r="K346">
        <v>26</v>
      </c>
      <c r="T346">
        <v>4</v>
      </c>
      <c r="U346">
        <v>2</v>
      </c>
      <c r="V346" t="s">
        <v>269</v>
      </c>
      <c r="W346">
        <v>137</v>
      </c>
      <c r="X346">
        <v>17</v>
      </c>
      <c r="Y346">
        <v>8</v>
      </c>
      <c r="Z346" t="s">
        <v>814</v>
      </c>
      <c r="AA346" t="s">
        <v>815</v>
      </c>
      <c r="AB346" t="s">
        <v>272</v>
      </c>
      <c r="AC346" t="s">
        <v>273</v>
      </c>
      <c r="AD346" t="s">
        <v>274</v>
      </c>
      <c r="AE346" t="s">
        <v>240</v>
      </c>
      <c r="AG346" t="s">
        <v>816</v>
      </c>
      <c r="AH346">
        <v>0</v>
      </c>
      <c r="AI346">
        <v>227</v>
      </c>
      <c r="AJ346">
        <v>16</v>
      </c>
      <c r="AK346">
        <v>242</v>
      </c>
      <c r="AL346">
        <v>1</v>
      </c>
    </row>
    <row r="347" spans="1:38" x14ac:dyDescent="0.3">
      <c r="A347" t="s">
        <v>817</v>
      </c>
      <c r="B347">
        <v>123090</v>
      </c>
      <c r="C347">
        <v>1</v>
      </c>
      <c r="D347" t="s">
        <v>818</v>
      </c>
      <c r="E347" t="s">
        <v>819</v>
      </c>
      <c r="F347">
        <v>28</v>
      </c>
      <c r="G347">
        <v>13.99</v>
      </c>
      <c r="H347">
        <v>46.28</v>
      </c>
      <c r="I347">
        <v>8.4700000000000006</v>
      </c>
      <c r="J347">
        <v>28.01</v>
      </c>
      <c r="K347">
        <v>28</v>
      </c>
      <c r="T347">
        <v>2</v>
      </c>
      <c r="U347">
        <v>1</v>
      </c>
      <c r="V347" t="s">
        <v>269</v>
      </c>
      <c r="W347">
        <v>46</v>
      </c>
      <c r="X347">
        <v>10</v>
      </c>
      <c r="Y347">
        <v>10</v>
      </c>
      <c r="Z347" t="s">
        <v>820</v>
      </c>
      <c r="AA347" t="s">
        <v>821</v>
      </c>
      <c r="AB347" t="s">
        <v>272</v>
      </c>
      <c r="AC347" t="s">
        <v>273</v>
      </c>
      <c r="AD347" t="s">
        <v>274</v>
      </c>
      <c r="AE347" t="s">
        <v>241</v>
      </c>
      <c r="AG347" t="s">
        <v>822</v>
      </c>
      <c r="AH347">
        <v>0</v>
      </c>
      <c r="AI347">
        <v>229</v>
      </c>
      <c r="AJ347">
        <v>52</v>
      </c>
      <c r="AK347">
        <v>30</v>
      </c>
      <c r="AL347">
        <v>1.07</v>
      </c>
    </row>
    <row r="348" spans="1:38" x14ac:dyDescent="0.3">
      <c r="A348" t="s">
        <v>817</v>
      </c>
      <c r="B348">
        <v>113280</v>
      </c>
      <c r="C348">
        <v>1</v>
      </c>
      <c r="D348" t="s">
        <v>823</v>
      </c>
      <c r="E348" t="s">
        <v>824</v>
      </c>
      <c r="F348">
        <v>402</v>
      </c>
      <c r="G348">
        <v>24.99</v>
      </c>
      <c r="H348">
        <v>82.62</v>
      </c>
      <c r="I348">
        <v>18.14</v>
      </c>
      <c r="J348">
        <v>59.98</v>
      </c>
      <c r="K348">
        <v>96</v>
      </c>
      <c r="T348">
        <v>3</v>
      </c>
      <c r="U348">
        <v>2</v>
      </c>
      <c r="V348" t="s">
        <v>269</v>
      </c>
      <c r="W348" t="s">
        <v>145</v>
      </c>
      <c r="X348">
        <v>30</v>
      </c>
      <c r="Y348">
        <v>19</v>
      </c>
      <c r="Z348" t="s">
        <v>825</v>
      </c>
      <c r="AA348" t="s">
        <v>826</v>
      </c>
      <c r="AB348" t="s">
        <v>272</v>
      </c>
      <c r="AC348" t="s">
        <v>273</v>
      </c>
      <c r="AD348" t="s">
        <v>274</v>
      </c>
      <c r="AE348" t="s">
        <v>241</v>
      </c>
      <c r="AG348" t="s">
        <v>827</v>
      </c>
      <c r="AH348">
        <v>0</v>
      </c>
      <c r="AI348">
        <v>209</v>
      </c>
      <c r="AJ348">
        <v>15</v>
      </c>
      <c r="AK348">
        <v>532</v>
      </c>
      <c r="AL348">
        <v>1.32</v>
      </c>
    </row>
    <row r="349" spans="1:38" x14ac:dyDescent="0.3">
      <c r="A349" t="s">
        <v>817</v>
      </c>
      <c r="B349">
        <v>113280</v>
      </c>
      <c r="C349">
        <v>2</v>
      </c>
      <c r="D349" t="s">
        <v>823</v>
      </c>
      <c r="E349" t="s">
        <v>824</v>
      </c>
      <c r="F349">
        <v>402</v>
      </c>
      <c r="G349">
        <v>24.92</v>
      </c>
      <c r="H349">
        <v>82.39</v>
      </c>
      <c r="I349">
        <v>18.14</v>
      </c>
      <c r="J349">
        <v>59.98</v>
      </c>
      <c r="K349">
        <v>22</v>
      </c>
      <c r="T349">
        <v>3</v>
      </c>
      <c r="U349">
        <v>2</v>
      </c>
      <c r="V349" t="s">
        <v>269</v>
      </c>
      <c r="W349" t="s">
        <v>146</v>
      </c>
      <c r="X349">
        <v>30</v>
      </c>
      <c r="Y349">
        <v>19</v>
      </c>
      <c r="Z349" t="s">
        <v>825</v>
      </c>
      <c r="AA349" t="s">
        <v>826</v>
      </c>
      <c r="AB349" t="s">
        <v>272</v>
      </c>
      <c r="AC349" t="s">
        <v>273</v>
      </c>
      <c r="AD349" t="s">
        <v>274</v>
      </c>
      <c r="AE349" t="s">
        <v>241</v>
      </c>
      <c r="AG349" t="s">
        <v>827</v>
      </c>
      <c r="AH349">
        <v>0</v>
      </c>
      <c r="AI349">
        <v>209</v>
      </c>
      <c r="AJ349">
        <v>15</v>
      </c>
      <c r="AK349">
        <v>532</v>
      </c>
      <c r="AL349">
        <v>1.32</v>
      </c>
    </row>
    <row r="350" spans="1:38" x14ac:dyDescent="0.3">
      <c r="A350" t="s">
        <v>817</v>
      </c>
      <c r="B350">
        <v>113280</v>
      </c>
      <c r="C350">
        <v>3</v>
      </c>
      <c r="D350" t="s">
        <v>823</v>
      </c>
      <c r="E350" t="s">
        <v>824</v>
      </c>
      <c r="F350">
        <v>402</v>
      </c>
      <c r="G350">
        <v>33.85</v>
      </c>
      <c r="H350">
        <v>111.92</v>
      </c>
      <c r="I350">
        <v>25.69</v>
      </c>
      <c r="J350">
        <v>84.94</v>
      </c>
      <c r="K350">
        <v>156</v>
      </c>
      <c r="T350">
        <v>4</v>
      </c>
      <c r="U350">
        <v>2</v>
      </c>
      <c r="V350" t="s">
        <v>269</v>
      </c>
      <c r="W350" t="s">
        <v>109</v>
      </c>
      <c r="X350">
        <v>30</v>
      </c>
      <c r="Y350">
        <v>19</v>
      </c>
      <c r="Z350" t="s">
        <v>825</v>
      </c>
      <c r="AA350" t="s">
        <v>826</v>
      </c>
      <c r="AB350" t="s">
        <v>272</v>
      </c>
      <c r="AC350" t="s">
        <v>273</v>
      </c>
      <c r="AD350" t="s">
        <v>274</v>
      </c>
      <c r="AE350" t="s">
        <v>241</v>
      </c>
      <c r="AG350" t="s">
        <v>827</v>
      </c>
      <c r="AH350">
        <v>0</v>
      </c>
      <c r="AI350">
        <v>209</v>
      </c>
      <c r="AJ350">
        <v>15</v>
      </c>
      <c r="AK350">
        <v>532</v>
      </c>
      <c r="AL350">
        <v>1.32</v>
      </c>
    </row>
    <row r="351" spans="1:38" x14ac:dyDescent="0.3">
      <c r="A351" t="s">
        <v>817</v>
      </c>
      <c r="B351">
        <v>113280</v>
      </c>
      <c r="C351">
        <v>4</v>
      </c>
      <c r="D351" t="s">
        <v>823</v>
      </c>
      <c r="E351" t="s">
        <v>824</v>
      </c>
      <c r="F351">
        <v>402</v>
      </c>
      <c r="G351">
        <v>33.83</v>
      </c>
      <c r="H351">
        <v>111.86</v>
      </c>
      <c r="I351">
        <v>25.66</v>
      </c>
      <c r="J351">
        <v>84.84</v>
      </c>
      <c r="K351">
        <v>30</v>
      </c>
      <c r="T351">
        <v>4</v>
      </c>
      <c r="U351">
        <v>2</v>
      </c>
      <c r="V351" t="s">
        <v>269</v>
      </c>
      <c r="W351" t="s">
        <v>110</v>
      </c>
      <c r="X351">
        <v>30</v>
      </c>
      <c r="Y351">
        <v>19</v>
      </c>
      <c r="Z351" t="s">
        <v>825</v>
      </c>
      <c r="AA351" t="s">
        <v>826</v>
      </c>
      <c r="AB351" t="s">
        <v>272</v>
      </c>
      <c r="AC351" t="s">
        <v>273</v>
      </c>
      <c r="AD351" t="s">
        <v>274</v>
      </c>
      <c r="AE351" t="s">
        <v>241</v>
      </c>
      <c r="AG351" t="s">
        <v>827</v>
      </c>
      <c r="AH351">
        <v>0</v>
      </c>
      <c r="AI351">
        <v>209</v>
      </c>
      <c r="AJ351">
        <v>15</v>
      </c>
      <c r="AK351">
        <v>532</v>
      </c>
      <c r="AL351">
        <v>1.32</v>
      </c>
    </row>
    <row r="352" spans="1:38" x14ac:dyDescent="0.3">
      <c r="A352" t="s">
        <v>817</v>
      </c>
      <c r="B352">
        <v>113280</v>
      </c>
      <c r="C352">
        <v>5</v>
      </c>
      <c r="D352" t="s">
        <v>823</v>
      </c>
      <c r="E352" t="s">
        <v>824</v>
      </c>
      <c r="F352">
        <v>402</v>
      </c>
      <c r="G352">
        <v>33.869999999999997</v>
      </c>
      <c r="H352">
        <v>111.98</v>
      </c>
      <c r="I352">
        <v>25.69</v>
      </c>
      <c r="J352">
        <v>84.93</v>
      </c>
      <c r="K352">
        <v>30</v>
      </c>
      <c r="T352">
        <v>4</v>
      </c>
      <c r="U352">
        <v>2</v>
      </c>
      <c r="V352" t="s">
        <v>269</v>
      </c>
      <c r="W352" t="s">
        <v>148</v>
      </c>
      <c r="X352">
        <v>30</v>
      </c>
      <c r="Y352">
        <v>19</v>
      </c>
      <c r="Z352" t="s">
        <v>825</v>
      </c>
      <c r="AA352" t="s">
        <v>826</v>
      </c>
      <c r="AB352" t="s">
        <v>272</v>
      </c>
      <c r="AC352" t="s">
        <v>273</v>
      </c>
      <c r="AD352" t="s">
        <v>274</v>
      </c>
      <c r="AE352" t="s">
        <v>241</v>
      </c>
      <c r="AG352" t="s">
        <v>827</v>
      </c>
      <c r="AH352">
        <v>0</v>
      </c>
      <c r="AI352">
        <v>209</v>
      </c>
      <c r="AJ352">
        <v>15</v>
      </c>
      <c r="AK352">
        <v>532</v>
      </c>
      <c r="AL352">
        <v>1.32</v>
      </c>
    </row>
    <row r="353" spans="1:38" x14ac:dyDescent="0.3">
      <c r="A353" t="s">
        <v>817</v>
      </c>
      <c r="B353">
        <v>113280</v>
      </c>
      <c r="C353">
        <v>6</v>
      </c>
      <c r="D353" t="s">
        <v>823</v>
      </c>
      <c r="E353" t="s">
        <v>824</v>
      </c>
      <c r="F353">
        <v>402</v>
      </c>
      <c r="G353">
        <v>43.99</v>
      </c>
      <c r="H353">
        <v>145.43</v>
      </c>
      <c r="I353">
        <v>36.35</v>
      </c>
      <c r="J353">
        <v>120.19</v>
      </c>
      <c r="K353">
        <v>68</v>
      </c>
      <c r="T353">
        <v>5</v>
      </c>
      <c r="U353">
        <v>2</v>
      </c>
      <c r="V353" t="s">
        <v>269</v>
      </c>
      <c r="W353">
        <v>145</v>
      </c>
      <c r="X353">
        <v>30</v>
      </c>
      <c r="Y353">
        <v>19</v>
      </c>
      <c r="Z353" t="s">
        <v>825</v>
      </c>
      <c r="AA353" t="s">
        <v>826</v>
      </c>
      <c r="AB353" t="s">
        <v>272</v>
      </c>
      <c r="AC353" t="s">
        <v>273</v>
      </c>
      <c r="AD353" t="s">
        <v>274</v>
      </c>
      <c r="AE353" t="s">
        <v>241</v>
      </c>
      <c r="AG353" t="s">
        <v>827</v>
      </c>
      <c r="AH353">
        <v>0</v>
      </c>
      <c r="AI353">
        <v>209</v>
      </c>
      <c r="AJ353">
        <v>15</v>
      </c>
      <c r="AK353">
        <v>532</v>
      </c>
      <c r="AL353">
        <v>1.32</v>
      </c>
    </row>
    <row r="354" spans="1:38" x14ac:dyDescent="0.3">
      <c r="A354" t="s">
        <v>817</v>
      </c>
      <c r="B354">
        <v>113205</v>
      </c>
      <c r="C354">
        <v>1</v>
      </c>
      <c r="D354" t="s">
        <v>828</v>
      </c>
      <c r="E354" t="s">
        <v>829</v>
      </c>
      <c r="F354">
        <v>640</v>
      </c>
      <c r="G354">
        <v>24.89</v>
      </c>
      <c r="H354">
        <v>82.3</v>
      </c>
      <c r="I354">
        <v>18.14</v>
      </c>
      <c r="J354">
        <v>59.99</v>
      </c>
      <c r="K354">
        <v>130</v>
      </c>
      <c r="T354">
        <v>3</v>
      </c>
      <c r="U354">
        <v>2</v>
      </c>
      <c r="V354" t="s">
        <v>269</v>
      </c>
      <c r="W354">
        <v>82</v>
      </c>
      <c r="X354">
        <v>24</v>
      </c>
      <c r="Y354">
        <v>15</v>
      </c>
      <c r="Z354" t="s">
        <v>830</v>
      </c>
      <c r="AA354" t="s">
        <v>831</v>
      </c>
      <c r="AB354" t="s">
        <v>272</v>
      </c>
      <c r="AC354" t="s">
        <v>273</v>
      </c>
      <c r="AD354" t="s">
        <v>274</v>
      </c>
      <c r="AE354" t="s">
        <v>241</v>
      </c>
      <c r="AG354" t="s">
        <v>832</v>
      </c>
      <c r="AH354">
        <v>0</v>
      </c>
      <c r="AI354">
        <v>209</v>
      </c>
      <c r="AJ354">
        <v>16</v>
      </c>
      <c r="AK354">
        <v>855</v>
      </c>
      <c r="AL354">
        <v>1.34</v>
      </c>
    </row>
    <row r="355" spans="1:38" x14ac:dyDescent="0.3">
      <c r="A355" t="s">
        <v>817</v>
      </c>
      <c r="B355">
        <v>113205</v>
      </c>
      <c r="C355">
        <v>2</v>
      </c>
      <c r="D355" t="s">
        <v>828</v>
      </c>
      <c r="E355" t="s">
        <v>829</v>
      </c>
      <c r="F355">
        <v>640</v>
      </c>
      <c r="G355">
        <v>34.83</v>
      </c>
      <c r="H355">
        <v>115.17</v>
      </c>
      <c r="I355">
        <v>25.7</v>
      </c>
      <c r="J355">
        <v>84.98</v>
      </c>
      <c r="K355">
        <v>464</v>
      </c>
      <c r="T355">
        <v>3</v>
      </c>
      <c r="U355">
        <v>2</v>
      </c>
      <c r="V355" t="s">
        <v>269</v>
      </c>
      <c r="W355">
        <v>115</v>
      </c>
      <c r="X355">
        <v>24</v>
      </c>
      <c r="Y355">
        <v>15</v>
      </c>
      <c r="Z355" t="s">
        <v>830</v>
      </c>
      <c r="AA355" t="s">
        <v>831</v>
      </c>
      <c r="AB355" t="s">
        <v>272</v>
      </c>
      <c r="AC355" t="s">
        <v>273</v>
      </c>
      <c r="AD355" t="s">
        <v>274</v>
      </c>
      <c r="AE355" t="s">
        <v>241</v>
      </c>
      <c r="AG355" t="s">
        <v>832</v>
      </c>
      <c r="AH355">
        <v>0</v>
      </c>
      <c r="AI355">
        <v>209</v>
      </c>
      <c r="AJ355">
        <v>16</v>
      </c>
      <c r="AK355">
        <v>855</v>
      </c>
      <c r="AL355">
        <v>1.34</v>
      </c>
    </row>
    <row r="356" spans="1:38" x14ac:dyDescent="0.3">
      <c r="A356" t="s">
        <v>817</v>
      </c>
      <c r="B356">
        <v>113205</v>
      </c>
      <c r="C356">
        <v>3</v>
      </c>
      <c r="D356" t="s">
        <v>828</v>
      </c>
      <c r="E356" t="s">
        <v>829</v>
      </c>
      <c r="F356">
        <v>640</v>
      </c>
      <c r="G356">
        <v>47.31</v>
      </c>
      <c r="H356">
        <v>156.41</v>
      </c>
      <c r="I356">
        <v>35.35</v>
      </c>
      <c r="J356">
        <v>116.86</v>
      </c>
      <c r="K356">
        <v>46</v>
      </c>
      <c r="T356">
        <v>4</v>
      </c>
      <c r="U356">
        <v>2</v>
      </c>
      <c r="V356" t="s">
        <v>269</v>
      </c>
      <c r="W356">
        <v>156</v>
      </c>
      <c r="X356">
        <v>24</v>
      </c>
      <c r="Y356">
        <v>15</v>
      </c>
      <c r="Z356" t="s">
        <v>830</v>
      </c>
      <c r="AA356" t="s">
        <v>831</v>
      </c>
      <c r="AB356" t="s">
        <v>272</v>
      </c>
      <c r="AC356" t="s">
        <v>273</v>
      </c>
      <c r="AD356" t="s">
        <v>274</v>
      </c>
      <c r="AE356" t="s">
        <v>241</v>
      </c>
      <c r="AG356" t="s">
        <v>832</v>
      </c>
      <c r="AH356">
        <v>0</v>
      </c>
      <c r="AI356">
        <v>209</v>
      </c>
      <c r="AJ356">
        <v>16</v>
      </c>
      <c r="AK356">
        <v>855</v>
      </c>
      <c r="AL356">
        <v>1.34</v>
      </c>
    </row>
    <row r="357" spans="1:38" x14ac:dyDescent="0.3">
      <c r="A357" t="s">
        <v>817</v>
      </c>
      <c r="B357">
        <v>113342</v>
      </c>
      <c r="C357">
        <v>1</v>
      </c>
      <c r="D357" t="s">
        <v>833</v>
      </c>
      <c r="E357" t="s">
        <v>514</v>
      </c>
      <c r="F357">
        <v>708</v>
      </c>
      <c r="G357">
        <v>25.24</v>
      </c>
      <c r="H357">
        <v>83.45</v>
      </c>
      <c r="I357">
        <v>18.14</v>
      </c>
      <c r="J357">
        <v>59.98</v>
      </c>
      <c r="K357">
        <v>116</v>
      </c>
      <c r="T357">
        <v>3</v>
      </c>
      <c r="U357">
        <v>2</v>
      </c>
      <c r="V357" t="s">
        <v>269</v>
      </c>
      <c r="W357" t="s">
        <v>112</v>
      </c>
      <c r="X357">
        <v>29</v>
      </c>
      <c r="Y357">
        <v>19</v>
      </c>
      <c r="Z357" t="s">
        <v>834</v>
      </c>
      <c r="AA357" t="s">
        <v>835</v>
      </c>
      <c r="AB357" t="s">
        <v>272</v>
      </c>
      <c r="AC357" t="s">
        <v>273</v>
      </c>
      <c r="AD357" t="s">
        <v>274</v>
      </c>
      <c r="AE357" t="s">
        <v>241</v>
      </c>
      <c r="AG357" t="s">
        <v>836</v>
      </c>
      <c r="AH357">
        <v>0</v>
      </c>
      <c r="AI357">
        <v>219</v>
      </c>
      <c r="AJ357">
        <v>16</v>
      </c>
      <c r="AK357">
        <v>919</v>
      </c>
      <c r="AL357">
        <v>1.3</v>
      </c>
    </row>
    <row r="358" spans="1:38" x14ac:dyDescent="0.3">
      <c r="A358" t="s">
        <v>817</v>
      </c>
      <c r="B358">
        <v>113342</v>
      </c>
      <c r="C358">
        <v>2</v>
      </c>
      <c r="D358" t="s">
        <v>833</v>
      </c>
      <c r="E358" t="s">
        <v>514</v>
      </c>
      <c r="F358">
        <v>708</v>
      </c>
      <c r="G358">
        <v>35.51</v>
      </c>
      <c r="H358">
        <v>117.42</v>
      </c>
      <c r="I358">
        <v>25.7</v>
      </c>
      <c r="J358">
        <v>84.99</v>
      </c>
      <c r="K358">
        <v>505</v>
      </c>
      <c r="T358">
        <v>3</v>
      </c>
      <c r="U358">
        <v>2</v>
      </c>
      <c r="V358" t="s">
        <v>269</v>
      </c>
      <c r="W358" t="s">
        <v>149</v>
      </c>
      <c r="X358">
        <v>29</v>
      </c>
      <c r="Y358">
        <v>19</v>
      </c>
      <c r="Z358" t="s">
        <v>834</v>
      </c>
      <c r="AA358" t="s">
        <v>835</v>
      </c>
      <c r="AB358" t="s">
        <v>272</v>
      </c>
      <c r="AC358" t="s">
        <v>273</v>
      </c>
      <c r="AD358" t="s">
        <v>274</v>
      </c>
      <c r="AE358" t="s">
        <v>241</v>
      </c>
      <c r="AG358" t="s">
        <v>836</v>
      </c>
      <c r="AH358">
        <v>0</v>
      </c>
      <c r="AI358">
        <v>219</v>
      </c>
      <c r="AJ358">
        <v>16</v>
      </c>
      <c r="AK358">
        <v>919</v>
      </c>
      <c r="AL358">
        <v>1.3</v>
      </c>
    </row>
    <row r="359" spans="1:38" x14ac:dyDescent="0.3">
      <c r="A359" t="s">
        <v>817</v>
      </c>
      <c r="B359">
        <v>113342</v>
      </c>
      <c r="C359">
        <v>3</v>
      </c>
      <c r="D359" t="s">
        <v>833</v>
      </c>
      <c r="E359" t="s">
        <v>514</v>
      </c>
      <c r="F359">
        <v>708</v>
      </c>
      <c r="G359">
        <v>35.409999999999997</v>
      </c>
      <c r="H359">
        <v>117.09</v>
      </c>
      <c r="I359">
        <v>25.69</v>
      </c>
      <c r="J359">
        <v>84.93</v>
      </c>
      <c r="K359">
        <v>87</v>
      </c>
      <c r="T359">
        <v>4</v>
      </c>
      <c r="U359">
        <v>2</v>
      </c>
      <c r="V359" t="s">
        <v>269</v>
      </c>
      <c r="W359" t="s">
        <v>150</v>
      </c>
      <c r="X359">
        <v>29</v>
      </c>
      <c r="Y359">
        <v>19</v>
      </c>
      <c r="Z359" t="s">
        <v>834</v>
      </c>
      <c r="AA359" t="s">
        <v>835</v>
      </c>
      <c r="AB359" t="s">
        <v>272</v>
      </c>
      <c r="AC359" t="s">
        <v>273</v>
      </c>
      <c r="AD359" t="s">
        <v>274</v>
      </c>
      <c r="AE359" t="s">
        <v>241</v>
      </c>
      <c r="AG359" t="s">
        <v>836</v>
      </c>
      <c r="AH359">
        <v>0</v>
      </c>
      <c r="AI359">
        <v>219</v>
      </c>
      <c r="AJ359">
        <v>16</v>
      </c>
      <c r="AK359">
        <v>919</v>
      </c>
      <c r="AL359">
        <v>1.3</v>
      </c>
    </row>
    <row r="360" spans="1:38" x14ac:dyDescent="0.3">
      <c r="A360" t="s">
        <v>817</v>
      </c>
      <c r="B360">
        <v>5495</v>
      </c>
      <c r="C360">
        <v>1</v>
      </c>
      <c r="D360" t="s">
        <v>837</v>
      </c>
      <c r="E360" t="s">
        <v>838</v>
      </c>
      <c r="F360">
        <v>166</v>
      </c>
      <c r="G360">
        <v>24.61</v>
      </c>
      <c r="H360">
        <v>81.36</v>
      </c>
      <c r="I360">
        <v>17.96</v>
      </c>
      <c r="J360">
        <v>59.4</v>
      </c>
      <c r="K360">
        <v>68</v>
      </c>
      <c r="T360">
        <v>2</v>
      </c>
      <c r="U360">
        <v>1</v>
      </c>
      <c r="V360" t="s">
        <v>279</v>
      </c>
      <c r="W360">
        <v>81</v>
      </c>
      <c r="X360">
        <v>15</v>
      </c>
      <c r="Y360">
        <v>9</v>
      </c>
      <c r="Z360" t="s">
        <v>839</v>
      </c>
      <c r="AA360" t="s">
        <v>840</v>
      </c>
      <c r="AB360" t="s">
        <v>272</v>
      </c>
      <c r="AC360" t="s">
        <v>273</v>
      </c>
      <c r="AD360" t="s">
        <v>274</v>
      </c>
      <c r="AE360" t="s">
        <v>241</v>
      </c>
      <c r="AG360" t="s">
        <v>841</v>
      </c>
      <c r="AH360">
        <v>0</v>
      </c>
      <c r="AI360">
        <v>0</v>
      </c>
      <c r="AJ360">
        <v>0</v>
      </c>
      <c r="AK360">
        <v>0</v>
      </c>
      <c r="AL360">
        <v>0</v>
      </c>
    </row>
    <row r="361" spans="1:38" x14ac:dyDescent="0.3">
      <c r="A361" t="s">
        <v>817</v>
      </c>
      <c r="B361">
        <v>5495</v>
      </c>
      <c r="C361">
        <v>2</v>
      </c>
      <c r="D361" t="s">
        <v>837</v>
      </c>
      <c r="E361" t="s">
        <v>838</v>
      </c>
      <c r="F361">
        <v>166</v>
      </c>
      <c r="G361">
        <v>31.47</v>
      </c>
      <c r="H361">
        <v>104.05</v>
      </c>
      <c r="I361">
        <v>25.67</v>
      </c>
      <c r="J361">
        <v>84.87</v>
      </c>
      <c r="K361">
        <v>83</v>
      </c>
      <c r="T361">
        <v>3</v>
      </c>
      <c r="U361">
        <v>2</v>
      </c>
      <c r="V361" t="s">
        <v>269</v>
      </c>
      <c r="W361">
        <v>104</v>
      </c>
      <c r="X361">
        <v>15</v>
      </c>
      <c r="Y361">
        <v>9</v>
      </c>
      <c r="Z361" t="s">
        <v>839</v>
      </c>
      <c r="AA361" t="s">
        <v>840</v>
      </c>
      <c r="AB361" t="s">
        <v>272</v>
      </c>
      <c r="AC361" t="s">
        <v>273</v>
      </c>
      <c r="AD361" t="s">
        <v>274</v>
      </c>
      <c r="AE361" t="s">
        <v>241</v>
      </c>
      <c r="AG361" t="s">
        <v>841</v>
      </c>
      <c r="AH361">
        <v>0</v>
      </c>
      <c r="AI361">
        <v>0</v>
      </c>
      <c r="AJ361">
        <v>0</v>
      </c>
      <c r="AK361">
        <v>0</v>
      </c>
      <c r="AL361">
        <v>0</v>
      </c>
    </row>
    <row r="362" spans="1:38" x14ac:dyDescent="0.3">
      <c r="A362" t="s">
        <v>817</v>
      </c>
      <c r="B362">
        <v>5495</v>
      </c>
      <c r="C362">
        <v>3</v>
      </c>
      <c r="D362" t="s">
        <v>837</v>
      </c>
      <c r="E362" t="s">
        <v>838</v>
      </c>
      <c r="F362">
        <v>166</v>
      </c>
      <c r="G362">
        <v>35.159999999999997</v>
      </c>
      <c r="H362">
        <v>116.25</v>
      </c>
      <c r="I362">
        <v>25.67</v>
      </c>
      <c r="J362">
        <v>84.87</v>
      </c>
      <c r="K362">
        <v>15</v>
      </c>
      <c r="T362">
        <v>3</v>
      </c>
      <c r="U362">
        <v>2</v>
      </c>
      <c r="V362" t="s">
        <v>269</v>
      </c>
      <c r="W362">
        <v>116</v>
      </c>
      <c r="X362">
        <v>15</v>
      </c>
      <c r="Y362">
        <v>9</v>
      </c>
      <c r="Z362" t="s">
        <v>839</v>
      </c>
      <c r="AA362" t="s">
        <v>840</v>
      </c>
      <c r="AB362" t="s">
        <v>272</v>
      </c>
      <c r="AC362" t="s">
        <v>273</v>
      </c>
      <c r="AD362" t="s">
        <v>274</v>
      </c>
      <c r="AE362" t="s">
        <v>241</v>
      </c>
      <c r="AG362" t="s">
        <v>841</v>
      </c>
      <c r="AH362">
        <v>0</v>
      </c>
      <c r="AI362">
        <v>0</v>
      </c>
      <c r="AJ362">
        <v>0</v>
      </c>
      <c r="AK362">
        <v>0</v>
      </c>
      <c r="AL362">
        <v>0</v>
      </c>
    </row>
    <row r="363" spans="1:38" x14ac:dyDescent="0.3">
      <c r="A363" t="s">
        <v>817</v>
      </c>
      <c r="B363">
        <v>15032</v>
      </c>
      <c r="C363">
        <v>1</v>
      </c>
      <c r="D363" t="s">
        <v>842</v>
      </c>
      <c r="E363" t="s">
        <v>705</v>
      </c>
      <c r="F363">
        <v>1992</v>
      </c>
      <c r="G363">
        <v>19.03</v>
      </c>
      <c r="H363">
        <v>62.92</v>
      </c>
      <c r="I363">
        <v>14.86</v>
      </c>
      <c r="J363">
        <v>49.13</v>
      </c>
      <c r="K363">
        <v>84</v>
      </c>
      <c r="T363">
        <v>2</v>
      </c>
      <c r="U363">
        <v>1</v>
      </c>
      <c r="V363" t="s">
        <v>269</v>
      </c>
      <c r="W363">
        <v>62</v>
      </c>
      <c r="X363">
        <v>15</v>
      </c>
      <c r="Y363">
        <v>12</v>
      </c>
      <c r="Z363" t="s">
        <v>843</v>
      </c>
      <c r="AA363" t="s">
        <v>844</v>
      </c>
      <c r="AB363" t="s">
        <v>272</v>
      </c>
      <c r="AC363" t="s">
        <v>273</v>
      </c>
      <c r="AD363" t="s">
        <v>274</v>
      </c>
      <c r="AE363" t="s">
        <v>241</v>
      </c>
      <c r="AG363" t="s">
        <v>845</v>
      </c>
      <c r="AH363">
        <v>0</v>
      </c>
      <c r="AI363">
        <v>179</v>
      </c>
      <c r="AJ363">
        <v>16</v>
      </c>
      <c r="AK363">
        <v>1655</v>
      </c>
      <c r="AL363">
        <v>0.83</v>
      </c>
    </row>
    <row r="364" spans="1:38" x14ac:dyDescent="0.3">
      <c r="A364" t="s">
        <v>817</v>
      </c>
      <c r="B364">
        <v>15032</v>
      </c>
      <c r="C364">
        <v>2</v>
      </c>
      <c r="D364" t="s">
        <v>842</v>
      </c>
      <c r="E364" t="s">
        <v>705</v>
      </c>
      <c r="F364">
        <v>1992</v>
      </c>
      <c r="G364">
        <v>23.25</v>
      </c>
      <c r="H364">
        <v>76.88</v>
      </c>
      <c r="I364">
        <v>18.100000000000001</v>
      </c>
      <c r="J364">
        <v>59.84</v>
      </c>
      <c r="K364">
        <v>75</v>
      </c>
      <c r="T364">
        <v>3</v>
      </c>
      <c r="U364">
        <v>1</v>
      </c>
      <c r="V364" t="s">
        <v>269</v>
      </c>
      <c r="W364" t="s">
        <v>151</v>
      </c>
      <c r="X364">
        <v>15</v>
      </c>
      <c r="Y364">
        <v>12</v>
      </c>
      <c r="Z364" t="s">
        <v>843</v>
      </c>
      <c r="AA364" t="s">
        <v>844</v>
      </c>
      <c r="AB364" t="s">
        <v>272</v>
      </c>
      <c r="AC364" t="s">
        <v>273</v>
      </c>
      <c r="AD364" t="s">
        <v>274</v>
      </c>
      <c r="AE364" t="s">
        <v>241</v>
      </c>
      <c r="AG364" t="s">
        <v>845</v>
      </c>
      <c r="AH364">
        <v>0</v>
      </c>
      <c r="AI364">
        <v>179</v>
      </c>
      <c r="AJ364">
        <v>16</v>
      </c>
      <c r="AK364">
        <v>1655</v>
      </c>
      <c r="AL364">
        <v>0.83</v>
      </c>
    </row>
    <row r="365" spans="1:38" x14ac:dyDescent="0.3">
      <c r="A365" t="s">
        <v>817</v>
      </c>
      <c r="B365">
        <v>15032</v>
      </c>
      <c r="C365">
        <v>3</v>
      </c>
      <c r="D365" t="s">
        <v>842</v>
      </c>
      <c r="E365" t="s">
        <v>705</v>
      </c>
      <c r="F365">
        <v>1992</v>
      </c>
      <c r="G365">
        <v>23.31</v>
      </c>
      <c r="H365">
        <v>77.08</v>
      </c>
      <c r="I365">
        <v>18.14</v>
      </c>
      <c r="J365">
        <v>59.99</v>
      </c>
      <c r="K365">
        <v>1593</v>
      </c>
      <c r="T365">
        <v>3</v>
      </c>
      <c r="U365">
        <v>1</v>
      </c>
      <c r="V365" t="s">
        <v>269</v>
      </c>
      <c r="W365" t="s">
        <v>152</v>
      </c>
      <c r="X365">
        <v>15</v>
      </c>
      <c r="Y365">
        <v>12</v>
      </c>
      <c r="Z365" t="s">
        <v>843</v>
      </c>
      <c r="AA365" t="s">
        <v>844</v>
      </c>
      <c r="AB365" t="s">
        <v>272</v>
      </c>
      <c r="AC365" t="s">
        <v>273</v>
      </c>
      <c r="AD365" t="s">
        <v>274</v>
      </c>
      <c r="AE365" t="s">
        <v>241</v>
      </c>
      <c r="AG365" t="s">
        <v>845</v>
      </c>
      <c r="AH365">
        <v>0</v>
      </c>
      <c r="AI365">
        <v>179</v>
      </c>
      <c r="AJ365">
        <v>16</v>
      </c>
      <c r="AK365">
        <v>1655</v>
      </c>
      <c r="AL365">
        <v>0.83</v>
      </c>
    </row>
    <row r="366" spans="1:38" x14ac:dyDescent="0.3">
      <c r="A366" t="s">
        <v>817</v>
      </c>
      <c r="B366">
        <v>15032</v>
      </c>
      <c r="C366">
        <v>4</v>
      </c>
      <c r="D366" t="s">
        <v>842</v>
      </c>
      <c r="E366" t="s">
        <v>705</v>
      </c>
      <c r="F366">
        <v>1992</v>
      </c>
      <c r="G366">
        <v>32.880000000000003</v>
      </c>
      <c r="H366">
        <v>108.7</v>
      </c>
      <c r="I366">
        <v>25.67</v>
      </c>
      <c r="J366">
        <v>84.87</v>
      </c>
      <c r="K366">
        <v>45</v>
      </c>
      <c r="T366">
        <v>3</v>
      </c>
      <c r="U366">
        <v>2</v>
      </c>
      <c r="V366" t="s">
        <v>269</v>
      </c>
      <c r="W366" t="s">
        <v>129</v>
      </c>
      <c r="X366">
        <v>15</v>
      </c>
      <c r="Y366">
        <v>12</v>
      </c>
      <c r="Z366" t="s">
        <v>843</v>
      </c>
      <c r="AA366" t="s">
        <v>844</v>
      </c>
      <c r="AB366" t="s">
        <v>272</v>
      </c>
      <c r="AC366" t="s">
        <v>273</v>
      </c>
      <c r="AD366" t="s">
        <v>274</v>
      </c>
      <c r="AE366" t="s">
        <v>241</v>
      </c>
      <c r="AG366" t="s">
        <v>845</v>
      </c>
      <c r="AH366">
        <v>0</v>
      </c>
      <c r="AI366">
        <v>179</v>
      </c>
      <c r="AJ366">
        <v>16</v>
      </c>
      <c r="AK366">
        <v>1655</v>
      </c>
      <c r="AL366">
        <v>0.83</v>
      </c>
    </row>
    <row r="367" spans="1:38" x14ac:dyDescent="0.3">
      <c r="A367" t="s">
        <v>817</v>
      </c>
      <c r="B367">
        <v>15032</v>
      </c>
      <c r="C367">
        <v>5</v>
      </c>
      <c r="D367" t="s">
        <v>842</v>
      </c>
      <c r="E367" t="s">
        <v>705</v>
      </c>
      <c r="F367">
        <v>1992</v>
      </c>
      <c r="G367">
        <v>32.99</v>
      </c>
      <c r="H367">
        <v>109.08</v>
      </c>
      <c r="I367">
        <v>25.68</v>
      </c>
      <c r="J367">
        <v>84.9</v>
      </c>
      <c r="K367">
        <v>195</v>
      </c>
      <c r="T367">
        <v>3</v>
      </c>
      <c r="U367">
        <v>2</v>
      </c>
      <c r="V367" t="s">
        <v>269</v>
      </c>
      <c r="W367" t="s">
        <v>71</v>
      </c>
      <c r="X367">
        <v>15</v>
      </c>
      <c r="Y367">
        <v>12</v>
      </c>
      <c r="Z367" t="s">
        <v>843</v>
      </c>
      <c r="AA367" t="s">
        <v>844</v>
      </c>
      <c r="AB367" t="s">
        <v>272</v>
      </c>
      <c r="AC367" t="s">
        <v>273</v>
      </c>
      <c r="AD367" t="s">
        <v>274</v>
      </c>
      <c r="AE367" t="s">
        <v>241</v>
      </c>
      <c r="AG367" t="s">
        <v>845</v>
      </c>
      <c r="AH367">
        <v>0</v>
      </c>
      <c r="AI367">
        <v>179</v>
      </c>
      <c r="AJ367">
        <v>16</v>
      </c>
      <c r="AK367">
        <v>1655</v>
      </c>
      <c r="AL367">
        <v>0.83</v>
      </c>
    </row>
    <row r="368" spans="1:38" x14ac:dyDescent="0.3">
      <c r="A368" t="s">
        <v>817</v>
      </c>
      <c r="B368">
        <v>113239</v>
      </c>
      <c r="C368">
        <v>1</v>
      </c>
      <c r="D368" t="s">
        <v>846</v>
      </c>
      <c r="E368" t="s">
        <v>398</v>
      </c>
      <c r="F368">
        <v>662</v>
      </c>
      <c r="G368">
        <v>24.74</v>
      </c>
      <c r="H368">
        <v>81.8</v>
      </c>
      <c r="I368">
        <v>18.13</v>
      </c>
      <c r="J368">
        <v>59.95</v>
      </c>
      <c r="K368">
        <v>92</v>
      </c>
      <c r="T368">
        <v>3</v>
      </c>
      <c r="U368">
        <v>2</v>
      </c>
      <c r="V368" t="s">
        <v>269</v>
      </c>
      <c r="W368">
        <v>81</v>
      </c>
      <c r="X368">
        <v>30</v>
      </c>
      <c r="Y368">
        <v>13</v>
      </c>
      <c r="Z368" t="s">
        <v>847</v>
      </c>
      <c r="AA368" t="s">
        <v>848</v>
      </c>
      <c r="AB368" t="s">
        <v>272</v>
      </c>
      <c r="AC368" t="s">
        <v>273</v>
      </c>
      <c r="AD368" t="s">
        <v>274</v>
      </c>
      <c r="AE368" t="s">
        <v>241</v>
      </c>
      <c r="AG368" t="s">
        <v>849</v>
      </c>
      <c r="AH368">
        <v>0</v>
      </c>
      <c r="AI368">
        <v>209</v>
      </c>
      <c r="AJ368">
        <v>17</v>
      </c>
      <c r="AK368">
        <v>870</v>
      </c>
      <c r="AL368">
        <v>1.31</v>
      </c>
    </row>
    <row r="369" spans="1:38" x14ac:dyDescent="0.3">
      <c r="A369" t="s">
        <v>817</v>
      </c>
      <c r="B369">
        <v>113239</v>
      </c>
      <c r="C369">
        <v>2</v>
      </c>
      <c r="D369" t="s">
        <v>846</v>
      </c>
      <c r="E369" t="s">
        <v>398</v>
      </c>
      <c r="F369">
        <v>662</v>
      </c>
      <c r="G369">
        <v>34.76</v>
      </c>
      <c r="H369">
        <v>114.93</v>
      </c>
      <c r="I369">
        <v>25.68</v>
      </c>
      <c r="J369">
        <v>84.9</v>
      </c>
      <c r="K369">
        <v>86</v>
      </c>
      <c r="T369">
        <v>3</v>
      </c>
      <c r="U369">
        <v>2</v>
      </c>
      <c r="V369" t="s">
        <v>269</v>
      </c>
      <c r="W369" t="s">
        <v>154</v>
      </c>
      <c r="X369">
        <v>30</v>
      </c>
      <c r="Y369">
        <v>13</v>
      </c>
      <c r="Z369" t="s">
        <v>847</v>
      </c>
      <c r="AA369" t="s">
        <v>848</v>
      </c>
      <c r="AB369" t="s">
        <v>272</v>
      </c>
      <c r="AC369" t="s">
        <v>273</v>
      </c>
      <c r="AD369" t="s">
        <v>274</v>
      </c>
      <c r="AE369" t="s">
        <v>241</v>
      </c>
      <c r="AG369" t="s">
        <v>849</v>
      </c>
      <c r="AH369">
        <v>0</v>
      </c>
      <c r="AI369">
        <v>209</v>
      </c>
      <c r="AJ369">
        <v>17</v>
      </c>
      <c r="AK369">
        <v>870</v>
      </c>
      <c r="AL369">
        <v>1.31</v>
      </c>
    </row>
    <row r="370" spans="1:38" x14ac:dyDescent="0.3">
      <c r="A370" t="s">
        <v>817</v>
      </c>
      <c r="B370">
        <v>113239</v>
      </c>
      <c r="C370">
        <v>3</v>
      </c>
      <c r="D370" t="s">
        <v>846</v>
      </c>
      <c r="E370" t="s">
        <v>398</v>
      </c>
      <c r="F370">
        <v>662</v>
      </c>
      <c r="G370">
        <v>34.69</v>
      </c>
      <c r="H370">
        <v>114.7</v>
      </c>
      <c r="I370">
        <v>25.69</v>
      </c>
      <c r="J370">
        <v>84.94</v>
      </c>
      <c r="K370">
        <v>47</v>
      </c>
      <c r="T370">
        <v>3</v>
      </c>
      <c r="U370">
        <v>2</v>
      </c>
      <c r="V370" t="s">
        <v>269</v>
      </c>
      <c r="W370" t="s">
        <v>79</v>
      </c>
      <c r="X370">
        <v>30</v>
      </c>
      <c r="Y370">
        <v>13</v>
      </c>
      <c r="Z370" t="s">
        <v>847</v>
      </c>
      <c r="AA370" t="s">
        <v>848</v>
      </c>
      <c r="AB370" t="s">
        <v>272</v>
      </c>
      <c r="AC370" t="s">
        <v>273</v>
      </c>
      <c r="AD370" t="s">
        <v>274</v>
      </c>
      <c r="AE370" t="s">
        <v>241</v>
      </c>
      <c r="AG370" t="s">
        <v>849</v>
      </c>
      <c r="AH370">
        <v>0</v>
      </c>
      <c r="AI370">
        <v>209</v>
      </c>
      <c r="AJ370">
        <v>17</v>
      </c>
      <c r="AK370">
        <v>870</v>
      </c>
      <c r="AL370">
        <v>1.31</v>
      </c>
    </row>
    <row r="371" spans="1:38" x14ac:dyDescent="0.3">
      <c r="A371" t="s">
        <v>817</v>
      </c>
      <c r="B371">
        <v>113239</v>
      </c>
      <c r="C371">
        <v>4</v>
      </c>
      <c r="D371" t="s">
        <v>846</v>
      </c>
      <c r="E371" t="s">
        <v>398</v>
      </c>
      <c r="F371">
        <v>662</v>
      </c>
      <c r="G371">
        <v>34.840000000000003</v>
      </c>
      <c r="H371">
        <v>115.2</v>
      </c>
      <c r="I371">
        <v>25.69</v>
      </c>
      <c r="J371">
        <v>84.93</v>
      </c>
      <c r="K371">
        <v>282</v>
      </c>
      <c r="T371">
        <v>3</v>
      </c>
      <c r="U371">
        <v>2</v>
      </c>
      <c r="V371" t="s">
        <v>269</v>
      </c>
      <c r="W371" t="s">
        <v>157</v>
      </c>
      <c r="X371">
        <v>30</v>
      </c>
      <c r="Y371">
        <v>13</v>
      </c>
      <c r="Z371" t="s">
        <v>847</v>
      </c>
      <c r="AA371" t="s">
        <v>848</v>
      </c>
      <c r="AB371" t="s">
        <v>272</v>
      </c>
      <c r="AC371" t="s">
        <v>273</v>
      </c>
      <c r="AD371" t="s">
        <v>274</v>
      </c>
      <c r="AE371" t="s">
        <v>241</v>
      </c>
      <c r="AG371" t="s">
        <v>849</v>
      </c>
      <c r="AH371">
        <v>0</v>
      </c>
      <c r="AI371">
        <v>209</v>
      </c>
      <c r="AJ371">
        <v>17</v>
      </c>
      <c r="AK371">
        <v>870</v>
      </c>
      <c r="AL371">
        <v>1.31</v>
      </c>
    </row>
    <row r="372" spans="1:38" x14ac:dyDescent="0.3">
      <c r="A372" t="s">
        <v>817</v>
      </c>
      <c r="B372">
        <v>113239</v>
      </c>
      <c r="C372">
        <v>5</v>
      </c>
      <c r="D372" t="s">
        <v>846</v>
      </c>
      <c r="E372" t="s">
        <v>398</v>
      </c>
      <c r="F372">
        <v>662</v>
      </c>
      <c r="G372">
        <v>34.86</v>
      </c>
      <c r="H372">
        <v>115.25</v>
      </c>
      <c r="I372">
        <v>25.69</v>
      </c>
      <c r="J372">
        <v>84.93</v>
      </c>
      <c r="K372">
        <v>83</v>
      </c>
      <c r="T372">
        <v>3</v>
      </c>
      <c r="U372">
        <v>2</v>
      </c>
      <c r="V372" t="s">
        <v>269</v>
      </c>
      <c r="W372" t="s">
        <v>158</v>
      </c>
      <c r="X372">
        <v>30</v>
      </c>
      <c r="Y372">
        <v>13</v>
      </c>
      <c r="Z372" t="s">
        <v>847</v>
      </c>
      <c r="AA372" t="s">
        <v>848</v>
      </c>
      <c r="AB372" t="s">
        <v>272</v>
      </c>
      <c r="AC372" t="s">
        <v>273</v>
      </c>
      <c r="AD372" t="s">
        <v>274</v>
      </c>
      <c r="AE372" t="s">
        <v>241</v>
      </c>
      <c r="AG372" t="s">
        <v>849</v>
      </c>
      <c r="AH372">
        <v>0</v>
      </c>
      <c r="AI372">
        <v>209</v>
      </c>
      <c r="AJ372">
        <v>17</v>
      </c>
      <c r="AK372">
        <v>870</v>
      </c>
      <c r="AL372">
        <v>1.31</v>
      </c>
    </row>
    <row r="373" spans="1:38" x14ac:dyDescent="0.3">
      <c r="A373" t="s">
        <v>817</v>
      </c>
      <c r="B373">
        <v>113239</v>
      </c>
      <c r="C373">
        <v>6</v>
      </c>
      <c r="D373" t="s">
        <v>846</v>
      </c>
      <c r="E373" t="s">
        <v>398</v>
      </c>
      <c r="F373">
        <v>662</v>
      </c>
      <c r="G373">
        <v>40.24</v>
      </c>
      <c r="H373">
        <v>133.03</v>
      </c>
      <c r="I373">
        <v>29.84</v>
      </c>
      <c r="J373">
        <v>98.66</v>
      </c>
      <c r="K373">
        <v>60</v>
      </c>
      <c r="T373">
        <v>4</v>
      </c>
      <c r="U373">
        <v>2</v>
      </c>
      <c r="V373" t="s">
        <v>269</v>
      </c>
      <c r="W373">
        <v>133</v>
      </c>
      <c r="X373">
        <v>30</v>
      </c>
      <c r="Y373">
        <v>13</v>
      </c>
      <c r="Z373" t="s">
        <v>847</v>
      </c>
      <c r="AA373" t="s">
        <v>848</v>
      </c>
      <c r="AB373" t="s">
        <v>272</v>
      </c>
      <c r="AC373" t="s">
        <v>273</v>
      </c>
      <c r="AD373" t="s">
        <v>274</v>
      </c>
      <c r="AE373" t="s">
        <v>241</v>
      </c>
      <c r="AG373" t="s">
        <v>849</v>
      </c>
      <c r="AH373">
        <v>0</v>
      </c>
      <c r="AI373">
        <v>209</v>
      </c>
      <c r="AJ373">
        <v>17</v>
      </c>
      <c r="AK373">
        <v>870</v>
      </c>
      <c r="AL373">
        <v>1.31</v>
      </c>
    </row>
    <row r="374" spans="1:38" x14ac:dyDescent="0.3">
      <c r="A374" t="s">
        <v>817</v>
      </c>
      <c r="B374">
        <v>113239</v>
      </c>
      <c r="C374">
        <v>7</v>
      </c>
      <c r="D374" t="s">
        <v>846</v>
      </c>
      <c r="E374" t="s">
        <v>398</v>
      </c>
      <c r="F374">
        <v>662</v>
      </c>
      <c r="G374">
        <v>43.3</v>
      </c>
      <c r="H374">
        <v>143.16</v>
      </c>
      <c r="I374">
        <v>31.6</v>
      </c>
      <c r="J374">
        <v>104.47</v>
      </c>
      <c r="K374">
        <v>12</v>
      </c>
      <c r="T374">
        <v>4</v>
      </c>
      <c r="U374">
        <v>2</v>
      </c>
      <c r="V374" t="s">
        <v>269</v>
      </c>
      <c r="W374">
        <v>143</v>
      </c>
      <c r="X374">
        <v>30</v>
      </c>
      <c r="Y374">
        <v>13</v>
      </c>
      <c r="Z374" t="s">
        <v>847</v>
      </c>
      <c r="AA374" t="s">
        <v>848</v>
      </c>
      <c r="AB374" t="s">
        <v>272</v>
      </c>
      <c r="AC374" t="s">
        <v>273</v>
      </c>
      <c r="AD374" t="s">
        <v>274</v>
      </c>
      <c r="AE374" t="s">
        <v>241</v>
      </c>
      <c r="AG374" t="s">
        <v>849</v>
      </c>
      <c r="AH374">
        <v>0</v>
      </c>
      <c r="AI374">
        <v>209</v>
      </c>
      <c r="AJ374">
        <v>17</v>
      </c>
      <c r="AK374">
        <v>870</v>
      </c>
      <c r="AL374">
        <v>1.31</v>
      </c>
    </row>
    <row r="375" spans="1:38" x14ac:dyDescent="0.3">
      <c r="A375" t="s">
        <v>817</v>
      </c>
      <c r="B375">
        <v>5515</v>
      </c>
      <c r="C375">
        <v>1</v>
      </c>
      <c r="D375" t="s">
        <v>850</v>
      </c>
      <c r="E375" t="s">
        <v>278</v>
      </c>
      <c r="F375">
        <v>915</v>
      </c>
      <c r="G375">
        <v>23.55</v>
      </c>
      <c r="H375">
        <v>77.88</v>
      </c>
      <c r="I375">
        <v>18.14</v>
      </c>
      <c r="J375">
        <v>59.97</v>
      </c>
      <c r="K375">
        <v>372</v>
      </c>
      <c r="T375">
        <v>3</v>
      </c>
      <c r="U375">
        <v>1</v>
      </c>
      <c r="V375" t="s">
        <v>269</v>
      </c>
      <c r="W375">
        <v>77</v>
      </c>
      <c r="X375">
        <v>17</v>
      </c>
      <c r="Y375">
        <v>11</v>
      </c>
      <c r="Z375" t="s">
        <v>851</v>
      </c>
      <c r="AA375" t="s">
        <v>852</v>
      </c>
      <c r="AB375" t="s">
        <v>272</v>
      </c>
      <c r="AC375" t="s">
        <v>273</v>
      </c>
      <c r="AD375" t="s">
        <v>274</v>
      </c>
      <c r="AE375" t="s">
        <v>241</v>
      </c>
      <c r="AG375" t="s">
        <v>853</v>
      </c>
      <c r="AH375">
        <v>0</v>
      </c>
      <c r="AI375">
        <v>222</v>
      </c>
      <c r="AJ375">
        <v>20</v>
      </c>
      <c r="AK375">
        <v>1004</v>
      </c>
      <c r="AL375">
        <v>1.1000000000000001</v>
      </c>
    </row>
    <row r="376" spans="1:38" x14ac:dyDescent="0.3">
      <c r="A376" t="s">
        <v>817</v>
      </c>
      <c r="B376">
        <v>5515</v>
      </c>
      <c r="C376">
        <v>2</v>
      </c>
      <c r="D376" t="s">
        <v>850</v>
      </c>
      <c r="E376" t="s">
        <v>278</v>
      </c>
      <c r="F376">
        <v>915</v>
      </c>
      <c r="G376">
        <v>32.21</v>
      </c>
      <c r="H376">
        <v>106.5</v>
      </c>
      <c r="I376">
        <v>25.7</v>
      </c>
      <c r="J376">
        <v>84.97</v>
      </c>
      <c r="K376">
        <v>438</v>
      </c>
      <c r="T376">
        <v>3</v>
      </c>
      <c r="U376">
        <v>2</v>
      </c>
      <c r="V376" t="s">
        <v>269</v>
      </c>
      <c r="W376">
        <v>106</v>
      </c>
      <c r="X376">
        <v>17</v>
      </c>
      <c r="Y376">
        <v>11</v>
      </c>
      <c r="Z376" t="s">
        <v>851</v>
      </c>
      <c r="AA376" t="s">
        <v>852</v>
      </c>
      <c r="AB376" t="s">
        <v>272</v>
      </c>
      <c r="AC376" t="s">
        <v>273</v>
      </c>
      <c r="AD376" t="s">
        <v>274</v>
      </c>
      <c r="AE376" t="s">
        <v>241</v>
      </c>
      <c r="AG376" t="s">
        <v>853</v>
      </c>
      <c r="AH376">
        <v>0</v>
      </c>
      <c r="AI376">
        <v>222</v>
      </c>
      <c r="AJ376">
        <v>20</v>
      </c>
      <c r="AK376">
        <v>1004</v>
      </c>
      <c r="AL376">
        <v>1.1000000000000001</v>
      </c>
    </row>
    <row r="377" spans="1:38" x14ac:dyDescent="0.3">
      <c r="A377" t="s">
        <v>817</v>
      </c>
      <c r="B377">
        <v>5515</v>
      </c>
      <c r="C377">
        <v>3</v>
      </c>
      <c r="D377" t="s">
        <v>850</v>
      </c>
      <c r="E377" t="s">
        <v>278</v>
      </c>
      <c r="F377">
        <v>915</v>
      </c>
      <c r="G377">
        <v>47.69</v>
      </c>
      <c r="H377">
        <v>157.68</v>
      </c>
      <c r="I377">
        <v>40.74</v>
      </c>
      <c r="J377">
        <v>134.69999999999999</v>
      </c>
      <c r="K377">
        <v>105</v>
      </c>
      <c r="T377">
        <v>4</v>
      </c>
      <c r="U377">
        <v>2</v>
      </c>
      <c r="V377" t="s">
        <v>269</v>
      </c>
      <c r="W377">
        <v>157</v>
      </c>
      <c r="X377">
        <v>17</v>
      </c>
      <c r="Y377">
        <v>11</v>
      </c>
      <c r="Z377" t="s">
        <v>851</v>
      </c>
      <c r="AA377" t="s">
        <v>852</v>
      </c>
      <c r="AB377" t="s">
        <v>272</v>
      </c>
      <c r="AC377" t="s">
        <v>273</v>
      </c>
      <c r="AD377" t="s">
        <v>274</v>
      </c>
      <c r="AE377" t="s">
        <v>241</v>
      </c>
      <c r="AG377" t="s">
        <v>853</v>
      </c>
      <c r="AH377">
        <v>0</v>
      </c>
      <c r="AI377">
        <v>222</v>
      </c>
      <c r="AJ377">
        <v>20</v>
      </c>
      <c r="AK377">
        <v>1004</v>
      </c>
      <c r="AL377">
        <v>1.1000000000000001</v>
      </c>
    </row>
    <row r="378" spans="1:38" x14ac:dyDescent="0.3">
      <c r="A378" t="s">
        <v>817</v>
      </c>
      <c r="B378">
        <v>5491</v>
      </c>
      <c r="C378">
        <v>1</v>
      </c>
      <c r="D378" t="s">
        <v>854</v>
      </c>
      <c r="E378" t="s">
        <v>413</v>
      </c>
      <c r="F378">
        <v>370</v>
      </c>
      <c r="G378">
        <v>16.440000000000001</v>
      </c>
      <c r="H378">
        <v>54.36</v>
      </c>
      <c r="I378">
        <v>12.08</v>
      </c>
      <c r="J378">
        <v>39.96</v>
      </c>
      <c r="K378">
        <v>195</v>
      </c>
      <c r="T378">
        <v>2</v>
      </c>
      <c r="U378">
        <v>1</v>
      </c>
      <c r="V378" t="s">
        <v>269</v>
      </c>
      <c r="W378">
        <v>54</v>
      </c>
      <c r="X378">
        <v>5</v>
      </c>
      <c r="Y378">
        <v>5</v>
      </c>
      <c r="Z378" t="s">
        <v>855</v>
      </c>
      <c r="AA378" t="s">
        <v>856</v>
      </c>
      <c r="AB378" t="s">
        <v>272</v>
      </c>
      <c r="AC378" t="s">
        <v>273</v>
      </c>
      <c r="AD378" t="s">
        <v>274</v>
      </c>
      <c r="AE378" t="s">
        <v>241</v>
      </c>
      <c r="AG378" t="s">
        <v>857</v>
      </c>
      <c r="AH378">
        <v>0</v>
      </c>
      <c r="AI378">
        <v>0</v>
      </c>
      <c r="AJ378">
        <v>0</v>
      </c>
      <c r="AK378">
        <v>0</v>
      </c>
      <c r="AL378">
        <v>0</v>
      </c>
    </row>
    <row r="379" spans="1:38" x14ac:dyDescent="0.3">
      <c r="A379" t="s">
        <v>817</v>
      </c>
      <c r="B379">
        <v>5491</v>
      </c>
      <c r="C379">
        <v>2</v>
      </c>
      <c r="D379" t="s">
        <v>854</v>
      </c>
      <c r="E379" t="s">
        <v>413</v>
      </c>
      <c r="F379">
        <v>370</v>
      </c>
      <c r="G379">
        <v>17.7</v>
      </c>
      <c r="H379">
        <v>58.52</v>
      </c>
      <c r="I379">
        <v>14.91</v>
      </c>
      <c r="J379">
        <v>49.32</v>
      </c>
      <c r="K379">
        <v>175</v>
      </c>
      <c r="T379">
        <v>3</v>
      </c>
      <c r="U379">
        <v>1</v>
      </c>
      <c r="V379" t="s">
        <v>269</v>
      </c>
      <c r="W379">
        <v>58</v>
      </c>
      <c r="X379">
        <v>5</v>
      </c>
      <c r="Y379">
        <v>5</v>
      </c>
      <c r="Z379" t="s">
        <v>855</v>
      </c>
      <c r="AA379" t="s">
        <v>856</v>
      </c>
      <c r="AB379" t="s">
        <v>272</v>
      </c>
      <c r="AC379" t="s">
        <v>273</v>
      </c>
      <c r="AD379" t="s">
        <v>274</v>
      </c>
      <c r="AE379" t="s">
        <v>241</v>
      </c>
      <c r="AG379" t="s">
        <v>857</v>
      </c>
      <c r="AH379">
        <v>0</v>
      </c>
      <c r="AI379">
        <v>0</v>
      </c>
      <c r="AJ379">
        <v>0</v>
      </c>
      <c r="AK379">
        <v>0</v>
      </c>
      <c r="AL379">
        <v>0</v>
      </c>
    </row>
    <row r="380" spans="1:38" x14ac:dyDescent="0.3">
      <c r="A380" t="s">
        <v>817</v>
      </c>
      <c r="B380">
        <v>103671</v>
      </c>
      <c r="C380">
        <v>1</v>
      </c>
      <c r="D380" t="s">
        <v>858</v>
      </c>
      <c r="E380" t="s">
        <v>666</v>
      </c>
      <c r="F380">
        <v>585</v>
      </c>
      <c r="G380">
        <v>33.090000000000003</v>
      </c>
      <c r="H380">
        <v>109.42</v>
      </c>
      <c r="I380">
        <v>25.7</v>
      </c>
      <c r="J380">
        <v>84.99</v>
      </c>
      <c r="K380">
        <v>539</v>
      </c>
      <c r="T380">
        <v>3</v>
      </c>
      <c r="U380">
        <v>2</v>
      </c>
      <c r="V380" t="s">
        <v>269</v>
      </c>
      <c r="W380" t="s">
        <v>70</v>
      </c>
      <c r="X380">
        <v>14</v>
      </c>
      <c r="Y380">
        <v>11</v>
      </c>
      <c r="Z380" t="s">
        <v>859</v>
      </c>
      <c r="AA380" t="s">
        <v>860</v>
      </c>
      <c r="AB380" t="s">
        <v>272</v>
      </c>
      <c r="AC380" t="s">
        <v>273</v>
      </c>
      <c r="AD380" t="s">
        <v>274</v>
      </c>
      <c r="AE380" t="s">
        <v>241</v>
      </c>
      <c r="AG380" t="s">
        <v>861</v>
      </c>
      <c r="AH380">
        <v>0</v>
      </c>
      <c r="AI380">
        <v>214</v>
      </c>
      <c r="AJ380">
        <v>23</v>
      </c>
      <c r="AK380">
        <v>732</v>
      </c>
      <c r="AL380">
        <v>1.25</v>
      </c>
    </row>
    <row r="381" spans="1:38" x14ac:dyDescent="0.3">
      <c r="A381" t="s">
        <v>817</v>
      </c>
      <c r="B381">
        <v>103671</v>
      </c>
      <c r="C381">
        <v>2</v>
      </c>
      <c r="D381" t="s">
        <v>858</v>
      </c>
      <c r="E381" t="s">
        <v>666</v>
      </c>
      <c r="F381">
        <v>585</v>
      </c>
      <c r="G381">
        <v>36.92</v>
      </c>
      <c r="H381">
        <v>122.07</v>
      </c>
      <c r="I381">
        <v>25.7</v>
      </c>
      <c r="J381">
        <v>84.99</v>
      </c>
      <c r="K381">
        <v>46</v>
      </c>
      <c r="T381">
        <v>3</v>
      </c>
      <c r="U381">
        <v>2</v>
      </c>
      <c r="V381" t="s">
        <v>269</v>
      </c>
      <c r="W381" t="s">
        <v>159</v>
      </c>
      <c r="X381">
        <v>14</v>
      </c>
      <c r="Y381">
        <v>11</v>
      </c>
      <c r="Z381" t="s">
        <v>859</v>
      </c>
      <c r="AA381" t="s">
        <v>860</v>
      </c>
      <c r="AB381" t="s">
        <v>272</v>
      </c>
      <c r="AC381" t="s">
        <v>273</v>
      </c>
      <c r="AD381" t="s">
        <v>274</v>
      </c>
      <c r="AE381" t="s">
        <v>241</v>
      </c>
      <c r="AG381" t="s">
        <v>861</v>
      </c>
      <c r="AH381">
        <v>0</v>
      </c>
      <c r="AI381">
        <v>214</v>
      </c>
      <c r="AJ381">
        <v>23</v>
      </c>
      <c r="AK381">
        <v>732</v>
      </c>
      <c r="AL381">
        <v>1.25</v>
      </c>
    </row>
    <row r="382" spans="1:38" x14ac:dyDescent="0.3">
      <c r="A382" t="s">
        <v>817</v>
      </c>
      <c r="B382">
        <v>107763</v>
      </c>
      <c r="C382">
        <v>1</v>
      </c>
      <c r="D382" t="s">
        <v>862</v>
      </c>
      <c r="E382" t="s">
        <v>863</v>
      </c>
      <c r="F382">
        <v>160</v>
      </c>
      <c r="G382">
        <v>10.11</v>
      </c>
      <c r="H382">
        <v>33.44</v>
      </c>
      <c r="I382">
        <v>7.19</v>
      </c>
      <c r="J382">
        <v>23.79</v>
      </c>
      <c r="K382">
        <v>66</v>
      </c>
      <c r="T382">
        <v>1</v>
      </c>
      <c r="U382">
        <v>1</v>
      </c>
      <c r="V382" t="s">
        <v>279</v>
      </c>
      <c r="W382">
        <v>33</v>
      </c>
      <c r="X382">
        <v>11</v>
      </c>
      <c r="Y382">
        <v>6</v>
      </c>
      <c r="Z382" t="s">
        <v>864</v>
      </c>
      <c r="AA382" t="s">
        <v>865</v>
      </c>
      <c r="AB382" t="s">
        <v>272</v>
      </c>
      <c r="AC382" t="s">
        <v>273</v>
      </c>
      <c r="AD382" t="s">
        <v>274</v>
      </c>
      <c r="AE382" t="s">
        <v>241</v>
      </c>
      <c r="AG382" t="s">
        <v>866</v>
      </c>
      <c r="AH382">
        <v>0</v>
      </c>
      <c r="AI382">
        <v>0</v>
      </c>
      <c r="AJ382">
        <v>0</v>
      </c>
      <c r="AK382">
        <v>0</v>
      </c>
      <c r="AL382">
        <v>0</v>
      </c>
    </row>
    <row r="383" spans="1:38" x14ac:dyDescent="0.3">
      <c r="A383" t="s">
        <v>817</v>
      </c>
      <c r="B383">
        <v>107763</v>
      </c>
      <c r="C383">
        <v>2</v>
      </c>
      <c r="D383" t="s">
        <v>862</v>
      </c>
      <c r="E383" t="s">
        <v>863</v>
      </c>
      <c r="F383">
        <v>160</v>
      </c>
      <c r="G383">
        <v>14.39</v>
      </c>
      <c r="H383">
        <v>47.6</v>
      </c>
      <c r="I383">
        <v>10.34</v>
      </c>
      <c r="J383">
        <v>34.200000000000003</v>
      </c>
      <c r="K383">
        <v>94</v>
      </c>
      <c r="T383">
        <v>2</v>
      </c>
      <c r="U383">
        <v>1</v>
      </c>
      <c r="V383" t="s">
        <v>279</v>
      </c>
      <c r="W383">
        <v>47</v>
      </c>
      <c r="X383">
        <v>11</v>
      </c>
      <c r="Y383">
        <v>6</v>
      </c>
      <c r="Z383" t="s">
        <v>864</v>
      </c>
      <c r="AA383" t="s">
        <v>865</v>
      </c>
      <c r="AB383" t="s">
        <v>272</v>
      </c>
      <c r="AC383" t="s">
        <v>273</v>
      </c>
      <c r="AD383" t="s">
        <v>274</v>
      </c>
      <c r="AE383" t="s">
        <v>241</v>
      </c>
      <c r="AG383" t="s">
        <v>866</v>
      </c>
      <c r="AH383">
        <v>0</v>
      </c>
      <c r="AI383">
        <v>0</v>
      </c>
      <c r="AJ383">
        <v>0</v>
      </c>
      <c r="AK383">
        <v>0</v>
      </c>
      <c r="AL383">
        <v>0</v>
      </c>
    </row>
    <row r="384" spans="1:38" x14ac:dyDescent="0.3">
      <c r="A384" t="s">
        <v>817</v>
      </c>
      <c r="B384">
        <v>5496</v>
      </c>
      <c r="C384">
        <v>1</v>
      </c>
      <c r="D384" t="s">
        <v>867</v>
      </c>
      <c r="E384" t="s">
        <v>868</v>
      </c>
      <c r="F384">
        <v>192</v>
      </c>
      <c r="G384">
        <v>23.45</v>
      </c>
      <c r="H384">
        <v>77.55</v>
      </c>
      <c r="I384">
        <v>18.079999999999998</v>
      </c>
      <c r="J384">
        <v>59.8</v>
      </c>
      <c r="K384">
        <v>96</v>
      </c>
      <c r="T384">
        <v>3</v>
      </c>
      <c r="U384">
        <v>1</v>
      </c>
      <c r="V384" t="s">
        <v>269</v>
      </c>
      <c r="W384">
        <v>77</v>
      </c>
      <c r="X384">
        <v>16</v>
      </c>
      <c r="Y384">
        <v>16</v>
      </c>
      <c r="Z384" t="s">
        <v>869</v>
      </c>
      <c r="AA384" t="s">
        <v>870</v>
      </c>
      <c r="AB384" t="s">
        <v>272</v>
      </c>
      <c r="AC384" t="s">
        <v>273</v>
      </c>
      <c r="AD384" t="s">
        <v>274</v>
      </c>
      <c r="AE384" t="s">
        <v>241</v>
      </c>
      <c r="AG384" t="s">
        <v>871</v>
      </c>
      <c r="AH384">
        <v>0</v>
      </c>
      <c r="AI384">
        <v>201</v>
      </c>
      <c r="AJ384">
        <v>13</v>
      </c>
      <c r="AK384">
        <v>216</v>
      </c>
      <c r="AL384">
        <v>1.1200000000000001</v>
      </c>
    </row>
    <row r="385" spans="1:38" x14ac:dyDescent="0.3">
      <c r="A385" t="s">
        <v>817</v>
      </c>
      <c r="B385">
        <v>5496</v>
      </c>
      <c r="C385">
        <v>2</v>
      </c>
      <c r="D385" t="s">
        <v>867</v>
      </c>
      <c r="E385" t="s">
        <v>868</v>
      </c>
      <c r="F385">
        <v>192</v>
      </c>
      <c r="G385">
        <v>33.33</v>
      </c>
      <c r="H385">
        <v>110.19</v>
      </c>
      <c r="I385">
        <v>25.7</v>
      </c>
      <c r="J385">
        <v>84.97</v>
      </c>
      <c r="K385">
        <v>64</v>
      </c>
      <c r="T385">
        <v>3</v>
      </c>
      <c r="U385">
        <v>2</v>
      </c>
      <c r="V385" t="s">
        <v>269</v>
      </c>
      <c r="W385">
        <v>110</v>
      </c>
      <c r="X385">
        <v>16</v>
      </c>
      <c r="Y385">
        <v>16</v>
      </c>
      <c r="Z385" t="s">
        <v>869</v>
      </c>
      <c r="AA385" t="s">
        <v>870</v>
      </c>
      <c r="AB385" t="s">
        <v>272</v>
      </c>
      <c r="AC385" t="s">
        <v>273</v>
      </c>
      <c r="AD385" t="s">
        <v>274</v>
      </c>
      <c r="AE385" t="s">
        <v>241</v>
      </c>
      <c r="AG385" t="s">
        <v>871</v>
      </c>
      <c r="AH385">
        <v>0</v>
      </c>
      <c r="AI385">
        <v>201</v>
      </c>
      <c r="AJ385">
        <v>13</v>
      </c>
      <c r="AK385">
        <v>216</v>
      </c>
      <c r="AL385">
        <v>1.1200000000000001</v>
      </c>
    </row>
    <row r="386" spans="1:38" x14ac:dyDescent="0.3">
      <c r="A386" t="s">
        <v>817</v>
      </c>
      <c r="B386">
        <v>5496</v>
      </c>
      <c r="C386">
        <v>3</v>
      </c>
      <c r="D386" t="s">
        <v>867</v>
      </c>
      <c r="E386" t="s">
        <v>868</v>
      </c>
      <c r="F386">
        <v>192</v>
      </c>
      <c r="G386">
        <v>45.1</v>
      </c>
      <c r="H386">
        <v>149.11000000000001</v>
      </c>
      <c r="I386">
        <v>34.78</v>
      </c>
      <c r="J386">
        <v>114.98</v>
      </c>
      <c r="K386">
        <v>32</v>
      </c>
      <c r="T386">
        <v>4</v>
      </c>
      <c r="U386">
        <v>2</v>
      </c>
      <c r="V386" t="s">
        <v>269</v>
      </c>
      <c r="W386">
        <v>149</v>
      </c>
      <c r="X386">
        <v>16</v>
      </c>
      <c r="Y386">
        <v>16</v>
      </c>
      <c r="Z386" t="s">
        <v>869</v>
      </c>
      <c r="AA386" t="s">
        <v>870</v>
      </c>
      <c r="AB386" t="s">
        <v>272</v>
      </c>
      <c r="AC386" t="s">
        <v>273</v>
      </c>
      <c r="AD386" t="s">
        <v>274</v>
      </c>
      <c r="AE386" t="s">
        <v>241</v>
      </c>
      <c r="AG386" t="s">
        <v>871</v>
      </c>
      <c r="AH386">
        <v>0</v>
      </c>
      <c r="AI386">
        <v>201</v>
      </c>
      <c r="AJ386">
        <v>13</v>
      </c>
      <c r="AK386">
        <v>216</v>
      </c>
      <c r="AL386">
        <v>1.1200000000000001</v>
      </c>
    </row>
    <row r="387" spans="1:38" x14ac:dyDescent="0.3">
      <c r="A387" t="s">
        <v>817</v>
      </c>
      <c r="B387">
        <v>113240</v>
      </c>
      <c r="C387">
        <v>1</v>
      </c>
      <c r="D387" t="s">
        <v>872</v>
      </c>
      <c r="E387" t="s">
        <v>398</v>
      </c>
      <c r="F387">
        <v>724</v>
      </c>
      <c r="G387">
        <v>24.3</v>
      </c>
      <c r="H387">
        <v>80.34</v>
      </c>
      <c r="I387">
        <v>18.12</v>
      </c>
      <c r="J387">
        <v>59.92</v>
      </c>
      <c r="K387">
        <v>105</v>
      </c>
      <c r="T387">
        <v>3</v>
      </c>
      <c r="U387">
        <v>2</v>
      </c>
      <c r="V387" t="s">
        <v>269</v>
      </c>
      <c r="W387" t="s">
        <v>81</v>
      </c>
      <c r="X387">
        <v>29</v>
      </c>
      <c r="Y387">
        <v>15</v>
      </c>
      <c r="Z387" t="s">
        <v>873</v>
      </c>
      <c r="AA387" t="s">
        <v>874</v>
      </c>
      <c r="AB387" t="s">
        <v>272</v>
      </c>
      <c r="AC387" t="s">
        <v>273</v>
      </c>
      <c r="AD387" t="s">
        <v>274</v>
      </c>
      <c r="AE387" t="s">
        <v>241</v>
      </c>
      <c r="AG387" t="s">
        <v>875</v>
      </c>
      <c r="AH387">
        <v>0</v>
      </c>
      <c r="AI387">
        <v>209</v>
      </c>
      <c r="AJ387">
        <v>17</v>
      </c>
      <c r="AK387">
        <v>886</v>
      </c>
      <c r="AL387">
        <v>1.22</v>
      </c>
    </row>
    <row r="388" spans="1:38" x14ac:dyDescent="0.3">
      <c r="A388" t="s">
        <v>817</v>
      </c>
      <c r="B388">
        <v>113240</v>
      </c>
      <c r="C388">
        <v>2</v>
      </c>
      <c r="D388" t="s">
        <v>872</v>
      </c>
      <c r="E388" t="s">
        <v>398</v>
      </c>
      <c r="F388">
        <v>724</v>
      </c>
      <c r="G388">
        <v>24.35</v>
      </c>
      <c r="H388">
        <v>80.5</v>
      </c>
      <c r="I388">
        <v>18.14</v>
      </c>
      <c r="J388">
        <v>59.97</v>
      </c>
      <c r="K388">
        <v>60</v>
      </c>
      <c r="T388">
        <v>3</v>
      </c>
      <c r="U388">
        <v>2</v>
      </c>
      <c r="V388" t="s">
        <v>269</v>
      </c>
      <c r="W388" t="s">
        <v>85</v>
      </c>
      <c r="X388">
        <v>29</v>
      </c>
      <c r="Y388">
        <v>15</v>
      </c>
      <c r="Z388" t="s">
        <v>873</v>
      </c>
      <c r="AA388" t="s">
        <v>874</v>
      </c>
      <c r="AB388" t="s">
        <v>272</v>
      </c>
      <c r="AC388" t="s">
        <v>273</v>
      </c>
      <c r="AD388" t="s">
        <v>274</v>
      </c>
      <c r="AE388" t="s">
        <v>241</v>
      </c>
      <c r="AG388" t="s">
        <v>875</v>
      </c>
      <c r="AH388">
        <v>0</v>
      </c>
      <c r="AI388">
        <v>209</v>
      </c>
      <c r="AJ388">
        <v>17</v>
      </c>
      <c r="AK388">
        <v>886</v>
      </c>
      <c r="AL388">
        <v>1.22</v>
      </c>
    </row>
    <row r="389" spans="1:38" x14ac:dyDescent="0.3">
      <c r="A389" t="s">
        <v>817</v>
      </c>
      <c r="B389">
        <v>113240</v>
      </c>
      <c r="C389">
        <v>3</v>
      </c>
      <c r="D389" t="s">
        <v>872</v>
      </c>
      <c r="E389" t="s">
        <v>398</v>
      </c>
      <c r="F389">
        <v>724</v>
      </c>
      <c r="G389">
        <v>34.1</v>
      </c>
      <c r="H389">
        <v>112.75</v>
      </c>
      <c r="I389">
        <v>25.69</v>
      </c>
      <c r="J389">
        <v>84.93</v>
      </c>
      <c r="K389">
        <v>111</v>
      </c>
      <c r="T389">
        <v>3</v>
      </c>
      <c r="U389">
        <v>2</v>
      </c>
      <c r="V389" t="s">
        <v>269</v>
      </c>
      <c r="W389" t="s">
        <v>160</v>
      </c>
      <c r="X389">
        <v>29</v>
      </c>
      <c r="Y389">
        <v>15</v>
      </c>
      <c r="Z389" t="s">
        <v>873</v>
      </c>
      <c r="AA389" t="s">
        <v>874</v>
      </c>
      <c r="AB389" t="s">
        <v>272</v>
      </c>
      <c r="AC389" t="s">
        <v>273</v>
      </c>
      <c r="AD389" t="s">
        <v>274</v>
      </c>
      <c r="AE389" t="s">
        <v>241</v>
      </c>
      <c r="AG389" t="s">
        <v>875</v>
      </c>
      <c r="AH389">
        <v>0</v>
      </c>
      <c r="AI389">
        <v>209</v>
      </c>
      <c r="AJ389">
        <v>17</v>
      </c>
      <c r="AK389">
        <v>886</v>
      </c>
      <c r="AL389">
        <v>1.22</v>
      </c>
    </row>
    <row r="390" spans="1:38" x14ac:dyDescent="0.3">
      <c r="A390" t="s">
        <v>817</v>
      </c>
      <c r="B390">
        <v>113240</v>
      </c>
      <c r="C390">
        <v>4</v>
      </c>
      <c r="D390" t="s">
        <v>872</v>
      </c>
      <c r="E390" t="s">
        <v>398</v>
      </c>
      <c r="F390">
        <v>724</v>
      </c>
      <c r="G390">
        <v>34.159999999999997</v>
      </c>
      <c r="H390">
        <v>112.93</v>
      </c>
      <c r="I390">
        <v>25.6</v>
      </c>
      <c r="J390">
        <v>84.65</v>
      </c>
      <c r="K390">
        <v>107</v>
      </c>
      <c r="T390">
        <v>3</v>
      </c>
      <c r="U390">
        <v>2</v>
      </c>
      <c r="V390" t="s">
        <v>269</v>
      </c>
      <c r="W390" t="s">
        <v>161</v>
      </c>
      <c r="X390">
        <v>29</v>
      </c>
      <c r="Y390">
        <v>15</v>
      </c>
      <c r="Z390" t="s">
        <v>873</v>
      </c>
      <c r="AA390" t="s">
        <v>874</v>
      </c>
      <c r="AB390" t="s">
        <v>272</v>
      </c>
      <c r="AC390" t="s">
        <v>273</v>
      </c>
      <c r="AD390" t="s">
        <v>274</v>
      </c>
      <c r="AE390" t="s">
        <v>241</v>
      </c>
      <c r="AG390" t="s">
        <v>875</v>
      </c>
      <c r="AH390">
        <v>0</v>
      </c>
      <c r="AI390">
        <v>209</v>
      </c>
      <c r="AJ390">
        <v>17</v>
      </c>
      <c r="AK390">
        <v>886</v>
      </c>
      <c r="AL390">
        <v>1.22</v>
      </c>
    </row>
    <row r="391" spans="1:38" x14ac:dyDescent="0.3">
      <c r="A391" t="s">
        <v>817</v>
      </c>
      <c r="B391">
        <v>113240</v>
      </c>
      <c r="C391">
        <v>5</v>
      </c>
      <c r="D391" t="s">
        <v>872</v>
      </c>
      <c r="E391" t="s">
        <v>398</v>
      </c>
      <c r="F391">
        <v>724</v>
      </c>
      <c r="G391">
        <v>34.17</v>
      </c>
      <c r="H391">
        <v>112.97</v>
      </c>
      <c r="I391">
        <v>25.7</v>
      </c>
      <c r="J391">
        <v>84.97</v>
      </c>
      <c r="K391">
        <v>100</v>
      </c>
      <c r="T391">
        <v>3</v>
      </c>
      <c r="U391">
        <v>2</v>
      </c>
      <c r="V391" t="s">
        <v>269</v>
      </c>
      <c r="W391" t="s">
        <v>162</v>
      </c>
      <c r="X391">
        <v>29</v>
      </c>
      <c r="Y391">
        <v>15</v>
      </c>
      <c r="Z391" t="s">
        <v>873</v>
      </c>
      <c r="AA391" t="s">
        <v>874</v>
      </c>
      <c r="AB391" t="s">
        <v>272</v>
      </c>
      <c r="AC391" t="s">
        <v>273</v>
      </c>
      <c r="AD391" t="s">
        <v>274</v>
      </c>
      <c r="AE391" t="s">
        <v>241</v>
      </c>
      <c r="AG391" t="s">
        <v>875</v>
      </c>
      <c r="AH391">
        <v>0</v>
      </c>
      <c r="AI391">
        <v>209</v>
      </c>
      <c r="AJ391">
        <v>17</v>
      </c>
      <c r="AK391">
        <v>886</v>
      </c>
      <c r="AL391">
        <v>1.22</v>
      </c>
    </row>
    <row r="392" spans="1:38" x14ac:dyDescent="0.3">
      <c r="A392" t="s">
        <v>817</v>
      </c>
      <c r="B392">
        <v>113240</v>
      </c>
      <c r="C392">
        <v>6</v>
      </c>
      <c r="D392" t="s">
        <v>872</v>
      </c>
      <c r="E392" t="s">
        <v>398</v>
      </c>
      <c r="F392">
        <v>724</v>
      </c>
      <c r="G392">
        <v>34.08</v>
      </c>
      <c r="H392">
        <v>112.68</v>
      </c>
      <c r="I392">
        <v>25.69</v>
      </c>
      <c r="J392">
        <v>84.93</v>
      </c>
      <c r="K392">
        <v>75</v>
      </c>
      <c r="T392">
        <v>3</v>
      </c>
      <c r="U392">
        <v>2</v>
      </c>
      <c r="V392" t="s">
        <v>269</v>
      </c>
      <c r="W392" t="s">
        <v>101</v>
      </c>
      <c r="X392">
        <v>29</v>
      </c>
      <c r="Y392">
        <v>15</v>
      </c>
      <c r="Z392" t="s">
        <v>873</v>
      </c>
      <c r="AA392" t="s">
        <v>874</v>
      </c>
      <c r="AB392" t="s">
        <v>272</v>
      </c>
      <c r="AC392" t="s">
        <v>273</v>
      </c>
      <c r="AD392" t="s">
        <v>274</v>
      </c>
      <c r="AE392" t="s">
        <v>241</v>
      </c>
      <c r="AG392" t="s">
        <v>875</v>
      </c>
      <c r="AH392">
        <v>0</v>
      </c>
      <c r="AI392">
        <v>209</v>
      </c>
      <c r="AJ392">
        <v>17</v>
      </c>
      <c r="AK392">
        <v>886</v>
      </c>
      <c r="AL392">
        <v>1.22</v>
      </c>
    </row>
    <row r="393" spans="1:38" x14ac:dyDescent="0.3">
      <c r="A393" t="s">
        <v>817</v>
      </c>
      <c r="B393">
        <v>113240</v>
      </c>
      <c r="C393">
        <v>7</v>
      </c>
      <c r="D393" t="s">
        <v>872</v>
      </c>
      <c r="E393" t="s">
        <v>398</v>
      </c>
      <c r="F393">
        <v>724</v>
      </c>
      <c r="G393">
        <v>34.11</v>
      </c>
      <c r="H393">
        <v>112.77</v>
      </c>
      <c r="I393">
        <v>25.57</v>
      </c>
      <c r="J393">
        <v>84.53</v>
      </c>
      <c r="K393">
        <v>45</v>
      </c>
      <c r="T393">
        <v>3</v>
      </c>
      <c r="U393">
        <v>2</v>
      </c>
      <c r="V393" t="s">
        <v>269</v>
      </c>
      <c r="W393" t="s">
        <v>102</v>
      </c>
      <c r="X393">
        <v>29</v>
      </c>
      <c r="Y393">
        <v>15</v>
      </c>
      <c r="Z393" t="s">
        <v>873</v>
      </c>
      <c r="AA393" t="s">
        <v>874</v>
      </c>
      <c r="AB393" t="s">
        <v>272</v>
      </c>
      <c r="AC393" t="s">
        <v>273</v>
      </c>
      <c r="AD393" t="s">
        <v>274</v>
      </c>
      <c r="AE393" t="s">
        <v>241</v>
      </c>
      <c r="AG393" t="s">
        <v>875</v>
      </c>
      <c r="AH393">
        <v>0</v>
      </c>
      <c r="AI393">
        <v>209</v>
      </c>
      <c r="AJ393">
        <v>17</v>
      </c>
      <c r="AK393">
        <v>886</v>
      </c>
      <c r="AL393">
        <v>1.22</v>
      </c>
    </row>
    <row r="394" spans="1:38" x14ac:dyDescent="0.3">
      <c r="A394" t="s">
        <v>817</v>
      </c>
      <c r="B394">
        <v>113240</v>
      </c>
      <c r="C394">
        <v>8</v>
      </c>
      <c r="D394" t="s">
        <v>872</v>
      </c>
      <c r="E394" t="s">
        <v>398</v>
      </c>
      <c r="F394">
        <v>724</v>
      </c>
      <c r="G394">
        <v>34.1</v>
      </c>
      <c r="H394">
        <v>112.74</v>
      </c>
      <c r="I394">
        <v>25.67</v>
      </c>
      <c r="J394">
        <v>84.86</v>
      </c>
      <c r="K394">
        <v>15</v>
      </c>
      <c r="T394">
        <v>3</v>
      </c>
      <c r="U394">
        <v>2</v>
      </c>
      <c r="V394" t="s">
        <v>269</v>
      </c>
      <c r="W394" t="s">
        <v>163</v>
      </c>
      <c r="X394">
        <v>29</v>
      </c>
      <c r="Y394">
        <v>15</v>
      </c>
      <c r="Z394" t="s">
        <v>873</v>
      </c>
      <c r="AA394" t="s">
        <v>874</v>
      </c>
      <c r="AB394" t="s">
        <v>272</v>
      </c>
      <c r="AC394" t="s">
        <v>273</v>
      </c>
      <c r="AD394" t="s">
        <v>274</v>
      </c>
      <c r="AE394" t="s">
        <v>241</v>
      </c>
      <c r="AG394" t="s">
        <v>875</v>
      </c>
      <c r="AH394">
        <v>0</v>
      </c>
      <c r="AI394">
        <v>209</v>
      </c>
      <c r="AJ394">
        <v>17</v>
      </c>
      <c r="AK394">
        <v>886</v>
      </c>
      <c r="AL394">
        <v>1.22</v>
      </c>
    </row>
    <row r="395" spans="1:38" x14ac:dyDescent="0.3">
      <c r="A395" t="s">
        <v>817</v>
      </c>
      <c r="B395">
        <v>113240</v>
      </c>
      <c r="C395">
        <v>9</v>
      </c>
      <c r="D395" t="s">
        <v>872</v>
      </c>
      <c r="E395" t="s">
        <v>398</v>
      </c>
      <c r="F395">
        <v>724</v>
      </c>
      <c r="G395">
        <v>34.33</v>
      </c>
      <c r="H395">
        <v>113.5</v>
      </c>
      <c r="I395">
        <v>25.7</v>
      </c>
      <c r="J395">
        <v>84.98</v>
      </c>
      <c r="K395">
        <v>106</v>
      </c>
      <c r="T395">
        <v>3</v>
      </c>
      <c r="U395">
        <v>2</v>
      </c>
      <c r="V395" t="s">
        <v>269</v>
      </c>
      <c r="W395" t="s">
        <v>164</v>
      </c>
      <c r="X395">
        <v>29</v>
      </c>
      <c r="Y395">
        <v>15</v>
      </c>
      <c r="Z395" t="s">
        <v>873</v>
      </c>
      <c r="AA395" t="s">
        <v>874</v>
      </c>
      <c r="AB395" t="s">
        <v>272</v>
      </c>
      <c r="AC395" t="s">
        <v>273</v>
      </c>
      <c r="AD395" t="s">
        <v>274</v>
      </c>
      <c r="AE395" t="s">
        <v>241</v>
      </c>
      <c r="AG395" t="s">
        <v>875</v>
      </c>
      <c r="AH395">
        <v>0</v>
      </c>
      <c r="AI395">
        <v>209</v>
      </c>
      <c r="AJ395">
        <v>17</v>
      </c>
      <c r="AK395">
        <v>886</v>
      </c>
      <c r="AL395">
        <v>1.22</v>
      </c>
    </row>
    <row r="396" spans="1:38" x14ac:dyDescent="0.3">
      <c r="A396" t="s">
        <v>817</v>
      </c>
      <c r="B396">
        <v>5500</v>
      </c>
      <c r="C396">
        <v>1</v>
      </c>
      <c r="D396" t="s">
        <v>876</v>
      </c>
      <c r="E396" t="s">
        <v>877</v>
      </c>
      <c r="F396">
        <v>308</v>
      </c>
      <c r="G396">
        <v>28.96</v>
      </c>
      <c r="H396">
        <v>95.76</v>
      </c>
      <c r="I396">
        <v>23.23</v>
      </c>
      <c r="J396">
        <v>76.81</v>
      </c>
      <c r="K396">
        <v>164</v>
      </c>
      <c r="T396">
        <v>3</v>
      </c>
      <c r="U396">
        <v>2</v>
      </c>
      <c r="V396" t="s">
        <v>269</v>
      </c>
      <c r="W396">
        <v>95</v>
      </c>
      <c r="X396">
        <v>18</v>
      </c>
      <c r="Y396">
        <v>10</v>
      </c>
      <c r="Z396" t="s">
        <v>878</v>
      </c>
      <c r="AA396" t="s">
        <v>879</v>
      </c>
      <c r="AB396" t="s">
        <v>272</v>
      </c>
      <c r="AC396" t="s">
        <v>273</v>
      </c>
      <c r="AD396" t="s">
        <v>274</v>
      </c>
      <c r="AE396" t="s">
        <v>241</v>
      </c>
      <c r="AG396" t="s">
        <v>880</v>
      </c>
      <c r="AH396">
        <v>0</v>
      </c>
      <c r="AI396">
        <v>225</v>
      </c>
      <c r="AJ396">
        <v>20</v>
      </c>
      <c r="AK396">
        <v>314</v>
      </c>
      <c r="AL396">
        <v>1.02</v>
      </c>
    </row>
    <row r="397" spans="1:38" x14ac:dyDescent="0.3">
      <c r="A397" t="s">
        <v>817</v>
      </c>
      <c r="B397">
        <v>5500</v>
      </c>
      <c r="C397">
        <v>2</v>
      </c>
      <c r="D397" t="s">
        <v>876</v>
      </c>
      <c r="E397" t="s">
        <v>877</v>
      </c>
      <c r="F397">
        <v>308</v>
      </c>
      <c r="G397">
        <v>32.32</v>
      </c>
      <c r="H397">
        <v>106.86</v>
      </c>
      <c r="I397">
        <v>25.7</v>
      </c>
      <c r="J397">
        <v>84.97</v>
      </c>
      <c r="K397">
        <v>144</v>
      </c>
      <c r="T397">
        <v>3</v>
      </c>
      <c r="U397">
        <v>2</v>
      </c>
      <c r="V397" t="s">
        <v>269</v>
      </c>
      <c r="W397">
        <v>106</v>
      </c>
      <c r="X397">
        <v>18</v>
      </c>
      <c r="Y397">
        <v>10</v>
      </c>
      <c r="Z397" t="s">
        <v>878</v>
      </c>
      <c r="AA397" t="s">
        <v>879</v>
      </c>
      <c r="AB397" t="s">
        <v>272</v>
      </c>
      <c r="AC397" t="s">
        <v>273</v>
      </c>
      <c r="AD397" t="s">
        <v>274</v>
      </c>
      <c r="AE397" t="s">
        <v>241</v>
      </c>
      <c r="AG397" t="s">
        <v>880</v>
      </c>
      <c r="AH397">
        <v>0</v>
      </c>
      <c r="AI397">
        <v>225</v>
      </c>
      <c r="AJ397">
        <v>20</v>
      </c>
      <c r="AK397">
        <v>314</v>
      </c>
      <c r="AL397">
        <v>1.02</v>
      </c>
    </row>
    <row r="398" spans="1:38" x14ac:dyDescent="0.3">
      <c r="A398" t="s">
        <v>817</v>
      </c>
      <c r="B398">
        <v>5471</v>
      </c>
      <c r="C398">
        <v>1</v>
      </c>
      <c r="D398" t="s">
        <v>881</v>
      </c>
      <c r="E398" t="s">
        <v>882</v>
      </c>
      <c r="F398">
        <v>290</v>
      </c>
      <c r="G398">
        <v>18.100000000000001</v>
      </c>
      <c r="H398">
        <v>59.85</v>
      </c>
      <c r="I398">
        <v>16.36</v>
      </c>
      <c r="J398">
        <v>54.09</v>
      </c>
      <c r="K398">
        <v>120</v>
      </c>
      <c r="T398">
        <v>3</v>
      </c>
      <c r="U398">
        <v>1</v>
      </c>
      <c r="V398" t="s">
        <v>269</v>
      </c>
      <c r="W398">
        <v>59</v>
      </c>
      <c r="X398">
        <v>5</v>
      </c>
      <c r="Y398">
        <v>5</v>
      </c>
      <c r="Z398" t="s">
        <v>883</v>
      </c>
      <c r="AA398" t="s">
        <v>884</v>
      </c>
      <c r="AB398" t="s">
        <v>272</v>
      </c>
      <c r="AC398" t="s">
        <v>273</v>
      </c>
      <c r="AD398" t="s">
        <v>274</v>
      </c>
      <c r="AE398" t="s">
        <v>241</v>
      </c>
      <c r="AG398" t="s">
        <v>885</v>
      </c>
      <c r="AH398">
        <v>0</v>
      </c>
      <c r="AI398">
        <v>0</v>
      </c>
      <c r="AJ398">
        <v>0</v>
      </c>
      <c r="AK398">
        <v>0</v>
      </c>
      <c r="AL398">
        <v>0</v>
      </c>
    </row>
    <row r="399" spans="1:38" x14ac:dyDescent="0.3">
      <c r="A399" t="s">
        <v>817</v>
      </c>
      <c r="B399">
        <v>5471</v>
      </c>
      <c r="C399">
        <v>2</v>
      </c>
      <c r="D399" t="s">
        <v>881</v>
      </c>
      <c r="E399" t="s">
        <v>882</v>
      </c>
      <c r="F399">
        <v>290</v>
      </c>
      <c r="G399">
        <v>19.809999999999999</v>
      </c>
      <c r="H399">
        <v>65.52</v>
      </c>
      <c r="I399">
        <v>17.96</v>
      </c>
      <c r="J399">
        <v>59.4</v>
      </c>
      <c r="K399">
        <v>170</v>
      </c>
      <c r="T399">
        <v>3</v>
      </c>
      <c r="U399">
        <v>1</v>
      </c>
      <c r="V399" t="s">
        <v>269</v>
      </c>
      <c r="W399">
        <v>65</v>
      </c>
      <c r="X399">
        <v>5</v>
      </c>
      <c r="Y399">
        <v>5</v>
      </c>
      <c r="Z399" t="s">
        <v>883</v>
      </c>
      <c r="AA399" t="s">
        <v>884</v>
      </c>
      <c r="AB399" t="s">
        <v>272</v>
      </c>
      <c r="AC399" t="s">
        <v>273</v>
      </c>
      <c r="AD399" t="s">
        <v>274</v>
      </c>
      <c r="AE399" t="s">
        <v>241</v>
      </c>
      <c r="AG399" t="s">
        <v>885</v>
      </c>
      <c r="AH399">
        <v>0</v>
      </c>
      <c r="AI399">
        <v>0</v>
      </c>
      <c r="AJ399">
        <v>0</v>
      </c>
      <c r="AK399">
        <v>0</v>
      </c>
      <c r="AL399">
        <v>0</v>
      </c>
    </row>
    <row r="400" spans="1:38" x14ac:dyDescent="0.3">
      <c r="A400" t="s">
        <v>817</v>
      </c>
      <c r="B400">
        <v>113206</v>
      </c>
      <c r="C400">
        <v>1</v>
      </c>
      <c r="D400" t="s">
        <v>886</v>
      </c>
      <c r="E400" t="s">
        <v>398</v>
      </c>
      <c r="F400">
        <v>720</v>
      </c>
      <c r="G400">
        <v>24.3</v>
      </c>
      <c r="H400">
        <v>80.34</v>
      </c>
      <c r="I400">
        <v>18.13</v>
      </c>
      <c r="J400">
        <v>59.95</v>
      </c>
      <c r="K400">
        <v>108</v>
      </c>
      <c r="T400">
        <v>3</v>
      </c>
      <c r="U400">
        <v>2</v>
      </c>
      <c r="V400" t="s">
        <v>269</v>
      </c>
      <c r="W400">
        <v>80</v>
      </c>
      <c r="X400">
        <v>30</v>
      </c>
      <c r="Y400">
        <v>12</v>
      </c>
      <c r="Z400" t="s">
        <v>887</v>
      </c>
      <c r="AA400" t="s">
        <v>888</v>
      </c>
      <c r="AB400" t="s">
        <v>272</v>
      </c>
      <c r="AC400" t="s">
        <v>273</v>
      </c>
      <c r="AD400" t="s">
        <v>274</v>
      </c>
      <c r="AE400" t="s">
        <v>241</v>
      </c>
      <c r="AG400" t="s">
        <v>889</v>
      </c>
      <c r="AH400">
        <v>0</v>
      </c>
      <c r="AI400">
        <v>209</v>
      </c>
      <c r="AJ400">
        <v>15</v>
      </c>
      <c r="AK400">
        <v>921</v>
      </c>
      <c r="AL400">
        <v>1.28</v>
      </c>
    </row>
    <row r="401" spans="1:38" x14ac:dyDescent="0.3">
      <c r="A401" t="s">
        <v>817</v>
      </c>
      <c r="B401">
        <v>113206</v>
      </c>
      <c r="C401">
        <v>2</v>
      </c>
      <c r="D401" t="s">
        <v>886</v>
      </c>
      <c r="E401" t="s">
        <v>398</v>
      </c>
      <c r="F401">
        <v>720</v>
      </c>
      <c r="G401">
        <v>34.14</v>
      </c>
      <c r="H401">
        <v>112.86</v>
      </c>
      <c r="I401">
        <v>25.68</v>
      </c>
      <c r="J401">
        <v>84.9</v>
      </c>
      <c r="K401">
        <v>133</v>
      </c>
      <c r="T401">
        <v>4</v>
      </c>
      <c r="U401">
        <v>2</v>
      </c>
      <c r="V401" t="s">
        <v>269</v>
      </c>
      <c r="W401" t="s">
        <v>102</v>
      </c>
      <c r="X401">
        <v>30</v>
      </c>
      <c r="Y401">
        <v>12</v>
      </c>
      <c r="Z401" t="s">
        <v>887</v>
      </c>
      <c r="AA401" t="s">
        <v>888</v>
      </c>
      <c r="AB401" t="s">
        <v>272</v>
      </c>
      <c r="AC401" t="s">
        <v>273</v>
      </c>
      <c r="AD401" t="s">
        <v>274</v>
      </c>
      <c r="AE401" t="s">
        <v>241</v>
      </c>
      <c r="AG401" t="s">
        <v>889</v>
      </c>
      <c r="AH401">
        <v>0</v>
      </c>
      <c r="AI401">
        <v>209</v>
      </c>
      <c r="AJ401">
        <v>15</v>
      </c>
      <c r="AK401">
        <v>921</v>
      </c>
      <c r="AL401">
        <v>1.28</v>
      </c>
    </row>
    <row r="402" spans="1:38" x14ac:dyDescent="0.3">
      <c r="A402" t="s">
        <v>817</v>
      </c>
      <c r="B402">
        <v>113206</v>
      </c>
      <c r="C402">
        <v>3</v>
      </c>
      <c r="D402" t="s">
        <v>886</v>
      </c>
      <c r="E402" t="s">
        <v>398</v>
      </c>
      <c r="F402">
        <v>720</v>
      </c>
      <c r="G402">
        <v>34.07</v>
      </c>
      <c r="H402">
        <v>112.63</v>
      </c>
      <c r="I402">
        <v>25.69</v>
      </c>
      <c r="J402">
        <v>84.94</v>
      </c>
      <c r="K402">
        <v>98</v>
      </c>
      <c r="T402">
        <v>3</v>
      </c>
      <c r="U402">
        <v>2</v>
      </c>
      <c r="V402" t="s">
        <v>269</v>
      </c>
      <c r="W402" t="s">
        <v>160</v>
      </c>
      <c r="X402">
        <v>30</v>
      </c>
      <c r="Y402">
        <v>12</v>
      </c>
      <c r="Z402" t="s">
        <v>887</v>
      </c>
      <c r="AA402" t="s">
        <v>888</v>
      </c>
      <c r="AB402" t="s">
        <v>272</v>
      </c>
      <c r="AC402" t="s">
        <v>273</v>
      </c>
      <c r="AD402" t="s">
        <v>274</v>
      </c>
      <c r="AE402" t="s">
        <v>241</v>
      </c>
      <c r="AG402" t="s">
        <v>889</v>
      </c>
      <c r="AH402">
        <v>0</v>
      </c>
      <c r="AI402">
        <v>209</v>
      </c>
      <c r="AJ402">
        <v>15</v>
      </c>
      <c r="AK402">
        <v>921</v>
      </c>
      <c r="AL402">
        <v>1.28</v>
      </c>
    </row>
    <row r="403" spans="1:38" x14ac:dyDescent="0.3">
      <c r="A403" t="s">
        <v>817</v>
      </c>
      <c r="B403">
        <v>113206</v>
      </c>
      <c r="C403">
        <v>4</v>
      </c>
      <c r="D403" t="s">
        <v>886</v>
      </c>
      <c r="E403" t="s">
        <v>398</v>
      </c>
      <c r="F403">
        <v>720</v>
      </c>
      <c r="G403">
        <v>34.22</v>
      </c>
      <c r="H403">
        <v>113.13</v>
      </c>
      <c r="I403">
        <v>25.69</v>
      </c>
      <c r="J403">
        <v>84.93</v>
      </c>
      <c r="K403">
        <v>251</v>
      </c>
      <c r="T403">
        <v>4</v>
      </c>
      <c r="U403">
        <v>2</v>
      </c>
      <c r="V403" t="s">
        <v>269</v>
      </c>
      <c r="W403" t="s">
        <v>165</v>
      </c>
      <c r="X403">
        <v>30</v>
      </c>
      <c r="Y403">
        <v>12</v>
      </c>
      <c r="Z403" t="s">
        <v>887</v>
      </c>
      <c r="AA403" t="s">
        <v>888</v>
      </c>
      <c r="AB403" t="s">
        <v>272</v>
      </c>
      <c r="AC403" t="s">
        <v>273</v>
      </c>
      <c r="AD403" t="s">
        <v>274</v>
      </c>
      <c r="AE403" t="s">
        <v>241</v>
      </c>
      <c r="AG403" t="s">
        <v>889</v>
      </c>
      <c r="AH403">
        <v>0</v>
      </c>
      <c r="AI403">
        <v>209</v>
      </c>
      <c r="AJ403">
        <v>15</v>
      </c>
      <c r="AK403">
        <v>921</v>
      </c>
      <c r="AL403">
        <v>1.28</v>
      </c>
    </row>
    <row r="404" spans="1:38" x14ac:dyDescent="0.3">
      <c r="A404" t="s">
        <v>817</v>
      </c>
      <c r="B404">
        <v>113206</v>
      </c>
      <c r="C404">
        <v>5</v>
      </c>
      <c r="D404" t="s">
        <v>886</v>
      </c>
      <c r="E404" t="s">
        <v>398</v>
      </c>
      <c r="F404">
        <v>720</v>
      </c>
      <c r="G404">
        <v>34.229999999999997</v>
      </c>
      <c r="H404">
        <v>113.18</v>
      </c>
      <c r="I404">
        <v>25.69</v>
      </c>
      <c r="J404">
        <v>84.93</v>
      </c>
      <c r="K404">
        <v>130</v>
      </c>
      <c r="T404">
        <v>3</v>
      </c>
      <c r="U404">
        <v>2</v>
      </c>
      <c r="V404" t="s">
        <v>269</v>
      </c>
      <c r="W404" t="s">
        <v>167</v>
      </c>
      <c r="X404">
        <v>30</v>
      </c>
      <c r="Y404">
        <v>12</v>
      </c>
      <c r="Z404" t="s">
        <v>887</v>
      </c>
      <c r="AA404" t="s">
        <v>888</v>
      </c>
      <c r="AB404" t="s">
        <v>272</v>
      </c>
      <c r="AC404" t="s">
        <v>273</v>
      </c>
      <c r="AD404" t="s">
        <v>274</v>
      </c>
      <c r="AE404" t="s">
        <v>241</v>
      </c>
      <c r="AG404" t="s">
        <v>889</v>
      </c>
      <c r="AH404">
        <v>0</v>
      </c>
      <c r="AI404">
        <v>209</v>
      </c>
      <c r="AJ404">
        <v>15</v>
      </c>
      <c r="AK404">
        <v>921</v>
      </c>
      <c r="AL404">
        <v>1.28</v>
      </c>
    </row>
    <row r="405" spans="1:38" x14ac:dyDescent="0.3">
      <c r="A405" t="s">
        <v>817</v>
      </c>
      <c r="B405">
        <v>5474</v>
      </c>
      <c r="C405">
        <v>1</v>
      </c>
      <c r="D405" t="s">
        <v>890</v>
      </c>
      <c r="E405" t="s">
        <v>891</v>
      </c>
      <c r="F405">
        <v>240</v>
      </c>
      <c r="G405">
        <v>16.350000000000001</v>
      </c>
      <c r="H405">
        <v>54.06</v>
      </c>
      <c r="I405">
        <v>14.46</v>
      </c>
      <c r="J405">
        <v>47.82</v>
      </c>
      <c r="K405">
        <v>240</v>
      </c>
      <c r="T405">
        <v>3</v>
      </c>
      <c r="U405">
        <v>1</v>
      </c>
      <c r="V405" t="s">
        <v>269</v>
      </c>
      <c r="W405">
        <v>54</v>
      </c>
      <c r="X405">
        <v>5</v>
      </c>
      <c r="Y405">
        <v>5</v>
      </c>
      <c r="Z405" t="s">
        <v>892</v>
      </c>
      <c r="AA405" t="s">
        <v>893</v>
      </c>
      <c r="AB405" t="s">
        <v>272</v>
      </c>
      <c r="AC405" t="s">
        <v>273</v>
      </c>
      <c r="AD405" t="s">
        <v>274</v>
      </c>
      <c r="AE405" t="s">
        <v>241</v>
      </c>
      <c r="AG405" t="s">
        <v>894</v>
      </c>
      <c r="AH405">
        <v>0</v>
      </c>
      <c r="AI405">
        <v>0</v>
      </c>
      <c r="AJ405">
        <v>0</v>
      </c>
      <c r="AK405">
        <v>0</v>
      </c>
      <c r="AL405">
        <v>0</v>
      </c>
    </row>
    <row r="406" spans="1:38" x14ac:dyDescent="0.3">
      <c r="A406" t="s">
        <v>817</v>
      </c>
      <c r="B406">
        <v>106505</v>
      </c>
      <c r="C406">
        <v>1</v>
      </c>
      <c r="D406" t="s">
        <v>895</v>
      </c>
      <c r="E406" t="s">
        <v>896</v>
      </c>
      <c r="F406">
        <v>165</v>
      </c>
      <c r="G406">
        <v>28.39</v>
      </c>
      <c r="H406">
        <v>93.87</v>
      </c>
      <c r="I406">
        <v>21.1</v>
      </c>
      <c r="J406">
        <v>69.78</v>
      </c>
      <c r="K406">
        <v>6</v>
      </c>
      <c r="T406">
        <v>3</v>
      </c>
      <c r="U406">
        <v>1</v>
      </c>
      <c r="V406" t="s">
        <v>269</v>
      </c>
      <c r="W406">
        <v>93</v>
      </c>
      <c r="X406">
        <v>15</v>
      </c>
      <c r="Y406">
        <v>6</v>
      </c>
      <c r="Z406" t="s">
        <v>897</v>
      </c>
      <c r="AA406" t="s">
        <v>898</v>
      </c>
      <c r="AB406" t="s">
        <v>272</v>
      </c>
      <c r="AC406" t="s">
        <v>273</v>
      </c>
      <c r="AD406" t="s">
        <v>274</v>
      </c>
      <c r="AE406" t="s">
        <v>241</v>
      </c>
      <c r="AG406" t="s">
        <v>899</v>
      </c>
      <c r="AH406">
        <v>1</v>
      </c>
      <c r="AI406">
        <v>0</v>
      </c>
      <c r="AJ406">
        <v>0</v>
      </c>
      <c r="AK406">
        <v>0</v>
      </c>
      <c r="AL406">
        <v>0</v>
      </c>
    </row>
    <row r="407" spans="1:38" x14ac:dyDescent="0.3">
      <c r="A407" t="s">
        <v>817</v>
      </c>
      <c r="B407">
        <v>106505</v>
      </c>
      <c r="C407">
        <v>2</v>
      </c>
      <c r="D407" t="s">
        <v>895</v>
      </c>
      <c r="E407" t="s">
        <v>896</v>
      </c>
      <c r="F407">
        <v>165</v>
      </c>
      <c r="G407">
        <v>29.46</v>
      </c>
      <c r="H407">
        <v>97.41</v>
      </c>
      <c r="I407">
        <v>21.9</v>
      </c>
      <c r="J407">
        <v>72.41</v>
      </c>
      <c r="K407">
        <v>6</v>
      </c>
      <c r="T407">
        <v>3</v>
      </c>
      <c r="U407">
        <v>1</v>
      </c>
      <c r="V407" t="s">
        <v>269</v>
      </c>
      <c r="W407">
        <v>97</v>
      </c>
      <c r="X407">
        <v>15</v>
      </c>
      <c r="Y407">
        <v>6</v>
      </c>
      <c r="Z407" t="s">
        <v>897</v>
      </c>
      <c r="AA407" t="s">
        <v>898</v>
      </c>
      <c r="AB407" t="s">
        <v>272</v>
      </c>
      <c r="AC407" t="s">
        <v>273</v>
      </c>
      <c r="AD407" t="s">
        <v>274</v>
      </c>
      <c r="AE407" t="s">
        <v>241</v>
      </c>
      <c r="AG407" t="s">
        <v>899</v>
      </c>
      <c r="AH407">
        <v>1</v>
      </c>
      <c r="AI407">
        <v>0</v>
      </c>
      <c r="AJ407">
        <v>0</v>
      </c>
      <c r="AK407">
        <v>0</v>
      </c>
      <c r="AL407">
        <v>0</v>
      </c>
    </row>
    <row r="408" spans="1:38" x14ac:dyDescent="0.3">
      <c r="A408" t="s">
        <v>817</v>
      </c>
      <c r="B408">
        <v>106505</v>
      </c>
      <c r="C408">
        <v>3</v>
      </c>
      <c r="D408" t="s">
        <v>895</v>
      </c>
      <c r="E408" t="s">
        <v>896</v>
      </c>
      <c r="F408">
        <v>165</v>
      </c>
      <c r="G408">
        <v>30.3</v>
      </c>
      <c r="H408">
        <v>100.17</v>
      </c>
      <c r="I408">
        <v>22.52</v>
      </c>
      <c r="J408">
        <v>74.459999999999994</v>
      </c>
      <c r="K408">
        <v>18</v>
      </c>
      <c r="T408">
        <v>3</v>
      </c>
      <c r="U408">
        <v>1</v>
      </c>
      <c r="V408" t="s">
        <v>269</v>
      </c>
      <c r="W408">
        <v>100</v>
      </c>
      <c r="X408">
        <v>15</v>
      </c>
      <c r="Y408">
        <v>6</v>
      </c>
      <c r="Z408" t="s">
        <v>897</v>
      </c>
      <c r="AA408" t="s">
        <v>898</v>
      </c>
      <c r="AB408" t="s">
        <v>272</v>
      </c>
      <c r="AC408" t="s">
        <v>273</v>
      </c>
      <c r="AD408" t="s">
        <v>274</v>
      </c>
      <c r="AE408" t="s">
        <v>241</v>
      </c>
      <c r="AG408" t="s">
        <v>899</v>
      </c>
      <c r="AH408">
        <v>1</v>
      </c>
      <c r="AI408">
        <v>0</v>
      </c>
      <c r="AJ408">
        <v>0</v>
      </c>
      <c r="AK408">
        <v>0</v>
      </c>
      <c r="AL408">
        <v>0</v>
      </c>
    </row>
    <row r="409" spans="1:38" x14ac:dyDescent="0.3">
      <c r="A409" t="s">
        <v>817</v>
      </c>
      <c r="B409">
        <v>106505</v>
      </c>
      <c r="C409">
        <v>4</v>
      </c>
      <c r="D409" t="s">
        <v>895</v>
      </c>
      <c r="E409" t="s">
        <v>896</v>
      </c>
      <c r="F409">
        <v>165</v>
      </c>
      <c r="G409">
        <v>32.729999999999997</v>
      </c>
      <c r="H409">
        <v>108.2</v>
      </c>
      <c r="I409">
        <v>24.88</v>
      </c>
      <c r="J409">
        <v>82.26</v>
      </c>
      <c r="K409">
        <v>134</v>
      </c>
      <c r="T409">
        <v>3</v>
      </c>
      <c r="U409">
        <v>1</v>
      </c>
      <c r="V409" t="s">
        <v>269</v>
      </c>
      <c r="W409">
        <v>108</v>
      </c>
      <c r="X409">
        <v>15</v>
      </c>
      <c r="Y409">
        <v>6</v>
      </c>
      <c r="Z409" t="s">
        <v>897</v>
      </c>
      <c r="AA409" t="s">
        <v>898</v>
      </c>
      <c r="AB409" t="s">
        <v>272</v>
      </c>
      <c r="AC409" t="s">
        <v>273</v>
      </c>
      <c r="AD409" t="s">
        <v>274</v>
      </c>
      <c r="AE409" t="s">
        <v>241</v>
      </c>
      <c r="AG409" t="s">
        <v>899</v>
      </c>
      <c r="AH409">
        <v>1</v>
      </c>
      <c r="AI409">
        <v>0</v>
      </c>
      <c r="AJ409">
        <v>0</v>
      </c>
      <c r="AK409">
        <v>0</v>
      </c>
      <c r="AL409">
        <v>0</v>
      </c>
    </row>
    <row r="410" spans="1:38" x14ac:dyDescent="0.3">
      <c r="A410" t="s">
        <v>817</v>
      </c>
      <c r="B410">
        <v>115525</v>
      </c>
      <c r="C410">
        <v>1</v>
      </c>
      <c r="D410" t="s">
        <v>900</v>
      </c>
      <c r="E410" t="s">
        <v>901</v>
      </c>
      <c r="F410">
        <v>644</v>
      </c>
      <c r="G410">
        <v>24.37</v>
      </c>
      <c r="H410">
        <v>80.569999999999993</v>
      </c>
      <c r="I410">
        <v>18.09</v>
      </c>
      <c r="J410">
        <v>59.82</v>
      </c>
      <c r="K410">
        <v>117</v>
      </c>
      <c r="T410">
        <v>3</v>
      </c>
      <c r="U410">
        <v>2</v>
      </c>
      <c r="V410" t="s">
        <v>269</v>
      </c>
      <c r="W410" t="s">
        <v>81</v>
      </c>
      <c r="X410">
        <v>29</v>
      </c>
      <c r="Y410">
        <v>24</v>
      </c>
      <c r="Z410" t="s">
        <v>902</v>
      </c>
      <c r="AA410" t="s">
        <v>903</v>
      </c>
      <c r="AB410" t="s">
        <v>272</v>
      </c>
      <c r="AC410" t="s">
        <v>273</v>
      </c>
      <c r="AD410" t="s">
        <v>274</v>
      </c>
      <c r="AE410" t="s">
        <v>241</v>
      </c>
      <c r="AG410" t="s">
        <v>904</v>
      </c>
      <c r="AH410">
        <v>0</v>
      </c>
      <c r="AI410">
        <v>209</v>
      </c>
      <c r="AJ410">
        <v>13</v>
      </c>
      <c r="AK410">
        <v>958</v>
      </c>
      <c r="AL410">
        <v>1.49</v>
      </c>
    </row>
    <row r="411" spans="1:38" x14ac:dyDescent="0.3">
      <c r="A411" t="s">
        <v>817</v>
      </c>
      <c r="B411">
        <v>115525</v>
      </c>
      <c r="C411">
        <v>2</v>
      </c>
      <c r="D411" t="s">
        <v>900</v>
      </c>
      <c r="E411" t="s">
        <v>901</v>
      </c>
      <c r="F411">
        <v>644</v>
      </c>
      <c r="G411">
        <v>24.49</v>
      </c>
      <c r="H411">
        <v>80.97</v>
      </c>
      <c r="I411">
        <v>18.14</v>
      </c>
      <c r="J411">
        <v>59.97</v>
      </c>
      <c r="K411">
        <v>29</v>
      </c>
      <c r="T411">
        <v>3</v>
      </c>
      <c r="U411">
        <v>2</v>
      </c>
      <c r="V411" t="s">
        <v>269</v>
      </c>
      <c r="W411" t="s">
        <v>85</v>
      </c>
      <c r="X411">
        <v>29</v>
      </c>
      <c r="Y411">
        <v>24</v>
      </c>
      <c r="Z411" t="s">
        <v>902</v>
      </c>
      <c r="AA411" t="s">
        <v>903</v>
      </c>
      <c r="AB411" t="s">
        <v>272</v>
      </c>
      <c r="AC411" t="s">
        <v>273</v>
      </c>
      <c r="AD411" t="s">
        <v>274</v>
      </c>
      <c r="AE411" t="s">
        <v>241</v>
      </c>
      <c r="AG411" t="s">
        <v>904</v>
      </c>
      <c r="AH411">
        <v>0</v>
      </c>
      <c r="AI411">
        <v>209</v>
      </c>
      <c r="AJ411">
        <v>13</v>
      </c>
      <c r="AK411">
        <v>958</v>
      </c>
      <c r="AL411">
        <v>1.49</v>
      </c>
    </row>
    <row r="412" spans="1:38" x14ac:dyDescent="0.3">
      <c r="A412" t="s">
        <v>817</v>
      </c>
      <c r="B412">
        <v>115525</v>
      </c>
      <c r="C412">
        <v>3</v>
      </c>
      <c r="D412" t="s">
        <v>900</v>
      </c>
      <c r="E412" t="s">
        <v>901</v>
      </c>
      <c r="F412">
        <v>644</v>
      </c>
      <c r="G412">
        <v>34.08</v>
      </c>
      <c r="H412">
        <v>112.69</v>
      </c>
      <c r="I412">
        <v>25.7</v>
      </c>
      <c r="J412">
        <v>84.98</v>
      </c>
      <c r="K412">
        <v>133</v>
      </c>
      <c r="T412">
        <v>3</v>
      </c>
      <c r="U412">
        <v>2</v>
      </c>
      <c r="V412" t="s">
        <v>269</v>
      </c>
      <c r="W412" t="s">
        <v>160</v>
      </c>
      <c r="X412">
        <v>29</v>
      </c>
      <c r="Y412">
        <v>24</v>
      </c>
      <c r="Z412" t="s">
        <v>902</v>
      </c>
      <c r="AA412" t="s">
        <v>903</v>
      </c>
      <c r="AB412" t="s">
        <v>272</v>
      </c>
      <c r="AC412" t="s">
        <v>273</v>
      </c>
      <c r="AD412" t="s">
        <v>274</v>
      </c>
      <c r="AE412" t="s">
        <v>241</v>
      </c>
      <c r="AG412" t="s">
        <v>904</v>
      </c>
      <c r="AH412">
        <v>0</v>
      </c>
      <c r="AI412">
        <v>209</v>
      </c>
      <c r="AJ412">
        <v>13</v>
      </c>
      <c r="AK412">
        <v>958</v>
      </c>
      <c r="AL412">
        <v>1.49</v>
      </c>
    </row>
    <row r="413" spans="1:38" x14ac:dyDescent="0.3">
      <c r="A413" t="s">
        <v>817</v>
      </c>
      <c r="B413">
        <v>115525</v>
      </c>
      <c r="C413">
        <v>4</v>
      </c>
      <c r="D413" t="s">
        <v>900</v>
      </c>
      <c r="E413" t="s">
        <v>901</v>
      </c>
      <c r="F413">
        <v>644</v>
      </c>
      <c r="G413">
        <v>34.46</v>
      </c>
      <c r="H413">
        <v>113.94</v>
      </c>
      <c r="I413">
        <v>25.7</v>
      </c>
      <c r="J413">
        <v>84.99</v>
      </c>
      <c r="K413">
        <v>110</v>
      </c>
      <c r="T413">
        <v>3</v>
      </c>
      <c r="U413">
        <v>2</v>
      </c>
      <c r="V413" t="s">
        <v>269</v>
      </c>
      <c r="W413" t="s">
        <v>168</v>
      </c>
      <c r="X413">
        <v>29</v>
      </c>
      <c r="Y413">
        <v>24</v>
      </c>
      <c r="Z413" t="s">
        <v>902</v>
      </c>
      <c r="AA413" t="s">
        <v>903</v>
      </c>
      <c r="AB413" t="s">
        <v>272</v>
      </c>
      <c r="AC413" t="s">
        <v>273</v>
      </c>
      <c r="AD413" t="s">
        <v>274</v>
      </c>
      <c r="AE413" t="s">
        <v>241</v>
      </c>
      <c r="AG413" t="s">
        <v>904</v>
      </c>
      <c r="AH413">
        <v>0</v>
      </c>
      <c r="AI413">
        <v>209</v>
      </c>
      <c r="AJ413">
        <v>13</v>
      </c>
      <c r="AK413">
        <v>958</v>
      </c>
      <c r="AL413">
        <v>1.49</v>
      </c>
    </row>
    <row r="414" spans="1:38" x14ac:dyDescent="0.3">
      <c r="A414" t="s">
        <v>817</v>
      </c>
      <c r="B414">
        <v>115525</v>
      </c>
      <c r="C414">
        <v>5</v>
      </c>
      <c r="D414" t="s">
        <v>900</v>
      </c>
      <c r="E414" t="s">
        <v>901</v>
      </c>
      <c r="F414">
        <v>644</v>
      </c>
      <c r="G414">
        <v>34.21</v>
      </c>
      <c r="H414">
        <v>113.1</v>
      </c>
      <c r="I414">
        <v>25.7</v>
      </c>
      <c r="J414">
        <v>84.99</v>
      </c>
      <c r="K414">
        <v>27</v>
      </c>
      <c r="T414">
        <v>3</v>
      </c>
      <c r="U414">
        <v>2</v>
      </c>
      <c r="V414" t="s">
        <v>269</v>
      </c>
      <c r="W414" t="s">
        <v>165</v>
      </c>
      <c r="X414">
        <v>29</v>
      </c>
      <c r="Y414">
        <v>24</v>
      </c>
      <c r="Z414" t="s">
        <v>902</v>
      </c>
      <c r="AA414" t="s">
        <v>903</v>
      </c>
      <c r="AB414" t="s">
        <v>272</v>
      </c>
      <c r="AC414" t="s">
        <v>273</v>
      </c>
      <c r="AD414" t="s">
        <v>274</v>
      </c>
      <c r="AE414" t="s">
        <v>241</v>
      </c>
      <c r="AG414" t="s">
        <v>904</v>
      </c>
      <c r="AH414">
        <v>0</v>
      </c>
      <c r="AI414">
        <v>209</v>
      </c>
      <c r="AJ414">
        <v>13</v>
      </c>
      <c r="AK414">
        <v>958</v>
      </c>
      <c r="AL414">
        <v>1.49</v>
      </c>
    </row>
    <row r="415" spans="1:38" x14ac:dyDescent="0.3">
      <c r="A415" t="s">
        <v>817</v>
      </c>
      <c r="B415">
        <v>115525</v>
      </c>
      <c r="C415">
        <v>6</v>
      </c>
      <c r="D415" t="s">
        <v>900</v>
      </c>
      <c r="E415" t="s">
        <v>901</v>
      </c>
      <c r="F415">
        <v>644</v>
      </c>
      <c r="G415">
        <v>34.46</v>
      </c>
      <c r="H415">
        <v>113.94</v>
      </c>
      <c r="I415">
        <v>25.7</v>
      </c>
      <c r="J415">
        <v>84.99</v>
      </c>
      <c r="K415">
        <v>4</v>
      </c>
      <c r="T415">
        <v>3</v>
      </c>
      <c r="U415">
        <v>2</v>
      </c>
      <c r="V415" t="s">
        <v>269</v>
      </c>
      <c r="W415" t="s">
        <v>169</v>
      </c>
      <c r="X415">
        <v>29</v>
      </c>
      <c r="Y415">
        <v>24</v>
      </c>
      <c r="Z415" t="s">
        <v>902</v>
      </c>
      <c r="AA415" t="s">
        <v>903</v>
      </c>
      <c r="AB415" t="s">
        <v>272</v>
      </c>
      <c r="AC415" t="s">
        <v>273</v>
      </c>
      <c r="AD415" t="s">
        <v>274</v>
      </c>
      <c r="AE415" t="s">
        <v>241</v>
      </c>
      <c r="AG415" t="s">
        <v>904</v>
      </c>
      <c r="AH415">
        <v>0</v>
      </c>
      <c r="AI415">
        <v>209</v>
      </c>
      <c r="AJ415">
        <v>13</v>
      </c>
      <c r="AK415">
        <v>958</v>
      </c>
      <c r="AL415">
        <v>1.49</v>
      </c>
    </row>
    <row r="416" spans="1:38" x14ac:dyDescent="0.3">
      <c r="A416" t="s">
        <v>817</v>
      </c>
      <c r="B416">
        <v>115525</v>
      </c>
      <c r="C416">
        <v>7</v>
      </c>
      <c r="D416" t="s">
        <v>900</v>
      </c>
      <c r="E416" t="s">
        <v>901</v>
      </c>
      <c r="F416">
        <v>644</v>
      </c>
      <c r="G416">
        <v>39.97</v>
      </c>
      <c r="H416">
        <v>132.15</v>
      </c>
      <c r="I416">
        <v>30.08</v>
      </c>
      <c r="J416">
        <v>99.47</v>
      </c>
      <c r="K416">
        <v>110</v>
      </c>
      <c r="T416">
        <v>3</v>
      </c>
      <c r="U416">
        <v>2</v>
      </c>
      <c r="V416" t="s">
        <v>269</v>
      </c>
      <c r="W416">
        <v>132</v>
      </c>
      <c r="X416">
        <v>29</v>
      </c>
      <c r="Y416">
        <v>24</v>
      </c>
      <c r="Z416" t="s">
        <v>902</v>
      </c>
      <c r="AA416" t="s">
        <v>903</v>
      </c>
      <c r="AB416" t="s">
        <v>272</v>
      </c>
      <c r="AC416" t="s">
        <v>273</v>
      </c>
      <c r="AD416" t="s">
        <v>274</v>
      </c>
      <c r="AE416" t="s">
        <v>241</v>
      </c>
      <c r="AG416" t="s">
        <v>904</v>
      </c>
      <c r="AH416">
        <v>0</v>
      </c>
      <c r="AI416">
        <v>209</v>
      </c>
      <c r="AJ416">
        <v>13</v>
      </c>
      <c r="AK416">
        <v>958</v>
      </c>
      <c r="AL416">
        <v>1.49</v>
      </c>
    </row>
    <row r="417" spans="1:38" x14ac:dyDescent="0.3">
      <c r="A417" t="s">
        <v>817</v>
      </c>
      <c r="B417">
        <v>115525</v>
      </c>
      <c r="C417">
        <v>8</v>
      </c>
      <c r="D417" t="s">
        <v>900</v>
      </c>
      <c r="E417" t="s">
        <v>901</v>
      </c>
      <c r="F417">
        <v>644</v>
      </c>
      <c r="G417">
        <v>46.94</v>
      </c>
      <c r="H417">
        <v>155.19999999999999</v>
      </c>
      <c r="I417">
        <v>35.61</v>
      </c>
      <c r="J417">
        <v>117.74</v>
      </c>
      <c r="K417">
        <v>110</v>
      </c>
      <c r="T417">
        <v>4</v>
      </c>
      <c r="U417">
        <v>2</v>
      </c>
      <c r="V417" t="s">
        <v>269</v>
      </c>
      <c r="W417" t="s">
        <v>170</v>
      </c>
      <c r="X417">
        <v>29</v>
      </c>
      <c r="Y417">
        <v>24</v>
      </c>
      <c r="Z417" t="s">
        <v>902</v>
      </c>
      <c r="AA417" t="s">
        <v>903</v>
      </c>
      <c r="AB417" t="s">
        <v>272</v>
      </c>
      <c r="AC417" t="s">
        <v>273</v>
      </c>
      <c r="AD417" t="s">
        <v>274</v>
      </c>
      <c r="AE417" t="s">
        <v>241</v>
      </c>
      <c r="AG417" t="s">
        <v>904</v>
      </c>
      <c r="AH417">
        <v>0</v>
      </c>
      <c r="AI417">
        <v>209</v>
      </c>
      <c r="AJ417">
        <v>13</v>
      </c>
      <c r="AK417">
        <v>958</v>
      </c>
      <c r="AL417">
        <v>1.49</v>
      </c>
    </row>
    <row r="418" spans="1:38" x14ac:dyDescent="0.3">
      <c r="A418" t="s">
        <v>817</v>
      </c>
      <c r="B418">
        <v>115525</v>
      </c>
      <c r="C418">
        <v>9</v>
      </c>
      <c r="D418" t="s">
        <v>900</v>
      </c>
      <c r="E418" t="s">
        <v>901</v>
      </c>
      <c r="F418">
        <v>644</v>
      </c>
      <c r="G418">
        <v>46.94</v>
      </c>
      <c r="H418">
        <v>155.19999999999999</v>
      </c>
      <c r="I418">
        <v>35.61</v>
      </c>
      <c r="J418">
        <v>117.74</v>
      </c>
      <c r="K418">
        <v>4</v>
      </c>
      <c r="T418">
        <v>4</v>
      </c>
      <c r="U418">
        <v>2</v>
      </c>
      <c r="V418" t="s">
        <v>269</v>
      </c>
      <c r="W418" t="s">
        <v>171</v>
      </c>
      <c r="X418">
        <v>29</v>
      </c>
      <c r="Y418">
        <v>24</v>
      </c>
      <c r="Z418" t="s">
        <v>902</v>
      </c>
      <c r="AA418" t="s">
        <v>903</v>
      </c>
      <c r="AB418" t="s">
        <v>272</v>
      </c>
      <c r="AC418" t="s">
        <v>273</v>
      </c>
      <c r="AD418" t="s">
        <v>274</v>
      </c>
      <c r="AE418" t="s">
        <v>241</v>
      </c>
      <c r="AG418" t="s">
        <v>904</v>
      </c>
      <c r="AH418">
        <v>0</v>
      </c>
      <c r="AI418">
        <v>209</v>
      </c>
      <c r="AJ418">
        <v>13</v>
      </c>
      <c r="AK418">
        <v>958</v>
      </c>
      <c r="AL418">
        <v>1.49</v>
      </c>
    </row>
    <row r="419" spans="1:38" x14ac:dyDescent="0.3">
      <c r="A419" t="s">
        <v>817</v>
      </c>
      <c r="B419">
        <v>5510</v>
      </c>
      <c r="C419">
        <v>1</v>
      </c>
      <c r="D419" t="s">
        <v>905</v>
      </c>
      <c r="E419" t="s">
        <v>906</v>
      </c>
      <c r="F419">
        <v>248</v>
      </c>
      <c r="G419">
        <v>24.23</v>
      </c>
      <c r="H419">
        <v>80.12</v>
      </c>
      <c r="I419">
        <v>17.95</v>
      </c>
      <c r="J419">
        <v>59.34</v>
      </c>
      <c r="K419">
        <v>132</v>
      </c>
      <c r="T419">
        <v>3</v>
      </c>
      <c r="U419">
        <v>1</v>
      </c>
      <c r="V419" t="s">
        <v>269</v>
      </c>
      <c r="W419">
        <v>80</v>
      </c>
      <c r="X419">
        <v>15</v>
      </c>
      <c r="Y419">
        <v>12</v>
      </c>
      <c r="Z419" t="s">
        <v>907</v>
      </c>
      <c r="AA419" t="s">
        <v>908</v>
      </c>
      <c r="AB419" t="s">
        <v>272</v>
      </c>
      <c r="AC419" t="s">
        <v>273</v>
      </c>
      <c r="AD419" t="s">
        <v>274</v>
      </c>
      <c r="AE419" t="s">
        <v>241</v>
      </c>
      <c r="AG419" t="s">
        <v>909</v>
      </c>
      <c r="AH419">
        <v>0</v>
      </c>
      <c r="AI419">
        <v>236</v>
      </c>
      <c r="AJ419">
        <v>23</v>
      </c>
      <c r="AK419">
        <v>195</v>
      </c>
      <c r="AL419">
        <v>0.79</v>
      </c>
    </row>
    <row r="420" spans="1:38" x14ac:dyDescent="0.3">
      <c r="A420" t="s">
        <v>817</v>
      </c>
      <c r="B420">
        <v>5510</v>
      </c>
      <c r="C420">
        <v>2</v>
      </c>
      <c r="D420" t="s">
        <v>905</v>
      </c>
      <c r="E420" t="s">
        <v>906</v>
      </c>
      <c r="F420">
        <v>248</v>
      </c>
      <c r="G420">
        <v>31.56</v>
      </c>
      <c r="H420">
        <v>104.34</v>
      </c>
      <c r="I420">
        <v>25.7</v>
      </c>
      <c r="J420">
        <v>84.99</v>
      </c>
      <c r="K420">
        <v>116</v>
      </c>
      <c r="T420">
        <v>3</v>
      </c>
      <c r="U420">
        <v>2</v>
      </c>
      <c r="V420" t="s">
        <v>269</v>
      </c>
      <c r="W420">
        <v>104</v>
      </c>
      <c r="X420">
        <v>15</v>
      </c>
      <c r="Y420">
        <v>12</v>
      </c>
      <c r="Z420" t="s">
        <v>907</v>
      </c>
      <c r="AA420" t="s">
        <v>908</v>
      </c>
      <c r="AB420" t="s">
        <v>272</v>
      </c>
      <c r="AC420" t="s">
        <v>273</v>
      </c>
      <c r="AD420" t="s">
        <v>274</v>
      </c>
      <c r="AE420" t="s">
        <v>241</v>
      </c>
      <c r="AG420" t="s">
        <v>909</v>
      </c>
      <c r="AH420">
        <v>0</v>
      </c>
      <c r="AI420">
        <v>236</v>
      </c>
      <c r="AJ420">
        <v>23</v>
      </c>
      <c r="AK420">
        <v>195</v>
      </c>
      <c r="AL420">
        <v>0.79</v>
      </c>
    </row>
    <row r="421" spans="1:38" x14ac:dyDescent="0.3">
      <c r="A421" t="s">
        <v>817</v>
      </c>
      <c r="B421">
        <v>125652</v>
      </c>
      <c r="C421">
        <v>1</v>
      </c>
      <c r="D421" t="s">
        <v>910</v>
      </c>
      <c r="E421" t="s">
        <v>911</v>
      </c>
      <c r="F421">
        <v>878</v>
      </c>
      <c r="G421">
        <v>30.87</v>
      </c>
      <c r="H421">
        <v>102.06</v>
      </c>
      <c r="I421">
        <v>22.96</v>
      </c>
      <c r="J421">
        <v>75.92</v>
      </c>
      <c r="K421">
        <v>150</v>
      </c>
      <c r="T421">
        <v>3</v>
      </c>
      <c r="U421">
        <v>2</v>
      </c>
      <c r="V421" t="s">
        <v>269</v>
      </c>
      <c r="W421" t="s">
        <v>136</v>
      </c>
      <c r="X421">
        <v>30</v>
      </c>
      <c r="Y421">
        <v>26</v>
      </c>
      <c r="Z421" t="s">
        <v>912</v>
      </c>
      <c r="AA421" t="s">
        <v>913</v>
      </c>
      <c r="AB421" t="s">
        <v>272</v>
      </c>
      <c r="AC421" t="s">
        <v>273</v>
      </c>
      <c r="AD421" t="s">
        <v>274</v>
      </c>
      <c r="AE421" t="s">
        <v>241</v>
      </c>
      <c r="AG421" t="s">
        <v>914</v>
      </c>
      <c r="AH421">
        <v>0</v>
      </c>
      <c r="AI421">
        <v>243</v>
      </c>
      <c r="AJ421">
        <v>15</v>
      </c>
      <c r="AK421">
        <v>1416</v>
      </c>
      <c r="AL421">
        <v>1.61</v>
      </c>
    </row>
    <row r="422" spans="1:38" x14ac:dyDescent="0.3">
      <c r="A422" t="s">
        <v>817</v>
      </c>
      <c r="B422">
        <v>125652</v>
      </c>
      <c r="C422">
        <v>2</v>
      </c>
      <c r="D422" t="s">
        <v>910</v>
      </c>
      <c r="E422" t="s">
        <v>911</v>
      </c>
      <c r="F422">
        <v>878</v>
      </c>
      <c r="G422">
        <v>30.94</v>
      </c>
      <c r="H422">
        <v>102.3</v>
      </c>
      <c r="I422">
        <v>22.97</v>
      </c>
      <c r="J422">
        <v>75.95</v>
      </c>
      <c r="K422">
        <v>60</v>
      </c>
      <c r="T422">
        <v>3</v>
      </c>
      <c r="U422">
        <v>2</v>
      </c>
      <c r="V422" t="s">
        <v>269</v>
      </c>
      <c r="W422" t="s">
        <v>135</v>
      </c>
      <c r="X422">
        <v>30</v>
      </c>
      <c r="Y422">
        <v>26</v>
      </c>
      <c r="Z422" t="s">
        <v>912</v>
      </c>
      <c r="AA422" t="s">
        <v>913</v>
      </c>
      <c r="AB422" t="s">
        <v>272</v>
      </c>
      <c r="AC422" t="s">
        <v>273</v>
      </c>
      <c r="AD422" t="s">
        <v>274</v>
      </c>
      <c r="AE422" t="s">
        <v>241</v>
      </c>
      <c r="AG422" t="s">
        <v>914</v>
      </c>
      <c r="AH422">
        <v>0</v>
      </c>
      <c r="AI422">
        <v>243</v>
      </c>
      <c r="AJ422">
        <v>15</v>
      </c>
      <c r="AK422">
        <v>1416</v>
      </c>
      <c r="AL422">
        <v>1.61</v>
      </c>
    </row>
    <row r="423" spans="1:38" x14ac:dyDescent="0.3">
      <c r="A423" t="s">
        <v>817</v>
      </c>
      <c r="B423">
        <v>125652</v>
      </c>
      <c r="C423">
        <v>3</v>
      </c>
      <c r="D423" t="s">
        <v>910</v>
      </c>
      <c r="E423" t="s">
        <v>911</v>
      </c>
      <c r="F423">
        <v>878</v>
      </c>
      <c r="G423">
        <v>34.450000000000003</v>
      </c>
      <c r="H423">
        <v>113.9</v>
      </c>
      <c r="I423">
        <v>25.68</v>
      </c>
      <c r="J423">
        <v>84.9</v>
      </c>
      <c r="K423">
        <v>237</v>
      </c>
      <c r="T423">
        <v>3</v>
      </c>
      <c r="U423">
        <v>2</v>
      </c>
      <c r="V423" t="s">
        <v>269</v>
      </c>
      <c r="W423" t="s">
        <v>165</v>
      </c>
      <c r="X423">
        <v>30</v>
      </c>
      <c r="Y423">
        <v>26</v>
      </c>
      <c r="Z423" t="s">
        <v>912</v>
      </c>
      <c r="AA423" t="s">
        <v>913</v>
      </c>
      <c r="AB423" t="s">
        <v>272</v>
      </c>
      <c r="AC423" t="s">
        <v>273</v>
      </c>
      <c r="AD423" t="s">
        <v>274</v>
      </c>
      <c r="AE423" t="s">
        <v>241</v>
      </c>
      <c r="AG423" t="s">
        <v>914</v>
      </c>
      <c r="AH423">
        <v>0</v>
      </c>
      <c r="AI423">
        <v>243</v>
      </c>
      <c r="AJ423">
        <v>15</v>
      </c>
      <c r="AK423">
        <v>1416</v>
      </c>
      <c r="AL423">
        <v>1.61</v>
      </c>
    </row>
    <row r="424" spans="1:38" x14ac:dyDescent="0.3">
      <c r="A424" t="s">
        <v>817</v>
      </c>
      <c r="B424">
        <v>125652</v>
      </c>
      <c r="C424">
        <v>4</v>
      </c>
      <c r="D424" t="s">
        <v>910</v>
      </c>
      <c r="E424" t="s">
        <v>911</v>
      </c>
      <c r="F424">
        <v>878</v>
      </c>
      <c r="G424">
        <v>34.64</v>
      </c>
      <c r="H424">
        <v>114.52</v>
      </c>
      <c r="I424">
        <v>25.69</v>
      </c>
      <c r="J424">
        <v>84.93</v>
      </c>
      <c r="K424">
        <v>179</v>
      </c>
      <c r="T424">
        <v>3</v>
      </c>
      <c r="U424">
        <v>2</v>
      </c>
      <c r="V424" t="s">
        <v>269</v>
      </c>
      <c r="W424" t="s">
        <v>79</v>
      </c>
      <c r="X424">
        <v>30</v>
      </c>
      <c r="Y424">
        <v>26</v>
      </c>
      <c r="Z424" t="s">
        <v>912</v>
      </c>
      <c r="AA424" t="s">
        <v>913</v>
      </c>
      <c r="AB424" t="s">
        <v>272</v>
      </c>
      <c r="AC424" t="s">
        <v>273</v>
      </c>
      <c r="AD424" t="s">
        <v>274</v>
      </c>
      <c r="AE424" t="s">
        <v>241</v>
      </c>
      <c r="AG424" t="s">
        <v>914</v>
      </c>
      <c r="AH424">
        <v>0</v>
      </c>
      <c r="AI424">
        <v>243</v>
      </c>
      <c r="AJ424">
        <v>15</v>
      </c>
      <c r="AK424">
        <v>1416</v>
      </c>
      <c r="AL424">
        <v>1.61</v>
      </c>
    </row>
    <row r="425" spans="1:38" x14ac:dyDescent="0.3">
      <c r="A425" t="s">
        <v>817</v>
      </c>
      <c r="B425">
        <v>125652</v>
      </c>
      <c r="C425">
        <v>5</v>
      </c>
      <c r="D425" t="s">
        <v>910</v>
      </c>
      <c r="E425" t="s">
        <v>911</v>
      </c>
      <c r="F425">
        <v>878</v>
      </c>
      <c r="G425">
        <v>40.19</v>
      </c>
      <c r="H425">
        <v>132.86000000000001</v>
      </c>
      <c r="I425">
        <v>29.93</v>
      </c>
      <c r="J425">
        <v>98.97</v>
      </c>
      <c r="K425">
        <v>140</v>
      </c>
      <c r="T425">
        <v>4</v>
      </c>
      <c r="U425">
        <v>2</v>
      </c>
      <c r="V425" t="s">
        <v>269</v>
      </c>
      <c r="W425" t="s">
        <v>172</v>
      </c>
      <c r="X425">
        <v>30</v>
      </c>
      <c r="Y425">
        <v>26</v>
      </c>
      <c r="Z425" t="s">
        <v>912</v>
      </c>
      <c r="AA425" t="s">
        <v>913</v>
      </c>
      <c r="AB425" t="s">
        <v>272</v>
      </c>
      <c r="AC425" t="s">
        <v>273</v>
      </c>
      <c r="AD425" t="s">
        <v>274</v>
      </c>
      <c r="AE425" t="s">
        <v>241</v>
      </c>
      <c r="AG425" t="s">
        <v>914</v>
      </c>
      <c r="AH425">
        <v>0</v>
      </c>
      <c r="AI425">
        <v>243</v>
      </c>
      <c r="AJ425">
        <v>15</v>
      </c>
      <c r="AK425">
        <v>1416</v>
      </c>
      <c r="AL425">
        <v>1.61</v>
      </c>
    </row>
    <row r="426" spans="1:38" x14ac:dyDescent="0.3">
      <c r="A426" t="s">
        <v>817</v>
      </c>
      <c r="B426">
        <v>125652</v>
      </c>
      <c r="C426">
        <v>6</v>
      </c>
      <c r="D426" t="s">
        <v>910</v>
      </c>
      <c r="E426" t="s">
        <v>911</v>
      </c>
      <c r="F426">
        <v>878</v>
      </c>
      <c r="G426">
        <v>50.51</v>
      </c>
      <c r="H426">
        <v>166.99</v>
      </c>
      <c r="I426">
        <v>38.01</v>
      </c>
      <c r="J426">
        <v>125.66</v>
      </c>
      <c r="K426">
        <v>112</v>
      </c>
      <c r="T426">
        <v>4</v>
      </c>
      <c r="U426">
        <v>2</v>
      </c>
      <c r="V426" t="s">
        <v>269</v>
      </c>
      <c r="W426" t="s">
        <v>173</v>
      </c>
      <c r="X426">
        <v>30</v>
      </c>
      <c r="Y426">
        <v>26</v>
      </c>
      <c r="Z426" t="s">
        <v>912</v>
      </c>
      <c r="AA426" t="s">
        <v>913</v>
      </c>
      <c r="AB426" t="s">
        <v>272</v>
      </c>
      <c r="AC426" t="s">
        <v>273</v>
      </c>
      <c r="AD426" t="s">
        <v>274</v>
      </c>
      <c r="AE426" t="s">
        <v>241</v>
      </c>
      <c r="AG426" t="s">
        <v>914</v>
      </c>
      <c r="AH426">
        <v>0</v>
      </c>
      <c r="AI426">
        <v>243</v>
      </c>
      <c r="AJ426">
        <v>15</v>
      </c>
      <c r="AK426">
        <v>1416</v>
      </c>
      <c r="AL426">
        <v>1.61</v>
      </c>
    </row>
    <row r="427" spans="1:38" x14ac:dyDescent="0.3">
      <c r="A427" t="s">
        <v>817</v>
      </c>
      <c r="B427">
        <v>5488</v>
      </c>
      <c r="C427">
        <v>1</v>
      </c>
      <c r="D427" t="s">
        <v>915</v>
      </c>
      <c r="E427" t="s">
        <v>741</v>
      </c>
      <c r="F427">
        <v>505</v>
      </c>
      <c r="G427">
        <v>31.8</v>
      </c>
      <c r="H427">
        <v>105.13</v>
      </c>
      <c r="I427">
        <v>25.68</v>
      </c>
      <c r="J427">
        <v>84.92</v>
      </c>
      <c r="K427">
        <v>68</v>
      </c>
      <c r="T427">
        <v>3</v>
      </c>
      <c r="U427">
        <v>2</v>
      </c>
      <c r="V427" t="s">
        <v>269</v>
      </c>
      <c r="W427">
        <v>105</v>
      </c>
      <c r="X427">
        <v>19</v>
      </c>
      <c r="Y427">
        <v>11</v>
      </c>
      <c r="Z427" t="s">
        <v>916</v>
      </c>
      <c r="AA427" t="s">
        <v>917</v>
      </c>
      <c r="AB427" t="s">
        <v>272</v>
      </c>
      <c r="AC427" t="s">
        <v>273</v>
      </c>
      <c r="AD427" t="s">
        <v>274</v>
      </c>
      <c r="AE427" t="s">
        <v>241</v>
      </c>
      <c r="AG427" t="s">
        <v>918</v>
      </c>
      <c r="AH427">
        <v>0</v>
      </c>
      <c r="AI427">
        <v>231</v>
      </c>
      <c r="AJ427">
        <v>17</v>
      </c>
      <c r="AK427">
        <v>584</v>
      </c>
      <c r="AL427">
        <v>1.1599999999999999</v>
      </c>
    </row>
    <row r="428" spans="1:38" x14ac:dyDescent="0.3">
      <c r="A428" t="s">
        <v>817</v>
      </c>
      <c r="B428">
        <v>5488</v>
      </c>
      <c r="C428">
        <v>2</v>
      </c>
      <c r="D428" t="s">
        <v>915</v>
      </c>
      <c r="E428" t="s">
        <v>741</v>
      </c>
      <c r="F428">
        <v>505</v>
      </c>
      <c r="G428">
        <v>32.39</v>
      </c>
      <c r="H428">
        <v>107.1</v>
      </c>
      <c r="I428">
        <v>25.69</v>
      </c>
      <c r="J428">
        <v>84.95</v>
      </c>
      <c r="K428">
        <v>261</v>
      </c>
      <c r="T428">
        <v>3</v>
      </c>
      <c r="U428">
        <v>2</v>
      </c>
      <c r="V428" t="s">
        <v>269</v>
      </c>
      <c r="W428">
        <v>107</v>
      </c>
      <c r="X428">
        <v>19</v>
      </c>
      <c r="Y428">
        <v>11</v>
      </c>
      <c r="Z428" t="s">
        <v>916</v>
      </c>
      <c r="AA428" t="s">
        <v>917</v>
      </c>
      <c r="AB428" t="s">
        <v>272</v>
      </c>
      <c r="AC428" t="s">
        <v>273</v>
      </c>
      <c r="AD428" t="s">
        <v>274</v>
      </c>
      <c r="AE428" t="s">
        <v>241</v>
      </c>
      <c r="AG428" t="s">
        <v>918</v>
      </c>
      <c r="AH428">
        <v>0</v>
      </c>
      <c r="AI428">
        <v>231</v>
      </c>
      <c r="AJ428">
        <v>17</v>
      </c>
      <c r="AK428">
        <v>584</v>
      </c>
      <c r="AL428">
        <v>1.1599999999999999</v>
      </c>
    </row>
    <row r="429" spans="1:38" x14ac:dyDescent="0.3">
      <c r="A429" t="s">
        <v>817</v>
      </c>
      <c r="B429">
        <v>5488</v>
      </c>
      <c r="C429">
        <v>3</v>
      </c>
      <c r="D429" t="s">
        <v>915</v>
      </c>
      <c r="E429" t="s">
        <v>741</v>
      </c>
      <c r="F429">
        <v>505</v>
      </c>
      <c r="G429">
        <v>37.22</v>
      </c>
      <c r="H429">
        <v>123.05</v>
      </c>
      <c r="I429">
        <v>30.21</v>
      </c>
      <c r="J429">
        <v>99.9</v>
      </c>
      <c r="K429">
        <v>108</v>
      </c>
      <c r="T429">
        <v>4</v>
      </c>
      <c r="U429">
        <v>2</v>
      </c>
      <c r="V429" t="s">
        <v>269</v>
      </c>
      <c r="W429">
        <v>123</v>
      </c>
      <c r="X429">
        <v>19</v>
      </c>
      <c r="Y429">
        <v>11</v>
      </c>
      <c r="Z429" t="s">
        <v>916</v>
      </c>
      <c r="AA429" t="s">
        <v>917</v>
      </c>
      <c r="AB429" t="s">
        <v>272</v>
      </c>
      <c r="AC429" t="s">
        <v>273</v>
      </c>
      <c r="AD429" t="s">
        <v>274</v>
      </c>
      <c r="AE429" t="s">
        <v>241</v>
      </c>
      <c r="AG429" t="s">
        <v>918</v>
      </c>
      <c r="AH429">
        <v>0</v>
      </c>
      <c r="AI429">
        <v>231</v>
      </c>
      <c r="AJ429">
        <v>17</v>
      </c>
      <c r="AK429">
        <v>584</v>
      </c>
      <c r="AL429">
        <v>1.1599999999999999</v>
      </c>
    </row>
    <row r="430" spans="1:38" x14ac:dyDescent="0.3">
      <c r="A430" t="s">
        <v>817</v>
      </c>
      <c r="B430">
        <v>5488</v>
      </c>
      <c r="C430">
        <v>4</v>
      </c>
      <c r="D430" t="s">
        <v>915</v>
      </c>
      <c r="E430" t="s">
        <v>741</v>
      </c>
      <c r="F430">
        <v>505</v>
      </c>
      <c r="G430">
        <v>45.75</v>
      </c>
      <c r="H430">
        <v>151.25</v>
      </c>
      <c r="I430">
        <v>37.58</v>
      </c>
      <c r="J430">
        <v>124.26</v>
      </c>
      <c r="K430">
        <v>68</v>
      </c>
      <c r="T430">
        <v>4</v>
      </c>
      <c r="U430">
        <v>2</v>
      </c>
      <c r="V430" t="s">
        <v>269</v>
      </c>
      <c r="W430">
        <v>151</v>
      </c>
      <c r="X430">
        <v>19</v>
      </c>
      <c r="Y430">
        <v>11</v>
      </c>
      <c r="Z430" t="s">
        <v>916</v>
      </c>
      <c r="AA430" t="s">
        <v>917</v>
      </c>
      <c r="AB430" t="s">
        <v>272</v>
      </c>
      <c r="AC430" t="s">
        <v>273</v>
      </c>
      <c r="AD430" t="s">
        <v>274</v>
      </c>
      <c r="AE430" t="s">
        <v>241</v>
      </c>
      <c r="AG430" t="s">
        <v>918</v>
      </c>
      <c r="AH430">
        <v>0</v>
      </c>
      <c r="AI430">
        <v>231</v>
      </c>
      <c r="AJ430">
        <v>17</v>
      </c>
      <c r="AK430">
        <v>584</v>
      </c>
      <c r="AL430">
        <v>1.1599999999999999</v>
      </c>
    </row>
    <row r="431" spans="1:38" x14ac:dyDescent="0.3">
      <c r="A431" t="s">
        <v>817</v>
      </c>
      <c r="B431">
        <v>127653</v>
      </c>
      <c r="C431">
        <v>1</v>
      </c>
      <c r="D431" t="s">
        <v>919</v>
      </c>
      <c r="E431" t="s">
        <v>920</v>
      </c>
      <c r="F431">
        <v>614</v>
      </c>
      <c r="G431">
        <v>34.99</v>
      </c>
      <c r="H431">
        <v>115.69</v>
      </c>
      <c r="I431">
        <v>25.7</v>
      </c>
      <c r="J431">
        <v>84.96</v>
      </c>
      <c r="K431">
        <v>210</v>
      </c>
      <c r="T431">
        <v>3</v>
      </c>
      <c r="U431">
        <v>2</v>
      </c>
      <c r="V431" t="s">
        <v>269</v>
      </c>
      <c r="W431">
        <v>115</v>
      </c>
      <c r="X431">
        <v>45</v>
      </c>
      <c r="Y431">
        <v>36</v>
      </c>
      <c r="Z431" t="s">
        <v>921</v>
      </c>
      <c r="AA431" t="s">
        <v>922</v>
      </c>
      <c r="AB431" t="s">
        <v>272</v>
      </c>
      <c r="AC431" t="s">
        <v>273</v>
      </c>
      <c r="AD431" t="s">
        <v>274</v>
      </c>
      <c r="AE431" t="s">
        <v>241</v>
      </c>
      <c r="AG431" t="s">
        <v>923</v>
      </c>
      <c r="AH431">
        <v>0</v>
      </c>
      <c r="AI431">
        <v>499</v>
      </c>
      <c r="AJ431">
        <v>66</v>
      </c>
      <c r="AK431">
        <v>1182</v>
      </c>
      <c r="AL431">
        <v>1.93</v>
      </c>
    </row>
    <row r="432" spans="1:38" x14ac:dyDescent="0.3">
      <c r="A432" t="s">
        <v>817</v>
      </c>
      <c r="B432">
        <v>127653</v>
      </c>
      <c r="C432">
        <v>2</v>
      </c>
      <c r="D432" t="s">
        <v>919</v>
      </c>
      <c r="E432" t="s">
        <v>920</v>
      </c>
      <c r="F432">
        <v>614</v>
      </c>
      <c r="G432">
        <v>47.19</v>
      </c>
      <c r="H432">
        <v>156.02000000000001</v>
      </c>
      <c r="I432">
        <v>35.340000000000003</v>
      </c>
      <c r="J432">
        <v>116.83</v>
      </c>
      <c r="K432">
        <v>119</v>
      </c>
      <c r="T432">
        <v>4</v>
      </c>
      <c r="U432">
        <v>2</v>
      </c>
      <c r="V432" t="s">
        <v>269</v>
      </c>
      <c r="W432" t="s">
        <v>174</v>
      </c>
      <c r="X432">
        <v>45</v>
      </c>
      <c r="Y432">
        <v>36</v>
      </c>
      <c r="Z432" t="s">
        <v>921</v>
      </c>
      <c r="AA432" t="s">
        <v>922</v>
      </c>
      <c r="AB432" t="s">
        <v>272</v>
      </c>
      <c r="AC432" t="s">
        <v>273</v>
      </c>
      <c r="AD432" t="s">
        <v>274</v>
      </c>
      <c r="AE432" t="s">
        <v>241</v>
      </c>
      <c r="AG432" t="s">
        <v>923</v>
      </c>
      <c r="AH432">
        <v>0</v>
      </c>
      <c r="AI432">
        <v>499</v>
      </c>
      <c r="AJ432">
        <v>66</v>
      </c>
      <c r="AK432">
        <v>1182</v>
      </c>
      <c r="AL432">
        <v>1.93</v>
      </c>
    </row>
    <row r="433" spans="1:38" x14ac:dyDescent="0.3">
      <c r="A433" t="s">
        <v>817</v>
      </c>
      <c r="B433">
        <v>127653</v>
      </c>
      <c r="C433">
        <v>3</v>
      </c>
      <c r="D433" t="s">
        <v>919</v>
      </c>
      <c r="E433" t="s">
        <v>920</v>
      </c>
      <c r="F433">
        <v>614</v>
      </c>
      <c r="G433">
        <v>47.29</v>
      </c>
      <c r="H433">
        <v>156.34</v>
      </c>
      <c r="I433">
        <v>35.35</v>
      </c>
      <c r="J433">
        <v>116.86</v>
      </c>
      <c r="K433">
        <v>38</v>
      </c>
      <c r="T433">
        <v>4</v>
      </c>
      <c r="U433">
        <v>2</v>
      </c>
      <c r="V433" t="s">
        <v>269</v>
      </c>
      <c r="W433" t="s">
        <v>175</v>
      </c>
      <c r="X433">
        <v>45</v>
      </c>
      <c r="Y433">
        <v>36</v>
      </c>
      <c r="Z433" t="s">
        <v>921</v>
      </c>
      <c r="AA433" t="s">
        <v>922</v>
      </c>
      <c r="AB433" t="s">
        <v>272</v>
      </c>
      <c r="AC433" t="s">
        <v>273</v>
      </c>
      <c r="AD433" t="s">
        <v>274</v>
      </c>
      <c r="AE433" t="s">
        <v>241</v>
      </c>
      <c r="AG433" t="s">
        <v>923</v>
      </c>
      <c r="AH433">
        <v>0</v>
      </c>
      <c r="AI433">
        <v>499</v>
      </c>
      <c r="AJ433">
        <v>66</v>
      </c>
      <c r="AK433">
        <v>1182</v>
      </c>
      <c r="AL433">
        <v>1.93</v>
      </c>
    </row>
    <row r="434" spans="1:38" x14ac:dyDescent="0.3">
      <c r="A434" t="s">
        <v>817</v>
      </c>
      <c r="B434">
        <v>127653</v>
      </c>
      <c r="C434">
        <v>4</v>
      </c>
      <c r="D434" t="s">
        <v>919</v>
      </c>
      <c r="E434" t="s">
        <v>920</v>
      </c>
      <c r="F434">
        <v>614</v>
      </c>
      <c r="G434">
        <v>48.6</v>
      </c>
      <c r="H434">
        <v>160.68</v>
      </c>
      <c r="I434">
        <v>36.46</v>
      </c>
      <c r="J434">
        <v>120.55</v>
      </c>
      <c r="K434">
        <v>122</v>
      </c>
      <c r="T434">
        <v>4</v>
      </c>
      <c r="U434">
        <v>2</v>
      </c>
      <c r="V434" t="s">
        <v>269</v>
      </c>
      <c r="W434">
        <v>160</v>
      </c>
      <c r="X434">
        <v>45</v>
      </c>
      <c r="Y434">
        <v>36</v>
      </c>
      <c r="Z434" t="s">
        <v>921</v>
      </c>
      <c r="AA434" t="s">
        <v>922</v>
      </c>
      <c r="AB434" t="s">
        <v>272</v>
      </c>
      <c r="AC434" t="s">
        <v>273</v>
      </c>
      <c r="AD434" t="s">
        <v>274</v>
      </c>
      <c r="AE434" t="s">
        <v>241</v>
      </c>
      <c r="AG434" t="s">
        <v>923</v>
      </c>
      <c r="AH434">
        <v>0</v>
      </c>
      <c r="AI434">
        <v>499</v>
      </c>
      <c r="AJ434">
        <v>66</v>
      </c>
      <c r="AK434">
        <v>1182</v>
      </c>
      <c r="AL434">
        <v>1.93</v>
      </c>
    </row>
    <row r="435" spans="1:38" x14ac:dyDescent="0.3">
      <c r="A435" t="s">
        <v>817</v>
      </c>
      <c r="B435">
        <v>127653</v>
      </c>
      <c r="C435">
        <v>5</v>
      </c>
      <c r="D435" t="s">
        <v>919</v>
      </c>
      <c r="E435" t="s">
        <v>920</v>
      </c>
      <c r="F435">
        <v>614</v>
      </c>
      <c r="G435">
        <v>53.14</v>
      </c>
      <c r="H435">
        <v>175.68</v>
      </c>
      <c r="I435">
        <v>39.6</v>
      </c>
      <c r="J435">
        <v>130.91999999999999</v>
      </c>
      <c r="K435">
        <v>121</v>
      </c>
      <c r="T435">
        <v>4</v>
      </c>
      <c r="U435">
        <v>2</v>
      </c>
      <c r="V435" t="s">
        <v>269</v>
      </c>
      <c r="W435">
        <v>175</v>
      </c>
      <c r="X435">
        <v>45</v>
      </c>
      <c r="Y435">
        <v>36</v>
      </c>
      <c r="Z435" t="s">
        <v>921</v>
      </c>
      <c r="AA435" t="s">
        <v>922</v>
      </c>
      <c r="AB435" t="s">
        <v>272</v>
      </c>
      <c r="AC435" t="s">
        <v>273</v>
      </c>
      <c r="AD435" t="s">
        <v>274</v>
      </c>
      <c r="AE435" t="s">
        <v>241</v>
      </c>
      <c r="AG435" t="s">
        <v>923</v>
      </c>
      <c r="AH435">
        <v>0</v>
      </c>
      <c r="AI435">
        <v>499</v>
      </c>
      <c r="AJ435">
        <v>66</v>
      </c>
      <c r="AK435">
        <v>1182</v>
      </c>
      <c r="AL435">
        <v>1.93</v>
      </c>
    </row>
    <row r="436" spans="1:38" x14ac:dyDescent="0.3">
      <c r="A436" t="s">
        <v>817</v>
      </c>
      <c r="B436">
        <v>127653</v>
      </c>
      <c r="C436">
        <v>6</v>
      </c>
      <c r="D436" t="s">
        <v>919</v>
      </c>
      <c r="E436" t="s">
        <v>920</v>
      </c>
      <c r="F436">
        <v>614</v>
      </c>
      <c r="G436">
        <v>67.349999999999994</v>
      </c>
      <c r="H436">
        <v>222.67</v>
      </c>
      <c r="I436">
        <v>49.51</v>
      </c>
      <c r="J436">
        <v>163.69</v>
      </c>
      <c r="K436">
        <v>2</v>
      </c>
      <c r="T436">
        <v>4</v>
      </c>
      <c r="U436">
        <v>3</v>
      </c>
      <c r="V436" t="s">
        <v>269</v>
      </c>
      <c r="W436">
        <v>222</v>
      </c>
      <c r="X436">
        <v>45</v>
      </c>
      <c r="Y436">
        <v>36</v>
      </c>
      <c r="Z436" t="s">
        <v>921</v>
      </c>
      <c r="AA436" t="s">
        <v>922</v>
      </c>
      <c r="AB436" t="s">
        <v>272</v>
      </c>
      <c r="AC436" t="s">
        <v>273</v>
      </c>
      <c r="AD436" t="s">
        <v>274</v>
      </c>
      <c r="AE436" t="s">
        <v>241</v>
      </c>
      <c r="AG436" t="s">
        <v>923</v>
      </c>
      <c r="AH436">
        <v>0</v>
      </c>
      <c r="AI436">
        <v>499</v>
      </c>
      <c r="AJ436">
        <v>66</v>
      </c>
      <c r="AK436">
        <v>1182</v>
      </c>
      <c r="AL436">
        <v>1.93</v>
      </c>
    </row>
    <row r="437" spans="1:38" x14ac:dyDescent="0.3">
      <c r="A437" t="s">
        <v>817</v>
      </c>
      <c r="B437">
        <v>127653</v>
      </c>
      <c r="C437">
        <v>7</v>
      </c>
      <c r="D437" t="s">
        <v>919</v>
      </c>
      <c r="E437" t="s">
        <v>920</v>
      </c>
      <c r="F437">
        <v>614</v>
      </c>
      <c r="G437">
        <v>68.97</v>
      </c>
      <c r="H437">
        <v>228.03</v>
      </c>
      <c r="I437">
        <v>50.62</v>
      </c>
      <c r="J437">
        <v>167.35</v>
      </c>
      <c r="K437">
        <v>1</v>
      </c>
      <c r="T437">
        <v>4</v>
      </c>
      <c r="U437">
        <v>3</v>
      </c>
      <c r="V437" t="s">
        <v>269</v>
      </c>
      <c r="W437">
        <v>228</v>
      </c>
      <c r="X437">
        <v>45</v>
      </c>
      <c r="Y437">
        <v>36</v>
      </c>
      <c r="Z437" t="s">
        <v>921</v>
      </c>
      <c r="AA437" t="s">
        <v>922</v>
      </c>
      <c r="AB437" t="s">
        <v>272</v>
      </c>
      <c r="AC437" t="s">
        <v>273</v>
      </c>
      <c r="AD437" t="s">
        <v>274</v>
      </c>
      <c r="AE437" t="s">
        <v>241</v>
      </c>
      <c r="AG437" t="s">
        <v>923</v>
      </c>
      <c r="AH437">
        <v>0</v>
      </c>
      <c r="AI437">
        <v>499</v>
      </c>
      <c r="AJ437">
        <v>66</v>
      </c>
      <c r="AK437">
        <v>1182</v>
      </c>
      <c r="AL437">
        <v>1.93</v>
      </c>
    </row>
    <row r="438" spans="1:38" x14ac:dyDescent="0.3">
      <c r="A438" t="s">
        <v>817</v>
      </c>
      <c r="B438">
        <v>127653</v>
      </c>
      <c r="C438">
        <v>8</v>
      </c>
      <c r="D438" t="s">
        <v>919</v>
      </c>
      <c r="E438" t="s">
        <v>920</v>
      </c>
      <c r="F438">
        <v>614</v>
      </c>
      <c r="G438">
        <v>71.13</v>
      </c>
      <c r="H438">
        <v>235.16</v>
      </c>
      <c r="I438">
        <v>52.31</v>
      </c>
      <c r="J438">
        <v>172.95</v>
      </c>
      <c r="K438">
        <v>1</v>
      </c>
      <c r="T438">
        <v>4</v>
      </c>
      <c r="U438">
        <v>3</v>
      </c>
      <c r="V438" t="s">
        <v>269</v>
      </c>
      <c r="W438">
        <v>235</v>
      </c>
      <c r="X438">
        <v>45</v>
      </c>
      <c r="Y438">
        <v>36</v>
      </c>
      <c r="Z438" t="s">
        <v>921</v>
      </c>
      <c r="AA438" t="s">
        <v>922</v>
      </c>
      <c r="AB438" t="s">
        <v>272</v>
      </c>
      <c r="AC438" t="s">
        <v>273</v>
      </c>
      <c r="AD438" t="s">
        <v>274</v>
      </c>
      <c r="AE438" t="s">
        <v>241</v>
      </c>
      <c r="AG438" t="s">
        <v>923</v>
      </c>
      <c r="AH438">
        <v>0</v>
      </c>
      <c r="AI438">
        <v>499</v>
      </c>
      <c r="AJ438">
        <v>66</v>
      </c>
      <c r="AK438">
        <v>1182</v>
      </c>
      <c r="AL438">
        <v>1.93</v>
      </c>
    </row>
    <row r="439" spans="1:38" x14ac:dyDescent="0.3">
      <c r="A439" t="s">
        <v>817</v>
      </c>
      <c r="B439">
        <v>101784</v>
      </c>
      <c r="C439">
        <v>1</v>
      </c>
      <c r="D439" t="s">
        <v>924</v>
      </c>
      <c r="E439" t="s">
        <v>925</v>
      </c>
      <c r="F439">
        <v>710</v>
      </c>
      <c r="G439">
        <v>20.420000000000002</v>
      </c>
      <c r="H439">
        <v>67.510000000000005</v>
      </c>
      <c r="I439">
        <v>15.69</v>
      </c>
      <c r="J439">
        <v>51.88</v>
      </c>
      <c r="K439">
        <v>258</v>
      </c>
      <c r="T439">
        <v>2</v>
      </c>
      <c r="U439">
        <v>1</v>
      </c>
      <c r="V439" t="s">
        <v>269</v>
      </c>
      <c r="W439">
        <v>67</v>
      </c>
      <c r="X439">
        <v>15</v>
      </c>
      <c r="Y439">
        <v>13</v>
      </c>
      <c r="Z439" t="s">
        <v>926</v>
      </c>
      <c r="AA439" t="s">
        <v>927</v>
      </c>
      <c r="AB439" t="s">
        <v>272</v>
      </c>
      <c r="AC439" t="s">
        <v>273</v>
      </c>
      <c r="AD439" t="s">
        <v>274</v>
      </c>
      <c r="AE439" t="s">
        <v>241</v>
      </c>
      <c r="AG439" t="s">
        <v>928</v>
      </c>
      <c r="AH439">
        <v>0</v>
      </c>
      <c r="AI439">
        <v>146</v>
      </c>
      <c r="AJ439">
        <v>14</v>
      </c>
      <c r="AK439">
        <v>499</v>
      </c>
      <c r="AL439">
        <v>0.7</v>
      </c>
    </row>
    <row r="440" spans="1:38" x14ac:dyDescent="0.3">
      <c r="A440" t="s">
        <v>817</v>
      </c>
      <c r="B440">
        <v>101784</v>
      </c>
      <c r="C440">
        <v>2</v>
      </c>
      <c r="D440" t="s">
        <v>924</v>
      </c>
      <c r="E440" t="s">
        <v>925</v>
      </c>
      <c r="F440">
        <v>710</v>
      </c>
      <c r="G440">
        <v>23.44</v>
      </c>
      <c r="H440">
        <v>77.52</v>
      </c>
      <c r="I440">
        <v>18.010000000000002</v>
      </c>
      <c r="J440">
        <v>59.57</v>
      </c>
      <c r="K440">
        <v>452</v>
      </c>
      <c r="T440">
        <v>3</v>
      </c>
      <c r="U440">
        <v>1</v>
      </c>
      <c r="V440" t="s">
        <v>269</v>
      </c>
      <c r="W440">
        <v>77</v>
      </c>
      <c r="X440">
        <v>15</v>
      </c>
      <c r="Y440">
        <v>13</v>
      </c>
      <c r="Z440" t="s">
        <v>926</v>
      </c>
      <c r="AA440" t="s">
        <v>927</v>
      </c>
      <c r="AB440" t="s">
        <v>272</v>
      </c>
      <c r="AC440" t="s">
        <v>273</v>
      </c>
      <c r="AD440" t="s">
        <v>274</v>
      </c>
      <c r="AE440" t="s">
        <v>241</v>
      </c>
      <c r="AG440" t="s">
        <v>928</v>
      </c>
      <c r="AH440">
        <v>0</v>
      </c>
      <c r="AI440">
        <v>146</v>
      </c>
      <c r="AJ440">
        <v>14</v>
      </c>
      <c r="AK440">
        <v>499</v>
      </c>
      <c r="AL440">
        <v>0.7</v>
      </c>
    </row>
    <row r="441" spans="1:38" x14ac:dyDescent="0.3">
      <c r="A441" t="s">
        <v>817</v>
      </c>
      <c r="B441">
        <v>115438</v>
      </c>
      <c r="C441">
        <v>1</v>
      </c>
      <c r="D441" t="s">
        <v>929</v>
      </c>
      <c r="E441" t="s">
        <v>824</v>
      </c>
      <c r="F441">
        <v>948</v>
      </c>
      <c r="G441">
        <v>24.89</v>
      </c>
      <c r="H441">
        <v>82.3</v>
      </c>
      <c r="I441">
        <v>18.13</v>
      </c>
      <c r="J441">
        <v>59.95</v>
      </c>
      <c r="K441">
        <v>250</v>
      </c>
      <c r="T441">
        <v>3</v>
      </c>
      <c r="U441">
        <v>2</v>
      </c>
      <c r="V441" t="s">
        <v>269</v>
      </c>
      <c r="W441">
        <v>82</v>
      </c>
      <c r="X441">
        <v>30</v>
      </c>
      <c r="Y441">
        <v>14</v>
      </c>
      <c r="Z441" t="s">
        <v>930</v>
      </c>
      <c r="AA441" t="s">
        <v>931</v>
      </c>
      <c r="AB441" t="s">
        <v>272</v>
      </c>
      <c r="AC441" t="s">
        <v>273</v>
      </c>
      <c r="AD441" t="s">
        <v>274</v>
      </c>
      <c r="AE441" t="s">
        <v>241</v>
      </c>
      <c r="AG441" t="s">
        <v>932</v>
      </c>
      <c r="AH441">
        <v>0</v>
      </c>
      <c r="AI441">
        <v>219</v>
      </c>
      <c r="AJ441">
        <v>19</v>
      </c>
      <c r="AK441">
        <v>1188</v>
      </c>
      <c r="AL441">
        <v>1.25</v>
      </c>
    </row>
    <row r="442" spans="1:38" x14ac:dyDescent="0.3">
      <c r="A442" t="s">
        <v>817</v>
      </c>
      <c r="B442">
        <v>115438</v>
      </c>
      <c r="C442">
        <v>2</v>
      </c>
      <c r="D442" t="s">
        <v>929</v>
      </c>
      <c r="E442" t="s">
        <v>824</v>
      </c>
      <c r="F442">
        <v>948</v>
      </c>
      <c r="G442">
        <v>34.71</v>
      </c>
      <c r="H442">
        <v>114.77</v>
      </c>
      <c r="I442">
        <v>25.7</v>
      </c>
      <c r="J442">
        <v>84.98</v>
      </c>
      <c r="K442">
        <v>492</v>
      </c>
      <c r="T442">
        <v>3</v>
      </c>
      <c r="U442">
        <v>2</v>
      </c>
      <c r="V442" t="s">
        <v>269</v>
      </c>
      <c r="W442" t="s">
        <v>78</v>
      </c>
      <c r="X442">
        <v>30</v>
      </c>
      <c r="Y442">
        <v>14</v>
      </c>
      <c r="Z442" t="s">
        <v>930</v>
      </c>
      <c r="AA442" t="s">
        <v>931</v>
      </c>
      <c r="AB442" t="s">
        <v>272</v>
      </c>
      <c r="AC442" t="s">
        <v>273</v>
      </c>
      <c r="AD442" t="s">
        <v>274</v>
      </c>
      <c r="AE442" t="s">
        <v>241</v>
      </c>
      <c r="AG442" t="s">
        <v>932</v>
      </c>
      <c r="AH442">
        <v>0</v>
      </c>
      <c r="AI442">
        <v>219</v>
      </c>
      <c r="AJ442">
        <v>19</v>
      </c>
      <c r="AK442">
        <v>1188</v>
      </c>
      <c r="AL442">
        <v>1.25</v>
      </c>
    </row>
    <row r="443" spans="1:38" x14ac:dyDescent="0.3">
      <c r="A443" t="s">
        <v>817</v>
      </c>
      <c r="B443">
        <v>115438</v>
      </c>
      <c r="C443">
        <v>3</v>
      </c>
      <c r="D443" t="s">
        <v>929</v>
      </c>
      <c r="E443" t="s">
        <v>824</v>
      </c>
      <c r="F443">
        <v>948</v>
      </c>
      <c r="G443">
        <v>34.72</v>
      </c>
      <c r="H443">
        <v>114.78</v>
      </c>
      <c r="I443">
        <v>25.69</v>
      </c>
      <c r="J443">
        <v>84.93</v>
      </c>
      <c r="K443">
        <v>103</v>
      </c>
      <c r="T443">
        <v>3</v>
      </c>
      <c r="U443">
        <v>2</v>
      </c>
      <c r="V443" t="s">
        <v>269</v>
      </c>
      <c r="W443" t="s">
        <v>79</v>
      </c>
      <c r="X443">
        <v>30</v>
      </c>
      <c r="Y443">
        <v>14</v>
      </c>
      <c r="Z443" t="s">
        <v>930</v>
      </c>
      <c r="AA443" t="s">
        <v>931</v>
      </c>
      <c r="AB443" t="s">
        <v>272</v>
      </c>
      <c r="AC443" t="s">
        <v>273</v>
      </c>
      <c r="AD443" t="s">
        <v>274</v>
      </c>
      <c r="AE443" t="s">
        <v>241</v>
      </c>
      <c r="AG443" t="s">
        <v>932</v>
      </c>
      <c r="AH443">
        <v>0</v>
      </c>
      <c r="AI443">
        <v>219</v>
      </c>
      <c r="AJ443">
        <v>19</v>
      </c>
      <c r="AK443">
        <v>1188</v>
      </c>
      <c r="AL443">
        <v>1.25</v>
      </c>
    </row>
    <row r="444" spans="1:38" x14ac:dyDescent="0.3">
      <c r="A444" t="s">
        <v>817</v>
      </c>
      <c r="B444">
        <v>115438</v>
      </c>
      <c r="C444">
        <v>4</v>
      </c>
      <c r="D444" t="s">
        <v>929</v>
      </c>
      <c r="E444" t="s">
        <v>824</v>
      </c>
      <c r="F444">
        <v>948</v>
      </c>
      <c r="G444">
        <v>34.64</v>
      </c>
      <c r="H444">
        <v>114.54</v>
      </c>
      <c r="I444">
        <v>25.7</v>
      </c>
      <c r="J444">
        <v>84.98</v>
      </c>
      <c r="K444">
        <v>87</v>
      </c>
      <c r="T444">
        <v>3</v>
      </c>
      <c r="U444">
        <v>2</v>
      </c>
      <c r="V444" t="s">
        <v>269</v>
      </c>
      <c r="W444" t="s">
        <v>154</v>
      </c>
      <c r="X444">
        <v>30</v>
      </c>
      <c r="Y444">
        <v>14</v>
      </c>
      <c r="Z444" t="s">
        <v>930</v>
      </c>
      <c r="AA444" t="s">
        <v>931</v>
      </c>
      <c r="AB444" t="s">
        <v>272</v>
      </c>
      <c r="AC444" t="s">
        <v>273</v>
      </c>
      <c r="AD444" t="s">
        <v>274</v>
      </c>
      <c r="AE444" t="s">
        <v>241</v>
      </c>
      <c r="AG444" t="s">
        <v>932</v>
      </c>
      <c r="AH444">
        <v>0</v>
      </c>
      <c r="AI444">
        <v>219</v>
      </c>
      <c r="AJ444">
        <v>19</v>
      </c>
      <c r="AK444">
        <v>1188</v>
      </c>
      <c r="AL444">
        <v>1.25</v>
      </c>
    </row>
    <row r="445" spans="1:38" x14ac:dyDescent="0.3">
      <c r="A445" t="s">
        <v>817</v>
      </c>
      <c r="B445">
        <v>115438</v>
      </c>
      <c r="C445">
        <v>5</v>
      </c>
      <c r="D445" t="s">
        <v>929</v>
      </c>
      <c r="E445" t="s">
        <v>824</v>
      </c>
      <c r="F445">
        <v>948</v>
      </c>
      <c r="G445">
        <v>34.71</v>
      </c>
      <c r="H445">
        <v>114.77</v>
      </c>
      <c r="I445">
        <v>25.7</v>
      </c>
      <c r="J445">
        <v>84.98</v>
      </c>
      <c r="K445">
        <v>8</v>
      </c>
      <c r="T445">
        <v>3</v>
      </c>
      <c r="U445">
        <v>2</v>
      </c>
      <c r="V445" t="s">
        <v>269</v>
      </c>
      <c r="W445" t="s">
        <v>176</v>
      </c>
      <c r="X445">
        <v>30</v>
      </c>
      <c r="Y445">
        <v>14</v>
      </c>
      <c r="Z445" t="s">
        <v>930</v>
      </c>
      <c r="AA445" t="s">
        <v>931</v>
      </c>
      <c r="AB445" t="s">
        <v>272</v>
      </c>
      <c r="AC445" t="s">
        <v>273</v>
      </c>
      <c r="AD445" t="s">
        <v>274</v>
      </c>
      <c r="AE445" t="s">
        <v>241</v>
      </c>
      <c r="AG445" t="s">
        <v>932</v>
      </c>
      <c r="AH445">
        <v>0</v>
      </c>
      <c r="AI445">
        <v>219</v>
      </c>
      <c r="AJ445">
        <v>19</v>
      </c>
      <c r="AK445">
        <v>1188</v>
      </c>
      <c r="AL445">
        <v>1.25</v>
      </c>
    </row>
    <row r="446" spans="1:38" x14ac:dyDescent="0.3">
      <c r="A446" t="s">
        <v>817</v>
      </c>
      <c r="B446">
        <v>115438</v>
      </c>
      <c r="C446">
        <v>6</v>
      </c>
      <c r="D446" t="s">
        <v>929</v>
      </c>
      <c r="E446" t="s">
        <v>824</v>
      </c>
      <c r="F446">
        <v>948</v>
      </c>
      <c r="G446">
        <v>34.89</v>
      </c>
      <c r="H446">
        <v>115.36</v>
      </c>
      <c r="I446">
        <v>25.7</v>
      </c>
      <c r="J446">
        <v>84.96</v>
      </c>
      <c r="K446">
        <v>8</v>
      </c>
      <c r="T446">
        <v>3</v>
      </c>
      <c r="U446">
        <v>2</v>
      </c>
      <c r="V446" t="s">
        <v>269</v>
      </c>
      <c r="W446" t="s">
        <v>177</v>
      </c>
      <c r="X446">
        <v>30</v>
      </c>
      <c r="Y446">
        <v>14</v>
      </c>
      <c r="Z446" t="s">
        <v>930</v>
      </c>
      <c r="AA446" t="s">
        <v>931</v>
      </c>
      <c r="AB446" t="s">
        <v>272</v>
      </c>
      <c r="AC446" t="s">
        <v>273</v>
      </c>
      <c r="AD446" t="s">
        <v>274</v>
      </c>
      <c r="AE446" t="s">
        <v>241</v>
      </c>
      <c r="AG446" t="s">
        <v>932</v>
      </c>
      <c r="AH446">
        <v>0</v>
      </c>
      <c r="AI446">
        <v>219</v>
      </c>
      <c r="AJ446">
        <v>19</v>
      </c>
      <c r="AK446">
        <v>1188</v>
      </c>
      <c r="AL446">
        <v>1.25</v>
      </c>
    </row>
    <row r="447" spans="1:38" x14ac:dyDescent="0.3">
      <c r="A447" t="s">
        <v>817</v>
      </c>
      <c r="B447">
        <v>113343</v>
      </c>
      <c r="C447">
        <v>1</v>
      </c>
      <c r="D447" t="s">
        <v>933</v>
      </c>
      <c r="E447" t="s">
        <v>514</v>
      </c>
      <c r="F447">
        <v>643</v>
      </c>
      <c r="G447">
        <v>24.91</v>
      </c>
      <c r="H447">
        <v>82.36</v>
      </c>
      <c r="I447">
        <v>18.14</v>
      </c>
      <c r="J447">
        <v>59.98</v>
      </c>
      <c r="K447">
        <v>116</v>
      </c>
      <c r="T447">
        <v>3</v>
      </c>
      <c r="U447">
        <v>2</v>
      </c>
      <c r="V447" t="s">
        <v>269</v>
      </c>
      <c r="W447" t="s">
        <v>145</v>
      </c>
      <c r="X447">
        <v>29</v>
      </c>
      <c r="Y447">
        <v>23</v>
      </c>
      <c r="Z447" t="s">
        <v>934</v>
      </c>
      <c r="AA447" t="s">
        <v>935</v>
      </c>
      <c r="AB447" t="s">
        <v>272</v>
      </c>
      <c r="AC447" t="s">
        <v>273</v>
      </c>
      <c r="AD447" t="s">
        <v>274</v>
      </c>
      <c r="AE447" t="s">
        <v>241</v>
      </c>
      <c r="AG447" t="s">
        <v>936</v>
      </c>
      <c r="AH447">
        <v>0</v>
      </c>
      <c r="AI447">
        <v>209</v>
      </c>
      <c r="AJ447">
        <v>17</v>
      </c>
      <c r="AK447">
        <v>919</v>
      </c>
      <c r="AL447">
        <v>1.43</v>
      </c>
    </row>
    <row r="448" spans="1:38" x14ac:dyDescent="0.3">
      <c r="A448" t="s">
        <v>817</v>
      </c>
      <c r="B448">
        <v>113343</v>
      </c>
      <c r="C448">
        <v>2</v>
      </c>
      <c r="D448" t="s">
        <v>933</v>
      </c>
      <c r="E448" t="s">
        <v>514</v>
      </c>
      <c r="F448">
        <v>643</v>
      </c>
      <c r="G448">
        <v>24.88</v>
      </c>
      <c r="H448">
        <v>82.26</v>
      </c>
      <c r="I448">
        <v>18.12</v>
      </c>
      <c r="J448">
        <v>59.93</v>
      </c>
      <c r="K448">
        <v>29</v>
      </c>
      <c r="T448">
        <v>3</v>
      </c>
      <c r="U448">
        <v>2</v>
      </c>
      <c r="V448" t="s">
        <v>269</v>
      </c>
      <c r="W448" t="s">
        <v>146</v>
      </c>
      <c r="X448">
        <v>29</v>
      </c>
      <c r="Y448">
        <v>23</v>
      </c>
      <c r="Z448" t="s">
        <v>934</v>
      </c>
      <c r="AA448" t="s">
        <v>935</v>
      </c>
      <c r="AB448" t="s">
        <v>272</v>
      </c>
      <c r="AC448" t="s">
        <v>273</v>
      </c>
      <c r="AD448" t="s">
        <v>274</v>
      </c>
      <c r="AE448" t="s">
        <v>241</v>
      </c>
      <c r="AG448" t="s">
        <v>936</v>
      </c>
      <c r="AH448">
        <v>0</v>
      </c>
      <c r="AI448">
        <v>209</v>
      </c>
      <c r="AJ448">
        <v>17</v>
      </c>
      <c r="AK448">
        <v>919</v>
      </c>
      <c r="AL448">
        <v>1.43</v>
      </c>
    </row>
    <row r="449" spans="1:38" x14ac:dyDescent="0.3">
      <c r="A449" t="s">
        <v>817</v>
      </c>
      <c r="B449">
        <v>113343</v>
      </c>
      <c r="C449">
        <v>3</v>
      </c>
      <c r="D449" t="s">
        <v>933</v>
      </c>
      <c r="E449" t="s">
        <v>514</v>
      </c>
      <c r="F449">
        <v>643</v>
      </c>
      <c r="G449">
        <v>35.049999999999997</v>
      </c>
      <c r="H449">
        <v>115.88</v>
      </c>
      <c r="I449">
        <v>25.7</v>
      </c>
      <c r="J449">
        <v>84.99</v>
      </c>
      <c r="K449">
        <v>274</v>
      </c>
      <c r="T449">
        <v>3</v>
      </c>
      <c r="U449">
        <v>2</v>
      </c>
      <c r="V449" t="s">
        <v>269</v>
      </c>
      <c r="W449" t="s">
        <v>157</v>
      </c>
      <c r="X449">
        <v>29</v>
      </c>
      <c r="Y449">
        <v>23</v>
      </c>
      <c r="Z449" t="s">
        <v>934</v>
      </c>
      <c r="AA449" t="s">
        <v>935</v>
      </c>
      <c r="AB449" t="s">
        <v>272</v>
      </c>
      <c r="AC449" t="s">
        <v>273</v>
      </c>
      <c r="AD449" t="s">
        <v>274</v>
      </c>
      <c r="AE449" t="s">
        <v>241</v>
      </c>
      <c r="AG449" t="s">
        <v>936</v>
      </c>
      <c r="AH449">
        <v>0</v>
      </c>
      <c r="AI449">
        <v>209</v>
      </c>
      <c r="AJ449">
        <v>17</v>
      </c>
      <c r="AK449">
        <v>919</v>
      </c>
      <c r="AL449">
        <v>1.43</v>
      </c>
    </row>
    <row r="450" spans="1:38" x14ac:dyDescent="0.3">
      <c r="A450" t="s">
        <v>817</v>
      </c>
      <c r="B450">
        <v>113343</v>
      </c>
      <c r="C450">
        <v>4</v>
      </c>
      <c r="D450" t="s">
        <v>933</v>
      </c>
      <c r="E450" t="s">
        <v>514</v>
      </c>
      <c r="F450">
        <v>643</v>
      </c>
      <c r="G450">
        <v>40.380000000000003</v>
      </c>
      <c r="H450">
        <v>133.49</v>
      </c>
      <c r="I450">
        <v>29.79</v>
      </c>
      <c r="J450">
        <v>98.51</v>
      </c>
      <c r="K450">
        <v>224</v>
      </c>
      <c r="T450">
        <v>4</v>
      </c>
      <c r="U450">
        <v>2</v>
      </c>
      <c r="V450" t="s">
        <v>269</v>
      </c>
      <c r="W450" t="s">
        <v>178</v>
      </c>
      <c r="X450">
        <v>29</v>
      </c>
      <c r="Y450">
        <v>23</v>
      </c>
      <c r="Z450" t="s">
        <v>934</v>
      </c>
      <c r="AA450" t="s">
        <v>935</v>
      </c>
      <c r="AB450" t="s">
        <v>272</v>
      </c>
      <c r="AC450" t="s">
        <v>273</v>
      </c>
      <c r="AD450" t="s">
        <v>274</v>
      </c>
      <c r="AE450" t="s">
        <v>241</v>
      </c>
      <c r="AG450" t="s">
        <v>936</v>
      </c>
      <c r="AH450">
        <v>0</v>
      </c>
      <c r="AI450">
        <v>209</v>
      </c>
      <c r="AJ450">
        <v>17</v>
      </c>
      <c r="AK450">
        <v>919</v>
      </c>
      <c r="AL450">
        <v>1.43</v>
      </c>
    </row>
    <row r="451" spans="1:38" x14ac:dyDescent="0.3">
      <c r="A451" t="s">
        <v>817</v>
      </c>
      <c r="B451">
        <v>115524</v>
      </c>
      <c r="C451">
        <v>1</v>
      </c>
      <c r="D451" t="s">
        <v>937</v>
      </c>
      <c r="E451" t="s">
        <v>819</v>
      </c>
      <c r="F451">
        <v>490</v>
      </c>
      <c r="G451">
        <v>33.549999999999997</v>
      </c>
      <c r="H451">
        <v>110.92</v>
      </c>
      <c r="I451">
        <v>25.64</v>
      </c>
      <c r="J451">
        <v>84.77</v>
      </c>
      <c r="K451">
        <v>260</v>
      </c>
      <c r="T451">
        <v>3</v>
      </c>
      <c r="U451">
        <v>2</v>
      </c>
      <c r="V451" t="s">
        <v>269</v>
      </c>
      <c r="W451" t="s">
        <v>91</v>
      </c>
      <c r="X451">
        <v>20</v>
      </c>
      <c r="Y451">
        <v>10</v>
      </c>
      <c r="Z451" t="s">
        <v>938</v>
      </c>
      <c r="AA451" t="s">
        <v>939</v>
      </c>
      <c r="AB451" t="s">
        <v>272</v>
      </c>
      <c r="AC451" t="s">
        <v>273</v>
      </c>
      <c r="AD451" t="s">
        <v>274</v>
      </c>
      <c r="AE451" t="s">
        <v>241</v>
      </c>
      <c r="AG451" t="s">
        <v>940</v>
      </c>
      <c r="AH451">
        <v>0</v>
      </c>
      <c r="AI451">
        <v>213</v>
      </c>
      <c r="AJ451">
        <v>20</v>
      </c>
      <c r="AK451">
        <v>723</v>
      </c>
      <c r="AL451">
        <v>1.48</v>
      </c>
    </row>
    <row r="452" spans="1:38" x14ac:dyDescent="0.3">
      <c r="A452" t="s">
        <v>817</v>
      </c>
      <c r="B452">
        <v>115524</v>
      </c>
      <c r="C452">
        <v>2</v>
      </c>
      <c r="D452" t="s">
        <v>937</v>
      </c>
      <c r="E452" t="s">
        <v>819</v>
      </c>
      <c r="F452">
        <v>490</v>
      </c>
      <c r="G452">
        <v>33.549999999999997</v>
      </c>
      <c r="H452">
        <v>110.92</v>
      </c>
      <c r="I452">
        <v>25.64</v>
      </c>
      <c r="J452">
        <v>84.77</v>
      </c>
      <c r="K452">
        <v>60</v>
      </c>
      <c r="T452">
        <v>3</v>
      </c>
      <c r="U452">
        <v>2</v>
      </c>
      <c r="V452" t="s">
        <v>269</v>
      </c>
      <c r="W452" t="s">
        <v>132</v>
      </c>
      <c r="X452">
        <v>20</v>
      </c>
      <c r="Y452">
        <v>10</v>
      </c>
      <c r="Z452" t="s">
        <v>938</v>
      </c>
      <c r="AA452" t="s">
        <v>939</v>
      </c>
      <c r="AB452" t="s">
        <v>272</v>
      </c>
      <c r="AC452" t="s">
        <v>273</v>
      </c>
      <c r="AD452" t="s">
        <v>274</v>
      </c>
      <c r="AE452" t="s">
        <v>241</v>
      </c>
      <c r="AG452" t="s">
        <v>940</v>
      </c>
      <c r="AH452">
        <v>0</v>
      </c>
      <c r="AI452">
        <v>213</v>
      </c>
      <c r="AJ452">
        <v>20</v>
      </c>
      <c r="AK452">
        <v>723</v>
      </c>
      <c r="AL452">
        <v>1.48</v>
      </c>
    </row>
    <row r="453" spans="1:38" x14ac:dyDescent="0.3">
      <c r="A453" t="s">
        <v>817</v>
      </c>
      <c r="B453">
        <v>115524</v>
      </c>
      <c r="C453">
        <v>3</v>
      </c>
      <c r="D453" t="s">
        <v>937</v>
      </c>
      <c r="E453" t="s">
        <v>819</v>
      </c>
      <c r="F453">
        <v>490</v>
      </c>
      <c r="G453">
        <v>33.78</v>
      </c>
      <c r="H453">
        <v>111.67</v>
      </c>
      <c r="I453">
        <v>25.7</v>
      </c>
      <c r="J453">
        <v>84.99</v>
      </c>
      <c r="K453">
        <v>114</v>
      </c>
      <c r="T453">
        <v>3</v>
      </c>
      <c r="U453">
        <v>2</v>
      </c>
      <c r="V453" t="s">
        <v>269</v>
      </c>
      <c r="W453" t="s">
        <v>148</v>
      </c>
      <c r="X453">
        <v>20</v>
      </c>
      <c r="Y453">
        <v>10</v>
      </c>
      <c r="Z453" t="s">
        <v>938</v>
      </c>
      <c r="AA453" t="s">
        <v>939</v>
      </c>
      <c r="AB453" t="s">
        <v>272</v>
      </c>
      <c r="AC453" t="s">
        <v>273</v>
      </c>
      <c r="AD453" t="s">
        <v>274</v>
      </c>
      <c r="AE453" t="s">
        <v>241</v>
      </c>
      <c r="AG453" t="s">
        <v>940</v>
      </c>
      <c r="AH453">
        <v>0</v>
      </c>
      <c r="AI453">
        <v>213</v>
      </c>
      <c r="AJ453">
        <v>20</v>
      </c>
      <c r="AK453">
        <v>723</v>
      </c>
      <c r="AL453">
        <v>1.48</v>
      </c>
    </row>
    <row r="454" spans="1:38" x14ac:dyDescent="0.3">
      <c r="A454" t="s">
        <v>817</v>
      </c>
      <c r="B454">
        <v>115524</v>
      </c>
      <c r="C454">
        <v>4</v>
      </c>
      <c r="D454" t="s">
        <v>937</v>
      </c>
      <c r="E454" t="s">
        <v>819</v>
      </c>
      <c r="F454">
        <v>490</v>
      </c>
      <c r="G454">
        <v>46.88</v>
      </c>
      <c r="H454">
        <v>154.97999999999999</v>
      </c>
      <c r="I454">
        <v>35.97</v>
      </c>
      <c r="J454">
        <v>118.91</v>
      </c>
      <c r="K454">
        <v>56</v>
      </c>
      <c r="T454">
        <v>4</v>
      </c>
      <c r="U454">
        <v>2</v>
      </c>
      <c r="V454" t="s">
        <v>269</v>
      </c>
      <c r="W454">
        <v>154</v>
      </c>
      <c r="X454">
        <v>20</v>
      </c>
      <c r="Y454">
        <v>10</v>
      </c>
      <c r="Z454" t="s">
        <v>938</v>
      </c>
      <c r="AA454" t="s">
        <v>939</v>
      </c>
      <c r="AB454" t="s">
        <v>272</v>
      </c>
      <c r="AC454" t="s">
        <v>273</v>
      </c>
      <c r="AD454" t="s">
        <v>274</v>
      </c>
      <c r="AE454" t="s">
        <v>241</v>
      </c>
      <c r="AG454" t="s">
        <v>940</v>
      </c>
      <c r="AH454">
        <v>0</v>
      </c>
      <c r="AI454">
        <v>213</v>
      </c>
      <c r="AJ454">
        <v>20</v>
      </c>
      <c r="AK454">
        <v>723</v>
      </c>
      <c r="AL454">
        <v>1.48</v>
      </c>
    </row>
    <row r="455" spans="1:38" x14ac:dyDescent="0.3">
      <c r="A455" t="s">
        <v>817</v>
      </c>
      <c r="B455">
        <v>15035</v>
      </c>
      <c r="C455">
        <v>1</v>
      </c>
      <c r="D455" t="s">
        <v>941</v>
      </c>
      <c r="E455" t="s">
        <v>942</v>
      </c>
      <c r="F455">
        <v>360</v>
      </c>
      <c r="G455">
        <v>20.3</v>
      </c>
      <c r="H455">
        <v>67.11</v>
      </c>
      <c r="I455">
        <v>15.1</v>
      </c>
      <c r="J455">
        <v>49.94</v>
      </c>
      <c r="K455">
        <v>360</v>
      </c>
      <c r="T455">
        <v>2</v>
      </c>
      <c r="U455">
        <v>1</v>
      </c>
      <c r="V455" t="s">
        <v>279</v>
      </c>
      <c r="W455">
        <v>67</v>
      </c>
      <c r="X455">
        <v>15</v>
      </c>
      <c r="Y455">
        <v>15</v>
      </c>
      <c r="Z455" t="s">
        <v>943</v>
      </c>
      <c r="AA455" t="s">
        <v>944</v>
      </c>
      <c r="AB455" t="s">
        <v>272</v>
      </c>
      <c r="AC455" t="s">
        <v>273</v>
      </c>
      <c r="AD455" t="s">
        <v>274</v>
      </c>
      <c r="AE455" t="s">
        <v>241</v>
      </c>
      <c r="AG455" t="s">
        <v>945</v>
      </c>
      <c r="AH455">
        <v>0</v>
      </c>
      <c r="AI455">
        <v>226</v>
      </c>
      <c r="AJ455">
        <v>20</v>
      </c>
      <c r="AK455">
        <v>0</v>
      </c>
      <c r="AL455">
        <v>0</v>
      </c>
    </row>
    <row r="456" spans="1:38" x14ac:dyDescent="0.3">
      <c r="A456" t="s">
        <v>817</v>
      </c>
      <c r="B456">
        <v>111168</v>
      </c>
      <c r="C456">
        <v>1</v>
      </c>
      <c r="D456" t="s">
        <v>946</v>
      </c>
      <c r="E456" t="s">
        <v>947</v>
      </c>
      <c r="F456">
        <v>167</v>
      </c>
      <c r="G456">
        <v>33.28</v>
      </c>
      <c r="H456">
        <v>110.04</v>
      </c>
      <c r="I456">
        <v>25.67</v>
      </c>
      <c r="J456">
        <v>84.87</v>
      </c>
      <c r="K456">
        <v>152</v>
      </c>
      <c r="T456">
        <v>3</v>
      </c>
      <c r="U456">
        <v>2</v>
      </c>
      <c r="V456" t="s">
        <v>269</v>
      </c>
      <c r="W456" t="s">
        <v>91</v>
      </c>
      <c r="X456">
        <v>18</v>
      </c>
      <c r="Y456">
        <v>15</v>
      </c>
      <c r="Z456" t="s">
        <v>948</v>
      </c>
      <c r="AA456" t="s">
        <v>949</v>
      </c>
      <c r="AB456" t="s">
        <v>272</v>
      </c>
      <c r="AC456" t="s">
        <v>273</v>
      </c>
      <c r="AD456" t="s">
        <v>274</v>
      </c>
      <c r="AE456" t="s">
        <v>241</v>
      </c>
      <c r="AG456" t="s">
        <v>950</v>
      </c>
      <c r="AH456">
        <v>0</v>
      </c>
      <c r="AI456">
        <v>203</v>
      </c>
      <c r="AJ456">
        <v>21</v>
      </c>
      <c r="AK456">
        <v>221</v>
      </c>
      <c r="AL456">
        <v>1.32</v>
      </c>
    </row>
    <row r="457" spans="1:38" x14ac:dyDescent="0.3">
      <c r="A457" t="s">
        <v>817</v>
      </c>
      <c r="B457">
        <v>111168</v>
      </c>
      <c r="C457">
        <v>2</v>
      </c>
      <c r="D457" t="s">
        <v>946</v>
      </c>
      <c r="E457" t="s">
        <v>947</v>
      </c>
      <c r="F457">
        <v>167</v>
      </c>
      <c r="G457">
        <v>33.479999999999997</v>
      </c>
      <c r="H457">
        <v>110.68</v>
      </c>
      <c r="I457">
        <v>25.68</v>
      </c>
      <c r="J457">
        <v>84.92</v>
      </c>
      <c r="K457">
        <v>15</v>
      </c>
      <c r="T457">
        <v>3</v>
      </c>
      <c r="U457">
        <v>2</v>
      </c>
      <c r="V457" t="s">
        <v>269</v>
      </c>
      <c r="W457" t="s">
        <v>132</v>
      </c>
      <c r="X457">
        <v>18</v>
      </c>
      <c r="Y457">
        <v>15</v>
      </c>
      <c r="Z457" t="s">
        <v>948</v>
      </c>
      <c r="AA457" t="s">
        <v>949</v>
      </c>
      <c r="AB457" t="s">
        <v>272</v>
      </c>
      <c r="AC457" t="s">
        <v>273</v>
      </c>
      <c r="AD457" t="s">
        <v>274</v>
      </c>
      <c r="AE457" t="s">
        <v>241</v>
      </c>
      <c r="AG457" t="s">
        <v>950</v>
      </c>
      <c r="AH457">
        <v>0</v>
      </c>
      <c r="AI457">
        <v>203</v>
      </c>
      <c r="AJ457">
        <v>21</v>
      </c>
      <c r="AK457">
        <v>221</v>
      </c>
      <c r="AL457">
        <v>1.32</v>
      </c>
    </row>
    <row r="458" spans="1:38" x14ac:dyDescent="0.3">
      <c r="A458" t="s">
        <v>817</v>
      </c>
      <c r="B458">
        <v>118257</v>
      </c>
      <c r="C458">
        <v>1</v>
      </c>
      <c r="D458" t="s">
        <v>951</v>
      </c>
      <c r="E458" t="s">
        <v>690</v>
      </c>
      <c r="F458">
        <v>55</v>
      </c>
      <c r="G458">
        <v>21.56</v>
      </c>
      <c r="H458">
        <v>71.290000000000006</v>
      </c>
      <c r="I458">
        <v>19.79</v>
      </c>
      <c r="J458">
        <v>65.430000000000007</v>
      </c>
      <c r="K458">
        <v>54</v>
      </c>
      <c r="T458">
        <v>3</v>
      </c>
      <c r="U458">
        <v>1</v>
      </c>
      <c r="V458" t="s">
        <v>269</v>
      </c>
      <c r="W458" t="s">
        <v>338</v>
      </c>
      <c r="X458">
        <v>6</v>
      </c>
      <c r="Y458">
        <v>5</v>
      </c>
      <c r="Z458" t="s">
        <v>952</v>
      </c>
      <c r="AA458" t="s">
        <v>953</v>
      </c>
      <c r="AB458" t="s">
        <v>272</v>
      </c>
      <c r="AC458" t="s">
        <v>273</v>
      </c>
      <c r="AD458" t="s">
        <v>274</v>
      </c>
      <c r="AE458" t="s">
        <v>241</v>
      </c>
      <c r="AG458" t="s">
        <v>954</v>
      </c>
      <c r="AH458">
        <v>0</v>
      </c>
      <c r="AI458">
        <v>0</v>
      </c>
      <c r="AJ458">
        <v>0</v>
      </c>
      <c r="AK458">
        <v>0</v>
      </c>
      <c r="AL458">
        <v>0</v>
      </c>
    </row>
    <row r="459" spans="1:38" x14ac:dyDescent="0.3">
      <c r="A459" t="s">
        <v>817</v>
      </c>
      <c r="B459">
        <v>118257</v>
      </c>
      <c r="C459">
        <v>2</v>
      </c>
      <c r="D459" t="s">
        <v>951</v>
      </c>
      <c r="E459" t="s">
        <v>690</v>
      </c>
      <c r="F459">
        <v>55</v>
      </c>
      <c r="G459">
        <v>21.54</v>
      </c>
      <c r="H459">
        <v>71.22</v>
      </c>
      <c r="I459">
        <v>19.79</v>
      </c>
      <c r="J459">
        <v>65.430000000000007</v>
      </c>
      <c r="K459">
        <v>1</v>
      </c>
      <c r="T459">
        <v>3</v>
      </c>
      <c r="U459">
        <v>1</v>
      </c>
      <c r="V459" t="s">
        <v>269</v>
      </c>
      <c r="W459" t="s">
        <v>66</v>
      </c>
      <c r="X459">
        <v>6</v>
      </c>
      <c r="Y459">
        <v>5</v>
      </c>
      <c r="Z459" t="s">
        <v>952</v>
      </c>
      <c r="AA459" t="s">
        <v>953</v>
      </c>
      <c r="AB459" t="s">
        <v>272</v>
      </c>
      <c r="AC459" t="s">
        <v>273</v>
      </c>
      <c r="AD459" t="s">
        <v>274</v>
      </c>
      <c r="AE459" t="s">
        <v>241</v>
      </c>
      <c r="AG459" t="s">
        <v>954</v>
      </c>
      <c r="AH459">
        <v>0</v>
      </c>
      <c r="AI459">
        <v>0</v>
      </c>
      <c r="AJ459">
        <v>0</v>
      </c>
      <c r="AK459">
        <v>0</v>
      </c>
      <c r="AL459">
        <v>0</v>
      </c>
    </row>
    <row r="460" spans="1:38" x14ac:dyDescent="0.3">
      <c r="A460" t="s">
        <v>817</v>
      </c>
      <c r="B460">
        <v>115356</v>
      </c>
      <c r="C460">
        <v>1</v>
      </c>
      <c r="D460" t="s">
        <v>955</v>
      </c>
      <c r="E460" t="s">
        <v>398</v>
      </c>
      <c r="F460">
        <v>702</v>
      </c>
      <c r="G460">
        <v>33.29</v>
      </c>
      <c r="H460">
        <v>110.06</v>
      </c>
      <c r="I460">
        <v>25.69</v>
      </c>
      <c r="J460">
        <v>84.93</v>
      </c>
      <c r="K460">
        <v>214</v>
      </c>
      <c r="T460">
        <v>3</v>
      </c>
      <c r="U460">
        <v>2</v>
      </c>
      <c r="V460" t="s">
        <v>269</v>
      </c>
      <c r="W460" t="s">
        <v>91</v>
      </c>
      <c r="X460">
        <v>29</v>
      </c>
      <c r="Y460">
        <v>23</v>
      </c>
      <c r="Z460" t="s">
        <v>956</v>
      </c>
      <c r="AA460" t="s">
        <v>957</v>
      </c>
      <c r="AB460" t="s">
        <v>272</v>
      </c>
      <c r="AC460" t="s">
        <v>273</v>
      </c>
      <c r="AD460" t="s">
        <v>274</v>
      </c>
      <c r="AE460" t="s">
        <v>241</v>
      </c>
      <c r="AG460" t="s">
        <v>958</v>
      </c>
      <c r="AH460">
        <v>0</v>
      </c>
      <c r="AI460">
        <v>212</v>
      </c>
      <c r="AJ460">
        <v>13</v>
      </c>
      <c r="AK460">
        <v>1112</v>
      </c>
      <c r="AL460">
        <v>1.58</v>
      </c>
    </row>
    <row r="461" spans="1:38" x14ac:dyDescent="0.3">
      <c r="A461" t="s">
        <v>817</v>
      </c>
      <c r="B461">
        <v>115356</v>
      </c>
      <c r="C461">
        <v>2</v>
      </c>
      <c r="D461" t="s">
        <v>955</v>
      </c>
      <c r="E461" t="s">
        <v>398</v>
      </c>
      <c r="F461">
        <v>702</v>
      </c>
      <c r="G461">
        <v>33.33</v>
      </c>
      <c r="H461">
        <v>110.2</v>
      </c>
      <c r="I461">
        <v>25.7</v>
      </c>
      <c r="J461">
        <v>84.97</v>
      </c>
      <c r="K461">
        <v>52</v>
      </c>
      <c r="T461">
        <v>3</v>
      </c>
      <c r="U461">
        <v>2</v>
      </c>
      <c r="V461" t="s">
        <v>269</v>
      </c>
      <c r="W461" t="s">
        <v>132</v>
      </c>
      <c r="X461">
        <v>29</v>
      </c>
      <c r="Y461">
        <v>23</v>
      </c>
      <c r="Z461" t="s">
        <v>956</v>
      </c>
      <c r="AA461" t="s">
        <v>957</v>
      </c>
      <c r="AB461" t="s">
        <v>272</v>
      </c>
      <c r="AC461" t="s">
        <v>273</v>
      </c>
      <c r="AD461" t="s">
        <v>274</v>
      </c>
      <c r="AE461" t="s">
        <v>241</v>
      </c>
      <c r="AG461" t="s">
        <v>958</v>
      </c>
      <c r="AH461">
        <v>0</v>
      </c>
      <c r="AI461">
        <v>212</v>
      </c>
      <c r="AJ461">
        <v>13</v>
      </c>
      <c r="AK461">
        <v>1112</v>
      </c>
      <c r="AL461">
        <v>1.58</v>
      </c>
    </row>
    <row r="462" spans="1:38" x14ac:dyDescent="0.3">
      <c r="A462" t="s">
        <v>817</v>
      </c>
      <c r="B462">
        <v>115356</v>
      </c>
      <c r="C462">
        <v>3</v>
      </c>
      <c r="D462" t="s">
        <v>955</v>
      </c>
      <c r="E462" t="s">
        <v>398</v>
      </c>
      <c r="F462">
        <v>702</v>
      </c>
      <c r="G462">
        <v>33.65</v>
      </c>
      <c r="H462">
        <v>111.27</v>
      </c>
      <c r="I462">
        <v>25.7</v>
      </c>
      <c r="J462">
        <v>84.98</v>
      </c>
      <c r="K462">
        <v>116</v>
      </c>
      <c r="T462">
        <v>3</v>
      </c>
      <c r="U462">
        <v>2</v>
      </c>
      <c r="V462" t="s">
        <v>269</v>
      </c>
      <c r="W462" t="s">
        <v>148</v>
      </c>
      <c r="X462">
        <v>29</v>
      </c>
      <c r="Y462">
        <v>23</v>
      </c>
      <c r="Z462" t="s">
        <v>956</v>
      </c>
      <c r="AA462" t="s">
        <v>957</v>
      </c>
      <c r="AB462" t="s">
        <v>272</v>
      </c>
      <c r="AC462" t="s">
        <v>273</v>
      </c>
      <c r="AD462" t="s">
        <v>274</v>
      </c>
      <c r="AE462" t="s">
        <v>241</v>
      </c>
      <c r="AG462" t="s">
        <v>958</v>
      </c>
      <c r="AH462">
        <v>0</v>
      </c>
      <c r="AI462">
        <v>212</v>
      </c>
      <c r="AJ462">
        <v>13</v>
      </c>
      <c r="AK462">
        <v>1112</v>
      </c>
      <c r="AL462">
        <v>1.58</v>
      </c>
    </row>
    <row r="463" spans="1:38" x14ac:dyDescent="0.3">
      <c r="A463" t="s">
        <v>817</v>
      </c>
      <c r="B463">
        <v>115356</v>
      </c>
      <c r="C463">
        <v>4</v>
      </c>
      <c r="D463" t="s">
        <v>955</v>
      </c>
      <c r="E463" t="s">
        <v>398</v>
      </c>
      <c r="F463">
        <v>702</v>
      </c>
      <c r="G463">
        <v>39.43</v>
      </c>
      <c r="H463">
        <v>130.38</v>
      </c>
      <c r="I463">
        <v>30.54</v>
      </c>
      <c r="J463">
        <v>100.96</v>
      </c>
      <c r="K463">
        <v>52</v>
      </c>
      <c r="T463">
        <v>3</v>
      </c>
      <c r="U463">
        <v>2</v>
      </c>
      <c r="V463" t="s">
        <v>269</v>
      </c>
      <c r="W463" t="s">
        <v>180</v>
      </c>
      <c r="X463">
        <v>29</v>
      </c>
      <c r="Y463">
        <v>23</v>
      </c>
      <c r="Z463" t="s">
        <v>956</v>
      </c>
      <c r="AA463" t="s">
        <v>957</v>
      </c>
      <c r="AB463" t="s">
        <v>272</v>
      </c>
      <c r="AC463" t="s">
        <v>273</v>
      </c>
      <c r="AD463" t="s">
        <v>274</v>
      </c>
      <c r="AE463" t="s">
        <v>241</v>
      </c>
      <c r="AG463" t="s">
        <v>958</v>
      </c>
      <c r="AH463">
        <v>0</v>
      </c>
      <c r="AI463">
        <v>212</v>
      </c>
      <c r="AJ463">
        <v>13</v>
      </c>
      <c r="AK463">
        <v>1112</v>
      </c>
      <c r="AL463">
        <v>1.58</v>
      </c>
    </row>
    <row r="464" spans="1:38" x14ac:dyDescent="0.3">
      <c r="A464" t="s">
        <v>817</v>
      </c>
      <c r="B464">
        <v>115356</v>
      </c>
      <c r="C464">
        <v>5</v>
      </c>
      <c r="D464" t="s">
        <v>955</v>
      </c>
      <c r="E464" t="s">
        <v>398</v>
      </c>
      <c r="F464">
        <v>702</v>
      </c>
      <c r="G464">
        <v>39.65</v>
      </c>
      <c r="H464">
        <v>131.08000000000001</v>
      </c>
      <c r="I464">
        <v>30.54</v>
      </c>
      <c r="J464">
        <v>100.97</v>
      </c>
      <c r="K464">
        <v>114</v>
      </c>
      <c r="T464">
        <v>3</v>
      </c>
      <c r="U464">
        <v>2</v>
      </c>
      <c r="V464" t="s">
        <v>269</v>
      </c>
      <c r="W464" t="s">
        <v>181</v>
      </c>
      <c r="X464">
        <v>29</v>
      </c>
      <c r="Y464">
        <v>23</v>
      </c>
      <c r="Z464" t="s">
        <v>956</v>
      </c>
      <c r="AA464" t="s">
        <v>957</v>
      </c>
      <c r="AB464" t="s">
        <v>272</v>
      </c>
      <c r="AC464" t="s">
        <v>273</v>
      </c>
      <c r="AD464" t="s">
        <v>274</v>
      </c>
      <c r="AE464" t="s">
        <v>241</v>
      </c>
      <c r="AG464" t="s">
        <v>958</v>
      </c>
      <c r="AH464">
        <v>0</v>
      </c>
      <c r="AI464">
        <v>212</v>
      </c>
      <c r="AJ464">
        <v>13</v>
      </c>
      <c r="AK464">
        <v>1112</v>
      </c>
      <c r="AL464">
        <v>1.58</v>
      </c>
    </row>
    <row r="465" spans="1:38" x14ac:dyDescent="0.3">
      <c r="A465" t="s">
        <v>817</v>
      </c>
      <c r="B465">
        <v>115356</v>
      </c>
      <c r="C465">
        <v>6</v>
      </c>
      <c r="D465" t="s">
        <v>955</v>
      </c>
      <c r="E465" t="s">
        <v>398</v>
      </c>
      <c r="F465">
        <v>702</v>
      </c>
      <c r="G465">
        <v>45.9</v>
      </c>
      <c r="H465">
        <v>151.74</v>
      </c>
      <c r="I465">
        <v>35.65</v>
      </c>
      <c r="J465">
        <v>117.88</v>
      </c>
      <c r="K465">
        <v>54</v>
      </c>
      <c r="T465">
        <v>4</v>
      </c>
      <c r="U465">
        <v>2</v>
      </c>
      <c r="V465" t="s">
        <v>269</v>
      </c>
      <c r="W465" t="s">
        <v>183</v>
      </c>
      <c r="X465">
        <v>29</v>
      </c>
      <c r="Y465">
        <v>23</v>
      </c>
      <c r="Z465" t="s">
        <v>956</v>
      </c>
      <c r="AA465" t="s">
        <v>957</v>
      </c>
      <c r="AB465" t="s">
        <v>272</v>
      </c>
      <c r="AC465" t="s">
        <v>273</v>
      </c>
      <c r="AD465" t="s">
        <v>274</v>
      </c>
      <c r="AE465" t="s">
        <v>241</v>
      </c>
      <c r="AG465" t="s">
        <v>958</v>
      </c>
      <c r="AH465">
        <v>0</v>
      </c>
      <c r="AI465">
        <v>212</v>
      </c>
      <c r="AJ465">
        <v>13</v>
      </c>
      <c r="AK465">
        <v>1112</v>
      </c>
      <c r="AL465">
        <v>1.58</v>
      </c>
    </row>
    <row r="466" spans="1:38" x14ac:dyDescent="0.3">
      <c r="A466" t="s">
        <v>817</v>
      </c>
      <c r="B466">
        <v>115356</v>
      </c>
      <c r="C466">
        <v>7</v>
      </c>
      <c r="D466" t="s">
        <v>955</v>
      </c>
      <c r="E466" t="s">
        <v>398</v>
      </c>
      <c r="F466">
        <v>702</v>
      </c>
      <c r="G466">
        <v>45.97</v>
      </c>
      <c r="H466">
        <v>151.97</v>
      </c>
      <c r="I466">
        <v>35.659999999999997</v>
      </c>
      <c r="J466">
        <v>117.9</v>
      </c>
      <c r="K466">
        <v>48</v>
      </c>
      <c r="T466">
        <v>4</v>
      </c>
      <c r="U466">
        <v>2</v>
      </c>
      <c r="V466" t="s">
        <v>269</v>
      </c>
      <c r="W466" t="s">
        <v>184</v>
      </c>
      <c r="X466">
        <v>29</v>
      </c>
      <c r="Y466">
        <v>23</v>
      </c>
      <c r="Z466" t="s">
        <v>956</v>
      </c>
      <c r="AA466" t="s">
        <v>957</v>
      </c>
      <c r="AB466" t="s">
        <v>272</v>
      </c>
      <c r="AC466" t="s">
        <v>273</v>
      </c>
      <c r="AD466" t="s">
        <v>274</v>
      </c>
      <c r="AE466" t="s">
        <v>241</v>
      </c>
      <c r="AG466" t="s">
        <v>958</v>
      </c>
      <c r="AH466">
        <v>0</v>
      </c>
      <c r="AI466">
        <v>212</v>
      </c>
      <c r="AJ466">
        <v>13</v>
      </c>
      <c r="AK466">
        <v>1112</v>
      </c>
      <c r="AL466">
        <v>1.58</v>
      </c>
    </row>
    <row r="467" spans="1:38" x14ac:dyDescent="0.3">
      <c r="A467" t="s">
        <v>817</v>
      </c>
      <c r="B467">
        <v>115356</v>
      </c>
      <c r="C467">
        <v>8</v>
      </c>
      <c r="D467" t="s">
        <v>955</v>
      </c>
      <c r="E467" t="s">
        <v>398</v>
      </c>
      <c r="F467">
        <v>702</v>
      </c>
      <c r="G467">
        <v>45.92</v>
      </c>
      <c r="H467">
        <v>151.82</v>
      </c>
      <c r="I467">
        <v>35.619999999999997</v>
      </c>
      <c r="J467">
        <v>117.76</v>
      </c>
      <c r="K467">
        <v>26</v>
      </c>
      <c r="T467">
        <v>4</v>
      </c>
      <c r="U467">
        <v>2</v>
      </c>
      <c r="V467" t="s">
        <v>269</v>
      </c>
      <c r="W467" t="s">
        <v>74</v>
      </c>
      <c r="X467">
        <v>29</v>
      </c>
      <c r="Y467">
        <v>23</v>
      </c>
      <c r="Z467" t="s">
        <v>956</v>
      </c>
      <c r="AA467" t="s">
        <v>957</v>
      </c>
      <c r="AB467" t="s">
        <v>272</v>
      </c>
      <c r="AC467" t="s">
        <v>273</v>
      </c>
      <c r="AD467" t="s">
        <v>274</v>
      </c>
      <c r="AE467" t="s">
        <v>241</v>
      </c>
      <c r="AG467" t="s">
        <v>958</v>
      </c>
      <c r="AH467">
        <v>0</v>
      </c>
      <c r="AI467">
        <v>212</v>
      </c>
      <c r="AJ467">
        <v>13</v>
      </c>
      <c r="AK467">
        <v>1112</v>
      </c>
      <c r="AL467">
        <v>1.58</v>
      </c>
    </row>
    <row r="468" spans="1:38" x14ac:dyDescent="0.3">
      <c r="A468" t="s">
        <v>817</v>
      </c>
      <c r="B468">
        <v>115356</v>
      </c>
      <c r="C468">
        <v>9</v>
      </c>
      <c r="D468" t="s">
        <v>955</v>
      </c>
      <c r="E468" t="s">
        <v>398</v>
      </c>
      <c r="F468">
        <v>702</v>
      </c>
      <c r="G468">
        <v>45.95</v>
      </c>
      <c r="H468">
        <v>151.91999999999999</v>
      </c>
      <c r="I468">
        <v>35.42</v>
      </c>
      <c r="J468">
        <v>117.1</v>
      </c>
      <c r="K468">
        <v>26</v>
      </c>
      <c r="T468">
        <v>4</v>
      </c>
      <c r="U468">
        <v>2</v>
      </c>
      <c r="V468" t="s">
        <v>269</v>
      </c>
      <c r="W468" t="s">
        <v>185</v>
      </c>
      <c r="X468">
        <v>29</v>
      </c>
      <c r="Y468">
        <v>23</v>
      </c>
      <c r="Z468" t="s">
        <v>956</v>
      </c>
      <c r="AA468" t="s">
        <v>957</v>
      </c>
      <c r="AB468" t="s">
        <v>272</v>
      </c>
      <c r="AC468" t="s">
        <v>273</v>
      </c>
      <c r="AD468" t="s">
        <v>274</v>
      </c>
      <c r="AE468" t="s">
        <v>241</v>
      </c>
      <c r="AG468" t="s">
        <v>958</v>
      </c>
      <c r="AH468">
        <v>0</v>
      </c>
      <c r="AI468">
        <v>212</v>
      </c>
      <c r="AJ468">
        <v>13</v>
      </c>
      <c r="AK468">
        <v>1112</v>
      </c>
      <c r="AL468">
        <v>1.58</v>
      </c>
    </row>
    <row r="469" spans="1:38" x14ac:dyDescent="0.3">
      <c r="A469" t="s">
        <v>817</v>
      </c>
      <c r="B469">
        <v>103672</v>
      </c>
      <c r="C469">
        <v>1</v>
      </c>
      <c r="D469" t="s">
        <v>959</v>
      </c>
      <c r="E469" t="s">
        <v>666</v>
      </c>
      <c r="F469">
        <v>381</v>
      </c>
      <c r="G469">
        <v>33.049999999999997</v>
      </c>
      <c r="H469">
        <v>109.27</v>
      </c>
      <c r="I469">
        <v>25.7</v>
      </c>
      <c r="J469">
        <v>84.99</v>
      </c>
      <c r="K469">
        <v>346</v>
      </c>
      <c r="T469">
        <v>3</v>
      </c>
      <c r="U469">
        <v>2</v>
      </c>
      <c r="V469" t="s">
        <v>269</v>
      </c>
      <c r="W469" t="s">
        <v>70</v>
      </c>
      <c r="X469">
        <v>12</v>
      </c>
      <c r="Y469">
        <v>12</v>
      </c>
      <c r="Z469" t="s">
        <v>960</v>
      </c>
      <c r="AA469" t="s">
        <v>961</v>
      </c>
      <c r="AB469" t="s">
        <v>272</v>
      </c>
      <c r="AC469" t="s">
        <v>273</v>
      </c>
      <c r="AD469" t="s">
        <v>274</v>
      </c>
      <c r="AE469" t="s">
        <v>241</v>
      </c>
      <c r="AG469" t="s">
        <v>962</v>
      </c>
      <c r="AH469">
        <v>0</v>
      </c>
      <c r="AI469">
        <v>198</v>
      </c>
      <c r="AJ469">
        <v>25</v>
      </c>
      <c r="AK469">
        <v>480</v>
      </c>
      <c r="AL469">
        <v>1.26</v>
      </c>
    </row>
    <row r="470" spans="1:38" x14ac:dyDescent="0.3">
      <c r="A470" t="s">
        <v>817</v>
      </c>
      <c r="B470">
        <v>103672</v>
      </c>
      <c r="C470">
        <v>2</v>
      </c>
      <c r="D470" t="s">
        <v>959</v>
      </c>
      <c r="E470" t="s">
        <v>666</v>
      </c>
      <c r="F470">
        <v>381</v>
      </c>
      <c r="G470">
        <v>36.4</v>
      </c>
      <c r="H470">
        <v>120.34</v>
      </c>
      <c r="I470">
        <v>25.7</v>
      </c>
      <c r="J470">
        <v>84.99</v>
      </c>
      <c r="K470">
        <v>35</v>
      </c>
      <c r="T470">
        <v>3</v>
      </c>
      <c r="U470">
        <v>2</v>
      </c>
      <c r="V470" t="s">
        <v>269</v>
      </c>
      <c r="W470" t="s">
        <v>186</v>
      </c>
      <c r="X470">
        <v>12</v>
      </c>
      <c r="Y470">
        <v>12</v>
      </c>
      <c r="Z470" t="s">
        <v>960</v>
      </c>
      <c r="AA470" t="s">
        <v>961</v>
      </c>
      <c r="AB470" t="s">
        <v>272</v>
      </c>
      <c r="AC470" t="s">
        <v>273</v>
      </c>
      <c r="AD470" t="s">
        <v>274</v>
      </c>
      <c r="AE470" t="s">
        <v>241</v>
      </c>
      <c r="AG470" t="s">
        <v>962</v>
      </c>
      <c r="AH470">
        <v>0</v>
      </c>
      <c r="AI470">
        <v>198</v>
      </c>
      <c r="AJ470">
        <v>25</v>
      </c>
      <c r="AK470">
        <v>480</v>
      </c>
      <c r="AL470">
        <v>1.26</v>
      </c>
    </row>
    <row r="471" spans="1:38" x14ac:dyDescent="0.3">
      <c r="A471" t="s">
        <v>817</v>
      </c>
      <c r="B471">
        <v>5467</v>
      </c>
      <c r="C471">
        <v>1</v>
      </c>
      <c r="D471" t="s">
        <v>963</v>
      </c>
      <c r="E471" t="s">
        <v>838</v>
      </c>
      <c r="F471">
        <v>525</v>
      </c>
      <c r="G471">
        <v>24.23</v>
      </c>
      <c r="H471">
        <v>80.11</v>
      </c>
      <c r="I471">
        <v>17.989999999999998</v>
      </c>
      <c r="J471">
        <v>59.49</v>
      </c>
      <c r="K471">
        <v>525</v>
      </c>
      <c r="T471">
        <v>3</v>
      </c>
      <c r="U471">
        <v>1</v>
      </c>
      <c r="V471" t="s">
        <v>279</v>
      </c>
      <c r="W471">
        <v>80</v>
      </c>
      <c r="X471">
        <v>15</v>
      </c>
      <c r="Y471">
        <v>8</v>
      </c>
      <c r="Z471" t="s">
        <v>964</v>
      </c>
      <c r="AA471" t="s">
        <v>965</v>
      </c>
      <c r="AB471" t="s">
        <v>272</v>
      </c>
      <c r="AC471" t="s">
        <v>273</v>
      </c>
      <c r="AD471" t="s">
        <v>274</v>
      </c>
      <c r="AE471" t="s">
        <v>241</v>
      </c>
      <c r="AG471" t="s">
        <v>966</v>
      </c>
      <c r="AH471">
        <v>0</v>
      </c>
      <c r="AI471">
        <v>0</v>
      </c>
      <c r="AJ471">
        <v>0</v>
      </c>
      <c r="AK471">
        <v>262</v>
      </c>
      <c r="AL471">
        <v>0.5</v>
      </c>
    </row>
    <row r="472" spans="1:38" x14ac:dyDescent="0.3">
      <c r="A472" t="s">
        <v>967</v>
      </c>
      <c r="B472">
        <v>5523</v>
      </c>
      <c r="C472">
        <v>1</v>
      </c>
      <c r="D472" t="s">
        <v>968</v>
      </c>
      <c r="E472" t="s">
        <v>969</v>
      </c>
      <c r="F472">
        <v>500</v>
      </c>
      <c r="G472">
        <v>18.309999999999999</v>
      </c>
      <c r="H472">
        <v>60.55</v>
      </c>
      <c r="I472">
        <v>12.23</v>
      </c>
      <c r="J472">
        <v>40.44</v>
      </c>
      <c r="K472">
        <v>150</v>
      </c>
      <c r="T472">
        <v>2</v>
      </c>
      <c r="U472">
        <v>1</v>
      </c>
      <c r="V472" t="s">
        <v>279</v>
      </c>
      <c r="W472">
        <v>60</v>
      </c>
      <c r="X472">
        <v>15</v>
      </c>
      <c r="Y472">
        <v>10</v>
      </c>
      <c r="Z472" t="s">
        <v>970</v>
      </c>
      <c r="AA472" t="s">
        <v>971</v>
      </c>
      <c r="AB472" t="s">
        <v>272</v>
      </c>
      <c r="AC472" t="s">
        <v>273</v>
      </c>
      <c r="AD472" t="s">
        <v>274</v>
      </c>
      <c r="AE472" t="s">
        <v>972</v>
      </c>
      <c r="AG472" t="s">
        <v>973</v>
      </c>
      <c r="AH472">
        <v>0</v>
      </c>
      <c r="AI472">
        <v>195</v>
      </c>
      <c r="AJ472">
        <v>16</v>
      </c>
      <c r="AK472">
        <v>255</v>
      </c>
      <c r="AL472">
        <v>0.51</v>
      </c>
    </row>
    <row r="473" spans="1:38" x14ac:dyDescent="0.3">
      <c r="A473" t="s">
        <v>967</v>
      </c>
      <c r="B473">
        <v>5523</v>
      </c>
      <c r="C473">
        <v>2</v>
      </c>
      <c r="D473" t="s">
        <v>968</v>
      </c>
      <c r="E473" t="s">
        <v>969</v>
      </c>
      <c r="F473">
        <v>500</v>
      </c>
      <c r="G473">
        <v>22.63</v>
      </c>
      <c r="H473">
        <v>74.84</v>
      </c>
      <c r="I473">
        <v>15.11</v>
      </c>
      <c r="J473">
        <v>49.98</v>
      </c>
      <c r="K473">
        <v>336</v>
      </c>
      <c r="T473">
        <v>3</v>
      </c>
      <c r="U473">
        <v>1</v>
      </c>
      <c r="V473" t="s">
        <v>279</v>
      </c>
      <c r="W473" t="s">
        <v>67</v>
      </c>
      <c r="X473">
        <v>15</v>
      </c>
      <c r="Y473">
        <v>10</v>
      </c>
      <c r="Z473" t="s">
        <v>970</v>
      </c>
      <c r="AA473" t="s">
        <v>971</v>
      </c>
      <c r="AB473" t="s">
        <v>272</v>
      </c>
      <c r="AC473" t="s">
        <v>273</v>
      </c>
      <c r="AD473" t="s">
        <v>274</v>
      </c>
      <c r="AE473" t="s">
        <v>972</v>
      </c>
      <c r="AG473" t="s">
        <v>973</v>
      </c>
      <c r="AH473">
        <v>0</v>
      </c>
      <c r="AI473">
        <v>195</v>
      </c>
      <c r="AJ473">
        <v>16</v>
      </c>
      <c r="AK473">
        <v>255</v>
      </c>
      <c r="AL473">
        <v>0.51</v>
      </c>
    </row>
    <row r="474" spans="1:38" x14ac:dyDescent="0.3">
      <c r="A474" t="s">
        <v>967</v>
      </c>
      <c r="B474">
        <v>5523</v>
      </c>
      <c r="C474">
        <v>3</v>
      </c>
      <c r="D474" t="s">
        <v>968</v>
      </c>
      <c r="E474" t="s">
        <v>969</v>
      </c>
      <c r="F474">
        <v>500</v>
      </c>
      <c r="G474">
        <v>22.63</v>
      </c>
      <c r="H474">
        <v>74.81</v>
      </c>
      <c r="I474">
        <v>15.11</v>
      </c>
      <c r="J474">
        <v>49.96</v>
      </c>
      <c r="K474">
        <v>14</v>
      </c>
      <c r="T474">
        <v>3</v>
      </c>
      <c r="U474">
        <v>1</v>
      </c>
      <c r="V474" t="s">
        <v>269</v>
      </c>
      <c r="W474" t="s">
        <v>187</v>
      </c>
      <c r="X474">
        <v>15</v>
      </c>
      <c r="Y474">
        <v>10</v>
      </c>
      <c r="Z474" t="s">
        <v>970</v>
      </c>
      <c r="AA474" t="s">
        <v>971</v>
      </c>
      <c r="AB474" t="s">
        <v>272</v>
      </c>
      <c r="AC474" t="s">
        <v>273</v>
      </c>
      <c r="AD474" t="s">
        <v>274</v>
      </c>
      <c r="AE474" t="s">
        <v>972</v>
      </c>
      <c r="AG474" t="s">
        <v>973</v>
      </c>
      <c r="AH474">
        <v>0</v>
      </c>
      <c r="AI474">
        <v>195</v>
      </c>
      <c r="AJ474">
        <v>16</v>
      </c>
      <c r="AK474">
        <v>255</v>
      </c>
      <c r="AL474">
        <v>0.51</v>
      </c>
    </row>
    <row r="475" spans="1:38" x14ac:dyDescent="0.3">
      <c r="A475" t="s">
        <v>967</v>
      </c>
      <c r="B475">
        <v>116408</v>
      </c>
      <c r="C475">
        <v>1</v>
      </c>
      <c r="D475" t="s">
        <v>974</v>
      </c>
      <c r="E475" t="s">
        <v>514</v>
      </c>
      <c r="F475">
        <v>711</v>
      </c>
      <c r="G475">
        <v>29.43</v>
      </c>
      <c r="H475">
        <v>97.31</v>
      </c>
      <c r="I475">
        <v>22.12</v>
      </c>
      <c r="J475">
        <v>73.13</v>
      </c>
      <c r="K475">
        <v>251</v>
      </c>
      <c r="T475">
        <v>3</v>
      </c>
      <c r="U475">
        <v>2</v>
      </c>
      <c r="V475" t="s">
        <v>269</v>
      </c>
      <c r="W475">
        <v>97</v>
      </c>
      <c r="X475">
        <v>28</v>
      </c>
      <c r="Y475">
        <v>9</v>
      </c>
      <c r="Z475" t="s">
        <v>975</v>
      </c>
      <c r="AA475" t="s">
        <v>976</v>
      </c>
      <c r="AB475" t="s">
        <v>272</v>
      </c>
      <c r="AC475" t="s">
        <v>273</v>
      </c>
      <c r="AD475" t="s">
        <v>274</v>
      </c>
      <c r="AE475" t="s">
        <v>972</v>
      </c>
      <c r="AG475" t="s">
        <v>977</v>
      </c>
      <c r="AH475">
        <v>711</v>
      </c>
      <c r="AI475">
        <v>229</v>
      </c>
      <c r="AJ475">
        <v>21</v>
      </c>
      <c r="AK475">
        <v>951</v>
      </c>
      <c r="AL475">
        <v>1.34</v>
      </c>
    </row>
    <row r="476" spans="1:38" x14ac:dyDescent="0.3">
      <c r="A476" t="s">
        <v>967</v>
      </c>
      <c r="B476">
        <v>116408</v>
      </c>
      <c r="C476">
        <v>2</v>
      </c>
      <c r="D476" t="s">
        <v>974</v>
      </c>
      <c r="E476" t="s">
        <v>514</v>
      </c>
      <c r="F476">
        <v>711</v>
      </c>
      <c r="G476">
        <v>34.130000000000003</v>
      </c>
      <c r="H476">
        <v>112.83</v>
      </c>
      <c r="I476">
        <v>25.7</v>
      </c>
      <c r="J476">
        <v>84.96</v>
      </c>
      <c r="K476">
        <v>145</v>
      </c>
      <c r="T476">
        <v>3</v>
      </c>
      <c r="U476">
        <v>2</v>
      </c>
      <c r="V476" t="s">
        <v>269</v>
      </c>
      <c r="W476" t="s">
        <v>160</v>
      </c>
      <c r="X476">
        <v>28</v>
      </c>
      <c r="Y476">
        <v>9</v>
      </c>
      <c r="Z476" t="s">
        <v>975</v>
      </c>
      <c r="AA476" t="s">
        <v>976</v>
      </c>
      <c r="AB476" t="s">
        <v>272</v>
      </c>
      <c r="AC476" t="s">
        <v>273</v>
      </c>
      <c r="AD476" t="s">
        <v>274</v>
      </c>
      <c r="AE476" t="s">
        <v>972</v>
      </c>
      <c r="AG476" t="s">
        <v>977</v>
      </c>
      <c r="AH476">
        <v>711</v>
      </c>
      <c r="AI476">
        <v>229</v>
      </c>
      <c r="AJ476">
        <v>21</v>
      </c>
      <c r="AK476">
        <v>951</v>
      </c>
      <c r="AL476">
        <v>1.34</v>
      </c>
    </row>
    <row r="477" spans="1:38" x14ac:dyDescent="0.3">
      <c r="A477" t="s">
        <v>967</v>
      </c>
      <c r="B477">
        <v>116408</v>
      </c>
      <c r="C477">
        <v>3</v>
      </c>
      <c r="D477" t="s">
        <v>974</v>
      </c>
      <c r="E477" t="s">
        <v>514</v>
      </c>
      <c r="F477">
        <v>711</v>
      </c>
      <c r="G477">
        <v>34.26</v>
      </c>
      <c r="H477">
        <v>113.26</v>
      </c>
      <c r="I477">
        <v>25.69</v>
      </c>
      <c r="J477">
        <v>84.95</v>
      </c>
      <c r="K477">
        <v>315</v>
      </c>
      <c r="T477">
        <v>4</v>
      </c>
      <c r="U477">
        <v>2</v>
      </c>
      <c r="V477" t="s">
        <v>269</v>
      </c>
      <c r="W477" t="s">
        <v>165</v>
      </c>
      <c r="X477">
        <v>28</v>
      </c>
      <c r="Y477">
        <v>9</v>
      </c>
      <c r="Z477" t="s">
        <v>975</v>
      </c>
      <c r="AA477" t="s">
        <v>976</v>
      </c>
      <c r="AB477" t="s">
        <v>272</v>
      </c>
      <c r="AC477" t="s">
        <v>273</v>
      </c>
      <c r="AD477" t="s">
        <v>274</v>
      </c>
      <c r="AE477" t="s">
        <v>972</v>
      </c>
      <c r="AG477" t="s">
        <v>977</v>
      </c>
      <c r="AH477">
        <v>711</v>
      </c>
      <c r="AI477">
        <v>229</v>
      </c>
      <c r="AJ477">
        <v>21</v>
      </c>
      <c r="AK477">
        <v>951</v>
      </c>
      <c r="AL477">
        <v>1.34</v>
      </c>
    </row>
    <row r="478" spans="1:38" x14ac:dyDescent="0.3">
      <c r="A478" t="s">
        <v>967</v>
      </c>
      <c r="B478">
        <v>19110</v>
      </c>
      <c r="C478">
        <v>1</v>
      </c>
      <c r="D478" t="s">
        <v>978</v>
      </c>
      <c r="E478" t="s">
        <v>979</v>
      </c>
      <c r="F478">
        <v>737</v>
      </c>
      <c r="G478">
        <v>23.39</v>
      </c>
      <c r="H478">
        <v>77.34</v>
      </c>
      <c r="I478">
        <v>18.059999999999999</v>
      </c>
      <c r="J478">
        <v>59.73</v>
      </c>
      <c r="K478">
        <v>47</v>
      </c>
      <c r="T478">
        <v>3</v>
      </c>
      <c r="U478">
        <v>1</v>
      </c>
      <c r="V478" t="s">
        <v>269</v>
      </c>
      <c r="W478">
        <v>77</v>
      </c>
      <c r="X478">
        <v>15</v>
      </c>
      <c r="Y478">
        <v>10</v>
      </c>
      <c r="Z478" t="s">
        <v>980</v>
      </c>
      <c r="AA478" t="s">
        <v>981</v>
      </c>
      <c r="AB478" t="s">
        <v>272</v>
      </c>
      <c r="AC478" t="s">
        <v>273</v>
      </c>
      <c r="AD478" t="s">
        <v>274</v>
      </c>
      <c r="AE478" t="s">
        <v>972</v>
      </c>
      <c r="AG478" t="s">
        <v>982</v>
      </c>
      <c r="AH478">
        <v>0</v>
      </c>
      <c r="AI478">
        <v>215</v>
      </c>
      <c r="AJ478">
        <v>19</v>
      </c>
      <c r="AK478">
        <v>847</v>
      </c>
      <c r="AL478">
        <v>1.1499999999999999</v>
      </c>
    </row>
    <row r="479" spans="1:38" x14ac:dyDescent="0.3">
      <c r="A479" t="s">
        <v>967</v>
      </c>
      <c r="B479">
        <v>19110</v>
      </c>
      <c r="C479">
        <v>2</v>
      </c>
      <c r="D479" t="s">
        <v>978</v>
      </c>
      <c r="E479" t="s">
        <v>979</v>
      </c>
      <c r="F479">
        <v>737</v>
      </c>
      <c r="G479">
        <v>31.07</v>
      </c>
      <c r="H479">
        <v>102.72</v>
      </c>
      <c r="I479">
        <v>25.7</v>
      </c>
      <c r="J479">
        <v>84.96</v>
      </c>
      <c r="K479">
        <v>675</v>
      </c>
      <c r="T479">
        <v>3</v>
      </c>
      <c r="U479">
        <v>2</v>
      </c>
      <c r="V479" t="s">
        <v>269</v>
      </c>
      <c r="W479" t="s">
        <v>136</v>
      </c>
      <c r="X479">
        <v>15</v>
      </c>
      <c r="Y479">
        <v>10</v>
      </c>
      <c r="Z479" t="s">
        <v>980</v>
      </c>
      <c r="AA479" t="s">
        <v>981</v>
      </c>
      <c r="AB479" t="s">
        <v>272</v>
      </c>
      <c r="AC479" t="s">
        <v>273</v>
      </c>
      <c r="AD479" t="s">
        <v>274</v>
      </c>
      <c r="AE479" t="s">
        <v>972</v>
      </c>
      <c r="AG479" t="s">
        <v>982</v>
      </c>
      <c r="AH479">
        <v>0</v>
      </c>
      <c r="AI479">
        <v>215</v>
      </c>
      <c r="AJ479">
        <v>19</v>
      </c>
      <c r="AK479">
        <v>847</v>
      </c>
      <c r="AL479">
        <v>1.1499999999999999</v>
      </c>
    </row>
    <row r="480" spans="1:38" x14ac:dyDescent="0.3">
      <c r="A480" t="s">
        <v>967</v>
      </c>
      <c r="B480">
        <v>19110</v>
      </c>
      <c r="C480">
        <v>3</v>
      </c>
      <c r="D480" t="s">
        <v>978</v>
      </c>
      <c r="E480" t="s">
        <v>979</v>
      </c>
      <c r="F480">
        <v>737</v>
      </c>
      <c r="G480">
        <v>31.08</v>
      </c>
      <c r="H480">
        <v>102.76</v>
      </c>
      <c r="I480">
        <v>25.7</v>
      </c>
      <c r="J480">
        <v>84.96</v>
      </c>
      <c r="K480">
        <v>15</v>
      </c>
      <c r="T480">
        <v>3</v>
      </c>
      <c r="U480">
        <v>2</v>
      </c>
      <c r="V480" t="s">
        <v>269</v>
      </c>
      <c r="W480" t="s">
        <v>135</v>
      </c>
      <c r="X480">
        <v>15</v>
      </c>
      <c r="Y480">
        <v>10</v>
      </c>
      <c r="Z480" t="s">
        <v>980</v>
      </c>
      <c r="AA480" t="s">
        <v>981</v>
      </c>
      <c r="AB480" t="s">
        <v>272</v>
      </c>
      <c r="AC480" t="s">
        <v>273</v>
      </c>
      <c r="AD480" t="s">
        <v>274</v>
      </c>
      <c r="AE480" t="s">
        <v>972</v>
      </c>
      <c r="AG480" t="s">
        <v>982</v>
      </c>
      <c r="AH480">
        <v>0</v>
      </c>
      <c r="AI480">
        <v>215</v>
      </c>
      <c r="AJ480">
        <v>19</v>
      </c>
      <c r="AK480">
        <v>847</v>
      </c>
      <c r="AL480">
        <v>1.1499999999999999</v>
      </c>
    </row>
    <row r="481" spans="1:38" x14ac:dyDescent="0.3">
      <c r="A481" t="s">
        <v>967</v>
      </c>
      <c r="B481">
        <v>5525</v>
      </c>
      <c r="C481">
        <v>1</v>
      </c>
      <c r="D481" t="s">
        <v>983</v>
      </c>
      <c r="E481" t="s">
        <v>984</v>
      </c>
      <c r="F481">
        <v>360</v>
      </c>
      <c r="G481">
        <v>24.1</v>
      </c>
      <c r="H481">
        <v>79.680000000000007</v>
      </c>
      <c r="I481">
        <v>18.07</v>
      </c>
      <c r="J481">
        <v>59.74</v>
      </c>
      <c r="K481">
        <v>125</v>
      </c>
      <c r="T481">
        <v>3</v>
      </c>
      <c r="U481">
        <v>2</v>
      </c>
      <c r="V481" t="s">
        <v>269</v>
      </c>
      <c r="W481">
        <v>79</v>
      </c>
      <c r="X481">
        <v>19</v>
      </c>
      <c r="Y481">
        <v>7</v>
      </c>
      <c r="Z481" t="s">
        <v>985</v>
      </c>
      <c r="AA481" t="s">
        <v>986</v>
      </c>
      <c r="AB481" t="s">
        <v>272</v>
      </c>
      <c r="AC481" t="s">
        <v>273</v>
      </c>
      <c r="AD481" t="s">
        <v>274</v>
      </c>
      <c r="AE481" t="s">
        <v>972</v>
      </c>
      <c r="AG481" t="s">
        <v>987</v>
      </c>
      <c r="AH481">
        <v>0</v>
      </c>
      <c r="AI481">
        <v>214</v>
      </c>
      <c r="AJ481">
        <v>21</v>
      </c>
      <c r="AK481">
        <v>366</v>
      </c>
      <c r="AL481">
        <v>1.02</v>
      </c>
    </row>
    <row r="482" spans="1:38" x14ac:dyDescent="0.3">
      <c r="A482" t="s">
        <v>967</v>
      </c>
      <c r="B482">
        <v>5525</v>
      </c>
      <c r="C482">
        <v>2</v>
      </c>
      <c r="D482" t="s">
        <v>983</v>
      </c>
      <c r="E482" t="s">
        <v>984</v>
      </c>
      <c r="F482">
        <v>360</v>
      </c>
      <c r="G482">
        <v>23.97</v>
      </c>
      <c r="H482">
        <v>79.25</v>
      </c>
      <c r="I482">
        <v>18.07</v>
      </c>
      <c r="J482">
        <v>59.74</v>
      </c>
      <c r="K482">
        <v>50</v>
      </c>
      <c r="T482">
        <v>3</v>
      </c>
      <c r="U482">
        <v>2</v>
      </c>
      <c r="V482" t="s">
        <v>269</v>
      </c>
      <c r="W482">
        <v>79</v>
      </c>
      <c r="X482">
        <v>19</v>
      </c>
      <c r="Y482">
        <v>7</v>
      </c>
      <c r="Z482" t="s">
        <v>985</v>
      </c>
      <c r="AA482" t="s">
        <v>986</v>
      </c>
      <c r="AB482" t="s">
        <v>272</v>
      </c>
      <c r="AC482" t="s">
        <v>273</v>
      </c>
      <c r="AD482" t="s">
        <v>274</v>
      </c>
      <c r="AE482" t="s">
        <v>972</v>
      </c>
      <c r="AG482" t="s">
        <v>987</v>
      </c>
      <c r="AH482">
        <v>0</v>
      </c>
      <c r="AI482">
        <v>214</v>
      </c>
      <c r="AJ482">
        <v>21</v>
      </c>
      <c r="AK482">
        <v>366</v>
      </c>
      <c r="AL482">
        <v>1.02</v>
      </c>
    </row>
    <row r="483" spans="1:38" x14ac:dyDescent="0.3">
      <c r="A483" t="s">
        <v>967</v>
      </c>
      <c r="B483">
        <v>5525</v>
      </c>
      <c r="C483">
        <v>3</v>
      </c>
      <c r="D483" t="s">
        <v>983</v>
      </c>
      <c r="E483" t="s">
        <v>984</v>
      </c>
      <c r="F483">
        <v>360</v>
      </c>
      <c r="G483">
        <v>31.88</v>
      </c>
      <c r="H483">
        <v>105.39</v>
      </c>
      <c r="I483">
        <v>25.67</v>
      </c>
      <c r="J483">
        <v>84.87</v>
      </c>
      <c r="K483">
        <v>133</v>
      </c>
      <c r="T483">
        <v>3</v>
      </c>
      <c r="U483">
        <v>2</v>
      </c>
      <c r="V483" t="s">
        <v>269</v>
      </c>
      <c r="W483">
        <v>105</v>
      </c>
      <c r="X483">
        <v>19</v>
      </c>
      <c r="Y483">
        <v>7</v>
      </c>
      <c r="Z483" t="s">
        <v>985</v>
      </c>
      <c r="AA483" t="s">
        <v>986</v>
      </c>
      <c r="AB483" t="s">
        <v>272</v>
      </c>
      <c r="AC483" t="s">
        <v>273</v>
      </c>
      <c r="AD483" t="s">
        <v>274</v>
      </c>
      <c r="AE483" t="s">
        <v>972</v>
      </c>
      <c r="AG483" t="s">
        <v>987</v>
      </c>
      <c r="AH483">
        <v>0</v>
      </c>
      <c r="AI483">
        <v>214</v>
      </c>
      <c r="AJ483">
        <v>21</v>
      </c>
      <c r="AK483">
        <v>366</v>
      </c>
      <c r="AL483">
        <v>1.02</v>
      </c>
    </row>
    <row r="484" spans="1:38" x14ac:dyDescent="0.3">
      <c r="A484" t="s">
        <v>967</v>
      </c>
      <c r="B484">
        <v>5525</v>
      </c>
      <c r="C484">
        <v>4</v>
      </c>
      <c r="D484" t="s">
        <v>983</v>
      </c>
      <c r="E484" t="s">
        <v>984</v>
      </c>
      <c r="F484">
        <v>360</v>
      </c>
      <c r="G484">
        <v>38.909999999999997</v>
      </c>
      <c r="H484">
        <v>128.63999999999999</v>
      </c>
      <c r="I484">
        <v>32.56</v>
      </c>
      <c r="J484">
        <v>107.64</v>
      </c>
      <c r="K484">
        <v>26</v>
      </c>
      <c r="T484">
        <v>4</v>
      </c>
      <c r="U484">
        <v>2</v>
      </c>
      <c r="V484" t="s">
        <v>269</v>
      </c>
      <c r="W484">
        <v>128</v>
      </c>
      <c r="X484">
        <v>19</v>
      </c>
      <c r="Y484">
        <v>7</v>
      </c>
      <c r="Z484" t="s">
        <v>985</v>
      </c>
      <c r="AA484" t="s">
        <v>986</v>
      </c>
      <c r="AB484" t="s">
        <v>272</v>
      </c>
      <c r="AC484" t="s">
        <v>273</v>
      </c>
      <c r="AD484" t="s">
        <v>274</v>
      </c>
      <c r="AE484" t="s">
        <v>972</v>
      </c>
      <c r="AG484" t="s">
        <v>987</v>
      </c>
      <c r="AH484">
        <v>0</v>
      </c>
      <c r="AI484">
        <v>214</v>
      </c>
      <c r="AJ484">
        <v>21</v>
      </c>
      <c r="AK484">
        <v>366</v>
      </c>
      <c r="AL484">
        <v>1.02</v>
      </c>
    </row>
    <row r="485" spans="1:38" x14ac:dyDescent="0.3">
      <c r="A485" t="s">
        <v>967</v>
      </c>
      <c r="B485">
        <v>5525</v>
      </c>
      <c r="C485">
        <v>5</v>
      </c>
      <c r="D485" t="s">
        <v>983</v>
      </c>
      <c r="E485" t="s">
        <v>984</v>
      </c>
      <c r="F485">
        <v>360</v>
      </c>
      <c r="G485">
        <v>45.62</v>
      </c>
      <c r="H485">
        <v>150.81</v>
      </c>
      <c r="I485">
        <v>38.76</v>
      </c>
      <c r="J485">
        <v>128.16</v>
      </c>
      <c r="K485">
        <v>26</v>
      </c>
      <c r="T485">
        <v>4</v>
      </c>
      <c r="U485">
        <v>2</v>
      </c>
      <c r="V485" t="s">
        <v>269</v>
      </c>
      <c r="W485">
        <v>150</v>
      </c>
      <c r="X485">
        <v>19</v>
      </c>
      <c r="Y485">
        <v>7</v>
      </c>
      <c r="Z485" t="s">
        <v>985</v>
      </c>
      <c r="AA485" t="s">
        <v>986</v>
      </c>
      <c r="AB485" t="s">
        <v>272</v>
      </c>
      <c r="AC485" t="s">
        <v>273</v>
      </c>
      <c r="AD485" t="s">
        <v>274</v>
      </c>
      <c r="AE485" t="s">
        <v>972</v>
      </c>
      <c r="AG485" t="s">
        <v>987</v>
      </c>
      <c r="AH485">
        <v>0</v>
      </c>
      <c r="AI485">
        <v>214</v>
      </c>
      <c r="AJ485">
        <v>21</v>
      </c>
      <c r="AK485">
        <v>366</v>
      </c>
      <c r="AL485">
        <v>1.02</v>
      </c>
    </row>
    <row r="486" spans="1:38" x14ac:dyDescent="0.3">
      <c r="A486" t="s">
        <v>988</v>
      </c>
      <c r="B486">
        <v>15017</v>
      </c>
      <c r="C486">
        <v>1</v>
      </c>
      <c r="D486" t="s">
        <v>989</v>
      </c>
      <c r="E486" t="s">
        <v>990</v>
      </c>
      <c r="F486">
        <v>150</v>
      </c>
      <c r="G486">
        <v>25.78</v>
      </c>
      <c r="H486">
        <v>85.24</v>
      </c>
      <c r="I486">
        <v>18.05</v>
      </c>
      <c r="J486">
        <v>59.7</v>
      </c>
      <c r="K486">
        <v>150</v>
      </c>
      <c r="T486">
        <v>3</v>
      </c>
      <c r="U486">
        <v>1</v>
      </c>
      <c r="V486" t="s">
        <v>279</v>
      </c>
      <c r="W486">
        <v>85</v>
      </c>
      <c r="X486">
        <v>15</v>
      </c>
      <c r="Y486">
        <v>11</v>
      </c>
      <c r="Z486" t="s">
        <v>991</v>
      </c>
      <c r="AA486" t="s">
        <v>992</v>
      </c>
      <c r="AB486" t="s">
        <v>272</v>
      </c>
      <c r="AC486" t="s">
        <v>273</v>
      </c>
      <c r="AD486" t="s">
        <v>274</v>
      </c>
      <c r="AE486" t="s">
        <v>993</v>
      </c>
      <c r="AG486" t="s">
        <v>994</v>
      </c>
      <c r="AH486">
        <v>0</v>
      </c>
      <c r="AI486">
        <v>325</v>
      </c>
      <c r="AJ486">
        <v>33</v>
      </c>
      <c r="AK486">
        <v>0</v>
      </c>
      <c r="AL486">
        <v>0</v>
      </c>
    </row>
    <row r="487" spans="1:38" x14ac:dyDescent="0.3">
      <c r="A487" t="s">
        <v>988</v>
      </c>
      <c r="B487">
        <v>120556</v>
      </c>
      <c r="C487">
        <v>1</v>
      </c>
      <c r="D487" t="s">
        <v>995</v>
      </c>
      <c r="E487" t="s">
        <v>996</v>
      </c>
      <c r="F487">
        <v>54</v>
      </c>
      <c r="G487">
        <v>32.36</v>
      </c>
      <c r="H487">
        <v>107</v>
      </c>
      <c r="I487">
        <v>25.3</v>
      </c>
      <c r="J487">
        <v>83.65</v>
      </c>
      <c r="K487">
        <v>36</v>
      </c>
      <c r="T487">
        <v>3</v>
      </c>
      <c r="U487">
        <v>2</v>
      </c>
      <c r="V487" t="s">
        <v>269</v>
      </c>
      <c r="W487" t="s">
        <v>189</v>
      </c>
      <c r="X487">
        <v>9</v>
      </c>
      <c r="Y487">
        <v>9</v>
      </c>
      <c r="Z487" t="s">
        <v>997</v>
      </c>
      <c r="AA487" t="s">
        <v>998</v>
      </c>
      <c r="AB487" t="s">
        <v>272</v>
      </c>
      <c r="AC487" t="s">
        <v>273</v>
      </c>
      <c r="AD487" t="s">
        <v>274</v>
      </c>
      <c r="AE487" t="s">
        <v>993</v>
      </c>
      <c r="AG487" t="s">
        <v>999</v>
      </c>
      <c r="AH487">
        <v>0</v>
      </c>
      <c r="AI487">
        <v>154</v>
      </c>
      <c r="AJ487">
        <v>22</v>
      </c>
      <c r="AK487">
        <v>78</v>
      </c>
      <c r="AL487">
        <v>1.44</v>
      </c>
    </row>
    <row r="488" spans="1:38" x14ac:dyDescent="0.3">
      <c r="A488" t="s">
        <v>988</v>
      </c>
      <c r="B488">
        <v>120556</v>
      </c>
      <c r="C488">
        <v>2</v>
      </c>
      <c r="D488" t="s">
        <v>995</v>
      </c>
      <c r="E488" t="s">
        <v>996</v>
      </c>
      <c r="F488">
        <v>54</v>
      </c>
      <c r="G488">
        <v>32.36</v>
      </c>
      <c r="H488">
        <v>107</v>
      </c>
      <c r="I488">
        <v>25.3</v>
      </c>
      <c r="J488">
        <v>83.65</v>
      </c>
      <c r="K488">
        <v>18</v>
      </c>
      <c r="T488">
        <v>3</v>
      </c>
      <c r="U488">
        <v>2</v>
      </c>
      <c r="V488" t="s">
        <v>269</v>
      </c>
      <c r="W488" t="s">
        <v>196</v>
      </c>
      <c r="X488">
        <v>9</v>
      </c>
      <c r="Y488">
        <v>9</v>
      </c>
      <c r="Z488" t="s">
        <v>997</v>
      </c>
      <c r="AA488" t="s">
        <v>998</v>
      </c>
      <c r="AB488" t="s">
        <v>272</v>
      </c>
      <c r="AC488" t="s">
        <v>273</v>
      </c>
      <c r="AD488" t="s">
        <v>274</v>
      </c>
      <c r="AE488" t="s">
        <v>993</v>
      </c>
      <c r="AG488" t="s">
        <v>999</v>
      </c>
      <c r="AH488">
        <v>0</v>
      </c>
      <c r="AI488">
        <v>154</v>
      </c>
      <c r="AJ488">
        <v>22</v>
      </c>
      <c r="AK488">
        <v>78</v>
      </c>
      <c r="AL488">
        <v>1.44</v>
      </c>
    </row>
    <row r="489" spans="1:38" x14ac:dyDescent="0.3">
      <c r="A489" t="s">
        <v>988</v>
      </c>
      <c r="B489">
        <v>140064</v>
      </c>
      <c r="C489">
        <v>1</v>
      </c>
      <c r="D489" t="s">
        <v>1000</v>
      </c>
      <c r="E489" t="s">
        <v>378</v>
      </c>
      <c r="F489">
        <v>30</v>
      </c>
      <c r="G489">
        <v>28.08</v>
      </c>
      <c r="H489">
        <v>92.83</v>
      </c>
      <c r="I489">
        <v>24.58</v>
      </c>
      <c r="J489">
        <v>81.27</v>
      </c>
      <c r="K489">
        <v>30</v>
      </c>
      <c r="T489">
        <v>3</v>
      </c>
      <c r="U489">
        <v>2</v>
      </c>
      <c r="V489" t="s">
        <v>269</v>
      </c>
      <c r="W489">
        <v>92</v>
      </c>
      <c r="X489">
        <v>5</v>
      </c>
      <c r="Y489">
        <v>5</v>
      </c>
      <c r="Z489" t="s">
        <v>1001</v>
      </c>
      <c r="AA489" t="s">
        <v>1002</v>
      </c>
      <c r="AB489" t="s">
        <v>272</v>
      </c>
      <c r="AC489" t="s">
        <v>273</v>
      </c>
      <c r="AD489" t="s">
        <v>274</v>
      </c>
      <c r="AE489" t="s">
        <v>993</v>
      </c>
      <c r="AG489" t="s">
        <v>1003</v>
      </c>
      <c r="AH489">
        <v>0</v>
      </c>
      <c r="AI489">
        <v>0</v>
      </c>
      <c r="AJ489">
        <v>0</v>
      </c>
      <c r="AK489">
        <v>0</v>
      </c>
      <c r="AL489">
        <v>0</v>
      </c>
    </row>
    <row r="490" spans="1:38" x14ac:dyDescent="0.3">
      <c r="A490" t="s">
        <v>988</v>
      </c>
      <c r="B490">
        <v>103259</v>
      </c>
      <c r="C490">
        <v>1</v>
      </c>
      <c r="D490" t="s">
        <v>1004</v>
      </c>
      <c r="E490" t="s">
        <v>1005</v>
      </c>
      <c r="F490">
        <v>76</v>
      </c>
      <c r="G490">
        <v>22.83</v>
      </c>
      <c r="H490">
        <v>75.489999999999995</v>
      </c>
      <c r="I490">
        <v>15.66</v>
      </c>
      <c r="J490">
        <v>51.78</v>
      </c>
      <c r="K490">
        <v>6</v>
      </c>
      <c r="T490">
        <v>3</v>
      </c>
      <c r="U490">
        <v>2</v>
      </c>
      <c r="V490" t="s">
        <v>269</v>
      </c>
      <c r="W490">
        <v>75</v>
      </c>
      <c r="X490">
        <v>8</v>
      </c>
      <c r="Y490">
        <v>6</v>
      </c>
      <c r="Z490" t="s">
        <v>1006</v>
      </c>
      <c r="AA490" t="s">
        <v>1007</v>
      </c>
      <c r="AB490" t="s">
        <v>272</v>
      </c>
      <c r="AC490" t="s">
        <v>273</v>
      </c>
      <c r="AD490" t="s">
        <v>274</v>
      </c>
      <c r="AE490" t="s">
        <v>993</v>
      </c>
      <c r="AG490" t="s">
        <v>1008</v>
      </c>
      <c r="AH490">
        <v>0</v>
      </c>
      <c r="AI490">
        <v>0</v>
      </c>
      <c r="AJ490">
        <v>0</v>
      </c>
      <c r="AK490">
        <v>0</v>
      </c>
      <c r="AL490">
        <v>0</v>
      </c>
    </row>
    <row r="491" spans="1:38" x14ac:dyDescent="0.3">
      <c r="A491" t="s">
        <v>988</v>
      </c>
      <c r="B491">
        <v>103259</v>
      </c>
      <c r="C491">
        <v>2</v>
      </c>
      <c r="D491" t="s">
        <v>1004</v>
      </c>
      <c r="E491" t="s">
        <v>1005</v>
      </c>
      <c r="F491">
        <v>76</v>
      </c>
      <c r="G491">
        <v>23.94</v>
      </c>
      <c r="H491">
        <v>79.16</v>
      </c>
      <c r="I491">
        <v>16.420000000000002</v>
      </c>
      <c r="J491">
        <v>54.3</v>
      </c>
      <c r="K491">
        <v>6</v>
      </c>
      <c r="T491">
        <v>3</v>
      </c>
      <c r="U491">
        <v>2</v>
      </c>
      <c r="V491" t="s">
        <v>269</v>
      </c>
      <c r="W491">
        <v>79</v>
      </c>
      <c r="X491">
        <v>8</v>
      </c>
      <c r="Y491">
        <v>6</v>
      </c>
      <c r="Z491" t="s">
        <v>1006</v>
      </c>
      <c r="AA491" t="s">
        <v>1007</v>
      </c>
      <c r="AB491" t="s">
        <v>272</v>
      </c>
      <c r="AC491" t="s">
        <v>273</v>
      </c>
      <c r="AD491" t="s">
        <v>274</v>
      </c>
      <c r="AE491" t="s">
        <v>993</v>
      </c>
      <c r="AG491" t="s">
        <v>1008</v>
      </c>
      <c r="AH491">
        <v>0</v>
      </c>
      <c r="AI491">
        <v>0</v>
      </c>
      <c r="AJ491">
        <v>0</v>
      </c>
      <c r="AK491">
        <v>0</v>
      </c>
      <c r="AL491">
        <v>0</v>
      </c>
    </row>
    <row r="492" spans="1:38" x14ac:dyDescent="0.3">
      <c r="A492" t="s">
        <v>988</v>
      </c>
      <c r="B492">
        <v>103259</v>
      </c>
      <c r="C492">
        <v>3</v>
      </c>
      <c r="D492" t="s">
        <v>1004</v>
      </c>
      <c r="E492" t="s">
        <v>1005</v>
      </c>
      <c r="F492">
        <v>76</v>
      </c>
      <c r="G492">
        <v>26.05</v>
      </c>
      <c r="H492">
        <v>86.13</v>
      </c>
      <c r="I492">
        <v>17.86</v>
      </c>
      <c r="J492">
        <v>59.07</v>
      </c>
      <c r="K492">
        <v>64</v>
      </c>
      <c r="T492">
        <v>3</v>
      </c>
      <c r="U492">
        <v>2</v>
      </c>
      <c r="V492" t="s">
        <v>269</v>
      </c>
      <c r="W492">
        <v>86</v>
      </c>
      <c r="X492">
        <v>8</v>
      </c>
      <c r="Y492">
        <v>6</v>
      </c>
      <c r="Z492" t="s">
        <v>1006</v>
      </c>
      <c r="AA492" t="s">
        <v>1007</v>
      </c>
      <c r="AB492" t="s">
        <v>272</v>
      </c>
      <c r="AC492" t="s">
        <v>273</v>
      </c>
      <c r="AD492" t="s">
        <v>274</v>
      </c>
      <c r="AE492" t="s">
        <v>993</v>
      </c>
      <c r="AG492" t="s">
        <v>1008</v>
      </c>
      <c r="AH492">
        <v>0</v>
      </c>
      <c r="AI492">
        <v>0</v>
      </c>
      <c r="AJ492">
        <v>0</v>
      </c>
      <c r="AK492">
        <v>0</v>
      </c>
      <c r="AL492">
        <v>0</v>
      </c>
    </row>
    <row r="493" spans="1:38" x14ac:dyDescent="0.3">
      <c r="A493" t="s">
        <v>988</v>
      </c>
      <c r="B493">
        <v>106220</v>
      </c>
      <c r="C493">
        <v>1</v>
      </c>
      <c r="D493" t="s">
        <v>1009</v>
      </c>
      <c r="E493" t="s">
        <v>1010</v>
      </c>
      <c r="F493">
        <v>310</v>
      </c>
      <c r="G493">
        <v>33.96</v>
      </c>
      <c r="H493">
        <v>112.29</v>
      </c>
      <c r="I493">
        <v>25.6</v>
      </c>
      <c r="J493">
        <v>84.66</v>
      </c>
      <c r="K493">
        <v>310</v>
      </c>
      <c r="T493">
        <v>3</v>
      </c>
      <c r="U493">
        <v>2</v>
      </c>
      <c r="V493" t="s">
        <v>269</v>
      </c>
      <c r="W493">
        <v>112</v>
      </c>
      <c r="X493">
        <v>20</v>
      </c>
      <c r="Y493">
        <v>14</v>
      </c>
      <c r="Z493" t="s">
        <v>1011</v>
      </c>
      <c r="AA493" t="s">
        <v>1012</v>
      </c>
      <c r="AB493" t="s">
        <v>272</v>
      </c>
      <c r="AC493" t="s">
        <v>273</v>
      </c>
      <c r="AD493" t="s">
        <v>274</v>
      </c>
      <c r="AE493" t="s">
        <v>993</v>
      </c>
      <c r="AG493" t="s">
        <v>1013</v>
      </c>
      <c r="AH493">
        <v>0</v>
      </c>
      <c r="AI493">
        <v>222</v>
      </c>
      <c r="AJ493">
        <v>18</v>
      </c>
      <c r="AK493">
        <v>376</v>
      </c>
      <c r="AL493">
        <v>1.21</v>
      </c>
    </row>
    <row r="494" spans="1:38" x14ac:dyDescent="0.3">
      <c r="A494" t="s">
        <v>988</v>
      </c>
      <c r="B494">
        <v>117422</v>
      </c>
      <c r="C494">
        <v>1</v>
      </c>
      <c r="D494" t="s">
        <v>1014</v>
      </c>
      <c r="E494" t="s">
        <v>1015</v>
      </c>
      <c r="F494">
        <v>19</v>
      </c>
      <c r="G494">
        <v>32.24</v>
      </c>
      <c r="H494">
        <v>106.58</v>
      </c>
      <c r="I494">
        <v>25.68</v>
      </c>
      <c r="J494">
        <v>84.9</v>
      </c>
      <c r="K494">
        <v>18</v>
      </c>
      <c r="T494">
        <v>3</v>
      </c>
      <c r="U494">
        <v>2</v>
      </c>
      <c r="V494" t="s">
        <v>269</v>
      </c>
      <c r="W494" t="s">
        <v>92</v>
      </c>
      <c r="X494">
        <v>8</v>
      </c>
      <c r="Y494">
        <v>6</v>
      </c>
      <c r="Z494" t="s">
        <v>1016</v>
      </c>
      <c r="AA494" t="s">
        <v>1017</v>
      </c>
      <c r="AB494" t="s">
        <v>272</v>
      </c>
      <c r="AC494" t="s">
        <v>273</v>
      </c>
      <c r="AD494" t="s">
        <v>274</v>
      </c>
      <c r="AE494" t="s">
        <v>993</v>
      </c>
      <c r="AG494" t="s">
        <v>1018</v>
      </c>
      <c r="AH494">
        <v>0</v>
      </c>
      <c r="AI494">
        <v>129</v>
      </c>
      <c r="AJ494">
        <v>26</v>
      </c>
      <c r="AK494">
        <v>33</v>
      </c>
      <c r="AL494">
        <v>1.74</v>
      </c>
    </row>
    <row r="495" spans="1:38" x14ac:dyDescent="0.3">
      <c r="A495" t="s">
        <v>988</v>
      </c>
      <c r="B495">
        <v>117422</v>
      </c>
      <c r="C495">
        <v>2</v>
      </c>
      <c r="D495" t="s">
        <v>1014</v>
      </c>
      <c r="E495" t="s">
        <v>1015</v>
      </c>
      <c r="F495">
        <v>19</v>
      </c>
      <c r="G495">
        <v>32.24</v>
      </c>
      <c r="H495">
        <v>106.58</v>
      </c>
      <c r="I495">
        <v>25.68</v>
      </c>
      <c r="J495">
        <v>84.9</v>
      </c>
      <c r="K495">
        <v>1</v>
      </c>
      <c r="T495">
        <v>3</v>
      </c>
      <c r="U495">
        <v>2</v>
      </c>
      <c r="V495" t="s">
        <v>269</v>
      </c>
      <c r="W495" t="s">
        <v>219</v>
      </c>
      <c r="X495">
        <v>8</v>
      </c>
      <c r="Y495">
        <v>6</v>
      </c>
      <c r="Z495" t="s">
        <v>1016</v>
      </c>
      <c r="AA495" t="s">
        <v>1017</v>
      </c>
      <c r="AB495" t="s">
        <v>272</v>
      </c>
      <c r="AC495" t="s">
        <v>273</v>
      </c>
      <c r="AD495" t="s">
        <v>274</v>
      </c>
      <c r="AE495" t="s">
        <v>993</v>
      </c>
      <c r="AG495" t="s">
        <v>1018</v>
      </c>
      <c r="AH495">
        <v>0</v>
      </c>
      <c r="AI495">
        <v>129</v>
      </c>
      <c r="AJ495">
        <v>26</v>
      </c>
      <c r="AK495">
        <v>33</v>
      </c>
      <c r="AL495">
        <v>1.74</v>
      </c>
    </row>
    <row r="496" spans="1:38" x14ac:dyDescent="0.3">
      <c r="A496" t="s">
        <v>988</v>
      </c>
      <c r="B496">
        <v>26726</v>
      </c>
      <c r="C496">
        <v>1</v>
      </c>
      <c r="D496" t="s">
        <v>1019</v>
      </c>
      <c r="E496" t="s">
        <v>1020</v>
      </c>
      <c r="F496">
        <v>283</v>
      </c>
      <c r="G496">
        <v>24.52</v>
      </c>
      <c r="H496">
        <v>81.069999999999993</v>
      </c>
      <c r="I496">
        <v>17.96</v>
      </c>
      <c r="J496">
        <v>59.4</v>
      </c>
      <c r="K496">
        <v>283</v>
      </c>
      <c r="T496">
        <v>3</v>
      </c>
      <c r="U496">
        <v>1</v>
      </c>
      <c r="V496" t="s">
        <v>279</v>
      </c>
      <c r="W496">
        <v>81</v>
      </c>
      <c r="X496">
        <v>15</v>
      </c>
      <c r="Y496">
        <v>13</v>
      </c>
      <c r="Z496" t="s">
        <v>1021</v>
      </c>
      <c r="AA496" t="s">
        <v>1022</v>
      </c>
      <c r="AB496" t="s">
        <v>272</v>
      </c>
      <c r="AC496" t="s">
        <v>273</v>
      </c>
      <c r="AD496" t="s">
        <v>274</v>
      </c>
      <c r="AE496" t="s">
        <v>993</v>
      </c>
      <c r="AG496" t="s">
        <v>1023</v>
      </c>
      <c r="AH496">
        <v>0</v>
      </c>
      <c r="AI496">
        <v>344</v>
      </c>
      <c r="AJ496">
        <v>31</v>
      </c>
      <c r="AK496">
        <v>141</v>
      </c>
      <c r="AL496">
        <v>0.5</v>
      </c>
    </row>
    <row r="497" spans="1:38" x14ac:dyDescent="0.3">
      <c r="A497" t="s">
        <v>988</v>
      </c>
      <c r="B497">
        <v>106498</v>
      </c>
      <c r="C497">
        <v>1</v>
      </c>
      <c r="D497" t="s">
        <v>1024</v>
      </c>
      <c r="E497" t="s">
        <v>1025</v>
      </c>
      <c r="F497">
        <v>148</v>
      </c>
      <c r="G497">
        <v>24.36</v>
      </c>
      <c r="H497">
        <v>80.540000000000006</v>
      </c>
      <c r="I497">
        <v>18.010000000000002</v>
      </c>
      <c r="J497">
        <v>59.55</v>
      </c>
      <c r="K497">
        <v>146</v>
      </c>
      <c r="T497">
        <v>3</v>
      </c>
      <c r="U497">
        <v>1</v>
      </c>
      <c r="V497" t="s">
        <v>269</v>
      </c>
      <c r="W497">
        <v>80</v>
      </c>
      <c r="X497">
        <v>12</v>
      </c>
      <c r="Y497">
        <v>11</v>
      </c>
      <c r="Z497" t="s">
        <v>1026</v>
      </c>
      <c r="AA497" t="s">
        <v>1027</v>
      </c>
      <c r="AB497" t="s">
        <v>272</v>
      </c>
      <c r="AC497" t="s">
        <v>273</v>
      </c>
      <c r="AD497" t="s">
        <v>274</v>
      </c>
      <c r="AE497" t="s">
        <v>993</v>
      </c>
      <c r="AG497" t="s">
        <v>1028</v>
      </c>
      <c r="AH497">
        <v>2</v>
      </c>
      <c r="AI497">
        <v>0</v>
      </c>
      <c r="AJ497">
        <v>0</v>
      </c>
      <c r="AK497">
        <v>0</v>
      </c>
      <c r="AL497">
        <v>0</v>
      </c>
    </row>
    <row r="498" spans="1:38" x14ac:dyDescent="0.3">
      <c r="A498" t="s">
        <v>988</v>
      </c>
      <c r="B498">
        <v>101165</v>
      </c>
      <c r="C498">
        <v>1</v>
      </c>
      <c r="D498" t="s">
        <v>1029</v>
      </c>
      <c r="E498" t="s">
        <v>1030</v>
      </c>
      <c r="F498">
        <v>494</v>
      </c>
      <c r="G498">
        <v>23.88</v>
      </c>
      <c r="H498">
        <v>78.959999999999994</v>
      </c>
      <c r="I498">
        <v>18.010000000000002</v>
      </c>
      <c r="J498">
        <v>59.55</v>
      </c>
      <c r="K498">
        <v>494</v>
      </c>
      <c r="T498">
        <v>2</v>
      </c>
      <c r="U498">
        <v>1</v>
      </c>
      <c r="V498" t="s">
        <v>279</v>
      </c>
      <c r="W498">
        <v>78</v>
      </c>
      <c r="X498">
        <v>15</v>
      </c>
      <c r="Y498">
        <v>14</v>
      </c>
      <c r="Z498" t="s">
        <v>1031</v>
      </c>
      <c r="AA498" t="s">
        <v>1032</v>
      </c>
      <c r="AB498" t="s">
        <v>272</v>
      </c>
      <c r="AC498" t="s">
        <v>273</v>
      </c>
      <c r="AD498" t="s">
        <v>274</v>
      </c>
      <c r="AE498" t="s">
        <v>993</v>
      </c>
      <c r="AG498" t="s">
        <v>1033</v>
      </c>
      <c r="AH498">
        <v>0</v>
      </c>
      <c r="AI498">
        <v>0</v>
      </c>
      <c r="AJ498">
        <v>0</v>
      </c>
      <c r="AK498">
        <v>0</v>
      </c>
      <c r="AL498">
        <v>0</v>
      </c>
    </row>
    <row r="499" spans="1:38" x14ac:dyDescent="0.3">
      <c r="A499" t="s">
        <v>988</v>
      </c>
      <c r="B499">
        <v>109585</v>
      </c>
      <c r="C499">
        <v>1</v>
      </c>
      <c r="D499" t="s">
        <v>1034</v>
      </c>
      <c r="E499" t="s">
        <v>1020</v>
      </c>
      <c r="F499">
        <v>299</v>
      </c>
      <c r="G499">
        <v>21.42</v>
      </c>
      <c r="H499">
        <v>70.83</v>
      </c>
      <c r="I499">
        <v>15.76</v>
      </c>
      <c r="J499">
        <v>52.11</v>
      </c>
      <c r="K499">
        <v>15</v>
      </c>
      <c r="T499">
        <v>2</v>
      </c>
      <c r="U499">
        <v>1</v>
      </c>
      <c r="V499" t="s">
        <v>279</v>
      </c>
      <c r="W499">
        <v>70</v>
      </c>
      <c r="X499">
        <v>15</v>
      </c>
      <c r="Y499">
        <v>9</v>
      </c>
      <c r="Z499" t="s">
        <v>1035</v>
      </c>
      <c r="AA499" t="s">
        <v>1036</v>
      </c>
      <c r="AB499" t="s">
        <v>272</v>
      </c>
      <c r="AC499" t="s">
        <v>273</v>
      </c>
      <c r="AD499" t="s">
        <v>274</v>
      </c>
      <c r="AE499" t="s">
        <v>993</v>
      </c>
      <c r="AG499" t="s">
        <v>1037</v>
      </c>
      <c r="AH499">
        <v>0</v>
      </c>
      <c r="AI499">
        <v>324</v>
      </c>
      <c r="AJ499">
        <v>26</v>
      </c>
      <c r="AK499">
        <v>142</v>
      </c>
      <c r="AL499">
        <v>0.47</v>
      </c>
    </row>
    <row r="500" spans="1:38" x14ac:dyDescent="0.3">
      <c r="A500" t="s">
        <v>988</v>
      </c>
      <c r="B500">
        <v>109585</v>
      </c>
      <c r="C500">
        <v>2</v>
      </c>
      <c r="D500" t="s">
        <v>1034</v>
      </c>
      <c r="E500" t="s">
        <v>1020</v>
      </c>
      <c r="F500">
        <v>299</v>
      </c>
      <c r="G500">
        <v>24.42</v>
      </c>
      <c r="H500">
        <v>80.739999999999995</v>
      </c>
      <c r="I500">
        <v>17.96</v>
      </c>
      <c r="J500">
        <v>59.4</v>
      </c>
      <c r="K500">
        <v>284</v>
      </c>
      <c r="T500">
        <v>3</v>
      </c>
      <c r="U500">
        <v>2</v>
      </c>
      <c r="V500" t="s">
        <v>269</v>
      </c>
      <c r="W500">
        <v>80</v>
      </c>
      <c r="X500">
        <v>15</v>
      </c>
      <c r="Y500">
        <v>9</v>
      </c>
      <c r="Z500" t="s">
        <v>1035</v>
      </c>
      <c r="AA500" t="s">
        <v>1036</v>
      </c>
      <c r="AB500" t="s">
        <v>272</v>
      </c>
      <c r="AC500" t="s">
        <v>273</v>
      </c>
      <c r="AD500" t="s">
        <v>274</v>
      </c>
      <c r="AE500" t="s">
        <v>993</v>
      </c>
      <c r="AG500" t="s">
        <v>1037</v>
      </c>
      <c r="AH500">
        <v>0</v>
      </c>
      <c r="AI500">
        <v>324</v>
      </c>
      <c r="AJ500">
        <v>26</v>
      </c>
      <c r="AK500">
        <v>142</v>
      </c>
      <c r="AL500">
        <v>0.47</v>
      </c>
    </row>
    <row r="501" spans="1:38" x14ac:dyDescent="0.3">
      <c r="A501" t="s">
        <v>988</v>
      </c>
      <c r="B501">
        <v>117937</v>
      </c>
      <c r="C501">
        <v>1</v>
      </c>
      <c r="D501" t="s">
        <v>1038</v>
      </c>
      <c r="E501" t="s">
        <v>1039</v>
      </c>
      <c r="F501">
        <v>44</v>
      </c>
      <c r="G501">
        <v>28.22</v>
      </c>
      <c r="H501">
        <v>93.3</v>
      </c>
      <c r="I501">
        <v>22.24</v>
      </c>
      <c r="J501">
        <v>73.53</v>
      </c>
      <c r="K501">
        <v>44</v>
      </c>
      <c r="T501">
        <v>3</v>
      </c>
      <c r="U501">
        <v>2</v>
      </c>
      <c r="V501" t="s">
        <v>269</v>
      </c>
      <c r="W501">
        <v>93</v>
      </c>
      <c r="X501">
        <v>13</v>
      </c>
      <c r="Y501">
        <v>13</v>
      </c>
      <c r="Z501" t="s">
        <v>1040</v>
      </c>
      <c r="AA501" t="s">
        <v>1041</v>
      </c>
      <c r="AB501" t="s">
        <v>272</v>
      </c>
      <c r="AC501" t="s">
        <v>273</v>
      </c>
      <c r="AD501" t="s">
        <v>274</v>
      </c>
      <c r="AE501" t="s">
        <v>993</v>
      </c>
      <c r="AG501" t="s">
        <v>1042</v>
      </c>
      <c r="AH501">
        <v>0</v>
      </c>
      <c r="AI501">
        <v>276</v>
      </c>
      <c r="AJ501">
        <v>30</v>
      </c>
      <c r="AK501">
        <v>44</v>
      </c>
      <c r="AL501">
        <v>1</v>
      </c>
    </row>
    <row r="502" spans="1:38" x14ac:dyDescent="0.3">
      <c r="A502" t="s">
        <v>988</v>
      </c>
      <c r="B502">
        <v>139297</v>
      </c>
      <c r="C502">
        <v>1</v>
      </c>
      <c r="D502" t="s">
        <v>1043</v>
      </c>
      <c r="E502" t="s">
        <v>678</v>
      </c>
      <c r="F502">
        <v>34</v>
      </c>
      <c r="G502">
        <v>31.26</v>
      </c>
      <c r="H502">
        <v>103.36</v>
      </c>
      <c r="I502">
        <v>25.68</v>
      </c>
      <c r="J502">
        <v>84.92</v>
      </c>
      <c r="K502">
        <v>34</v>
      </c>
      <c r="T502">
        <v>3</v>
      </c>
      <c r="U502">
        <v>2</v>
      </c>
      <c r="V502" t="s">
        <v>269</v>
      </c>
      <c r="W502">
        <v>103</v>
      </c>
      <c r="X502">
        <v>6</v>
      </c>
      <c r="Y502">
        <v>5</v>
      </c>
      <c r="Z502" t="s">
        <v>1044</v>
      </c>
      <c r="AA502" t="s">
        <v>1045</v>
      </c>
      <c r="AB502" t="s">
        <v>272</v>
      </c>
      <c r="AC502" t="s">
        <v>273</v>
      </c>
      <c r="AD502" t="s">
        <v>274</v>
      </c>
      <c r="AE502" t="s">
        <v>993</v>
      </c>
      <c r="AG502" t="s">
        <v>1046</v>
      </c>
      <c r="AH502">
        <v>0</v>
      </c>
      <c r="AI502">
        <v>0</v>
      </c>
      <c r="AJ502">
        <v>0</v>
      </c>
      <c r="AK502">
        <v>0</v>
      </c>
      <c r="AL502">
        <v>0</v>
      </c>
    </row>
    <row r="503" spans="1:38" x14ac:dyDescent="0.3">
      <c r="A503" t="s">
        <v>1047</v>
      </c>
      <c r="B503">
        <v>5805</v>
      </c>
      <c r="C503">
        <v>1</v>
      </c>
      <c r="D503" t="s">
        <v>1048</v>
      </c>
      <c r="E503" t="s">
        <v>1049</v>
      </c>
      <c r="F503">
        <v>540</v>
      </c>
      <c r="G503">
        <v>28.39</v>
      </c>
      <c r="H503">
        <v>93.86</v>
      </c>
      <c r="I503">
        <v>22.43</v>
      </c>
      <c r="J503">
        <v>74.180000000000007</v>
      </c>
      <c r="K503">
        <v>9</v>
      </c>
      <c r="T503">
        <v>2</v>
      </c>
      <c r="U503">
        <v>2</v>
      </c>
      <c r="V503" t="s">
        <v>269</v>
      </c>
      <c r="W503">
        <v>93</v>
      </c>
      <c r="X503">
        <v>15</v>
      </c>
      <c r="Y503">
        <v>15</v>
      </c>
      <c r="Z503" t="s">
        <v>1050</v>
      </c>
      <c r="AA503" t="s">
        <v>1051</v>
      </c>
      <c r="AB503" t="s">
        <v>272</v>
      </c>
      <c r="AC503" t="s">
        <v>273</v>
      </c>
      <c r="AD503" t="s">
        <v>274</v>
      </c>
      <c r="AE503" t="s">
        <v>246</v>
      </c>
      <c r="AG503" t="s">
        <v>1052</v>
      </c>
      <c r="AH503">
        <v>0</v>
      </c>
      <c r="AI503">
        <v>215</v>
      </c>
      <c r="AJ503">
        <v>20</v>
      </c>
      <c r="AK503">
        <v>613</v>
      </c>
      <c r="AL503">
        <v>1.1399999999999999</v>
      </c>
    </row>
    <row r="504" spans="1:38" x14ac:dyDescent="0.3">
      <c r="A504" t="s">
        <v>1047</v>
      </c>
      <c r="B504">
        <v>5805</v>
      </c>
      <c r="C504">
        <v>2</v>
      </c>
      <c r="D504" t="s">
        <v>1048</v>
      </c>
      <c r="E504" t="s">
        <v>1049</v>
      </c>
      <c r="F504">
        <v>540</v>
      </c>
      <c r="G504">
        <v>31.68</v>
      </c>
      <c r="H504">
        <v>104.74</v>
      </c>
      <c r="I504">
        <v>25.61</v>
      </c>
      <c r="J504">
        <v>84.69</v>
      </c>
      <c r="K504">
        <v>180</v>
      </c>
      <c r="T504">
        <v>3</v>
      </c>
      <c r="U504">
        <v>2</v>
      </c>
      <c r="V504" t="s">
        <v>269</v>
      </c>
      <c r="W504" t="s">
        <v>188</v>
      </c>
      <c r="X504">
        <v>15</v>
      </c>
      <c r="Y504">
        <v>15</v>
      </c>
      <c r="Z504" t="s">
        <v>1050</v>
      </c>
      <c r="AA504" t="s">
        <v>1051</v>
      </c>
      <c r="AB504" t="s">
        <v>272</v>
      </c>
      <c r="AC504" t="s">
        <v>273</v>
      </c>
      <c r="AD504" t="s">
        <v>274</v>
      </c>
      <c r="AE504" t="s">
        <v>246</v>
      </c>
      <c r="AG504" t="s">
        <v>1052</v>
      </c>
      <c r="AH504">
        <v>0</v>
      </c>
      <c r="AI504">
        <v>215</v>
      </c>
      <c r="AJ504">
        <v>20</v>
      </c>
      <c r="AK504">
        <v>613</v>
      </c>
      <c r="AL504">
        <v>1.1399999999999999</v>
      </c>
    </row>
    <row r="505" spans="1:38" x14ac:dyDescent="0.3">
      <c r="A505" t="s">
        <v>1047</v>
      </c>
      <c r="B505">
        <v>5805</v>
      </c>
      <c r="C505">
        <v>3</v>
      </c>
      <c r="D505" t="s">
        <v>1048</v>
      </c>
      <c r="E505" t="s">
        <v>1049</v>
      </c>
      <c r="F505">
        <v>540</v>
      </c>
      <c r="G505">
        <v>32.47</v>
      </c>
      <c r="H505">
        <v>107.35</v>
      </c>
      <c r="I505">
        <v>25.66</v>
      </c>
      <c r="J505">
        <v>84.84</v>
      </c>
      <c r="K505">
        <v>351</v>
      </c>
      <c r="T505">
        <v>3</v>
      </c>
      <c r="U505">
        <v>2</v>
      </c>
      <c r="V505" t="s">
        <v>269</v>
      </c>
      <c r="W505" t="s">
        <v>189</v>
      </c>
      <c r="X505">
        <v>15</v>
      </c>
      <c r="Y505">
        <v>15</v>
      </c>
      <c r="Z505" t="s">
        <v>1050</v>
      </c>
      <c r="AA505" t="s">
        <v>1051</v>
      </c>
      <c r="AB505" t="s">
        <v>272</v>
      </c>
      <c r="AC505" t="s">
        <v>273</v>
      </c>
      <c r="AD505" t="s">
        <v>274</v>
      </c>
      <c r="AE505" t="s">
        <v>246</v>
      </c>
      <c r="AG505" t="s">
        <v>1052</v>
      </c>
      <c r="AH505">
        <v>0</v>
      </c>
      <c r="AI505">
        <v>215</v>
      </c>
      <c r="AJ505">
        <v>20</v>
      </c>
      <c r="AK505">
        <v>613</v>
      </c>
      <c r="AL505">
        <v>1.1399999999999999</v>
      </c>
    </row>
    <row r="506" spans="1:38" x14ac:dyDescent="0.3">
      <c r="A506" t="s">
        <v>1047</v>
      </c>
      <c r="B506">
        <v>5791</v>
      </c>
      <c r="C506">
        <v>1</v>
      </c>
      <c r="D506" t="s">
        <v>1053</v>
      </c>
      <c r="E506" t="s">
        <v>1054</v>
      </c>
      <c r="F506">
        <v>450</v>
      </c>
      <c r="G506">
        <v>32.14</v>
      </c>
      <c r="H506">
        <v>106.25</v>
      </c>
      <c r="I506">
        <v>25.54</v>
      </c>
      <c r="J506">
        <v>84.44</v>
      </c>
      <c r="K506">
        <v>236</v>
      </c>
      <c r="T506">
        <v>3</v>
      </c>
      <c r="U506">
        <v>2</v>
      </c>
      <c r="V506" t="s">
        <v>269</v>
      </c>
      <c r="W506">
        <v>106</v>
      </c>
      <c r="X506">
        <v>15</v>
      </c>
      <c r="Y506">
        <v>8</v>
      </c>
      <c r="Z506" t="s">
        <v>1055</v>
      </c>
      <c r="AA506" t="s">
        <v>1056</v>
      </c>
      <c r="AB506" t="s">
        <v>272</v>
      </c>
      <c r="AC506" t="s">
        <v>273</v>
      </c>
      <c r="AD506" t="s">
        <v>274</v>
      </c>
      <c r="AE506" t="s">
        <v>246</v>
      </c>
      <c r="AG506" t="s">
        <v>1057</v>
      </c>
      <c r="AH506">
        <v>0</v>
      </c>
      <c r="AI506">
        <v>177</v>
      </c>
      <c r="AJ506">
        <v>16</v>
      </c>
      <c r="AK506">
        <v>568</v>
      </c>
      <c r="AL506">
        <v>1.26</v>
      </c>
    </row>
    <row r="507" spans="1:38" x14ac:dyDescent="0.3">
      <c r="A507" t="s">
        <v>1047</v>
      </c>
      <c r="B507">
        <v>5791</v>
      </c>
      <c r="C507">
        <v>2</v>
      </c>
      <c r="D507" t="s">
        <v>1053</v>
      </c>
      <c r="E507" t="s">
        <v>1054</v>
      </c>
      <c r="F507">
        <v>450</v>
      </c>
      <c r="G507">
        <v>38.33</v>
      </c>
      <c r="H507">
        <v>126.74</v>
      </c>
      <c r="I507">
        <v>31.25</v>
      </c>
      <c r="J507">
        <v>103.31</v>
      </c>
      <c r="K507">
        <v>114</v>
      </c>
      <c r="T507">
        <v>3</v>
      </c>
      <c r="U507">
        <v>2</v>
      </c>
      <c r="V507" t="s">
        <v>269</v>
      </c>
      <c r="W507">
        <v>126</v>
      </c>
      <c r="X507">
        <v>15</v>
      </c>
      <c r="Y507">
        <v>8</v>
      </c>
      <c r="Z507" t="s">
        <v>1055</v>
      </c>
      <c r="AA507" t="s">
        <v>1056</v>
      </c>
      <c r="AB507" t="s">
        <v>272</v>
      </c>
      <c r="AC507" t="s">
        <v>273</v>
      </c>
      <c r="AD507" t="s">
        <v>274</v>
      </c>
      <c r="AE507" t="s">
        <v>246</v>
      </c>
      <c r="AG507" t="s">
        <v>1057</v>
      </c>
      <c r="AH507">
        <v>0</v>
      </c>
      <c r="AI507">
        <v>177</v>
      </c>
      <c r="AJ507">
        <v>16</v>
      </c>
      <c r="AK507">
        <v>568</v>
      </c>
      <c r="AL507">
        <v>1.26</v>
      </c>
    </row>
    <row r="508" spans="1:38" x14ac:dyDescent="0.3">
      <c r="A508" t="s">
        <v>1047</v>
      </c>
      <c r="B508">
        <v>5791</v>
      </c>
      <c r="C508">
        <v>3</v>
      </c>
      <c r="D508" t="s">
        <v>1053</v>
      </c>
      <c r="E508" t="s">
        <v>1054</v>
      </c>
      <c r="F508">
        <v>450</v>
      </c>
      <c r="G508">
        <v>50.31</v>
      </c>
      <c r="H508">
        <v>166.33</v>
      </c>
      <c r="I508">
        <v>42.72</v>
      </c>
      <c r="J508">
        <v>141.22999999999999</v>
      </c>
      <c r="K508">
        <v>100</v>
      </c>
      <c r="T508">
        <v>4</v>
      </c>
      <c r="U508">
        <v>2</v>
      </c>
      <c r="V508" t="s">
        <v>269</v>
      </c>
      <c r="W508">
        <v>166</v>
      </c>
      <c r="X508">
        <v>15</v>
      </c>
      <c r="Y508">
        <v>8</v>
      </c>
      <c r="Z508" t="s">
        <v>1055</v>
      </c>
      <c r="AA508" t="s">
        <v>1056</v>
      </c>
      <c r="AB508" t="s">
        <v>272</v>
      </c>
      <c r="AC508" t="s">
        <v>273</v>
      </c>
      <c r="AD508" t="s">
        <v>274</v>
      </c>
      <c r="AE508" t="s">
        <v>246</v>
      </c>
      <c r="AG508" t="s">
        <v>1057</v>
      </c>
      <c r="AH508">
        <v>0</v>
      </c>
      <c r="AI508">
        <v>177</v>
      </c>
      <c r="AJ508">
        <v>16</v>
      </c>
      <c r="AK508">
        <v>568</v>
      </c>
      <c r="AL508">
        <v>1.26</v>
      </c>
    </row>
    <row r="509" spans="1:38" x14ac:dyDescent="0.3">
      <c r="A509" t="s">
        <v>1047</v>
      </c>
      <c r="B509">
        <v>100216</v>
      </c>
      <c r="C509">
        <v>1</v>
      </c>
      <c r="D509" t="s">
        <v>1058</v>
      </c>
      <c r="E509" t="s">
        <v>1059</v>
      </c>
      <c r="F509">
        <v>240</v>
      </c>
      <c r="G509">
        <v>32.35</v>
      </c>
      <c r="H509">
        <v>106.96</v>
      </c>
      <c r="I509">
        <v>25.03</v>
      </c>
      <c r="J509">
        <v>82.75</v>
      </c>
      <c r="K509">
        <v>2</v>
      </c>
      <c r="T509">
        <v>3</v>
      </c>
      <c r="U509">
        <v>2</v>
      </c>
      <c r="V509" t="s">
        <v>269</v>
      </c>
      <c r="W509">
        <v>106</v>
      </c>
      <c r="X509">
        <v>15</v>
      </c>
      <c r="Y509">
        <v>15</v>
      </c>
      <c r="Z509" t="s">
        <v>1060</v>
      </c>
      <c r="AA509" t="s">
        <v>1061</v>
      </c>
      <c r="AB509" t="s">
        <v>272</v>
      </c>
      <c r="AC509" t="s">
        <v>273</v>
      </c>
      <c r="AD509" t="s">
        <v>274</v>
      </c>
      <c r="AE509" t="s">
        <v>246</v>
      </c>
      <c r="AG509" t="s">
        <v>1062</v>
      </c>
      <c r="AH509">
        <v>0</v>
      </c>
      <c r="AI509">
        <v>215</v>
      </c>
      <c r="AJ509">
        <v>19</v>
      </c>
      <c r="AK509">
        <v>248</v>
      </c>
      <c r="AL509">
        <v>1.03</v>
      </c>
    </row>
    <row r="510" spans="1:38" x14ac:dyDescent="0.3">
      <c r="A510" t="s">
        <v>1047</v>
      </c>
      <c r="B510">
        <v>100216</v>
      </c>
      <c r="C510">
        <v>2</v>
      </c>
      <c r="D510" t="s">
        <v>1058</v>
      </c>
      <c r="E510" t="s">
        <v>1059</v>
      </c>
      <c r="F510">
        <v>240</v>
      </c>
      <c r="G510">
        <v>33.03</v>
      </c>
      <c r="H510">
        <v>109.2</v>
      </c>
      <c r="I510">
        <v>25.68</v>
      </c>
      <c r="J510">
        <v>84.9</v>
      </c>
      <c r="K510">
        <v>120</v>
      </c>
      <c r="T510">
        <v>3</v>
      </c>
      <c r="U510">
        <v>2</v>
      </c>
      <c r="V510" t="s">
        <v>269</v>
      </c>
      <c r="W510" t="s">
        <v>71</v>
      </c>
      <c r="X510">
        <v>15</v>
      </c>
      <c r="Y510">
        <v>15</v>
      </c>
      <c r="Z510" t="s">
        <v>1060</v>
      </c>
      <c r="AA510" t="s">
        <v>1061</v>
      </c>
      <c r="AB510" t="s">
        <v>272</v>
      </c>
      <c r="AC510" t="s">
        <v>273</v>
      </c>
      <c r="AD510" t="s">
        <v>274</v>
      </c>
      <c r="AE510" t="s">
        <v>246</v>
      </c>
      <c r="AG510" t="s">
        <v>1062</v>
      </c>
      <c r="AH510">
        <v>0</v>
      </c>
      <c r="AI510">
        <v>215</v>
      </c>
      <c r="AJ510">
        <v>19</v>
      </c>
      <c r="AK510">
        <v>248</v>
      </c>
      <c r="AL510">
        <v>1.03</v>
      </c>
    </row>
    <row r="511" spans="1:38" x14ac:dyDescent="0.3">
      <c r="A511" t="s">
        <v>1047</v>
      </c>
      <c r="B511">
        <v>100216</v>
      </c>
      <c r="C511">
        <v>3</v>
      </c>
      <c r="D511" t="s">
        <v>1058</v>
      </c>
      <c r="E511" t="s">
        <v>1059</v>
      </c>
      <c r="F511">
        <v>240</v>
      </c>
      <c r="G511">
        <v>33.11</v>
      </c>
      <c r="H511">
        <v>109.48</v>
      </c>
      <c r="I511">
        <v>25.57</v>
      </c>
      <c r="J511">
        <v>84.53</v>
      </c>
      <c r="K511">
        <v>58</v>
      </c>
      <c r="T511">
        <v>3</v>
      </c>
      <c r="U511">
        <v>2</v>
      </c>
      <c r="V511" t="s">
        <v>269</v>
      </c>
      <c r="W511" t="s">
        <v>86</v>
      </c>
      <c r="X511">
        <v>15</v>
      </c>
      <c r="Y511">
        <v>15</v>
      </c>
      <c r="Z511" t="s">
        <v>1060</v>
      </c>
      <c r="AA511" t="s">
        <v>1061</v>
      </c>
      <c r="AB511" t="s">
        <v>272</v>
      </c>
      <c r="AC511" t="s">
        <v>273</v>
      </c>
      <c r="AD511" t="s">
        <v>274</v>
      </c>
      <c r="AE511" t="s">
        <v>246</v>
      </c>
      <c r="AG511" t="s">
        <v>1062</v>
      </c>
      <c r="AH511">
        <v>0</v>
      </c>
      <c r="AI511">
        <v>215</v>
      </c>
      <c r="AJ511">
        <v>19</v>
      </c>
      <c r="AK511">
        <v>248</v>
      </c>
      <c r="AL511">
        <v>1.03</v>
      </c>
    </row>
    <row r="512" spans="1:38" x14ac:dyDescent="0.3">
      <c r="A512" t="s">
        <v>1047</v>
      </c>
      <c r="B512">
        <v>100216</v>
      </c>
      <c r="C512">
        <v>4</v>
      </c>
      <c r="D512" t="s">
        <v>1058</v>
      </c>
      <c r="E512" t="s">
        <v>1059</v>
      </c>
      <c r="F512">
        <v>240</v>
      </c>
      <c r="G512">
        <v>33.51</v>
      </c>
      <c r="H512">
        <v>110.78</v>
      </c>
      <c r="I512">
        <v>25.68</v>
      </c>
      <c r="J512">
        <v>84.91</v>
      </c>
      <c r="K512">
        <v>60</v>
      </c>
      <c r="T512">
        <v>3</v>
      </c>
      <c r="U512">
        <v>2</v>
      </c>
      <c r="V512" t="s">
        <v>269</v>
      </c>
      <c r="W512" t="s">
        <v>91</v>
      </c>
      <c r="X512">
        <v>15</v>
      </c>
      <c r="Y512">
        <v>15</v>
      </c>
      <c r="Z512" t="s">
        <v>1060</v>
      </c>
      <c r="AA512" t="s">
        <v>1061</v>
      </c>
      <c r="AB512" t="s">
        <v>272</v>
      </c>
      <c r="AC512" t="s">
        <v>273</v>
      </c>
      <c r="AD512" t="s">
        <v>274</v>
      </c>
      <c r="AE512" t="s">
        <v>246</v>
      </c>
      <c r="AG512" t="s">
        <v>1062</v>
      </c>
      <c r="AH512">
        <v>0</v>
      </c>
      <c r="AI512">
        <v>215</v>
      </c>
      <c r="AJ512">
        <v>19</v>
      </c>
      <c r="AK512">
        <v>248</v>
      </c>
      <c r="AL512">
        <v>1.03</v>
      </c>
    </row>
    <row r="513" spans="1:38" x14ac:dyDescent="0.3">
      <c r="A513" t="s">
        <v>1063</v>
      </c>
      <c r="B513">
        <v>122036</v>
      </c>
      <c r="C513">
        <v>1</v>
      </c>
      <c r="D513" t="s">
        <v>1064</v>
      </c>
      <c r="E513" t="s">
        <v>1065</v>
      </c>
      <c r="F513">
        <v>323</v>
      </c>
      <c r="G513">
        <v>24.43</v>
      </c>
      <c r="H513">
        <v>80.78</v>
      </c>
      <c r="I513">
        <v>17.89</v>
      </c>
      <c r="J513">
        <v>59.15</v>
      </c>
      <c r="K513">
        <v>27</v>
      </c>
      <c r="T513">
        <v>3</v>
      </c>
      <c r="U513">
        <v>2</v>
      </c>
      <c r="V513" t="s">
        <v>269</v>
      </c>
      <c r="W513" t="s">
        <v>85</v>
      </c>
      <c r="X513">
        <v>30</v>
      </c>
      <c r="Y513">
        <v>29</v>
      </c>
      <c r="Z513" t="s">
        <v>1066</v>
      </c>
      <c r="AA513" t="s">
        <v>1067</v>
      </c>
      <c r="AB513" t="s">
        <v>272</v>
      </c>
      <c r="AC513" t="s">
        <v>273</v>
      </c>
      <c r="AD513" t="s">
        <v>274</v>
      </c>
      <c r="AE513" t="s">
        <v>242</v>
      </c>
      <c r="AG513" t="s">
        <v>1068</v>
      </c>
      <c r="AH513">
        <v>0</v>
      </c>
      <c r="AI513">
        <v>0</v>
      </c>
      <c r="AJ513">
        <v>0</v>
      </c>
      <c r="AK513">
        <v>436</v>
      </c>
      <c r="AL513">
        <v>1.35</v>
      </c>
    </row>
    <row r="514" spans="1:38" x14ac:dyDescent="0.3">
      <c r="A514" t="s">
        <v>1063</v>
      </c>
      <c r="B514">
        <v>122036</v>
      </c>
      <c r="C514">
        <v>2</v>
      </c>
      <c r="D514" t="s">
        <v>1064</v>
      </c>
      <c r="E514" t="s">
        <v>1065</v>
      </c>
      <c r="F514">
        <v>323</v>
      </c>
      <c r="G514">
        <v>24.69</v>
      </c>
      <c r="H514">
        <v>81.650000000000006</v>
      </c>
      <c r="I514">
        <v>18.100000000000001</v>
      </c>
      <c r="J514">
        <v>59.85</v>
      </c>
      <c r="K514">
        <v>82</v>
      </c>
      <c r="T514">
        <v>3</v>
      </c>
      <c r="U514">
        <v>2</v>
      </c>
      <c r="V514" t="s">
        <v>269</v>
      </c>
      <c r="W514" t="s">
        <v>190</v>
      </c>
      <c r="X514">
        <v>30</v>
      </c>
      <c r="Y514">
        <v>29</v>
      </c>
      <c r="Z514" t="s">
        <v>1066</v>
      </c>
      <c r="AA514" t="s">
        <v>1067</v>
      </c>
      <c r="AB514" t="s">
        <v>272</v>
      </c>
      <c r="AC514" t="s">
        <v>273</v>
      </c>
      <c r="AD514" t="s">
        <v>274</v>
      </c>
      <c r="AE514" t="s">
        <v>242</v>
      </c>
      <c r="AG514" t="s">
        <v>1068</v>
      </c>
      <c r="AH514">
        <v>0</v>
      </c>
      <c r="AI514">
        <v>0</v>
      </c>
      <c r="AJ514">
        <v>0</v>
      </c>
      <c r="AK514">
        <v>436</v>
      </c>
      <c r="AL514">
        <v>1.35</v>
      </c>
    </row>
    <row r="515" spans="1:38" x14ac:dyDescent="0.3">
      <c r="A515" t="s">
        <v>1063</v>
      </c>
      <c r="B515">
        <v>122036</v>
      </c>
      <c r="C515">
        <v>3</v>
      </c>
      <c r="D515" t="s">
        <v>1064</v>
      </c>
      <c r="E515" t="s">
        <v>1065</v>
      </c>
      <c r="F515">
        <v>323</v>
      </c>
      <c r="G515">
        <v>28.97</v>
      </c>
      <c r="H515">
        <v>95.79</v>
      </c>
      <c r="I515">
        <v>21.78</v>
      </c>
      <c r="J515">
        <v>72.010000000000005</v>
      </c>
      <c r="K515">
        <v>53</v>
      </c>
      <c r="T515">
        <v>3</v>
      </c>
      <c r="U515">
        <v>2</v>
      </c>
      <c r="V515" t="s">
        <v>269</v>
      </c>
      <c r="W515">
        <v>95</v>
      </c>
      <c r="X515">
        <v>30</v>
      </c>
      <c r="Y515">
        <v>29</v>
      </c>
      <c r="Z515" t="s">
        <v>1066</v>
      </c>
      <c r="AA515" t="s">
        <v>1067</v>
      </c>
      <c r="AB515" t="s">
        <v>272</v>
      </c>
      <c r="AC515" t="s">
        <v>273</v>
      </c>
      <c r="AD515" t="s">
        <v>274</v>
      </c>
      <c r="AE515" t="s">
        <v>242</v>
      </c>
      <c r="AG515" t="s">
        <v>1068</v>
      </c>
      <c r="AH515">
        <v>0</v>
      </c>
      <c r="AI515">
        <v>0</v>
      </c>
      <c r="AJ515">
        <v>0</v>
      </c>
      <c r="AK515">
        <v>436</v>
      </c>
      <c r="AL515">
        <v>1.35</v>
      </c>
    </row>
    <row r="516" spans="1:38" x14ac:dyDescent="0.3">
      <c r="A516" t="s">
        <v>1063</v>
      </c>
      <c r="B516">
        <v>122036</v>
      </c>
      <c r="C516">
        <v>4</v>
      </c>
      <c r="D516" t="s">
        <v>1064</v>
      </c>
      <c r="E516" t="s">
        <v>1065</v>
      </c>
      <c r="F516">
        <v>323</v>
      </c>
      <c r="G516">
        <v>33.869999999999997</v>
      </c>
      <c r="H516">
        <v>111.97</v>
      </c>
      <c r="I516">
        <v>25.59</v>
      </c>
      <c r="J516">
        <v>84.6</v>
      </c>
      <c r="K516">
        <v>109</v>
      </c>
      <c r="T516">
        <v>3</v>
      </c>
      <c r="U516">
        <v>2</v>
      </c>
      <c r="V516" t="s">
        <v>269</v>
      </c>
      <c r="W516" t="s">
        <v>109</v>
      </c>
      <c r="X516">
        <v>30</v>
      </c>
      <c r="Y516">
        <v>29</v>
      </c>
      <c r="Z516" t="s">
        <v>1066</v>
      </c>
      <c r="AA516" t="s">
        <v>1067</v>
      </c>
      <c r="AB516" t="s">
        <v>272</v>
      </c>
      <c r="AC516" t="s">
        <v>273</v>
      </c>
      <c r="AD516" t="s">
        <v>274</v>
      </c>
      <c r="AE516" t="s">
        <v>242</v>
      </c>
      <c r="AG516" t="s">
        <v>1068</v>
      </c>
      <c r="AH516">
        <v>0</v>
      </c>
      <c r="AI516">
        <v>0</v>
      </c>
      <c r="AJ516">
        <v>0</v>
      </c>
      <c r="AK516">
        <v>436</v>
      </c>
      <c r="AL516">
        <v>1.35</v>
      </c>
    </row>
    <row r="517" spans="1:38" x14ac:dyDescent="0.3">
      <c r="A517" t="s">
        <v>1063</v>
      </c>
      <c r="B517">
        <v>122036</v>
      </c>
      <c r="C517">
        <v>5</v>
      </c>
      <c r="D517" t="s">
        <v>1064</v>
      </c>
      <c r="E517" t="s">
        <v>1065</v>
      </c>
      <c r="F517">
        <v>323</v>
      </c>
      <c r="G517">
        <v>33.71</v>
      </c>
      <c r="H517">
        <v>111.47</v>
      </c>
      <c r="I517">
        <v>25.49</v>
      </c>
      <c r="J517">
        <v>84.28</v>
      </c>
      <c r="K517">
        <v>52</v>
      </c>
      <c r="T517">
        <v>3</v>
      </c>
      <c r="U517">
        <v>2</v>
      </c>
      <c r="V517" t="s">
        <v>269</v>
      </c>
      <c r="W517" t="s">
        <v>110</v>
      </c>
      <c r="X517">
        <v>30</v>
      </c>
      <c r="Y517">
        <v>29</v>
      </c>
      <c r="Z517" t="s">
        <v>1066</v>
      </c>
      <c r="AA517" t="s">
        <v>1067</v>
      </c>
      <c r="AB517" t="s">
        <v>272</v>
      </c>
      <c r="AC517" t="s">
        <v>273</v>
      </c>
      <c r="AD517" t="s">
        <v>274</v>
      </c>
      <c r="AE517" t="s">
        <v>242</v>
      </c>
      <c r="AG517" t="s">
        <v>1068</v>
      </c>
      <c r="AH517">
        <v>0</v>
      </c>
      <c r="AI517">
        <v>0</v>
      </c>
      <c r="AJ517">
        <v>0</v>
      </c>
      <c r="AK517">
        <v>436</v>
      </c>
      <c r="AL517">
        <v>1.35</v>
      </c>
    </row>
    <row r="518" spans="1:38" x14ac:dyDescent="0.3">
      <c r="A518" t="s">
        <v>1063</v>
      </c>
      <c r="B518">
        <v>5809</v>
      </c>
      <c r="C518">
        <v>1</v>
      </c>
      <c r="D518" t="s">
        <v>1069</v>
      </c>
      <c r="E518" t="s">
        <v>736</v>
      </c>
      <c r="F518">
        <v>160</v>
      </c>
      <c r="G518">
        <v>20.58</v>
      </c>
      <c r="H518">
        <v>68.05</v>
      </c>
      <c r="I518">
        <v>17.489999999999998</v>
      </c>
      <c r="J518">
        <v>57.84</v>
      </c>
      <c r="K518">
        <v>160</v>
      </c>
      <c r="T518">
        <v>3</v>
      </c>
      <c r="U518">
        <v>1</v>
      </c>
      <c r="V518" t="s">
        <v>269</v>
      </c>
      <c r="W518">
        <v>68</v>
      </c>
      <c r="X518">
        <v>5</v>
      </c>
      <c r="Y518">
        <v>5</v>
      </c>
      <c r="Z518" t="s">
        <v>1070</v>
      </c>
      <c r="AA518" t="s">
        <v>1071</v>
      </c>
      <c r="AB518" t="s">
        <v>272</v>
      </c>
      <c r="AC518" t="s">
        <v>273</v>
      </c>
      <c r="AD518" t="s">
        <v>274</v>
      </c>
      <c r="AE518" t="s">
        <v>242</v>
      </c>
      <c r="AG518" t="s">
        <v>1072</v>
      </c>
      <c r="AH518">
        <v>0</v>
      </c>
      <c r="AI518">
        <v>0</v>
      </c>
      <c r="AJ518">
        <v>0</v>
      </c>
      <c r="AK518">
        <v>0</v>
      </c>
      <c r="AL518">
        <v>0</v>
      </c>
    </row>
    <row r="519" spans="1:38" x14ac:dyDescent="0.3">
      <c r="A519" t="s">
        <v>1063</v>
      </c>
      <c r="B519">
        <v>5530</v>
      </c>
      <c r="C519">
        <v>1</v>
      </c>
      <c r="D519" t="s">
        <v>1073</v>
      </c>
      <c r="E519" t="s">
        <v>1025</v>
      </c>
      <c r="F519">
        <v>480</v>
      </c>
      <c r="G519">
        <v>31.11</v>
      </c>
      <c r="H519">
        <v>102.86</v>
      </c>
      <c r="I519">
        <v>25.68</v>
      </c>
      <c r="J519">
        <v>84.9</v>
      </c>
      <c r="K519">
        <v>300</v>
      </c>
      <c r="T519">
        <v>3</v>
      </c>
      <c r="U519">
        <v>2</v>
      </c>
      <c r="V519" t="s">
        <v>269</v>
      </c>
      <c r="W519">
        <v>102</v>
      </c>
      <c r="X519">
        <v>15</v>
      </c>
      <c r="Y519">
        <v>15</v>
      </c>
      <c r="Z519" t="s">
        <v>1074</v>
      </c>
      <c r="AA519" t="s">
        <v>1075</v>
      </c>
      <c r="AB519" t="s">
        <v>272</v>
      </c>
      <c r="AC519" t="s">
        <v>273</v>
      </c>
      <c r="AD519" t="s">
        <v>274</v>
      </c>
      <c r="AE519" t="s">
        <v>242</v>
      </c>
      <c r="AG519" t="s">
        <v>1076</v>
      </c>
      <c r="AH519">
        <v>0</v>
      </c>
      <c r="AI519">
        <v>0</v>
      </c>
      <c r="AJ519">
        <v>0</v>
      </c>
      <c r="AK519">
        <v>384</v>
      </c>
      <c r="AL519">
        <v>0.8</v>
      </c>
    </row>
    <row r="520" spans="1:38" x14ac:dyDescent="0.3">
      <c r="A520" t="s">
        <v>1063</v>
      </c>
      <c r="B520">
        <v>5530</v>
      </c>
      <c r="C520">
        <v>2</v>
      </c>
      <c r="D520" t="s">
        <v>1073</v>
      </c>
      <c r="E520" t="s">
        <v>1025</v>
      </c>
      <c r="F520">
        <v>480</v>
      </c>
      <c r="G520">
        <v>39.380000000000003</v>
      </c>
      <c r="H520">
        <v>130.19</v>
      </c>
      <c r="I520">
        <v>33.5</v>
      </c>
      <c r="J520">
        <v>110.77</v>
      </c>
      <c r="K520">
        <v>60</v>
      </c>
      <c r="T520">
        <v>4</v>
      </c>
      <c r="U520">
        <v>2</v>
      </c>
      <c r="V520" t="s">
        <v>269</v>
      </c>
      <c r="W520">
        <v>130</v>
      </c>
      <c r="X520">
        <v>15</v>
      </c>
      <c r="Y520">
        <v>15</v>
      </c>
      <c r="Z520" t="s">
        <v>1074</v>
      </c>
      <c r="AA520" t="s">
        <v>1075</v>
      </c>
      <c r="AB520" t="s">
        <v>272</v>
      </c>
      <c r="AC520" t="s">
        <v>273</v>
      </c>
      <c r="AD520" t="s">
        <v>274</v>
      </c>
      <c r="AE520" t="s">
        <v>242</v>
      </c>
      <c r="AG520" t="s">
        <v>1076</v>
      </c>
      <c r="AH520">
        <v>0</v>
      </c>
      <c r="AI520">
        <v>0</v>
      </c>
      <c r="AJ520">
        <v>0</v>
      </c>
      <c r="AK520">
        <v>384</v>
      </c>
      <c r="AL520">
        <v>0.8</v>
      </c>
    </row>
    <row r="521" spans="1:38" x14ac:dyDescent="0.3">
      <c r="A521" t="s">
        <v>1063</v>
      </c>
      <c r="B521">
        <v>5530</v>
      </c>
      <c r="C521">
        <v>3</v>
      </c>
      <c r="D521" t="s">
        <v>1073</v>
      </c>
      <c r="E521" t="s">
        <v>1025</v>
      </c>
      <c r="F521">
        <v>480</v>
      </c>
      <c r="G521">
        <v>45.36</v>
      </c>
      <c r="H521">
        <v>149.97999999999999</v>
      </c>
      <c r="I521">
        <v>38.81</v>
      </c>
      <c r="J521">
        <v>128.31</v>
      </c>
      <c r="K521">
        <v>60</v>
      </c>
      <c r="T521">
        <v>4</v>
      </c>
      <c r="U521">
        <v>2</v>
      </c>
      <c r="V521" t="s">
        <v>269</v>
      </c>
      <c r="W521">
        <v>149</v>
      </c>
      <c r="X521">
        <v>15</v>
      </c>
      <c r="Y521">
        <v>15</v>
      </c>
      <c r="Z521" t="s">
        <v>1074</v>
      </c>
      <c r="AA521" t="s">
        <v>1075</v>
      </c>
      <c r="AB521" t="s">
        <v>272</v>
      </c>
      <c r="AC521" t="s">
        <v>273</v>
      </c>
      <c r="AD521" t="s">
        <v>274</v>
      </c>
      <c r="AE521" t="s">
        <v>242</v>
      </c>
      <c r="AG521" t="s">
        <v>1076</v>
      </c>
      <c r="AH521">
        <v>0</v>
      </c>
      <c r="AI521">
        <v>0</v>
      </c>
      <c r="AJ521">
        <v>0</v>
      </c>
      <c r="AK521">
        <v>384</v>
      </c>
      <c r="AL521">
        <v>0.8</v>
      </c>
    </row>
    <row r="522" spans="1:38" x14ac:dyDescent="0.3">
      <c r="A522" t="s">
        <v>1063</v>
      </c>
      <c r="B522">
        <v>5530</v>
      </c>
      <c r="C522">
        <v>4</v>
      </c>
      <c r="D522" t="s">
        <v>1073</v>
      </c>
      <c r="E522" t="s">
        <v>1025</v>
      </c>
      <c r="F522">
        <v>480</v>
      </c>
      <c r="G522">
        <v>56.73</v>
      </c>
      <c r="H522">
        <v>187.55</v>
      </c>
      <c r="I522">
        <v>49.28</v>
      </c>
      <c r="J522">
        <v>162.91</v>
      </c>
      <c r="K522">
        <v>60</v>
      </c>
      <c r="T522">
        <v>4</v>
      </c>
      <c r="U522">
        <v>2</v>
      </c>
      <c r="V522" t="s">
        <v>269</v>
      </c>
      <c r="W522">
        <v>187</v>
      </c>
      <c r="X522">
        <v>15</v>
      </c>
      <c r="Y522">
        <v>15</v>
      </c>
      <c r="Z522" t="s">
        <v>1074</v>
      </c>
      <c r="AA522" t="s">
        <v>1075</v>
      </c>
      <c r="AB522" t="s">
        <v>272</v>
      </c>
      <c r="AC522" t="s">
        <v>273</v>
      </c>
      <c r="AD522" t="s">
        <v>274</v>
      </c>
      <c r="AE522" t="s">
        <v>242</v>
      </c>
      <c r="AG522" t="s">
        <v>1076</v>
      </c>
      <c r="AH522">
        <v>0</v>
      </c>
      <c r="AI522">
        <v>0</v>
      </c>
      <c r="AJ522">
        <v>0</v>
      </c>
      <c r="AK522">
        <v>384</v>
      </c>
      <c r="AL522">
        <v>0.8</v>
      </c>
    </row>
    <row r="523" spans="1:38" x14ac:dyDescent="0.3">
      <c r="A523" t="s">
        <v>1063</v>
      </c>
      <c r="B523">
        <v>113478</v>
      </c>
      <c r="C523">
        <v>1</v>
      </c>
      <c r="D523" t="s">
        <v>1077</v>
      </c>
      <c r="E523" t="s">
        <v>1078</v>
      </c>
      <c r="F523">
        <v>750</v>
      </c>
      <c r="G523">
        <v>24.9</v>
      </c>
      <c r="H523">
        <v>82.33</v>
      </c>
      <c r="I523">
        <v>18.11</v>
      </c>
      <c r="J523">
        <v>59.89</v>
      </c>
      <c r="K523">
        <v>162</v>
      </c>
      <c r="T523">
        <v>3</v>
      </c>
      <c r="U523">
        <v>2</v>
      </c>
      <c r="V523" t="s">
        <v>269</v>
      </c>
      <c r="W523">
        <v>82</v>
      </c>
      <c r="X523">
        <v>24</v>
      </c>
      <c r="Y523">
        <v>17</v>
      </c>
      <c r="Z523" t="s">
        <v>1079</v>
      </c>
      <c r="AA523" t="s">
        <v>1080</v>
      </c>
      <c r="AB523" t="s">
        <v>272</v>
      </c>
      <c r="AC523" t="s">
        <v>273</v>
      </c>
      <c r="AD523" t="s">
        <v>274</v>
      </c>
      <c r="AE523" t="s">
        <v>242</v>
      </c>
      <c r="AG523" t="s">
        <v>1081</v>
      </c>
      <c r="AH523">
        <v>0</v>
      </c>
      <c r="AI523">
        <v>247</v>
      </c>
      <c r="AJ523">
        <v>19</v>
      </c>
      <c r="AK523">
        <v>926</v>
      </c>
      <c r="AL523">
        <v>1.23</v>
      </c>
    </row>
    <row r="524" spans="1:38" x14ac:dyDescent="0.3">
      <c r="A524" t="s">
        <v>1063</v>
      </c>
      <c r="B524">
        <v>113478</v>
      </c>
      <c r="C524">
        <v>2</v>
      </c>
      <c r="D524" t="s">
        <v>1077</v>
      </c>
      <c r="E524" t="s">
        <v>1078</v>
      </c>
      <c r="F524">
        <v>750</v>
      </c>
      <c r="G524">
        <v>29.75</v>
      </c>
      <c r="H524">
        <v>98.36</v>
      </c>
      <c r="I524">
        <v>22.64</v>
      </c>
      <c r="J524">
        <v>74.86</v>
      </c>
      <c r="K524">
        <v>189</v>
      </c>
      <c r="T524">
        <v>3</v>
      </c>
      <c r="U524">
        <v>2</v>
      </c>
      <c r="V524" t="s">
        <v>269</v>
      </c>
      <c r="W524">
        <v>98</v>
      </c>
      <c r="X524">
        <v>24</v>
      </c>
      <c r="Y524">
        <v>17</v>
      </c>
      <c r="Z524" t="s">
        <v>1079</v>
      </c>
      <c r="AA524" t="s">
        <v>1080</v>
      </c>
      <c r="AB524" t="s">
        <v>272</v>
      </c>
      <c r="AC524" t="s">
        <v>273</v>
      </c>
      <c r="AD524" t="s">
        <v>274</v>
      </c>
      <c r="AE524" t="s">
        <v>242</v>
      </c>
      <c r="AG524" t="s">
        <v>1081</v>
      </c>
      <c r="AH524">
        <v>0</v>
      </c>
      <c r="AI524">
        <v>247</v>
      </c>
      <c r="AJ524">
        <v>19</v>
      </c>
      <c r="AK524">
        <v>926</v>
      </c>
      <c r="AL524">
        <v>1.23</v>
      </c>
    </row>
    <row r="525" spans="1:38" x14ac:dyDescent="0.3">
      <c r="A525" t="s">
        <v>1063</v>
      </c>
      <c r="B525">
        <v>113478</v>
      </c>
      <c r="C525">
        <v>3</v>
      </c>
      <c r="D525" t="s">
        <v>1077</v>
      </c>
      <c r="E525" t="s">
        <v>1078</v>
      </c>
      <c r="F525">
        <v>750</v>
      </c>
      <c r="G525">
        <v>33.090000000000003</v>
      </c>
      <c r="H525">
        <v>109.4</v>
      </c>
      <c r="I525">
        <v>25.66</v>
      </c>
      <c r="J525">
        <v>84.84</v>
      </c>
      <c r="K525">
        <v>154</v>
      </c>
      <c r="T525">
        <v>3</v>
      </c>
      <c r="U525">
        <v>2</v>
      </c>
      <c r="V525" t="s">
        <v>269</v>
      </c>
      <c r="W525" t="s">
        <v>70</v>
      </c>
      <c r="X525">
        <v>24</v>
      </c>
      <c r="Y525">
        <v>17</v>
      </c>
      <c r="Z525" t="s">
        <v>1079</v>
      </c>
      <c r="AA525" t="s">
        <v>1080</v>
      </c>
      <c r="AB525" t="s">
        <v>272</v>
      </c>
      <c r="AC525" t="s">
        <v>273</v>
      </c>
      <c r="AD525" t="s">
        <v>274</v>
      </c>
      <c r="AE525" t="s">
        <v>242</v>
      </c>
      <c r="AG525" t="s">
        <v>1081</v>
      </c>
      <c r="AH525">
        <v>0</v>
      </c>
      <c r="AI525">
        <v>247</v>
      </c>
      <c r="AJ525">
        <v>19</v>
      </c>
      <c r="AK525">
        <v>926</v>
      </c>
      <c r="AL525">
        <v>1.23</v>
      </c>
    </row>
    <row r="526" spans="1:38" x14ac:dyDescent="0.3">
      <c r="A526" t="s">
        <v>1063</v>
      </c>
      <c r="B526">
        <v>113478</v>
      </c>
      <c r="C526">
        <v>4</v>
      </c>
      <c r="D526" t="s">
        <v>1077</v>
      </c>
      <c r="E526" t="s">
        <v>1078</v>
      </c>
      <c r="F526">
        <v>750</v>
      </c>
      <c r="G526">
        <v>33.67</v>
      </c>
      <c r="H526">
        <v>111.31</v>
      </c>
      <c r="I526">
        <v>25.7</v>
      </c>
      <c r="J526">
        <v>84.99</v>
      </c>
      <c r="K526">
        <v>245</v>
      </c>
      <c r="T526">
        <v>3</v>
      </c>
      <c r="U526">
        <v>2</v>
      </c>
      <c r="V526" t="s">
        <v>269</v>
      </c>
      <c r="W526" t="s">
        <v>110</v>
      </c>
      <c r="X526">
        <v>24</v>
      </c>
      <c r="Y526">
        <v>17</v>
      </c>
      <c r="Z526" t="s">
        <v>1079</v>
      </c>
      <c r="AA526" t="s">
        <v>1080</v>
      </c>
      <c r="AB526" t="s">
        <v>272</v>
      </c>
      <c r="AC526" t="s">
        <v>273</v>
      </c>
      <c r="AD526" t="s">
        <v>274</v>
      </c>
      <c r="AE526" t="s">
        <v>242</v>
      </c>
      <c r="AG526" t="s">
        <v>1081</v>
      </c>
      <c r="AH526">
        <v>0</v>
      </c>
      <c r="AI526">
        <v>247</v>
      </c>
      <c r="AJ526">
        <v>19</v>
      </c>
      <c r="AK526">
        <v>926</v>
      </c>
      <c r="AL526">
        <v>1.23</v>
      </c>
    </row>
    <row r="527" spans="1:38" x14ac:dyDescent="0.3">
      <c r="A527" t="s">
        <v>1063</v>
      </c>
      <c r="B527">
        <v>140441</v>
      </c>
      <c r="C527">
        <v>1</v>
      </c>
      <c r="D527" t="s">
        <v>1082</v>
      </c>
      <c r="E527" t="s">
        <v>1083</v>
      </c>
      <c r="F527">
        <v>99</v>
      </c>
      <c r="G527">
        <v>12.94</v>
      </c>
      <c r="H527">
        <v>42.79</v>
      </c>
      <c r="I527">
        <v>9.2200000000000006</v>
      </c>
      <c r="J527">
        <v>30.49</v>
      </c>
      <c r="K527">
        <v>30</v>
      </c>
      <c r="T527">
        <v>1</v>
      </c>
      <c r="U527">
        <v>1</v>
      </c>
      <c r="V527" t="s">
        <v>279</v>
      </c>
      <c r="W527">
        <v>42</v>
      </c>
      <c r="X527">
        <v>9</v>
      </c>
      <c r="Y527">
        <v>5</v>
      </c>
      <c r="Z527" t="s">
        <v>1084</v>
      </c>
      <c r="AA527" t="s">
        <v>1085</v>
      </c>
      <c r="AB527" t="s">
        <v>272</v>
      </c>
      <c r="AC527" t="s">
        <v>273</v>
      </c>
      <c r="AD527" t="s">
        <v>274</v>
      </c>
      <c r="AE527" t="s">
        <v>242</v>
      </c>
      <c r="AG527" t="s">
        <v>1086</v>
      </c>
      <c r="AH527">
        <v>69</v>
      </c>
      <c r="AI527">
        <v>259</v>
      </c>
      <c r="AJ527">
        <v>36</v>
      </c>
      <c r="AK527">
        <v>72</v>
      </c>
      <c r="AL527">
        <v>0.73</v>
      </c>
    </row>
    <row r="528" spans="1:38" x14ac:dyDescent="0.3">
      <c r="A528" t="s">
        <v>1063</v>
      </c>
      <c r="B528">
        <v>24953</v>
      </c>
      <c r="C528">
        <v>1</v>
      </c>
      <c r="D528" t="s">
        <v>1087</v>
      </c>
      <c r="E528" t="s">
        <v>1088</v>
      </c>
      <c r="F528">
        <v>371</v>
      </c>
      <c r="G528">
        <v>23.22</v>
      </c>
      <c r="H528">
        <v>76.78</v>
      </c>
      <c r="I528">
        <v>18.11</v>
      </c>
      <c r="J528">
        <v>59.9</v>
      </c>
      <c r="K528">
        <v>169</v>
      </c>
      <c r="T528">
        <v>3</v>
      </c>
      <c r="U528">
        <v>1</v>
      </c>
      <c r="V528" t="s">
        <v>269</v>
      </c>
      <c r="W528" t="s">
        <v>191</v>
      </c>
      <c r="X528">
        <v>18</v>
      </c>
      <c r="Y528">
        <v>11</v>
      </c>
      <c r="Z528" t="s">
        <v>1089</v>
      </c>
      <c r="AA528" t="s">
        <v>1090</v>
      </c>
      <c r="AB528" t="s">
        <v>272</v>
      </c>
      <c r="AC528" t="s">
        <v>273</v>
      </c>
      <c r="AD528" t="s">
        <v>274</v>
      </c>
      <c r="AE528" t="s">
        <v>242</v>
      </c>
      <c r="AG528" t="s">
        <v>1091</v>
      </c>
      <c r="AH528">
        <v>0</v>
      </c>
      <c r="AI528">
        <v>318</v>
      </c>
      <c r="AJ528">
        <v>21</v>
      </c>
      <c r="AK528">
        <v>230</v>
      </c>
      <c r="AL528">
        <v>0.62</v>
      </c>
    </row>
    <row r="529" spans="1:38" x14ac:dyDescent="0.3">
      <c r="A529" t="s">
        <v>1063</v>
      </c>
      <c r="B529">
        <v>24953</v>
      </c>
      <c r="C529">
        <v>2</v>
      </c>
      <c r="D529" t="s">
        <v>1087</v>
      </c>
      <c r="E529" t="s">
        <v>1088</v>
      </c>
      <c r="F529">
        <v>371</v>
      </c>
      <c r="G529">
        <v>23.19</v>
      </c>
      <c r="H529">
        <v>76.680000000000007</v>
      </c>
      <c r="I529">
        <v>18.09</v>
      </c>
      <c r="J529">
        <v>59.82</v>
      </c>
      <c r="K529">
        <v>68</v>
      </c>
      <c r="T529">
        <v>3</v>
      </c>
      <c r="U529">
        <v>2</v>
      </c>
      <c r="V529" t="s">
        <v>269</v>
      </c>
      <c r="W529" t="s">
        <v>151</v>
      </c>
      <c r="X529">
        <v>18</v>
      </c>
      <c r="Y529">
        <v>11</v>
      </c>
      <c r="Z529" t="s">
        <v>1089</v>
      </c>
      <c r="AA529" t="s">
        <v>1090</v>
      </c>
      <c r="AB529" t="s">
        <v>272</v>
      </c>
      <c r="AC529" t="s">
        <v>273</v>
      </c>
      <c r="AD529" t="s">
        <v>274</v>
      </c>
      <c r="AE529" t="s">
        <v>242</v>
      </c>
      <c r="AG529" t="s">
        <v>1091</v>
      </c>
      <c r="AH529">
        <v>0</v>
      </c>
      <c r="AI529">
        <v>318</v>
      </c>
      <c r="AJ529">
        <v>21</v>
      </c>
      <c r="AK529">
        <v>230</v>
      </c>
      <c r="AL529">
        <v>0.62</v>
      </c>
    </row>
    <row r="530" spans="1:38" x14ac:dyDescent="0.3">
      <c r="A530" t="s">
        <v>1063</v>
      </c>
      <c r="B530">
        <v>24953</v>
      </c>
      <c r="C530">
        <v>3</v>
      </c>
      <c r="D530" t="s">
        <v>1087</v>
      </c>
      <c r="E530" t="s">
        <v>1088</v>
      </c>
      <c r="F530">
        <v>371</v>
      </c>
      <c r="G530">
        <v>32.71</v>
      </c>
      <c r="H530">
        <v>108.14</v>
      </c>
      <c r="I530">
        <v>25.51</v>
      </c>
      <c r="J530">
        <v>84.36</v>
      </c>
      <c r="K530">
        <v>134</v>
      </c>
      <c r="T530">
        <v>3</v>
      </c>
      <c r="U530">
        <v>2</v>
      </c>
      <c r="V530" t="s">
        <v>269</v>
      </c>
      <c r="W530">
        <v>108</v>
      </c>
      <c r="X530">
        <v>18</v>
      </c>
      <c r="Y530">
        <v>11</v>
      </c>
      <c r="Z530" t="s">
        <v>1089</v>
      </c>
      <c r="AA530" t="s">
        <v>1090</v>
      </c>
      <c r="AB530" t="s">
        <v>272</v>
      </c>
      <c r="AC530" t="s">
        <v>273</v>
      </c>
      <c r="AD530" t="s">
        <v>274</v>
      </c>
      <c r="AE530" t="s">
        <v>242</v>
      </c>
      <c r="AG530" t="s">
        <v>1091</v>
      </c>
      <c r="AH530">
        <v>0</v>
      </c>
      <c r="AI530">
        <v>318</v>
      </c>
      <c r="AJ530">
        <v>21</v>
      </c>
      <c r="AK530">
        <v>230</v>
      </c>
      <c r="AL530">
        <v>0.62</v>
      </c>
    </row>
    <row r="531" spans="1:38" x14ac:dyDescent="0.3">
      <c r="A531" t="s">
        <v>1063</v>
      </c>
      <c r="B531">
        <v>112806</v>
      </c>
      <c r="C531">
        <v>1</v>
      </c>
      <c r="D531" t="s">
        <v>1092</v>
      </c>
      <c r="E531" t="s">
        <v>1093</v>
      </c>
      <c r="F531">
        <v>66</v>
      </c>
      <c r="G531">
        <v>23.34</v>
      </c>
      <c r="H531">
        <v>77.19</v>
      </c>
      <c r="I531">
        <v>13</v>
      </c>
      <c r="J531">
        <v>42.98</v>
      </c>
      <c r="K531">
        <v>3</v>
      </c>
      <c r="T531">
        <v>2</v>
      </c>
      <c r="U531">
        <v>1</v>
      </c>
      <c r="V531" t="s">
        <v>269</v>
      </c>
      <c r="W531">
        <v>77</v>
      </c>
      <c r="X531">
        <v>11</v>
      </c>
      <c r="Y531">
        <v>6</v>
      </c>
      <c r="Z531" t="s">
        <v>1094</v>
      </c>
      <c r="AA531" t="s">
        <v>1095</v>
      </c>
      <c r="AB531" t="s">
        <v>272</v>
      </c>
      <c r="AC531" t="s">
        <v>273</v>
      </c>
      <c r="AD531" t="s">
        <v>274</v>
      </c>
      <c r="AE531" t="s">
        <v>242</v>
      </c>
      <c r="AG531" t="s">
        <v>1096</v>
      </c>
      <c r="AH531">
        <v>0</v>
      </c>
      <c r="AI531">
        <v>204</v>
      </c>
      <c r="AJ531">
        <v>22</v>
      </c>
      <c r="AK531">
        <v>29</v>
      </c>
      <c r="AL531">
        <v>0.44</v>
      </c>
    </row>
    <row r="532" spans="1:38" x14ac:dyDescent="0.3">
      <c r="A532" t="s">
        <v>1063</v>
      </c>
      <c r="B532">
        <v>112806</v>
      </c>
      <c r="C532">
        <v>2</v>
      </c>
      <c r="D532" t="s">
        <v>1092</v>
      </c>
      <c r="E532" t="s">
        <v>1093</v>
      </c>
      <c r="F532">
        <v>66</v>
      </c>
      <c r="G532">
        <v>24.4</v>
      </c>
      <c r="H532">
        <v>80.69</v>
      </c>
      <c r="I532">
        <v>16.239999999999998</v>
      </c>
      <c r="J532">
        <v>53.69</v>
      </c>
      <c r="K532">
        <v>63</v>
      </c>
      <c r="T532">
        <v>2</v>
      </c>
      <c r="U532">
        <v>1</v>
      </c>
      <c r="V532" t="s">
        <v>269</v>
      </c>
      <c r="W532">
        <v>80</v>
      </c>
      <c r="X532">
        <v>11</v>
      </c>
      <c r="Y532">
        <v>6</v>
      </c>
      <c r="Z532" t="s">
        <v>1094</v>
      </c>
      <c r="AA532" t="s">
        <v>1095</v>
      </c>
      <c r="AB532" t="s">
        <v>272</v>
      </c>
      <c r="AC532" t="s">
        <v>273</v>
      </c>
      <c r="AD532" t="s">
        <v>274</v>
      </c>
      <c r="AE532" t="s">
        <v>242</v>
      </c>
      <c r="AG532" t="s">
        <v>1096</v>
      </c>
      <c r="AH532">
        <v>0</v>
      </c>
      <c r="AI532">
        <v>204</v>
      </c>
      <c r="AJ532">
        <v>22</v>
      </c>
      <c r="AK532">
        <v>29</v>
      </c>
      <c r="AL532">
        <v>0.44</v>
      </c>
    </row>
    <row r="533" spans="1:38" x14ac:dyDescent="0.3">
      <c r="A533" t="s">
        <v>1063</v>
      </c>
      <c r="B533">
        <v>121373</v>
      </c>
      <c r="C533">
        <v>1</v>
      </c>
      <c r="D533" t="s">
        <v>1097</v>
      </c>
      <c r="E533" t="s">
        <v>1098</v>
      </c>
      <c r="F533">
        <v>95</v>
      </c>
      <c r="G533">
        <v>15.66</v>
      </c>
      <c r="H533">
        <v>51.79</v>
      </c>
      <c r="I533">
        <v>13.77</v>
      </c>
      <c r="J533">
        <v>45.55</v>
      </c>
      <c r="K533">
        <v>20</v>
      </c>
      <c r="T533">
        <v>1</v>
      </c>
      <c r="U533">
        <v>1</v>
      </c>
      <c r="V533" t="s">
        <v>269</v>
      </c>
      <c r="W533" t="s">
        <v>1099</v>
      </c>
      <c r="X533">
        <v>5</v>
      </c>
      <c r="Y533">
        <v>5</v>
      </c>
      <c r="Z533" t="s">
        <v>1100</v>
      </c>
      <c r="AA533" t="s">
        <v>1101</v>
      </c>
      <c r="AB533" t="s">
        <v>272</v>
      </c>
      <c r="AC533" t="s">
        <v>273</v>
      </c>
      <c r="AD533" t="s">
        <v>274</v>
      </c>
      <c r="AE533" t="s">
        <v>242</v>
      </c>
      <c r="AG533" t="s">
        <v>1102</v>
      </c>
      <c r="AH533">
        <v>0</v>
      </c>
      <c r="AI533">
        <v>0</v>
      </c>
      <c r="AJ533">
        <v>0</v>
      </c>
      <c r="AK533">
        <v>0</v>
      </c>
      <c r="AL533">
        <v>0</v>
      </c>
    </row>
    <row r="534" spans="1:38" x14ac:dyDescent="0.3">
      <c r="A534" t="s">
        <v>1063</v>
      </c>
      <c r="B534">
        <v>121373</v>
      </c>
      <c r="C534">
        <v>2</v>
      </c>
      <c r="D534" t="s">
        <v>1097</v>
      </c>
      <c r="E534" t="s">
        <v>1098</v>
      </c>
      <c r="F534">
        <v>95</v>
      </c>
      <c r="G534">
        <v>15.91</v>
      </c>
      <c r="H534">
        <v>52.62</v>
      </c>
      <c r="I534">
        <v>13.83</v>
      </c>
      <c r="J534">
        <v>45.75</v>
      </c>
      <c r="K534">
        <v>30</v>
      </c>
      <c r="T534">
        <v>1</v>
      </c>
      <c r="U534">
        <v>1</v>
      </c>
      <c r="V534" t="s">
        <v>269</v>
      </c>
      <c r="W534" t="s">
        <v>1103</v>
      </c>
      <c r="X534">
        <v>5</v>
      </c>
      <c r="Y534">
        <v>5</v>
      </c>
      <c r="Z534" t="s">
        <v>1100</v>
      </c>
      <c r="AA534" t="s">
        <v>1101</v>
      </c>
      <c r="AB534" t="s">
        <v>272</v>
      </c>
      <c r="AC534" t="s">
        <v>273</v>
      </c>
      <c r="AD534" t="s">
        <v>274</v>
      </c>
      <c r="AE534" t="s">
        <v>242</v>
      </c>
      <c r="AG534" t="s">
        <v>1102</v>
      </c>
      <c r="AH534">
        <v>0</v>
      </c>
      <c r="AI534">
        <v>0</v>
      </c>
      <c r="AJ534">
        <v>0</v>
      </c>
      <c r="AK534">
        <v>0</v>
      </c>
      <c r="AL534">
        <v>0</v>
      </c>
    </row>
    <row r="535" spans="1:38" x14ac:dyDescent="0.3">
      <c r="A535" t="s">
        <v>1063</v>
      </c>
      <c r="B535">
        <v>121373</v>
      </c>
      <c r="C535">
        <v>3</v>
      </c>
      <c r="D535" t="s">
        <v>1097</v>
      </c>
      <c r="E535" t="s">
        <v>1098</v>
      </c>
      <c r="F535">
        <v>95</v>
      </c>
      <c r="G535">
        <v>15.87</v>
      </c>
      <c r="H535">
        <v>52.47</v>
      </c>
      <c r="I535">
        <v>13.79</v>
      </c>
      <c r="J535">
        <v>45.6</v>
      </c>
      <c r="K535">
        <v>5</v>
      </c>
      <c r="T535">
        <v>1</v>
      </c>
      <c r="U535">
        <v>1</v>
      </c>
      <c r="V535" t="s">
        <v>269</v>
      </c>
      <c r="W535" t="s">
        <v>1104</v>
      </c>
      <c r="X535">
        <v>5</v>
      </c>
      <c r="Y535">
        <v>5</v>
      </c>
      <c r="Z535" t="s">
        <v>1100</v>
      </c>
      <c r="AA535" t="s">
        <v>1101</v>
      </c>
      <c r="AB535" t="s">
        <v>272</v>
      </c>
      <c r="AC535" t="s">
        <v>273</v>
      </c>
      <c r="AD535" t="s">
        <v>274</v>
      </c>
      <c r="AE535" t="s">
        <v>242</v>
      </c>
      <c r="AG535" t="s">
        <v>1102</v>
      </c>
      <c r="AH535">
        <v>0</v>
      </c>
      <c r="AI535">
        <v>0</v>
      </c>
      <c r="AJ535">
        <v>0</v>
      </c>
      <c r="AK535">
        <v>0</v>
      </c>
      <c r="AL535">
        <v>0</v>
      </c>
    </row>
    <row r="536" spans="1:38" x14ac:dyDescent="0.3">
      <c r="A536" t="s">
        <v>1063</v>
      </c>
      <c r="B536">
        <v>121373</v>
      </c>
      <c r="C536">
        <v>4</v>
      </c>
      <c r="D536" t="s">
        <v>1097</v>
      </c>
      <c r="E536" t="s">
        <v>1098</v>
      </c>
      <c r="F536">
        <v>95</v>
      </c>
      <c r="G536">
        <v>15.99</v>
      </c>
      <c r="H536">
        <v>52.89</v>
      </c>
      <c r="I536">
        <v>13.92</v>
      </c>
      <c r="J536">
        <v>46.02</v>
      </c>
      <c r="K536">
        <v>5</v>
      </c>
      <c r="T536">
        <v>1</v>
      </c>
      <c r="U536">
        <v>1</v>
      </c>
      <c r="V536" t="s">
        <v>269</v>
      </c>
      <c r="W536" t="s">
        <v>1105</v>
      </c>
      <c r="X536">
        <v>5</v>
      </c>
      <c r="Y536">
        <v>5</v>
      </c>
      <c r="Z536" t="s">
        <v>1100</v>
      </c>
      <c r="AA536" t="s">
        <v>1101</v>
      </c>
      <c r="AB536" t="s">
        <v>272</v>
      </c>
      <c r="AC536" t="s">
        <v>273</v>
      </c>
      <c r="AD536" t="s">
        <v>274</v>
      </c>
      <c r="AE536" t="s">
        <v>242</v>
      </c>
      <c r="AG536" t="s">
        <v>1102</v>
      </c>
      <c r="AH536">
        <v>0</v>
      </c>
      <c r="AI536">
        <v>0</v>
      </c>
      <c r="AJ536">
        <v>0</v>
      </c>
      <c r="AK536">
        <v>0</v>
      </c>
      <c r="AL536">
        <v>0</v>
      </c>
    </row>
    <row r="537" spans="1:38" x14ac:dyDescent="0.3">
      <c r="A537" t="s">
        <v>1063</v>
      </c>
      <c r="B537">
        <v>121373</v>
      </c>
      <c r="C537">
        <v>5</v>
      </c>
      <c r="D537" t="s">
        <v>1097</v>
      </c>
      <c r="E537" t="s">
        <v>1098</v>
      </c>
      <c r="F537">
        <v>95</v>
      </c>
      <c r="G537">
        <v>16.18</v>
      </c>
      <c r="H537">
        <v>53.52</v>
      </c>
      <c r="I537">
        <v>14.11</v>
      </c>
      <c r="J537">
        <v>46.65</v>
      </c>
      <c r="K537">
        <v>5</v>
      </c>
      <c r="T537">
        <v>2</v>
      </c>
      <c r="U537">
        <v>1</v>
      </c>
      <c r="V537" t="s">
        <v>269</v>
      </c>
      <c r="W537" t="s">
        <v>1106</v>
      </c>
      <c r="X537">
        <v>5</v>
      </c>
      <c r="Y537">
        <v>5</v>
      </c>
      <c r="Z537" t="s">
        <v>1100</v>
      </c>
      <c r="AA537" t="s">
        <v>1101</v>
      </c>
      <c r="AB537" t="s">
        <v>272</v>
      </c>
      <c r="AC537" t="s">
        <v>273</v>
      </c>
      <c r="AD537" t="s">
        <v>274</v>
      </c>
      <c r="AE537" t="s">
        <v>242</v>
      </c>
      <c r="AG537" t="s">
        <v>1102</v>
      </c>
      <c r="AH537">
        <v>0</v>
      </c>
      <c r="AI537">
        <v>0</v>
      </c>
      <c r="AJ537">
        <v>0</v>
      </c>
      <c r="AK537">
        <v>0</v>
      </c>
      <c r="AL537">
        <v>0</v>
      </c>
    </row>
    <row r="538" spans="1:38" x14ac:dyDescent="0.3">
      <c r="A538" t="s">
        <v>1063</v>
      </c>
      <c r="B538">
        <v>121373</v>
      </c>
      <c r="C538">
        <v>6</v>
      </c>
      <c r="D538" t="s">
        <v>1097</v>
      </c>
      <c r="E538" t="s">
        <v>1098</v>
      </c>
      <c r="F538">
        <v>95</v>
      </c>
      <c r="G538">
        <v>26.82</v>
      </c>
      <c r="H538">
        <v>88.68</v>
      </c>
      <c r="I538">
        <v>24.86</v>
      </c>
      <c r="J538">
        <v>82.2</v>
      </c>
      <c r="K538">
        <v>25</v>
      </c>
      <c r="T538">
        <v>3</v>
      </c>
      <c r="U538">
        <v>2</v>
      </c>
      <c r="V538" t="s">
        <v>269</v>
      </c>
      <c r="W538" t="s">
        <v>1107</v>
      </c>
      <c r="X538">
        <v>5</v>
      </c>
      <c r="Y538">
        <v>5</v>
      </c>
      <c r="Z538" t="s">
        <v>1100</v>
      </c>
      <c r="AA538" t="s">
        <v>1101</v>
      </c>
      <c r="AB538" t="s">
        <v>272</v>
      </c>
      <c r="AC538" t="s">
        <v>273</v>
      </c>
      <c r="AD538" t="s">
        <v>274</v>
      </c>
      <c r="AE538" t="s">
        <v>242</v>
      </c>
      <c r="AG538" t="s">
        <v>1102</v>
      </c>
      <c r="AH538">
        <v>0</v>
      </c>
      <c r="AI538">
        <v>0</v>
      </c>
      <c r="AJ538">
        <v>0</v>
      </c>
      <c r="AK538">
        <v>0</v>
      </c>
      <c r="AL538">
        <v>0</v>
      </c>
    </row>
    <row r="539" spans="1:38" x14ac:dyDescent="0.3">
      <c r="A539" t="s">
        <v>1063</v>
      </c>
      <c r="B539">
        <v>121373</v>
      </c>
      <c r="C539">
        <v>7</v>
      </c>
      <c r="D539" t="s">
        <v>1097</v>
      </c>
      <c r="E539" t="s">
        <v>1098</v>
      </c>
      <c r="F539">
        <v>95</v>
      </c>
      <c r="G539">
        <v>26.71</v>
      </c>
      <c r="H539">
        <v>88.31</v>
      </c>
      <c r="I539">
        <v>24.75</v>
      </c>
      <c r="J539">
        <v>81.83</v>
      </c>
      <c r="K539">
        <v>5</v>
      </c>
      <c r="T539">
        <v>2</v>
      </c>
      <c r="U539">
        <v>1</v>
      </c>
      <c r="V539" t="s">
        <v>269</v>
      </c>
      <c r="W539" t="s">
        <v>199</v>
      </c>
      <c r="X539">
        <v>5</v>
      </c>
      <c r="Y539">
        <v>5</v>
      </c>
      <c r="Z539" t="s">
        <v>1100</v>
      </c>
      <c r="AA539" t="s">
        <v>1101</v>
      </c>
      <c r="AB539" t="s">
        <v>272</v>
      </c>
      <c r="AC539" t="s">
        <v>273</v>
      </c>
      <c r="AD539" t="s">
        <v>274</v>
      </c>
      <c r="AE539" t="s">
        <v>242</v>
      </c>
      <c r="AG539" t="s">
        <v>1102</v>
      </c>
      <c r="AH539">
        <v>0</v>
      </c>
      <c r="AI539">
        <v>0</v>
      </c>
      <c r="AJ539">
        <v>0</v>
      </c>
      <c r="AK539">
        <v>0</v>
      </c>
      <c r="AL539">
        <v>0</v>
      </c>
    </row>
    <row r="540" spans="1:38" x14ac:dyDescent="0.3">
      <c r="A540" t="s">
        <v>1063</v>
      </c>
      <c r="B540">
        <v>15036</v>
      </c>
      <c r="C540">
        <v>1</v>
      </c>
      <c r="D540" t="s">
        <v>1108</v>
      </c>
      <c r="E540" t="s">
        <v>736</v>
      </c>
      <c r="F540">
        <v>300</v>
      </c>
      <c r="G540">
        <v>20.57</v>
      </c>
      <c r="H540">
        <v>68.010000000000005</v>
      </c>
      <c r="I540">
        <v>17.489999999999998</v>
      </c>
      <c r="J540">
        <v>57.84</v>
      </c>
      <c r="K540">
        <v>250</v>
      </c>
      <c r="T540">
        <v>3</v>
      </c>
      <c r="U540">
        <v>1</v>
      </c>
      <c r="V540" t="s">
        <v>269</v>
      </c>
      <c r="W540" t="s">
        <v>192</v>
      </c>
      <c r="X540">
        <v>5</v>
      </c>
      <c r="Y540">
        <v>5</v>
      </c>
      <c r="Z540" t="s">
        <v>1109</v>
      </c>
      <c r="AA540" t="s">
        <v>1110</v>
      </c>
      <c r="AB540" t="s">
        <v>272</v>
      </c>
      <c r="AC540" t="s">
        <v>273</v>
      </c>
      <c r="AD540" t="s">
        <v>274</v>
      </c>
      <c r="AE540" t="s">
        <v>242</v>
      </c>
      <c r="AG540" t="s">
        <v>1111</v>
      </c>
      <c r="AH540">
        <v>0</v>
      </c>
      <c r="AI540">
        <v>0</v>
      </c>
      <c r="AJ540">
        <v>0</v>
      </c>
      <c r="AK540">
        <v>240</v>
      </c>
      <c r="AL540">
        <v>0.8</v>
      </c>
    </row>
    <row r="541" spans="1:38" x14ac:dyDescent="0.3">
      <c r="A541" t="s">
        <v>1063</v>
      </c>
      <c r="B541">
        <v>15036</v>
      </c>
      <c r="C541">
        <v>2</v>
      </c>
      <c r="D541" t="s">
        <v>1108</v>
      </c>
      <c r="E541" t="s">
        <v>736</v>
      </c>
      <c r="F541">
        <v>300</v>
      </c>
      <c r="G541">
        <v>20.9</v>
      </c>
      <c r="H541">
        <v>69.11</v>
      </c>
      <c r="I541">
        <v>17.8</v>
      </c>
      <c r="J541">
        <v>58.86</v>
      </c>
      <c r="K541">
        <v>50</v>
      </c>
      <c r="T541">
        <v>3</v>
      </c>
      <c r="U541">
        <v>1</v>
      </c>
      <c r="V541" t="s">
        <v>269</v>
      </c>
      <c r="W541" t="s">
        <v>193</v>
      </c>
      <c r="X541">
        <v>5</v>
      </c>
      <c r="Y541">
        <v>5</v>
      </c>
      <c r="Z541" t="s">
        <v>1109</v>
      </c>
      <c r="AA541" t="s">
        <v>1110</v>
      </c>
      <c r="AB541" t="s">
        <v>272</v>
      </c>
      <c r="AC541" t="s">
        <v>273</v>
      </c>
      <c r="AD541" t="s">
        <v>274</v>
      </c>
      <c r="AE541" t="s">
        <v>242</v>
      </c>
      <c r="AG541" t="s">
        <v>1111</v>
      </c>
      <c r="AH541">
        <v>0</v>
      </c>
      <c r="AI541">
        <v>0</v>
      </c>
      <c r="AJ541">
        <v>0</v>
      </c>
      <c r="AK541">
        <v>240</v>
      </c>
      <c r="AL541">
        <v>0.8</v>
      </c>
    </row>
    <row r="542" spans="1:38" x14ac:dyDescent="0.3">
      <c r="A542" t="s">
        <v>1063</v>
      </c>
      <c r="B542">
        <v>114729</v>
      </c>
      <c r="C542">
        <v>1</v>
      </c>
      <c r="D542" t="s">
        <v>1112</v>
      </c>
      <c r="E542" t="s">
        <v>1113</v>
      </c>
      <c r="F542">
        <v>121</v>
      </c>
      <c r="G542">
        <v>23.09</v>
      </c>
      <c r="H542">
        <v>76.34</v>
      </c>
      <c r="I542">
        <v>17.95</v>
      </c>
      <c r="J542">
        <v>59.35</v>
      </c>
      <c r="K542">
        <v>6</v>
      </c>
      <c r="T542">
        <v>2</v>
      </c>
      <c r="U542">
        <v>1</v>
      </c>
      <c r="V542" t="s">
        <v>269</v>
      </c>
      <c r="W542">
        <v>76</v>
      </c>
      <c r="X542">
        <v>12</v>
      </c>
      <c r="Y542">
        <v>6</v>
      </c>
      <c r="Z542" t="s">
        <v>1114</v>
      </c>
      <c r="AA542" t="s">
        <v>1115</v>
      </c>
      <c r="AB542" t="s">
        <v>272</v>
      </c>
      <c r="AC542" t="s">
        <v>273</v>
      </c>
      <c r="AD542" t="s">
        <v>274</v>
      </c>
      <c r="AE542" t="s">
        <v>242</v>
      </c>
      <c r="AG542" t="s">
        <v>1116</v>
      </c>
      <c r="AH542">
        <v>0</v>
      </c>
      <c r="AI542">
        <v>217</v>
      </c>
      <c r="AJ542">
        <v>21</v>
      </c>
      <c r="AK542">
        <v>124</v>
      </c>
      <c r="AL542">
        <v>1.02</v>
      </c>
    </row>
    <row r="543" spans="1:38" x14ac:dyDescent="0.3">
      <c r="A543" t="s">
        <v>1063</v>
      </c>
      <c r="B543">
        <v>114729</v>
      </c>
      <c r="C543">
        <v>2</v>
      </c>
      <c r="D543" t="s">
        <v>1112</v>
      </c>
      <c r="E543" t="s">
        <v>1113</v>
      </c>
      <c r="F543">
        <v>121</v>
      </c>
      <c r="G543">
        <v>27.68</v>
      </c>
      <c r="H543">
        <v>91.51</v>
      </c>
      <c r="I543">
        <v>21.89</v>
      </c>
      <c r="J543">
        <v>72.37</v>
      </c>
      <c r="K543">
        <v>1</v>
      </c>
      <c r="T543">
        <v>3</v>
      </c>
      <c r="U543">
        <v>1</v>
      </c>
      <c r="V543" t="s">
        <v>269</v>
      </c>
      <c r="W543">
        <v>91</v>
      </c>
      <c r="X543">
        <v>12</v>
      </c>
      <c r="Y543">
        <v>6</v>
      </c>
      <c r="Z543" t="s">
        <v>1114</v>
      </c>
      <c r="AA543" t="s">
        <v>1115</v>
      </c>
      <c r="AB543" t="s">
        <v>272</v>
      </c>
      <c r="AC543" t="s">
        <v>273</v>
      </c>
      <c r="AD543" t="s">
        <v>274</v>
      </c>
      <c r="AE543" t="s">
        <v>242</v>
      </c>
      <c r="AG543" t="s">
        <v>1116</v>
      </c>
      <c r="AH543">
        <v>0</v>
      </c>
      <c r="AI543">
        <v>217</v>
      </c>
      <c r="AJ543">
        <v>21</v>
      </c>
      <c r="AK543">
        <v>124</v>
      </c>
      <c r="AL543">
        <v>1.02</v>
      </c>
    </row>
    <row r="544" spans="1:38" x14ac:dyDescent="0.3">
      <c r="A544" t="s">
        <v>1063</v>
      </c>
      <c r="B544">
        <v>114729</v>
      </c>
      <c r="C544">
        <v>3</v>
      </c>
      <c r="D544" t="s">
        <v>1112</v>
      </c>
      <c r="E544" t="s">
        <v>1113</v>
      </c>
      <c r="F544">
        <v>121</v>
      </c>
      <c r="G544">
        <v>31.89</v>
      </c>
      <c r="H544">
        <v>105.44</v>
      </c>
      <c r="I544">
        <v>25.24</v>
      </c>
      <c r="J544">
        <v>83.46</v>
      </c>
      <c r="K544">
        <v>114</v>
      </c>
      <c r="T544">
        <v>3</v>
      </c>
      <c r="U544">
        <v>2</v>
      </c>
      <c r="V544" t="s">
        <v>269</v>
      </c>
      <c r="W544">
        <v>105</v>
      </c>
      <c r="X544">
        <v>12</v>
      </c>
      <c r="Y544">
        <v>6</v>
      </c>
      <c r="Z544" t="s">
        <v>1114</v>
      </c>
      <c r="AA544" t="s">
        <v>1115</v>
      </c>
      <c r="AB544" t="s">
        <v>272</v>
      </c>
      <c r="AC544" t="s">
        <v>273</v>
      </c>
      <c r="AD544" t="s">
        <v>274</v>
      </c>
      <c r="AE544" t="s">
        <v>242</v>
      </c>
      <c r="AG544" t="s">
        <v>1116</v>
      </c>
      <c r="AH544">
        <v>0</v>
      </c>
      <c r="AI544">
        <v>217</v>
      </c>
      <c r="AJ544">
        <v>21</v>
      </c>
      <c r="AK544">
        <v>124</v>
      </c>
      <c r="AL544">
        <v>1.02</v>
      </c>
    </row>
    <row r="545" spans="1:38" x14ac:dyDescent="0.3">
      <c r="A545" t="s">
        <v>1063</v>
      </c>
      <c r="B545">
        <v>125767</v>
      </c>
      <c r="C545">
        <v>1</v>
      </c>
      <c r="D545" t="s">
        <v>1117</v>
      </c>
      <c r="E545" t="s">
        <v>1118</v>
      </c>
      <c r="F545">
        <v>998</v>
      </c>
      <c r="G545">
        <v>23.99</v>
      </c>
      <c r="H545">
        <v>79.33</v>
      </c>
      <c r="I545">
        <v>18.14</v>
      </c>
      <c r="J545">
        <v>59.98</v>
      </c>
      <c r="K545">
        <v>156</v>
      </c>
      <c r="T545">
        <v>3</v>
      </c>
      <c r="U545">
        <v>2</v>
      </c>
      <c r="V545" t="s">
        <v>269</v>
      </c>
      <c r="W545">
        <v>79</v>
      </c>
      <c r="X545">
        <v>25</v>
      </c>
      <c r="Y545">
        <v>18</v>
      </c>
      <c r="Z545" t="s">
        <v>1119</v>
      </c>
      <c r="AA545" t="s">
        <v>1120</v>
      </c>
      <c r="AB545" t="s">
        <v>272</v>
      </c>
      <c r="AC545" t="s">
        <v>273</v>
      </c>
      <c r="AD545" t="s">
        <v>274</v>
      </c>
      <c r="AE545" t="s">
        <v>242</v>
      </c>
      <c r="AG545" t="s">
        <v>1121</v>
      </c>
      <c r="AH545">
        <v>0</v>
      </c>
      <c r="AI545">
        <v>241</v>
      </c>
      <c r="AJ545">
        <v>18</v>
      </c>
      <c r="AK545">
        <v>1308</v>
      </c>
      <c r="AL545">
        <v>1.31</v>
      </c>
    </row>
    <row r="546" spans="1:38" x14ac:dyDescent="0.3">
      <c r="A546" t="s">
        <v>1063</v>
      </c>
      <c r="B546">
        <v>125767</v>
      </c>
      <c r="C546">
        <v>2</v>
      </c>
      <c r="D546" t="s">
        <v>1117</v>
      </c>
      <c r="E546" t="s">
        <v>1118</v>
      </c>
      <c r="F546">
        <v>998</v>
      </c>
      <c r="G546">
        <v>29.82</v>
      </c>
      <c r="H546">
        <v>98.6</v>
      </c>
      <c r="I546">
        <v>22.68</v>
      </c>
      <c r="J546">
        <v>74.98</v>
      </c>
      <c r="K546">
        <v>78</v>
      </c>
      <c r="T546">
        <v>3</v>
      </c>
      <c r="U546">
        <v>2</v>
      </c>
      <c r="V546" t="s">
        <v>269</v>
      </c>
      <c r="W546" t="s">
        <v>194</v>
      </c>
      <c r="X546">
        <v>25</v>
      </c>
      <c r="Y546">
        <v>18</v>
      </c>
      <c r="Z546" t="s">
        <v>1119</v>
      </c>
      <c r="AA546" t="s">
        <v>1120</v>
      </c>
      <c r="AB546" t="s">
        <v>272</v>
      </c>
      <c r="AC546" t="s">
        <v>273</v>
      </c>
      <c r="AD546" t="s">
        <v>274</v>
      </c>
      <c r="AE546" t="s">
        <v>242</v>
      </c>
      <c r="AG546" t="s">
        <v>1121</v>
      </c>
      <c r="AH546">
        <v>0</v>
      </c>
      <c r="AI546">
        <v>241</v>
      </c>
      <c r="AJ546">
        <v>18</v>
      </c>
      <c r="AK546">
        <v>1308</v>
      </c>
      <c r="AL546">
        <v>1.31</v>
      </c>
    </row>
    <row r="547" spans="1:38" x14ac:dyDescent="0.3">
      <c r="A547" t="s">
        <v>1063</v>
      </c>
      <c r="B547">
        <v>125767</v>
      </c>
      <c r="C547">
        <v>3</v>
      </c>
      <c r="D547" t="s">
        <v>1117</v>
      </c>
      <c r="E547" t="s">
        <v>1118</v>
      </c>
      <c r="F547">
        <v>998</v>
      </c>
      <c r="G547">
        <v>30.02</v>
      </c>
      <c r="H547">
        <v>99.24</v>
      </c>
      <c r="I547">
        <v>22.68</v>
      </c>
      <c r="J547">
        <v>74.989999999999995</v>
      </c>
      <c r="K547">
        <v>79</v>
      </c>
      <c r="T547">
        <v>3</v>
      </c>
      <c r="U547">
        <v>2</v>
      </c>
      <c r="V547" t="s">
        <v>269</v>
      </c>
      <c r="W547" t="s">
        <v>195</v>
      </c>
      <c r="X547">
        <v>25</v>
      </c>
      <c r="Y547">
        <v>18</v>
      </c>
      <c r="Z547" t="s">
        <v>1119</v>
      </c>
      <c r="AA547" t="s">
        <v>1120</v>
      </c>
      <c r="AB547" t="s">
        <v>272</v>
      </c>
      <c r="AC547" t="s">
        <v>273</v>
      </c>
      <c r="AD547" t="s">
        <v>274</v>
      </c>
      <c r="AE547" t="s">
        <v>242</v>
      </c>
      <c r="AG547" t="s">
        <v>1121</v>
      </c>
      <c r="AH547">
        <v>0</v>
      </c>
      <c r="AI547">
        <v>241</v>
      </c>
      <c r="AJ547">
        <v>18</v>
      </c>
      <c r="AK547">
        <v>1308</v>
      </c>
      <c r="AL547">
        <v>1.31</v>
      </c>
    </row>
    <row r="548" spans="1:38" x14ac:dyDescent="0.3">
      <c r="A548" t="s">
        <v>1063</v>
      </c>
      <c r="B548">
        <v>125767</v>
      </c>
      <c r="C548">
        <v>4</v>
      </c>
      <c r="D548" t="s">
        <v>1117</v>
      </c>
      <c r="E548" t="s">
        <v>1118</v>
      </c>
      <c r="F548">
        <v>998</v>
      </c>
      <c r="G548">
        <v>32.44</v>
      </c>
      <c r="H548">
        <v>107.25</v>
      </c>
      <c r="I548">
        <v>25.69</v>
      </c>
      <c r="J548">
        <v>84.94</v>
      </c>
      <c r="K548">
        <v>355</v>
      </c>
      <c r="T548">
        <v>3</v>
      </c>
      <c r="U548">
        <v>2</v>
      </c>
      <c r="V548" t="s">
        <v>269</v>
      </c>
      <c r="W548" t="s">
        <v>196</v>
      </c>
      <c r="X548">
        <v>25</v>
      </c>
      <c r="Y548">
        <v>18</v>
      </c>
      <c r="Z548" t="s">
        <v>1119</v>
      </c>
      <c r="AA548" t="s">
        <v>1120</v>
      </c>
      <c r="AB548" t="s">
        <v>272</v>
      </c>
      <c r="AC548" t="s">
        <v>273</v>
      </c>
      <c r="AD548" t="s">
        <v>274</v>
      </c>
      <c r="AE548" t="s">
        <v>242</v>
      </c>
      <c r="AG548" t="s">
        <v>1121</v>
      </c>
      <c r="AH548">
        <v>0</v>
      </c>
      <c r="AI548">
        <v>241</v>
      </c>
      <c r="AJ548">
        <v>18</v>
      </c>
      <c r="AK548">
        <v>1308</v>
      </c>
      <c r="AL548">
        <v>1.31</v>
      </c>
    </row>
    <row r="549" spans="1:38" x14ac:dyDescent="0.3">
      <c r="A549" t="s">
        <v>1063</v>
      </c>
      <c r="B549">
        <v>125767</v>
      </c>
      <c r="C549">
        <v>5</v>
      </c>
      <c r="D549" t="s">
        <v>1117</v>
      </c>
      <c r="E549" t="s">
        <v>1118</v>
      </c>
      <c r="F549">
        <v>998</v>
      </c>
      <c r="G549">
        <v>32.68</v>
      </c>
      <c r="H549">
        <v>108.04</v>
      </c>
      <c r="I549">
        <v>25.7</v>
      </c>
      <c r="J549">
        <v>84.99</v>
      </c>
      <c r="K549">
        <v>147</v>
      </c>
      <c r="T549">
        <v>3</v>
      </c>
      <c r="U549">
        <v>2</v>
      </c>
      <c r="V549" t="s">
        <v>269</v>
      </c>
      <c r="W549" t="s">
        <v>128</v>
      </c>
      <c r="X549">
        <v>25</v>
      </c>
      <c r="Y549">
        <v>18</v>
      </c>
      <c r="Z549" t="s">
        <v>1119</v>
      </c>
      <c r="AA549" t="s">
        <v>1120</v>
      </c>
      <c r="AB549" t="s">
        <v>272</v>
      </c>
      <c r="AC549" t="s">
        <v>273</v>
      </c>
      <c r="AD549" t="s">
        <v>274</v>
      </c>
      <c r="AE549" t="s">
        <v>242</v>
      </c>
      <c r="AG549" t="s">
        <v>1121</v>
      </c>
      <c r="AH549">
        <v>0</v>
      </c>
      <c r="AI549">
        <v>241</v>
      </c>
      <c r="AJ549">
        <v>18</v>
      </c>
      <c r="AK549">
        <v>1308</v>
      </c>
      <c r="AL549">
        <v>1.31</v>
      </c>
    </row>
    <row r="550" spans="1:38" x14ac:dyDescent="0.3">
      <c r="A550" t="s">
        <v>1063</v>
      </c>
      <c r="B550">
        <v>125767</v>
      </c>
      <c r="C550">
        <v>6</v>
      </c>
      <c r="D550" t="s">
        <v>1117</v>
      </c>
      <c r="E550" t="s">
        <v>1118</v>
      </c>
      <c r="F550">
        <v>998</v>
      </c>
      <c r="G550">
        <v>32.74</v>
      </c>
      <c r="H550">
        <v>108.26</v>
      </c>
      <c r="I550">
        <v>25.7</v>
      </c>
      <c r="J550">
        <v>84.99</v>
      </c>
      <c r="K550">
        <v>142</v>
      </c>
      <c r="T550">
        <v>3</v>
      </c>
      <c r="U550">
        <v>2</v>
      </c>
      <c r="V550" t="s">
        <v>269</v>
      </c>
      <c r="W550" t="s">
        <v>130</v>
      </c>
      <c r="X550">
        <v>25</v>
      </c>
      <c r="Y550">
        <v>18</v>
      </c>
      <c r="Z550" t="s">
        <v>1119</v>
      </c>
      <c r="AA550" t="s">
        <v>1120</v>
      </c>
      <c r="AB550" t="s">
        <v>272</v>
      </c>
      <c r="AC550" t="s">
        <v>273</v>
      </c>
      <c r="AD550" t="s">
        <v>274</v>
      </c>
      <c r="AE550" t="s">
        <v>242</v>
      </c>
      <c r="AG550" t="s">
        <v>1121</v>
      </c>
      <c r="AH550">
        <v>0</v>
      </c>
      <c r="AI550">
        <v>241</v>
      </c>
      <c r="AJ550">
        <v>18</v>
      </c>
      <c r="AK550">
        <v>1308</v>
      </c>
      <c r="AL550">
        <v>1.31</v>
      </c>
    </row>
    <row r="551" spans="1:38" x14ac:dyDescent="0.3">
      <c r="A551" t="s">
        <v>1063</v>
      </c>
      <c r="B551">
        <v>125767</v>
      </c>
      <c r="C551">
        <v>7</v>
      </c>
      <c r="D551" t="s">
        <v>1117</v>
      </c>
      <c r="E551" t="s">
        <v>1118</v>
      </c>
      <c r="F551">
        <v>998</v>
      </c>
      <c r="G551">
        <v>43.37</v>
      </c>
      <c r="H551">
        <v>143.38</v>
      </c>
      <c r="I551">
        <v>35.049999999999997</v>
      </c>
      <c r="J551">
        <v>115.87</v>
      </c>
      <c r="K551">
        <v>21</v>
      </c>
      <c r="T551">
        <v>3</v>
      </c>
      <c r="U551">
        <v>2</v>
      </c>
      <c r="V551" t="s">
        <v>269</v>
      </c>
      <c r="W551" t="s">
        <v>197</v>
      </c>
      <c r="X551">
        <v>25</v>
      </c>
      <c r="Y551">
        <v>18</v>
      </c>
      <c r="Z551" t="s">
        <v>1119</v>
      </c>
      <c r="AA551" t="s">
        <v>1120</v>
      </c>
      <c r="AB551" t="s">
        <v>272</v>
      </c>
      <c r="AC551" t="s">
        <v>273</v>
      </c>
      <c r="AD551" t="s">
        <v>274</v>
      </c>
      <c r="AE551" t="s">
        <v>242</v>
      </c>
      <c r="AG551" t="s">
        <v>1121</v>
      </c>
      <c r="AH551">
        <v>0</v>
      </c>
      <c r="AI551">
        <v>241</v>
      </c>
      <c r="AJ551">
        <v>18</v>
      </c>
      <c r="AK551">
        <v>1308</v>
      </c>
      <c r="AL551">
        <v>1.31</v>
      </c>
    </row>
    <row r="552" spans="1:38" x14ac:dyDescent="0.3">
      <c r="A552" t="s">
        <v>1063</v>
      </c>
      <c r="B552">
        <v>125767</v>
      </c>
      <c r="C552">
        <v>8</v>
      </c>
      <c r="D552" t="s">
        <v>1117</v>
      </c>
      <c r="E552" t="s">
        <v>1118</v>
      </c>
      <c r="F552">
        <v>998</v>
      </c>
      <c r="G552">
        <v>43.45</v>
      </c>
      <c r="H552">
        <v>143.66</v>
      </c>
      <c r="I552">
        <v>35.06</v>
      </c>
      <c r="J552">
        <v>115.93</v>
      </c>
      <c r="K552">
        <v>20</v>
      </c>
      <c r="T552">
        <v>3</v>
      </c>
      <c r="U552">
        <v>2</v>
      </c>
      <c r="V552" t="s">
        <v>269</v>
      </c>
      <c r="W552" t="s">
        <v>198</v>
      </c>
      <c r="X552">
        <v>25</v>
      </c>
      <c r="Y552">
        <v>18</v>
      </c>
      <c r="Z552" t="s">
        <v>1119</v>
      </c>
      <c r="AA552" t="s">
        <v>1120</v>
      </c>
      <c r="AB552" t="s">
        <v>272</v>
      </c>
      <c r="AC552" t="s">
        <v>273</v>
      </c>
      <c r="AD552" t="s">
        <v>274</v>
      </c>
      <c r="AE552" t="s">
        <v>242</v>
      </c>
      <c r="AG552" t="s">
        <v>1121</v>
      </c>
      <c r="AH552">
        <v>0</v>
      </c>
      <c r="AI552">
        <v>241</v>
      </c>
      <c r="AJ552">
        <v>18</v>
      </c>
      <c r="AK552">
        <v>1308</v>
      </c>
      <c r="AL552">
        <v>1.31</v>
      </c>
    </row>
    <row r="553" spans="1:38" x14ac:dyDescent="0.3">
      <c r="A553" t="s">
        <v>1063</v>
      </c>
      <c r="B553">
        <v>5810</v>
      </c>
      <c r="C553">
        <v>1</v>
      </c>
      <c r="D553" t="s">
        <v>1122</v>
      </c>
      <c r="E553" t="s">
        <v>1088</v>
      </c>
      <c r="F553">
        <v>792</v>
      </c>
      <c r="G553">
        <v>24.36</v>
      </c>
      <c r="H553">
        <v>80.540000000000006</v>
      </c>
      <c r="I553">
        <v>18.100000000000001</v>
      </c>
      <c r="J553">
        <v>59.85</v>
      </c>
      <c r="K553">
        <v>792</v>
      </c>
      <c r="T553">
        <v>3</v>
      </c>
      <c r="U553">
        <v>1</v>
      </c>
      <c r="V553" t="s">
        <v>279</v>
      </c>
      <c r="W553">
        <v>80</v>
      </c>
      <c r="X553">
        <v>20</v>
      </c>
      <c r="Y553">
        <v>12</v>
      </c>
      <c r="Z553" t="s">
        <v>1123</v>
      </c>
      <c r="AA553" t="s">
        <v>1124</v>
      </c>
      <c r="AB553" t="s">
        <v>272</v>
      </c>
      <c r="AC553" t="s">
        <v>273</v>
      </c>
      <c r="AD553" t="s">
        <v>274</v>
      </c>
      <c r="AE553" t="s">
        <v>242</v>
      </c>
      <c r="AG553" t="s">
        <v>1125</v>
      </c>
      <c r="AH553">
        <v>0</v>
      </c>
      <c r="AI553">
        <v>0</v>
      </c>
      <c r="AJ553">
        <v>0</v>
      </c>
      <c r="AK553">
        <v>0</v>
      </c>
      <c r="AL553">
        <v>0</v>
      </c>
    </row>
    <row r="554" spans="1:38" x14ac:dyDescent="0.3">
      <c r="A554" t="s">
        <v>1126</v>
      </c>
      <c r="B554">
        <v>5560</v>
      </c>
      <c r="C554">
        <v>1</v>
      </c>
      <c r="D554" t="s">
        <v>1127</v>
      </c>
      <c r="E554" t="s">
        <v>301</v>
      </c>
      <c r="F554">
        <v>140</v>
      </c>
      <c r="G554">
        <v>28.51</v>
      </c>
      <c r="H554">
        <v>94.27</v>
      </c>
      <c r="I554">
        <v>25.53</v>
      </c>
      <c r="J554">
        <v>84.42</v>
      </c>
      <c r="K554">
        <v>100</v>
      </c>
      <c r="T554">
        <v>3</v>
      </c>
      <c r="U554">
        <v>1</v>
      </c>
      <c r="V554" t="s">
        <v>269</v>
      </c>
      <c r="W554">
        <v>94</v>
      </c>
      <c r="X554">
        <v>5</v>
      </c>
      <c r="Y554">
        <v>5</v>
      </c>
      <c r="Z554" t="s">
        <v>1128</v>
      </c>
      <c r="AA554" t="s">
        <v>1129</v>
      </c>
      <c r="AB554" t="s">
        <v>272</v>
      </c>
      <c r="AC554" t="s">
        <v>273</v>
      </c>
      <c r="AD554" t="s">
        <v>274</v>
      </c>
      <c r="AE554" t="s">
        <v>1130</v>
      </c>
      <c r="AG554" t="s">
        <v>1131</v>
      </c>
      <c r="AH554">
        <v>0</v>
      </c>
      <c r="AI554">
        <v>145</v>
      </c>
      <c r="AJ554">
        <v>29</v>
      </c>
      <c r="AK554">
        <v>140</v>
      </c>
      <c r="AL554">
        <v>1</v>
      </c>
    </row>
    <row r="555" spans="1:38" x14ac:dyDescent="0.3">
      <c r="A555" t="s">
        <v>1126</v>
      </c>
      <c r="B555">
        <v>5560</v>
      </c>
      <c r="C555">
        <v>2</v>
      </c>
      <c r="D555" t="s">
        <v>1127</v>
      </c>
      <c r="E555" t="s">
        <v>301</v>
      </c>
      <c r="F555">
        <v>140</v>
      </c>
      <c r="G555">
        <v>37.24</v>
      </c>
      <c r="H555">
        <v>123.12</v>
      </c>
      <c r="I555">
        <v>33.86</v>
      </c>
      <c r="J555">
        <v>111.96</v>
      </c>
      <c r="K555">
        <v>40</v>
      </c>
      <c r="T555">
        <v>3</v>
      </c>
      <c r="U555">
        <v>2</v>
      </c>
      <c r="V555" t="s">
        <v>269</v>
      </c>
      <c r="W555">
        <v>123</v>
      </c>
      <c r="X555">
        <v>5</v>
      </c>
      <c r="Y555">
        <v>5</v>
      </c>
      <c r="Z555" t="s">
        <v>1128</v>
      </c>
      <c r="AA555" t="s">
        <v>1129</v>
      </c>
      <c r="AB555" t="s">
        <v>272</v>
      </c>
      <c r="AC555" t="s">
        <v>273</v>
      </c>
      <c r="AD555" t="s">
        <v>274</v>
      </c>
      <c r="AE555" t="s">
        <v>1130</v>
      </c>
      <c r="AG555" t="s">
        <v>1131</v>
      </c>
      <c r="AH555">
        <v>0</v>
      </c>
      <c r="AI555">
        <v>145</v>
      </c>
      <c r="AJ555">
        <v>29</v>
      </c>
      <c r="AK555">
        <v>140</v>
      </c>
      <c r="AL555">
        <v>1</v>
      </c>
    </row>
    <row r="556" spans="1:38" x14ac:dyDescent="0.3">
      <c r="A556" t="s">
        <v>1126</v>
      </c>
      <c r="B556">
        <v>14273</v>
      </c>
      <c r="C556">
        <v>1</v>
      </c>
      <c r="D556" t="s">
        <v>1132</v>
      </c>
      <c r="E556" t="s">
        <v>1133</v>
      </c>
      <c r="F556">
        <v>212</v>
      </c>
      <c r="G556">
        <v>30.35</v>
      </c>
      <c r="H556">
        <v>100.35</v>
      </c>
      <c r="I556">
        <v>25.55</v>
      </c>
      <c r="J556">
        <v>84.48</v>
      </c>
      <c r="K556">
        <v>130</v>
      </c>
      <c r="T556">
        <v>3</v>
      </c>
      <c r="U556">
        <v>2</v>
      </c>
      <c r="V556" t="s">
        <v>269</v>
      </c>
      <c r="W556">
        <v>100</v>
      </c>
      <c r="X556">
        <v>5</v>
      </c>
      <c r="Y556">
        <v>3</v>
      </c>
      <c r="Z556" t="s">
        <v>1134</v>
      </c>
      <c r="AA556" t="s">
        <v>1135</v>
      </c>
      <c r="AB556" t="s">
        <v>272</v>
      </c>
      <c r="AC556" t="s">
        <v>273</v>
      </c>
      <c r="AD556" t="s">
        <v>274</v>
      </c>
      <c r="AE556" t="s">
        <v>1130</v>
      </c>
      <c r="AG556" t="s">
        <v>1136</v>
      </c>
      <c r="AH556">
        <v>0</v>
      </c>
      <c r="AI556">
        <v>0</v>
      </c>
      <c r="AJ556">
        <v>0</v>
      </c>
      <c r="AK556">
        <v>0</v>
      </c>
      <c r="AL556">
        <v>0</v>
      </c>
    </row>
    <row r="557" spans="1:38" x14ac:dyDescent="0.3">
      <c r="A557" t="s">
        <v>1126</v>
      </c>
      <c r="B557">
        <v>14273</v>
      </c>
      <c r="C557">
        <v>2</v>
      </c>
      <c r="D557" t="s">
        <v>1132</v>
      </c>
      <c r="E557" t="s">
        <v>1133</v>
      </c>
      <c r="F557">
        <v>212</v>
      </c>
      <c r="G557">
        <v>41.36</v>
      </c>
      <c r="H557">
        <v>136.75</v>
      </c>
      <c r="I557">
        <v>34.82</v>
      </c>
      <c r="J557">
        <v>115.12</v>
      </c>
      <c r="K557">
        <v>82</v>
      </c>
      <c r="T557">
        <v>4</v>
      </c>
      <c r="U557">
        <v>2</v>
      </c>
      <c r="V557" t="s">
        <v>269</v>
      </c>
      <c r="W557">
        <v>136</v>
      </c>
      <c r="X557">
        <v>5</v>
      </c>
      <c r="Y557">
        <v>3</v>
      </c>
      <c r="Z557" t="s">
        <v>1134</v>
      </c>
      <c r="AA557" t="s">
        <v>1135</v>
      </c>
      <c r="AB557" t="s">
        <v>272</v>
      </c>
      <c r="AC557" t="s">
        <v>273</v>
      </c>
      <c r="AD557" t="s">
        <v>274</v>
      </c>
      <c r="AE557" t="s">
        <v>1130</v>
      </c>
      <c r="AG557" t="s">
        <v>1136</v>
      </c>
      <c r="AH557">
        <v>0</v>
      </c>
      <c r="AI557">
        <v>0</v>
      </c>
      <c r="AJ557">
        <v>0</v>
      </c>
      <c r="AK557">
        <v>0</v>
      </c>
      <c r="AL557">
        <v>0</v>
      </c>
    </row>
    <row r="558" spans="1:38" x14ac:dyDescent="0.3">
      <c r="A558" t="s">
        <v>1126</v>
      </c>
      <c r="B558">
        <v>144258</v>
      </c>
      <c r="C558">
        <v>1</v>
      </c>
      <c r="D558" t="s">
        <v>1137</v>
      </c>
      <c r="E558" t="s">
        <v>1138</v>
      </c>
      <c r="F558">
        <v>27</v>
      </c>
      <c r="G558">
        <v>28.95</v>
      </c>
      <c r="H558">
        <v>95.73</v>
      </c>
      <c r="I558">
        <v>18.670000000000002</v>
      </c>
      <c r="J558">
        <v>61.73</v>
      </c>
      <c r="K558">
        <v>24</v>
      </c>
      <c r="T558">
        <v>3</v>
      </c>
      <c r="U558">
        <v>2</v>
      </c>
      <c r="V558" t="s">
        <v>269</v>
      </c>
      <c r="W558">
        <v>95</v>
      </c>
      <c r="X558">
        <v>12</v>
      </c>
      <c r="Y558">
        <v>9</v>
      </c>
      <c r="Z558" t="s">
        <v>1139</v>
      </c>
      <c r="AA558" t="s">
        <v>1140</v>
      </c>
      <c r="AB558" t="s">
        <v>272</v>
      </c>
      <c r="AC558" t="s">
        <v>273</v>
      </c>
      <c r="AD558" t="s">
        <v>274</v>
      </c>
      <c r="AE558" t="s">
        <v>1130</v>
      </c>
      <c r="AG558" t="s">
        <v>1141</v>
      </c>
      <c r="AH558">
        <v>0</v>
      </c>
      <c r="AI558">
        <v>203</v>
      </c>
      <c r="AJ558">
        <v>26</v>
      </c>
      <c r="AK558">
        <v>25</v>
      </c>
      <c r="AL558">
        <v>0.93</v>
      </c>
    </row>
    <row r="559" spans="1:38" x14ac:dyDescent="0.3">
      <c r="A559" t="s">
        <v>1126</v>
      </c>
      <c r="B559">
        <v>144258</v>
      </c>
      <c r="C559">
        <v>2</v>
      </c>
      <c r="D559" t="s">
        <v>1137</v>
      </c>
      <c r="E559" t="s">
        <v>1138</v>
      </c>
      <c r="F559">
        <v>27</v>
      </c>
      <c r="G559">
        <v>39.83</v>
      </c>
      <c r="H559">
        <v>131.69</v>
      </c>
      <c r="I559">
        <v>25.68</v>
      </c>
      <c r="J559">
        <v>84.9</v>
      </c>
      <c r="K559">
        <v>2</v>
      </c>
      <c r="T559">
        <v>3</v>
      </c>
      <c r="U559">
        <v>2</v>
      </c>
      <c r="V559" t="s">
        <v>269</v>
      </c>
      <c r="W559" t="s">
        <v>181</v>
      </c>
      <c r="X559">
        <v>12</v>
      </c>
      <c r="Y559">
        <v>9</v>
      </c>
      <c r="Z559" t="s">
        <v>1139</v>
      </c>
      <c r="AA559" t="s">
        <v>1140</v>
      </c>
      <c r="AB559" t="s">
        <v>272</v>
      </c>
      <c r="AC559" t="s">
        <v>273</v>
      </c>
      <c r="AD559" t="s">
        <v>274</v>
      </c>
      <c r="AE559" t="s">
        <v>1130</v>
      </c>
      <c r="AG559" t="s">
        <v>1141</v>
      </c>
      <c r="AH559">
        <v>0</v>
      </c>
      <c r="AI559">
        <v>203</v>
      </c>
      <c r="AJ559">
        <v>26</v>
      </c>
      <c r="AK559">
        <v>25</v>
      </c>
      <c r="AL559">
        <v>0.93</v>
      </c>
    </row>
    <row r="560" spans="1:38" x14ac:dyDescent="0.3">
      <c r="A560" t="s">
        <v>1126</v>
      </c>
      <c r="B560">
        <v>144258</v>
      </c>
      <c r="C560">
        <v>3</v>
      </c>
      <c r="D560" t="s">
        <v>1137</v>
      </c>
      <c r="E560" t="s">
        <v>1138</v>
      </c>
      <c r="F560">
        <v>27</v>
      </c>
      <c r="G560">
        <v>39.82</v>
      </c>
      <c r="H560">
        <v>131.63999999999999</v>
      </c>
      <c r="I560">
        <v>25.67</v>
      </c>
      <c r="J560">
        <v>84.89</v>
      </c>
      <c r="K560">
        <v>1</v>
      </c>
      <c r="T560">
        <v>3</v>
      </c>
      <c r="U560">
        <v>2</v>
      </c>
      <c r="V560" t="s">
        <v>269</v>
      </c>
      <c r="W560" t="s">
        <v>226</v>
      </c>
      <c r="X560">
        <v>12</v>
      </c>
      <c r="Y560">
        <v>9</v>
      </c>
      <c r="Z560" t="s">
        <v>1139</v>
      </c>
      <c r="AA560" t="s">
        <v>1140</v>
      </c>
      <c r="AB560" t="s">
        <v>272</v>
      </c>
      <c r="AC560" t="s">
        <v>273</v>
      </c>
      <c r="AD560" t="s">
        <v>274</v>
      </c>
      <c r="AE560" t="s">
        <v>1130</v>
      </c>
      <c r="AG560" t="s">
        <v>1141</v>
      </c>
      <c r="AH560">
        <v>0</v>
      </c>
      <c r="AI560">
        <v>203</v>
      </c>
      <c r="AJ560">
        <v>26</v>
      </c>
      <c r="AK560">
        <v>25</v>
      </c>
      <c r="AL560">
        <v>0.93</v>
      </c>
    </row>
    <row r="561" spans="1:38" x14ac:dyDescent="0.3">
      <c r="A561" t="s">
        <v>1126</v>
      </c>
      <c r="B561">
        <v>25561</v>
      </c>
      <c r="C561">
        <v>1</v>
      </c>
      <c r="D561" t="s">
        <v>1142</v>
      </c>
      <c r="E561" t="s">
        <v>1143</v>
      </c>
      <c r="F561">
        <v>800</v>
      </c>
      <c r="G561">
        <v>23.36</v>
      </c>
      <c r="H561">
        <v>77.25</v>
      </c>
      <c r="I561">
        <v>18.14</v>
      </c>
      <c r="J561">
        <v>59.98</v>
      </c>
      <c r="K561">
        <v>106</v>
      </c>
      <c r="T561">
        <v>3</v>
      </c>
      <c r="U561">
        <v>2</v>
      </c>
      <c r="V561" t="s">
        <v>269</v>
      </c>
      <c r="W561">
        <v>77</v>
      </c>
      <c r="X561">
        <v>15</v>
      </c>
      <c r="Y561">
        <v>10</v>
      </c>
      <c r="Z561" t="s">
        <v>1144</v>
      </c>
      <c r="AA561" t="s">
        <v>1145</v>
      </c>
      <c r="AB561" t="s">
        <v>272</v>
      </c>
      <c r="AC561" t="s">
        <v>273</v>
      </c>
      <c r="AD561" t="s">
        <v>274</v>
      </c>
      <c r="AE561" t="s">
        <v>1130</v>
      </c>
      <c r="AG561" t="s">
        <v>1146</v>
      </c>
      <c r="AH561">
        <v>0</v>
      </c>
      <c r="AI561">
        <v>219</v>
      </c>
      <c r="AJ561">
        <v>19</v>
      </c>
      <c r="AK561">
        <v>804</v>
      </c>
      <c r="AL561">
        <v>1</v>
      </c>
    </row>
    <row r="562" spans="1:38" x14ac:dyDescent="0.3">
      <c r="A562" t="s">
        <v>1126</v>
      </c>
      <c r="B562">
        <v>25561</v>
      </c>
      <c r="C562">
        <v>2</v>
      </c>
      <c r="D562" t="s">
        <v>1142</v>
      </c>
      <c r="E562" t="s">
        <v>1143</v>
      </c>
      <c r="F562">
        <v>800</v>
      </c>
      <c r="G562">
        <v>31.46</v>
      </c>
      <c r="H562">
        <v>104.01</v>
      </c>
      <c r="I562">
        <v>25.65</v>
      </c>
      <c r="J562">
        <v>84.82</v>
      </c>
      <c r="K562">
        <v>694</v>
      </c>
      <c r="T562">
        <v>3</v>
      </c>
      <c r="U562">
        <v>2</v>
      </c>
      <c r="V562" t="s">
        <v>269</v>
      </c>
      <c r="W562">
        <v>104</v>
      </c>
      <c r="X562">
        <v>15</v>
      </c>
      <c r="Y562">
        <v>10</v>
      </c>
      <c r="Z562" t="s">
        <v>1144</v>
      </c>
      <c r="AA562" t="s">
        <v>1145</v>
      </c>
      <c r="AB562" t="s">
        <v>272</v>
      </c>
      <c r="AC562" t="s">
        <v>273</v>
      </c>
      <c r="AD562" t="s">
        <v>274</v>
      </c>
      <c r="AE562" t="s">
        <v>1130</v>
      </c>
      <c r="AG562" t="s">
        <v>1146</v>
      </c>
      <c r="AH562">
        <v>0</v>
      </c>
      <c r="AI562">
        <v>219</v>
      </c>
      <c r="AJ562">
        <v>19</v>
      </c>
      <c r="AK562">
        <v>804</v>
      </c>
      <c r="AL562">
        <v>1</v>
      </c>
    </row>
    <row r="563" spans="1:38" x14ac:dyDescent="0.3">
      <c r="A563" t="s">
        <v>1126</v>
      </c>
      <c r="B563">
        <v>122941</v>
      </c>
      <c r="C563">
        <v>1</v>
      </c>
      <c r="D563" t="s">
        <v>1147</v>
      </c>
      <c r="E563" t="s">
        <v>1148</v>
      </c>
      <c r="F563">
        <v>100</v>
      </c>
      <c r="G563">
        <v>16.03</v>
      </c>
      <c r="H563">
        <v>53</v>
      </c>
      <c r="I563">
        <v>16.03</v>
      </c>
      <c r="J563">
        <v>53</v>
      </c>
      <c r="K563">
        <v>50</v>
      </c>
      <c r="T563">
        <v>1</v>
      </c>
      <c r="U563">
        <v>1</v>
      </c>
      <c r="V563" t="s">
        <v>269</v>
      </c>
      <c r="W563">
        <v>53</v>
      </c>
      <c r="X563">
        <v>5</v>
      </c>
      <c r="Y563">
        <v>5</v>
      </c>
      <c r="Z563" t="s">
        <v>1149</v>
      </c>
      <c r="AA563" t="s">
        <v>1150</v>
      </c>
      <c r="AB563" t="s">
        <v>272</v>
      </c>
      <c r="AC563" t="s">
        <v>273</v>
      </c>
      <c r="AD563" t="s">
        <v>274</v>
      </c>
      <c r="AE563" t="s">
        <v>1130</v>
      </c>
      <c r="AG563" t="s">
        <v>1151</v>
      </c>
      <c r="AH563">
        <v>0</v>
      </c>
      <c r="AI563">
        <v>0</v>
      </c>
      <c r="AJ563">
        <v>0</v>
      </c>
      <c r="AK563">
        <v>0</v>
      </c>
      <c r="AL563">
        <v>0</v>
      </c>
    </row>
    <row r="564" spans="1:38" x14ac:dyDescent="0.3">
      <c r="A564" t="s">
        <v>1126</v>
      </c>
      <c r="B564">
        <v>122941</v>
      </c>
      <c r="C564">
        <v>2</v>
      </c>
      <c r="D564" t="s">
        <v>1147</v>
      </c>
      <c r="E564" t="s">
        <v>1148</v>
      </c>
      <c r="F564">
        <v>100</v>
      </c>
      <c r="G564">
        <v>17.36</v>
      </c>
      <c r="H564">
        <v>57.4</v>
      </c>
      <c r="I564">
        <v>17.36</v>
      </c>
      <c r="J564">
        <v>57.4</v>
      </c>
      <c r="K564">
        <v>50</v>
      </c>
      <c r="T564">
        <v>2</v>
      </c>
      <c r="U564">
        <v>1</v>
      </c>
      <c r="V564" t="s">
        <v>269</v>
      </c>
      <c r="W564">
        <v>57</v>
      </c>
      <c r="X564">
        <v>5</v>
      </c>
      <c r="Y564">
        <v>5</v>
      </c>
      <c r="Z564" t="s">
        <v>1149</v>
      </c>
      <c r="AA564" t="s">
        <v>1150</v>
      </c>
      <c r="AB564" t="s">
        <v>272</v>
      </c>
      <c r="AC564" t="s">
        <v>273</v>
      </c>
      <c r="AD564" t="s">
        <v>274</v>
      </c>
      <c r="AE564" t="s">
        <v>1130</v>
      </c>
      <c r="AG564" t="s">
        <v>1151</v>
      </c>
      <c r="AH564">
        <v>0</v>
      </c>
      <c r="AI564">
        <v>0</v>
      </c>
      <c r="AJ564">
        <v>0</v>
      </c>
      <c r="AK564">
        <v>0</v>
      </c>
      <c r="AL564">
        <v>0</v>
      </c>
    </row>
    <row r="565" spans="1:38" x14ac:dyDescent="0.3">
      <c r="A565" t="s">
        <v>1126</v>
      </c>
      <c r="B565">
        <v>25562</v>
      </c>
      <c r="C565">
        <v>1</v>
      </c>
      <c r="D565" t="s">
        <v>1152</v>
      </c>
      <c r="E565" t="s">
        <v>1153</v>
      </c>
      <c r="F565">
        <v>618</v>
      </c>
      <c r="G565">
        <v>20.71</v>
      </c>
      <c r="H565">
        <v>68.48</v>
      </c>
      <c r="I565">
        <v>15.1</v>
      </c>
      <c r="J565">
        <v>49.95</v>
      </c>
      <c r="K565">
        <v>328</v>
      </c>
      <c r="T565">
        <v>2</v>
      </c>
      <c r="U565">
        <v>1</v>
      </c>
      <c r="V565" t="s">
        <v>269</v>
      </c>
      <c r="W565">
        <v>68</v>
      </c>
      <c r="X565">
        <v>15</v>
      </c>
      <c r="Y565">
        <v>9</v>
      </c>
      <c r="Z565" t="s">
        <v>1154</v>
      </c>
      <c r="AA565" t="s">
        <v>1155</v>
      </c>
      <c r="AB565" t="s">
        <v>272</v>
      </c>
      <c r="AC565" t="s">
        <v>273</v>
      </c>
      <c r="AD565" t="s">
        <v>274</v>
      </c>
      <c r="AE565" t="s">
        <v>1130</v>
      </c>
      <c r="AG565" t="s">
        <v>1156</v>
      </c>
      <c r="AH565">
        <v>0</v>
      </c>
      <c r="AI565">
        <v>220</v>
      </c>
      <c r="AJ565">
        <v>22</v>
      </c>
      <c r="AK565">
        <v>513</v>
      </c>
      <c r="AL565">
        <v>0.83</v>
      </c>
    </row>
    <row r="566" spans="1:38" x14ac:dyDescent="0.3">
      <c r="A566" t="s">
        <v>1126</v>
      </c>
      <c r="B566">
        <v>25562</v>
      </c>
      <c r="C566">
        <v>2</v>
      </c>
      <c r="D566" t="s">
        <v>1152</v>
      </c>
      <c r="E566" t="s">
        <v>1153</v>
      </c>
      <c r="F566">
        <v>618</v>
      </c>
      <c r="G566">
        <v>24.66</v>
      </c>
      <c r="H566">
        <v>81.540000000000006</v>
      </c>
      <c r="I566">
        <v>17.98</v>
      </c>
      <c r="J566">
        <v>59.47</v>
      </c>
      <c r="K566">
        <v>290</v>
      </c>
      <c r="T566">
        <v>3</v>
      </c>
      <c r="U566">
        <v>1</v>
      </c>
      <c r="V566" t="s">
        <v>269</v>
      </c>
      <c r="W566">
        <v>81</v>
      </c>
      <c r="X566">
        <v>15</v>
      </c>
      <c r="Y566">
        <v>9</v>
      </c>
      <c r="Z566" t="s">
        <v>1154</v>
      </c>
      <c r="AA566" t="s">
        <v>1155</v>
      </c>
      <c r="AB566" t="s">
        <v>272</v>
      </c>
      <c r="AC566" t="s">
        <v>273</v>
      </c>
      <c r="AD566" t="s">
        <v>274</v>
      </c>
      <c r="AE566" t="s">
        <v>1130</v>
      </c>
      <c r="AG566" t="s">
        <v>1156</v>
      </c>
      <c r="AH566">
        <v>0</v>
      </c>
      <c r="AI566">
        <v>220</v>
      </c>
      <c r="AJ566">
        <v>22</v>
      </c>
      <c r="AK566">
        <v>513</v>
      </c>
      <c r="AL566">
        <v>0.83</v>
      </c>
    </row>
    <row r="567" spans="1:38" x14ac:dyDescent="0.3">
      <c r="A567" t="s">
        <v>1126</v>
      </c>
      <c r="B567">
        <v>101166</v>
      </c>
      <c r="C567">
        <v>1</v>
      </c>
      <c r="D567" t="s">
        <v>1157</v>
      </c>
      <c r="E567" t="s">
        <v>1158</v>
      </c>
      <c r="F567">
        <v>423</v>
      </c>
      <c r="G567">
        <v>24.97</v>
      </c>
      <c r="H567">
        <v>82.56</v>
      </c>
      <c r="I567">
        <v>18.02</v>
      </c>
      <c r="J567">
        <v>59.58</v>
      </c>
      <c r="K567">
        <v>273</v>
      </c>
      <c r="T567">
        <v>3</v>
      </c>
      <c r="U567">
        <v>2</v>
      </c>
      <c r="V567" t="s">
        <v>269</v>
      </c>
      <c r="W567">
        <v>82</v>
      </c>
      <c r="X567">
        <v>20</v>
      </c>
      <c r="Y567">
        <v>12</v>
      </c>
      <c r="Z567" t="s">
        <v>1159</v>
      </c>
      <c r="AA567" t="s">
        <v>1160</v>
      </c>
      <c r="AB567" t="s">
        <v>272</v>
      </c>
      <c r="AC567" t="s">
        <v>273</v>
      </c>
      <c r="AD567" t="s">
        <v>274</v>
      </c>
      <c r="AE567" t="s">
        <v>1130</v>
      </c>
      <c r="AG567" t="s">
        <v>1161</v>
      </c>
      <c r="AH567">
        <v>0</v>
      </c>
      <c r="AI567">
        <v>238</v>
      </c>
      <c r="AJ567">
        <v>16</v>
      </c>
      <c r="AK567">
        <v>341</v>
      </c>
      <c r="AL567">
        <v>0.81</v>
      </c>
    </row>
    <row r="568" spans="1:38" x14ac:dyDescent="0.3">
      <c r="A568" t="s">
        <v>1126</v>
      </c>
      <c r="B568">
        <v>101166</v>
      </c>
      <c r="C568">
        <v>2</v>
      </c>
      <c r="D568" t="s">
        <v>1157</v>
      </c>
      <c r="E568" t="s">
        <v>1158</v>
      </c>
      <c r="F568">
        <v>423</v>
      </c>
      <c r="G568">
        <v>29.94</v>
      </c>
      <c r="H568">
        <v>99</v>
      </c>
      <c r="I568">
        <v>22.95</v>
      </c>
      <c r="J568">
        <v>75.88</v>
      </c>
      <c r="K568">
        <v>112</v>
      </c>
      <c r="T568">
        <v>3</v>
      </c>
      <c r="U568">
        <v>2</v>
      </c>
      <c r="V568" t="s">
        <v>269</v>
      </c>
      <c r="W568">
        <v>99</v>
      </c>
      <c r="X568">
        <v>20</v>
      </c>
      <c r="Y568">
        <v>12</v>
      </c>
      <c r="Z568" t="s">
        <v>1159</v>
      </c>
      <c r="AA568" t="s">
        <v>1160</v>
      </c>
      <c r="AB568" t="s">
        <v>272</v>
      </c>
      <c r="AC568" t="s">
        <v>273</v>
      </c>
      <c r="AD568" t="s">
        <v>274</v>
      </c>
      <c r="AE568" t="s">
        <v>1130</v>
      </c>
      <c r="AG568" t="s">
        <v>1161</v>
      </c>
      <c r="AH568">
        <v>0</v>
      </c>
      <c r="AI568">
        <v>238</v>
      </c>
      <c r="AJ568">
        <v>16</v>
      </c>
      <c r="AK568">
        <v>341</v>
      </c>
      <c r="AL568">
        <v>0.81</v>
      </c>
    </row>
    <row r="569" spans="1:38" x14ac:dyDescent="0.3">
      <c r="A569" t="s">
        <v>1126</v>
      </c>
      <c r="B569">
        <v>101166</v>
      </c>
      <c r="C569">
        <v>3</v>
      </c>
      <c r="D569" t="s">
        <v>1157</v>
      </c>
      <c r="E569" t="s">
        <v>1158</v>
      </c>
      <c r="F569">
        <v>423</v>
      </c>
      <c r="G569">
        <v>33.200000000000003</v>
      </c>
      <c r="H569">
        <v>109.77</v>
      </c>
      <c r="I569">
        <v>25.6</v>
      </c>
      <c r="J569">
        <v>84.65</v>
      </c>
      <c r="K569">
        <v>38</v>
      </c>
      <c r="T569">
        <v>3</v>
      </c>
      <c r="U569">
        <v>2</v>
      </c>
      <c r="V569" t="s">
        <v>269</v>
      </c>
      <c r="W569">
        <v>109</v>
      </c>
      <c r="X569">
        <v>20</v>
      </c>
      <c r="Y569">
        <v>12</v>
      </c>
      <c r="Z569" t="s">
        <v>1159</v>
      </c>
      <c r="AA569" t="s">
        <v>1160</v>
      </c>
      <c r="AB569" t="s">
        <v>272</v>
      </c>
      <c r="AC569" t="s">
        <v>273</v>
      </c>
      <c r="AD569" t="s">
        <v>274</v>
      </c>
      <c r="AE569" t="s">
        <v>1130</v>
      </c>
      <c r="AG569" t="s">
        <v>1161</v>
      </c>
      <c r="AH569">
        <v>0</v>
      </c>
      <c r="AI569">
        <v>238</v>
      </c>
      <c r="AJ569">
        <v>16</v>
      </c>
      <c r="AK569">
        <v>341</v>
      </c>
      <c r="AL569">
        <v>0.81</v>
      </c>
    </row>
    <row r="570" spans="1:38" x14ac:dyDescent="0.3">
      <c r="A570" t="s">
        <v>1126</v>
      </c>
      <c r="B570">
        <v>5585</v>
      </c>
      <c r="C570">
        <v>1</v>
      </c>
      <c r="D570" t="s">
        <v>1162</v>
      </c>
      <c r="E570" t="s">
        <v>1163</v>
      </c>
      <c r="F570">
        <v>148</v>
      </c>
      <c r="G570">
        <v>26.45</v>
      </c>
      <c r="H570">
        <v>87.45</v>
      </c>
      <c r="I570">
        <v>21.31</v>
      </c>
      <c r="J570">
        <v>70.47</v>
      </c>
      <c r="K570">
        <v>33</v>
      </c>
      <c r="T570">
        <v>3</v>
      </c>
      <c r="U570">
        <v>2</v>
      </c>
      <c r="V570" t="s">
        <v>269</v>
      </c>
      <c r="W570">
        <v>87</v>
      </c>
      <c r="X570">
        <v>11</v>
      </c>
      <c r="Y570">
        <v>7</v>
      </c>
      <c r="Z570" t="s">
        <v>1164</v>
      </c>
      <c r="AA570" t="s">
        <v>1165</v>
      </c>
      <c r="AB570" t="s">
        <v>272</v>
      </c>
      <c r="AC570" t="s">
        <v>273</v>
      </c>
      <c r="AD570" t="s">
        <v>274</v>
      </c>
      <c r="AE570" t="s">
        <v>1130</v>
      </c>
      <c r="AG570" t="s">
        <v>1166</v>
      </c>
      <c r="AH570">
        <v>0</v>
      </c>
      <c r="AI570">
        <v>0</v>
      </c>
      <c r="AJ570">
        <v>0</v>
      </c>
      <c r="AK570">
        <v>148</v>
      </c>
      <c r="AL570">
        <v>1</v>
      </c>
    </row>
    <row r="571" spans="1:38" x14ac:dyDescent="0.3">
      <c r="A571" t="s">
        <v>1126</v>
      </c>
      <c r="B571">
        <v>5585</v>
      </c>
      <c r="C571">
        <v>2</v>
      </c>
      <c r="D571" t="s">
        <v>1162</v>
      </c>
      <c r="E571" t="s">
        <v>1163</v>
      </c>
      <c r="F571">
        <v>148</v>
      </c>
      <c r="G571">
        <v>26.5</v>
      </c>
      <c r="H571">
        <v>87.61</v>
      </c>
      <c r="I571">
        <v>21.35</v>
      </c>
      <c r="J571">
        <v>70.599999999999994</v>
      </c>
      <c r="K571">
        <v>7</v>
      </c>
      <c r="T571">
        <v>3</v>
      </c>
      <c r="U571">
        <v>2</v>
      </c>
      <c r="V571" t="s">
        <v>279</v>
      </c>
      <c r="W571">
        <v>87</v>
      </c>
      <c r="X571">
        <v>11</v>
      </c>
      <c r="Y571">
        <v>7</v>
      </c>
      <c r="Z571" t="s">
        <v>1164</v>
      </c>
      <c r="AA571" t="s">
        <v>1165</v>
      </c>
      <c r="AB571" t="s">
        <v>272</v>
      </c>
      <c r="AC571" t="s">
        <v>273</v>
      </c>
      <c r="AD571" t="s">
        <v>274</v>
      </c>
      <c r="AE571" t="s">
        <v>1130</v>
      </c>
      <c r="AG571" t="s">
        <v>1166</v>
      </c>
      <c r="AH571">
        <v>0</v>
      </c>
      <c r="AI571">
        <v>0</v>
      </c>
      <c r="AJ571">
        <v>0</v>
      </c>
      <c r="AK571">
        <v>148</v>
      </c>
      <c r="AL571">
        <v>1</v>
      </c>
    </row>
    <row r="572" spans="1:38" x14ac:dyDescent="0.3">
      <c r="A572" t="s">
        <v>1126</v>
      </c>
      <c r="B572">
        <v>5585</v>
      </c>
      <c r="C572">
        <v>3</v>
      </c>
      <c r="D572" t="s">
        <v>1162</v>
      </c>
      <c r="E572" t="s">
        <v>1163</v>
      </c>
      <c r="F572">
        <v>148</v>
      </c>
      <c r="G572">
        <v>31.65</v>
      </c>
      <c r="H572">
        <v>104.66</v>
      </c>
      <c r="I572">
        <v>25.51</v>
      </c>
      <c r="J572">
        <v>84.35</v>
      </c>
      <c r="K572">
        <v>55</v>
      </c>
      <c r="T572">
        <v>3</v>
      </c>
      <c r="U572">
        <v>2</v>
      </c>
      <c r="V572" t="s">
        <v>269</v>
      </c>
      <c r="W572" t="s">
        <v>188</v>
      </c>
      <c r="X572">
        <v>11</v>
      </c>
      <c r="Y572">
        <v>7</v>
      </c>
      <c r="Z572" t="s">
        <v>1164</v>
      </c>
      <c r="AA572" t="s">
        <v>1165</v>
      </c>
      <c r="AB572" t="s">
        <v>272</v>
      </c>
      <c r="AC572" t="s">
        <v>273</v>
      </c>
      <c r="AD572" t="s">
        <v>274</v>
      </c>
      <c r="AE572" t="s">
        <v>1130</v>
      </c>
      <c r="AG572" t="s">
        <v>1166</v>
      </c>
      <c r="AH572">
        <v>0</v>
      </c>
      <c r="AI572">
        <v>0</v>
      </c>
      <c r="AJ572">
        <v>0</v>
      </c>
      <c r="AK572">
        <v>148</v>
      </c>
      <c r="AL572">
        <v>1</v>
      </c>
    </row>
    <row r="573" spans="1:38" x14ac:dyDescent="0.3">
      <c r="A573" t="s">
        <v>1126</v>
      </c>
      <c r="B573">
        <v>5585</v>
      </c>
      <c r="C573">
        <v>4</v>
      </c>
      <c r="D573" t="s">
        <v>1162</v>
      </c>
      <c r="E573" t="s">
        <v>1163</v>
      </c>
      <c r="F573">
        <v>148</v>
      </c>
      <c r="G573">
        <v>31.71</v>
      </c>
      <c r="H573">
        <v>104.84</v>
      </c>
      <c r="I573">
        <v>25.55</v>
      </c>
      <c r="J573">
        <v>84.49</v>
      </c>
      <c r="K573">
        <v>53</v>
      </c>
      <c r="T573">
        <v>3</v>
      </c>
      <c r="U573">
        <v>2</v>
      </c>
      <c r="V573" t="s">
        <v>269</v>
      </c>
      <c r="W573" t="s">
        <v>144</v>
      </c>
      <c r="X573">
        <v>11</v>
      </c>
      <c r="Y573">
        <v>7</v>
      </c>
      <c r="Z573" t="s">
        <v>1164</v>
      </c>
      <c r="AA573" t="s">
        <v>1165</v>
      </c>
      <c r="AB573" t="s">
        <v>272</v>
      </c>
      <c r="AC573" t="s">
        <v>273</v>
      </c>
      <c r="AD573" t="s">
        <v>274</v>
      </c>
      <c r="AE573" t="s">
        <v>1130</v>
      </c>
      <c r="AG573" t="s">
        <v>1166</v>
      </c>
      <c r="AH573">
        <v>0</v>
      </c>
      <c r="AI573">
        <v>0</v>
      </c>
      <c r="AJ573">
        <v>0</v>
      </c>
      <c r="AK573">
        <v>148</v>
      </c>
      <c r="AL573">
        <v>1</v>
      </c>
    </row>
    <row r="574" spans="1:38" x14ac:dyDescent="0.3">
      <c r="A574" t="s">
        <v>1126</v>
      </c>
      <c r="B574">
        <v>102337</v>
      </c>
      <c r="C574">
        <v>1</v>
      </c>
      <c r="D574" t="s">
        <v>1167</v>
      </c>
      <c r="E574" t="s">
        <v>301</v>
      </c>
      <c r="F574">
        <v>65</v>
      </c>
      <c r="G574">
        <v>30.09</v>
      </c>
      <c r="H574">
        <v>99.48</v>
      </c>
      <c r="I574">
        <v>25.53</v>
      </c>
      <c r="J574">
        <v>84.42</v>
      </c>
      <c r="K574">
        <v>35</v>
      </c>
      <c r="T574">
        <v>3</v>
      </c>
      <c r="U574">
        <v>1</v>
      </c>
      <c r="V574" t="s">
        <v>269</v>
      </c>
      <c r="W574">
        <v>99</v>
      </c>
      <c r="X574">
        <v>5</v>
      </c>
      <c r="Y574">
        <v>5</v>
      </c>
      <c r="Z574" t="s">
        <v>1168</v>
      </c>
      <c r="AA574" t="s">
        <v>1169</v>
      </c>
      <c r="AB574" t="s">
        <v>272</v>
      </c>
      <c r="AC574" t="s">
        <v>273</v>
      </c>
      <c r="AD574" t="s">
        <v>274</v>
      </c>
      <c r="AE574" t="s">
        <v>1130</v>
      </c>
      <c r="AG574" t="s">
        <v>1170</v>
      </c>
      <c r="AH574">
        <v>0</v>
      </c>
      <c r="AI574">
        <v>0</v>
      </c>
      <c r="AJ574">
        <v>0</v>
      </c>
      <c r="AK574">
        <v>0</v>
      </c>
      <c r="AL574">
        <v>0</v>
      </c>
    </row>
    <row r="575" spans="1:38" x14ac:dyDescent="0.3">
      <c r="A575" t="s">
        <v>1126</v>
      </c>
      <c r="B575">
        <v>102337</v>
      </c>
      <c r="C575">
        <v>2</v>
      </c>
      <c r="D575" t="s">
        <v>1167</v>
      </c>
      <c r="E575" t="s">
        <v>301</v>
      </c>
      <c r="F575">
        <v>65</v>
      </c>
      <c r="G575">
        <v>35.18</v>
      </c>
      <c r="H575">
        <v>116.31</v>
      </c>
      <c r="I575">
        <v>30.14</v>
      </c>
      <c r="J575">
        <v>99.66</v>
      </c>
      <c r="K575">
        <v>30</v>
      </c>
      <c r="T575">
        <v>3</v>
      </c>
      <c r="U575">
        <v>1</v>
      </c>
      <c r="V575" t="s">
        <v>269</v>
      </c>
      <c r="W575">
        <v>116</v>
      </c>
      <c r="X575">
        <v>5</v>
      </c>
      <c r="Y575">
        <v>5</v>
      </c>
      <c r="Z575" t="s">
        <v>1168</v>
      </c>
      <c r="AA575" t="s">
        <v>1169</v>
      </c>
      <c r="AB575" t="s">
        <v>272</v>
      </c>
      <c r="AC575" t="s">
        <v>273</v>
      </c>
      <c r="AD575" t="s">
        <v>274</v>
      </c>
      <c r="AE575" t="s">
        <v>1130</v>
      </c>
      <c r="AG575" t="s">
        <v>1170</v>
      </c>
      <c r="AH575">
        <v>0</v>
      </c>
      <c r="AI575">
        <v>0</v>
      </c>
      <c r="AJ575">
        <v>0</v>
      </c>
      <c r="AK575">
        <v>0</v>
      </c>
      <c r="AL575">
        <v>0</v>
      </c>
    </row>
    <row r="576" spans="1:38" x14ac:dyDescent="0.3">
      <c r="A576" t="s">
        <v>1126</v>
      </c>
      <c r="B576">
        <v>5552</v>
      </c>
      <c r="C576">
        <v>1</v>
      </c>
      <c r="D576" t="s">
        <v>1171</v>
      </c>
      <c r="E576" t="s">
        <v>690</v>
      </c>
      <c r="F576">
        <v>404</v>
      </c>
      <c r="G576">
        <v>26.57</v>
      </c>
      <c r="H576">
        <v>87.84</v>
      </c>
      <c r="I576">
        <v>22.69</v>
      </c>
      <c r="J576">
        <v>75.040000000000006</v>
      </c>
      <c r="K576">
        <v>1</v>
      </c>
      <c r="T576">
        <v>3</v>
      </c>
      <c r="U576">
        <v>2</v>
      </c>
      <c r="V576" t="s">
        <v>269</v>
      </c>
      <c r="W576" t="s">
        <v>118</v>
      </c>
      <c r="X576">
        <v>15</v>
      </c>
      <c r="Y576">
        <v>12</v>
      </c>
      <c r="Z576" t="s">
        <v>1172</v>
      </c>
      <c r="AA576" t="s">
        <v>1173</v>
      </c>
      <c r="AB576" t="s">
        <v>272</v>
      </c>
      <c r="AC576" t="s">
        <v>273</v>
      </c>
      <c r="AD576" t="s">
        <v>274</v>
      </c>
      <c r="AE576" t="s">
        <v>1130</v>
      </c>
      <c r="AG576" t="s">
        <v>1174</v>
      </c>
      <c r="AH576">
        <v>0</v>
      </c>
      <c r="AI576">
        <v>0</v>
      </c>
      <c r="AJ576">
        <v>0</v>
      </c>
      <c r="AK576">
        <v>404</v>
      </c>
      <c r="AL576">
        <v>1</v>
      </c>
    </row>
    <row r="577" spans="1:38" x14ac:dyDescent="0.3">
      <c r="A577" t="s">
        <v>1126</v>
      </c>
      <c r="B577">
        <v>5552</v>
      </c>
      <c r="C577">
        <v>2</v>
      </c>
      <c r="D577" t="s">
        <v>1171</v>
      </c>
      <c r="E577" t="s">
        <v>690</v>
      </c>
      <c r="F577">
        <v>404</v>
      </c>
      <c r="G577">
        <v>26.67</v>
      </c>
      <c r="H577">
        <v>88.18</v>
      </c>
      <c r="I577">
        <v>22.44</v>
      </c>
      <c r="J577">
        <v>74.2</v>
      </c>
      <c r="K577">
        <v>116</v>
      </c>
      <c r="T577">
        <v>3</v>
      </c>
      <c r="U577">
        <v>2</v>
      </c>
      <c r="V577" t="s">
        <v>269</v>
      </c>
      <c r="W577" t="s">
        <v>199</v>
      </c>
      <c r="X577">
        <v>15</v>
      </c>
      <c r="Y577">
        <v>12</v>
      </c>
      <c r="Z577" t="s">
        <v>1172</v>
      </c>
      <c r="AA577" t="s">
        <v>1173</v>
      </c>
      <c r="AB577" t="s">
        <v>272</v>
      </c>
      <c r="AC577" t="s">
        <v>273</v>
      </c>
      <c r="AD577" t="s">
        <v>274</v>
      </c>
      <c r="AE577" t="s">
        <v>1130</v>
      </c>
      <c r="AG577" t="s">
        <v>1174</v>
      </c>
      <c r="AH577">
        <v>0</v>
      </c>
      <c r="AI577">
        <v>0</v>
      </c>
      <c r="AJ577">
        <v>0</v>
      </c>
      <c r="AK577">
        <v>404</v>
      </c>
      <c r="AL577">
        <v>1</v>
      </c>
    </row>
    <row r="578" spans="1:38" x14ac:dyDescent="0.3">
      <c r="A578" t="s">
        <v>1126</v>
      </c>
      <c r="B578">
        <v>5552</v>
      </c>
      <c r="C578">
        <v>3</v>
      </c>
      <c r="D578" t="s">
        <v>1171</v>
      </c>
      <c r="E578" t="s">
        <v>690</v>
      </c>
      <c r="F578">
        <v>404</v>
      </c>
      <c r="G578">
        <v>27.93</v>
      </c>
      <c r="H578">
        <v>92.36</v>
      </c>
      <c r="I578">
        <v>23.86</v>
      </c>
      <c r="J578">
        <v>78.900000000000006</v>
      </c>
      <c r="K578">
        <v>15</v>
      </c>
      <c r="T578">
        <v>3</v>
      </c>
      <c r="U578">
        <v>2</v>
      </c>
      <c r="V578" t="s">
        <v>269</v>
      </c>
      <c r="W578">
        <v>92</v>
      </c>
      <c r="X578">
        <v>15</v>
      </c>
      <c r="Y578">
        <v>12</v>
      </c>
      <c r="Z578" t="s">
        <v>1172</v>
      </c>
      <c r="AA578" t="s">
        <v>1173</v>
      </c>
      <c r="AB578" t="s">
        <v>272</v>
      </c>
      <c r="AC578" t="s">
        <v>273</v>
      </c>
      <c r="AD578" t="s">
        <v>274</v>
      </c>
      <c r="AE578" t="s">
        <v>1130</v>
      </c>
      <c r="AG578" t="s">
        <v>1174</v>
      </c>
      <c r="AH578">
        <v>0</v>
      </c>
      <c r="AI578">
        <v>0</v>
      </c>
      <c r="AJ578">
        <v>0</v>
      </c>
      <c r="AK578">
        <v>404</v>
      </c>
      <c r="AL578">
        <v>1</v>
      </c>
    </row>
    <row r="579" spans="1:38" x14ac:dyDescent="0.3">
      <c r="A579" t="s">
        <v>1126</v>
      </c>
      <c r="B579">
        <v>5552</v>
      </c>
      <c r="C579">
        <v>4</v>
      </c>
      <c r="D579" t="s">
        <v>1171</v>
      </c>
      <c r="E579" t="s">
        <v>690</v>
      </c>
      <c r="F579">
        <v>404</v>
      </c>
      <c r="G579">
        <v>28.97</v>
      </c>
      <c r="H579">
        <v>95.8</v>
      </c>
      <c r="I579">
        <v>24.75</v>
      </c>
      <c r="J579">
        <v>81.84</v>
      </c>
      <c r="K579">
        <v>14</v>
      </c>
      <c r="T579">
        <v>3</v>
      </c>
      <c r="U579">
        <v>2</v>
      </c>
      <c r="V579" t="s">
        <v>269</v>
      </c>
      <c r="W579">
        <v>95</v>
      </c>
      <c r="X579">
        <v>15</v>
      </c>
      <c r="Y579">
        <v>12</v>
      </c>
      <c r="Z579" t="s">
        <v>1172</v>
      </c>
      <c r="AA579" t="s">
        <v>1173</v>
      </c>
      <c r="AB579" t="s">
        <v>272</v>
      </c>
      <c r="AC579" t="s">
        <v>273</v>
      </c>
      <c r="AD579" t="s">
        <v>274</v>
      </c>
      <c r="AE579" t="s">
        <v>1130</v>
      </c>
      <c r="AG579" t="s">
        <v>1174</v>
      </c>
      <c r="AH579">
        <v>0</v>
      </c>
      <c r="AI579">
        <v>0</v>
      </c>
      <c r="AJ579">
        <v>0</v>
      </c>
      <c r="AK579">
        <v>404</v>
      </c>
      <c r="AL579">
        <v>1</v>
      </c>
    </row>
    <row r="580" spans="1:38" x14ac:dyDescent="0.3">
      <c r="A580" t="s">
        <v>1126</v>
      </c>
      <c r="B580">
        <v>5552</v>
      </c>
      <c r="C580">
        <v>5</v>
      </c>
      <c r="D580" t="s">
        <v>1171</v>
      </c>
      <c r="E580" t="s">
        <v>690</v>
      </c>
      <c r="F580">
        <v>404</v>
      </c>
      <c r="G580">
        <v>30.54</v>
      </c>
      <c r="H580">
        <v>100.96</v>
      </c>
      <c r="I580">
        <v>25.7</v>
      </c>
      <c r="J580">
        <v>84.96</v>
      </c>
      <c r="K580">
        <v>198</v>
      </c>
      <c r="T580">
        <v>3</v>
      </c>
      <c r="U580">
        <v>2</v>
      </c>
      <c r="V580" t="s">
        <v>269</v>
      </c>
      <c r="W580">
        <v>100</v>
      </c>
      <c r="X580">
        <v>15</v>
      </c>
      <c r="Y580">
        <v>12</v>
      </c>
      <c r="Z580" t="s">
        <v>1172</v>
      </c>
      <c r="AA580" t="s">
        <v>1173</v>
      </c>
      <c r="AB580" t="s">
        <v>272</v>
      </c>
      <c r="AC580" t="s">
        <v>273</v>
      </c>
      <c r="AD580" t="s">
        <v>274</v>
      </c>
      <c r="AE580" t="s">
        <v>1130</v>
      </c>
      <c r="AG580" t="s">
        <v>1174</v>
      </c>
      <c r="AH580">
        <v>0</v>
      </c>
      <c r="AI580">
        <v>0</v>
      </c>
      <c r="AJ580">
        <v>0</v>
      </c>
      <c r="AK580">
        <v>404</v>
      </c>
      <c r="AL580">
        <v>1</v>
      </c>
    </row>
    <row r="581" spans="1:38" x14ac:dyDescent="0.3">
      <c r="A581" t="s">
        <v>1126</v>
      </c>
      <c r="B581">
        <v>5552</v>
      </c>
      <c r="C581">
        <v>6</v>
      </c>
      <c r="D581" t="s">
        <v>1171</v>
      </c>
      <c r="E581" t="s">
        <v>690</v>
      </c>
      <c r="F581">
        <v>404</v>
      </c>
      <c r="G581">
        <v>45.06</v>
      </c>
      <c r="H581">
        <v>148.99</v>
      </c>
      <c r="I581">
        <v>38.29</v>
      </c>
      <c r="J581">
        <v>126.6</v>
      </c>
      <c r="K581">
        <v>60</v>
      </c>
      <c r="T581">
        <v>4</v>
      </c>
      <c r="U581">
        <v>2</v>
      </c>
      <c r="V581" t="s">
        <v>269</v>
      </c>
      <c r="W581">
        <v>148</v>
      </c>
      <c r="X581">
        <v>15</v>
      </c>
      <c r="Y581">
        <v>12</v>
      </c>
      <c r="Z581" t="s">
        <v>1172</v>
      </c>
      <c r="AA581" t="s">
        <v>1173</v>
      </c>
      <c r="AB581" t="s">
        <v>272</v>
      </c>
      <c r="AC581" t="s">
        <v>273</v>
      </c>
      <c r="AD581" t="s">
        <v>274</v>
      </c>
      <c r="AE581" t="s">
        <v>1130</v>
      </c>
      <c r="AG581" t="s">
        <v>1174</v>
      </c>
      <c r="AH581">
        <v>0</v>
      </c>
      <c r="AI581">
        <v>0</v>
      </c>
      <c r="AJ581">
        <v>0</v>
      </c>
      <c r="AK581">
        <v>404</v>
      </c>
      <c r="AL581">
        <v>1</v>
      </c>
    </row>
    <row r="582" spans="1:38" x14ac:dyDescent="0.3">
      <c r="A582" t="s">
        <v>1126</v>
      </c>
      <c r="B582">
        <v>5575</v>
      </c>
      <c r="C582">
        <v>1</v>
      </c>
      <c r="D582" t="s">
        <v>1175</v>
      </c>
      <c r="E582" t="s">
        <v>589</v>
      </c>
      <c r="F582">
        <v>1153</v>
      </c>
      <c r="G582">
        <v>30.96</v>
      </c>
      <c r="H582">
        <v>102.37</v>
      </c>
      <c r="I582">
        <v>25.7</v>
      </c>
      <c r="J582">
        <v>84.96</v>
      </c>
      <c r="K582">
        <v>649</v>
      </c>
      <c r="T582">
        <v>3</v>
      </c>
      <c r="U582">
        <v>2</v>
      </c>
      <c r="V582" t="s">
        <v>269</v>
      </c>
      <c r="W582">
        <v>102</v>
      </c>
      <c r="X582">
        <v>15</v>
      </c>
      <c r="Y582">
        <v>13</v>
      </c>
      <c r="Z582" t="s">
        <v>1176</v>
      </c>
      <c r="AA582" t="s">
        <v>1177</v>
      </c>
      <c r="AB582" t="s">
        <v>272</v>
      </c>
      <c r="AC582" t="s">
        <v>273</v>
      </c>
      <c r="AD582" t="s">
        <v>274</v>
      </c>
      <c r="AE582" t="s">
        <v>1130</v>
      </c>
      <c r="AG582" t="s">
        <v>1178</v>
      </c>
      <c r="AH582">
        <v>0</v>
      </c>
      <c r="AI582">
        <v>179</v>
      </c>
      <c r="AJ582">
        <v>16</v>
      </c>
      <c r="AK582">
        <v>1385</v>
      </c>
      <c r="AL582">
        <v>1.2</v>
      </c>
    </row>
    <row r="583" spans="1:38" x14ac:dyDescent="0.3">
      <c r="A583" t="s">
        <v>1126</v>
      </c>
      <c r="B583">
        <v>5575</v>
      </c>
      <c r="C583">
        <v>2</v>
      </c>
      <c r="D583" t="s">
        <v>1175</v>
      </c>
      <c r="E583" t="s">
        <v>589</v>
      </c>
      <c r="F583">
        <v>1153</v>
      </c>
      <c r="G583">
        <v>36.42</v>
      </c>
      <c r="H583">
        <v>120.42</v>
      </c>
      <c r="I583">
        <v>30.22</v>
      </c>
      <c r="J583">
        <v>99.93</v>
      </c>
      <c r="K583">
        <v>148</v>
      </c>
      <c r="T583">
        <v>3</v>
      </c>
      <c r="U583">
        <v>2</v>
      </c>
      <c r="V583" t="s">
        <v>269</v>
      </c>
      <c r="W583" t="s">
        <v>200</v>
      </c>
      <c r="X583">
        <v>15</v>
      </c>
      <c r="Y583">
        <v>13</v>
      </c>
      <c r="Z583" t="s">
        <v>1176</v>
      </c>
      <c r="AA583" t="s">
        <v>1177</v>
      </c>
      <c r="AB583" t="s">
        <v>272</v>
      </c>
      <c r="AC583" t="s">
        <v>273</v>
      </c>
      <c r="AD583" t="s">
        <v>274</v>
      </c>
      <c r="AE583" t="s">
        <v>1130</v>
      </c>
      <c r="AG583" t="s">
        <v>1178</v>
      </c>
      <c r="AH583">
        <v>0</v>
      </c>
      <c r="AI583">
        <v>179</v>
      </c>
      <c r="AJ583">
        <v>16</v>
      </c>
      <c r="AK583">
        <v>1385</v>
      </c>
      <c r="AL583">
        <v>1.2</v>
      </c>
    </row>
    <row r="584" spans="1:38" x14ac:dyDescent="0.3">
      <c r="A584" t="s">
        <v>1126</v>
      </c>
      <c r="B584">
        <v>5575</v>
      </c>
      <c r="C584">
        <v>3</v>
      </c>
      <c r="D584" t="s">
        <v>1175</v>
      </c>
      <c r="E584" t="s">
        <v>589</v>
      </c>
      <c r="F584">
        <v>1153</v>
      </c>
      <c r="G584">
        <v>36.409999999999997</v>
      </c>
      <c r="H584">
        <v>120.39</v>
      </c>
      <c r="I584">
        <v>30.22</v>
      </c>
      <c r="J584">
        <v>99.91</v>
      </c>
      <c r="K584">
        <v>30</v>
      </c>
      <c r="T584">
        <v>4</v>
      </c>
      <c r="U584">
        <v>2</v>
      </c>
      <c r="V584" t="s">
        <v>269</v>
      </c>
      <c r="W584" t="s">
        <v>186</v>
      </c>
      <c r="X584">
        <v>15</v>
      </c>
      <c r="Y584">
        <v>13</v>
      </c>
      <c r="Z584" t="s">
        <v>1176</v>
      </c>
      <c r="AA584" t="s">
        <v>1177</v>
      </c>
      <c r="AB584" t="s">
        <v>272</v>
      </c>
      <c r="AC584" t="s">
        <v>273</v>
      </c>
      <c r="AD584" t="s">
        <v>274</v>
      </c>
      <c r="AE584" t="s">
        <v>1130</v>
      </c>
      <c r="AG584" t="s">
        <v>1178</v>
      </c>
      <c r="AH584">
        <v>0</v>
      </c>
      <c r="AI584">
        <v>179</v>
      </c>
      <c r="AJ584">
        <v>16</v>
      </c>
      <c r="AK584">
        <v>1385</v>
      </c>
      <c r="AL584">
        <v>1.2</v>
      </c>
    </row>
    <row r="585" spans="1:38" x14ac:dyDescent="0.3">
      <c r="A585" t="s">
        <v>1126</v>
      </c>
      <c r="B585">
        <v>5575</v>
      </c>
      <c r="C585">
        <v>4</v>
      </c>
      <c r="D585" t="s">
        <v>1175</v>
      </c>
      <c r="E585" t="s">
        <v>589</v>
      </c>
      <c r="F585">
        <v>1153</v>
      </c>
      <c r="G585">
        <v>41.89</v>
      </c>
      <c r="H585">
        <v>138.5</v>
      </c>
      <c r="I585">
        <v>34.76</v>
      </c>
      <c r="J585">
        <v>114.94</v>
      </c>
      <c r="K585">
        <v>148</v>
      </c>
      <c r="T585">
        <v>4</v>
      </c>
      <c r="U585">
        <v>2</v>
      </c>
      <c r="V585" t="s">
        <v>269</v>
      </c>
      <c r="W585">
        <v>138</v>
      </c>
      <c r="X585">
        <v>15</v>
      </c>
      <c r="Y585">
        <v>13</v>
      </c>
      <c r="Z585" t="s">
        <v>1176</v>
      </c>
      <c r="AA585" t="s">
        <v>1177</v>
      </c>
      <c r="AB585" t="s">
        <v>272</v>
      </c>
      <c r="AC585" t="s">
        <v>273</v>
      </c>
      <c r="AD585" t="s">
        <v>274</v>
      </c>
      <c r="AE585" t="s">
        <v>1130</v>
      </c>
      <c r="AG585" t="s">
        <v>1178</v>
      </c>
      <c r="AH585">
        <v>0</v>
      </c>
      <c r="AI585">
        <v>179</v>
      </c>
      <c r="AJ585">
        <v>16</v>
      </c>
      <c r="AK585">
        <v>1385</v>
      </c>
      <c r="AL585">
        <v>1.2</v>
      </c>
    </row>
    <row r="586" spans="1:38" x14ac:dyDescent="0.3">
      <c r="A586" t="s">
        <v>1126</v>
      </c>
      <c r="B586">
        <v>5575</v>
      </c>
      <c r="C586">
        <v>5</v>
      </c>
      <c r="D586" t="s">
        <v>1175</v>
      </c>
      <c r="E586" t="s">
        <v>589</v>
      </c>
      <c r="F586">
        <v>1153</v>
      </c>
      <c r="G586">
        <v>49.05</v>
      </c>
      <c r="H586">
        <v>162.18</v>
      </c>
      <c r="I586">
        <v>40.71</v>
      </c>
      <c r="J586">
        <v>134.59</v>
      </c>
      <c r="K586">
        <v>178</v>
      </c>
      <c r="T586">
        <v>4</v>
      </c>
      <c r="U586">
        <v>2</v>
      </c>
      <c r="V586" t="s">
        <v>269</v>
      </c>
      <c r="W586">
        <v>162</v>
      </c>
      <c r="X586">
        <v>15</v>
      </c>
      <c r="Y586">
        <v>13</v>
      </c>
      <c r="Z586" t="s">
        <v>1176</v>
      </c>
      <c r="AA586" t="s">
        <v>1177</v>
      </c>
      <c r="AB586" t="s">
        <v>272</v>
      </c>
      <c r="AC586" t="s">
        <v>273</v>
      </c>
      <c r="AD586" t="s">
        <v>274</v>
      </c>
      <c r="AE586" t="s">
        <v>1130</v>
      </c>
      <c r="AG586" t="s">
        <v>1178</v>
      </c>
      <c r="AH586">
        <v>0</v>
      </c>
      <c r="AI586">
        <v>179</v>
      </c>
      <c r="AJ586">
        <v>16</v>
      </c>
      <c r="AK586">
        <v>1385</v>
      </c>
      <c r="AL586">
        <v>1.2</v>
      </c>
    </row>
    <row r="587" spans="1:38" x14ac:dyDescent="0.3">
      <c r="A587" t="s">
        <v>1126</v>
      </c>
      <c r="B587">
        <v>5572</v>
      </c>
      <c r="C587">
        <v>1</v>
      </c>
      <c r="D587" t="s">
        <v>1179</v>
      </c>
      <c r="E587" t="s">
        <v>1180</v>
      </c>
      <c r="F587">
        <v>360</v>
      </c>
      <c r="G587">
        <v>24.73</v>
      </c>
      <c r="H587">
        <v>81.78</v>
      </c>
      <c r="I587">
        <v>18.03</v>
      </c>
      <c r="J587">
        <v>59.62</v>
      </c>
      <c r="K587">
        <v>360</v>
      </c>
      <c r="T587">
        <v>3</v>
      </c>
      <c r="U587">
        <v>2</v>
      </c>
      <c r="V587" t="s">
        <v>269</v>
      </c>
      <c r="W587">
        <v>81</v>
      </c>
      <c r="X587">
        <v>15</v>
      </c>
      <c r="Y587">
        <v>15</v>
      </c>
      <c r="Z587" t="s">
        <v>1181</v>
      </c>
      <c r="AA587" t="s">
        <v>1182</v>
      </c>
      <c r="AB587" t="s">
        <v>272</v>
      </c>
      <c r="AC587" t="s">
        <v>273</v>
      </c>
      <c r="AD587" t="s">
        <v>274</v>
      </c>
      <c r="AE587" t="s">
        <v>1130</v>
      </c>
      <c r="AG587" t="s">
        <v>1183</v>
      </c>
      <c r="AH587">
        <v>0</v>
      </c>
      <c r="AI587">
        <v>202</v>
      </c>
      <c r="AJ587">
        <v>19</v>
      </c>
      <c r="AK587">
        <v>360</v>
      </c>
      <c r="AL587">
        <v>1</v>
      </c>
    </row>
    <row r="588" spans="1:38" x14ac:dyDescent="0.3">
      <c r="A588" t="s">
        <v>1126</v>
      </c>
      <c r="B588">
        <v>102407</v>
      </c>
      <c r="C588">
        <v>1</v>
      </c>
      <c r="D588" t="s">
        <v>1184</v>
      </c>
      <c r="E588" t="s">
        <v>1185</v>
      </c>
      <c r="F588">
        <v>305</v>
      </c>
      <c r="G588">
        <v>21.45</v>
      </c>
      <c r="H588">
        <v>70.930000000000007</v>
      </c>
      <c r="I588">
        <v>15.63</v>
      </c>
      <c r="J588">
        <v>51.7</v>
      </c>
      <c r="K588">
        <v>30</v>
      </c>
      <c r="T588">
        <v>2</v>
      </c>
      <c r="U588">
        <v>1</v>
      </c>
      <c r="V588" t="s">
        <v>269</v>
      </c>
      <c r="W588">
        <v>70</v>
      </c>
      <c r="X588">
        <v>15</v>
      </c>
      <c r="Y588">
        <v>15</v>
      </c>
      <c r="Z588" t="s">
        <v>1186</v>
      </c>
      <c r="AA588" t="s">
        <v>1187</v>
      </c>
      <c r="AB588" t="s">
        <v>272</v>
      </c>
      <c r="AC588" t="s">
        <v>273</v>
      </c>
      <c r="AD588" t="s">
        <v>274</v>
      </c>
      <c r="AE588" t="s">
        <v>1130</v>
      </c>
      <c r="AG588" t="s">
        <v>1188</v>
      </c>
      <c r="AH588">
        <v>0</v>
      </c>
      <c r="AI588">
        <v>210</v>
      </c>
      <c r="AJ588">
        <v>22</v>
      </c>
      <c r="AK588">
        <v>269</v>
      </c>
      <c r="AL588">
        <v>0.88</v>
      </c>
    </row>
    <row r="589" spans="1:38" x14ac:dyDescent="0.3">
      <c r="A589" t="s">
        <v>1126</v>
      </c>
      <c r="B589">
        <v>102407</v>
      </c>
      <c r="C589">
        <v>2</v>
      </c>
      <c r="D589" t="s">
        <v>1184</v>
      </c>
      <c r="E589" t="s">
        <v>1185</v>
      </c>
      <c r="F589">
        <v>305</v>
      </c>
      <c r="G589">
        <v>23.68</v>
      </c>
      <c r="H589">
        <v>78.290000000000006</v>
      </c>
      <c r="I589">
        <v>17.260000000000002</v>
      </c>
      <c r="J589">
        <v>57.06</v>
      </c>
      <c r="K589">
        <v>66</v>
      </c>
      <c r="T589">
        <v>3</v>
      </c>
      <c r="U589">
        <v>1</v>
      </c>
      <c r="V589" t="s">
        <v>269</v>
      </c>
      <c r="W589">
        <v>78</v>
      </c>
      <c r="X589">
        <v>15</v>
      </c>
      <c r="Y589">
        <v>15</v>
      </c>
      <c r="Z589" t="s">
        <v>1186</v>
      </c>
      <c r="AA589" t="s">
        <v>1187</v>
      </c>
      <c r="AB589" t="s">
        <v>272</v>
      </c>
      <c r="AC589" t="s">
        <v>273</v>
      </c>
      <c r="AD589" t="s">
        <v>274</v>
      </c>
      <c r="AE589" t="s">
        <v>1130</v>
      </c>
      <c r="AG589" t="s">
        <v>1188</v>
      </c>
      <c r="AH589">
        <v>0</v>
      </c>
      <c r="AI589">
        <v>210</v>
      </c>
      <c r="AJ589">
        <v>22</v>
      </c>
      <c r="AK589">
        <v>269</v>
      </c>
      <c r="AL589">
        <v>0.88</v>
      </c>
    </row>
    <row r="590" spans="1:38" x14ac:dyDescent="0.3">
      <c r="A590" t="s">
        <v>1126</v>
      </c>
      <c r="B590">
        <v>102407</v>
      </c>
      <c r="C590">
        <v>3</v>
      </c>
      <c r="D590" t="s">
        <v>1184</v>
      </c>
      <c r="E590" t="s">
        <v>1185</v>
      </c>
      <c r="F590">
        <v>305</v>
      </c>
      <c r="G590">
        <v>24.42</v>
      </c>
      <c r="H590">
        <v>80.75</v>
      </c>
      <c r="I590">
        <v>17.8</v>
      </c>
      <c r="J590">
        <v>58.85</v>
      </c>
      <c r="K590">
        <v>41</v>
      </c>
      <c r="T590">
        <v>3</v>
      </c>
      <c r="U590">
        <v>1</v>
      </c>
      <c r="V590" t="s">
        <v>269</v>
      </c>
      <c r="W590">
        <v>80</v>
      </c>
      <c r="X590">
        <v>15</v>
      </c>
      <c r="Y590">
        <v>15</v>
      </c>
      <c r="Z590" t="s">
        <v>1186</v>
      </c>
      <c r="AA590" t="s">
        <v>1187</v>
      </c>
      <c r="AB590" t="s">
        <v>272</v>
      </c>
      <c r="AC590" t="s">
        <v>273</v>
      </c>
      <c r="AD590" t="s">
        <v>274</v>
      </c>
      <c r="AE590" t="s">
        <v>1130</v>
      </c>
      <c r="AG590" t="s">
        <v>1188</v>
      </c>
      <c r="AH590">
        <v>0</v>
      </c>
      <c r="AI590">
        <v>210</v>
      </c>
      <c r="AJ590">
        <v>22</v>
      </c>
      <c r="AK590">
        <v>269</v>
      </c>
      <c r="AL590">
        <v>0.88</v>
      </c>
    </row>
    <row r="591" spans="1:38" x14ac:dyDescent="0.3">
      <c r="A591" t="s">
        <v>1126</v>
      </c>
      <c r="B591">
        <v>102407</v>
      </c>
      <c r="C591">
        <v>4</v>
      </c>
      <c r="D591" t="s">
        <v>1184</v>
      </c>
      <c r="E591" t="s">
        <v>1185</v>
      </c>
      <c r="F591">
        <v>305</v>
      </c>
      <c r="G591">
        <v>32.799999999999997</v>
      </c>
      <c r="H591">
        <v>108.43</v>
      </c>
      <c r="I591">
        <v>23.9</v>
      </c>
      <c r="J591">
        <v>79.02</v>
      </c>
      <c r="K591">
        <v>168</v>
      </c>
      <c r="T591">
        <v>3</v>
      </c>
      <c r="U591">
        <v>2</v>
      </c>
      <c r="V591" t="s">
        <v>269</v>
      </c>
      <c r="W591">
        <v>108</v>
      </c>
      <c r="X591">
        <v>15</v>
      </c>
      <c r="Y591">
        <v>15</v>
      </c>
      <c r="Z591" t="s">
        <v>1186</v>
      </c>
      <c r="AA591" t="s">
        <v>1187</v>
      </c>
      <c r="AB591" t="s">
        <v>272</v>
      </c>
      <c r="AC591" t="s">
        <v>273</v>
      </c>
      <c r="AD591" t="s">
        <v>274</v>
      </c>
      <c r="AE591" t="s">
        <v>1130</v>
      </c>
      <c r="AG591" t="s">
        <v>1188</v>
      </c>
      <c r="AH591">
        <v>0</v>
      </c>
      <c r="AI591">
        <v>210</v>
      </c>
      <c r="AJ591">
        <v>22</v>
      </c>
      <c r="AK591">
        <v>269</v>
      </c>
      <c r="AL591">
        <v>0.88</v>
      </c>
    </row>
    <row r="592" spans="1:38" x14ac:dyDescent="0.3">
      <c r="A592" t="s">
        <v>1126</v>
      </c>
      <c r="B592">
        <v>103069</v>
      </c>
      <c r="C592">
        <v>1</v>
      </c>
      <c r="D592" t="s">
        <v>1189</v>
      </c>
      <c r="E592" t="s">
        <v>1190</v>
      </c>
      <c r="F592">
        <v>98</v>
      </c>
      <c r="G592">
        <v>24.8</v>
      </c>
      <c r="H592">
        <v>81.99</v>
      </c>
      <c r="I592">
        <v>18.010000000000002</v>
      </c>
      <c r="J592">
        <v>59.54</v>
      </c>
      <c r="K592">
        <v>74</v>
      </c>
      <c r="T592">
        <v>3</v>
      </c>
      <c r="U592">
        <v>1</v>
      </c>
      <c r="V592" t="s">
        <v>269</v>
      </c>
      <c r="W592">
        <v>81</v>
      </c>
      <c r="X592">
        <v>13</v>
      </c>
      <c r="Y592">
        <v>2</v>
      </c>
      <c r="Z592" t="s">
        <v>1191</v>
      </c>
      <c r="AA592" t="s">
        <v>1192</v>
      </c>
      <c r="AB592" t="s">
        <v>272</v>
      </c>
      <c r="AC592" t="s">
        <v>273</v>
      </c>
      <c r="AD592" t="s">
        <v>274</v>
      </c>
      <c r="AE592" t="s">
        <v>1130</v>
      </c>
      <c r="AG592" t="s">
        <v>1193</v>
      </c>
      <c r="AH592">
        <v>0</v>
      </c>
      <c r="AI592">
        <v>432</v>
      </c>
      <c r="AJ592">
        <v>60</v>
      </c>
      <c r="AK592">
        <v>102</v>
      </c>
      <c r="AL592">
        <v>1.04</v>
      </c>
    </row>
    <row r="593" spans="1:38" x14ac:dyDescent="0.3">
      <c r="A593" t="s">
        <v>1126</v>
      </c>
      <c r="B593">
        <v>103069</v>
      </c>
      <c r="C593">
        <v>2</v>
      </c>
      <c r="D593" t="s">
        <v>1189</v>
      </c>
      <c r="E593" t="s">
        <v>1190</v>
      </c>
      <c r="F593">
        <v>98</v>
      </c>
      <c r="G593">
        <v>28.68</v>
      </c>
      <c r="H593">
        <v>94.83</v>
      </c>
      <c r="I593">
        <v>20.83</v>
      </c>
      <c r="J593">
        <v>68.88</v>
      </c>
      <c r="K593">
        <v>2</v>
      </c>
      <c r="T593">
        <v>3</v>
      </c>
      <c r="U593">
        <v>1</v>
      </c>
      <c r="V593" t="s">
        <v>269</v>
      </c>
      <c r="W593">
        <v>94</v>
      </c>
      <c r="X593">
        <v>13</v>
      </c>
      <c r="Y593">
        <v>2</v>
      </c>
      <c r="Z593" t="s">
        <v>1191</v>
      </c>
      <c r="AA593" t="s">
        <v>1192</v>
      </c>
      <c r="AB593" t="s">
        <v>272</v>
      </c>
      <c r="AC593" t="s">
        <v>273</v>
      </c>
      <c r="AD593" t="s">
        <v>274</v>
      </c>
      <c r="AE593" t="s">
        <v>1130</v>
      </c>
      <c r="AG593" t="s">
        <v>1193</v>
      </c>
      <c r="AH593">
        <v>0</v>
      </c>
      <c r="AI593">
        <v>432</v>
      </c>
      <c r="AJ593">
        <v>60</v>
      </c>
      <c r="AK593">
        <v>102</v>
      </c>
      <c r="AL593">
        <v>1.04</v>
      </c>
    </row>
    <row r="594" spans="1:38" x14ac:dyDescent="0.3">
      <c r="A594" t="s">
        <v>1126</v>
      </c>
      <c r="B594">
        <v>103069</v>
      </c>
      <c r="C594">
        <v>3</v>
      </c>
      <c r="D594" t="s">
        <v>1189</v>
      </c>
      <c r="E594" t="s">
        <v>1190</v>
      </c>
      <c r="F594">
        <v>98</v>
      </c>
      <c r="G594">
        <v>33.61</v>
      </c>
      <c r="H594">
        <v>111.14</v>
      </c>
      <c r="I594">
        <v>24.4</v>
      </c>
      <c r="J594">
        <v>80.680000000000007</v>
      </c>
      <c r="K594">
        <v>3</v>
      </c>
      <c r="T594">
        <v>3</v>
      </c>
      <c r="U594">
        <v>2</v>
      </c>
      <c r="V594" t="s">
        <v>269</v>
      </c>
      <c r="W594">
        <v>111</v>
      </c>
      <c r="X594">
        <v>13</v>
      </c>
      <c r="Y594">
        <v>2</v>
      </c>
      <c r="Z594" t="s">
        <v>1191</v>
      </c>
      <c r="AA594" t="s">
        <v>1192</v>
      </c>
      <c r="AB594" t="s">
        <v>272</v>
      </c>
      <c r="AC594" t="s">
        <v>273</v>
      </c>
      <c r="AD594" t="s">
        <v>274</v>
      </c>
      <c r="AE594" t="s">
        <v>1130</v>
      </c>
      <c r="AG594" t="s">
        <v>1193</v>
      </c>
      <c r="AH594">
        <v>0</v>
      </c>
      <c r="AI594">
        <v>432</v>
      </c>
      <c r="AJ594">
        <v>60</v>
      </c>
      <c r="AK594">
        <v>102</v>
      </c>
      <c r="AL594">
        <v>1.04</v>
      </c>
    </row>
    <row r="595" spans="1:38" x14ac:dyDescent="0.3">
      <c r="A595" t="s">
        <v>1126</v>
      </c>
      <c r="B595">
        <v>103069</v>
      </c>
      <c r="C595">
        <v>4</v>
      </c>
      <c r="D595" t="s">
        <v>1189</v>
      </c>
      <c r="E595" t="s">
        <v>1190</v>
      </c>
      <c r="F595">
        <v>98</v>
      </c>
      <c r="G595">
        <v>35.04</v>
      </c>
      <c r="H595">
        <v>115.86</v>
      </c>
      <c r="I595">
        <v>25.45</v>
      </c>
      <c r="J595">
        <v>84.14</v>
      </c>
      <c r="K595">
        <v>15</v>
      </c>
      <c r="T595">
        <v>3</v>
      </c>
      <c r="U595">
        <v>1</v>
      </c>
      <c r="V595" t="s">
        <v>269</v>
      </c>
      <c r="W595">
        <v>115</v>
      </c>
      <c r="X595">
        <v>13</v>
      </c>
      <c r="Y595">
        <v>2</v>
      </c>
      <c r="Z595" t="s">
        <v>1191</v>
      </c>
      <c r="AA595" t="s">
        <v>1192</v>
      </c>
      <c r="AB595" t="s">
        <v>272</v>
      </c>
      <c r="AC595" t="s">
        <v>273</v>
      </c>
      <c r="AD595" t="s">
        <v>274</v>
      </c>
      <c r="AE595" t="s">
        <v>1130</v>
      </c>
      <c r="AG595" t="s">
        <v>1193</v>
      </c>
      <c r="AH595">
        <v>0</v>
      </c>
      <c r="AI595">
        <v>432</v>
      </c>
      <c r="AJ595">
        <v>60</v>
      </c>
      <c r="AK595">
        <v>102</v>
      </c>
      <c r="AL595">
        <v>1.04</v>
      </c>
    </row>
    <row r="596" spans="1:38" x14ac:dyDescent="0.3">
      <c r="A596" t="s">
        <v>1126</v>
      </c>
      <c r="B596">
        <v>103069</v>
      </c>
      <c r="C596">
        <v>5</v>
      </c>
      <c r="D596" t="s">
        <v>1189</v>
      </c>
      <c r="E596" t="s">
        <v>1190</v>
      </c>
      <c r="F596">
        <v>98</v>
      </c>
      <c r="G596">
        <v>42.36</v>
      </c>
      <c r="H596">
        <v>140.06</v>
      </c>
      <c r="I596">
        <v>30.75</v>
      </c>
      <c r="J596">
        <v>101.68</v>
      </c>
      <c r="K596">
        <v>2</v>
      </c>
      <c r="T596">
        <v>4</v>
      </c>
      <c r="U596">
        <v>2</v>
      </c>
      <c r="V596" t="s">
        <v>269</v>
      </c>
      <c r="W596">
        <v>140</v>
      </c>
      <c r="X596">
        <v>13</v>
      </c>
      <c r="Y596">
        <v>2</v>
      </c>
      <c r="Z596" t="s">
        <v>1191</v>
      </c>
      <c r="AA596" t="s">
        <v>1192</v>
      </c>
      <c r="AB596" t="s">
        <v>272</v>
      </c>
      <c r="AC596" t="s">
        <v>273</v>
      </c>
      <c r="AD596" t="s">
        <v>274</v>
      </c>
      <c r="AE596" t="s">
        <v>1130</v>
      </c>
      <c r="AG596" t="s">
        <v>1193</v>
      </c>
      <c r="AH596">
        <v>0</v>
      </c>
      <c r="AI596">
        <v>432</v>
      </c>
      <c r="AJ596">
        <v>60</v>
      </c>
      <c r="AK596">
        <v>102</v>
      </c>
      <c r="AL596">
        <v>1.04</v>
      </c>
    </row>
    <row r="597" spans="1:38" x14ac:dyDescent="0.3">
      <c r="A597" t="s">
        <v>1126</v>
      </c>
      <c r="B597">
        <v>103069</v>
      </c>
      <c r="C597">
        <v>6</v>
      </c>
      <c r="D597" t="s">
        <v>1189</v>
      </c>
      <c r="E597" t="s">
        <v>1190</v>
      </c>
      <c r="F597">
        <v>98</v>
      </c>
      <c r="G597">
        <v>43.86</v>
      </c>
      <c r="H597">
        <v>145</v>
      </c>
      <c r="I597">
        <v>31.84</v>
      </c>
      <c r="J597">
        <v>105.28</v>
      </c>
      <c r="K597">
        <v>2</v>
      </c>
      <c r="T597">
        <v>4</v>
      </c>
      <c r="U597">
        <v>2</v>
      </c>
      <c r="V597" t="s">
        <v>269</v>
      </c>
      <c r="W597">
        <v>145</v>
      </c>
      <c r="X597">
        <v>13</v>
      </c>
      <c r="Y597">
        <v>2</v>
      </c>
      <c r="Z597" t="s">
        <v>1191</v>
      </c>
      <c r="AA597" t="s">
        <v>1192</v>
      </c>
      <c r="AB597" t="s">
        <v>272</v>
      </c>
      <c r="AC597" t="s">
        <v>273</v>
      </c>
      <c r="AD597" t="s">
        <v>274</v>
      </c>
      <c r="AE597" t="s">
        <v>1130</v>
      </c>
      <c r="AG597" t="s">
        <v>1193</v>
      </c>
      <c r="AH597">
        <v>0</v>
      </c>
      <c r="AI597">
        <v>432</v>
      </c>
      <c r="AJ597">
        <v>60</v>
      </c>
      <c r="AK597">
        <v>102</v>
      </c>
      <c r="AL597">
        <v>1.04</v>
      </c>
    </row>
    <row r="598" spans="1:38" x14ac:dyDescent="0.3">
      <c r="A598" t="s">
        <v>1126</v>
      </c>
      <c r="B598">
        <v>19287</v>
      </c>
      <c r="C598">
        <v>1</v>
      </c>
      <c r="D598" t="s">
        <v>1194</v>
      </c>
      <c r="E598" t="s">
        <v>1195</v>
      </c>
      <c r="F598">
        <v>1236</v>
      </c>
      <c r="G598">
        <v>24.03</v>
      </c>
      <c r="H598">
        <v>79.459999999999994</v>
      </c>
      <c r="I598">
        <v>18.12</v>
      </c>
      <c r="J598">
        <v>59.93</v>
      </c>
      <c r="K598">
        <v>20</v>
      </c>
      <c r="T598">
        <v>3</v>
      </c>
      <c r="U598">
        <v>2</v>
      </c>
      <c r="V598" t="s">
        <v>269</v>
      </c>
      <c r="W598">
        <v>79</v>
      </c>
      <c r="X598">
        <v>20</v>
      </c>
      <c r="Y598">
        <v>6</v>
      </c>
      <c r="Z598" t="s">
        <v>1196</v>
      </c>
      <c r="AA598" t="s">
        <v>1197</v>
      </c>
      <c r="AB598" t="s">
        <v>272</v>
      </c>
      <c r="AC598" t="s">
        <v>273</v>
      </c>
      <c r="AD598" t="s">
        <v>274</v>
      </c>
      <c r="AE598" t="s">
        <v>1130</v>
      </c>
      <c r="AG598" t="s">
        <v>1198</v>
      </c>
      <c r="AH598">
        <v>0</v>
      </c>
      <c r="AI598">
        <v>247</v>
      </c>
      <c r="AJ598">
        <v>18</v>
      </c>
      <c r="AK598">
        <v>1532</v>
      </c>
      <c r="AL598">
        <v>1.24</v>
      </c>
    </row>
    <row r="599" spans="1:38" x14ac:dyDescent="0.3">
      <c r="A599" t="s">
        <v>1126</v>
      </c>
      <c r="B599">
        <v>19287</v>
      </c>
      <c r="C599">
        <v>2</v>
      </c>
      <c r="D599" t="s">
        <v>1194</v>
      </c>
      <c r="E599" t="s">
        <v>1195</v>
      </c>
      <c r="F599">
        <v>1236</v>
      </c>
      <c r="G599">
        <v>25.31</v>
      </c>
      <c r="H599">
        <v>83.69</v>
      </c>
      <c r="I599">
        <v>18.14</v>
      </c>
      <c r="J599">
        <v>59.99</v>
      </c>
      <c r="K599">
        <v>198</v>
      </c>
      <c r="T599">
        <v>3</v>
      </c>
      <c r="U599">
        <v>2</v>
      </c>
      <c r="V599" t="s">
        <v>269</v>
      </c>
      <c r="W599">
        <v>83</v>
      </c>
      <c r="X599">
        <v>20</v>
      </c>
      <c r="Y599">
        <v>6</v>
      </c>
      <c r="Z599" t="s">
        <v>1196</v>
      </c>
      <c r="AA599" t="s">
        <v>1197</v>
      </c>
      <c r="AB599" t="s">
        <v>272</v>
      </c>
      <c r="AC599" t="s">
        <v>273</v>
      </c>
      <c r="AD599" t="s">
        <v>274</v>
      </c>
      <c r="AE599" t="s">
        <v>1130</v>
      </c>
      <c r="AG599" t="s">
        <v>1198</v>
      </c>
      <c r="AH599">
        <v>0</v>
      </c>
      <c r="AI599">
        <v>247</v>
      </c>
      <c r="AJ599">
        <v>18</v>
      </c>
      <c r="AK599">
        <v>1532</v>
      </c>
      <c r="AL599">
        <v>1.24</v>
      </c>
    </row>
    <row r="600" spans="1:38" x14ac:dyDescent="0.3">
      <c r="A600" t="s">
        <v>1126</v>
      </c>
      <c r="B600">
        <v>19287</v>
      </c>
      <c r="C600">
        <v>3</v>
      </c>
      <c r="D600" t="s">
        <v>1194</v>
      </c>
      <c r="E600" t="s">
        <v>1195</v>
      </c>
      <c r="F600">
        <v>1236</v>
      </c>
      <c r="G600">
        <v>32.799999999999997</v>
      </c>
      <c r="H600">
        <v>108.44</v>
      </c>
      <c r="I600">
        <v>25.7</v>
      </c>
      <c r="J600">
        <v>84.97</v>
      </c>
      <c r="K600">
        <v>382</v>
      </c>
      <c r="T600">
        <v>3</v>
      </c>
      <c r="U600">
        <v>2</v>
      </c>
      <c r="V600" t="s">
        <v>269</v>
      </c>
      <c r="W600">
        <v>108</v>
      </c>
      <c r="X600">
        <v>20</v>
      </c>
      <c r="Y600">
        <v>6</v>
      </c>
      <c r="Z600" t="s">
        <v>1196</v>
      </c>
      <c r="AA600" t="s">
        <v>1197</v>
      </c>
      <c r="AB600" t="s">
        <v>272</v>
      </c>
      <c r="AC600" t="s">
        <v>273</v>
      </c>
      <c r="AD600" t="s">
        <v>274</v>
      </c>
      <c r="AE600" t="s">
        <v>1130</v>
      </c>
      <c r="AG600" t="s">
        <v>1198</v>
      </c>
      <c r="AH600">
        <v>0</v>
      </c>
      <c r="AI600">
        <v>247</v>
      </c>
      <c r="AJ600">
        <v>18</v>
      </c>
      <c r="AK600">
        <v>1532</v>
      </c>
      <c r="AL600">
        <v>1.24</v>
      </c>
    </row>
    <row r="601" spans="1:38" x14ac:dyDescent="0.3">
      <c r="A601" t="s">
        <v>1126</v>
      </c>
      <c r="B601">
        <v>19287</v>
      </c>
      <c r="C601">
        <v>4</v>
      </c>
      <c r="D601" t="s">
        <v>1194</v>
      </c>
      <c r="E601" t="s">
        <v>1195</v>
      </c>
      <c r="F601">
        <v>1236</v>
      </c>
      <c r="G601">
        <v>33.770000000000003</v>
      </c>
      <c r="H601">
        <v>111.65</v>
      </c>
      <c r="I601">
        <v>25.62</v>
      </c>
      <c r="J601">
        <v>84.71</v>
      </c>
      <c r="K601">
        <v>77</v>
      </c>
      <c r="T601">
        <v>3</v>
      </c>
      <c r="U601">
        <v>2</v>
      </c>
      <c r="V601" t="s">
        <v>269</v>
      </c>
      <c r="W601" t="s">
        <v>109</v>
      </c>
      <c r="X601">
        <v>20</v>
      </c>
      <c r="Y601">
        <v>6</v>
      </c>
      <c r="Z601" t="s">
        <v>1196</v>
      </c>
      <c r="AA601" t="s">
        <v>1197</v>
      </c>
      <c r="AB601" t="s">
        <v>272</v>
      </c>
      <c r="AC601" t="s">
        <v>273</v>
      </c>
      <c r="AD601" t="s">
        <v>274</v>
      </c>
      <c r="AE601" t="s">
        <v>1130</v>
      </c>
      <c r="AG601" t="s">
        <v>1198</v>
      </c>
      <c r="AH601">
        <v>0</v>
      </c>
      <c r="AI601">
        <v>247</v>
      </c>
      <c r="AJ601">
        <v>18</v>
      </c>
      <c r="AK601">
        <v>1532</v>
      </c>
      <c r="AL601">
        <v>1.24</v>
      </c>
    </row>
    <row r="602" spans="1:38" x14ac:dyDescent="0.3">
      <c r="A602" t="s">
        <v>1126</v>
      </c>
      <c r="B602">
        <v>19287</v>
      </c>
      <c r="C602">
        <v>5</v>
      </c>
      <c r="D602" t="s">
        <v>1194</v>
      </c>
      <c r="E602" t="s">
        <v>1195</v>
      </c>
      <c r="F602">
        <v>1236</v>
      </c>
      <c r="G602">
        <v>33.880000000000003</v>
      </c>
      <c r="H602">
        <v>112.02</v>
      </c>
      <c r="I602">
        <v>25.63</v>
      </c>
      <c r="J602">
        <v>84.76</v>
      </c>
      <c r="K602">
        <v>195</v>
      </c>
      <c r="T602">
        <v>3</v>
      </c>
      <c r="U602">
        <v>2</v>
      </c>
      <c r="V602" t="s">
        <v>269</v>
      </c>
      <c r="W602" t="s">
        <v>160</v>
      </c>
      <c r="X602">
        <v>20</v>
      </c>
      <c r="Y602">
        <v>6</v>
      </c>
      <c r="Z602" t="s">
        <v>1196</v>
      </c>
      <c r="AA602" t="s">
        <v>1197</v>
      </c>
      <c r="AB602" t="s">
        <v>272</v>
      </c>
      <c r="AC602" t="s">
        <v>273</v>
      </c>
      <c r="AD602" t="s">
        <v>274</v>
      </c>
      <c r="AE602" t="s">
        <v>1130</v>
      </c>
      <c r="AG602" t="s">
        <v>1198</v>
      </c>
      <c r="AH602">
        <v>0</v>
      </c>
      <c r="AI602">
        <v>247</v>
      </c>
      <c r="AJ602">
        <v>18</v>
      </c>
      <c r="AK602">
        <v>1532</v>
      </c>
      <c r="AL602">
        <v>1.24</v>
      </c>
    </row>
    <row r="603" spans="1:38" x14ac:dyDescent="0.3">
      <c r="A603" t="s">
        <v>1126</v>
      </c>
      <c r="B603">
        <v>19287</v>
      </c>
      <c r="C603">
        <v>6</v>
      </c>
      <c r="D603" t="s">
        <v>1194</v>
      </c>
      <c r="E603" t="s">
        <v>1195</v>
      </c>
      <c r="F603">
        <v>1236</v>
      </c>
      <c r="G603">
        <v>43.39</v>
      </c>
      <c r="H603">
        <v>143.46</v>
      </c>
      <c r="I603">
        <v>34.72</v>
      </c>
      <c r="J603">
        <v>114.8</v>
      </c>
      <c r="K603">
        <v>284</v>
      </c>
      <c r="T603">
        <v>4</v>
      </c>
      <c r="U603">
        <v>2</v>
      </c>
      <c r="V603" t="s">
        <v>269</v>
      </c>
      <c r="W603">
        <v>143</v>
      </c>
      <c r="X603">
        <v>20</v>
      </c>
      <c r="Y603">
        <v>6</v>
      </c>
      <c r="Z603" t="s">
        <v>1196</v>
      </c>
      <c r="AA603" t="s">
        <v>1197</v>
      </c>
      <c r="AB603" t="s">
        <v>272</v>
      </c>
      <c r="AC603" t="s">
        <v>273</v>
      </c>
      <c r="AD603" t="s">
        <v>274</v>
      </c>
      <c r="AE603" t="s">
        <v>1130</v>
      </c>
      <c r="AG603" t="s">
        <v>1198</v>
      </c>
      <c r="AH603">
        <v>0</v>
      </c>
      <c r="AI603">
        <v>247</v>
      </c>
      <c r="AJ603">
        <v>18</v>
      </c>
      <c r="AK603">
        <v>1532</v>
      </c>
      <c r="AL603">
        <v>1.24</v>
      </c>
    </row>
    <row r="604" spans="1:38" x14ac:dyDescent="0.3">
      <c r="A604" t="s">
        <v>1126</v>
      </c>
      <c r="B604">
        <v>19287</v>
      </c>
      <c r="C604">
        <v>7</v>
      </c>
      <c r="D604" t="s">
        <v>1194</v>
      </c>
      <c r="E604" t="s">
        <v>1195</v>
      </c>
      <c r="F604">
        <v>1236</v>
      </c>
      <c r="G604">
        <v>57.85</v>
      </c>
      <c r="H604">
        <v>191.27</v>
      </c>
      <c r="I604">
        <v>47.76</v>
      </c>
      <c r="J604">
        <v>157.9</v>
      </c>
      <c r="K604">
        <v>80</v>
      </c>
      <c r="T604">
        <v>4</v>
      </c>
      <c r="U604">
        <v>2</v>
      </c>
      <c r="V604" t="s">
        <v>269</v>
      </c>
      <c r="W604">
        <v>191</v>
      </c>
      <c r="X604">
        <v>20</v>
      </c>
      <c r="Y604">
        <v>6</v>
      </c>
      <c r="Z604" t="s">
        <v>1196</v>
      </c>
      <c r="AA604" t="s">
        <v>1197</v>
      </c>
      <c r="AB604" t="s">
        <v>272</v>
      </c>
      <c r="AC604" t="s">
        <v>273</v>
      </c>
      <c r="AD604" t="s">
        <v>274</v>
      </c>
      <c r="AE604" t="s">
        <v>1130</v>
      </c>
      <c r="AG604" t="s">
        <v>1198</v>
      </c>
      <c r="AH604">
        <v>0</v>
      </c>
      <c r="AI604">
        <v>247</v>
      </c>
      <c r="AJ604">
        <v>18</v>
      </c>
      <c r="AK604">
        <v>1532</v>
      </c>
      <c r="AL604">
        <v>1.24</v>
      </c>
    </row>
    <row r="605" spans="1:38" x14ac:dyDescent="0.3">
      <c r="A605" t="s">
        <v>1126</v>
      </c>
      <c r="B605">
        <v>19540</v>
      </c>
      <c r="C605">
        <v>1</v>
      </c>
      <c r="D605" t="s">
        <v>1199</v>
      </c>
      <c r="E605" t="s">
        <v>1200</v>
      </c>
      <c r="F605">
        <v>1549</v>
      </c>
      <c r="G605">
        <v>24.39</v>
      </c>
      <c r="H605">
        <v>80.64</v>
      </c>
      <c r="I605">
        <v>18.03</v>
      </c>
      <c r="J605">
        <v>59.62</v>
      </c>
      <c r="K605">
        <v>238</v>
      </c>
      <c r="T605">
        <v>3</v>
      </c>
      <c r="U605">
        <v>2</v>
      </c>
      <c r="V605" t="s">
        <v>269</v>
      </c>
      <c r="W605" t="s">
        <v>98</v>
      </c>
      <c r="X605">
        <v>22</v>
      </c>
      <c r="Y605">
        <v>11</v>
      </c>
      <c r="Z605" t="s">
        <v>1201</v>
      </c>
      <c r="AA605" t="s">
        <v>1202</v>
      </c>
      <c r="AB605" t="s">
        <v>272</v>
      </c>
      <c r="AC605" t="s">
        <v>273</v>
      </c>
      <c r="AD605" t="s">
        <v>274</v>
      </c>
      <c r="AE605" t="s">
        <v>1130</v>
      </c>
      <c r="AG605" t="s">
        <v>1203</v>
      </c>
      <c r="AH605">
        <v>0</v>
      </c>
      <c r="AI605">
        <v>248</v>
      </c>
      <c r="AJ605">
        <v>16</v>
      </c>
      <c r="AK605">
        <v>1846</v>
      </c>
      <c r="AL605">
        <v>1.19</v>
      </c>
    </row>
    <row r="606" spans="1:38" x14ac:dyDescent="0.3">
      <c r="A606" t="s">
        <v>1126</v>
      </c>
      <c r="B606">
        <v>19540</v>
      </c>
      <c r="C606">
        <v>2</v>
      </c>
      <c r="D606" t="s">
        <v>1199</v>
      </c>
      <c r="E606" t="s">
        <v>1200</v>
      </c>
      <c r="F606">
        <v>1549</v>
      </c>
      <c r="G606">
        <v>24.35</v>
      </c>
      <c r="H606">
        <v>80.510000000000005</v>
      </c>
      <c r="I606">
        <v>18.12</v>
      </c>
      <c r="J606">
        <v>59.93</v>
      </c>
      <c r="K606">
        <v>43</v>
      </c>
      <c r="T606">
        <v>3</v>
      </c>
      <c r="U606">
        <v>2</v>
      </c>
      <c r="V606" t="s">
        <v>269</v>
      </c>
      <c r="W606" t="s">
        <v>81</v>
      </c>
      <c r="X606">
        <v>22</v>
      </c>
      <c r="Y606">
        <v>11</v>
      </c>
      <c r="Z606" t="s">
        <v>1201</v>
      </c>
      <c r="AA606" t="s">
        <v>1202</v>
      </c>
      <c r="AB606" t="s">
        <v>272</v>
      </c>
      <c r="AC606" t="s">
        <v>273</v>
      </c>
      <c r="AD606" t="s">
        <v>274</v>
      </c>
      <c r="AE606" t="s">
        <v>1130</v>
      </c>
      <c r="AG606" t="s">
        <v>1203</v>
      </c>
      <c r="AH606">
        <v>0</v>
      </c>
      <c r="AI606">
        <v>248</v>
      </c>
      <c r="AJ606">
        <v>16</v>
      </c>
      <c r="AK606">
        <v>1846</v>
      </c>
      <c r="AL606">
        <v>1.19</v>
      </c>
    </row>
    <row r="607" spans="1:38" x14ac:dyDescent="0.3">
      <c r="A607" t="s">
        <v>1126</v>
      </c>
      <c r="B607">
        <v>19540</v>
      </c>
      <c r="C607">
        <v>3</v>
      </c>
      <c r="D607" t="s">
        <v>1199</v>
      </c>
      <c r="E607" t="s">
        <v>1200</v>
      </c>
      <c r="F607">
        <v>1549</v>
      </c>
      <c r="G607">
        <v>24.29</v>
      </c>
      <c r="H607">
        <v>80.33</v>
      </c>
      <c r="I607">
        <v>18.11</v>
      </c>
      <c r="J607">
        <v>59.9</v>
      </c>
      <c r="K607">
        <v>38</v>
      </c>
      <c r="T607">
        <v>3</v>
      </c>
      <c r="U607">
        <v>2</v>
      </c>
      <c r="V607" t="s">
        <v>269</v>
      </c>
      <c r="W607" t="s">
        <v>85</v>
      </c>
      <c r="X607">
        <v>22</v>
      </c>
      <c r="Y607">
        <v>11</v>
      </c>
      <c r="Z607" t="s">
        <v>1201</v>
      </c>
      <c r="AA607" t="s">
        <v>1202</v>
      </c>
      <c r="AB607" t="s">
        <v>272</v>
      </c>
      <c r="AC607" t="s">
        <v>273</v>
      </c>
      <c r="AD607" t="s">
        <v>274</v>
      </c>
      <c r="AE607" t="s">
        <v>1130</v>
      </c>
      <c r="AG607" t="s">
        <v>1203</v>
      </c>
      <c r="AH607">
        <v>0</v>
      </c>
      <c r="AI607">
        <v>248</v>
      </c>
      <c r="AJ607">
        <v>16</v>
      </c>
      <c r="AK607">
        <v>1846</v>
      </c>
      <c r="AL607">
        <v>1.19</v>
      </c>
    </row>
    <row r="608" spans="1:38" x14ac:dyDescent="0.3">
      <c r="A608" t="s">
        <v>1126</v>
      </c>
      <c r="B608">
        <v>19540</v>
      </c>
      <c r="C608">
        <v>4</v>
      </c>
      <c r="D608" t="s">
        <v>1199</v>
      </c>
      <c r="E608" t="s">
        <v>1200</v>
      </c>
      <c r="F608">
        <v>1549</v>
      </c>
      <c r="G608">
        <v>33.200000000000003</v>
      </c>
      <c r="H608">
        <v>109.76</v>
      </c>
      <c r="I608">
        <v>25.68</v>
      </c>
      <c r="J608">
        <v>84.92</v>
      </c>
      <c r="K608">
        <v>524</v>
      </c>
      <c r="T608">
        <v>3</v>
      </c>
      <c r="U608">
        <v>2</v>
      </c>
      <c r="V608" t="s">
        <v>269</v>
      </c>
      <c r="W608" t="s">
        <v>86</v>
      </c>
      <c r="X608">
        <v>22</v>
      </c>
      <c r="Y608">
        <v>11</v>
      </c>
      <c r="Z608" t="s">
        <v>1201</v>
      </c>
      <c r="AA608" t="s">
        <v>1202</v>
      </c>
      <c r="AB608" t="s">
        <v>272</v>
      </c>
      <c r="AC608" t="s">
        <v>273</v>
      </c>
      <c r="AD608" t="s">
        <v>274</v>
      </c>
      <c r="AE608" t="s">
        <v>1130</v>
      </c>
      <c r="AG608" t="s">
        <v>1203</v>
      </c>
      <c r="AH608">
        <v>0</v>
      </c>
      <c r="AI608">
        <v>248</v>
      </c>
      <c r="AJ608">
        <v>16</v>
      </c>
      <c r="AK608">
        <v>1846</v>
      </c>
      <c r="AL608">
        <v>1.19</v>
      </c>
    </row>
    <row r="609" spans="1:38" x14ac:dyDescent="0.3">
      <c r="A609" t="s">
        <v>1126</v>
      </c>
      <c r="B609">
        <v>19540</v>
      </c>
      <c r="C609">
        <v>5</v>
      </c>
      <c r="D609" t="s">
        <v>1199</v>
      </c>
      <c r="E609" t="s">
        <v>1200</v>
      </c>
      <c r="F609">
        <v>1549</v>
      </c>
      <c r="G609">
        <v>33.200000000000003</v>
      </c>
      <c r="H609">
        <v>109.76</v>
      </c>
      <c r="I609">
        <v>25.67</v>
      </c>
      <c r="J609">
        <v>84.87</v>
      </c>
      <c r="K609">
        <v>80</v>
      </c>
      <c r="T609">
        <v>3</v>
      </c>
      <c r="U609">
        <v>2</v>
      </c>
      <c r="V609" t="s">
        <v>269</v>
      </c>
      <c r="W609" t="s">
        <v>71</v>
      </c>
      <c r="X609">
        <v>22</v>
      </c>
      <c r="Y609">
        <v>11</v>
      </c>
      <c r="Z609" t="s">
        <v>1201</v>
      </c>
      <c r="AA609" t="s">
        <v>1202</v>
      </c>
      <c r="AB609" t="s">
        <v>272</v>
      </c>
      <c r="AC609" t="s">
        <v>273</v>
      </c>
      <c r="AD609" t="s">
        <v>274</v>
      </c>
      <c r="AE609" t="s">
        <v>1130</v>
      </c>
      <c r="AG609" t="s">
        <v>1203</v>
      </c>
      <c r="AH609">
        <v>0</v>
      </c>
      <c r="AI609">
        <v>248</v>
      </c>
      <c r="AJ609">
        <v>16</v>
      </c>
      <c r="AK609">
        <v>1846</v>
      </c>
      <c r="AL609">
        <v>1.19</v>
      </c>
    </row>
    <row r="610" spans="1:38" x14ac:dyDescent="0.3">
      <c r="A610" t="s">
        <v>1126</v>
      </c>
      <c r="B610">
        <v>19540</v>
      </c>
      <c r="C610">
        <v>6</v>
      </c>
      <c r="D610" t="s">
        <v>1199</v>
      </c>
      <c r="E610" t="s">
        <v>1200</v>
      </c>
      <c r="F610">
        <v>1549</v>
      </c>
      <c r="G610">
        <v>33.33</v>
      </c>
      <c r="H610">
        <v>110.21</v>
      </c>
      <c r="I610">
        <v>25.7</v>
      </c>
      <c r="J610">
        <v>84.98</v>
      </c>
      <c r="K610">
        <v>83</v>
      </c>
      <c r="T610">
        <v>3</v>
      </c>
      <c r="U610">
        <v>2</v>
      </c>
      <c r="V610" t="s">
        <v>269</v>
      </c>
      <c r="W610" t="s">
        <v>91</v>
      </c>
      <c r="X610">
        <v>22</v>
      </c>
      <c r="Y610">
        <v>11</v>
      </c>
      <c r="Z610" t="s">
        <v>1201</v>
      </c>
      <c r="AA610" t="s">
        <v>1202</v>
      </c>
      <c r="AB610" t="s">
        <v>272</v>
      </c>
      <c r="AC610" t="s">
        <v>273</v>
      </c>
      <c r="AD610" t="s">
        <v>274</v>
      </c>
      <c r="AE610" t="s">
        <v>1130</v>
      </c>
      <c r="AG610" t="s">
        <v>1203</v>
      </c>
      <c r="AH610">
        <v>0</v>
      </c>
      <c r="AI610">
        <v>248</v>
      </c>
      <c r="AJ610">
        <v>16</v>
      </c>
      <c r="AK610">
        <v>1846</v>
      </c>
      <c r="AL610">
        <v>1.19</v>
      </c>
    </row>
    <row r="611" spans="1:38" x14ac:dyDescent="0.3">
      <c r="A611" t="s">
        <v>1126</v>
      </c>
      <c r="B611">
        <v>19540</v>
      </c>
      <c r="C611">
        <v>7</v>
      </c>
      <c r="D611" t="s">
        <v>1199</v>
      </c>
      <c r="E611" t="s">
        <v>1200</v>
      </c>
      <c r="F611">
        <v>1549</v>
      </c>
      <c r="G611">
        <v>33.33</v>
      </c>
      <c r="H611">
        <v>110.21</v>
      </c>
      <c r="I611">
        <v>25.7</v>
      </c>
      <c r="J611">
        <v>84.98</v>
      </c>
      <c r="K611">
        <v>19</v>
      </c>
      <c r="T611">
        <v>3</v>
      </c>
      <c r="U611">
        <v>2</v>
      </c>
      <c r="V611" t="s">
        <v>269</v>
      </c>
      <c r="W611" t="s">
        <v>201</v>
      </c>
      <c r="X611">
        <v>22</v>
      </c>
      <c r="Y611">
        <v>11</v>
      </c>
      <c r="Z611" t="s">
        <v>1201</v>
      </c>
      <c r="AA611" t="s">
        <v>1202</v>
      </c>
      <c r="AB611" t="s">
        <v>272</v>
      </c>
      <c r="AC611" t="s">
        <v>273</v>
      </c>
      <c r="AD611" t="s">
        <v>274</v>
      </c>
      <c r="AE611" t="s">
        <v>1130</v>
      </c>
      <c r="AG611" t="s">
        <v>1203</v>
      </c>
      <c r="AH611">
        <v>0</v>
      </c>
      <c r="AI611">
        <v>248</v>
      </c>
      <c r="AJ611">
        <v>16</v>
      </c>
      <c r="AK611">
        <v>1846</v>
      </c>
      <c r="AL611">
        <v>1.19</v>
      </c>
    </row>
    <row r="612" spans="1:38" x14ac:dyDescent="0.3">
      <c r="A612" t="s">
        <v>1126</v>
      </c>
      <c r="B612">
        <v>19540</v>
      </c>
      <c r="C612">
        <v>8</v>
      </c>
      <c r="D612" t="s">
        <v>1199</v>
      </c>
      <c r="E612" t="s">
        <v>1200</v>
      </c>
      <c r="F612">
        <v>1549</v>
      </c>
      <c r="G612">
        <v>45.23</v>
      </c>
      <c r="H612">
        <v>149.53</v>
      </c>
      <c r="I612">
        <v>36.93</v>
      </c>
      <c r="J612">
        <v>122.11</v>
      </c>
      <c r="K612">
        <v>130</v>
      </c>
      <c r="T612">
        <v>4</v>
      </c>
      <c r="U612">
        <v>2</v>
      </c>
      <c r="V612" t="s">
        <v>269</v>
      </c>
      <c r="W612" t="s">
        <v>202</v>
      </c>
      <c r="X612">
        <v>22</v>
      </c>
      <c r="Y612">
        <v>11</v>
      </c>
      <c r="Z612" t="s">
        <v>1201</v>
      </c>
      <c r="AA612" t="s">
        <v>1202</v>
      </c>
      <c r="AB612" t="s">
        <v>272</v>
      </c>
      <c r="AC612" t="s">
        <v>273</v>
      </c>
      <c r="AD612" t="s">
        <v>274</v>
      </c>
      <c r="AE612" t="s">
        <v>1130</v>
      </c>
      <c r="AG612" t="s">
        <v>1203</v>
      </c>
      <c r="AH612">
        <v>0</v>
      </c>
      <c r="AI612">
        <v>248</v>
      </c>
      <c r="AJ612">
        <v>16</v>
      </c>
      <c r="AK612">
        <v>1846</v>
      </c>
      <c r="AL612">
        <v>1.19</v>
      </c>
    </row>
    <row r="613" spans="1:38" x14ac:dyDescent="0.3">
      <c r="A613" t="s">
        <v>1126</v>
      </c>
      <c r="B613">
        <v>19540</v>
      </c>
      <c r="C613">
        <v>9</v>
      </c>
      <c r="D613" t="s">
        <v>1199</v>
      </c>
      <c r="E613" t="s">
        <v>1200</v>
      </c>
      <c r="F613">
        <v>1549</v>
      </c>
      <c r="G613">
        <v>45.13</v>
      </c>
      <c r="H613">
        <v>149.21</v>
      </c>
      <c r="I613">
        <v>36.94</v>
      </c>
      <c r="J613">
        <v>122.13</v>
      </c>
      <c r="K613">
        <v>119</v>
      </c>
      <c r="T613">
        <v>4</v>
      </c>
      <c r="U613">
        <v>2</v>
      </c>
      <c r="V613" t="s">
        <v>269</v>
      </c>
      <c r="W613" t="s">
        <v>203</v>
      </c>
      <c r="X613">
        <v>22</v>
      </c>
      <c r="Y613">
        <v>11</v>
      </c>
      <c r="Z613" t="s">
        <v>1201</v>
      </c>
      <c r="AA613" t="s">
        <v>1202</v>
      </c>
      <c r="AB613" t="s">
        <v>272</v>
      </c>
      <c r="AC613" t="s">
        <v>273</v>
      </c>
      <c r="AD613" t="s">
        <v>274</v>
      </c>
      <c r="AE613" t="s">
        <v>1130</v>
      </c>
      <c r="AG613" t="s">
        <v>1203</v>
      </c>
      <c r="AH613">
        <v>0</v>
      </c>
      <c r="AI613">
        <v>248</v>
      </c>
      <c r="AJ613">
        <v>16</v>
      </c>
      <c r="AK613">
        <v>1846</v>
      </c>
      <c r="AL613">
        <v>1.19</v>
      </c>
    </row>
    <row r="614" spans="1:38" x14ac:dyDescent="0.3">
      <c r="A614" t="s">
        <v>1126</v>
      </c>
      <c r="B614">
        <v>19540</v>
      </c>
      <c r="C614">
        <v>10</v>
      </c>
      <c r="D614" t="s">
        <v>1199</v>
      </c>
      <c r="E614" t="s">
        <v>1200</v>
      </c>
      <c r="F614">
        <v>1549</v>
      </c>
      <c r="G614">
        <v>45.08</v>
      </c>
      <c r="H614">
        <v>149.03</v>
      </c>
      <c r="I614">
        <v>36.99</v>
      </c>
      <c r="J614">
        <v>122.3</v>
      </c>
      <c r="K614">
        <v>92</v>
      </c>
      <c r="T614">
        <v>4</v>
      </c>
      <c r="U614">
        <v>2</v>
      </c>
      <c r="V614" t="s">
        <v>269</v>
      </c>
      <c r="W614" t="s">
        <v>204</v>
      </c>
      <c r="X614">
        <v>22</v>
      </c>
      <c r="Y614">
        <v>11</v>
      </c>
      <c r="Z614" t="s">
        <v>1201</v>
      </c>
      <c r="AA614" t="s">
        <v>1202</v>
      </c>
      <c r="AB614" t="s">
        <v>272</v>
      </c>
      <c r="AC614" t="s">
        <v>273</v>
      </c>
      <c r="AD614" t="s">
        <v>274</v>
      </c>
      <c r="AE614" t="s">
        <v>1130</v>
      </c>
      <c r="AG614" t="s">
        <v>1203</v>
      </c>
      <c r="AH614">
        <v>0</v>
      </c>
      <c r="AI614">
        <v>248</v>
      </c>
      <c r="AJ614">
        <v>16</v>
      </c>
      <c r="AK614">
        <v>1846</v>
      </c>
      <c r="AL614">
        <v>1.19</v>
      </c>
    </row>
    <row r="615" spans="1:38" x14ac:dyDescent="0.3">
      <c r="A615" t="s">
        <v>1126</v>
      </c>
      <c r="B615">
        <v>19540</v>
      </c>
      <c r="C615">
        <v>11</v>
      </c>
      <c r="D615" t="s">
        <v>1199</v>
      </c>
      <c r="E615" t="s">
        <v>1200</v>
      </c>
      <c r="F615">
        <v>1549</v>
      </c>
      <c r="G615">
        <v>45.52</v>
      </c>
      <c r="H615">
        <v>150.51</v>
      </c>
      <c r="I615">
        <v>36.840000000000003</v>
      </c>
      <c r="J615">
        <v>121.8</v>
      </c>
      <c r="K615">
        <v>21</v>
      </c>
      <c r="T615">
        <v>4</v>
      </c>
      <c r="U615">
        <v>2</v>
      </c>
      <c r="V615" t="s">
        <v>269</v>
      </c>
      <c r="W615">
        <v>150</v>
      </c>
      <c r="X615">
        <v>22</v>
      </c>
      <c r="Y615">
        <v>11</v>
      </c>
      <c r="Z615" t="s">
        <v>1201</v>
      </c>
      <c r="AA615" t="s">
        <v>1202</v>
      </c>
      <c r="AB615" t="s">
        <v>272</v>
      </c>
      <c r="AC615" t="s">
        <v>273</v>
      </c>
      <c r="AD615" t="s">
        <v>274</v>
      </c>
      <c r="AE615" t="s">
        <v>1130</v>
      </c>
      <c r="AG615" t="s">
        <v>1203</v>
      </c>
      <c r="AH615">
        <v>0</v>
      </c>
      <c r="AI615">
        <v>248</v>
      </c>
      <c r="AJ615">
        <v>16</v>
      </c>
      <c r="AK615">
        <v>1846</v>
      </c>
      <c r="AL615">
        <v>1.19</v>
      </c>
    </row>
    <row r="616" spans="1:38" x14ac:dyDescent="0.3">
      <c r="A616" t="s">
        <v>1126</v>
      </c>
      <c r="B616">
        <v>19540</v>
      </c>
      <c r="C616">
        <v>12</v>
      </c>
      <c r="D616" t="s">
        <v>1199</v>
      </c>
      <c r="E616" t="s">
        <v>1200</v>
      </c>
      <c r="F616">
        <v>1549</v>
      </c>
      <c r="G616">
        <v>52.24</v>
      </c>
      <c r="H616">
        <v>172.71</v>
      </c>
      <c r="I616">
        <v>43.36</v>
      </c>
      <c r="J616">
        <v>143.35</v>
      </c>
      <c r="K616">
        <v>80</v>
      </c>
      <c r="T616">
        <v>4</v>
      </c>
      <c r="U616">
        <v>2</v>
      </c>
      <c r="V616" t="s">
        <v>269</v>
      </c>
      <c r="W616" t="s">
        <v>205</v>
      </c>
      <c r="X616">
        <v>22</v>
      </c>
      <c r="Y616">
        <v>11</v>
      </c>
      <c r="Z616" t="s">
        <v>1201</v>
      </c>
      <c r="AA616" t="s">
        <v>1202</v>
      </c>
      <c r="AB616" t="s">
        <v>272</v>
      </c>
      <c r="AC616" t="s">
        <v>273</v>
      </c>
      <c r="AD616" t="s">
        <v>274</v>
      </c>
      <c r="AE616" t="s">
        <v>1130</v>
      </c>
      <c r="AG616" t="s">
        <v>1203</v>
      </c>
      <c r="AH616">
        <v>0</v>
      </c>
      <c r="AI616">
        <v>248</v>
      </c>
      <c r="AJ616">
        <v>16</v>
      </c>
      <c r="AK616">
        <v>1846</v>
      </c>
      <c r="AL616">
        <v>1.19</v>
      </c>
    </row>
    <row r="617" spans="1:38" x14ac:dyDescent="0.3">
      <c r="A617" t="s">
        <v>1126</v>
      </c>
      <c r="B617">
        <v>19540</v>
      </c>
      <c r="C617">
        <v>13</v>
      </c>
      <c r="D617" t="s">
        <v>1199</v>
      </c>
      <c r="E617" t="s">
        <v>1200</v>
      </c>
      <c r="F617">
        <v>1549</v>
      </c>
      <c r="G617">
        <v>52.19</v>
      </c>
      <c r="H617">
        <v>172.55</v>
      </c>
      <c r="I617">
        <v>43.54</v>
      </c>
      <c r="J617">
        <v>143.94</v>
      </c>
      <c r="K617">
        <v>44</v>
      </c>
      <c r="T617">
        <v>4</v>
      </c>
      <c r="U617">
        <v>2</v>
      </c>
      <c r="V617" t="s">
        <v>269</v>
      </c>
      <c r="W617" t="s">
        <v>206</v>
      </c>
      <c r="X617">
        <v>22</v>
      </c>
      <c r="Y617">
        <v>11</v>
      </c>
      <c r="Z617" t="s">
        <v>1201</v>
      </c>
      <c r="AA617" t="s">
        <v>1202</v>
      </c>
      <c r="AB617" t="s">
        <v>272</v>
      </c>
      <c r="AC617" t="s">
        <v>273</v>
      </c>
      <c r="AD617" t="s">
        <v>274</v>
      </c>
      <c r="AE617" t="s">
        <v>1130</v>
      </c>
      <c r="AG617" t="s">
        <v>1203</v>
      </c>
      <c r="AH617">
        <v>0</v>
      </c>
      <c r="AI617">
        <v>248</v>
      </c>
      <c r="AJ617">
        <v>16</v>
      </c>
      <c r="AK617">
        <v>1846</v>
      </c>
      <c r="AL617">
        <v>1.19</v>
      </c>
    </row>
    <row r="618" spans="1:38" x14ac:dyDescent="0.3">
      <c r="A618" t="s">
        <v>1126</v>
      </c>
      <c r="B618">
        <v>19540</v>
      </c>
      <c r="C618">
        <v>14</v>
      </c>
      <c r="D618" t="s">
        <v>1199</v>
      </c>
      <c r="E618" t="s">
        <v>1200</v>
      </c>
      <c r="F618">
        <v>1549</v>
      </c>
      <c r="G618">
        <v>52.07</v>
      </c>
      <c r="H618">
        <v>172.14</v>
      </c>
      <c r="I618">
        <v>43.53</v>
      </c>
      <c r="J618">
        <v>143.93</v>
      </c>
      <c r="K618">
        <v>38</v>
      </c>
      <c r="T618">
        <v>4</v>
      </c>
      <c r="U618">
        <v>2</v>
      </c>
      <c r="V618" t="s">
        <v>269</v>
      </c>
      <c r="W618" t="s">
        <v>207</v>
      </c>
      <c r="X618">
        <v>22</v>
      </c>
      <c r="Y618">
        <v>11</v>
      </c>
      <c r="Z618" t="s">
        <v>1201</v>
      </c>
      <c r="AA618" t="s">
        <v>1202</v>
      </c>
      <c r="AB618" t="s">
        <v>272</v>
      </c>
      <c r="AC618" t="s">
        <v>273</v>
      </c>
      <c r="AD618" t="s">
        <v>274</v>
      </c>
      <c r="AE618" t="s">
        <v>1130</v>
      </c>
      <c r="AG618" t="s">
        <v>1203</v>
      </c>
      <c r="AH618">
        <v>0</v>
      </c>
      <c r="AI618">
        <v>248</v>
      </c>
      <c r="AJ618">
        <v>16</v>
      </c>
      <c r="AK618">
        <v>1846</v>
      </c>
      <c r="AL618">
        <v>1.19</v>
      </c>
    </row>
    <row r="619" spans="1:38" x14ac:dyDescent="0.3">
      <c r="A619" t="s">
        <v>1126</v>
      </c>
      <c r="B619">
        <v>5566</v>
      </c>
      <c r="C619">
        <v>1</v>
      </c>
      <c r="D619" t="s">
        <v>1204</v>
      </c>
      <c r="E619" t="s">
        <v>1205</v>
      </c>
      <c r="F619">
        <v>870</v>
      </c>
      <c r="G619">
        <v>31.55</v>
      </c>
      <c r="H619">
        <v>104.33</v>
      </c>
      <c r="I619">
        <v>25.62</v>
      </c>
      <c r="J619">
        <v>84.71</v>
      </c>
      <c r="K619">
        <v>538</v>
      </c>
      <c r="T619">
        <v>3</v>
      </c>
      <c r="U619">
        <v>2</v>
      </c>
      <c r="V619" t="s">
        <v>269</v>
      </c>
      <c r="W619" t="s">
        <v>188</v>
      </c>
      <c r="X619">
        <v>15</v>
      </c>
      <c r="Y619">
        <v>10</v>
      </c>
      <c r="Z619" t="s">
        <v>1206</v>
      </c>
      <c r="AA619" t="s">
        <v>1207</v>
      </c>
      <c r="AB619" t="s">
        <v>272</v>
      </c>
      <c r="AC619" t="s">
        <v>273</v>
      </c>
      <c r="AD619" t="s">
        <v>274</v>
      </c>
      <c r="AE619" t="s">
        <v>1130</v>
      </c>
      <c r="AG619" t="s">
        <v>1208</v>
      </c>
      <c r="AH619">
        <v>0</v>
      </c>
      <c r="AI619">
        <v>212</v>
      </c>
      <c r="AJ619">
        <v>21</v>
      </c>
      <c r="AK619">
        <v>820</v>
      </c>
      <c r="AL619">
        <v>0.94</v>
      </c>
    </row>
    <row r="620" spans="1:38" x14ac:dyDescent="0.3">
      <c r="A620" t="s">
        <v>1126</v>
      </c>
      <c r="B620">
        <v>5566</v>
      </c>
      <c r="C620">
        <v>2</v>
      </c>
      <c r="D620" t="s">
        <v>1204</v>
      </c>
      <c r="E620" t="s">
        <v>1205</v>
      </c>
      <c r="F620">
        <v>870</v>
      </c>
      <c r="G620">
        <v>31.81</v>
      </c>
      <c r="H620">
        <v>105.16</v>
      </c>
      <c r="I620">
        <v>25.66</v>
      </c>
      <c r="J620">
        <v>84.84</v>
      </c>
      <c r="K620">
        <v>266</v>
      </c>
      <c r="T620">
        <v>3</v>
      </c>
      <c r="U620">
        <v>2</v>
      </c>
      <c r="V620" t="s">
        <v>269</v>
      </c>
      <c r="W620" t="s">
        <v>208</v>
      </c>
      <c r="X620">
        <v>15</v>
      </c>
      <c r="Y620">
        <v>10</v>
      </c>
      <c r="Z620" t="s">
        <v>1206</v>
      </c>
      <c r="AA620" t="s">
        <v>1207</v>
      </c>
      <c r="AB620" t="s">
        <v>272</v>
      </c>
      <c r="AC620" t="s">
        <v>273</v>
      </c>
      <c r="AD620" t="s">
        <v>274</v>
      </c>
      <c r="AE620" t="s">
        <v>1130</v>
      </c>
      <c r="AG620" t="s">
        <v>1208</v>
      </c>
      <c r="AH620">
        <v>0</v>
      </c>
      <c r="AI620">
        <v>212</v>
      </c>
      <c r="AJ620">
        <v>21</v>
      </c>
      <c r="AK620">
        <v>820</v>
      </c>
      <c r="AL620">
        <v>0.94</v>
      </c>
    </row>
    <row r="621" spans="1:38" x14ac:dyDescent="0.3">
      <c r="A621" t="s">
        <v>1126</v>
      </c>
      <c r="B621">
        <v>5566</v>
      </c>
      <c r="C621">
        <v>3</v>
      </c>
      <c r="D621" t="s">
        <v>1204</v>
      </c>
      <c r="E621" t="s">
        <v>1205</v>
      </c>
      <c r="F621">
        <v>870</v>
      </c>
      <c r="G621">
        <v>32.35</v>
      </c>
      <c r="H621">
        <v>106.97</v>
      </c>
      <c r="I621">
        <v>25.7</v>
      </c>
      <c r="J621">
        <v>84.97</v>
      </c>
      <c r="K621">
        <v>66</v>
      </c>
      <c r="T621">
        <v>3</v>
      </c>
      <c r="U621">
        <v>2</v>
      </c>
      <c r="V621" t="s">
        <v>269</v>
      </c>
      <c r="W621" t="s">
        <v>209</v>
      </c>
      <c r="X621">
        <v>15</v>
      </c>
      <c r="Y621">
        <v>10</v>
      </c>
      <c r="Z621" t="s">
        <v>1206</v>
      </c>
      <c r="AA621" t="s">
        <v>1207</v>
      </c>
      <c r="AB621" t="s">
        <v>272</v>
      </c>
      <c r="AC621" t="s">
        <v>273</v>
      </c>
      <c r="AD621" t="s">
        <v>274</v>
      </c>
      <c r="AE621" t="s">
        <v>1130</v>
      </c>
      <c r="AG621" t="s">
        <v>1208</v>
      </c>
      <c r="AH621">
        <v>0</v>
      </c>
      <c r="AI621">
        <v>212</v>
      </c>
      <c r="AJ621">
        <v>21</v>
      </c>
      <c r="AK621">
        <v>820</v>
      </c>
      <c r="AL621">
        <v>0.94</v>
      </c>
    </row>
    <row r="622" spans="1:38" x14ac:dyDescent="0.3">
      <c r="A622" t="s">
        <v>1126</v>
      </c>
      <c r="B622">
        <v>5570</v>
      </c>
      <c r="C622">
        <v>1</v>
      </c>
      <c r="D622" t="s">
        <v>1209</v>
      </c>
      <c r="E622" t="s">
        <v>868</v>
      </c>
      <c r="F622">
        <v>464</v>
      </c>
      <c r="G622">
        <v>31.23</v>
      </c>
      <c r="H622">
        <v>103.26</v>
      </c>
      <c r="I622">
        <v>25.68</v>
      </c>
      <c r="J622">
        <v>84.91</v>
      </c>
      <c r="K622">
        <v>240</v>
      </c>
      <c r="T622">
        <v>3</v>
      </c>
      <c r="U622">
        <v>2</v>
      </c>
      <c r="V622" t="s">
        <v>269</v>
      </c>
      <c r="W622" t="s">
        <v>143</v>
      </c>
      <c r="X622">
        <v>15</v>
      </c>
      <c r="Y622">
        <v>13</v>
      </c>
      <c r="Z622" t="s">
        <v>1210</v>
      </c>
      <c r="AA622" t="s">
        <v>1211</v>
      </c>
      <c r="AB622" t="s">
        <v>272</v>
      </c>
      <c r="AC622" t="s">
        <v>273</v>
      </c>
      <c r="AD622" t="s">
        <v>274</v>
      </c>
      <c r="AE622" t="s">
        <v>1130</v>
      </c>
      <c r="AG622" t="s">
        <v>1212</v>
      </c>
      <c r="AH622">
        <v>0</v>
      </c>
      <c r="AI622">
        <v>215</v>
      </c>
      <c r="AJ622">
        <v>22</v>
      </c>
      <c r="AK622">
        <v>474</v>
      </c>
      <c r="AL622">
        <v>1.02</v>
      </c>
    </row>
    <row r="623" spans="1:38" x14ac:dyDescent="0.3">
      <c r="A623" t="s">
        <v>1126</v>
      </c>
      <c r="B623">
        <v>5570</v>
      </c>
      <c r="C623">
        <v>2</v>
      </c>
      <c r="D623" t="s">
        <v>1209</v>
      </c>
      <c r="E623" t="s">
        <v>868</v>
      </c>
      <c r="F623">
        <v>464</v>
      </c>
      <c r="G623">
        <v>31.24</v>
      </c>
      <c r="H623">
        <v>103.29</v>
      </c>
      <c r="I623">
        <v>25.69</v>
      </c>
      <c r="J623">
        <v>84.94</v>
      </c>
      <c r="K623">
        <v>224</v>
      </c>
      <c r="T623">
        <v>3</v>
      </c>
      <c r="U623">
        <v>2</v>
      </c>
      <c r="V623" t="s">
        <v>269</v>
      </c>
      <c r="W623" t="s">
        <v>210</v>
      </c>
      <c r="X623">
        <v>15</v>
      </c>
      <c r="Y623">
        <v>13</v>
      </c>
      <c r="Z623" t="s">
        <v>1210</v>
      </c>
      <c r="AA623" t="s">
        <v>1211</v>
      </c>
      <c r="AB623" t="s">
        <v>272</v>
      </c>
      <c r="AC623" t="s">
        <v>273</v>
      </c>
      <c r="AD623" t="s">
        <v>274</v>
      </c>
      <c r="AE623" t="s">
        <v>1130</v>
      </c>
      <c r="AG623" t="s">
        <v>1212</v>
      </c>
      <c r="AH623">
        <v>0</v>
      </c>
      <c r="AI623">
        <v>215</v>
      </c>
      <c r="AJ623">
        <v>22</v>
      </c>
      <c r="AK623">
        <v>474</v>
      </c>
      <c r="AL623">
        <v>1.02</v>
      </c>
    </row>
    <row r="624" spans="1:38" x14ac:dyDescent="0.3">
      <c r="A624" t="s">
        <v>1126</v>
      </c>
      <c r="B624">
        <v>25462</v>
      </c>
      <c r="C624">
        <v>1</v>
      </c>
      <c r="D624" t="s">
        <v>1213</v>
      </c>
      <c r="E624" t="s">
        <v>1214</v>
      </c>
      <c r="F624">
        <v>165</v>
      </c>
      <c r="G624">
        <v>19.100000000000001</v>
      </c>
      <c r="H624">
        <v>63.17</v>
      </c>
      <c r="I624">
        <v>14.4</v>
      </c>
      <c r="J624">
        <v>47.61</v>
      </c>
      <c r="K624">
        <v>18</v>
      </c>
      <c r="T624">
        <v>2</v>
      </c>
      <c r="U624">
        <v>1</v>
      </c>
      <c r="V624" t="s">
        <v>269</v>
      </c>
      <c r="W624">
        <v>63</v>
      </c>
      <c r="X624">
        <v>14</v>
      </c>
      <c r="Y624">
        <v>11</v>
      </c>
      <c r="Z624" t="s">
        <v>1215</v>
      </c>
      <c r="AA624" t="s">
        <v>1216</v>
      </c>
      <c r="AB624" t="s">
        <v>272</v>
      </c>
      <c r="AC624" t="s">
        <v>273</v>
      </c>
      <c r="AD624" t="s">
        <v>274</v>
      </c>
      <c r="AE624" t="s">
        <v>1130</v>
      </c>
      <c r="AG624" t="s">
        <v>1217</v>
      </c>
      <c r="AH624">
        <v>0</v>
      </c>
      <c r="AI624">
        <v>0</v>
      </c>
      <c r="AJ624">
        <v>0</v>
      </c>
      <c r="AK624">
        <v>0</v>
      </c>
      <c r="AL624">
        <v>0</v>
      </c>
    </row>
    <row r="625" spans="1:38" x14ac:dyDescent="0.3">
      <c r="A625" t="s">
        <v>1126</v>
      </c>
      <c r="B625">
        <v>25462</v>
      </c>
      <c r="C625">
        <v>2</v>
      </c>
      <c r="D625" t="s">
        <v>1213</v>
      </c>
      <c r="E625" t="s">
        <v>1214</v>
      </c>
      <c r="F625">
        <v>165</v>
      </c>
      <c r="G625">
        <v>24.66</v>
      </c>
      <c r="H625">
        <v>81.55</v>
      </c>
      <c r="I625">
        <v>18.600000000000001</v>
      </c>
      <c r="J625">
        <v>61.49</v>
      </c>
      <c r="K625">
        <v>9</v>
      </c>
      <c r="T625">
        <v>3</v>
      </c>
      <c r="U625">
        <v>1</v>
      </c>
      <c r="V625" t="s">
        <v>269</v>
      </c>
      <c r="W625">
        <v>81</v>
      </c>
      <c r="X625">
        <v>14</v>
      </c>
      <c r="Y625">
        <v>11</v>
      </c>
      <c r="Z625" t="s">
        <v>1215</v>
      </c>
      <c r="AA625" t="s">
        <v>1216</v>
      </c>
      <c r="AB625" t="s">
        <v>272</v>
      </c>
      <c r="AC625" t="s">
        <v>273</v>
      </c>
      <c r="AD625" t="s">
        <v>274</v>
      </c>
      <c r="AE625" t="s">
        <v>1130</v>
      </c>
      <c r="AG625" t="s">
        <v>1217</v>
      </c>
      <c r="AH625">
        <v>0</v>
      </c>
      <c r="AI625">
        <v>0</v>
      </c>
      <c r="AJ625">
        <v>0</v>
      </c>
      <c r="AK625">
        <v>0</v>
      </c>
      <c r="AL625">
        <v>0</v>
      </c>
    </row>
    <row r="626" spans="1:38" x14ac:dyDescent="0.3">
      <c r="A626" t="s">
        <v>1126</v>
      </c>
      <c r="B626">
        <v>25462</v>
      </c>
      <c r="C626">
        <v>3</v>
      </c>
      <c r="D626" t="s">
        <v>1213</v>
      </c>
      <c r="E626" t="s">
        <v>1214</v>
      </c>
      <c r="F626">
        <v>165</v>
      </c>
      <c r="G626">
        <v>29.88</v>
      </c>
      <c r="H626">
        <v>98.8</v>
      </c>
      <c r="I626">
        <v>22.54</v>
      </c>
      <c r="J626">
        <v>74.52</v>
      </c>
      <c r="K626">
        <v>17</v>
      </c>
      <c r="T626">
        <v>3</v>
      </c>
      <c r="U626">
        <v>2</v>
      </c>
      <c r="V626" t="s">
        <v>279</v>
      </c>
      <c r="W626" t="s">
        <v>194</v>
      </c>
      <c r="X626">
        <v>14</v>
      </c>
      <c r="Y626">
        <v>11</v>
      </c>
      <c r="Z626" t="s">
        <v>1215</v>
      </c>
      <c r="AA626" t="s">
        <v>1216</v>
      </c>
      <c r="AB626" t="s">
        <v>272</v>
      </c>
      <c r="AC626" t="s">
        <v>273</v>
      </c>
      <c r="AD626" t="s">
        <v>274</v>
      </c>
      <c r="AE626" t="s">
        <v>1130</v>
      </c>
      <c r="AG626" t="s">
        <v>1217</v>
      </c>
      <c r="AH626">
        <v>0</v>
      </c>
      <c r="AI626">
        <v>0</v>
      </c>
      <c r="AJ626">
        <v>0</v>
      </c>
      <c r="AK626">
        <v>0</v>
      </c>
      <c r="AL626">
        <v>0</v>
      </c>
    </row>
    <row r="627" spans="1:38" x14ac:dyDescent="0.3">
      <c r="A627" t="s">
        <v>1126</v>
      </c>
      <c r="B627">
        <v>25462</v>
      </c>
      <c r="C627">
        <v>4</v>
      </c>
      <c r="D627" t="s">
        <v>1213</v>
      </c>
      <c r="E627" t="s">
        <v>1214</v>
      </c>
      <c r="F627">
        <v>165</v>
      </c>
      <c r="G627">
        <v>30.34</v>
      </c>
      <c r="H627">
        <v>100.3</v>
      </c>
      <c r="I627">
        <v>22.86</v>
      </c>
      <c r="J627">
        <v>75.599999999999994</v>
      </c>
      <c r="K627">
        <v>121</v>
      </c>
      <c r="T627">
        <v>3</v>
      </c>
      <c r="U627">
        <v>1</v>
      </c>
      <c r="V627" t="s">
        <v>269</v>
      </c>
      <c r="W627" t="s">
        <v>1218</v>
      </c>
      <c r="X627">
        <v>14</v>
      </c>
      <c r="Y627">
        <v>11</v>
      </c>
      <c r="Z627" t="s">
        <v>1215</v>
      </c>
      <c r="AA627" t="s">
        <v>1216</v>
      </c>
      <c r="AB627" t="s">
        <v>272</v>
      </c>
      <c r="AC627" t="s">
        <v>273</v>
      </c>
      <c r="AD627" t="s">
        <v>274</v>
      </c>
      <c r="AE627" t="s">
        <v>1130</v>
      </c>
      <c r="AG627" t="s">
        <v>1217</v>
      </c>
      <c r="AH627">
        <v>0</v>
      </c>
      <c r="AI627">
        <v>0</v>
      </c>
      <c r="AJ627">
        <v>0</v>
      </c>
      <c r="AK627">
        <v>0</v>
      </c>
      <c r="AL627">
        <v>0</v>
      </c>
    </row>
    <row r="628" spans="1:38" x14ac:dyDescent="0.3">
      <c r="A628" t="s">
        <v>1126</v>
      </c>
      <c r="B628">
        <v>101942</v>
      </c>
      <c r="C628">
        <v>1</v>
      </c>
      <c r="D628" t="s">
        <v>1219</v>
      </c>
      <c r="E628" t="s">
        <v>1059</v>
      </c>
      <c r="F628">
        <v>228</v>
      </c>
      <c r="G628">
        <v>34.04</v>
      </c>
      <c r="H628">
        <v>112.54</v>
      </c>
      <c r="I628">
        <v>25.58</v>
      </c>
      <c r="J628">
        <v>84.57</v>
      </c>
      <c r="K628">
        <v>72</v>
      </c>
      <c r="T628">
        <v>3</v>
      </c>
      <c r="U628">
        <v>2</v>
      </c>
      <c r="V628" t="s">
        <v>269</v>
      </c>
      <c r="W628">
        <v>112</v>
      </c>
      <c r="X628">
        <v>12</v>
      </c>
      <c r="Y628">
        <v>12</v>
      </c>
      <c r="Z628" t="s">
        <v>1220</v>
      </c>
      <c r="AA628" t="s">
        <v>1221</v>
      </c>
      <c r="AB628" t="s">
        <v>272</v>
      </c>
      <c r="AC628" t="s">
        <v>273</v>
      </c>
      <c r="AD628" t="s">
        <v>274</v>
      </c>
      <c r="AE628" t="s">
        <v>1130</v>
      </c>
      <c r="AG628" t="s">
        <v>1222</v>
      </c>
      <c r="AH628">
        <v>0</v>
      </c>
      <c r="AI628">
        <v>202</v>
      </c>
      <c r="AJ628">
        <v>21</v>
      </c>
      <c r="AK628">
        <v>358</v>
      </c>
      <c r="AL628">
        <v>1.57</v>
      </c>
    </row>
    <row r="629" spans="1:38" x14ac:dyDescent="0.3">
      <c r="A629" t="s">
        <v>1126</v>
      </c>
      <c r="B629">
        <v>101942</v>
      </c>
      <c r="C629">
        <v>2</v>
      </c>
      <c r="D629" t="s">
        <v>1219</v>
      </c>
      <c r="E629" t="s">
        <v>1059</v>
      </c>
      <c r="F629">
        <v>228</v>
      </c>
      <c r="G629">
        <v>38.200000000000003</v>
      </c>
      <c r="H629">
        <v>126.31</v>
      </c>
      <c r="I629">
        <v>30.91</v>
      </c>
      <c r="J629">
        <v>102.19</v>
      </c>
      <c r="K629">
        <v>12</v>
      </c>
      <c r="T629">
        <v>3</v>
      </c>
      <c r="U629">
        <v>2</v>
      </c>
      <c r="V629" t="s">
        <v>269</v>
      </c>
      <c r="W629" t="s">
        <v>211</v>
      </c>
      <c r="X629">
        <v>12</v>
      </c>
      <c r="Y629">
        <v>12</v>
      </c>
      <c r="Z629" t="s">
        <v>1220</v>
      </c>
      <c r="AA629" t="s">
        <v>1221</v>
      </c>
      <c r="AB629" t="s">
        <v>272</v>
      </c>
      <c r="AC629" t="s">
        <v>273</v>
      </c>
      <c r="AD629" t="s">
        <v>274</v>
      </c>
      <c r="AE629" t="s">
        <v>1130</v>
      </c>
      <c r="AG629" t="s">
        <v>1222</v>
      </c>
      <c r="AH629">
        <v>0</v>
      </c>
      <c r="AI629">
        <v>202</v>
      </c>
      <c r="AJ629">
        <v>21</v>
      </c>
      <c r="AK629">
        <v>358</v>
      </c>
      <c r="AL629">
        <v>1.57</v>
      </c>
    </row>
    <row r="630" spans="1:38" x14ac:dyDescent="0.3">
      <c r="A630" t="s">
        <v>1126</v>
      </c>
      <c r="B630">
        <v>101942</v>
      </c>
      <c r="C630">
        <v>3</v>
      </c>
      <c r="D630" t="s">
        <v>1219</v>
      </c>
      <c r="E630" t="s">
        <v>1059</v>
      </c>
      <c r="F630">
        <v>228</v>
      </c>
      <c r="G630">
        <v>38.840000000000003</v>
      </c>
      <c r="H630">
        <v>128.41999999999999</v>
      </c>
      <c r="I630">
        <v>31.24</v>
      </c>
      <c r="J630">
        <v>103.3</v>
      </c>
      <c r="K630">
        <v>24</v>
      </c>
      <c r="T630">
        <v>3</v>
      </c>
      <c r="U630">
        <v>2</v>
      </c>
      <c r="V630" t="s">
        <v>269</v>
      </c>
      <c r="W630" t="s">
        <v>212</v>
      </c>
      <c r="X630">
        <v>12</v>
      </c>
      <c r="Y630">
        <v>12</v>
      </c>
      <c r="Z630" t="s">
        <v>1220</v>
      </c>
      <c r="AA630" t="s">
        <v>1221</v>
      </c>
      <c r="AB630" t="s">
        <v>272</v>
      </c>
      <c r="AC630" t="s">
        <v>273</v>
      </c>
      <c r="AD630" t="s">
        <v>274</v>
      </c>
      <c r="AE630" t="s">
        <v>1130</v>
      </c>
      <c r="AG630" t="s">
        <v>1222</v>
      </c>
      <c r="AH630">
        <v>0</v>
      </c>
      <c r="AI630">
        <v>202</v>
      </c>
      <c r="AJ630">
        <v>21</v>
      </c>
      <c r="AK630">
        <v>358</v>
      </c>
      <c r="AL630">
        <v>1.57</v>
      </c>
    </row>
    <row r="631" spans="1:38" x14ac:dyDescent="0.3">
      <c r="A631" t="s">
        <v>1126</v>
      </c>
      <c r="B631">
        <v>101942</v>
      </c>
      <c r="C631">
        <v>4</v>
      </c>
      <c r="D631" t="s">
        <v>1219</v>
      </c>
      <c r="E631" t="s">
        <v>1059</v>
      </c>
      <c r="F631">
        <v>228</v>
      </c>
      <c r="G631">
        <v>43.2</v>
      </c>
      <c r="H631">
        <v>142.82</v>
      </c>
      <c r="I631">
        <v>34.99</v>
      </c>
      <c r="J631">
        <v>115.7</v>
      </c>
      <c r="K631">
        <v>36</v>
      </c>
      <c r="T631">
        <v>4</v>
      </c>
      <c r="U631">
        <v>2</v>
      </c>
      <c r="V631" t="s">
        <v>269</v>
      </c>
      <c r="W631">
        <v>142</v>
      </c>
      <c r="X631">
        <v>12</v>
      </c>
      <c r="Y631">
        <v>12</v>
      </c>
      <c r="Z631" t="s">
        <v>1220</v>
      </c>
      <c r="AA631" t="s">
        <v>1221</v>
      </c>
      <c r="AB631" t="s">
        <v>272</v>
      </c>
      <c r="AC631" t="s">
        <v>273</v>
      </c>
      <c r="AD631" t="s">
        <v>274</v>
      </c>
      <c r="AE631" t="s">
        <v>1130</v>
      </c>
      <c r="AG631" t="s">
        <v>1222</v>
      </c>
      <c r="AH631">
        <v>0</v>
      </c>
      <c r="AI631">
        <v>202</v>
      </c>
      <c r="AJ631">
        <v>21</v>
      </c>
      <c r="AK631">
        <v>358</v>
      </c>
      <c r="AL631">
        <v>1.57</v>
      </c>
    </row>
    <row r="632" spans="1:38" x14ac:dyDescent="0.3">
      <c r="A632" t="s">
        <v>1126</v>
      </c>
      <c r="B632">
        <v>101942</v>
      </c>
      <c r="C632">
        <v>5</v>
      </c>
      <c r="D632" t="s">
        <v>1219</v>
      </c>
      <c r="E632" t="s">
        <v>1059</v>
      </c>
      <c r="F632">
        <v>228</v>
      </c>
      <c r="G632">
        <v>45.52</v>
      </c>
      <c r="H632">
        <v>150.49</v>
      </c>
      <c r="I632">
        <v>36.03</v>
      </c>
      <c r="J632">
        <v>119.13</v>
      </c>
      <c r="K632">
        <v>12</v>
      </c>
      <c r="T632">
        <v>4</v>
      </c>
      <c r="U632">
        <v>2</v>
      </c>
      <c r="V632" t="s">
        <v>269</v>
      </c>
      <c r="W632" t="s">
        <v>213</v>
      </c>
      <c r="X632">
        <v>12</v>
      </c>
      <c r="Y632">
        <v>12</v>
      </c>
      <c r="Z632" t="s">
        <v>1220</v>
      </c>
      <c r="AA632" t="s">
        <v>1221</v>
      </c>
      <c r="AB632" t="s">
        <v>272</v>
      </c>
      <c r="AC632" t="s">
        <v>273</v>
      </c>
      <c r="AD632" t="s">
        <v>274</v>
      </c>
      <c r="AE632" t="s">
        <v>1130</v>
      </c>
      <c r="AG632" t="s">
        <v>1222</v>
      </c>
      <c r="AH632">
        <v>0</v>
      </c>
      <c r="AI632">
        <v>202</v>
      </c>
      <c r="AJ632">
        <v>21</v>
      </c>
      <c r="AK632">
        <v>358</v>
      </c>
      <c r="AL632">
        <v>1.57</v>
      </c>
    </row>
    <row r="633" spans="1:38" x14ac:dyDescent="0.3">
      <c r="A633" t="s">
        <v>1126</v>
      </c>
      <c r="B633">
        <v>101942</v>
      </c>
      <c r="C633">
        <v>6</v>
      </c>
      <c r="D633" t="s">
        <v>1219</v>
      </c>
      <c r="E633" t="s">
        <v>1059</v>
      </c>
      <c r="F633">
        <v>228</v>
      </c>
      <c r="G633">
        <v>45.66</v>
      </c>
      <c r="H633">
        <v>150.94999999999999</v>
      </c>
      <c r="I633">
        <v>36.590000000000003</v>
      </c>
      <c r="J633">
        <v>120.96</v>
      </c>
      <c r="K633">
        <v>12</v>
      </c>
      <c r="T633">
        <v>4</v>
      </c>
      <c r="U633">
        <v>2</v>
      </c>
      <c r="V633" t="s">
        <v>269</v>
      </c>
      <c r="W633" t="s">
        <v>214</v>
      </c>
      <c r="X633">
        <v>12</v>
      </c>
      <c r="Y633">
        <v>12</v>
      </c>
      <c r="Z633" t="s">
        <v>1220</v>
      </c>
      <c r="AA633" t="s">
        <v>1221</v>
      </c>
      <c r="AB633" t="s">
        <v>272</v>
      </c>
      <c r="AC633" t="s">
        <v>273</v>
      </c>
      <c r="AD633" t="s">
        <v>274</v>
      </c>
      <c r="AE633" t="s">
        <v>1130</v>
      </c>
      <c r="AG633" t="s">
        <v>1222</v>
      </c>
      <c r="AH633">
        <v>0</v>
      </c>
      <c r="AI633">
        <v>202</v>
      </c>
      <c r="AJ633">
        <v>21</v>
      </c>
      <c r="AK633">
        <v>358</v>
      </c>
      <c r="AL633">
        <v>1.57</v>
      </c>
    </row>
    <row r="634" spans="1:38" x14ac:dyDescent="0.3">
      <c r="A634" t="s">
        <v>1126</v>
      </c>
      <c r="B634">
        <v>101942</v>
      </c>
      <c r="C634">
        <v>7</v>
      </c>
      <c r="D634" t="s">
        <v>1219</v>
      </c>
      <c r="E634" t="s">
        <v>1059</v>
      </c>
      <c r="F634">
        <v>228</v>
      </c>
      <c r="G634">
        <v>45.94</v>
      </c>
      <c r="H634">
        <v>151.9</v>
      </c>
      <c r="I634">
        <v>34.78</v>
      </c>
      <c r="J634">
        <v>115</v>
      </c>
      <c r="K634">
        <v>12</v>
      </c>
      <c r="T634">
        <v>4</v>
      </c>
      <c r="U634">
        <v>2</v>
      </c>
      <c r="V634" t="s">
        <v>269</v>
      </c>
      <c r="W634" t="s">
        <v>184</v>
      </c>
      <c r="X634">
        <v>12</v>
      </c>
      <c r="Y634">
        <v>12</v>
      </c>
      <c r="Z634" t="s">
        <v>1220</v>
      </c>
      <c r="AA634" t="s">
        <v>1221</v>
      </c>
      <c r="AB634" t="s">
        <v>272</v>
      </c>
      <c r="AC634" t="s">
        <v>273</v>
      </c>
      <c r="AD634" t="s">
        <v>274</v>
      </c>
      <c r="AE634" t="s">
        <v>1130</v>
      </c>
      <c r="AG634" t="s">
        <v>1222</v>
      </c>
      <c r="AH634">
        <v>0</v>
      </c>
      <c r="AI634">
        <v>202</v>
      </c>
      <c r="AJ634">
        <v>21</v>
      </c>
      <c r="AK634">
        <v>358</v>
      </c>
      <c r="AL634">
        <v>1.57</v>
      </c>
    </row>
    <row r="635" spans="1:38" x14ac:dyDescent="0.3">
      <c r="A635" t="s">
        <v>1126</v>
      </c>
      <c r="B635">
        <v>101942</v>
      </c>
      <c r="C635">
        <v>8</v>
      </c>
      <c r="D635" t="s">
        <v>1219</v>
      </c>
      <c r="E635" t="s">
        <v>1059</v>
      </c>
      <c r="F635">
        <v>228</v>
      </c>
      <c r="G635">
        <v>47.22</v>
      </c>
      <c r="H635">
        <v>156.13</v>
      </c>
      <c r="I635">
        <v>37.68</v>
      </c>
      <c r="J635">
        <v>124.57</v>
      </c>
      <c r="K635">
        <v>48</v>
      </c>
      <c r="T635">
        <v>4</v>
      </c>
      <c r="U635">
        <v>2</v>
      </c>
      <c r="V635" t="s">
        <v>269</v>
      </c>
      <c r="W635">
        <v>156</v>
      </c>
      <c r="X635">
        <v>12</v>
      </c>
      <c r="Y635">
        <v>12</v>
      </c>
      <c r="Z635" t="s">
        <v>1220</v>
      </c>
      <c r="AA635" t="s">
        <v>1221</v>
      </c>
      <c r="AB635" t="s">
        <v>272</v>
      </c>
      <c r="AC635" t="s">
        <v>273</v>
      </c>
      <c r="AD635" t="s">
        <v>274</v>
      </c>
      <c r="AE635" t="s">
        <v>1130</v>
      </c>
      <c r="AG635" t="s">
        <v>1222</v>
      </c>
      <c r="AH635">
        <v>0</v>
      </c>
      <c r="AI635">
        <v>202</v>
      </c>
      <c r="AJ635">
        <v>21</v>
      </c>
      <c r="AK635">
        <v>358</v>
      </c>
      <c r="AL635">
        <v>1.57</v>
      </c>
    </row>
    <row r="636" spans="1:38" x14ac:dyDescent="0.3">
      <c r="A636" t="s">
        <v>1126</v>
      </c>
      <c r="B636">
        <v>25566</v>
      </c>
      <c r="C636">
        <v>1</v>
      </c>
      <c r="D636" t="s">
        <v>1223</v>
      </c>
      <c r="E636" t="s">
        <v>1153</v>
      </c>
      <c r="F636">
        <v>1335</v>
      </c>
      <c r="G636">
        <v>20.72</v>
      </c>
      <c r="H636">
        <v>68.52</v>
      </c>
      <c r="I636">
        <v>15.07</v>
      </c>
      <c r="J636">
        <v>49.83</v>
      </c>
      <c r="K636">
        <v>180</v>
      </c>
      <c r="T636">
        <v>2</v>
      </c>
      <c r="U636">
        <v>1</v>
      </c>
      <c r="V636" t="s">
        <v>269</v>
      </c>
      <c r="W636">
        <v>68</v>
      </c>
      <c r="X636">
        <v>15</v>
      </c>
      <c r="Y636">
        <v>15</v>
      </c>
      <c r="Z636" t="s">
        <v>1224</v>
      </c>
      <c r="AA636" t="s">
        <v>1225</v>
      </c>
      <c r="AB636" t="s">
        <v>272</v>
      </c>
      <c r="AC636" t="s">
        <v>273</v>
      </c>
      <c r="AD636" t="s">
        <v>274</v>
      </c>
      <c r="AE636" t="s">
        <v>1130</v>
      </c>
      <c r="AG636" t="s">
        <v>1226</v>
      </c>
      <c r="AH636">
        <v>0</v>
      </c>
      <c r="AI636">
        <v>219</v>
      </c>
      <c r="AJ636">
        <v>18</v>
      </c>
      <c r="AK636">
        <v>1143</v>
      </c>
      <c r="AL636">
        <v>0.86</v>
      </c>
    </row>
    <row r="637" spans="1:38" x14ac:dyDescent="0.3">
      <c r="A637" t="s">
        <v>1126</v>
      </c>
      <c r="B637">
        <v>25566</v>
      </c>
      <c r="C637">
        <v>2</v>
      </c>
      <c r="D637" t="s">
        <v>1223</v>
      </c>
      <c r="E637" t="s">
        <v>1153</v>
      </c>
      <c r="F637">
        <v>1335</v>
      </c>
      <c r="G637">
        <v>24.92</v>
      </c>
      <c r="H637">
        <v>82.41</v>
      </c>
      <c r="I637">
        <v>18.12</v>
      </c>
      <c r="J637">
        <v>59.93</v>
      </c>
      <c r="K637">
        <v>1155</v>
      </c>
      <c r="T637">
        <v>3</v>
      </c>
      <c r="U637">
        <v>1</v>
      </c>
      <c r="V637" t="s">
        <v>269</v>
      </c>
      <c r="W637">
        <v>82</v>
      </c>
      <c r="X637">
        <v>15</v>
      </c>
      <c r="Y637">
        <v>15</v>
      </c>
      <c r="Z637" t="s">
        <v>1224</v>
      </c>
      <c r="AA637" t="s">
        <v>1225</v>
      </c>
      <c r="AB637" t="s">
        <v>272</v>
      </c>
      <c r="AC637" t="s">
        <v>273</v>
      </c>
      <c r="AD637" t="s">
        <v>274</v>
      </c>
      <c r="AE637" t="s">
        <v>1130</v>
      </c>
      <c r="AG637" t="s">
        <v>1226</v>
      </c>
      <c r="AH637">
        <v>0</v>
      </c>
      <c r="AI637">
        <v>219</v>
      </c>
      <c r="AJ637">
        <v>18</v>
      </c>
      <c r="AK637">
        <v>1143</v>
      </c>
      <c r="AL637">
        <v>0.86</v>
      </c>
    </row>
    <row r="638" spans="1:38" x14ac:dyDescent="0.3">
      <c r="A638" t="s">
        <v>1126</v>
      </c>
      <c r="B638">
        <v>25567</v>
      </c>
      <c r="C638">
        <v>1</v>
      </c>
      <c r="D638" t="s">
        <v>1227</v>
      </c>
      <c r="E638" t="s">
        <v>1153</v>
      </c>
      <c r="F638">
        <v>934</v>
      </c>
      <c r="G638">
        <v>21.03</v>
      </c>
      <c r="H638">
        <v>69.55</v>
      </c>
      <c r="I638">
        <v>15.07</v>
      </c>
      <c r="J638">
        <v>49.83</v>
      </c>
      <c r="K638">
        <v>934</v>
      </c>
      <c r="T638">
        <v>2</v>
      </c>
      <c r="U638">
        <v>1</v>
      </c>
      <c r="V638" t="s">
        <v>279</v>
      </c>
      <c r="W638">
        <v>69</v>
      </c>
      <c r="X638">
        <v>15</v>
      </c>
      <c r="Y638">
        <v>10</v>
      </c>
      <c r="Z638" t="s">
        <v>1228</v>
      </c>
      <c r="AA638" t="s">
        <v>1229</v>
      </c>
      <c r="AB638" t="s">
        <v>272</v>
      </c>
      <c r="AC638" t="s">
        <v>273</v>
      </c>
      <c r="AD638" t="s">
        <v>274</v>
      </c>
      <c r="AE638" t="s">
        <v>1130</v>
      </c>
      <c r="AG638" t="s">
        <v>1230</v>
      </c>
      <c r="AH638">
        <v>0</v>
      </c>
      <c r="AI638">
        <v>219</v>
      </c>
      <c r="AJ638">
        <v>18</v>
      </c>
      <c r="AK638">
        <v>758</v>
      </c>
      <c r="AL638">
        <v>0.81</v>
      </c>
    </row>
    <row r="639" spans="1:38" x14ac:dyDescent="0.3">
      <c r="A639" t="s">
        <v>1126</v>
      </c>
      <c r="B639">
        <v>122137</v>
      </c>
      <c r="C639">
        <v>1</v>
      </c>
      <c r="D639" t="s">
        <v>1231</v>
      </c>
      <c r="E639" t="s">
        <v>1232</v>
      </c>
      <c r="F639">
        <v>478</v>
      </c>
      <c r="G639">
        <v>25.1</v>
      </c>
      <c r="H639">
        <v>83</v>
      </c>
      <c r="I639">
        <v>18.14</v>
      </c>
      <c r="J639">
        <v>59.98</v>
      </c>
      <c r="K639">
        <v>107</v>
      </c>
      <c r="T639">
        <v>3</v>
      </c>
      <c r="U639">
        <v>2</v>
      </c>
      <c r="V639" t="s">
        <v>269</v>
      </c>
      <c r="W639" t="s">
        <v>112</v>
      </c>
      <c r="X639">
        <v>25</v>
      </c>
      <c r="Y639">
        <v>16</v>
      </c>
      <c r="Z639" t="s">
        <v>1233</v>
      </c>
      <c r="AA639" t="s">
        <v>1234</v>
      </c>
      <c r="AB639" t="s">
        <v>272</v>
      </c>
      <c r="AC639" t="s">
        <v>273</v>
      </c>
      <c r="AD639" t="s">
        <v>274</v>
      </c>
      <c r="AE639" t="s">
        <v>1130</v>
      </c>
      <c r="AG639" t="s">
        <v>1235</v>
      </c>
      <c r="AH639">
        <v>0</v>
      </c>
      <c r="AI639">
        <v>249</v>
      </c>
      <c r="AJ639">
        <v>16</v>
      </c>
      <c r="AK639">
        <v>619</v>
      </c>
      <c r="AL639">
        <v>1.29</v>
      </c>
    </row>
    <row r="640" spans="1:38" x14ac:dyDescent="0.3">
      <c r="A640" t="s">
        <v>1126</v>
      </c>
      <c r="B640">
        <v>122137</v>
      </c>
      <c r="C640">
        <v>2</v>
      </c>
      <c r="D640" t="s">
        <v>1231</v>
      </c>
      <c r="E640" t="s">
        <v>1232</v>
      </c>
      <c r="F640">
        <v>478</v>
      </c>
      <c r="G640">
        <v>31.82</v>
      </c>
      <c r="H640">
        <v>105.21</v>
      </c>
      <c r="I640">
        <v>23.27</v>
      </c>
      <c r="J640">
        <v>76.95</v>
      </c>
      <c r="K640">
        <v>275</v>
      </c>
      <c r="T640">
        <v>3</v>
      </c>
      <c r="U640">
        <v>2</v>
      </c>
      <c r="V640" t="s">
        <v>269</v>
      </c>
      <c r="W640" t="s">
        <v>215</v>
      </c>
      <c r="X640">
        <v>25</v>
      </c>
      <c r="Y640">
        <v>16</v>
      </c>
      <c r="Z640" t="s">
        <v>1233</v>
      </c>
      <c r="AA640" t="s">
        <v>1234</v>
      </c>
      <c r="AB640" t="s">
        <v>272</v>
      </c>
      <c r="AC640" t="s">
        <v>273</v>
      </c>
      <c r="AD640" t="s">
        <v>274</v>
      </c>
      <c r="AE640" t="s">
        <v>1130</v>
      </c>
      <c r="AG640" t="s">
        <v>1235</v>
      </c>
      <c r="AH640">
        <v>0</v>
      </c>
      <c r="AI640">
        <v>249</v>
      </c>
      <c r="AJ640">
        <v>16</v>
      </c>
      <c r="AK640">
        <v>619</v>
      </c>
      <c r="AL640">
        <v>1.29</v>
      </c>
    </row>
    <row r="641" spans="1:38" x14ac:dyDescent="0.3">
      <c r="A641" t="s">
        <v>1126</v>
      </c>
      <c r="B641">
        <v>122137</v>
      </c>
      <c r="C641">
        <v>3</v>
      </c>
      <c r="D641" t="s">
        <v>1231</v>
      </c>
      <c r="E641" t="s">
        <v>1232</v>
      </c>
      <c r="F641">
        <v>478</v>
      </c>
      <c r="G641">
        <v>31.95</v>
      </c>
      <c r="H641">
        <v>105.63</v>
      </c>
      <c r="I641">
        <v>23.23</v>
      </c>
      <c r="J641">
        <v>76.819999999999993</v>
      </c>
      <c r="K641">
        <v>96</v>
      </c>
      <c r="T641">
        <v>3</v>
      </c>
      <c r="U641">
        <v>2</v>
      </c>
      <c r="V641" t="s">
        <v>269</v>
      </c>
      <c r="W641" t="s">
        <v>208</v>
      </c>
      <c r="X641">
        <v>25</v>
      </c>
      <c r="Y641">
        <v>16</v>
      </c>
      <c r="Z641" t="s">
        <v>1233</v>
      </c>
      <c r="AA641" t="s">
        <v>1234</v>
      </c>
      <c r="AB641" t="s">
        <v>272</v>
      </c>
      <c r="AC641" t="s">
        <v>273</v>
      </c>
      <c r="AD641" t="s">
        <v>274</v>
      </c>
      <c r="AE641" t="s">
        <v>1130</v>
      </c>
      <c r="AG641" t="s">
        <v>1235</v>
      </c>
      <c r="AH641">
        <v>0</v>
      </c>
      <c r="AI641">
        <v>249</v>
      </c>
      <c r="AJ641">
        <v>16</v>
      </c>
      <c r="AK641">
        <v>619</v>
      </c>
      <c r="AL641">
        <v>1.29</v>
      </c>
    </row>
    <row r="642" spans="1:38" x14ac:dyDescent="0.3">
      <c r="A642" t="s">
        <v>1126</v>
      </c>
      <c r="B642">
        <v>103742</v>
      </c>
      <c r="C642">
        <v>1</v>
      </c>
      <c r="D642" t="s">
        <v>1236</v>
      </c>
      <c r="E642" t="s">
        <v>433</v>
      </c>
      <c r="F642">
        <v>190</v>
      </c>
      <c r="G642">
        <v>22.3</v>
      </c>
      <c r="H642">
        <v>73.739999999999995</v>
      </c>
      <c r="I642">
        <v>20.21</v>
      </c>
      <c r="J642">
        <v>66.83</v>
      </c>
      <c r="K642">
        <v>60</v>
      </c>
      <c r="T642">
        <v>2</v>
      </c>
      <c r="U642">
        <v>1</v>
      </c>
      <c r="V642" t="s">
        <v>269</v>
      </c>
      <c r="W642">
        <v>73</v>
      </c>
      <c r="X642">
        <v>5</v>
      </c>
      <c r="Y642">
        <v>5</v>
      </c>
      <c r="Z642" t="s">
        <v>1237</v>
      </c>
      <c r="AA642" t="s">
        <v>1238</v>
      </c>
      <c r="AB642" t="s">
        <v>272</v>
      </c>
      <c r="AC642" t="s">
        <v>273</v>
      </c>
      <c r="AD642" t="s">
        <v>274</v>
      </c>
      <c r="AE642" t="s">
        <v>1130</v>
      </c>
      <c r="AG642" t="s">
        <v>1239</v>
      </c>
      <c r="AH642">
        <v>0</v>
      </c>
      <c r="AI642">
        <v>0</v>
      </c>
      <c r="AJ642">
        <v>0</v>
      </c>
      <c r="AK642">
        <v>0</v>
      </c>
      <c r="AL642">
        <v>0</v>
      </c>
    </row>
    <row r="643" spans="1:38" x14ac:dyDescent="0.3">
      <c r="A643" t="s">
        <v>1126</v>
      </c>
      <c r="B643">
        <v>103742</v>
      </c>
      <c r="C643">
        <v>2</v>
      </c>
      <c r="D643" t="s">
        <v>1236</v>
      </c>
      <c r="E643" t="s">
        <v>433</v>
      </c>
      <c r="F643">
        <v>190</v>
      </c>
      <c r="G643">
        <v>24.17</v>
      </c>
      <c r="H643">
        <v>79.92</v>
      </c>
      <c r="I643">
        <v>20.21</v>
      </c>
      <c r="J643">
        <v>66.83</v>
      </c>
      <c r="K643">
        <v>30</v>
      </c>
      <c r="T643">
        <v>2</v>
      </c>
      <c r="U643">
        <v>1</v>
      </c>
      <c r="V643" t="s">
        <v>269</v>
      </c>
      <c r="W643">
        <v>79</v>
      </c>
      <c r="X643">
        <v>5</v>
      </c>
      <c r="Y643">
        <v>5</v>
      </c>
      <c r="Z643" t="s">
        <v>1237</v>
      </c>
      <c r="AA643" t="s">
        <v>1238</v>
      </c>
      <c r="AB643" t="s">
        <v>272</v>
      </c>
      <c r="AC643" t="s">
        <v>273</v>
      </c>
      <c r="AD643" t="s">
        <v>274</v>
      </c>
      <c r="AE643" t="s">
        <v>1130</v>
      </c>
      <c r="AG643" t="s">
        <v>1239</v>
      </c>
      <c r="AH643">
        <v>0</v>
      </c>
      <c r="AI643">
        <v>0</v>
      </c>
      <c r="AJ643">
        <v>0</v>
      </c>
      <c r="AK643">
        <v>0</v>
      </c>
      <c r="AL643">
        <v>0</v>
      </c>
    </row>
    <row r="644" spans="1:38" x14ac:dyDescent="0.3">
      <c r="A644" t="s">
        <v>1126</v>
      </c>
      <c r="B644">
        <v>103742</v>
      </c>
      <c r="C644">
        <v>3</v>
      </c>
      <c r="D644" t="s">
        <v>1236</v>
      </c>
      <c r="E644" t="s">
        <v>433</v>
      </c>
      <c r="F644">
        <v>190</v>
      </c>
      <c r="G644">
        <v>26.15</v>
      </c>
      <c r="H644">
        <v>86.46</v>
      </c>
      <c r="I644">
        <v>23.14</v>
      </c>
      <c r="J644">
        <v>76.5</v>
      </c>
      <c r="K644">
        <v>70</v>
      </c>
      <c r="T644">
        <v>3</v>
      </c>
      <c r="U644">
        <v>1</v>
      </c>
      <c r="V644" t="s">
        <v>269</v>
      </c>
      <c r="W644">
        <v>86</v>
      </c>
      <c r="X644">
        <v>5</v>
      </c>
      <c r="Y644">
        <v>5</v>
      </c>
      <c r="Z644" t="s">
        <v>1237</v>
      </c>
      <c r="AA644" t="s">
        <v>1238</v>
      </c>
      <c r="AB644" t="s">
        <v>272</v>
      </c>
      <c r="AC644" t="s">
        <v>273</v>
      </c>
      <c r="AD644" t="s">
        <v>274</v>
      </c>
      <c r="AE644" t="s">
        <v>1130</v>
      </c>
      <c r="AG644" t="s">
        <v>1239</v>
      </c>
      <c r="AH644">
        <v>0</v>
      </c>
      <c r="AI644">
        <v>0</v>
      </c>
      <c r="AJ644">
        <v>0</v>
      </c>
      <c r="AK644">
        <v>0</v>
      </c>
      <c r="AL644">
        <v>0</v>
      </c>
    </row>
    <row r="645" spans="1:38" x14ac:dyDescent="0.3">
      <c r="A645" t="s">
        <v>1126</v>
      </c>
      <c r="B645">
        <v>103742</v>
      </c>
      <c r="C645">
        <v>4</v>
      </c>
      <c r="D645" t="s">
        <v>1236</v>
      </c>
      <c r="E645" t="s">
        <v>433</v>
      </c>
      <c r="F645">
        <v>190</v>
      </c>
      <c r="G645">
        <v>27.66</v>
      </c>
      <c r="H645">
        <v>91.44</v>
      </c>
      <c r="I645">
        <v>23.14</v>
      </c>
      <c r="J645">
        <v>76.5</v>
      </c>
      <c r="K645">
        <v>30</v>
      </c>
      <c r="T645">
        <v>3</v>
      </c>
      <c r="U645">
        <v>1</v>
      </c>
      <c r="V645" t="s">
        <v>269</v>
      </c>
      <c r="W645">
        <v>91</v>
      </c>
      <c r="X645">
        <v>5</v>
      </c>
      <c r="Y645">
        <v>5</v>
      </c>
      <c r="Z645" t="s">
        <v>1237</v>
      </c>
      <c r="AA645" t="s">
        <v>1238</v>
      </c>
      <c r="AB645" t="s">
        <v>272</v>
      </c>
      <c r="AC645" t="s">
        <v>273</v>
      </c>
      <c r="AD645" t="s">
        <v>274</v>
      </c>
      <c r="AE645" t="s">
        <v>1130</v>
      </c>
      <c r="AG645" t="s">
        <v>1239</v>
      </c>
      <c r="AH645">
        <v>0</v>
      </c>
      <c r="AI645">
        <v>0</v>
      </c>
      <c r="AJ645">
        <v>0</v>
      </c>
      <c r="AK645">
        <v>0</v>
      </c>
      <c r="AL645">
        <v>0</v>
      </c>
    </row>
    <row r="646" spans="1:38" x14ac:dyDescent="0.3">
      <c r="A646" t="s">
        <v>1126</v>
      </c>
      <c r="B646">
        <v>17748</v>
      </c>
      <c r="C646">
        <v>1</v>
      </c>
      <c r="D646" t="s">
        <v>1240</v>
      </c>
      <c r="E646" t="s">
        <v>1241</v>
      </c>
      <c r="F646">
        <v>221</v>
      </c>
      <c r="G646">
        <v>34.090000000000003</v>
      </c>
      <c r="H646">
        <v>112.72</v>
      </c>
      <c r="I646">
        <v>25.55</v>
      </c>
      <c r="J646">
        <v>84.48</v>
      </c>
      <c r="K646">
        <v>195</v>
      </c>
      <c r="T646">
        <v>3</v>
      </c>
      <c r="U646">
        <v>2</v>
      </c>
      <c r="V646" t="s">
        <v>269</v>
      </c>
      <c r="W646">
        <v>112</v>
      </c>
      <c r="X646">
        <v>15</v>
      </c>
      <c r="Y646">
        <v>7</v>
      </c>
      <c r="Z646" t="s">
        <v>1242</v>
      </c>
      <c r="AA646" t="s">
        <v>1243</v>
      </c>
      <c r="AB646" t="s">
        <v>272</v>
      </c>
      <c r="AC646" t="s">
        <v>273</v>
      </c>
      <c r="AD646" t="s">
        <v>274</v>
      </c>
      <c r="AE646" t="s">
        <v>1130</v>
      </c>
      <c r="AG646" t="s">
        <v>1244</v>
      </c>
      <c r="AH646">
        <v>0</v>
      </c>
      <c r="AI646">
        <v>230</v>
      </c>
      <c r="AJ646">
        <v>23</v>
      </c>
      <c r="AK646">
        <v>146</v>
      </c>
      <c r="AL646">
        <v>0.66</v>
      </c>
    </row>
    <row r="647" spans="1:38" x14ac:dyDescent="0.3">
      <c r="A647" t="s">
        <v>1126</v>
      </c>
      <c r="B647">
        <v>17748</v>
      </c>
      <c r="C647">
        <v>2</v>
      </c>
      <c r="D647" t="s">
        <v>1240</v>
      </c>
      <c r="E647" t="s">
        <v>1241</v>
      </c>
      <c r="F647">
        <v>221</v>
      </c>
      <c r="G647">
        <v>34.950000000000003</v>
      </c>
      <c r="H647">
        <v>115.55</v>
      </c>
      <c r="I647">
        <v>25.63</v>
      </c>
      <c r="J647">
        <v>84.74</v>
      </c>
      <c r="K647">
        <v>26</v>
      </c>
      <c r="T647">
        <v>3</v>
      </c>
      <c r="U647">
        <v>2</v>
      </c>
      <c r="V647" t="s">
        <v>269</v>
      </c>
      <c r="W647">
        <v>115</v>
      </c>
      <c r="X647">
        <v>15</v>
      </c>
      <c r="Y647">
        <v>7</v>
      </c>
      <c r="Z647" t="s">
        <v>1242</v>
      </c>
      <c r="AA647" t="s">
        <v>1243</v>
      </c>
      <c r="AB647" t="s">
        <v>272</v>
      </c>
      <c r="AC647" t="s">
        <v>273</v>
      </c>
      <c r="AD647" t="s">
        <v>274</v>
      </c>
      <c r="AE647" t="s">
        <v>1130</v>
      </c>
      <c r="AG647" t="s">
        <v>1244</v>
      </c>
      <c r="AH647">
        <v>0</v>
      </c>
      <c r="AI647">
        <v>230</v>
      </c>
      <c r="AJ647">
        <v>23</v>
      </c>
      <c r="AK647">
        <v>146</v>
      </c>
      <c r="AL647">
        <v>0.66</v>
      </c>
    </row>
    <row r="648" spans="1:38" x14ac:dyDescent="0.3">
      <c r="A648" t="s">
        <v>1126</v>
      </c>
      <c r="B648">
        <v>116989</v>
      </c>
      <c r="C648">
        <v>1</v>
      </c>
      <c r="D648" t="s">
        <v>1245</v>
      </c>
      <c r="E648" t="s">
        <v>1246</v>
      </c>
      <c r="F648">
        <v>47</v>
      </c>
      <c r="G648">
        <v>26.42</v>
      </c>
      <c r="H648">
        <v>87.35</v>
      </c>
      <c r="I648">
        <v>21.75</v>
      </c>
      <c r="J648">
        <v>71.91</v>
      </c>
      <c r="K648">
        <v>6</v>
      </c>
      <c r="T648">
        <v>3</v>
      </c>
      <c r="U648">
        <v>2</v>
      </c>
      <c r="V648" t="s">
        <v>279</v>
      </c>
      <c r="W648">
        <v>87</v>
      </c>
      <c r="X648">
        <v>6</v>
      </c>
      <c r="Y648">
        <v>6</v>
      </c>
      <c r="Z648" t="s">
        <v>1247</v>
      </c>
      <c r="AA648" t="s">
        <v>1248</v>
      </c>
      <c r="AB648" t="s">
        <v>272</v>
      </c>
      <c r="AC648" t="s">
        <v>273</v>
      </c>
      <c r="AD648" t="s">
        <v>274</v>
      </c>
      <c r="AE648" t="s">
        <v>1130</v>
      </c>
      <c r="AG648" t="s">
        <v>1249</v>
      </c>
      <c r="AH648">
        <v>0</v>
      </c>
      <c r="AI648">
        <v>0</v>
      </c>
      <c r="AJ648">
        <v>0</v>
      </c>
      <c r="AK648">
        <v>0</v>
      </c>
      <c r="AL648">
        <v>0</v>
      </c>
    </row>
    <row r="649" spans="1:38" x14ac:dyDescent="0.3">
      <c r="A649" t="s">
        <v>1126</v>
      </c>
      <c r="B649">
        <v>116989</v>
      </c>
      <c r="C649">
        <v>2</v>
      </c>
      <c r="D649" t="s">
        <v>1245</v>
      </c>
      <c r="E649" t="s">
        <v>1246</v>
      </c>
      <c r="F649">
        <v>47</v>
      </c>
      <c r="G649">
        <v>30.68</v>
      </c>
      <c r="H649">
        <v>101.43</v>
      </c>
      <c r="I649">
        <v>25.37</v>
      </c>
      <c r="J649">
        <v>83.88</v>
      </c>
      <c r="K649">
        <v>25</v>
      </c>
      <c r="T649">
        <v>3</v>
      </c>
      <c r="U649">
        <v>2</v>
      </c>
      <c r="V649" t="s">
        <v>279</v>
      </c>
      <c r="W649" t="s">
        <v>1250</v>
      </c>
      <c r="X649">
        <v>6</v>
      </c>
      <c r="Y649">
        <v>6</v>
      </c>
      <c r="Z649" t="s">
        <v>1247</v>
      </c>
      <c r="AA649" t="s">
        <v>1248</v>
      </c>
      <c r="AB649" t="s">
        <v>272</v>
      </c>
      <c r="AC649" t="s">
        <v>273</v>
      </c>
      <c r="AD649" t="s">
        <v>274</v>
      </c>
      <c r="AE649" t="s">
        <v>1130</v>
      </c>
      <c r="AG649" t="s">
        <v>1249</v>
      </c>
      <c r="AH649">
        <v>0</v>
      </c>
      <c r="AI649">
        <v>0</v>
      </c>
      <c r="AJ649">
        <v>0</v>
      </c>
      <c r="AK649">
        <v>0</v>
      </c>
      <c r="AL649">
        <v>0</v>
      </c>
    </row>
    <row r="650" spans="1:38" x14ac:dyDescent="0.3">
      <c r="A650" t="s">
        <v>1126</v>
      </c>
      <c r="B650">
        <v>116989</v>
      </c>
      <c r="C650">
        <v>3</v>
      </c>
      <c r="D650" t="s">
        <v>1245</v>
      </c>
      <c r="E650" t="s">
        <v>1246</v>
      </c>
      <c r="F650">
        <v>47</v>
      </c>
      <c r="G650">
        <v>30.63</v>
      </c>
      <c r="H650">
        <v>101.27</v>
      </c>
      <c r="I650">
        <v>25.23</v>
      </c>
      <c r="J650">
        <v>83.43</v>
      </c>
      <c r="K650">
        <v>6</v>
      </c>
      <c r="T650">
        <v>3</v>
      </c>
      <c r="U650">
        <v>2</v>
      </c>
      <c r="V650" t="s">
        <v>279</v>
      </c>
      <c r="W650" t="s">
        <v>1251</v>
      </c>
      <c r="X650">
        <v>6</v>
      </c>
      <c r="Y650">
        <v>6</v>
      </c>
      <c r="Z650" t="s">
        <v>1247</v>
      </c>
      <c r="AA650" t="s">
        <v>1248</v>
      </c>
      <c r="AB650" t="s">
        <v>272</v>
      </c>
      <c r="AC650" t="s">
        <v>273</v>
      </c>
      <c r="AD650" t="s">
        <v>274</v>
      </c>
      <c r="AE650" t="s">
        <v>1130</v>
      </c>
      <c r="AG650" t="s">
        <v>1249</v>
      </c>
      <c r="AH650">
        <v>0</v>
      </c>
      <c r="AI650">
        <v>0</v>
      </c>
      <c r="AJ650">
        <v>0</v>
      </c>
      <c r="AK650">
        <v>0</v>
      </c>
      <c r="AL650">
        <v>0</v>
      </c>
    </row>
    <row r="651" spans="1:38" x14ac:dyDescent="0.3">
      <c r="A651" t="s">
        <v>1126</v>
      </c>
      <c r="B651">
        <v>116989</v>
      </c>
      <c r="C651">
        <v>4</v>
      </c>
      <c r="D651" t="s">
        <v>1245</v>
      </c>
      <c r="E651" t="s">
        <v>1246</v>
      </c>
      <c r="F651">
        <v>47</v>
      </c>
      <c r="G651">
        <v>30.71</v>
      </c>
      <c r="H651">
        <v>101.54</v>
      </c>
      <c r="I651">
        <v>25.67</v>
      </c>
      <c r="J651">
        <v>84.87</v>
      </c>
      <c r="K651">
        <v>5</v>
      </c>
      <c r="T651">
        <v>3</v>
      </c>
      <c r="U651">
        <v>2</v>
      </c>
      <c r="V651" t="s">
        <v>279</v>
      </c>
      <c r="W651" t="s">
        <v>1252</v>
      </c>
      <c r="X651">
        <v>6</v>
      </c>
      <c r="Y651">
        <v>6</v>
      </c>
      <c r="Z651" t="s">
        <v>1247</v>
      </c>
      <c r="AA651" t="s">
        <v>1248</v>
      </c>
      <c r="AB651" t="s">
        <v>272</v>
      </c>
      <c r="AC651" t="s">
        <v>273</v>
      </c>
      <c r="AD651" t="s">
        <v>274</v>
      </c>
      <c r="AE651" t="s">
        <v>1130</v>
      </c>
      <c r="AG651" t="s">
        <v>1249</v>
      </c>
      <c r="AH651">
        <v>0</v>
      </c>
      <c r="AI651">
        <v>0</v>
      </c>
      <c r="AJ651">
        <v>0</v>
      </c>
      <c r="AK651">
        <v>0</v>
      </c>
      <c r="AL651">
        <v>0</v>
      </c>
    </row>
    <row r="652" spans="1:38" x14ac:dyDescent="0.3">
      <c r="A652" t="s">
        <v>1126</v>
      </c>
      <c r="B652">
        <v>116989</v>
      </c>
      <c r="C652">
        <v>5</v>
      </c>
      <c r="D652" t="s">
        <v>1245</v>
      </c>
      <c r="E652" t="s">
        <v>1246</v>
      </c>
      <c r="F652">
        <v>47</v>
      </c>
      <c r="G652">
        <v>30.56</v>
      </c>
      <c r="H652">
        <v>101.03</v>
      </c>
      <c r="I652">
        <v>24.8</v>
      </c>
      <c r="J652">
        <v>81.99</v>
      </c>
      <c r="K652">
        <v>4</v>
      </c>
      <c r="T652">
        <v>3</v>
      </c>
      <c r="U652">
        <v>2</v>
      </c>
      <c r="V652" t="s">
        <v>279</v>
      </c>
      <c r="W652" t="s">
        <v>765</v>
      </c>
      <c r="X652">
        <v>6</v>
      </c>
      <c r="Y652">
        <v>6</v>
      </c>
      <c r="Z652" t="s">
        <v>1247</v>
      </c>
      <c r="AA652" t="s">
        <v>1248</v>
      </c>
      <c r="AB652" t="s">
        <v>272</v>
      </c>
      <c r="AC652" t="s">
        <v>273</v>
      </c>
      <c r="AD652" t="s">
        <v>274</v>
      </c>
      <c r="AE652" t="s">
        <v>1130</v>
      </c>
      <c r="AG652" t="s">
        <v>1249</v>
      </c>
      <c r="AH652">
        <v>0</v>
      </c>
      <c r="AI652">
        <v>0</v>
      </c>
      <c r="AJ652">
        <v>0</v>
      </c>
      <c r="AK652">
        <v>0</v>
      </c>
      <c r="AL652">
        <v>0</v>
      </c>
    </row>
    <row r="653" spans="1:38" x14ac:dyDescent="0.3">
      <c r="A653" t="s">
        <v>1126</v>
      </c>
      <c r="B653">
        <v>116989</v>
      </c>
      <c r="C653">
        <v>6</v>
      </c>
      <c r="D653" t="s">
        <v>1245</v>
      </c>
      <c r="E653" t="s">
        <v>1246</v>
      </c>
      <c r="F653">
        <v>47</v>
      </c>
      <c r="G653">
        <v>30.55</v>
      </c>
      <c r="H653">
        <v>101.02</v>
      </c>
      <c r="I653">
        <v>24.8</v>
      </c>
      <c r="J653">
        <v>81.99</v>
      </c>
      <c r="K653">
        <v>1</v>
      </c>
      <c r="T653">
        <v>3</v>
      </c>
      <c r="U653">
        <v>2</v>
      </c>
      <c r="V653" t="s">
        <v>279</v>
      </c>
      <c r="W653" t="s">
        <v>142</v>
      </c>
      <c r="X653">
        <v>6</v>
      </c>
      <c r="Y653">
        <v>6</v>
      </c>
      <c r="Z653" t="s">
        <v>1247</v>
      </c>
      <c r="AA653" t="s">
        <v>1248</v>
      </c>
      <c r="AB653" t="s">
        <v>272</v>
      </c>
      <c r="AC653" t="s">
        <v>273</v>
      </c>
      <c r="AD653" t="s">
        <v>274</v>
      </c>
      <c r="AE653" t="s">
        <v>1130</v>
      </c>
      <c r="AG653" t="s">
        <v>1249</v>
      </c>
      <c r="AH653">
        <v>0</v>
      </c>
      <c r="AI653">
        <v>0</v>
      </c>
      <c r="AJ653">
        <v>0</v>
      </c>
      <c r="AK653">
        <v>0</v>
      </c>
      <c r="AL653">
        <v>0</v>
      </c>
    </row>
    <row r="654" spans="1:38" x14ac:dyDescent="0.3">
      <c r="A654" t="s">
        <v>1126</v>
      </c>
      <c r="B654">
        <v>116946</v>
      </c>
      <c r="C654">
        <v>1</v>
      </c>
      <c r="D654" t="s">
        <v>1253</v>
      </c>
      <c r="E654" t="s">
        <v>1254</v>
      </c>
      <c r="F654">
        <v>28</v>
      </c>
      <c r="G654">
        <v>22.62</v>
      </c>
      <c r="H654">
        <v>74.790000000000006</v>
      </c>
      <c r="I654">
        <v>17.84</v>
      </c>
      <c r="J654">
        <v>59</v>
      </c>
      <c r="K654">
        <v>13</v>
      </c>
      <c r="T654">
        <v>3</v>
      </c>
      <c r="U654">
        <v>2</v>
      </c>
      <c r="V654" t="s">
        <v>269</v>
      </c>
      <c r="W654" t="s">
        <v>67</v>
      </c>
      <c r="X654">
        <v>7</v>
      </c>
      <c r="Y654">
        <v>7</v>
      </c>
      <c r="Z654" t="s">
        <v>1255</v>
      </c>
      <c r="AA654" t="s">
        <v>1256</v>
      </c>
      <c r="AB654" t="s">
        <v>272</v>
      </c>
      <c r="AC654" t="s">
        <v>273</v>
      </c>
      <c r="AD654" t="s">
        <v>274</v>
      </c>
      <c r="AE654" t="s">
        <v>1130</v>
      </c>
      <c r="AG654" t="s">
        <v>1257</v>
      </c>
      <c r="AH654">
        <v>0</v>
      </c>
      <c r="AI654">
        <v>193</v>
      </c>
      <c r="AJ654">
        <v>34</v>
      </c>
      <c r="AK654">
        <v>22</v>
      </c>
      <c r="AL654">
        <v>0.79</v>
      </c>
    </row>
    <row r="655" spans="1:38" x14ac:dyDescent="0.3">
      <c r="A655" t="s">
        <v>1126</v>
      </c>
      <c r="B655">
        <v>116946</v>
      </c>
      <c r="C655">
        <v>2</v>
      </c>
      <c r="D655" t="s">
        <v>1253</v>
      </c>
      <c r="E655" t="s">
        <v>1254</v>
      </c>
      <c r="F655">
        <v>28</v>
      </c>
      <c r="G655">
        <v>22.62</v>
      </c>
      <c r="H655">
        <v>74.790000000000006</v>
      </c>
      <c r="I655">
        <v>17.84</v>
      </c>
      <c r="J655">
        <v>59</v>
      </c>
      <c r="K655">
        <v>1</v>
      </c>
      <c r="T655">
        <v>3</v>
      </c>
      <c r="U655">
        <v>2</v>
      </c>
      <c r="V655" t="s">
        <v>269</v>
      </c>
      <c r="W655" t="s">
        <v>187</v>
      </c>
      <c r="X655">
        <v>7</v>
      </c>
      <c r="Y655">
        <v>7</v>
      </c>
      <c r="Z655" t="s">
        <v>1255</v>
      </c>
      <c r="AA655" t="s">
        <v>1256</v>
      </c>
      <c r="AB655" t="s">
        <v>272</v>
      </c>
      <c r="AC655" t="s">
        <v>273</v>
      </c>
      <c r="AD655" t="s">
        <v>274</v>
      </c>
      <c r="AE655" t="s">
        <v>1130</v>
      </c>
      <c r="AG655" t="s">
        <v>1257</v>
      </c>
      <c r="AH655">
        <v>0</v>
      </c>
      <c r="AI655">
        <v>193</v>
      </c>
      <c r="AJ655">
        <v>34</v>
      </c>
      <c r="AK655">
        <v>22</v>
      </c>
      <c r="AL655">
        <v>0.79</v>
      </c>
    </row>
    <row r="656" spans="1:38" x14ac:dyDescent="0.3">
      <c r="A656" t="s">
        <v>1126</v>
      </c>
      <c r="B656">
        <v>116946</v>
      </c>
      <c r="C656">
        <v>3</v>
      </c>
      <c r="D656" t="s">
        <v>1253</v>
      </c>
      <c r="E656" t="s">
        <v>1254</v>
      </c>
      <c r="F656">
        <v>28</v>
      </c>
      <c r="G656">
        <v>32.25</v>
      </c>
      <c r="H656">
        <v>106.64</v>
      </c>
      <c r="I656">
        <v>25.44</v>
      </c>
      <c r="J656">
        <v>84.13</v>
      </c>
      <c r="K656">
        <v>13</v>
      </c>
      <c r="T656">
        <v>3</v>
      </c>
      <c r="U656">
        <v>2</v>
      </c>
      <c r="V656" t="s">
        <v>269</v>
      </c>
      <c r="W656" t="s">
        <v>92</v>
      </c>
      <c r="X656">
        <v>7</v>
      </c>
      <c r="Y656">
        <v>7</v>
      </c>
      <c r="Z656" t="s">
        <v>1255</v>
      </c>
      <c r="AA656" t="s">
        <v>1256</v>
      </c>
      <c r="AB656" t="s">
        <v>272</v>
      </c>
      <c r="AC656" t="s">
        <v>273</v>
      </c>
      <c r="AD656" t="s">
        <v>274</v>
      </c>
      <c r="AE656" t="s">
        <v>1130</v>
      </c>
      <c r="AG656" t="s">
        <v>1257</v>
      </c>
      <c r="AH656">
        <v>0</v>
      </c>
      <c r="AI656">
        <v>193</v>
      </c>
      <c r="AJ656">
        <v>34</v>
      </c>
      <c r="AK656">
        <v>22</v>
      </c>
      <c r="AL656">
        <v>0.79</v>
      </c>
    </row>
    <row r="657" spans="1:38" x14ac:dyDescent="0.3">
      <c r="A657" t="s">
        <v>1126</v>
      </c>
      <c r="B657">
        <v>116946</v>
      </c>
      <c r="C657">
        <v>4</v>
      </c>
      <c r="D657" t="s">
        <v>1253</v>
      </c>
      <c r="E657" t="s">
        <v>1254</v>
      </c>
      <c r="F657">
        <v>28</v>
      </c>
      <c r="G657">
        <v>32.25</v>
      </c>
      <c r="H657">
        <v>106.64</v>
      </c>
      <c r="I657">
        <v>25.44</v>
      </c>
      <c r="J657">
        <v>84.13</v>
      </c>
      <c r="K657">
        <v>1</v>
      </c>
      <c r="T657">
        <v>3</v>
      </c>
      <c r="U657">
        <v>2</v>
      </c>
      <c r="V657" t="s">
        <v>269</v>
      </c>
      <c r="W657" t="s">
        <v>219</v>
      </c>
      <c r="X657">
        <v>7</v>
      </c>
      <c r="Y657">
        <v>7</v>
      </c>
      <c r="Z657" t="s">
        <v>1255</v>
      </c>
      <c r="AA657" t="s">
        <v>1256</v>
      </c>
      <c r="AB657" t="s">
        <v>272</v>
      </c>
      <c r="AC657" t="s">
        <v>273</v>
      </c>
      <c r="AD657" t="s">
        <v>274</v>
      </c>
      <c r="AE657" t="s">
        <v>1130</v>
      </c>
      <c r="AG657" t="s">
        <v>1257</v>
      </c>
      <c r="AH657">
        <v>0</v>
      </c>
      <c r="AI657">
        <v>193</v>
      </c>
      <c r="AJ657">
        <v>34</v>
      </c>
      <c r="AK657">
        <v>22</v>
      </c>
      <c r="AL657">
        <v>0.79</v>
      </c>
    </row>
    <row r="658" spans="1:38" x14ac:dyDescent="0.3">
      <c r="A658" t="s">
        <v>1126</v>
      </c>
      <c r="B658">
        <v>25564</v>
      </c>
      <c r="C658">
        <v>1</v>
      </c>
      <c r="D658" t="s">
        <v>1258</v>
      </c>
      <c r="E658" t="s">
        <v>741</v>
      </c>
      <c r="F658">
        <v>960</v>
      </c>
      <c r="G658">
        <v>20.57</v>
      </c>
      <c r="H658">
        <v>68.02</v>
      </c>
      <c r="I658">
        <v>15.1</v>
      </c>
      <c r="J658">
        <v>49.95</v>
      </c>
      <c r="K658">
        <v>495</v>
      </c>
      <c r="T658">
        <v>2</v>
      </c>
      <c r="U658">
        <v>1</v>
      </c>
      <c r="V658" t="s">
        <v>269</v>
      </c>
      <c r="W658">
        <v>68</v>
      </c>
      <c r="X658">
        <v>15</v>
      </c>
      <c r="Y658">
        <v>15</v>
      </c>
      <c r="Z658" t="s">
        <v>1259</v>
      </c>
      <c r="AA658" t="s">
        <v>1260</v>
      </c>
      <c r="AB658" t="s">
        <v>272</v>
      </c>
      <c r="AC658" t="s">
        <v>273</v>
      </c>
      <c r="AD658" t="s">
        <v>274</v>
      </c>
      <c r="AE658" t="s">
        <v>1130</v>
      </c>
      <c r="AG658" t="s">
        <v>1261</v>
      </c>
      <c r="AH658">
        <v>0</v>
      </c>
      <c r="AI658">
        <v>219</v>
      </c>
      <c r="AJ658">
        <v>17</v>
      </c>
      <c r="AK658">
        <v>963</v>
      </c>
      <c r="AL658">
        <v>1</v>
      </c>
    </row>
    <row r="659" spans="1:38" x14ac:dyDescent="0.3">
      <c r="A659" t="s">
        <v>1126</v>
      </c>
      <c r="B659">
        <v>25564</v>
      </c>
      <c r="C659">
        <v>2</v>
      </c>
      <c r="D659" t="s">
        <v>1258</v>
      </c>
      <c r="E659" t="s">
        <v>741</v>
      </c>
      <c r="F659">
        <v>960</v>
      </c>
      <c r="G659">
        <v>24.49</v>
      </c>
      <c r="H659">
        <v>80.98</v>
      </c>
      <c r="I659">
        <v>17.98</v>
      </c>
      <c r="J659">
        <v>59.47</v>
      </c>
      <c r="K659">
        <v>465</v>
      </c>
      <c r="T659">
        <v>3</v>
      </c>
      <c r="U659">
        <v>1</v>
      </c>
      <c r="V659" t="s">
        <v>269</v>
      </c>
      <c r="W659">
        <v>80</v>
      </c>
      <c r="X659">
        <v>15</v>
      </c>
      <c r="Y659">
        <v>15</v>
      </c>
      <c r="Z659" t="s">
        <v>1259</v>
      </c>
      <c r="AA659" t="s">
        <v>1260</v>
      </c>
      <c r="AB659" t="s">
        <v>272</v>
      </c>
      <c r="AC659" t="s">
        <v>273</v>
      </c>
      <c r="AD659" t="s">
        <v>274</v>
      </c>
      <c r="AE659" t="s">
        <v>1130</v>
      </c>
      <c r="AG659" t="s">
        <v>1261</v>
      </c>
      <c r="AH659">
        <v>0</v>
      </c>
      <c r="AI659">
        <v>219</v>
      </c>
      <c r="AJ659">
        <v>17</v>
      </c>
      <c r="AK659">
        <v>963</v>
      </c>
      <c r="AL659">
        <v>1</v>
      </c>
    </row>
    <row r="660" spans="1:38" x14ac:dyDescent="0.3">
      <c r="A660" t="s">
        <v>1126</v>
      </c>
      <c r="B660">
        <v>5563</v>
      </c>
      <c r="C660">
        <v>1</v>
      </c>
      <c r="D660" t="s">
        <v>1262</v>
      </c>
      <c r="E660" t="s">
        <v>1153</v>
      </c>
      <c r="F660">
        <v>240</v>
      </c>
      <c r="G660">
        <v>26.44</v>
      </c>
      <c r="H660">
        <v>87.42</v>
      </c>
      <c r="I660">
        <v>21.27</v>
      </c>
      <c r="J660">
        <v>70.34</v>
      </c>
      <c r="K660">
        <v>8</v>
      </c>
      <c r="T660">
        <v>2</v>
      </c>
      <c r="U660">
        <v>2</v>
      </c>
      <c r="V660" t="s">
        <v>269</v>
      </c>
      <c r="W660">
        <v>87</v>
      </c>
      <c r="X660">
        <v>15</v>
      </c>
      <c r="Y660">
        <v>15</v>
      </c>
      <c r="Z660" t="s">
        <v>1263</v>
      </c>
      <c r="AA660" t="s">
        <v>1264</v>
      </c>
      <c r="AB660" t="s">
        <v>272</v>
      </c>
      <c r="AC660" t="s">
        <v>273</v>
      </c>
      <c r="AD660" t="s">
        <v>274</v>
      </c>
      <c r="AE660" t="s">
        <v>1130</v>
      </c>
      <c r="AG660" t="s">
        <v>1265</v>
      </c>
      <c r="AH660">
        <v>0</v>
      </c>
      <c r="AI660">
        <v>219</v>
      </c>
      <c r="AJ660">
        <v>21</v>
      </c>
      <c r="AK660">
        <v>244</v>
      </c>
      <c r="AL660">
        <v>1.02</v>
      </c>
    </row>
    <row r="661" spans="1:38" x14ac:dyDescent="0.3">
      <c r="A661" t="s">
        <v>1126</v>
      </c>
      <c r="B661">
        <v>5563</v>
      </c>
      <c r="C661">
        <v>2</v>
      </c>
      <c r="D661" t="s">
        <v>1262</v>
      </c>
      <c r="E661" t="s">
        <v>1153</v>
      </c>
      <c r="F661">
        <v>240</v>
      </c>
      <c r="G661">
        <v>29.9</v>
      </c>
      <c r="H661">
        <v>98.86</v>
      </c>
      <c r="I661">
        <v>24.06</v>
      </c>
      <c r="J661">
        <v>79.55</v>
      </c>
      <c r="K661">
        <v>30</v>
      </c>
      <c r="T661">
        <v>3</v>
      </c>
      <c r="U661">
        <v>2</v>
      </c>
      <c r="V661" t="s">
        <v>269</v>
      </c>
      <c r="W661">
        <v>98</v>
      </c>
      <c r="X661">
        <v>15</v>
      </c>
      <c r="Y661">
        <v>15</v>
      </c>
      <c r="Z661" t="s">
        <v>1263</v>
      </c>
      <c r="AA661" t="s">
        <v>1264</v>
      </c>
      <c r="AB661" t="s">
        <v>272</v>
      </c>
      <c r="AC661" t="s">
        <v>273</v>
      </c>
      <c r="AD661" t="s">
        <v>274</v>
      </c>
      <c r="AE661" t="s">
        <v>1130</v>
      </c>
      <c r="AG661" t="s">
        <v>1265</v>
      </c>
      <c r="AH661">
        <v>0</v>
      </c>
      <c r="AI661">
        <v>219</v>
      </c>
      <c r="AJ661">
        <v>21</v>
      </c>
      <c r="AK661">
        <v>244</v>
      </c>
      <c r="AL661">
        <v>1.02</v>
      </c>
    </row>
    <row r="662" spans="1:38" x14ac:dyDescent="0.3">
      <c r="A662" t="s">
        <v>1126</v>
      </c>
      <c r="B662">
        <v>5563</v>
      </c>
      <c r="C662">
        <v>3</v>
      </c>
      <c r="D662" t="s">
        <v>1262</v>
      </c>
      <c r="E662" t="s">
        <v>1153</v>
      </c>
      <c r="F662">
        <v>240</v>
      </c>
      <c r="G662">
        <v>31.92</v>
      </c>
      <c r="H662">
        <v>105.54</v>
      </c>
      <c r="I662">
        <v>25.68</v>
      </c>
      <c r="J662">
        <v>84.92</v>
      </c>
      <c r="K662">
        <v>202</v>
      </c>
      <c r="T662">
        <v>3</v>
      </c>
      <c r="U662">
        <v>2</v>
      </c>
      <c r="V662" t="s">
        <v>269</v>
      </c>
      <c r="W662">
        <v>105</v>
      </c>
      <c r="X662">
        <v>15</v>
      </c>
      <c r="Y662">
        <v>15</v>
      </c>
      <c r="Z662" t="s">
        <v>1263</v>
      </c>
      <c r="AA662" t="s">
        <v>1264</v>
      </c>
      <c r="AB662" t="s">
        <v>272</v>
      </c>
      <c r="AC662" t="s">
        <v>273</v>
      </c>
      <c r="AD662" t="s">
        <v>274</v>
      </c>
      <c r="AE662" t="s">
        <v>1130</v>
      </c>
      <c r="AG662" t="s">
        <v>1265</v>
      </c>
      <c r="AH662">
        <v>0</v>
      </c>
      <c r="AI662">
        <v>219</v>
      </c>
      <c r="AJ662">
        <v>21</v>
      </c>
      <c r="AK662">
        <v>244</v>
      </c>
      <c r="AL662">
        <v>1.02</v>
      </c>
    </row>
    <row r="663" spans="1:38" x14ac:dyDescent="0.3">
      <c r="A663" t="s">
        <v>1126</v>
      </c>
      <c r="B663">
        <v>5579</v>
      </c>
      <c r="C663">
        <v>1</v>
      </c>
      <c r="D663" t="s">
        <v>1266</v>
      </c>
      <c r="E663" t="s">
        <v>413</v>
      </c>
      <c r="F663">
        <v>241</v>
      </c>
      <c r="G663">
        <v>26.7</v>
      </c>
      <c r="H663">
        <v>88.28</v>
      </c>
      <c r="I663">
        <v>21.31</v>
      </c>
      <c r="J663">
        <v>70.47</v>
      </c>
      <c r="K663">
        <v>45</v>
      </c>
      <c r="T663">
        <v>3</v>
      </c>
      <c r="U663">
        <v>1</v>
      </c>
      <c r="V663" t="s">
        <v>269</v>
      </c>
      <c r="W663">
        <v>88</v>
      </c>
      <c r="X663">
        <v>12</v>
      </c>
      <c r="Y663">
        <v>7</v>
      </c>
      <c r="Z663" t="s">
        <v>1267</v>
      </c>
      <c r="AA663" t="s">
        <v>1268</v>
      </c>
      <c r="AB663" t="s">
        <v>272</v>
      </c>
      <c r="AC663" t="s">
        <v>273</v>
      </c>
      <c r="AD663" t="s">
        <v>274</v>
      </c>
      <c r="AE663" t="s">
        <v>1130</v>
      </c>
      <c r="AG663" t="s">
        <v>1269</v>
      </c>
      <c r="AH663">
        <v>0</v>
      </c>
      <c r="AI663">
        <v>0</v>
      </c>
      <c r="AJ663">
        <v>0</v>
      </c>
      <c r="AK663">
        <v>192</v>
      </c>
      <c r="AL663">
        <v>0.8</v>
      </c>
    </row>
    <row r="664" spans="1:38" x14ac:dyDescent="0.3">
      <c r="A664" t="s">
        <v>1126</v>
      </c>
      <c r="B664">
        <v>5579</v>
      </c>
      <c r="C664">
        <v>2</v>
      </c>
      <c r="D664" t="s">
        <v>1266</v>
      </c>
      <c r="E664" t="s">
        <v>413</v>
      </c>
      <c r="F664">
        <v>241</v>
      </c>
      <c r="G664">
        <v>31.97</v>
      </c>
      <c r="H664">
        <v>105.69</v>
      </c>
      <c r="I664">
        <v>25.51</v>
      </c>
      <c r="J664">
        <v>84.35</v>
      </c>
      <c r="K664">
        <v>151</v>
      </c>
      <c r="T664">
        <v>3</v>
      </c>
      <c r="U664">
        <v>2</v>
      </c>
      <c r="V664" t="s">
        <v>269</v>
      </c>
      <c r="W664">
        <v>105</v>
      </c>
      <c r="X664">
        <v>12</v>
      </c>
      <c r="Y664">
        <v>7</v>
      </c>
      <c r="Z664" t="s">
        <v>1267</v>
      </c>
      <c r="AA664" t="s">
        <v>1268</v>
      </c>
      <c r="AB664" t="s">
        <v>272</v>
      </c>
      <c r="AC664" t="s">
        <v>273</v>
      </c>
      <c r="AD664" t="s">
        <v>274</v>
      </c>
      <c r="AE664" t="s">
        <v>1130</v>
      </c>
      <c r="AG664" t="s">
        <v>1269</v>
      </c>
      <c r="AH664">
        <v>0</v>
      </c>
      <c r="AI664">
        <v>0</v>
      </c>
      <c r="AJ664">
        <v>0</v>
      </c>
      <c r="AK664">
        <v>192</v>
      </c>
      <c r="AL664">
        <v>0.8</v>
      </c>
    </row>
    <row r="665" spans="1:38" x14ac:dyDescent="0.3">
      <c r="A665" t="s">
        <v>1126</v>
      </c>
      <c r="B665">
        <v>5579</v>
      </c>
      <c r="C665">
        <v>3</v>
      </c>
      <c r="D665" t="s">
        <v>1266</v>
      </c>
      <c r="E665" t="s">
        <v>413</v>
      </c>
      <c r="F665">
        <v>241</v>
      </c>
      <c r="G665">
        <v>45.5</v>
      </c>
      <c r="H665">
        <v>150.44</v>
      </c>
      <c r="I665">
        <v>38.49</v>
      </c>
      <c r="J665">
        <v>127.26</v>
      </c>
      <c r="K665">
        <v>45</v>
      </c>
      <c r="T665">
        <v>4</v>
      </c>
      <c r="U665">
        <v>2</v>
      </c>
      <c r="V665" t="s">
        <v>269</v>
      </c>
      <c r="W665">
        <v>150</v>
      </c>
      <c r="X665">
        <v>12</v>
      </c>
      <c r="Y665">
        <v>7</v>
      </c>
      <c r="Z665" t="s">
        <v>1267</v>
      </c>
      <c r="AA665" t="s">
        <v>1268</v>
      </c>
      <c r="AB665" t="s">
        <v>272</v>
      </c>
      <c r="AC665" t="s">
        <v>273</v>
      </c>
      <c r="AD665" t="s">
        <v>274</v>
      </c>
      <c r="AE665" t="s">
        <v>1130</v>
      </c>
      <c r="AG665" t="s">
        <v>1269</v>
      </c>
      <c r="AH665">
        <v>0</v>
      </c>
      <c r="AI665">
        <v>0</v>
      </c>
      <c r="AJ665">
        <v>0</v>
      </c>
      <c r="AK665">
        <v>192</v>
      </c>
      <c r="AL665">
        <v>0.8</v>
      </c>
    </row>
    <row r="666" spans="1:38" x14ac:dyDescent="0.3">
      <c r="A666" t="s">
        <v>1270</v>
      </c>
      <c r="B666">
        <v>142403</v>
      </c>
      <c r="C666">
        <v>1</v>
      </c>
      <c r="D666" t="s">
        <v>1271</v>
      </c>
      <c r="E666" t="s">
        <v>1272</v>
      </c>
      <c r="F666">
        <v>60</v>
      </c>
      <c r="G666">
        <v>29.98</v>
      </c>
      <c r="H666">
        <v>99.11</v>
      </c>
      <c r="I666">
        <v>25.58</v>
      </c>
      <c r="J666">
        <v>84.59</v>
      </c>
      <c r="K666">
        <v>30</v>
      </c>
      <c r="T666">
        <v>3</v>
      </c>
      <c r="U666">
        <v>2</v>
      </c>
      <c r="V666" t="s">
        <v>269</v>
      </c>
      <c r="W666" t="s">
        <v>723</v>
      </c>
      <c r="X666">
        <v>5</v>
      </c>
      <c r="Y666">
        <v>5</v>
      </c>
      <c r="Z666" t="s">
        <v>1273</v>
      </c>
      <c r="AA666" t="s">
        <v>1274</v>
      </c>
      <c r="AB666" t="s">
        <v>272</v>
      </c>
      <c r="AC666" t="s">
        <v>273</v>
      </c>
      <c r="AD666" t="s">
        <v>274</v>
      </c>
      <c r="AE666" t="s">
        <v>1275</v>
      </c>
      <c r="AG666" t="s">
        <v>1276</v>
      </c>
      <c r="AH666">
        <v>0</v>
      </c>
      <c r="AI666">
        <v>0</v>
      </c>
      <c r="AJ666">
        <v>0</v>
      </c>
      <c r="AK666">
        <v>0</v>
      </c>
      <c r="AL666">
        <v>0</v>
      </c>
    </row>
    <row r="667" spans="1:38" x14ac:dyDescent="0.3">
      <c r="A667" t="s">
        <v>1270</v>
      </c>
      <c r="B667">
        <v>142403</v>
      </c>
      <c r="C667">
        <v>2</v>
      </c>
      <c r="D667" t="s">
        <v>1271</v>
      </c>
      <c r="E667" t="s">
        <v>1272</v>
      </c>
      <c r="F667">
        <v>60</v>
      </c>
      <c r="G667">
        <v>30.25</v>
      </c>
      <c r="H667">
        <v>100</v>
      </c>
      <c r="I667">
        <v>25.7</v>
      </c>
      <c r="J667">
        <v>84.96</v>
      </c>
      <c r="K667">
        <v>30</v>
      </c>
      <c r="T667">
        <v>3</v>
      </c>
      <c r="U667">
        <v>2</v>
      </c>
      <c r="V667" t="s">
        <v>269</v>
      </c>
      <c r="W667" t="s">
        <v>1218</v>
      </c>
      <c r="X667">
        <v>5</v>
      </c>
      <c r="Y667">
        <v>5</v>
      </c>
      <c r="Z667" t="s">
        <v>1273</v>
      </c>
      <c r="AA667" t="s">
        <v>1274</v>
      </c>
      <c r="AB667" t="s">
        <v>272</v>
      </c>
      <c r="AC667" t="s">
        <v>273</v>
      </c>
      <c r="AD667" t="s">
        <v>274</v>
      </c>
      <c r="AE667" t="s">
        <v>1275</v>
      </c>
      <c r="AG667" t="s">
        <v>1276</v>
      </c>
      <c r="AH667">
        <v>0</v>
      </c>
      <c r="AI667">
        <v>0</v>
      </c>
      <c r="AJ667">
        <v>0</v>
      </c>
      <c r="AK667">
        <v>0</v>
      </c>
      <c r="AL667">
        <v>0</v>
      </c>
    </row>
    <row r="668" spans="1:38" x14ac:dyDescent="0.3">
      <c r="A668" t="s">
        <v>1270</v>
      </c>
      <c r="B668">
        <v>115059</v>
      </c>
      <c r="C668">
        <v>1</v>
      </c>
      <c r="D668" t="s">
        <v>1277</v>
      </c>
      <c r="E668" t="s">
        <v>633</v>
      </c>
      <c r="F668">
        <v>40</v>
      </c>
      <c r="G668">
        <v>18.96</v>
      </c>
      <c r="H668">
        <v>62.7</v>
      </c>
      <c r="I668">
        <v>17.22</v>
      </c>
      <c r="J668">
        <v>56.94</v>
      </c>
      <c r="K668">
        <v>4</v>
      </c>
      <c r="T668">
        <v>2</v>
      </c>
      <c r="U668">
        <v>1</v>
      </c>
      <c r="V668" t="s">
        <v>269</v>
      </c>
      <c r="W668">
        <v>62</v>
      </c>
      <c r="X668">
        <v>5</v>
      </c>
      <c r="Y668">
        <v>5</v>
      </c>
      <c r="Z668" t="s">
        <v>1278</v>
      </c>
      <c r="AA668" t="s">
        <v>1279</v>
      </c>
      <c r="AB668" t="s">
        <v>272</v>
      </c>
      <c r="AC668" t="s">
        <v>273</v>
      </c>
      <c r="AD668" t="s">
        <v>274</v>
      </c>
      <c r="AE668" t="s">
        <v>1275</v>
      </c>
      <c r="AG668" t="s">
        <v>1280</v>
      </c>
      <c r="AH668">
        <v>0</v>
      </c>
      <c r="AI668">
        <v>0</v>
      </c>
      <c r="AJ668">
        <v>0</v>
      </c>
      <c r="AK668">
        <v>0</v>
      </c>
      <c r="AL668">
        <v>0</v>
      </c>
    </row>
    <row r="669" spans="1:38" x14ac:dyDescent="0.3">
      <c r="A669" t="s">
        <v>1270</v>
      </c>
      <c r="B669">
        <v>115059</v>
      </c>
      <c r="C669">
        <v>2</v>
      </c>
      <c r="D669" t="s">
        <v>1277</v>
      </c>
      <c r="E669" t="s">
        <v>633</v>
      </c>
      <c r="F669">
        <v>40</v>
      </c>
      <c r="G669">
        <v>19.73</v>
      </c>
      <c r="H669">
        <v>65.25</v>
      </c>
      <c r="I669">
        <v>17.989999999999998</v>
      </c>
      <c r="J669">
        <v>59.49</v>
      </c>
      <c r="K669">
        <v>36</v>
      </c>
      <c r="T669">
        <v>3</v>
      </c>
      <c r="U669">
        <v>1</v>
      </c>
      <c r="V669" t="s">
        <v>269</v>
      </c>
      <c r="W669">
        <v>65</v>
      </c>
      <c r="X669">
        <v>5</v>
      </c>
      <c r="Y669">
        <v>5</v>
      </c>
      <c r="Z669" t="s">
        <v>1278</v>
      </c>
      <c r="AA669" t="s">
        <v>1279</v>
      </c>
      <c r="AB669" t="s">
        <v>272</v>
      </c>
      <c r="AC669" t="s">
        <v>273</v>
      </c>
      <c r="AD669" t="s">
        <v>274</v>
      </c>
      <c r="AE669" t="s">
        <v>1275</v>
      </c>
      <c r="AG669" t="s">
        <v>1280</v>
      </c>
      <c r="AH669">
        <v>0</v>
      </c>
      <c r="AI669">
        <v>0</v>
      </c>
      <c r="AJ669">
        <v>0</v>
      </c>
      <c r="AK669">
        <v>0</v>
      </c>
      <c r="AL669">
        <v>0</v>
      </c>
    </row>
    <row r="670" spans="1:38" x14ac:dyDescent="0.3">
      <c r="A670" t="s">
        <v>1270</v>
      </c>
      <c r="B670">
        <v>124402</v>
      </c>
      <c r="C670">
        <v>1</v>
      </c>
      <c r="D670" t="s">
        <v>1281</v>
      </c>
      <c r="E670" t="s">
        <v>1282</v>
      </c>
      <c r="F670">
        <v>65</v>
      </c>
      <c r="G670">
        <v>17.37</v>
      </c>
      <c r="H670">
        <v>57.45</v>
      </c>
      <c r="I670">
        <v>15.52</v>
      </c>
      <c r="J670">
        <v>51.33</v>
      </c>
      <c r="K670">
        <v>33</v>
      </c>
      <c r="T670">
        <v>2</v>
      </c>
      <c r="U670">
        <v>1</v>
      </c>
      <c r="V670" t="s">
        <v>269</v>
      </c>
      <c r="W670">
        <v>57</v>
      </c>
      <c r="X670">
        <v>5</v>
      </c>
      <c r="Y670">
        <v>4</v>
      </c>
      <c r="Z670" t="s">
        <v>1283</v>
      </c>
      <c r="AA670" t="s">
        <v>1284</v>
      </c>
      <c r="AB670" t="s">
        <v>272</v>
      </c>
      <c r="AC670" t="s">
        <v>273</v>
      </c>
      <c r="AD670" t="s">
        <v>274</v>
      </c>
      <c r="AE670" t="s">
        <v>1275</v>
      </c>
      <c r="AG670" t="s">
        <v>1285</v>
      </c>
      <c r="AH670">
        <v>0</v>
      </c>
      <c r="AI670">
        <v>0</v>
      </c>
      <c r="AJ670">
        <v>0</v>
      </c>
      <c r="AK670">
        <v>0</v>
      </c>
      <c r="AL670">
        <v>0</v>
      </c>
    </row>
    <row r="671" spans="1:38" x14ac:dyDescent="0.3">
      <c r="A671" t="s">
        <v>1270</v>
      </c>
      <c r="B671">
        <v>124402</v>
      </c>
      <c r="C671">
        <v>2</v>
      </c>
      <c r="D671" t="s">
        <v>1281</v>
      </c>
      <c r="E671" t="s">
        <v>1282</v>
      </c>
      <c r="F671">
        <v>65</v>
      </c>
      <c r="G671">
        <v>17.8</v>
      </c>
      <c r="H671">
        <v>58.86</v>
      </c>
      <c r="I671">
        <v>16.059999999999999</v>
      </c>
      <c r="J671">
        <v>53.1</v>
      </c>
      <c r="K671">
        <v>32</v>
      </c>
      <c r="T671">
        <v>2</v>
      </c>
      <c r="U671">
        <v>1</v>
      </c>
      <c r="V671" t="s">
        <v>269</v>
      </c>
      <c r="W671">
        <v>58</v>
      </c>
      <c r="X671">
        <v>5</v>
      </c>
      <c r="Y671">
        <v>4</v>
      </c>
      <c r="Z671" t="s">
        <v>1283</v>
      </c>
      <c r="AA671" t="s">
        <v>1284</v>
      </c>
      <c r="AB671" t="s">
        <v>272</v>
      </c>
      <c r="AC671" t="s">
        <v>273</v>
      </c>
      <c r="AD671" t="s">
        <v>274</v>
      </c>
      <c r="AE671" t="s">
        <v>1275</v>
      </c>
      <c r="AG671" t="s">
        <v>1285</v>
      </c>
      <c r="AH671">
        <v>0</v>
      </c>
      <c r="AI671">
        <v>0</v>
      </c>
      <c r="AJ671">
        <v>0</v>
      </c>
      <c r="AK671">
        <v>0</v>
      </c>
      <c r="AL671">
        <v>0</v>
      </c>
    </row>
    <row r="672" spans="1:38" x14ac:dyDescent="0.3">
      <c r="A672" t="s">
        <v>1270</v>
      </c>
      <c r="B672">
        <v>121443</v>
      </c>
      <c r="C672">
        <v>1</v>
      </c>
      <c r="D672" t="s">
        <v>1286</v>
      </c>
      <c r="E672" t="s">
        <v>1287</v>
      </c>
      <c r="F672">
        <v>40</v>
      </c>
      <c r="G672">
        <v>18.510000000000002</v>
      </c>
      <c r="H672">
        <v>61.2</v>
      </c>
      <c r="I672">
        <v>16.77</v>
      </c>
      <c r="J672">
        <v>55.44</v>
      </c>
      <c r="K672">
        <v>30</v>
      </c>
      <c r="T672">
        <v>2</v>
      </c>
      <c r="U672">
        <v>1</v>
      </c>
      <c r="V672" t="s">
        <v>279</v>
      </c>
      <c r="W672">
        <v>61</v>
      </c>
      <c r="X672">
        <v>5</v>
      </c>
      <c r="Y672">
        <v>5</v>
      </c>
      <c r="Z672" t="s">
        <v>1288</v>
      </c>
      <c r="AA672" t="s">
        <v>1289</v>
      </c>
      <c r="AB672" t="s">
        <v>272</v>
      </c>
      <c r="AC672" t="s">
        <v>273</v>
      </c>
      <c r="AD672" t="s">
        <v>274</v>
      </c>
      <c r="AE672" t="s">
        <v>1275</v>
      </c>
      <c r="AG672" t="s">
        <v>1290</v>
      </c>
      <c r="AH672">
        <v>0</v>
      </c>
      <c r="AI672">
        <v>0</v>
      </c>
      <c r="AJ672">
        <v>0</v>
      </c>
      <c r="AK672">
        <v>0</v>
      </c>
      <c r="AL672">
        <v>0</v>
      </c>
    </row>
    <row r="673" spans="1:38" x14ac:dyDescent="0.3">
      <c r="A673" t="s">
        <v>1270</v>
      </c>
      <c r="B673">
        <v>121443</v>
      </c>
      <c r="C673">
        <v>2</v>
      </c>
      <c r="D673" t="s">
        <v>1286</v>
      </c>
      <c r="E673" t="s">
        <v>1287</v>
      </c>
      <c r="F673">
        <v>40</v>
      </c>
      <c r="G673">
        <v>19.87</v>
      </c>
      <c r="H673">
        <v>65.7</v>
      </c>
      <c r="I673">
        <v>18.13</v>
      </c>
      <c r="J673">
        <v>59.94</v>
      </c>
      <c r="K673">
        <v>10</v>
      </c>
      <c r="T673">
        <v>3</v>
      </c>
      <c r="U673">
        <v>1</v>
      </c>
      <c r="V673" t="s">
        <v>279</v>
      </c>
      <c r="W673">
        <v>65</v>
      </c>
      <c r="X673">
        <v>5</v>
      </c>
      <c r="Y673">
        <v>5</v>
      </c>
      <c r="Z673" t="s">
        <v>1288</v>
      </c>
      <c r="AA673" t="s">
        <v>1289</v>
      </c>
      <c r="AB673" t="s">
        <v>272</v>
      </c>
      <c r="AC673" t="s">
        <v>273</v>
      </c>
      <c r="AD673" t="s">
        <v>274</v>
      </c>
      <c r="AE673" t="s">
        <v>1275</v>
      </c>
      <c r="AG673" t="s">
        <v>1290</v>
      </c>
      <c r="AH673">
        <v>0</v>
      </c>
      <c r="AI673">
        <v>0</v>
      </c>
      <c r="AJ673">
        <v>0</v>
      </c>
      <c r="AK673">
        <v>0</v>
      </c>
      <c r="AL673">
        <v>0</v>
      </c>
    </row>
    <row r="674" spans="1:38" x14ac:dyDescent="0.3">
      <c r="A674" t="s">
        <v>1270</v>
      </c>
      <c r="B674">
        <v>108410</v>
      </c>
      <c r="C674">
        <v>1</v>
      </c>
      <c r="D674" t="s">
        <v>1291</v>
      </c>
      <c r="E674" t="s">
        <v>1292</v>
      </c>
      <c r="F674">
        <v>250</v>
      </c>
      <c r="G674">
        <v>23.5</v>
      </c>
      <c r="H674">
        <v>77.69</v>
      </c>
      <c r="I674">
        <v>16.87</v>
      </c>
      <c r="J674">
        <v>55.8</v>
      </c>
      <c r="K674">
        <v>70</v>
      </c>
      <c r="T674">
        <v>3</v>
      </c>
      <c r="U674">
        <v>2</v>
      </c>
      <c r="V674" t="s">
        <v>269</v>
      </c>
      <c r="W674">
        <v>77</v>
      </c>
      <c r="X674">
        <v>18</v>
      </c>
      <c r="Y674">
        <v>7</v>
      </c>
      <c r="Z674" t="s">
        <v>1293</v>
      </c>
      <c r="AA674" t="s">
        <v>1294</v>
      </c>
      <c r="AB674" t="s">
        <v>272</v>
      </c>
      <c r="AC674" t="s">
        <v>273</v>
      </c>
      <c r="AD674" t="s">
        <v>274</v>
      </c>
      <c r="AE674" t="s">
        <v>1275</v>
      </c>
      <c r="AG674" t="s">
        <v>1295</v>
      </c>
      <c r="AH674">
        <v>0</v>
      </c>
      <c r="AI674">
        <v>215</v>
      </c>
      <c r="AJ674">
        <v>23</v>
      </c>
      <c r="AK674">
        <v>256</v>
      </c>
      <c r="AL674">
        <v>1.02</v>
      </c>
    </row>
    <row r="675" spans="1:38" x14ac:dyDescent="0.3">
      <c r="A675" t="s">
        <v>1270</v>
      </c>
      <c r="B675">
        <v>108410</v>
      </c>
      <c r="C675">
        <v>2</v>
      </c>
      <c r="D675" t="s">
        <v>1291</v>
      </c>
      <c r="E675" t="s">
        <v>1292</v>
      </c>
      <c r="F675">
        <v>250</v>
      </c>
      <c r="G675">
        <v>25.19</v>
      </c>
      <c r="H675">
        <v>83.3</v>
      </c>
      <c r="I675">
        <v>17.5</v>
      </c>
      <c r="J675">
        <v>57.88</v>
      </c>
      <c r="K675">
        <v>15</v>
      </c>
      <c r="T675">
        <v>3</v>
      </c>
      <c r="U675">
        <v>2</v>
      </c>
      <c r="V675" t="s">
        <v>269</v>
      </c>
      <c r="W675" t="s">
        <v>103</v>
      </c>
      <c r="X675">
        <v>18</v>
      </c>
      <c r="Y675">
        <v>7</v>
      </c>
      <c r="Z675" t="s">
        <v>1293</v>
      </c>
      <c r="AA675" t="s">
        <v>1294</v>
      </c>
      <c r="AB675" t="s">
        <v>272</v>
      </c>
      <c r="AC675" t="s">
        <v>273</v>
      </c>
      <c r="AD675" t="s">
        <v>274</v>
      </c>
      <c r="AE675" t="s">
        <v>1275</v>
      </c>
      <c r="AG675" t="s">
        <v>1295</v>
      </c>
      <c r="AH675">
        <v>0</v>
      </c>
      <c r="AI675">
        <v>215</v>
      </c>
      <c r="AJ675">
        <v>23</v>
      </c>
      <c r="AK675">
        <v>256</v>
      </c>
      <c r="AL675">
        <v>1.02</v>
      </c>
    </row>
    <row r="676" spans="1:38" x14ac:dyDescent="0.3">
      <c r="A676" t="s">
        <v>1270</v>
      </c>
      <c r="B676">
        <v>108410</v>
      </c>
      <c r="C676">
        <v>3</v>
      </c>
      <c r="D676" t="s">
        <v>1291</v>
      </c>
      <c r="E676" t="s">
        <v>1292</v>
      </c>
      <c r="F676">
        <v>250</v>
      </c>
      <c r="G676">
        <v>25.13</v>
      </c>
      <c r="H676">
        <v>83.08</v>
      </c>
      <c r="I676">
        <v>17.489999999999998</v>
      </c>
      <c r="J676">
        <v>57.82</v>
      </c>
      <c r="K676">
        <v>14</v>
      </c>
      <c r="T676">
        <v>3</v>
      </c>
      <c r="U676">
        <v>2</v>
      </c>
      <c r="V676" t="s">
        <v>269</v>
      </c>
      <c r="W676" t="s">
        <v>112</v>
      </c>
      <c r="X676">
        <v>18</v>
      </c>
      <c r="Y676">
        <v>7</v>
      </c>
      <c r="Z676" t="s">
        <v>1293</v>
      </c>
      <c r="AA676" t="s">
        <v>1294</v>
      </c>
      <c r="AB676" t="s">
        <v>272</v>
      </c>
      <c r="AC676" t="s">
        <v>273</v>
      </c>
      <c r="AD676" t="s">
        <v>274</v>
      </c>
      <c r="AE676" t="s">
        <v>1275</v>
      </c>
      <c r="AG676" t="s">
        <v>1295</v>
      </c>
      <c r="AH676">
        <v>0</v>
      </c>
      <c r="AI676">
        <v>215</v>
      </c>
      <c r="AJ676">
        <v>23</v>
      </c>
      <c r="AK676">
        <v>256</v>
      </c>
      <c r="AL676">
        <v>1.02</v>
      </c>
    </row>
    <row r="677" spans="1:38" x14ac:dyDescent="0.3">
      <c r="A677" t="s">
        <v>1270</v>
      </c>
      <c r="B677">
        <v>108410</v>
      </c>
      <c r="C677">
        <v>4</v>
      </c>
      <c r="D677" t="s">
        <v>1291</v>
      </c>
      <c r="E677" t="s">
        <v>1292</v>
      </c>
      <c r="F677">
        <v>250</v>
      </c>
      <c r="G677">
        <v>26.62</v>
      </c>
      <c r="H677">
        <v>88</v>
      </c>
      <c r="I677">
        <v>19.329999999999998</v>
      </c>
      <c r="J677">
        <v>63.92</v>
      </c>
      <c r="K677">
        <v>115</v>
      </c>
      <c r="T677">
        <v>3</v>
      </c>
      <c r="U677">
        <v>2</v>
      </c>
      <c r="V677" t="s">
        <v>269</v>
      </c>
      <c r="W677">
        <v>88</v>
      </c>
      <c r="X677">
        <v>18</v>
      </c>
      <c r="Y677">
        <v>7</v>
      </c>
      <c r="Z677" t="s">
        <v>1293</v>
      </c>
      <c r="AA677" t="s">
        <v>1294</v>
      </c>
      <c r="AB677" t="s">
        <v>272</v>
      </c>
      <c r="AC677" t="s">
        <v>273</v>
      </c>
      <c r="AD677" t="s">
        <v>274</v>
      </c>
      <c r="AE677" t="s">
        <v>1275</v>
      </c>
      <c r="AG677" t="s">
        <v>1295</v>
      </c>
      <c r="AH677">
        <v>0</v>
      </c>
      <c r="AI677">
        <v>215</v>
      </c>
      <c r="AJ677">
        <v>23</v>
      </c>
      <c r="AK677">
        <v>256</v>
      </c>
      <c r="AL677">
        <v>1.02</v>
      </c>
    </row>
    <row r="678" spans="1:38" x14ac:dyDescent="0.3">
      <c r="A678" t="s">
        <v>1270</v>
      </c>
      <c r="B678">
        <v>108410</v>
      </c>
      <c r="C678">
        <v>5</v>
      </c>
      <c r="D678" t="s">
        <v>1291</v>
      </c>
      <c r="E678" t="s">
        <v>1292</v>
      </c>
      <c r="F678">
        <v>250</v>
      </c>
      <c r="G678">
        <v>30.65</v>
      </c>
      <c r="H678">
        <v>101.35</v>
      </c>
      <c r="I678">
        <v>22.16</v>
      </c>
      <c r="J678">
        <v>73.260000000000005</v>
      </c>
      <c r="K678">
        <v>36</v>
      </c>
      <c r="T678">
        <v>3</v>
      </c>
      <c r="U678">
        <v>2</v>
      </c>
      <c r="V678" t="s">
        <v>269</v>
      </c>
      <c r="W678">
        <v>101</v>
      </c>
      <c r="X678">
        <v>18</v>
      </c>
      <c r="Y678">
        <v>7</v>
      </c>
      <c r="Z678" t="s">
        <v>1293</v>
      </c>
      <c r="AA678" t="s">
        <v>1294</v>
      </c>
      <c r="AB678" t="s">
        <v>272</v>
      </c>
      <c r="AC678" t="s">
        <v>273</v>
      </c>
      <c r="AD678" t="s">
        <v>274</v>
      </c>
      <c r="AE678" t="s">
        <v>1275</v>
      </c>
      <c r="AG678" t="s">
        <v>1295</v>
      </c>
      <c r="AH678">
        <v>0</v>
      </c>
      <c r="AI678">
        <v>215</v>
      </c>
      <c r="AJ678">
        <v>23</v>
      </c>
      <c r="AK678">
        <v>256</v>
      </c>
      <c r="AL678">
        <v>1.02</v>
      </c>
    </row>
    <row r="679" spans="1:38" x14ac:dyDescent="0.3">
      <c r="A679" t="s">
        <v>1270</v>
      </c>
      <c r="B679">
        <v>118621</v>
      </c>
      <c r="C679">
        <v>1</v>
      </c>
      <c r="D679" t="s">
        <v>1296</v>
      </c>
      <c r="E679" t="s">
        <v>1297</v>
      </c>
      <c r="F679">
        <v>35</v>
      </c>
      <c r="G679">
        <v>28.52</v>
      </c>
      <c r="H679">
        <v>94.31</v>
      </c>
      <c r="I679">
        <v>22.27</v>
      </c>
      <c r="J679">
        <v>73.64</v>
      </c>
      <c r="K679">
        <v>1</v>
      </c>
      <c r="T679">
        <v>3</v>
      </c>
      <c r="U679">
        <v>2</v>
      </c>
      <c r="V679" t="s">
        <v>269</v>
      </c>
      <c r="W679">
        <v>94</v>
      </c>
      <c r="X679">
        <v>9</v>
      </c>
      <c r="Y679">
        <v>9</v>
      </c>
      <c r="Z679" t="s">
        <v>1298</v>
      </c>
      <c r="AA679" t="s">
        <v>1299</v>
      </c>
      <c r="AB679" t="s">
        <v>272</v>
      </c>
      <c r="AC679" t="s">
        <v>273</v>
      </c>
      <c r="AD679" t="s">
        <v>274</v>
      </c>
      <c r="AE679" t="s">
        <v>1275</v>
      </c>
      <c r="AG679" t="s">
        <v>1300</v>
      </c>
      <c r="AH679">
        <v>0</v>
      </c>
      <c r="AI679">
        <v>0</v>
      </c>
      <c r="AJ679">
        <v>0</v>
      </c>
      <c r="AK679">
        <v>35</v>
      </c>
      <c r="AL679">
        <v>1</v>
      </c>
    </row>
    <row r="680" spans="1:38" x14ac:dyDescent="0.3">
      <c r="A680" t="s">
        <v>1270</v>
      </c>
      <c r="B680">
        <v>118621</v>
      </c>
      <c r="C680">
        <v>2</v>
      </c>
      <c r="D680" t="s">
        <v>1296</v>
      </c>
      <c r="E680" t="s">
        <v>1297</v>
      </c>
      <c r="F680">
        <v>35</v>
      </c>
      <c r="G680">
        <v>32.729999999999997</v>
      </c>
      <c r="H680">
        <v>108.22</v>
      </c>
      <c r="I680">
        <v>25.56</v>
      </c>
      <c r="J680">
        <v>84.5</v>
      </c>
      <c r="K680">
        <v>17</v>
      </c>
      <c r="T680">
        <v>3</v>
      </c>
      <c r="U680">
        <v>2</v>
      </c>
      <c r="V680" t="s">
        <v>269</v>
      </c>
      <c r="W680" t="s">
        <v>129</v>
      </c>
      <c r="X680">
        <v>9</v>
      </c>
      <c r="Y680">
        <v>9</v>
      </c>
      <c r="Z680" t="s">
        <v>1298</v>
      </c>
      <c r="AA680" t="s">
        <v>1299</v>
      </c>
      <c r="AB680" t="s">
        <v>272</v>
      </c>
      <c r="AC680" t="s">
        <v>273</v>
      </c>
      <c r="AD680" t="s">
        <v>274</v>
      </c>
      <c r="AE680" t="s">
        <v>1275</v>
      </c>
      <c r="AG680" t="s">
        <v>1300</v>
      </c>
      <c r="AH680">
        <v>0</v>
      </c>
      <c r="AI680">
        <v>0</v>
      </c>
      <c r="AJ680">
        <v>0</v>
      </c>
      <c r="AK680">
        <v>35</v>
      </c>
      <c r="AL680">
        <v>1</v>
      </c>
    </row>
    <row r="681" spans="1:38" x14ac:dyDescent="0.3">
      <c r="A681" t="s">
        <v>1270</v>
      </c>
      <c r="B681">
        <v>118621</v>
      </c>
      <c r="C681">
        <v>3</v>
      </c>
      <c r="D681" t="s">
        <v>1296</v>
      </c>
      <c r="E681" t="s">
        <v>1297</v>
      </c>
      <c r="F681">
        <v>35</v>
      </c>
      <c r="G681">
        <v>33.1</v>
      </c>
      <c r="H681">
        <v>109.44</v>
      </c>
      <c r="I681">
        <v>25.56</v>
      </c>
      <c r="J681">
        <v>84.5</v>
      </c>
      <c r="K681">
        <v>17</v>
      </c>
      <c r="T681">
        <v>3</v>
      </c>
      <c r="U681">
        <v>2</v>
      </c>
      <c r="V681" t="s">
        <v>269</v>
      </c>
      <c r="W681" t="s">
        <v>71</v>
      </c>
      <c r="X681">
        <v>9</v>
      </c>
      <c r="Y681">
        <v>9</v>
      </c>
      <c r="Z681" t="s">
        <v>1298</v>
      </c>
      <c r="AA681" t="s">
        <v>1299</v>
      </c>
      <c r="AB681" t="s">
        <v>272</v>
      </c>
      <c r="AC681" t="s">
        <v>273</v>
      </c>
      <c r="AD681" t="s">
        <v>274</v>
      </c>
      <c r="AE681" t="s">
        <v>1275</v>
      </c>
      <c r="AG681" t="s">
        <v>1300</v>
      </c>
      <c r="AH681">
        <v>0</v>
      </c>
      <c r="AI681">
        <v>0</v>
      </c>
      <c r="AJ681">
        <v>0</v>
      </c>
      <c r="AK681">
        <v>35</v>
      </c>
      <c r="AL681">
        <v>1</v>
      </c>
    </row>
    <row r="682" spans="1:38" x14ac:dyDescent="0.3">
      <c r="A682" t="s">
        <v>1270</v>
      </c>
      <c r="B682">
        <v>115057</v>
      </c>
      <c r="C682">
        <v>1</v>
      </c>
      <c r="D682" t="s">
        <v>1301</v>
      </c>
      <c r="E682" t="s">
        <v>1302</v>
      </c>
      <c r="F682">
        <v>56</v>
      </c>
      <c r="G682">
        <v>17.88</v>
      </c>
      <c r="H682">
        <v>59.13</v>
      </c>
      <c r="I682">
        <v>16.14</v>
      </c>
      <c r="J682">
        <v>53.37</v>
      </c>
      <c r="K682">
        <v>5</v>
      </c>
      <c r="T682">
        <v>2</v>
      </c>
      <c r="U682">
        <v>1</v>
      </c>
      <c r="V682" t="s">
        <v>269</v>
      </c>
      <c r="W682">
        <v>59</v>
      </c>
      <c r="X682">
        <v>6</v>
      </c>
      <c r="Y682">
        <v>5</v>
      </c>
      <c r="Z682" t="s">
        <v>1303</v>
      </c>
      <c r="AA682" t="s">
        <v>1304</v>
      </c>
      <c r="AB682" t="s">
        <v>272</v>
      </c>
      <c r="AC682" t="s">
        <v>273</v>
      </c>
      <c r="AD682" t="s">
        <v>274</v>
      </c>
      <c r="AE682" t="s">
        <v>1275</v>
      </c>
      <c r="AG682" t="s">
        <v>1305</v>
      </c>
      <c r="AH682">
        <v>0</v>
      </c>
      <c r="AI682">
        <v>170</v>
      </c>
      <c r="AJ682">
        <v>85</v>
      </c>
      <c r="AK682">
        <v>0</v>
      </c>
      <c r="AL682">
        <v>0</v>
      </c>
    </row>
    <row r="683" spans="1:38" x14ac:dyDescent="0.3">
      <c r="A683" t="s">
        <v>1270</v>
      </c>
      <c r="B683">
        <v>115057</v>
      </c>
      <c r="C683">
        <v>2</v>
      </c>
      <c r="D683" t="s">
        <v>1301</v>
      </c>
      <c r="E683" t="s">
        <v>1302</v>
      </c>
      <c r="F683">
        <v>56</v>
      </c>
      <c r="G683">
        <v>18.89</v>
      </c>
      <c r="H683">
        <v>62.47</v>
      </c>
      <c r="I683">
        <v>17.149999999999999</v>
      </c>
      <c r="J683">
        <v>56.71</v>
      </c>
      <c r="K683">
        <v>1</v>
      </c>
      <c r="T683">
        <v>2</v>
      </c>
      <c r="U683">
        <v>1</v>
      </c>
      <c r="V683" t="s">
        <v>269</v>
      </c>
      <c r="W683" t="s">
        <v>679</v>
      </c>
      <c r="X683">
        <v>6</v>
      </c>
      <c r="Y683">
        <v>5</v>
      </c>
      <c r="Z683" t="s">
        <v>1303</v>
      </c>
      <c r="AA683" t="s">
        <v>1304</v>
      </c>
      <c r="AB683" t="s">
        <v>272</v>
      </c>
      <c r="AC683" t="s">
        <v>273</v>
      </c>
      <c r="AD683" t="s">
        <v>274</v>
      </c>
      <c r="AE683" t="s">
        <v>1275</v>
      </c>
      <c r="AG683" t="s">
        <v>1305</v>
      </c>
      <c r="AH683">
        <v>0</v>
      </c>
      <c r="AI683">
        <v>170</v>
      </c>
      <c r="AJ683">
        <v>85</v>
      </c>
      <c r="AK683">
        <v>0</v>
      </c>
      <c r="AL683">
        <v>0</v>
      </c>
    </row>
    <row r="684" spans="1:38" x14ac:dyDescent="0.3">
      <c r="A684" t="s">
        <v>1270</v>
      </c>
      <c r="B684">
        <v>115057</v>
      </c>
      <c r="C684">
        <v>3</v>
      </c>
      <c r="D684" t="s">
        <v>1301</v>
      </c>
      <c r="E684" t="s">
        <v>1302</v>
      </c>
      <c r="F684">
        <v>56</v>
      </c>
      <c r="G684">
        <v>19.22</v>
      </c>
      <c r="H684">
        <v>63.54</v>
      </c>
      <c r="I684">
        <v>17.47</v>
      </c>
      <c r="J684">
        <v>57.78</v>
      </c>
      <c r="K684">
        <v>46</v>
      </c>
      <c r="T684">
        <v>2</v>
      </c>
      <c r="U684">
        <v>1</v>
      </c>
      <c r="V684" t="s">
        <v>269</v>
      </c>
      <c r="W684" t="s">
        <v>1306</v>
      </c>
      <c r="X684">
        <v>6</v>
      </c>
      <c r="Y684">
        <v>5</v>
      </c>
      <c r="Z684" t="s">
        <v>1303</v>
      </c>
      <c r="AA684" t="s">
        <v>1304</v>
      </c>
      <c r="AB684" t="s">
        <v>272</v>
      </c>
      <c r="AC684" t="s">
        <v>273</v>
      </c>
      <c r="AD684" t="s">
        <v>274</v>
      </c>
      <c r="AE684" t="s">
        <v>1275</v>
      </c>
      <c r="AG684" t="s">
        <v>1305</v>
      </c>
      <c r="AH684">
        <v>0</v>
      </c>
      <c r="AI684">
        <v>170</v>
      </c>
      <c r="AJ684">
        <v>85</v>
      </c>
      <c r="AK684">
        <v>0</v>
      </c>
      <c r="AL684">
        <v>0</v>
      </c>
    </row>
    <row r="685" spans="1:38" x14ac:dyDescent="0.3">
      <c r="A685" t="s">
        <v>1270</v>
      </c>
      <c r="B685">
        <v>115057</v>
      </c>
      <c r="C685">
        <v>4</v>
      </c>
      <c r="D685" t="s">
        <v>1301</v>
      </c>
      <c r="E685" t="s">
        <v>1302</v>
      </c>
      <c r="F685">
        <v>56</v>
      </c>
      <c r="G685">
        <v>19.079999999999998</v>
      </c>
      <c r="H685">
        <v>63.09</v>
      </c>
      <c r="I685">
        <v>17.34</v>
      </c>
      <c r="J685">
        <v>57.33</v>
      </c>
      <c r="K685">
        <v>4</v>
      </c>
      <c r="T685">
        <v>2</v>
      </c>
      <c r="U685">
        <v>1</v>
      </c>
      <c r="V685" t="s">
        <v>269</v>
      </c>
      <c r="W685" t="s">
        <v>1307</v>
      </c>
      <c r="X685">
        <v>6</v>
      </c>
      <c r="Y685">
        <v>5</v>
      </c>
      <c r="Z685" t="s">
        <v>1303</v>
      </c>
      <c r="AA685" t="s">
        <v>1304</v>
      </c>
      <c r="AB685" t="s">
        <v>272</v>
      </c>
      <c r="AC685" t="s">
        <v>273</v>
      </c>
      <c r="AD685" t="s">
        <v>274</v>
      </c>
      <c r="AE685" t="s">
        <v>1275</v>
      </c>
      <c r="AG685" t="s">
        <v>1305</v>
      </c>
      <c r="AH685">
        <v>0</v>
      </c>
      <c r="AI685">
        <v>170</v>
      </c>
      <c r="AJ685">
        <v>85</v>
      </c>
      <c r="AK685">
        <v>0</v>
      </c>
      <c r="AL685">
        <v>0</v>
      </c>
    </row>
    <row r="686" spans="1:38" x14ac:dyDescent="0.3">
      <c r="A686" t="s">
        <v>1270</v>
      </c>
      <c r="B686">
        <v>116761</v>
      </c>
      <c r="C686">
        <v>1</v>
      </c>
      <c r="D686" t="s">
        <v>1308</v>
      </c>
      <c r="E686" t="s">
        <v>696</v>
      </c>
      <c r="F686">
        <v>31</v>
      </c>
      <c r="G686">
        <v>13.99</v>
      </c>
      <c r="H686">
        <v>46.28</v>
      </c>
      <c r="I686">
        <v>8.2200000000000006</v>
      </c>
      <c r="J686">
        <v>27.19</v>
      </c>
      <c r="K686">
        <v>1</v>
      </c>
      <c r="T686">
        <v>2</v>
      </c>
      <c r="U686">
        <v>1</v>
      </c>
      <c r="V686" t="s">
        <v>269</v>
      </c>
      <c r="W686">
        <v>46</v>
      </c>
      <c r="X686">
        <v>6</v>
      </c>
      <c r="Y686">
        <v>4</v>
      </c>
      <c r="Z686" t="s">
        <v>1309</v>
      </c>
      <c r="AA686" t="s">
        <v>1310</v>
      </c>
      <c r="AB686" t="s">
        <v>272</v>
      </c>
      <c r="AC686" t="s">
        <v>273</v>
      </c>
      <c r="AD686" t="s">
        <v>274</v>
      </c>
      <c r="AE686" t="s">
        <v>1275</v>
      </c>
      <c r="AG686" t="s">
        <v>1311</v>
      </c>
      <c r="AH686">
        <v>0</v>
      </c>
      <c r="AI686">
        <v>254</v>
      </c>
      <c r="AJ686">
        <v>48</v>
      </c>
      <c r="AK686">
        <v>22</v>
      </c>
      <c r="AL686">
        <v>0.71</v>
      </c>
    </row>
    <row r="687" spans="1:38" x14ac:dyDescent="0.3">
      <c r="A687" t="s">
        <v>1270</v>
      </c>
      <c r="B687">
        <v>116761</v>
      </c>
      <c r="C687">
        <v>2</v>
      </c>
      <c r="D687" t="s">
        <v>1308</v>
      </c>
      <c r="E687" t="s">
        <v>696</v>
      </c>
      <c r="F687">
        <v>31</v>
      </c>
      <c r="G687">
        <v>15.68</v>
      </c>
      <c r="H687">
        <v>51.85</v>
      </c>
      <c r="I687">
        <v>9.2799999999999994</v>
      </c>
      <c r="J687">
        <v>30.71</v>
      </c>
      <c r="K687">
        <v>13</v>
      </c>
      <c r="T687">
        <v>2</v>
      </c>
      <c r="U687">
        <v>1</v>
      </c>
      <c r="V687" t="s">
        <v>269</v>
      </c>
      <c r="W687">
        <v>51</v>
      </c>
      <c r="X687">
        <v>6</v>
      </c>
      <c r="Y687">
        <v>4</v>
      </c>
      <c r="Z687" t="s">
        <v>1309</v>
      </c>
      <c r="AA687" t="s">
        <v>1310</v>
      </c>
      <c r="AB687" t="s">
        <v>272</v>
      </c>
      <c r="AC687" t="s">
        <v>273</v>
      </c>
      <c r="AD687" t="s">
        <v>274</v>
      </c>
      <c r="AE687" t="s">
        <v>1275</v>
      </c>
      <c r="AG687" t="s">
        <v>1311</v>
      </c>
      <c r="AH687">
        <v>0</v>
      </c>
      <c r="AI687">
        <v>254</v>
      </c>
      <c r="AJ687">
        <v>48</v>
      </c>
      <c r="AK687">
        <v>22</v>
      </c>
      <c r="AL687">
        <v>0.71</v>
      </c>
    </row>
    <row r="688" spans="1:38" x14ac:dyDescent="0.3">
      <c r="A688" t="s">
        <v>1270</v>
      </c>
      <c r="B688">
        <v>116761</v>
      </c>
      <c r="C688">
        <v>3</v>
      </c>
      <c r="D688" t="s">
        <v>1308</v>
      </c>
      <c r="E688" t="s">
        <v>696</v>
      </c>
      <c r="F688">
        <v>31</v>
      </c>
      <c r="G688">
        <v>19.16</v>
      </c>
      <c r="H688">
        <v>63.36</v>
      </c>
      <c r="I688">
        <v>11.4</v>
      </c>
      <c r="J688">
        <v>37.71</v>
      </c>
      <c r="K688">
        <v>6</v>
      </c>
      <c r="T688">
        <v>2</v>
      </c>
      <c r="U688">
        <v>1</v>
      </c>
      <c r="V688" t="s">
        <v>269</v>
      </c>
      <c r="W688">
        <v>63</v>
      </c>
      <c r="X688">
        <v>6</v>
      </c>
      <c r="Y688">
        <v>4</v>
      </c>
      <c r="Z688" t="s">
        <v>1309</v>
      </c>
      <c r="AA688" t="s">
        <v>1310</v>
      </c>
      <c r="AB688" t="s">
        <v>272</v>
      </c>
      <c r="AC688" t="s">
        <v>273</v>
      </c>
      <c r="AD688" t="s">
        <v>274</v>
      </c>
      <c r="AE688" t="s">
        <v>1275</v>
      </c>
      <c r="AG688" t="s">
        <v>1311</v>
      </c>
      <c r="AH688">
        <v>0</v>
      </c>
      <c r="AI688">
        <v>254</v>
      </c>
      <c r="AJ688">
        <v>48</v>
      </c>
      <c r="AK688">
        <v>22</v>
      </c>
      <c r="AL688">
        <v>0.71</v>
      </c>
    </row>
    <row r="689" spans="1:38" x14ac:dyDescent="0.3">
      <c r="A689" t="s">
        <v>1270</v>
      </c>
      <c r="B689">
        <v>116761</v>
      </c>
      <c r="C689">
        <v>4</v>
      </c>
      <c r="D689" t="s">
        <v>1308</v>
      </c>
      <c r="E689" t="s">
        <v>696</v>
      </c>
      <c r="F689">
        <v>31</v>
      </c>
      <c r="G689">
        <v>20.7</v>
      </c>
      <c r="H689">
        <v>68.44</v>
      </c>
      <c r="I689">
        <v>12.3</v>
      </c>
      <c r="J689">
        <v>40.68</v>
      </c>
      <c r="K689">
        <v>1</v>
      </c>
      <c r="T689">
        <v>2</v>
      </c>
      <c r="U689">
        <v>1</v>
      </c>
      <c r="V689" t="s">
        <v>269</v>
      </c>
      <c r="W689">
        <v>68</v>
      </c>
      <c r="X689">
        <v>6</v>
      </c>
      <c r="Y689">
        <v>4</v>
      </c>
      <c r="Z689" t="s">
        <v>1309</v>
      </c>
      <c r="AA689" t="s">
        <v>1310</v>
      </c>
      <c r="AB689" t="s">
        <v>272</v>
      </c>
      <c r="AC689" t="s">
        <v>273</v>
      </c>
      <c r="AD689" t="s">
        <v>274</v>
      </c>
      <c r="AE689" t="s">
        <v>1275</v>
      </c>
      <c r="AG689" t="s">
        <v>1311</v>
      </c>
      <c r="AH689">
        <v>0</v>
      </c>
      <c r="AI689">
        <v>254</v>
      </c>
      <c r="AJ689">
        <v>48</v>
      </c>
      <c r="AK689">
        <v>22</v>
      </c>
      <c r="AL689">
        <v>0.71</v>
      </c>
    </row>
    <row r="690" spans="1:38" x14ac:dyDescent="0.3">
      <c r="A690" t="s">
        <v>1270</v>
      </c>
      <c r="B690">
        <v>116761</v>
      </c>
      <c r="C690">
        <v>5</v>
      </c>
      <c r="D690" t="s">
        <v>1308</v>
      </c>
      <c r="E690" t="s">
        <v>696</v>
      </c>
      <c r="F690">
        <v>31</v>
      </c>
      <c r="G690">
        <v>24.36</v>
      </c>
      <c r="H690">
        <v>80.53</v>
      </c>
      <c r="I690">
        <v>14.52</v>
      </c>
      <c r="J690">
        <v>48.03</v>
      </c>
      <c r="K690">
        <v>3</v>
      </c>
      <c r="T690">
        <v>2</v>
      </c>
      <c r="U690">
        <v>1</v>
      </c>
      <c r="V690" t="s">
        <v>269</v>
      </c>
      <c r="W690">
        <v>80</v>
      </c>
      <c r="X690">
        <v>6</v>
      </c>
      <c r="Y690">
        <v>4</v>
      </c>
      <c r="Z690" t="s">
        <v>1309</v>
      </c>
      <c r="AA690" t="s">
        <v>1310</v>
      </c>
      <c r="AB690" t="s">
        <v>272</v>
      </c>
      <c r="AC690" t="s">
        <v>273</v>
      </c>
      <c r="AD690" t="s">
        <v>274</v>
      </c>
      <c r="AE690" t="s">
        <v>1275</v>
      </c>
      <c r="AG690" t="s">
        <v>1311</v>
      </c>
      <c r="AH690">
        <v>0</v>
      </c>
      <c r="AI690">
        <v>254</v>
      </c>
      <c r="AJ690">
        <v>48</v>
      </c>
      <c r="AK690">
        <v>22</v>
      </c>
      <c r="AL690">
        <v>0.71</v>
      </c>
    </row>
    <row r="691" spans="1:38" x14ac:dyDescent="0.3">
      <c r="A691" t="s">
        <v>1270</v>
      </c>
      <c r="B691">
        <v>116761</v>
      </c>
      <c r="C691">
        <v>6</v>
      </c>
      <c r="D691" t="s">
        <v>1308</v>
      </c>
      <c r="E691" t="s">
        <v>696</v>
      </c>
      <c r="F691">
        <v>31</v>
      </c>
      <c r="G691">
        <v>24.78</v>
      </c>
      <c r="H691">
        <v>81.94</v>
      </c>
      <c r="I691">
        <v>14.64</v>
      </c>
      <c r="J691">
        <v>48.4</v>
      </c>
      <c r="K691">
        <v>1</v>
      </c>
      <c r="T691">
        <v>2</v>
      </c>
      <c r="U691">
        <v>1</v>
      </c>
      <c r="V691" t="s">
        <v>269</v>
      </c>
      <c r="W691">
        <v>81</v>
      </c>
      <c r="X691">
        <v>6</v>
      </c>
      <c r="Y691">
        <v>4</v>
      </c>
      <c r="Z691" t="s">
        <v>1309</v>
      </c>
      <c r="AA691" t="s">
        <v>1310</v>
      </c>
      <c r="AB691" t="s">
        <v>272</v>
      </c>
      <c r="AC691" t="s">
        <v>273</v>
      </c>
      <c r="AD691" t="s">
        <v>274</v>
      </c>
      <c r="AE691" t="s">
        <v>1275</v>
      </c>
      <c r="AG691" t="s">
        <v>1311</v>
      </c>
      <c r="AH691">
        <v>0</v>
      </c>
      <c r="AI691">
        <v>254</v>
      </c>
      <c r="AJ691">
        <v>48</v>
      </c>
      <c r="AK691">
        <v>22</v>
      </c>
      <c r="AL691">
        <v>0.71</v>
      </c>
    </row>
    <row r="692" spans="1:38" x14ac:dyDescent="0.3">
      <c r="A692" t="s">
        <v>1270</v>
      </c>
      <c r="B692">
        <v>116761</v>
      </c>
      <c r="C692">
        <v>7</v>
      </c>
      <c r="D692" t="s">
        <v>1308</v>
      </c>
      <c r="E692" t="s">
        <v>696</v>
      </c>
      <c r="F692">
        <v>31</v>
      </c>
      <c r="G692">
        <v>26</v>
      </c>
      <c r="H692">
        <v>85.98</v>
      </c>
      <c r="I692">
        <v>15.52</v>
      </c>
      <c r="J692">
        <v>51.31</v>
      </c>
      <c r="K692">
        <v>3</v>
      </c>
      <c r="T692">
        <v>2</v>
      </c>
      <c r="U692">
        <v>1</v>
      </c>
      <c r="V692" t="s">
        <v>269</v>
      </c>
      <c r="W692">
        <v>85</v>
      </c>
      <c r="X692">
        <v>6</v>
      </c>
      <c r="Y692">
        <v>4</v>
      </c>
      <c r="Z692" t="s">
        <v>1309</v>
      </c>
      <c r="AA692" t="s">
        <v>1310</v>
      </c>
      <c r="AB692" t="s">
        <v>272</v>
      </c>
      <c r="AC692" t="s">
        <v>273</v>
      </c>
      <c r="AD692" t="s">
        <v>274</v>
      </c>
      <c r="AE692" t="s">
        <v>1275</v>
      </c>
      <c r="AG692" t="s">
        <v>1311</v>
      </c>
      <c r="AH692">
        <v>0</v>
      </c>
      <c r="AI692">
        <v>254</v>
      </c>
      <c r="AJ692">
        <v>48</v>
      </c>
      <c r="AK692">
        <v>22</v>
      </c>
      <c r="AL692">
        <v>0.71</v>
      </c>
    </row>
    <row r="693" spans="1:38" x14ac:dyDescent="0.3">
      <c r="A693" t="s">
        <v>1270</v>
      </c>
      <c r="B693">
        <v>116761</v>
      </c>
      <c r="C693">
        <v>8</v>
      </c>
      <c r="D693" t="s">
        <v>1308</v>
      </c>
      <c r="E693" t="s">
        <v>696</v>
      </c>
      <c r="F693">
        <v>31</v>
      </c>
      <c r="G693">
        <v>29.56</v>
      </c>
      <c r="H693">
        <v>97.75</v>
      </c>
      <c r="I693">
        <v>17.649999999999999</v>
      </c>
      <c r="J693">
        <v>58.38</v>
      </c>
      <c r="K693">
        <v>2</v>
      </c>
      <c r="T693">
        <v>3</v>
      </c>
      <c r="U693">
        <v>2</v>
      </c>
      <c r="V693" t="s">
        <v>269</v>
      </c>
      <c r="W693">
        <v>97</v>
      </c>
      <c r="X693">
        <v>6</v>
      </c>
      <c r="Y693">
        <v>4</v>
      </c>
      <c r="Z693" t="s">
        <v>1309</v>
      </c>
      <c r="AA693" t="s">
        <v>1310</v>
      </c>
      <c r="AB693" t="s">
        <v>272</v>
      </c>
      <c r="AC693" t="s">
        <v>273</v>
      </c>
      <c r="AD693" t="s">
        <v>274</v>
      </c>
      <c r="AE693" t="s">
        <v>1275</v>
      </c>
      <c r="AG693" t="s">
        <v>1311</v>
      </c>
      <c r="AH693">
        <v>0</v>
      </c>
      <c r="AI693">
        <v>254</v>
      </c>
      <c r="AJ693">
        <v>48</v>
      </c>
      <c r="AK693">
        <v>22</v>
      </c>
      <c r="AL693">
        <v>0.71</v>
      </c>
    </row>
    <row r="694" spans="1:38" x14ac:dyDescent="0.3">
      <c r="A694" t="s">
        <v>1270</v>
      </c>
      <c r="B694">
        <v>116761</v>
      </c>
      <c r="C694">
        <v>9</v>
      </c>
      <c r="D694" t="s">
        <v>1308</v>
      </c>
      <c r="E694" t="s">
        <v>696</v>
      </c>
      <c r="F694">
        <v>31</v>
      </c>
      <c r="G694">
        <v>32.979999999999997</v>
      </c>
      <c r="H694">
        <v>109.04</v>
      </c>
      <c r="I694">
        <v>18.03</v>
      </c>
      <c r="J694">
        <v>59.63</v>
      </c>
      <c r="K694">
        <v>1</v>
      </c>
      <c r="T694">
        <v>3</v>
      </c>
      <c r="U694">
        <v>2</v>
      </c>
      <c r="V694" t="s">
        <v>269</v>
      </c>
      <c r="W694">
        <v>109</v>
      </c>
      <c r="X694">
        <v>6</v>
      </c>
      <c r="Y694">
        <v>4</v>
      </c>
      <c r="Z694" t="s">
        <v>1309</v>
      </c>
      <c r="AA694" t="s">
        <v>1310</v>
      </c>
      <c r="AB694" t="s">
        <v>272</v>
      </c>
      <c r="AC694" t="s">
        <v>273</v>
      </c>
      <c r="AD694" t="s">
        <v>274</v>
      </c>
      <c r="AE694" t="s">
        <v>1275</v>
      </c>
      <c r="AG694" t="s">
        <v>1311</v>
      </c>
      <c r="AH694">
        <v>0</v>
      </c>
      <c r="AI694">
        <v>254</v>
      </c>
      <c r="AJ694">
        <v>48</v>
      </c>
      <c r="AK694">
        <v>22</v>
      </c>
      <c r="AL694">
        <v>0.71</v>
      </c>
    </row>
    <row r="695" spans="1:38" x14ac:dyDescent="0.3">
      <c r="A695" t="s">
        <v>1270</v>
      </c>
      <c r="B695">
        <v>100874</v>
      </c>
      <c r="C695">
        <v>1</v>
      </c>
      <c r="D695" t="s">
        <v>1312</v>
      </c>
      <c r="E695" t="s">
        <v>1272</v>
      </c>
      <c r="F695">
        <v>130</v>
      </c>
      <c r="G695">
        <v>29.98</v>
      </c>
      <c r="H695">
        <v>99.11</v>
      </c>
      <c r="I695">
        <v>25.58</v>
      </c>
      <c r="J695">
        <v>84.59</v>
      </c>
      <c r="K695">
        <v>30</v>
      </c>
      <c r="T695">
        <v>3</v>
      </c>
      <c r="U695">
        <v>1</v>
      </c>
      <c r="V695" t="s">
        <v>269</v>
      </c>
      <c r="W695" t="s">
        <v>723</v>
      </c>
      <c r="X695">
        <v>5</v>
      </c>
      <c r="Y695">
        <v>5</v>
      </c>
      <c r="Z695" t="s">
        <v>1313</v>
      </c>
      <c r="AA695" t="s">
        <v>1314</v>
      </c>
      <c r="AB695" t="s">
        <v>272</v>
      </c>
      <c r="AC695" t="s">
        <v>273</v>
      </c>
      <c r="AD695" t="s">
        <v>274</v>
      </c>
      <c r="AE695" t="s">
        <v>1275</v>
      </c>
      <c r="AG695" t="s">
        <v>1315</v>
      </c>
      <c r="AH695">
        <v>0</v>
      </c>
      <c r="AI695">
        <v>0</v>
      </c>
      <c r="AJ695">
        <v>0</v>
      </c>
      <c r="AK695">
        <v>0</v>
      </c>
      <c r="AL695">
        <v>0</v>
      </c>
    </row>
    <row r="696" spans="1:38" x14ac:dyDescent="0.3">
      <c r="A696" t="s">
        <v>1270</v>
      </c>
      <c r="B696">
        <v>100874</v>
      </c>
      <c r="C696">
        <v>2</v>
      </c>
      <c r="D696" t="s">
        <v>1312</v>
      </c>
      <c r="E696" t="s">
        <v>1272</v>
      </c>
      <c r="F696">
        <v>130</v>
      </c>
      <c r="G696">
        <v>32.159999999999997</v>
      </c>
      <c r="H696">
        <v>106.33</v>
      </c>
      <c r="I696">
        <v>25.69</v>
      </c>
      <c r="J696">
        <v>84.94</v>
      </c>
      <c r="K696">
        <v>70</v>
      </c>
      <c r="T696">
        <v>3</v>
      </c>
      <c r="U696">
        <v>1</v>
      </c>
      <c r="V696" t="s">
        <v>269</v>
      </c>
      <c r="W696">
        <v>106</v>
      </c>
      <c r="X696">
        <v>5</v>
      </c>
      <c r="Y696">
        <v>5</v>
      </c>
      <c r="Z696" t="s">
        <v>1313</v>
      </c>
      <c r="AA696" t="s">
        <v>1314</v>
      </c>
      <c r="AB696" t="s">
        <v>272</v>
      </c>
      <c r="AC696" t="s">
        <v>273</v>
      </c>
      <c r="AD696" t="s">
        <v>274</v>
      </c>
      <c r="AE696" t="s">
        <v>1275</v>
      </c>
      <c r="AG696" t="s">
        <v>1315</v>
      </c>
      <c r="AH696">
        <v>0</v>
      </c>
      <c r="AI696">
        <v>0</v>
      </c>
      <c r="AJ696">
        <v>0</v>
      </c>
      <c r="AK696">
        <v>0</v>
      </c>
      <c r="AL696">
        <v>0</v>
      </c>
    </row>
    <row r="697" spans="1:38" x14ac:dyDescent="0.3">
      <c r="A697" t="s">
        <v>1270</v>
      </c>
      <c r="B697">
        <v>100874</v>
      </c>
      <c r="C697">
        <v>3</v>
      </c>
      <c r="D697" t="s">
        <v>1312</v>
      </c>
      <c r="E697" t="s">
        <v>1272</v>
      </c>
      <c r="F697">
        <v>130</v>
      </c>
      <c r="G697">
        <v>32.44</v>
      </c>
      <c r="H697">
        <v>107.26</v>
      </c>
      <c r="I697">
        <v>25.7</v>
      </c>
      <c r="J697">
        <v>84.96</v>
      </c>
      <c r="K697">
        <v>60</v>
      </c>
      <c r="T697">
        <v>3</v>
      </c>
      <c r="U697">
        <v>1</v>
      </c>
      <c r="V697" t="s">
        <v>269</v>
      </c>
      <c r="W697" t="s">
        <v>189</v>
      </c>
      <c r="X697">
        <v>5</v>
      </c>
      <c r="Y697">
        <v>5</v>
      </c>
      <c r="Z697" t="s">
        <v>1313</v>
      </c>
      <c r="AA697" t="s">
        <v>1314</v>
      </c>
      <c r="AB697" t="s">
        <v>272</v>
      </c>
      <c r="AC697" t="s">
        <v>273</v>
      </c>
      <c r="AD697" t="s">
        <v>274</v>
      </c>
      <c r="AE697" t="s">
        <v>1275</v>
      </c>
      <c r="AG697" t="s">
        <v>1315</v>
      </c>
      <c r="AH697">
        <v>0</v>
      </c>
      <c r="AI697">
        <v>0</v>
      </c>
      <c r="AJ697">
        <v>0</v>
      </c>
      <c r="AK697">
        <v>0</v>
      </c>
      <c r="AL697">
        <v>0</v>
      </c>
    </row>
    <row r="698" spans="1:38" x14ac:dyDescent="0.3">
      <c r="A698" t="s">
        <v>1270</v>
      </c>
      <c r="B698">
        <v>105689</v>
      </c>
      <c r="C698">
        <v>1</v>
      </c>
      <c r="D698" t="s">
        <v>426</v>
      </c>
      <c r="E698" t="s">
        <v>324</v>
      </c>
      <c r="F698">
        <v>55</v>
      </c>
      <c r="G698">
        <v>25.57</v>
      </c>
      <c r="H698">
        <v>84.55</v>
      </c>
      <c r="I698">
        <v>22.93</v>
      </c>
      <c r="J698">
        <v>75.81</v>
      </c>
      <c r="K698">
        <v>25</v>
      </c>
      <c r="T698">
        <v>3</v>
      </c>
      <c r="U698">
        <v>2</v>
      </c>
      <c r="V698" t="s">
        <v>269</v>
      </c>
      <c r="W698" t="s">
        <v>60</v>
      </c>
      <c r="X698">
        <v>5</v>
      </c>
      <c r="Y698">
        <v>5</v>
      </c>
      <c r="Z698" t="s">
        <v>1316</v>
      </c>
      <c r="AA698" t="s">
        <v>1317</v>
      </c>
      <c r="AB698" t="s">
        <v>272</v>
      </c>
      <c r="AC698" t="s">
        <v>273</v>
      </c>
      <c r="AD698" t="s">
        <v>274</v>
      </c>
      <c r="AE698" t="s">
        <v>1275</v>
      </c>
      <c r="AG698" t="s">
        <v>1318</v>
      </c>
      <c r="AH698">
        <v>0</v>
      </c>
      <c r="AI698">
        <v>0</v>
      </c>
      <c r="AJ698">
        <v>0</v>
      </c>
      <c r="AK698">
        <v>0</v>
      </c>
      <c r="AL698">
        <v>0</v>
      </c>
    </row>
    <row r="699" spans="1:38" x14ac:dyDescent="0.3">
      <c r="A699" t="s">
        <v>1270</v>
      </c>
      <c r="B699">
        <v>105689</v>
      </c>
      <c r="C699">
        <v>2</v>
      </c>
      <c r="D699" t="s">
        <v>426</v>
      </c>
      <c r="E699" t="s">
        <v>324</v>
      </c>
      <c r="F699">
        <v>55</v>
      </c>
      <c r="G699">
        <v>25.89</v>
      </c>
      <c r="H699">
        <v>85.61</v>
      </c>
      <c r="I699">
        <v>23.25</v>
      </c>
      <c r="J699">
        <v>76.87</v>
      </c>
      <c r="K699">
        <v>30</v>
      </c>
      <c r="T699">
        <v>3</v>
      </c>
      <c r="U699">
        <v>2</v>
      </c>
      <c r="V699" t="s">
        <v>269</v>
      </c>
      <c r="W699" t="s">
        <v>114</v>
      </c>
      <c r="X699">
        <v>5</v>
      </c>
      <c r="Y699">
        <v>5</v>
      </c>
      <c r="Z699" t="s">
        <v>1316</v>
      </c>
      <c r="AA699" t="s">
        <v>1317</v>
      </c>
      <c r="AB699" t="s">
        <v>272</v>
      </c>
      <c r="AC699" t="s">
        <v>273</v>
      </c>
      <c r="AD699" t="s">
        <v>274</v>
      </c>
      <c r="AE699" t="s">
        <v>1275</v>
      </c>
      <c r="AG699" t="s">
        <v>1318</v>
      </c>
      <c r="AH699">
        <v>0</v>
      </c>
      <c r="AI699">
        <v>0</v>
      </c>
      <c r="AJ699">
        <v>0</v>
      </c>
      <c r="AK699">
        <v>0</v>
      </c>
      <c r="AL699">
        <v>0</v>
      </c>
    </row>
    <row r="700" spans="1:38" x14ac:dyDescent="0.3">
      <c r="A700" t="s">
        <v>1270</v>
      </c>
      <c r="B700">
        <v>108795</v>
      </c>
      <c r="C700">
        <v>1</v>
      </c>
      <c r="D700" t="s">
        <v>1319</v>
      </c>
      <c r="E700" t="s">
        <v>1320</v>
      </c>
      <c r="F700">
        <v>371</v>
      </c>
      <c r="G700">
        <v>25.32</v>
      </c>
      <c r="H700">
        <v>83.72</v>
      </c>
      <c r="I700">
        <v>18.13</v>
      </c>
      <c r="J700">
        <v>59.94</v>
      </c>
      <c r="K700">
        <v>179</v>
      </c>
      <c r="T700">
        <v>3</v>
      </c>
      <c r="U700">
        <v>2</v>
      </c>
      <c r="V700" t="s">
        <v>269</v>
      </c>
      <c r="W700" t="s">
        <v>112</v>
      </c>
      <c r="X700">
        <v>24</v>
      </c>
      <c r="Y700">
        <v>11</v>
      </c>
      <c r="Z700" t="s">
        <v>1321</v>
      </c>
      <c r="AA700" t="s">
        <v>1322</v>
      </c>
      <c r="AB700" t="s">
        <v>272</v>
      </c>
      <c r="AC700" t="s">
        <v>273</v>
      </c>
      <c r="AD700" t="s">
        <v>274</v>
      </c>
      <c r="AE700" t="s">
        <v>1275</v>
      </c>
      <c r="AG700" t="s">
        <v>1323</v>
      </c>
      <c r="AH700">
        <v>0</v>
      </c>
      <c r="AI700">
        <v>229</v>
      </c>
      <c r="AJ700">
        <v>21</v>
      </c>
      <c r="AK700">
        <v>390</v>
      </c>
      <c r="AL700">
        <v>1.05</v>
      </c>
    </row>
    <row r="701" spans="1:38" x14ac:dyDescent="0.3">
      <c r="A701" t="s">
        <v>1270</v>
      </c>
      <c r="B701">
        <v>108795</v>
      </c>
      <c r="C701">
        <v>2</v>
      </c>
      <c r="D701" t="s">
        <v>1319</v>
      </c>
      <c r="E701" t="s">
        <v>1320</v>
      </c>
      <c r="F701">
        <v>371</v>
      </c>
      <c r="G701">
        <v>25.34</v>
      </c>
      <c r="H701">
        <v>83.79</v>
      </c>
      <c r="I701">
        <v>18.14</v>
      </c>
      <c r="J701">
        <v>59.99</v>
      </c>
      <c r="K701">
        <v>20</v>
      </c>
      <c r="T701">
        <v>3</v>
      </c>
      <c r="U701">
        <v>2</v>
      </c>
      <c r="V701" t="s">
        <v>269</v>
      </c>
      <c r="W701" t="s">
        <v>216</v>
      </c>
      <c r="X701">
        <v>24</v>
      </c>
      <c r="Y701">
        <v>11</v>
      </c>
      <c r="Z701" t="s">
        <v>1321</v>
      </c>
      <c r="AA701" t="s">
        <v>1322</v>
      </c>
      <c r="AB701" t="s">
        <v>272</v>
      </c>
      <c r="AC701" t="s">
        <v>273</v>
      </c>
      <c r="AD701" t="s">
        <v>274</v>
      </c>
      <c r="AE701" t="s">
        <v>1275</v>
      </c>
      <c r="AG701" t="s">
        <v>1323</v>
      </c>
      <c r="AH701">
        <v>0</v>
      </c>
      <c r="AI701">
        <v>229</v>
      </c>
      <c r="AJ701">
        <v>21</v>
      </c>
      <c r="AK701">
        <v>390</v>
      </c>
      <c r="AL701">
        <v>1.05</v>
      </c>
    </row>
    <row r="702" spans="1:38" x14ac:dyDescent="0.3">
      <c r="A702" t="s">
        <v>1270</v>
      </c>
      <c r="B702">
        <v>108795</v>
      </c>
      <c r="C702">
        <v>3</v>
      </c>
      <c r="D702" t="s">
        <v>1319</v>
      </c>
      <c r="E702" t="s">
        <v>1320</v>
      </c>
      <c r="F702">
        <v>371</v>
      </c>
      <c r="G702">
        <v>25.54</v>
      </c>
      <c r="H702">
        <v>84.44</v>
      </c>
      <c r="I702">
        <v>18.14</v>
      </c>
      <c r="J702">
        <v>59.97</v>
      </c>
      <c r="K702">
        <v>86</v>
      </c>
      <c r="T702">
        <v>3</v>
      </c>
      <c r="U702">
        <v>2</v>
      </c>
      <c r="V702" t="s">
        <v>269</v>
      </c>
      <c r="W702" t="s">
        <v>217</v>
      </c>
      <c r="X702">
        <v>24</v>
      </c>
      <c r="Y702">
        <v>11</v>
      </c>
      <c r="Z702" t="s">
        <v>1321</v>
      </c>
      <c r="AA702" t="s">
        <v>1322</v>
      </c>
      <c r="AB702" t="s">
        <v>272</v>
      </c>
      <c r="AC702" t="s">
        <v>273</v>
      </c>
      <c r="AD702" t="s">
        <v>274</v>
      </c>
      <c r="AE702" t="s">
        <v>1275</v>
      </c>
      <c r="AG702" t="s">
        <v>1323</v>
      </c>
      <c r="AH702">
        <v>0</v>
      </c>
      <c r="AI702">
        <v>229</v>
      </c>
      <c r="AJ702">
        <v>21</v>
      </c>
      <c r="AK702">
        <v>390</v>
      </c>
      <c r="AL702">
        <v>1.05</v>
      </c>
    </row>
    <row r="703" spans="1:38" x14ac:dyDescent="0.3">
      <c r="A703" t="s">
        <v>1270</v>
      </c>
      <c r="B703">
        <v>108795</v>
      </c>
      <c r="C703">
        <v>4</v>
      </c>
      <c r="D703" t="s">
        <v>1319</v>
      </c>
      <c r="E703" t="s">
        <v>1320</v>
      </c>
      <c r="F703">
        <v>371</v>
      </c>
      <c r="G703">
        <v>25.41</v>
      </c>
      <c r="H703">
        <v>84.03</v>
      </c>
      <c r="I703">
        <v>18.14</v>
      </c>
      <c r="J703">
        <v>59.98</v>
      </c>
      <c r="K703">
        <v>84</v>
      </c>
      <c r="T703">
        <v>3</v>
      </c>
      <c r="U703">
        <v>2</v>
      </c>
      <c r="V703" t="s">
        <v>269</v>
      </c>
      <c r="W703" t="s">
        <v>63</v>
      </c>
      <c r="X703">
        <v>24</v>
      </c>
      <c r="Y703">
        <v>11</v>
      </c>
      <c r="Z703" t="s">
        <v>1321</v>
      </c>
      <c r="AA703" t="s">
        <v>1322</v>
      </c>
      <c r="AB703" t="s">
        <v>272</v>
      </c>
      <c r="AC703" t="s">
        <v>273</v>
      </c>
      <c r="AD703" t="s">
        <v>274</v>
      </c>
      <c r="AE703" t="s">
        <v>1275</v>
      </c>
      <c r="AG703" t="s">
        <v>1323</v>
      </c>
      <c r="AH703">
        <v>0</v>
      </c>
      <c r="AI703">
        <v>229</v>
      </c>
      <c r="AJ703">
        <v>21</v>
      </c>
      <c r="AK703">
        <v>390</v>
      </c>
      <c r="AL703">
        <v>1.05</v>
      </c>
    </row>
    <row r="704" spans="1:38" x14ac:dyDescent="0.3">
      <c r="A704" t="s">
        <v>1270</v>
      </c>
      <c r="B704">
        <v>108795</v>
      </c>
      <c r="C704">
        <v>5</v>
      </c>
      <c r="D704" t="s">
        <v>1319</v>
      </c>
      <c r="E704" t="s">
        <v>1320</v>
      </c>
      <c r="F704">
        <v>371</v>
      </c>
      <c r="G704">
        <v>25.54</v>
      </c>
      <c r="H704">
        <v>84.46</v>
      </c>
      <c r="I704">
        <v>18.14</v>
      </c>
      <c r="J704">
        <v>59.99</v>
      </c>
      <c r="K704">
        <v>2</v>
      </c>
      <c r="T704">
        <v>3</v>
      </c>
      <c r="U704">
        <v>2</v>
      </c>
      <c r="V704" t="s">
        <v>269</v>
      </c>
      <c r="W704" t="s">
        <v>218</v>
      </c>
      <c r="X704">
        <v>24</v>
      </c>
      <c r="Y704">
        <v>11</v>
      </c>
      <c r="Z704" t="s">
        <v>1321</v>
      </c>
      <c r="AA704" t="s">
        <v>1322</v>
      </c>
      <c r="AB704" t="s">
        <v>272</v>
      </c>
      <c r="AC704" t="s">
        <v>273</v>
      </c>
      <c r="AD704" t="s">
        <v>274</v>
      </c>
      <c r="AE704" t="s">
        <v>1275</v>
      </c>
      <c r="AG704" t="s">
        <v>1323</v>
      </c>
      <c r="AH704">
        <v>0</v>
      </c>
      <c r="AI704">
        <v>229</v>
      </c>
      <c r="AJ704">
        <v>21</v>
      </c>
      <c r="AK704">
        <v>390</v>
      </c>
      <c r="AL704">
        <v>1.05</v>
      </c>
    </row>
    <row r="705" spans="1:38" x14ac:dyDescent="0.3">
      <c r="A705" t="s">
        <v>1270</v>
      </c>
      <c r="B705">
        <v>15041</v>
      </c>
      <c r="C705">
        <v>1</v>
      </c>
      <c r="D705" t="s">
        <v>1324</v>
      </c>
      <c r="E705" t="s">
        <v>1272</v>
      </c>
      <c r="F705">
        <v>90</v>
      </c>
      <c r="G705">
        <v>29.26</v>
      </c>
      <c r="H705">
        <v>96.75</v>
      </c>
      <c r="I705">
        <v>25.62</v>
      </c>
      <c r="J705">
        <v>84.72</v>
      </c>
      <c r="K705">
        <v>90</v>
      </c>
      <c r="T705">
        <v>3</v>
      </c>
      <c r="U705">
        <v>1</v>
      </c>
      <c r="V705" t="s">
        <v>269</v>
      </c>
      <c r="W705">
        <v>96</v>
      </c>
      <c r="X705">
        <v>5</v>
      </c>
      <c r="Y705">
        <v>5</v>
      </c>
      <c r="Z705" t="s">
        <v>1325</v>
      </c>
      <c r="AA705" t="s">
        <v>1326</v>
      </c>
      <c r="AB705" t="s">
        <v>272</v>
      </c>
      <c r="AC705" t="s">
        <v>273</v>
      </c>
      <c r="AD705" t="s">
        <v>274</v>
      </c>
      <c r="AE705" t="s">
        <v>1275</v>
      </c>
      <c r="AG705" t="s">
        <v>1327</v>
      </c>
      <c r="AH705">
        <v>0</v>
      </c>
      <c r="AI705">
        <v>0</v>
      </c>
      <c r="AJ705">
        <v>0</v>
      </c>
      <c r="AK705">
        <v>0</v>
      </c>
      <c r="AL705">
        <v>0</v>
      </c>
    </row>
    <row r="706" spans="1:38" x14ac:dyDescent="0.3">
      <c r="A706" t="s">
        <v>1270</v>
      </c>
      <c r="B706">
        <v>15040</v>
      </c>
      <c r="C706">
        <v>1</v>
      </c>
      <c r="D706" t="s">
        <v>1328</v>
      </c>
      <c r="E706" t="s">
        <v>1329</v>
      </c>
      <c r="F706">
        <v>132</v>
      </c>
      <c r="G706">
        <v>35.4</v>
      </c>
      <c r="H706">
        <v>117.05</v>
      </c>
      <c r="I706">
        <v>25.7</v>
      </c>
      <c r="J706">
        <v>84.96</v>
      </c>
      <c r="K706">
        <v>88</v>
      </c>
      <c r="T706">
        <v>3</v>
      </c>
      <c r="U706">
        <v>2</v>
      </c>
      <c r="V706" t="s">
        <v>279</v>
      </c>
      <c r="W706">
        <v>117</v>
      </c>
      <c r="X706">
        <v>14</v>
      </c>
      <c r="Y706">
        <v>14</v>
      </c>
      <c r="Z706" t="s">
        <v>1330</v>
      </c>
      <c r="AA706" t="s">
        <v>1331</v>
      </c>
      <c r="AB706" t="s">
        <v>272</v>
      </c>
      <c r="AC706" t="s">
        <v>273</v>
      </c>
      <c r="AD706" t="s">
        <v>274</v>
      </c>
      <c r="AE706" t="s">
        <v>1275</v>
      </c>
      <c r="AG706" t="s">
        <v>1332</v>
      </c>
      <c r="AH706">
        <v>0</v>
      </c>
      <c r="AI706">
        <v>0</v>
      </c>
      <c r="AJ706">
        <v>0</v>
      </c>
      <c r="AK706">
        <v>0</v>
      </c>
      <c r="AL706">
        <v>0</v>
      </c>
    </row>
    <row r="707" spans="1:38" x14ac:dyDescent="0.3">
      <c r="A707" t="s">
        <v>1270</v>
      </c>
      <c r="B707">
        <v>15040</v>
      </c>
      <c r="C707">
        <v>2</v>
      </c>
      <c r="D707" t="s">
        <v>1328</v>
      </c>
      <c r="E707" t="s">
        <v>1329</v>
      </c>
      <c r="F707">
        <v>132</v>
      </c>
      <c r="G707">
        <v>42.02</v>
      </c>
      <c r="H707">
        <v>138.91999999999999</v>
      </c>
      <c r="I707">
        <v>30.93</v>
      </c>
      <c r="J707">
        <v>102.28</v>
      </c>
      <c r="K707">
        <v>44</v>
      </c>
      <c r="T707">
        <v>4</v>
      </c>
      <c r="U707">
        <v>2</v>
      </c>
      <c r="V707" t="s">
        <v>279</v>
      </c>
      <c r="W707">
        <v>138</v>
      </c>
      <c r="X707">
        <v>14</v>
      </c>
      <c r="Y707">
        <v>14</v>
      </c>
      <c r="Z707" t="s">
        <v>1330</v>
      </c>
      <c r="AA707" t="s">
        <v>1331</v>
      </c>
      <c r="AB707" t="s">
        <v>272</v>
      </c>
      <c r="AC707" t="s">
        <v>273</v>
      </c>
      <c r="AD707" t="s">
        <v>274</v>
      </c>
      <c r="AE707" t="s">
        <v>1275</v>
      </c>
      <c r="AG707" t="s">
        <v>1332</v>
      </c>
      <c r="AH707">
        <v>0</v>
      </c>
      <c r="AI707">
        <v>0</v>
      </c>
      <c r="AJ707">
        <v>0</v>
      </c>
      <c r="AK707">
        <v>0</v>
      </c>
      <c r="AL707">
        <v>0</v>
      </c>
    </row>
    <row r="708" spans="1:38" x14ac:dyDescent="0.3">
      <c r="A708" t="s">
        <v>1270</v>
      </c>
      <c r="B708">
        <v>116043</v>
      </c>
      <c r="C708">
        <v>1</v>
      </c>
      <c r="D708" t="s">
        <v>1333</v>
      </c>
      <c r="E708" t="s">
        <v>301</v>
      </c>
      <c r="F708">
        <v>55</v>
      </c>
      <c r="G708">
        <v>27.17</v>
      </c>
      <c r="H708">
        <v>89.82</v>
      </c>
      <c r="I708">
        <v>25.42</v>
      </c>
      <c r="J708">
        <v>84.06</v>
      </c>
      <c r="K708">
        <v>20</v>
      </c>
      <c r="T708">
        <v>3</v>
      </c>
      <c r="U708">
        <v>1</v>
      </c>
      <c r="V708" t="s">
        <v>269</v>
      </c>
      <c r="W708" t="s">
        <v>443</v>
      </c>
      <c r="X708">
        <v>5</v>
      </c>
      <c r="Y708">
        <v>5</v>
      </c>
      <c r="Z708" t="s">
        <v>1334</v>
      </c>
      <c r="AA708" t="s">
        <v>1335</v>
      </c>
      <c r="AB708" t="s">
        <v>272</v>
      </c>
      <c r="AC708" t="s">
        <v>273</v>
      </c>
      <c r="AD708" t="s">
        <v>274</v>
      </c>
      <c r="AE708" t="s">
        <v>1275</v>
      </c>
      <c r="AG708" t="s">
        <v>1336</v>
      </c>
      <c r="AH708">
        <v>0</v>
      </c>
      <c r="AI708">
        <v>0</v>
      </c>
      <c r="AJ708">
        <v>0</v>
      </c>
      <c r="AK708">
        <v>0</v>
      </c>
      <c r="AL708">
        <v>0</v>
      </c>
    </row>
    <row r="709" spans="1:38" x14ac:dyDescent="0.3">
      <c r="A709" t="s">
        <v>1270</v>
      </c>
      <c r="B709">
        <v>116043</v>
      </c>
      <c r="C709">
        <v>2</v>
      </c>
      <c r="D709" t="s">
        <v>1333</v>
      </c>
      <c r="E709" t="s">
        <v>301</v>
      </c>
      <c r="F709">
        <v>55</v>
      </c>
      <c r="G709">
        <v>27.22</v>
      </c>
      <c r="H709">
        <v>90</v>
      </c>
      <c r="I709">
        <v>25.26</v>
      </c>
      <c r="J709">
        <v>83.52</v>
      </c>
      <c r="K709">
        <v>20</v>
      </c>
      <c r="T709">
        <v>3</v>
      </c>
      <c r="U709">
        <v>1</v>
      </c>
      <c r="V709" t="s">
        <v>269</v>
      </c>
      <c r="W709" t="s">
        <v>133</v>
      </c>
      <c r="X709">
        <v>5</v>
      </c>
      <c r="Y709">
        <v>5</v>
      </c>
      <c r="Z709" t="s">
        <v>1334</v>
      </c>
      <c r="AA709" t="s">
        <v>1335</v>
      </c>
      <c r="AB709" t="s">
        <v>272</v>
      </c>
      <c r="AC709" t="s">
        <v>273</v>
      </c>
      <c r="AD709" t="s">
        <v>274</v>
      </c>
      <c r="AE709" t="s">
        <v>1275</v>
      </c>
      <c r="AG709" t="s">
        <v>1336</v>
      </c>
      <c r="AH709">
        <v>0</v>
      </c>
      <c r="AI709">
        <v>0</v>
      </c>
      <c r="AJ709">
        <v>0</v>
      </c>
      <c r="AK709">
        <v>0</v>
      </c>
      <c r="AL709">
        <v>0</v>
      </c>
    </row>
    <row r="710" spans="1:38" x14ac:dyDescent="0.3">
      <c r="A710" t="s">
        <v>1270</v>
      </c>
      <c r="B710">
        <v>116043</v>
      </c>
      <c r="C710">
        <v>3</v>
      </c>
      <c r="D710" t="s">
        <v>1333</v>
      </c>
      <c r="E710" t="s">
        <v>301</v>
      </c>
      <c r="F710">
        <v>55</v>
      </c>
      <c r="G710">
        <v>27.22</v>
      </c>
      <c r="H710">
        <v>90</v>
      </c>
      <c r="I710">
        <v>25.48</v>
      </c>
      <c r="J710">
        <v>84.24</v>
      </c>
      <c r="K710">
        <v>5</v>
      </c>
      <c r="T710">
        <v>3</v>
      </c>
      <c r="U710">
        <v>1</v>
      </c>
      <c r="V710" t="s">
        <v>269</v>
      </c>
      <c r="W710" t="s">
        <v>444</v>
      </c>
      <c r="X710">
        <v>5</v>
      </c>
      <c r="Y710">
        <v>5</v>
      </c>
      <c r="Z710" t="s">
        <v>1334</v>
      </c>
      <c r="AA710" t="s">
        <v>1335</v>
      </c>
      <c r="AB710" t="s">
        <v>272</v>
      </c>
      <c r="AC710" t="s">
        <v>273</v>
      </c>
      <c r="AD710" t="s">
        <v>274</v>
      </c>
      <c r="AE710" t="s">
        <v>1275</v>
      </c>
      <c r="AG710" t="s">
        <v>1336</v>
      </c>
      <c r="AH710">
        <v>0</v>
      </c>
      <c r="AI710">
        <v>0</v>
      </c>
      <c r="AJ710">
        <v>0</v>
      </c>
      <c r="AK710">
        <v>0</v>
      </c>
      <c r="AL710">
        <v>0</v>
      </c>
    </row>
    <row r="711" spans="1:38" x14ac:dyDescent="0.3">
      <c r="A711" t="s">
        <v>1270</v>
      </c>
      <c r="B711">
        <v>116043</v>
      </c>
      <c r="C711">
        <v>4</v>
      </c>
      <c r="D711" t="s">
        <v>1333</v>
      </c>
      <c r="E711" t="s">
        <v>301</v>
      </c>
      <c r="F711">
        <v>55</v>
      </c>
      <c r="G711">
        <v>27.41</v>
      </c>
      <c r="H711">
        <v>90.63</v>
      </c>
      <c r="I711">
        <v>25.67</v>
      </c>
      <c r="J711">
        <v>84.87</v>
      </c>
      <c r="K711">
        <v>5</v>
      </c>
      <c r="T711">
        <v>3</v>
      </c>
      <c r="U711">
        <v>1</v>
      </c>
      <c r="V711" t="s">
        <v>269</v>
      </c>
      <c r="W711" t="s">
        <v>1337</v>
      </c>
      <c r="X711">
        <v>5</v>
      </c>
      <c r="Y711">
        <v>5</v>
      </c>
      <c r="Z711" t="s">
        <v>1334</v>
      </c>
      <c r="AA711" t="s">
        <v>1335</v>
      </c>
      <c r="AB711" t="s">
        <v>272</v>
      </c>
      <c r="AC711" t="s">
        <v>273</v>
      </c>
      <c r="AD711" t="s">
        <v>274</v>
      </c>
      <c r="AE711" t="s">
        <v>1275</v>
      </c>
      <c r="AG711" t="s">
        <v>1336</v>
      </c>
      <c r="AH711">
        <v>0</v>
      </c>
      <c r="AI711">
        <v>0</v>
      </c>
      <c r="AJ711">
        <v>0</v>
      </c>
      <c r="AK711">
        <v>0</v>
      </c>
      <c r="AL711">
        <v>0</v>
      </c>
    </row>
    <row r="712" spans="1:38" x14ac:dyDescent="0.3">
      <c r="A712" t="s">
        <v>1270</v>
      </c>
      <c r="B712">
        <v>116043</v>
      </c>
      <c r="C712">
        <v>5</v>
      </c>
      <c r="D712" t="s">
        <v>1333</v>
      </c>
      <c r="E712" t="s">
        <v>301</v>
      </c>
      <c r="F712">
        <v>55</v>
      </c>
      <c r="G712">
        <v>29.13</v>
      </c>
      <c r="H712">
        <v>96.3</v>
      </c>
      <c r="I712">
        <v>25.64</v>
      </c>
      <c r="J712">
        <v>84.78</v>
      </c>
      <c r="K712">
        <v>5</v>
      </c>
      <c r="T712">
        <v>3</v>
      </c>
      <c r="U712">
        <v>1</v>
      </c>
      <c r="V712" t="s">
        <v>269</v>
      </c>
      <c r="W712">
        <v>96</v>
      </c>
      <c r="X712">
        <v>5</v>
      </c>
      <c r="Y712">
        <v>5</v>
      </c>
      <c r="Z712" t="s">
        <v>1334</v>
      </c>
      <c r="AA712" t="s">
        <v>1335</v>
      </c>
      <c r="AB712" t="s">
        <v>272</v>
      </c>
      <c r="AC712" t="s">
        <v>273</v>
      </c>
      <c r="AD712" t="s">
        <v>274</v>
      </c>
      <c r="AE712" t="s">
        <v>1275</v>
      </c>
      <c r="AG712" t="s">
        <v>1336</v>
      </c>
      <c r="AH712">
        <v>0</v>
      </c>
      <c r="AI712">
        <v>0</v>
      </c>
      <c r="AJ712">
        <v>0</v>
      </c>
      <c r="AK712">
        <v>0</v>
      </c>
      <c r="AL712">
        <v>0</v>
      </c>
    </row>
    <row r="713" spans="1:38" x14ac:dyDescent="0.3">
      <c r="A713" t="s">
        <v>1338</v>
      </c>
      <c r="B713">
        <v>110465</v>
      </c>
      <c r="C713">
        <v>1</v>
      </c>
      <c r="D713" t="s">
        <v>1339</v>
      </c>
      <c r="E713" t="s">
        <v>1340</v>
      </c>
      <c r="F713">
        <v>470</v>
      </c>
      <c r="G713">
        <v>32.31</v>
      </c>
      <c r="H713">
        <v>106.81</v>
      </c>
      <c r="I713">
        <v>25.67</v>
      </c>
      <c r="J713">
        <v>84.86</v>
      </c>
      <c r="K713">
        <v>181</v>
      </c>
      <c r="T713">
        <v>3</v>
      </c>
      <c r="U713">
        <v>2</v>
      </c>
      <c r="V713" t="s">
        <v>269</v>
      </c>
      <c r="W713" t="s">
        <v>209</v>
      </c>
      <c r="X713">
        <v>12</v>
      </c>
      <c r="Y713">
        <v>12</v>
      </c>
      <c r="Z713" t="s">
        <v>1341</v>
      </c>
      <c r="AA713" t="s">
        <v>1342</v>
      </c>
      <c r="AB713" t="s">
        <v>272</v>
      </c>
      <c r="AC713" t="s">
        <v>273</v>
      </c>
      <c r="AD713" t="s">
        <v>274</v>
      </c>
      <c r="AE713" t="s">
        <v>245</v>
      </c>
      <c r="AG713" t="s">
        <v>1343</v>
      </c>
      <c r="AH713">
        <v>0</v>
      </c>
      <c r="AI713">
        <v>189</v>
      </c>
      <c r="AJ713">
        <v>22</v>
      </c>
      <c r="AK713">
        <v>593</v>
      </c>
      <c r="AL713">
        <v>1.26</v>
      </c>
    </row>
    <row r="714" spans="1:38" x14ac:dyDescent="0.3">
      <c r="A714" t="s">
        <v>1338</v>
      </c>
      <c r="B714">
        <v>110465</v>
      </c>
      <c r="C714">
        <v>2</v>
      </c>
      <c r="D714" t="s">
        <v>1339</v>
      </c>
      <c r="E714" t="s">
        <v>1340</v>
      </c>
      <c r="F714">
        <v>470</v>
      </c>
      <c r="G714">
        <v>32.08</v>
      </c>
      <c r="H714">
        <v>106.08</v>
      </c>
      <c r="I714">
        <v>25.67</v>
      </c>
      <c r="J714">
        <v>84.86</v>
      </c>
      <c r="K714">
        <v>95</v>
      </c>
      <c r="T714">
        <v>3</v>
      </c>
      <c r="U714">
        <v>2</v>
      </c>
      <c r="V714" t="s">
        <v>269</v>
      </c>
      <c r="W714" t="s">
        <v>219</v>
      </c>
      <c r="X714">
        <v>12</v>
      </c>
      <c r="Y714">
        <v>12</v>
      </c>
      <c r="Z714" t="s">
        <v>1341</v>
      </c>
      <c r="AA714" t="s">
        <v>1342</v>
      </c>
      <c r="AB714" t="s">
        <v>272</v>
      </c>
      <c r="AC714" t="s">
        <v>273</v>
      </c>
      <c r="AD714" t="s">
        <v>274</v>
      </c>
      <c r="AE714" t="s">
        <v>245</v>
      </c>
      <c r="AG714" t="s">
        <v>1343</v>
      </c>
      <c r="AH714">
        <v>0</v>
      </c>
      <c r="AI714">
        <v>189</v>
      </c>
      <c r="AJ714">
        <v>22</v>
      </c>
      <c r="AK714">
        <v>593</v>
      </c>
      <c r="AL714">
        <v>1.26</v>
      </c>
    </row>
    <row r="715" spans="1:38" x14ac:dyDescent="0.3">
      <c r="A715" t="s">
        <v>1338</v>
      </c>
      <c r="B715">
        <v>110465</v>
      </c>
      <c r="C715">
        <v>3</v>
      </c>
      <c r="D715" t="s">
        <v>1339</v>
      </c>
      <c r="E715" t="s">
        <v>1340</v>
      </c>
      <c r="F715">
        <v>470</v>
      </c>
      <c r="G715">
        <v>32.32</v>
      </c>
      <c r="H715">
        <v>106.85</v>
      </c>
      <c r="I715">
        <v>25.67</v>
      </c>
      <c r="J715">
        <v>84.86</v>
      </c>
      <c r="K715">
        <v>7</v>
      </c>
      <c r="T715">
        <v>3</v>
      </c>
      <c r="U715">
        <v>2</v>
      </c>
      <c r="V715" t="s">
        <v>269</v>
      </c>
      <c r="W715" t="s">
        <v>220</v>
      </c>
      <c r="X715">
        <v>12</v>
      </c>
      <c r="Y715">
        <v>12</v>
      </c>
      <c r="Z715" t="s">
        <v>1341</v>
      </c>
      <c r="AA715" t="s">
        <v>1342</v>
      </c>
      <c r="AB715" t="s">
        <v>272</v>
      </c>
      <c r="AC715" t="s">
        <v>273</v>
      </c>
      <c r="AD715" t="s">
        <v>274</v>
      </c>
      <c r="AE715" t="s">
        <v>245</v>
      </c>
      <c r="AG715" t="s">
        <v>1343</v>
      </c>
      <c r="AH715">
        <v>0</v>
      </c>
      <c r="AI715">
        <v>189</v>
      </c>
      <c r="AJ715">
        <v>22</v>
      </c>
      <c r="AK715">
        <v>593</v>
      </c>
      <c r="AL715">
        <v>1.26</v>
      </c>
    </row>
    <row r="716" spans="1:38" x14ac:dyDescent="0.3">
      <c r="A716" t="s">
        <v>1338</v>
      </c>
      <c r="B716">
        <v>110465</v>
      </c>
      <c r="C716">
        <v>4</v>
      </c>
      <c r="D716" t="s">
        <v>1339</v>
      </c>
      <c r="E716" t="s">
        <v>1340</v>
      </c>
      <c r="F716">
        <v>470</v>
      </c>
      <c r="G716">
        <v>32.56</v>
      </c>
      <c r="H716">
        <v>107.64</v>
      </c>
      <c r="I716">
        <v>25.66</v>
      </c>
      <c r="J716">
        <v>84.85</v>
      </c>
      <c r="K716">
        <v>187</v>
      </c>
      <c r="T716">
        <v>3</v>
      </c>
      <c r="U716">
        <v>2</v>
      </c>
      <c r="V716" t="s">
        <v>269</v>
      </c>
      <c r="W716" t="s">
        <v>196</v>
      </c>
      <c r="X716">
        <v>12</v>
      </c>
      <c r="Y716">
        <v>12</v>
      </c>
      <c r="Z716" t="s">
        <v>1341</v>
      </c>
      <c r="AA716" t="s">
        <v>1342</v>
      </c>
      <c r="AB716" t="s">
        <v>272</v>
      </c>
      <c r="AC716" t="s">
        <v>273</v>
      </c>
      <c r="AD716" t="s">
        <v>274</v>
      </c>
      <c r="AE716" t="s">
        <v>245</v>
      </c>
      <c r="AG716" t="s">
        <v>1343</v>
      </c>
      <c r="AH716">
        <v>0</v>
      </c>
      <c r="AI716">
        <v>189</v>
      </c>
      <c r="AJ716">
        <v>22</v>
      </c>
      <c r="AK716">
        <v>593</v>
      </c>
      <c r="AL716">
        <v>1.26</v>
      </c>
    </row>
    <row r="717" spans="1:38" x14ac:dyDescent="0.3">
      <c r="A717" t="s">
        <v>1338</v>
      </c>
      <c r="B717">
        <v>108422</v>
      </c>
      <c r="C717">
        <v>1</v>
      </c>
      <c r="D717" t="s">
        <v>1344</v>
      </c>
      <c r="E717" t="s">
        <v>1345</v>
      </c>
      <c r="F717">
        <v>481</v>
      </c>
      <c r="G717">
        <v>33.46</v>
      </c>
      <c r="H717">
        <v>110.64</v>
      </c>
      <c r="I717">
        <v>25.7</v>
      </c>
      <c r="J717">
        <v>84.99</v>
      </c>
      <c r="K717">
        <v>171</v>
      </c>
      <c r="T717">
        <v>3</v>
      </c>
      <c r="U717">
        <v>2</v>
      </c>
      <c r="V717" t="s">
        <v>269</v>
      </c>
      <c r="W717">
        <v>110</v>
      </c>
      <c r="X717">
        <v>25</v>
      </c>
      <c r="Y717">
        <v>15</v>
      </c>
      <c r="Z717" t="s">
        <v>1346</v>
      </c>
      <c r="AA717" t="s">
        <v>1347</v>
      </c>
      <c r="AB717" t="s">
        <v>272</v>
      </c>
      <c r="AC717" t="s">
        <v>273</v>
      </c>
      <c r="AD717" t="s">
        <v>274</v>
      </c>
      <c r="AE717" t="s">
        <v>245</v>
      </c>
      <c r="AG717" t="s">
        <v>1348</v>
      </c>
      <c r="AH717">
        <v>0</v>
      </c>
      <c r="AI717">
        <v>182</v>
      </c>
      <c r="AJ717">
        <v>11</v>
      </c>
      <c r="AK717">
        <v>720</v>
      </c>
      <c r="AL717">
        <v>1.5</v>
      </c>
    </row>
    <row r="718" spans="1:38" x14ac:dyDescent="0.3">
      <c r="A718" t="s">
        <v>1338</v>
      </c>
      <c r="B718">
        <v>108422</v>
      </c>
      <c r="C718">
        <v>2</v>
      </c>
      <c r="D718" t="s">
        <v>1344</v>
      </c>
      <c r="E718" t="s">
        <v>1345</v>
      </c>
      <c r="F718">
        <v>481</v>
      </c>
      <c r="G718">
        <v>37.630000000000003</v>
      </c>
      <c r="H718">
        <v>124.4</v>
      </c>
      <c r="I718">
        <v>29.75</v>
      </c>
      <c r="J718">
        <v>98.37</v>
      </c>
      <c r="K718">
        <v>184</v>
      </c>
      <c r="T718">
        <v>4</v>
      </c>
      <c r="U718">
        <v>2</v>
      </c>
      <c r="V718" t="s">
        <v>269</v>
      </c>
      <c r="W718">
        <v>124</v>
      </c>
      <c r="X718">
        <v>25</v>
      </c>
      <c r="Y718">
        <v>15</v>
      </c>
      <c r="Z718" t="s">
        <v>1346</v>
      </c>
      <c r="AA718" t="s">
        <v>1347</v>
      </c>
      <c r="AB718" t="s">
        <v>272</v>
      </c>
      <c r="AC718" t="s">
        <v>273</v>
      </c>
      <c r="AD718" t="s">
        <v>274</v>
      </c>
      <c r="AE718" t="s">
        <v>245</v>
      </c>
      <c r="AG718" t="s">
        <v>1348</v>
      </c>
      <c r="AH718">
        <v>0</v>
      </c>
      <c r="AI718">
        <v>182</v>
      </c>
      <c r="AJ718">
        <v>11</v>
      </c>
      <c r="AK718">
        <v>720</v>
      </c>
      <c r="AL718">
        <v>1.5</v>
      </c>
    </row>
    <row r="719" spans="1:38" x14ac:dyDescent="0.3">
      <c r="A719" t="s">
        <v>1338</v>
      </c>
      <c r="B719">
        <v>108422</v>
      </c>
      <c r="C719">
        <v>3</v>
      </c>
      <c r="D719" t="s">
        <v>1344</v>
      </c>
      <c r="E719" t="s">
        <v>1345</v>
      </c>
      <c r="F719">
        <v>481</v>
      </c>
      <c r="G719">
        <v>42.56</v>
      </c>
      <c r="H719">
        <v>140.71</v>
      </c>
      <c r="I719">
        <v>34.82</v>
      </c>
      <c r="J719">
        <v>115.11</v>
      </c>
      <c r="K719">
        <v>126</v>
      </c>
      <c r="T719">
        <v>4</v>
      </c>
      <c r="U719">
        <v>2</v>
      </c>
      <c r="V719" t="s">
        <v>269</v>
      </c>
      <c r="W719">
        <v>140</v>
      </c>
      <c r="X719">
        <v>25</v>
      </c>
      <c r="Y719">
        <v>15</v>
      </c>
      <c r="Z719" t="s">
        <v>1346</v>
      </c>
      <c r="AA719" t="s">
        <v>1347</v>
      </c>
      <c r="AB719" t="s">
        <v>272</v>
      </c>
      <c r="AC719" t="s">
        <v>273</v>
      </c>
      <c r="AD719" t="s">
        <v>274</v>
      </c>
      <c r="AE719" t="s">
        <v>245</v>
      </c>
      <c r="AG719" t="s">
        <v>1348</v>
      </c>
      <c r="AH719">
        <v>0</v>
      </c>
      <c r="AI719">
        <v>182</v>
      </c>
      <c r="AJ719">
        <v>11</v>
      </c>
      <c r="AK719">
        <v>720</v>
      </c>
      <c r="AL719">
        <v>1.5</v>
      </c>
    </row>
    <row r="720" spans="1:38" x14ac:dyDescent="0.3">
      <c r="A720" t="s">
        <v>1338</v>
      </c>
      <c r="B720">
        <v>105293</v>
      </c>
      <c r="C720">
        <v>1</v>
      </c>
      <c r="D720" t="s">
        <v>1349</v>
      </c>
      <c r="E720" t="s">
        <v>1350</v>
      </c>
      <c r="F720">
        <v>316</v>
      </c>
      <c r="G720">
        <v>29.53</v>
      </c>
      <c r="H720">
        <v>97.64</v>
      </c>
      <c r="I720">
        <v>22.68</v>
      </c>
      <c r="J720">
        <v>74.98</v>
      </c>
      <c r="K720">
        <v>60</v>
      </c>
      <c r="T720">
        <v>3</v>
      </c>
      <c r="U720">
        <v>2</v>
      </c>
      <c r="V720" t="s">
        <v>269</v>
      </c>
      <c r="W720">
        <v>97</v>
      </c>
      <c r="X720">
        <v>15</v>
      </c>
      <c r="Y720">
        <v>8</v>
      </c>
      <c r="Z720" t="s">
        <v>1351</v>
      </c>
      <c r="AA720" t="s">
        <v>1352</v>
      </c>
      <c r="AB720" t="s">
        <v>272</v>
      </c>
      <c r="AC720" t="s">
        <v>273</v>
      </c>
      <c r="AD720" t="s">
        <v>274</v>
      </c>
      <c r="AE720" t="s">
        <v>245</v>
      </c>
      <c r="AG720" t="s">
        <v>1353</v>
      </c>
      <c r="AH720">
        <v>0</v>
      </c>
      <c r="AI720">
        <v>159</v>
      </c>
      <c r="AJ720">
        <v>20</v>
      </c>
      <c r="AK720">
        <v>373</v>
      </c>
      <c r="AL720">
        <v>1.18</v>
      </c>
    </row>
    <row r="721" spans="1:38" x14ac:dyDescent="0.3">
      <c r="A721" t="s">
        <v>1338</v>
      </c>
      <c r="B721">
        <v>105293</v>
      </c>
      <c r="C721">
        <v>2</v>
      </c>
      <c r="D721" t="s">
        <v>1349</v>
      </c>
      <c r="E721" t="s">
        <v>1350</v>
      </c>
      <c r="F721">
        <v>316</v>
      </c>
      <c r="G721">
        <v>33.47</v>
      </c>
      <c r="H721">
        <v>110.66</v>
      </c>
      <c r="I721">
        <v>25.7</v>
      </c>
      <c r="J721">
        <v>84.98</v>
      </c>
      <c r="K721">
        <v>181</v>
      </c>
      <c r="T721">
        <v>3</v>
      </c>
      <c r="U721">
        <v>2</v>
      </c>
      <c r="V721" t="s">
        <v>269</v>
      </c>
      <c r="W721" t="s">
        <v>91</v>
      </c>
      <c r="X721">
        <v>15</v>
      </c>
      <c r="Y721">
        <v>8</v>
      </c>
      <c r="Z721" t="s">
        <v>1351</v>
      </c>
      <c r="AA721" t="s">
        <v>1352</v>
      </c>
      <c r="AB721" t="s">
        <v>272</v>
      </c>
      <c r="AC721" t="s">
        <v>273</v>
      </c>
      <c r="AD721" t="s">
        <v>274</v>
      </c>
      <c r="AE721" t="s">
        <v>245</v>
      </c>
      <c r="AG721" t="s">
        <v>1353</v>
      </c>
      <c r="AH721">
        <v>0</v>
      </c>
      <c r="AI721">
        <v>159</v>
      </c>
      <c r="AJ721">
        <v>20</v>
      </c>
      <c r="AK721">
        <v>373</v>
      </c>
      <c r="AL721">
        <v>1.18</v>
      </c>
    </row>
    <row r="722" spans="1:38" x14ac:dyDescent="0.3">
      <c r="A722" t="s">
        <v>1338</v>
      </c>
      <c r="B722">
        <v>105293</v>
      </c>
      <c r="C722">
        <v>3</v>
      </c>
      <c r="D722" t="s">
        <v>1349</v>
      </c>
      <c r="E722" t="s">
        <v>1350</v>
      </c>
      <c r="F722">
        <v>316</v>
      </c>
      <c r="G722">
        <v>33.43</v>
      </c>
      <c r="H722">
        <v>110.53</v>
      </c>
      <c r="I722">
        <v>25.67</v>
      </c>
      <c r="J722">
        <v>84.88</v>
      </c>
      <c r="K722">
        <v>75</v>
      </c>
      <c r="T722">
        <v>3</v>
      </c>
      <c r="U722">
        <v>2</v>
      </c>
      <c r="V722" t="s">
        <v>269</v>
      </c>
      <c r="W722" t="s">
        <v>132</v>
      </c>
      <c r="X722">
        <v>15</v>
      </c>
      <c r="Y722">
        <v>8</v>
      </c>
      <c r="Z722" t="s">
        <v>1351</v>
      </c>
      <c r="AA722" t="s">
        <v>1352</v>
      </c>
      <c r="AB722" t="s">
        <v>272</v>
      </c>
      <c r="AC722" t="s">
        <v>273</v>
      </c>
      <c r="AD722" t="s">
        <v>274</v>
      </c>
      <c r="AE722" t="s">
        <v>245</v>
      </c>
      <c r="AG722" t="s">
        <v>1353</v>
      </c>
      <c r="AH722">
        <v>0</v>
      </c>
      <c r="AI722">
        <v>159</v>
      </c>
      <c r="AJ722">
        <v>20</v>
      </c>
      <c r="AK722">
        <v>373</v>
      </c>
      <c r="AL722">
        <v>1.18</v>
      </c>
    </row>
    <row r="723" spans="1:38" x14ac:dyDescent="0.3">
      <c r="A723" t="s">
        <v>1338</v>
      </c>
      <c r="B723">
        <v>108419</v>
      </c>
      <c r="C723">
        <v>1</v>
      </c>
      <c r="D723" t="s">
        <v>1354</v>
      </c>
      <c r="E723" t="s">
        <v>1355</v>
      </c>
      <c r="F723">
        <v>457</v>
      </c>
      <c r="G723">
        <v>34.04</v>
      </c>
      <c r="H723">
        <v>112.55</v>
      </c>
      <c r="I723">
        <v>25.65</v>
      </c>
      <c r="J723">
        <v>84.82</v>
      </c>
      <c r="K723">
        <v>256</v>
      </c>
      <c r="T723">
        <v>4</v>
      </c>
      <c r="U723">
        <v>2</v>
      </c>
      <c r="V723" t="s">
        <v>269</v>
      </c>
      <c r="W723">
        <v>112</v>
      </c>
      <c r="X723">
        <v>20</v>
      </c>
      <c r="Y723">
        <v>13</v>
      </c>
      <c r="Z723" t="s">
        <v>1356</v>
      </c>
      <c r="AA723" t="s">
        <v>1357</v>
      </c>
      <c r="AB723" t="s">
        <v>272</v>
      </c>
      <c r="AC723" t="s">
        <v>273</v>
      </c>
      <c r="AD723" t="s">
        <v>274</v>
      </c>
      <c r="AE723" t="s">
        <v>245</v>
      </c>
      <c r="AG723" t="s">
        <v>1358</v>
      </c>
      <c r="AH723">
        <v>0</v>
      </c>
      <c r="AI723">
        <v>182</v>
      </c>
      <c r="AJ723">
        <v>18</v>
      </c>
      <c r="AK723">
        <v>625</v>
      </c>
      <c r="AL723">
        <v>1.37</v>
      </c>
    </row>
    <row r="724" spans="1:38" x14ac:dyDescent="0.3">
      <c r="A724" t="s">
        <v>1338</v>
      </c>
      <c r="B724">
        <v>108419</v>
      </c>
      <c r="C724">
        <v>2</v>
      </c>
      <c r="D724" t="s">
        <v>1354</v>
      </c>
      <c r="E724" t="s">
        <v>1355</v>
      </c>
      <c r="F724">
        <v>457</v>
      </c>
      <c r="G724">
        <v>42.16</v>
      </c>
      <c r="H724">
        <v>139.4</v>
      </c>
      <c r="I724">
        <v>33.58</v>
      </c>
      <c r="J724">
        <v>111.01</v>
      </c>
      <c r="K724">
        <v>201</v>
      </c>
      <c r="T724">
        <v>4</v>
      </c>
      <c r="U724">
        <v>2</v>
      </c>
      <c r="V724" t="s">
        <v>269</v>
      </c>
      <c r="W724">
        <v>139</v>
      </c>
      <c r="X724">
        <v>20</v>
      </c>
      <c r="Y724">
        <v>13</v>
      </c>
      <c r="Z724" t="s">
        <v>1356</v>
      </c>
      <c r="AA724" t="s">
        <v>1357</v>
      </c>
      <c r="AB724" t="s">
        <v>272</v>
      </c>
      <c r="AC724" t="s">
        <v>273</v>
      </c>
      <c r="AD724" t="s">
        <v>274</v>
      </c>
      <c r="AE724" t="s">
        <v>245</v>
      </c>
      <c r="AG724" t="s">
        <v>1358</v>
      </c>
      <c r="AH724">
        <v>0</v>
      </c>
      <c r="AI724">
        <v>182</v>
      </c>
      <c r="AJ724">
        <v>18</v>
      </c>
      <c r="AK724">
        <v>625</v>
      </c>
      <c r="AL724">
        <v>1.37</v>
      </c>
    </row>
    <row r="725" spans="1:38" x14ac:dyDescent="0.3">
      <c r="A725" t="s">
        <v>1338</v>
      </c>
      <c r="B725">
        <v>104983</v>
      </c>
      <c r="C725">
        <v>1</v>
      </c>
      <c r="D725" t="s">
        <v>1359</v>
      </c>
      <c r="E725" t="s">
        <v>1360</v>
      </c>
      <c r="F725">
        <v>731</v>
      </c>
      <c r="G725">
        <v>39.200000000000003</v>
      </c>
      <c r="H725">
        <v>129.59</v>
      </c>
      <c r="I725">
        <v>31.02</v>
      </c>
      <c r="J725">
        <v>102.56</v>
      </c>
      <c r="K725">
        <v>408</v>
      </c>
      <c r="T725">
        <v>4</v>
      </c>
      <c r="U725">
        <v>2</v>
      </c>
      <c r="V725" t="s">
        <v>269</v>
      </c>
      <c r="W725" t="s">
        <v>221</v>
      </c>
      <c r="X725">
        <v>20</v>
      </c>
      <c r="Y725">
        <v>8</v>
      </c>
      <c r="Z725" t="s">
        <v>1361</v>
      </c>
      <c r="AA725" t="s">
        <v>1362</v>
      </c>
      <c r="AB725" t="s">
        <v>272</v>
      </c>
      <c r="AC725" t="s">
        <v>273</v>
      </c>
      <c r="AD725" t="s">
        <v>274</v>
      </c>
      <c r="AE725" t="s">
        <v>245</v>
      </c>
      <c r="AG725" t="s">
        <v>1363</v>
      </c>
      <c r="AH725">
        <v>0</v>
      </c>
      <c r="AI725">
        <v>179</v>
      </c>
      <c r="AJ725">
        <v>16</v>
      </c>
      <c r="AK725">
        <v>1124</v>
      </c>
      <c r="AL725">
        <v>1.54</v>
      </c>
    </row>
    <row r="726" spans="1:38" x14ac:dyDescent="0.3">
      <c r="A726" t="s">
        <v>1338</v>
      </c>
      <c r="B726">
        <v>104983</v>
      </c>
      <c r="C726">
        <v>2</v>
      </c>
      <c r="D726" t="s">
        <v>1359</v>
      </c>
      <c r="E726" t="s">
        <v>1360</v>
      </c>
      <c r="F726">
        <v>731</v>
      </c>
      <c r="G726">
        <v>39.79</v>
      </c>
      <c r="H726">
        <v>131.54</v>
      </c>
      <c r="I726">
        <v>30.91</v>
      </c>
      <c r="J726">
        <v>102.2</v>
      </c>
      <c r="K726">
        <v>99</v>
      </c>
      <c r="T726">
        <v>4</v>
      </c>
      <c r="U726">
        <v>2</v>
      </c>
      <c r="V726" t="s">
        <v>269</v>
      </c>
      <c r="W726" t="s">
        <v>181</v>
      </c>
      <c r="X726">
        <v>20</v>
      </c>
      <c r="Y726">
        <v>8</v>
      </c>
      <c r="Z726" t="s">
        <v>1361</v>
      </c>
      <c r="AA726" t="s">
        <v>1362</v>
      </c>
      <c r="AB726" t="s">
        <v>272</v>
      </c>
      <c r="AC726" t="s">
        <v>273</v>
      </c>
      <c r="AD726" t="s">
        <v>274</v>
      </c>
      <c r="AE726" t="s">
        <v>245</v>
      </c>
      <c r="AG726" t="s">
        <v>1363</v>
      </c>
      <c r="AH726">
        <v>0</v>
      </c>
      <c r="AI726">
        <v>179</v>
      </c>
      <c r="AJ726">
        <v>16</v>
      </c>
      <c r="AK726">
        <v>1124</v>
      </c>
      <c r="AL726">
        <v>1.54</v>
      </c>
    </row>
    <row r="727" spans="1:38" x14ac:dyDescent="0.3">
      <c r="A727" t="s">
        <v>1338</v>
      </c>
      <c r="B727">
        <v>104983</v>
      </c>
      <c r="C727">
        <v>3</v>
      </c>
      <c r="D727" t="s">
        <v>1359</v>
      </c>
      <c r="E727" t="s">
        <v>1360</v>
      </c>
      <c r="F727">
        <v>731</v>
      </c>
      <c r="G727">
        <v>43.5</v>
      </c>
      <c r="H727">
        <v>143.83000000000001</v>
      </c>
      <c r="I727">
        <v>35.76</v>
      </c>
      <c r="J727">
        <v>118.22</v>
      </c>
      <c r="K727">
        <v>224</v>
      </c>
      <c r="T727">
        <v>4</v>
      </c>
      <c r="U727">
        <v>2</v>
      </c>
      <c r="V727" t="s">
        <v>269</v>
      </c>
      <c r="W727" t="s">
        <v>222</v>
      </c>
      <c r="X727">
        <v>20</v>
      </c>
      <c r="Y727">
        <v>8</v>
      </c>
      <c r="Z727" t="s">
        <v>1361</v>
      </c>
      <c r="AA727" t="s">
        <v>1362</v>
      </c>
      <c r="AB727" t="s">
        <v>272</v>
      </c>
      <c r="AC727" t="s">
        <v>273</v>
      </c>
      <c r="AD727" t="s">
        <v>274</v>
      </c>
      <c r="AE727" t="s">
        <v>245</v>
      </c>
      <c r="AG727" t="s">
        <v>1363</v>
      </c>
      <c r="AH727">
        <v>0</v>
      </c>
      <c r="AI727">
        <v>179</v>
      </c>
      <c r="AJ727">
        <v>16</v>
      </c>
      <c r="AK727">
        <v>1124</v>
      </c>
      <c r="AL727">
        <v>1.54</v>
      </c>
    </row>
    <row r="728" spans="1:38" x14ac:dyDescent="0.3">
      <c r="A728" t="s">
        <v>1338</v>
      </c>
      <c r="B728">
        <v>107985</v>
      </c>
      <c r="C728">
        <v>1</v>
      </c>
      <c r="D728" t="s">
        <v>1364</v>
      </c>
      <c r="E728" t="s">
        <v>1350</v>
      </c>
      <c r="F728">
        <v>462</v>
      </c>
      <c r="G728">
        <v>33.520000000000003</v>
      </c>
      <c r="H728">
        <v>110.83</v>
      </c>
      <c r="I728">
        <v>25.7</v>
      </c>
      <c r="J728">
        <v>84.99</v>
      </c>
      <c r="K728">
        <v>462</v>
      </c>
      <c r="T728">
        <v>3</v>
      </c>
      <c r="U728">
        <v>2</v>
      </c>
      <c r="V728" t="s">
        <v>269</v>
      </c>
      <c r="W728">
        <v>110</v>
      </c>
      <c r="X728">
        <v>25</v>
      </c>
      <c r="Y728">
        <v>18</v>
      </c>
      <c r="Z728" t="s">
        <v>1365</v>
      </c>
      <c r="AA728" t="s">
        <v>1366</v>
      </c>
      <c r="AB728" t="s">
        <v>272</v>
      </c>
      <c r="AC728" t="s">
        <v>273</v>
      </c>
      <c r="AD728" t="s">
        <v>274</v>
      </c>
      <c r="AE728" t="s">
        <v>245</v>
      </c>
      <c r="AG728" t="s">
        <v>1367</v>
      </c>
      <c r="AH728">
        <v>0</v>
      </c>
      <c r="AI728">
        <v>164</v>
      </c>
      <c r="AJ728">
        <v>13</v>
      </c>
      <c r="AK728">
        <v>588</v>
      </c>
      <c r="AL728">
        <v>1.27</v>
      </c>
    </row>
    <row r="729" spans="1:38" x14ac:dyDescent="0.3">
      <c r="A729" t="s">
        <v>1338</v>
      </c>
      <c r="B729">
        <v>108420</v>
      </c>
      <c r="C729">
        <v>1</v>
      </c>
      <c r="D729" t="s">
        <v>1368</v>
      </c>
      <c r="E729" t="s">
        <v>1355</v>
      </c>
      <c r="F729">
        <v>634</v>
      </c>
      <c r="G729">
        <v>34.14</v>
      </c>
      <c r="H729">
        <v>112.88</v>
      </c>
      <c r="I729">
        <v>25.65</v>
      </c>
      <c r="J729">
        <v>84.82</v>
      </c>
      <c r="K729">
        <v>267</v>
      </c>
      <c r="T729">
        <v>3</v>
      </c>
      <c r="U729">
        <v>2</v>
      </c>
      <c r="V729" t="s">
        <v>269</v>
      </c>
      <c r="W729" t="s">
        <v>101</v>
      </c>
      <c r="X729">
        <v>20</v>
      </c>
      <c r="Y729">
        <v>8</v>
      </c>
      <c r="Z729" t="s">
        <v>1369</v>
      </c>
      <c r="AA729" t="s">
        <v>1370</v>
      </c>
      <c r="AB729" t="s">
        <v>272</v>
      </c>
      <c r="AC729" t="s">
        <v>273</v>
      </c>
      <c r="AD729" t="s">
        <v>274</v>
      </c>
      <c r="AE729" t="s">
        <v>245</v>
      </c>
      <c r="AG729" t="s">
        <v>1371</v>
      </c>
      <c r="AH729">
        <v>0</v>
      </c>
      <c r="AI729">
        <v>180</v>
      </c>
      <c r="AJ729">
        <v>19</v>
      </c>
      <c r="AK729">
        <v>873</v>
      </c>
      <c r="AL729">
        <v>1.38</v>
      </c>
    </row>
    <row r="730" spans="1:38" x14ac:dyDescent="0.3">
      <c r="A730" t="s">
        <v>1338</v>
      </c>
      <c r="B730">
        <v>108420</v>
      </c>
      <c r="C730">
        <v>2</v>
      </c>
      <c r="D730" t="s">
        <v>1368</v>
      </c>
      <c r="E730" t="s">
        <v>1355</v>
      </c>
      <c r="F730">
        <v>634</v>
      </c>
      <c r="G730">
        <v>34.61</v>
      </c>
      <c r="H730">
        <v>114.43</v>
      </c>
      <c r="I730">
        <v>25.69</v>
      </c>
      <c r="J730">
        <v>84.93</v>
      </c>
      <c r="K730">
        <v>62</v>
      </c>
      <c r="T730">
        <v>3</v>
      </c>
      <c r="U730">
        <v>2</v>
      </c>
      <c r="V730" t="s">
        <v>269</v>
      </c>
      <c r="W730" t="s">
        <v>79</v>
      </c>
      <c r="X730">
        <v>20</v>
      </c>
      <c r="Y730">
        <v>8</v>
      </c>
      <c r="Z730" t="s">
        <v>1369</v>
      </c>
      <c r="AA730" t="s">
        <v>1370</v>
      </c>
      <c r="AB730" t="s">
        <v>272</v>
      </c>
      <c r="AC730" t="s">
        <v>273</v>
      </c>
      <c r="AD730" t="s">
        <v>274</v>
      </c>
      <c r="AE730" t="s">
        <v>245</v>
      </c>
      <c r="AG730" t="s">
        <v>1371</v>
      </c>
      <c r="AH730">
        <v>0</v>
      </c>
      <c r="AI730">
        <v>180</v>
      </c>
      <c r="AJ730">
        <v>19</v>
      </c>
      <c r="AK730">
        <v>873</v>
      </c>
      <c r="AL730">
        <v>1.38</v>
      </c>
    </row>
    <row r="731" spans="1:38" x14ac:dyDescent="0.3">
      <c r="A731" t="s">
        <v>1338</v>
      </c>
      <c r="B731">
        <v>108420</v>
      </c>
      <c r="C731">
        <v>3</v>
      </c>
      <c r="D731" t="s">
        <v>1368</v>
      </c>
      <c r="E731" t="s">
        <v>1355</v>
      </c>
      <c r="F731">
        <v>634</v>
      </c>
      <c r="G731">
        <v>39.01</v>
      </c>
      <c r="H731">
        <v>128.99</v>
      </c>
      <c r="I731">
        <v>30.83</v>
      </c>
      <c r="J731">
        <v>101.95</v>
      </c>
      <c r="K731">
        <v>104</v>
      </c>
      <c r="T731">
        <v>4</v>
      </c>
      <c r="U731">
        <v>2</v>
      </c>
      <c r="V731" t="s">
        <v>269</v>
      </c>
      <c r="W731">
        <v>128</v>
      </c>
      <c r="X731">
        <v>20</v>
      </c>
      <c r="Y731">
        <v>8</v>
      </c>
      <c r="Z731" t="s">
        <v>1369</v>
      </c>
      <c r="AA731" t="s">
        <v>1370</v>
      </c>
      <c r="AB731" t="s">
        <v>272</v>
      </c>
      <c r="AC731" t="s">
        <v>273</v>
      </c>
      <c r="AD731" t="s">
        <v>274</v>
      </c>
      <c r="AE731" t="s">
        <v>245</v>
      </c>
      <c r="AG731" t="s">
        <v>1371</v>
      </c>
      <c r="AH731">
        <v>0</v>
      </c>
      <c r="AI731">
        <v>180</v>
      </c>
      <c r="AJ731">
        <v>19</v>
      </c>
      <c r="AK731">
        <v>873</v>
      </c>
      <c r="AL731">
        <v>1.38</v>
      </c>
    </row>
    <row r="732" spans="1:38" x14ac:dyDescent="0.3">
      <c r="A732" t="s">
        <v>1338</v>
      </c>
      <c r="B732">
        <v>108420</v>
      </c>
      <c r="C732">
        <v>4</v>
      </c>
      <c r="D732" t="s">
        <v>1368</v>
      </c>
      <c r="E732" t="s">
        <v>1355</v>
      </c>
      <c r="F732">
        <v>634</v>
      </c>
      <c r="G732">
        <v>42.1</v>
      </c>
      <c r="H732">
        <v>139.18</v>
      </c>
      <c r="I732">
        <v>33.58</v>
      </c>
      <c r="J732">
        <v>111.01</v>
      </c>
      <c r="K732">
        <v>201</v>
      </c>
      <c r="T732">
        <v>4</v>
      </c>
      <c r="U732">
        <v>2</v>
      </c>
      <c r="V732" t="s">
        <v>269</v>
      </c>
      <c r="W732">
        <v>139</v>
      </c>
      <c r="X732">
        <v>20</v>
      </c>
      <c r="Y732">
        <v>8</v>
      </c>
      <c r="Z732" t="s">
        <v>1369</v>
      </c>
      <c r="AA732" t="s">
        <v>1370</v>
      </c>
      <c r="AB732" t="s">
        <v>272</v>
      </c>
      <c r="AC732" t="s">
        <v>273</v>
      </c>
      <c r="AD732" t="s">
        <v>274</v>
      </c>
      <c r="AE732" t="s">
        <v>245</v>
      </c>
      <c r="AG732" t="s">
        <v>1371</v>
      </c>
      <c r="AH732">
        <v>0</v>
      </c>
      <c r="AI732">
        <v>180</v>
      </c>
      <c r="AJ732">
        <v>19</v>
      </c>
      <c r="AK732">
        <v>873</v>
      </c>
      <c r="AL732">
        <v>1.38</v>
      </c>
    </row>
    <row r="733" spans="1:38" x14ac:dyDescent="0.3">
      <c r="A733" t="s">
        <v>1338</v>
      </c>
      <c r="B733">
        <v>115599</v>
      </c>
      <c r="C733">
        <v>1</v>
      </c>
      <c r="D733" t="s">
        <v>1372</v>
      </c>
      <c r="E733" t="s">
        <v>1232</v>
      </c>
      <c r="F733">
        <v>494</v>
      </c>
      <c r="G733">
        <v>39.21</v>
      </c>
      <c r="H733">
        <v>129.62</v>
      </c>
      <c r="I733">
        <v>32.07</v>
      </c>
      <c r="J733">
        <v>106.02</v>
      </c>
      <c r="K733">
        <v>83</v>
      </c>
      <c r="T733">
        <v>4</v>
      </c>
      <c r="U733">
        <v>2</v>
      </c>
      <c r="V733" t="s">
        <v>269</v>
      </c>
      <c r="W733" t="s">
        <v>221</v>
      </c>
      <c r="X733">
        <v>45</v>
      </c>
      <c r="Y733">
        <v>45</v>
      </c>
      <c r="Z733" t="s">
        <v>1373</v>
      </c>
      <c r="AA733" t="s">
        <v>1374</v>
      </c>
      <c r="AB733" t="s">
        <v>272</v>
      </c>
      <c r="AC733" t="s">
        <v>273</v>
      </c>
      <c r="AD733" t="s">
        <v>274</v>
      </c>
      <c r="AE733" t="s">
        <v>245</v>
      </c>
      <c r="AG733" t="s">
        <v>1375</v>
      </c>
      <c r="AH733">
        <v>0</v>
      </c>
      <c r="AI733">
        <v>692</v>
      </c>
      <c r="AJ733">
        <v>73</v>
      </c>
      <c r="AK733">
        <v>880</v>
      </c>
      <c r="AL733">
        <v>1.78</v>
      </c>
    </row>
    <row r="734" spans="1:38" x14ac:dyDescent="0.3">
      <c r="A734" t="s">
        <v>1338</v>
      </c>
      <c r="B734">
        <v>115599</v>
      </c>
      <c r="C734">
        <v>2</v>
      </c>
      <c r="D734" t="s">
        <v>1372</v>
      </c>
      <c r="E734" t="s">
        <v>1232</v>
      </c>
      <c r="F734">
        <v>494</v>
      </c>
      <c r="G734">
        <v>39.24</v>
      </c>
      <c r="H734">
        <v>129.72</v>
      </c>
      <c r="I734">
        <v>32.11</v>
      </c>
      <c r="J734">
        <v>106.16</v>
      </c>
      <c r="K734">
        <v>83</v>
      </c>
      <c r="T734">
        <v>4</v>
      </c>
      <c r="U734">
        <v>2</v>
      </c>
      <c r="V734" t="s">
        <v>269</v>
      </c>
      <c r="W734" t="s">
        <v>223</v>
      </c>
      <c r="X734">
        <v>45</v>
      </c>
      <c r="Y734">
        <v>45</v>
      </c>
      <c r="Z734" t="s">
        <v>1373</v>
      </c>
      <c r="AA734" t="s">
        <v>1374</v>
      </c>
      <c r="AB734" t="s">
        <v>272</v>
      </c>
      <c r="AC734" t="s">
        <v>273</v>
      </c>
      <c r="AD734" t="s">
        <v>274</v>
      </c>
      <c r="AE734" t="s">
        <v>245</v>
      </c>
      <c r="AG734" t="s">
        <v>1375</v>
      </c>
      <c r="AH734">
        <v>0</v>
      </c>
      <c r="AI734">
        <v>692</v>
      </c>
      <c r="AJ734">
        <v>73</v>
      </c>
      <c r="AK734">
        <v>880</v>
      </c>
      <c r="AL734">
        <v>1.78</v>
      </c>
    </row>
    <row r="735" spans="1:38" x14ac:dyDescent="0.3">
      <c r="A735" t="s">
        <v>1338</v>
      </c>
      <c r="B735">
        <v>115599</v>
      </c>
      <c r="C735">
        <v>3</v>
      </c>
      <c r="D735" t="s">
        <v>1372</v>
      </c>
      <c r="E735" t="s">
        <v>1232</v>
      </c>
      <c r="F735">
        <v>494</v>
      </c>
      <c r="G735">
        <v>43.45</v>
      </c>
      <c r="H735">
        <v>143.63999999999999</v>
      </c>
      <c r="I735">
        <v>36.15</v>
      </c>
      <c r="J735">
        <v>119.52</v>
      </c>
      <c r="K735">
        <v>165</v>
      </c>
      <c r="T735">
        <v>5</v>
      </c>
      <c r="U735">
        <v>2</v>
      </c>
      <c r="V735" t="s">
        <v>269</v>
      </c>
      <c r="W735" t="s">
        <v>197</v>
      </c>
      <c r="X735">
        <v>45</v>
      </c>
      <c r="Y735">
        <v>45</v>
      </c>
      <c r="Z735" t="s">
        <v>1373</v>
      </c>
      <c r="AA735" t="s">
        <v>1374</v>
      </c>
      <c r="AB735" t="s">
        <v>272</v>
      </c>
      <c r="AC735" t="s">
        <v>273</v>
      </c>
      <c r="AD735" t="s">
        <v>274</v>
      </c>
      <c r="AE735" t="s">
        <v>245</v>
      </c>
      <c r="AG735" t="s">
        <v>1375</v>
      </c>
      <c r="AH735">
        <v>0</v>
      </c>
      <c r="AI735">
        <v>692</v>
      </c>
      <c r="AJ735">
        <v>73</v>
      </c>
      <c r="AK735">
        <v>880</v>
      </c>
      <c r="AL735">
        <v>1.78</v>
      </c>
    </row>
    <row r="736" spans="1:38" x14ac:dyDescent="0.3">
      <c r="A736" t="s">
        <v>1338</v>
      </c>
      <c r="B736">
        <v>115599</v>
      </c>
      <c r="C736">
        <v>4</v>
      </c>
      <c r="D736" t="s">
        <v>1372</v>
      </c>
      <c r="E736" t="s">
        <v>1232</v>
      </c>
      <c r="F736">
        <v>494</v>
      </c>
      <c r="G736">
        <v>43.29</v>
      </c>
      <c r="H736">
        <v>143.13999999999999</v>
      </c>
      <c r="I736">
        <v>35.86</v>
      </c>
      <c r="J736">
        <v>118.55</v>
      </c>
      <c r="K736">
        <v>163</v>
      </c>
      <c r="T736">
        <v>4</v>
      </c>
      <c r="U736">
        <v>2</v>
      </c>
      <c r="V736" t="s">
        <v>269</v>
      </c>
      <c r="W736" t="s">
        <v>198</v>
      </c>
      <c r="X736">
        <v>45</v>
      </c>
      <c r="Y736">
        <v>45</v>
      </c>
      <c r="Z736" t="s">
        <v>1373</v>
      </c>
      <c r="AA736" t="s">
        <v>1374</v>
      </c>
      <c r="AB736" t="s">
        <v>272</v>
      </c>
      <c r="AC736" t="s">
        <v>273</v>
      </c>
      <c r="AD736" t="s">
        <v>274</v>
      </c>
      <c r="AE736" t="s">
        <v>245</v>
      </c>
      <c r="AG736" t="s">
        <v>1375</v>
      </c>
      <c r="AH736">
        <v>0</v>
      </c>
      <c r="AI736">
        <v>692</v>
      </c>
      <c r="AJ736">
        <v>73</v>
      </c>
      <c r="AK736">
        <v>880</v>
      </c>
      <c r="AL736">
        <v>1.78</v>
      </c>
    </row>
    <row r="737" spans="1:38" x14ac:dyDescent="0.3">
      <c r="A737" t="s">
        <v>1376</v>
      </c>
      <c r="B737">
        <v>104250</v>
      </c>
      <c r="C737">
        <v>1</v>
      </c>
      <c r="D737" t="s">
        <v>1377</v>
      </c>
      <c r="E737" t="s">
        <v>1350</v>
      </c>
      <c r="F737">
        <v>808</v>
      </c>
      <c r="G737">
        <v>33.369999999999997</v>
      </c>
      <c r="H737">
        <v>110.33</v>
      </c>
      <c r="I737">
        <v>25.69</v>
      </c>
      <c r="J737">
        <v>84.93</v>
      </c>
      <c r="K737">
        <v>472</v>
      </c>
      <c r="T737">
        <v>4</v>
      </c>
      <c r="U737">
        <v>2</v>
      </c>
      <c r="V737" t="s">
        <v>269</v>
      </c>
      <c r="W737" t="s">
        <v>91</v>
      </c>
      <c r="X737">
        <v>20</v>
      </c>
      <c r="Y737">
        <v>15</v>
      </c>
      <c r="Z737" t="s">
        <v>1378</v>
      </c>
      <c r="AA737" t="s">
        <v>1379</v>
      </c>
      <c r="AB737" t="s">
        <v>272</v>
      </c>
      <c r="AC737" t="s">
        <v>273</v>
      </c>
      <c r="AD737" t="s">
        <v>274</v>
      </c>
      <c r="AE737" t="s">
        <v>239</v>
      </c>
      <c r="AG737" t="s">
        <v>1380</v>
      </c>
      <c r="AH737">
        <v>0</v>
      </c>
      <c r="AI737">
        <v>164</v>
      </c>
      <c r="AJ737">
        <v>14</v>
      </c>
      <c r="AK737">
        <v>1057</v>
      </c>
      <c r="AL737">
        <v>1.31</v>
      </c>
    </row>
    <row r="738" spans="1:38" x14ac:dyDescent="0.3">
      <c r="A738" t="s">
        <v>1376</v>
      </c>
      <c r="B738">
        <v>104250</v>
      </c>
      <c r="C738">
        <v>2</v>
      </c>
      <c r="D738" t="s">
        <v>1377</v>
      </c>
      <c r="E738" t="s">
        <v>1350</v>
      </c>
      <c r="F738">
        <v>808</v>
      </c>
      <c r="G738">
        <v>33.75</v>
      </c>
      <c r="H738">
        <v>111.58</v>
      </c>
      <c r="I738">
        <v>25.7</v>
      </c>
      <c r="J738">
        <v>84.97</v>
      </c>
      <c r="K738">
        <v>60</v>
      </c>
      <c r="T738">
        <v>3</v>
      </c>
      <c r="U738">
        <v>2</v>
      </c>
      <c r="V738" t="s">
        <v>269</v>
      </c>
      <c r="W738" t="s">
        <v>148</v>
      </c>
      <c r="X738">
        <v>20</v>
      </c>
      <c r="Y738">
        <v>15</v>
      </c>
      <c r="Z738" t="s">
        <v>1378</v>
      </c>
      <c r="AA738" t="s">
        <v>1379</v>
      </c>
      <c r="AB738" t="s">
        <v>272</v>
      </c>
      <c r="AC738" t="s">
        <v>273</v>
      </c>
      <c r="AD738" t="s">
        <v>274</v>
      </c>
      <c r="AE738" t="s">
        <v>239</v>
      </c>
      <c r="AG738" t="s">
        <v>1380</v>
      </c>
      <c r="AH738">
        <v>0</v>
      </c>
      <c r="AI738">
        <v>164</v>
      </c>
      <c r="AJ738">
        <v>14</v>
      </c>
      <c r="AK738">
        <v>1057</v>
      </c>
      <c r="AL738">
        <v>1.31</v>
      </c>
    </row>
    <row r="739" spans="1:38" x14ac:dyDescent="0.3">
      <c r="A739" t="s">
        <v>1376</v>
      </c>
      <c r="B739">
        <v>104250</v>
      </c>
      <c r="C739">
        <v>3</v>
      </c>
      <c r="D739" t="s">
        <v>1377</v>
      </c>
      <c r="E739" t="s">
        <v>1350</v>
      </c>
      <c r="F739">
        <v>808</v>
      </c>
      <c r="G739">
        <v>33.950000000000003</v>
      </c>
      <c r="H739">
        <v>112.25</v>
      </c>
      <c r="I739">
        <v>25.68</v>
      </c>
      <c r="J739">
        <v>84.91</v>
      </c>
      <c r="K739">
        <v>276</v>
      </c>
      <c r="T739">
        <v>3</v>
      </c>
      <c r="U739">
        <v>2</v>
      </c>
      <c r="V739" t="s">
        <v>269</v>
      </c>
      <c r="W739" t="s">
        <v>160</v>
      </c>
      <c r="X739">
        <v>20</v>
      </c>
      <c r="Y739">
        <v>15</v>
      </c>
      <c r="Z739" t="s">
        <v>1378</v>
      </c>
      <c r="AA739" t="s">
        <v>1379</v>
      </c>
      <c r="AB739" t="s">
        <v>272</v>
      </c>
      <c r="AC739" t="s">
        <v>273</v>
      </c>
      <c r="AD739" t="s">
        <v>274</v>
      </c>
      <c r="AE739" t="s">
        <v>239</v>
      </c>
      <c r="AG739" t="s">
        <v>1380</v>
      </c>
      <c r="AH739">
        <v>0</v>
      </c>
      <c r="AI739">
        <v>164</v>
      </c>
      <c r="AJ739">
        <v>14</v>
      </c>
      <c r="AK739">
        <v>1057</v>
      </c>
      <c r="AL739">
        <v>1.31</v>
      </c>
    </row>
    <row r="740" spans="1:38" x14ac:dyDescent="0.3">
      <c r="A740" t="s">
        <v>1376</v>
      </c>
      <c r="B740">
        <v>109193</v>
      </c>
      <c r="C740">
        <v>1</v>
      </c>
      <c r="D740" t="s">
        <v>1381</v>
      </c>
      <c r="E740" t="s">
        <v>1350</v>
      </c>
      <c r="F740">
        <v>680</v>
      </c>
      <c r="G740">
        <v>32.950000000000003</v>
      </c>
      <c r="H740">
        <v>108.94</v>
      </c>
      <c r="I740">
        <v>25.34</v>
      </c>
      <c r="J740">
        <v>83.79</v>
      </c>
      <c r="K740">
        <v>188</v>
      </c>
      <c r="T740">
        <v>3</v>
      </c>
      <c r="U740">
        <v>2</v>
      </c>
      <c r="V740" t="s">
        <v>269</v>
      </c>
      <c r="W740">
        <v>108</v>
      </c>
      <c r="X740">
        <v>25</v>
      </c>
      <c r="Y740">
        <v>23</v>
      </c>
      <c r="Z740" t="s">
        <v>1382</v>
      </c>
      <c r="AA740" t="s">
        <v>1383</v>
      </c>
      <c r="AB740" t="s">
        <v>272</v>
      </c>
      <c r="AC740" t="s">
        <v>273</v>
      </c>
      <c r="AD740" t="s">
        <v>274</v>
      </c>
      <c r="AE740" t="s">
        <v>239</v>
      </c>
      <c r="AG740" t="s">
        <v>1384</v>
      </c>
      <c r="AH740">
        <v>0</v>
      </c>
      <c r="AI740">
        <v>164</v>
      </c>
      <c r="AJ740">
        <v>0</v>
      </c>
      <c r="AK740">
        <v>856</v>
      </c>
      <c r="AL740">
        <v>1.26</v>
      </c>
    </row>
    <row r="741" spans="1:38" x14ac:dyDescent="0.3">
      <c r="A741" t="s">
        <v>1376</v>
      </c>
      <c r="B741">
        <v>109193</v>
      </c>
      <c r="C741">
        <v>2</v>
      </c>
      <c r="D741" t="s">
        <v>1381</v>
      </c>
      <c r="E741" t="s">
        <v>1350</v>
      </c>
      <c r="F741">
        <v>680</v>
      </c>
      <c r="G741">
        <v>33.85</v>
      </c>
      <c r="H741">
        <v>111.91</v>
      </c>
      <c r="I741">
        <v>25.7</v>
      </c>
      <c r="J741">
        <v>84.97</v>
      </c>
      <c r="K741">
        <v>100</v>
      </c>
      <c r="T741">
        <v>3</v>
      </c>
      <c r="U741">
        <v>2</v>
      </c>
      <c r="V741" t="s">
        <v>269</v>
      </c>
      <c r="W741" t="s">
        <v>224</v>
      </c>
      <c r="X741">
        <v>25</v>
      </c>
      <c r="Y741">
        <v>23</v>
      </c>
      <c r="Z741" t="s">
        <v>1382</v>
      </c>
      <c r="AA741" t="s">
        <v>1383</v>
      </c>
      <c r="AB741" t="s">
        <v>272</v>
      </c>
      <c r="AC741" t="s">
        <v>273</v>
      </c>
      <c r="AD741" t="s">
        <v>274</v>
      </c>
      <c r="AE741" t="s">
        <v>239</v>
      </c>
      <c r="AG741" t="s">
        <v>1384</v>
      </c>
      <c r="AH741">
        <v>0</v>
      </c>
      <c r="AI741">
        <v>164</v>
      </c>
      <c r="AJ741">
        <v>0</v>
      </c>
      <c r="AK741">
        <v>856</v>
      </c>
      <c r="AL741">
        <v>1.26</v>
      </c>
    </row>
    <row r="742" spans="1:38" x14ac:dyDescent="0.3">
      <c r="A742" t="s">
        <v>1376</v>
      </c>
      <c r="B742">
        <v>109193</v>
      </c>
      <c r="C742">
        <v>3</v>
      </c>
      <c r="D742" t="s">
        <v>1381</v>
      </c>
      <c r="E742" t="s">
        <v>1350</v>
      </c>
      <c r="F742">
        <v>680</v>
      </c>
      <c r="G742">
        <v>33.61</v>
      </c>
      <c r="H742">
        <v>111.12</v>
      </c>
      <c r="I742">
        <v>25.69</v>
      </c>
      <c r="J742">
        <v>84.95</v>
      </c>
      <c r="K742">
        <v>98</v>
      </c>
      <c r="T742">
        <v>3</v>
      </c>
      <c r="U742">
        <v>2</v>
      </c>
      <c r="V742" t="s">
        <v>269</v>
      </c>
      <c r="W742" t="s">
        <v>109</v>
      </c>
      <c r="X742">
        <v>25</v>
      </c>
      <c r="Y742">
        <v>23</v>
      </c>
      <c r="Z742" t="s">
        <v>1382</v>
      </c>
      <c r="AA742" t="s">
        <v>1383</v>
      </c>
      <c r="AB742" t="s">
        <v>272</v>
      </c>
      <c r="AC742" t="s">
        <v>273</v>
      </c>
      <c r="AD742" t="s">
        <v>274</v>
      </c>
      <c r="AE742" t="s">
        <v>239</v>
      </c>
      <c r="AG742" t="s">
        <v>1384</v>
      </c>
      <c r="AH742">
        <v>0</v>
      </c>
      <c r="AI742">
        <v>164</v>
      </c>
      <c r="AJ742">
        <v>0</v>
      </c>
      <c r="AK742">
        <v>856</v>
      </c>
      <c r="AL742">
        <v>1.26</v>
      </c>
    </row>
    <row r="743" spans="1:38" x14ac:dyDescent="0.3">
      <c r="A743" t="s">
        <v>1376</v>
      </c>
      <c r="B743">
        <v>109193</v>
      </c>
      <c r="C743">
        <v>4</v>
      </c>
      <c r="D743" t="s">
        <v>1381</v>
      </c>
      <c r="E743" t="s">
        <v>1350</v>
      </c>
      <c r="F743">
        <v>680</v>
      </c>
      <c r="G743">
        <v>33.67</v>
      </c>
      <c r="H743">
        <v>111.33</v>
      </c>
      <c r="I743">
        <v>25.7</v>
      </c>
      <c r="J743">
        <v>84.97</v>
      </c>
      <c r="K743">
        <v>98</v>
      </c>
      <c r="T743">
        <v>3</v>
      </c>
      <c r="U743">
        <v>2</v>
      </c>
      <c r="V743" t="s">
        <v>269</v>
      </c>
      <c r="W743" t="s">
        <v>148</v>
      </c>
      <c r="X743">
        <v>25</v>
      </c>
      <c r="Y743">
        <v>23</v>
      </c>
      <c r="Z743" t="s">
        <v>1382</v>
      </c>
      <c r="AA743" t="s">
        <v>1383</v>
      </c>
      <c r="AB743" t="s">
        <v>272</v>
      </c>
      <c r="AC743" t="s">
        <v>273</v>
      </c>
      <c r="AD743" t="s">
        <v>274</v>
      </c>
      <c r="AE743" t="s">
        <v>239</v>
      </c>
      <c r="AG743" t="s">
        <v>1384</v>
      </c>
      <c r="AH743">
        <v>0</v>
      </c>
      <c r="AI743">
        <v>164</v>
      </c>
      <c r="AJ743">
        <v>0</v>
      </c>
      <c r="AK743">
        <v>856</v>
      </c>
      <c r="AL743">
        <v>1.26</v>
      </c>
    </row>
    <row r="744" spans="1:38" x14ac:dyDescent="0.3">
      <c r="A744" t="s">
        <v>1376</v>
      </c>
      <c r="B744">
        <v>109193</v>
      </c>
      <c r="C744">
        <v>5</v>
      </c>
      <c r="D744" t="s">
        <v>1381</v>
      </c>
      <c r="E744" t="s">
        <v>1350</v>
      </c>
      <c r="F744">
        <v>680</v>
      </c>
      <c r="G744">
        <v>33.68</v>
      </c>
      <c r="H744">
        <v>111.37</v>
      </c>
      <c r="I744">
        <v>25.7</v>
      </c>
      <c r="J744">
        <v>84.97</v>
      </c>
      <c r="K744">
        <v>96</v>
      </c>
      <c r="T744">
        <v>3</v>
      </c>
      <c r="U744">
        <v>2</v>
      </c>
      <c r="V744" t="s">
        <v>269</v>
      </c>
      <c r="W744" t="s">
        <v>225</v>
      </c>
      <c r="X744">
        <v>25</v>
      </c>
      <c r="Y744">
        <v>23</v>
      </c>
      <c r="Z744" t="s">
        <v>1382</v>
      </c>
      <c r="AA744" t="s">
        <v>1383</v>
      </c>
      <c r="AB744" t="s">
        <v>272</v>
      </c>
      <c r="AC744" t="s">
        <v>273</v>
      </c>
      <c r="AD744" t="s">
        <v>274</v>
      </c>
      <c r="AE744" t="s">
        <v>239</v>
      </c>
      <c r="AG744" t="s">
        <v>1384</v>
      </c>
      <c r="AH744">
        <v>0</v>
      </c>
      <c r="AI744">
        <v>164</v>
      </c>
      <c r="AJ744">
        <v>0</v>
      </c>
      <c r="AK744">
        <v>856</v>
      </c>
      <c r="AL744">
        <v>1.26</v>
      </c>
    </row>
    <row r="745" spans="1:38" x14ac:dyDescent="0.3">
      <c r="A745" t="s">
        <v>1376</v>
      </c>
      <c r="B745">
        <v>109193</v>
      </c>
      <c r="C745">
        <v>6</v>
      </c>
      <c r="D745" t="s">
        <v>1381</v>
      </c>
      <c r="E745" t="s">
        <v>1350</v>
      </c>
      <c r="F745">
        <v>680</v>
      </c>
      <c r="G745">
        <v>33.97</v>
      </c>
      <c r="H745">
        <v>112.31</v>
      </c>
      <c r="I745">
        <v>25.7</v>
      </c>
      <c r="J745">
        <v>84.99</v>
      </c>
      <c r="K745">
        <v>100</v>
      </c>
      <c r="T745">
        <v>3</v>
      </c>
      <c r="U745">
        <v>2</v>
      </c>
      <c r="V745" t="s">
        <v>269</v>
      </c>
      <c r="W745" t="s">
        <v>160</v>
      </c>
      <c r="X745">
        <v>25</v>
      </c>
      <c r="Y745">
        <v>23</v>
      </c>
      <c r="Z745" t="s">
        <v>1382</v>
      </c>
      <c r="AA745" t="s">
        <v>1383</v>
      </c>
      <c r="AB745" t="s">
        <v>272</v>
      </c>
      <c r="AC745" t="s">
        <v>273</v>
      </c>
      <c r="AD745" t="s">
        <v>274</v>
      </c>
      <c r="AE745" t="s">
        <v>239</v>
      </c>
      <c r="AG745" t="s">
        <v>1384</v>
      </c>
      <c r="AH745">
        <v>0</v>
      </c>
      <c r="AI745">
        <v>164</v>
      </c>
      <c r="AJ745">
        <v>0</v>
      </c>
      <c r="AK745">
        <v>856</v>
      </c>
      <c r="AL745">
        <v>1.26</v>
      </c>
    </row>
    <row r="746" spans="1:38" x14ac:dyDescent="0.3">
      <c r="A746" t="s">
        <v>1376</v>
      </c>
      <c r="B746">
        <v>105571</v>
      </c>
      <c r="C746">
        <v>1</v>
      </c>
      <c r="D746" t="s">
        <v>1385</v>
      </c>
      <c r="E746" t="s">
        <v>1386</v>
      </c>
      <c r="F746">
        <v>455</v>
      </c>
      <c r="G746">
        <v>39.83</v>
      </c>
      <c r="H746">
        <v>131.68</v>
      </c>
      <c r="I746">
        <v>30.84</v>
      </c>
      <c r="J746">
        <v>101.97</v>
      </c>
      <c r="K746">
        <v>304</v>
      </c>
      <c r="T746">
        <v>3</v>
      </c>
      <c r="U746">
        <v>2</v>
      </c>
      <c r="V746" t="s">
        <v>269</v>
      </c>
      <c r="W746" t="s">
        <v>226</v>
      </c>
      <c r="X746">
        <v>24</v>
      </c>
      <c r="Y746">
        <v>15</v>
      </c>
      <c r="Z746" t="s">
        <v>1387</v>
      </c>
      <c r="AA746" t="s">
        <v>1388</v>
      </c>
      <c r="AB746" t="s">
        <v>272</v>
      </c>
      <c r="AC746" t="s">
        <v>273</v>
      </c>
      <c r="AD746" t="s">
        <v>274</v>
      </c>
      <c r="AE746" t="s">
        <v>239</v>
      </c>
      <c r="AG746" t="s">
        <v>1389</v>
      </c>
      <c r="AH746">
        <v>0</v>
      </c>
      <c r="AI746">
        <v>168</v>
      </c>
      <c r="AJ746">
        <v>12</v>
      </c>
      <c r="AK746">
        <v>697</v>
      </c>
      <c r="AL746">
        <v>1.53</v>
      </c>
    </row>
    <row r="747" spans="1:38" x14ac:dyDescent="0.3">
      <c r="A747" t="s">
        <v>1376</v>
      </c>
      <c r="B747">
        <v>105571</v>
      </c>
      <c r="C747">
        <v>2</v>
      </c>
      <c r="D747" t="s">
        <v>1385</v>
      </c>
      <c r="E747" t="s">
        <v>1386</v>
      </c>
      <c r="F747">
        <v>455</v>
      </c>
      <c r="G747">
        <v>40.36</v>
      </c>
      <c r="H747">
        <v>133.43</v>
      </c>
      <c r="I747">
        <v>30.83</v>
      </c>
      <c r="J747">
        <v>101.94</v>
      </c>
      <c r="K747">
        <v>64</v>
      </c>
      <c r="T747">
        <v>3</v>
      </c>
      <c r="U747">
        <v>2</v>
      </c>
      <c r="V747" t="s">
        <v>269</v>
      </c>
      <c r="W747" t="s">
        <v>227</v>
      </c>
      <c r="X747">
        <v>24</v>
      </c>
      <c r="Y747">
        <v>15</v>
      </c>
      <c r="Z747" t="s">
        <v>1387</v>
      </c>
      <c r="AA747" t="s">
        <v>1388</v>
      </c>
      <c r="AB747" t="s">
        <v>272</v>
      </c>
      <c r="AC747" t="s">
        <v>273</v>
      </c>
      <c r="AD747" t="s">
        <v>274</v>
      </c>
      <c r="AE747" t="s">
        <v>239</v>
      </c>
      <c r="AG747" t="s">
        <v>1389</v>
      </c>
      <c r="AH747">
        <v>0</v>
      </c>
      <c r="AI747">
        <v>168</v>
      </c>
      <c r="AJ747">
        <v>12</v>
      </c>
      <c r="AK747">
        <v>697</v>
      </c>
      <c r="AL747">
        <v>1.53</v>
      </c>
    </row>
    <row r="748" spans="1:38" x14ac:dyDescent="0.3">
      <c r="A748" t="s">
        <v>1376</v>
      </c>
      <c r="B748">
        <v>105571</v>
      </c>
      <c r="C748">
        <v>3</v>
      </c>
      <c r="D748" t="s">
        <v>1385</v>
      </c>
      <c r="E748" t="s">
        <v>1386</v>
      </c>
      <c r="F748">
        <v>455</v>
      </c>
      <c r="G748">
        <v>44.33</v>
      </c>
      <c r="H748">
        <v>146.56</v>
      </c>
      <c r="I748">
        <v>35.74</v>
      </c>
      <c r="J748">
        <v>118.15</v>
      </c>
      <c r="K748">
        <v>87</v>
      </c>
      <c r="T748">
        <v>4</v>
      </c>
      <c r="U748">
        <v>2</v>
      </c>
      <c r="V748" t="s">
        <v>269</v>
      </c>
      <c r="W748">
        <v>146</v>
      </c>
      <c r="X748">
        <v>24</v>
      </c>
      <c r="Y748">
        <v>15</v>
      </c>
      <c r="Z748" t="s">
        <v>1387</v>
      </c>
      <c r="AA748" t="s">
        <v>1388</v>
      </c>
      <c r="AB748" t="s">
        <v>272</v>
      </c>
      <c r="AC748" t="s">
        <v>273</v>
      </c>
      <c r="AD748" t="s">
        <v>274</v>
      </c>
      <c r="AE748" t="s">
        <v>239</v>
      </c>
      <c r="AG748" t="s">
        <v>1389</v>
      </c>
      <c r="AH748">
        <v>0</v>
      </c>
      <c r="AI748">
        <v>168</v>
      </c>
      <c r="AJ748">
        <v>12</v>
      </c>
      <c r="AK748">
        <v>697</v>
      </c>
      <c r="AL748">
        <v>1.53</v>
      </c>
    </row>
    <row r="749" spans="1:38" x14ac:dyDescent="0.3">
      <c r="A749" t="s">
        <v>1390</v>
      </c>
      <c r="B749">
        <v>108433</v>
      </c>
      <c r="C749">
        <v>1</v>
      </c>
      <c r="D749" t="s">
        <v>1391</v>
      </c>
      <c r="E749" t="s">
        <v>1392</v>
      </c>
      <c r="F749">
        <v>60</v>
      </c>
      <c r="G749">
        <v>34.270000000000003</v>
      </c>
      <c r="H749">
        <v>113.32</v>
      </c>
      <c r="I749">
        <v>31.44</v>
      </c>
      <c r="J749">
        <v>103.95</v>
      </c>
      <c r="K749">
        <v>60</v>
      </c>
      <c r="T749">
        <v>4</v>
      </c>
      <c r="U749">
        <v>2</v>
      </c>
      <c r="V749" t="s">
        <v>269</v>
      </c>
      <c r="W749">
        <v>113</v>
      </c>
      <c r="X749">
        <v>12</v>
      </c>
      <c r="Y749">
        <v>12</v>
      </c>
      <c r="Z749" t="s">
        <v>1393</v>
      </c>
      <c r="AA749" t="s">
        <v>1394</v>
      </c>
      <c r="AB749" t="s">
        <v>272</v>
      </c>
      <c r="AC749" t="s">
        <v>273</v>
      </c>
      <c r="AD749" t="s">
        <v>274</v>
      </c>
      <c r="AE749" t="s">
        <v>1395</v>
      </c>
      <c r="AG749" t="s">
        <v>1396</v>
      </c>
      <c r="AH749">
        <v>0</v>
      </c>
      <c r="AI749">
        <v>299</v>
      </c>
      <c r="AJ749">
        <v>27</v>
      </c>
      <c r="AK749">
        <v>0</v>
      </c>
      <c r="AL749">
        <v>0</v>
      </c>
    </row>
    <row r="750" spans="1:38" x14ac:dyDescent="0.3">
      <c r="A750" t="s">
        <v>1390</v>
      </c>
      <c r="B750">
        <v>15042</v>
      </c>
      <c r="C750">
        <v>1</v>
      </c>
      <c r="D750" t="s">
        <v>1397</v>
      </c>
      <c r="E750" t="s">
        <v>1398</v>
      </c>
      <c r="F750">
        <v>104</v>
      </c>
      <c r="G750">
        <v>33.06</v>
      </c>
      <c r="H750">
        <v>109.29</v>
      </c>
      <c r="I750">
        <v>25.6</v>
      </c>
      <c r="J750">
        <v>84.63</v>
      </c>
      <c r="K750">
        <v>52</v>
      </c>
      <c r="T750">
        <v>3</v>
      </c>
      <c r="U750">
        <v>1</v>
      </c>
      <c r="V750" t="s">
        <v>279</v>
      </c>
      <c r="W750">
        <v>109</v>
      </c>
      <c r="X750">
        <v>13</v>
      </c>
      <c r="Y750">
        <v>13</v>
      </c>
      <c r="Z750" t="s">
        <v>1399</v>
      </c>
      <c r="AA750" t="s">
        <v>1400</v>
      </c>
      <c r="AB750" t="s">
        <v>272</v>
      </c>
      <c r="AC750" t="s">
        <v>273</v>
      </c>
      <c r="AD750" t="s">
        <v>274</v>
      </c>
      <c r="AE750" t="s">
        <v>1395</v>
      </c>
      <c r="AG750" t="s">
        <v>1401</v>
      </c>
      <c r="AH750">
        <v>0</v>
      </c>
      <c r="AI750">
        <v>0</v>
      </c>
      <c r="AJ750">
        <v>0</v>
      </c>
      <c r="AK750">
        <v>0</v>
      </c>
      <c r="AL750">
        <v>0</v>
      </c>
    </row>
    <row r="751" spans="1:38" x14ac:dyDescent="0.3">
      <c r="A751" t="s">
        <v>1390</v>
      </c>
      <c r="B751">
        <v>15042</v>
      </c>
      <c r="C751">
        <v>2</v>
      </c>
      <c r="D751" t="s">
        <v>1397</v>
      </c>
      <c r="E751" t="s">
        <v>1398</v>
      </c>
      <c r="F751">
        <v>104</v>
      </c>
      <c r="G751">
        <v>44.68</v>
      </c>
      <c r="H751">
        <v>147.71</v>
      </c>
      <c r="I751">
        <v>34.58</v>
      </c>
      <c r="J751">
        <v>114.33</v>
      </c>
      <c r="K751">
        <v>26</v>
      </c>
      <c r="T751">
        <v>4</v>
      </c>
      <c r="U751">
        <v>2</v>
      </c>
      <c r="V751" t="s">
        <v>279</v>
      </c>
      <c r="W751">
        <v>147</v>
      </c>
      <c r="X751">
        <v>13</v>
      </c>
      <c r="Y751">
        <v>13</v>
      </c>
      <c r="Z751" t="s">
        <v>1399</v>
      </c>
      <c r="AA751" t="s">
        <v>1400</v>
      </c>
      <c r="AB751" t="s">
        <v>272</v>
      </c>
      <c r="AC751" t="s">
        <v>273</v>
      </c>
      <c r="AD751" t="s">
        <v>274</v>
      </c>
      <c r="AE751" t="s">
        <v>1395</v>
      </c>
      <c r="AG751" t="s">
        <v>1401</v>
      </c>
      <c r="AH751">
        <v>0</v>
      </c>
      <c r="AI751">
        <v>0</v>
      </c>
      <c r="AJ751">
        <v>0</v>
      </c>
      <c r="AK751">
        <v>0</v>
      </c>
      <c r="AL751">
        <v>0</v>
      </c>
    </row>
    <row r="752" spans="1:38" x14ac:dyDescent="0.3">
      <c r="A752" t="s">
        <v>1390</v>
      </c>
      <c r="B752">
        <v>15042</v>
      </c>
      <c r="C752">
        <v>3</v>
      </c>
      <c r="D752" t="s">
        <v>1397</v>
      </c>
      <c r="E752" t="s">
        <v>1398</v>
      </c>
      <c r="F752">
        <v>104</v>
      </c>
      <c r="G752">
        <v>55.95</v>
      </c>
      <c r="H752">
        <v>184.99</v>
      </c>
      <c r="I752">
        <v>43.33</v>
      </c>
      <c r="J752">
        <v>143.25</v>
      </c>
      <c r="K752">
        <v>26</v>
      </c>
      <c r="T752">
        <v>5</v>
      </c>
      <c r="U752">
        <v>2</v>
      </c>
      <c r="V752" t="s">
        <v>279</v>
      </c>
      <c r="W752">
        <v>184</v>
      </c>
      <c r="X752">
        <v>13</v>
      </c>
      <c r="Y752">
        <v>13</v>
      </c>
      <c r="Z752" t="s">
        <v>1399</v>
      </c>
      <c r="AA752" t="s">
        <v>1400</v>
      </c>
      <c r="AB752" t="s">
        <v>272</v>
      </c>
      <c r="AC752" t="s">
        <v>273</v>
      </c>
      <c r="AD752" t="s">
        <v>274</v>
      </c>
      <c r="AE752" t="s">
        <v>1395</v>
      </c>
      <c r="AG752" t="s">
        <v>1401</v>
      </c>
      <c r="AH752">
        <v>0</v>
      </c>
      <c r="AI752">
        <v>0</v>
      </c>
      <c r="AJ752">
        <v>0</v>
      </c>
      <c r="AK752">
        <v>0</v>
      </c>
      <c r="AL752">
        <v>0</v>
      </c>
    </row>
    <row r="753" spans="1:38" x14ac:dyDescent="0.3">
      <c r="A753" t="s">
        <v>1390</v>
      </c>
      <c r="B753">
        <v>5644</v>
      </c>
      <c r="C753">
        <v>1</v>
      </c>
      <c r="D753" t="s">
        <v>1402</v>
      </c>
      <c r="E753" t="s">
        <v>1403</v>
      </c>
      <c r="F753">
        <v>643</v>
      </c>
      <c r="G753">
        <v>24.23</v>
      </c>
      <c r="H753">
        <v>80.12</v>
      </c>
      <c r="I753">
        <v>17.989999999999998</v>
      </c>
      <c r="J753">
        <v>59.49</v>
      </c>
      <c r="K753">
        <v>264</v>
      </c>
      <c r="T753">
        <v>2</v>
      </c>
      <c r="U753">
        <v>1</v>
      </c>
      <c r="V753" t="s">
        <v>279</v>
      </c>
      <c r="W753" t="s">
        <v>81</v>
      </c>
      <c r="X753">
        <v>18</v>
      </c>
      <c r="Y753">
        <v>12</v>
      </c>
      <c r="Z753" t="s">
        <v>1404</v>
      </c>
      <c r="AA753" t="s">
        <v>1405</v>
      </c>
      <c r="AB753" t="s">
        <v>272</v>
      </c>
      <c r="AC753" t="s">
        <v>273</v>
      </c>
      <c r="AD753" t="s">
        <v>274</v>
      </c>
      <c r="AE753" t="s">
        <v>1395</v>
      </c>
      <c r="AG753" t="s">
        <v>1406</v>
      </c>
      <c r="AH753">
        <v>0</v>
      </c>
      <c r="AI753">
        <v>0</v>
      </c>
      <c r="AJ753">
        <v>0</v>
      </c>
      <c r="AK753">
        <v>0</v>
      </c>
      <c r="AL753">
        <v>0</v>
      </c>
    </row>
    <row r="754" spans="1:38" x14ac:dyDescent="0.3">
      <c r="A754" t="s">
        <v>1390</v>
      </c>
      <c r="B754">
        <v>5644</v>
      </c>
      <c r="C754">
        <v>2</v>
      </c>
      <c r="D754" t="s">
        <v>1402</v>
      </c>
      <c r="E754" t="s">
        <v>1403</v>
      </c>
      <c r="F754">
        <v>643</v>
      </c>
      <c r="G754">
        <v>24.28</v>
      </c>
      <c r="H754">
        <v>80.27</v>
      </c>
      <c r="I754">
        <v>18.12</v>
      </c>
      <c r="J754">
        <v>59.91</v>
      </c>
      <c r="K754">
        <v>7</v>
      </c>
      <c r="T754">
        <v>3</v>
      </c>
      <c r="U754">
        <v>1</v>
      </c>
      <c r="V754" t="s">
        <v>279</v>
      </c>
      <c r="W754" t="s">
        <v>85</v>
      </c>
      <c r="X754">
        <v>18</v>
      </c>
      <c r="Y754">
        <v>12</v>
      </c>
      <c r="Z754" t="s">
        <v>1404</v>
      </c>
      <c r="AA754" t="s">
        <v>1405</v>
      </c>
      <c r="AB754" t="s">
        <v>272</v>
      </c>
      <c r="AC754" t="s">
        <v>273</v>
      </c>
      <c r="AD754" t="s">
        <v>274</v>
      </c>
      <c r="AE754" t="s">
        <v>1395</v>
      </c>
      <c r="AG754" t="s">
        <v>1406</v>
      </c>
      <c r="AH754">
        <v>0</v>
      </c>
      <c r="AI754">
        <v>0</v>
      </c>
      <c r="AJ754">
        <v>0</v>
      </c>
      <c r="AK754">
        <v>0</v>
      </c>
      <c r="AL754">
        <v>0</v>
      </c>
    </row>
    <row r="755" spans="1:38" x14ac:dyDescent="0.3">
      <c r="A755" t="s">
        <v>1390</v>
      </c>
      <c r="B755">
        <v>5644</v>
      </c>
      <c r="C755">
        <v>3</v>
      </c>
      <c r="D755" t="s">
        <v>1402</v>
      </c>
      <c r="E755" t="s">
        <v>1403</v>
      </c>
      <c r="F755">
        <v>643</v>
      </c>
      <c r="G755">
        <v>26.06</v>
      </c>
      <c r="H755">
        <v>86.18</v>
      </c>
      <c r="I755">
        <v>19.45</v>
      </c>
      <c r="J755">
        <v>64.3</v>
      </c>
      <c r="K755">
        <v>12</v>
      </c>
      <c r="T755">
        <v>2</v>
      </c>
      <c r="U755">
        <v>1</v>
      </c>
      <c r="V755" t="s">
        <v>269</v>
      </c>
      <c r="W755">
        <v>86</v>
      </c>
      <c r="X755">
        <v>18</v>
      </c>
      <c r="Y755">
        <v>12</v>
      </c>
      <c r="Z755" t="s">
        <v>1404</v>
      </c>
      <c r="AA755" t="s">
        <v>1405</v>
      </c>
      <c r="AB755" t="s">
        <v>272</v>
      </c>
      <c r="AC755" t="s">
        <v>273</v>
      </c>
      <c r="AD755" t="s">
        <v>274</v>
      </c>
      <c r="AE755" t="s">
        <v>1395</v>
      </c>
      <c r="AG755" t="s">
        <v>1406</v>
      </c>
      <c r="AH755">
        <v>0</v>
      </c>
      <c r="AI755">
        <v>0</v>
      </c>
      <c r="AJ755">
        <v>0</v>
      </c>
      <c r="AK755">
        <v>0</v>
      </c>
      <c r="AL755">
        <v>0</v>
      </c>
    </row>
    <row r="756" spans="1:38" x14ac:dyDescent="0.3">
      <c r="A756" t="s">
        <v>1390</v>
      </c>
      <c r="B756">
        <v>5644</v>
      </c>
      <c r="C756">
        <v>4</v>
      </c>
      <c r="D756" t="s">
        <v>1402</v>
      </c>
      <c r="E756" t="s">
        <v>1403</v>
      </c>
      <c r="F756">
        <v>643</v>
      </c>
      <c r="G756">
        <v>31.56</v>
      </c>
      <c r="H756">
        <v>104.35</v>
      </c>
      <c r="I756">
        <v>25.7</v>
      </c>
      <c r="J756">
        <v>84.97</v>
      </c>
      <c r="K756">
        <v>264</v>
      </c>
      <c r="T756">
        <v>3</v>
      </c>
      <c r="U756">
        <v>2</v>
      </c>
      <c r="V756" t="s">
        <v>269</v>
      </c>
      <c r="W756">
        <v>104</v>
      </c>
      <c r="X756">
        <v>18</v>
      </c>
      <c r="Y756">
        <v>12</v>
      </c>
      <c r="Z756" t="s">
        <v>1404</v>
      </c>
      <c r="AA756" t="s">
        <v>1405</v>
      </c>
      <c r="AB756" t="s">
        <v>272</v>
      </c>
      <c r="AC756" t="s">
        <v>273</v>
      </c>
      <c r="AD756" t="s">
        <v>274</v>
      </c>
      <c r="AE756" t="s">
        <v>1395</v>
      </c>
      <c r="AG756" t="s">
        <v>1406</v>
      </c>
      <c r="AH756">
        <v>0</v>
      </c>
      <c r="AI756">
        <v>0</v>
      </c>
      <c r="AJ756">
        <v>0</v>
      </c>
      <c r="AK756">
        <v>0</v>
      </c>
      <c r="AL756">
        <v>0</v>
      </c>
    </row>
    <row r="757" spans="1:38" x14ac:dyDescent="0.3">
      <c r="A757" t="s">
        <v>1390</v>
      </c>
      <c r="B757">
        <v>5644</v>
      </c>
      <c r="C757">
        <v>5</v>
      </c>
      <c r="D757" t="s">
        <v>1402</v>
      </c>
      <c r="E757" t="s">
        <v>1403</v>
      </c>
      <c r="F757">
        <v>643</v>
      </c>
      <c r="G757">
        <v>37.43</v>
      </c>
      <c r="H757">
        <v>123.76</v>
      </c>
      <c r="I757">
        <v>30.82</v>
      </c>
      <c r="J757">
        <v>101.9</v>
      </c>
      <c r="K757">
        <v>36</v>
      </c>
      <c r="T757">
        <v>4</v>
      </c>
      <c r="U757">
        <v>2</v>
      </c>
      <c r="V757" t="s">
        <v>269</v>
      </c>
      <c r="W757">
        <v>123</v>
      </c>
      <c r="X757">
        <v>18</v>
      </c>
      <c r="Y757">
        <v>12</v>
      </c>
      <c r="Z757" t="s">
        <v>1404</v>
      </c>
      <c r="AA757" t="s">
        <v>1405</v>
      </c>
      <c r="AB757" t="s">
        <v>272</v>
      </c>
      <c r="AC757" t="s">
        <v>273</v>
      </c>
      <c r="AD757" t="s">
        <v>274</v>
      </c>
      <c r="AE757" t="s">
        <v>1395</v>
      </c>
      <c r="AG757" t="s">
        <v>1406</v>
      </c>
      <c r="AH757">
        <v>0</v>
      </c>
      <c r="AI757">
        <v>0</v>
      </c>
      <c r="AJ757">
        <v>0</v>
      </c>
      <c r="AK757">
        <v>0</v>
      </c>
      <c r="AL757">
        <v>0</v>
      </c>
    </row>
    <row r="758" spans="1:38" x14ac:dyDescent="0.3">
      <c r="A758" t="s">
        <v>1390</v>
      </c>
      <c r="B758">
        <v>5644</v>
      </c>
      <c r="C758">
        <v>6</v>
      </c>
      <c r="D758" t="s">
        <v>1402</v>
      </c>
      <c r="E758" t="s">
        <v>1403</v>
      </c>
      <c r="F758">
        <v>643</v>
      </c>
      <c r="G758">
        <v>48.03</v>
      </c>
      <c r="H758">
        <v>158.78</v>
      </c>
      <c r="I758">
        <v>40.799999999999997</v>
      </c>
      <c r="J758">
        <v>134.88999999999999</v>
      </c>
      <c r="K758">
        <v>60</v>
      </c>
      <c r="T758">
        <v>4</v>
      </c>
      <c r="U758">
        <v>2</v>
      </c>
      <c r="V758" t="s">
        <v>269</v>
      </c>
      <c r="W758">
        <v>158</v>
      </c>
      <c r="X758">
        <v>18</v>
      </c>
      <c r="Y758">
        <v>12</v>
      </c>
      <c r="Z758" t="s">
        <v>1404</v>
      </c>
      <c r="AA758" t="s">
        <v>1405</v>
      </c>
      <c r="AB758" t="s">
        <v>272</v>
      </c>
      <c r="AC758" t="s">
        <v>273</v>
      </c>
      <c r="AD758" t="s">
        <v>274</v>
      </c>
      <c r="AE758" t="s">
        <v>1395</v>
      </c>
      <c r="AG758" t="s">
        <v>1406</v>
      </c>
      <c r="AH758">
        <v>0</v>
      </c>
      <c r="AI758">
        <v>0</v>
      </c>
      <c r="AJ758">
        <v>0</v>
      </c>
      <c r="AK758">
        <v>0</v>
      </c>
      <c r="AL758">
        <v>0</v>
      </c>
    </row>
    <row r="759" spans="1:38" x14ac:dyDescent="0.3">
      <c r="A759" t="s">
        <v>1390</v>
      </c>
      <c r="B759">
        <v>5653</v>
      </c>
      <c r="C759">
        <v>1</v>
      </c>
      <c r="D759" t="s">
        <v>1069</v>
      </c>
      <c r="E759" t="s">
        <v>1403</v>
      </c>
      <c r="F759">
        <v>2102</v>
      </c>
      <c r="G759">
        <v>23.94</v>
      </c>
      <c r="H759">
        <v>79.150000000000006</v>
      </c>
      <c r="I759">
        <v>18.079999999999998</v>
      </c>
      <c r="J759">
        <v>59.78</v>
      </c>
      <c r="K759">
        <v>884</v>
      </c>
      <c r="T759">
        <v>3</v>
      </c>
      <c r="U759">
        <v>1</v>
      </c>
      <c r="V759" t="s">
        <v>279</v>
      </c>
      <c r="W759">
        <v>79</v>
      </c>
      <c r="X759">
        <v>20</v>
      </c>
      <c r="Y759">
        <v>17</v>
      </c>
      <c r="Z759" t="s">
        <v>1407</v>
      </c>
      <c r="AA759" t="s">
        <v>1408</v>
      </c>
      <c r="AB759" t="s">
        <v>272</v>
      </c>
      <c r="AC759" t="s">
        <v>273</v>
      </c>
      <c r="AD759" t="s">
        <v>274</v>
      </c>
      <c r="AE759" t="s">
        <v>1395</v>
      </c>
      <c r="AG759" t="s">
        <v>1409</v>
      </c>
      <c r="AH759">
        <v>0</v>
      </c>
      <c r="AI759">
        <v>394</v>
      </c>
      <c r="AJ759">
        <v>17</v>
      </c>
      <c r="AK759">
        <v>2239</v>
      </c>
      <c r="AL759">
        <v>1.07</v>
      </c>
    </row>
    <row r="760" spans="1:38" x14ac:dyDescent="0.3">
      <c r="A760" t="s">
        <v>1390</v>
      </c>
      <c r="B760">
        <v>5653</v>
      </c>
      <c r="C760">
        <v>2</v>
      </c>
      <c r="D760" t="s">
        <v>1069</v>
      </c>
      <c r="E760" t="s">
        <v>1403</v>
      </c>
      <c r="F760">
        <v>2102</v>
      </c>
      <c r="G760">
        <v>31.74</v>
      </c>
      <c r="H760">
        <v>104.95</v>
      </c>
      <c r="I760">
        <v>25.7</v>
      </c>
      <c r="J760">
        <v>84.98</v>
      </c>
      <c r="K760">
        <v>750</v>
      </c>
      <c r="T760">
        <v>3</v>
      </c>
      <c r="U760">
        <v>2</v>
      </c>
      <c r="V760" t="s">
        <v>269</v>
      </c>
      <c r="W760">
        <v>104</v>
      </c>
      <c r="X760">
        <v>20</v>
      </c>
      <c r="Y760">
        <v>17</v>
      </c>
      <c r="Z760" t="s">
        <v>1407</v>
      </c>
      <c r="AA760" t="s">
        <v>1408</v>
      </c>
      <c r="AB760" t="s">
        <v>272</v>
      </c>
      <c r="AC760" t="s">
        <v>273</v>
      </c>
      <c r="AD760" t="s">
        <v>274</v>
      </c>
      <c r="AE760" t="s">
        <v>1395</v>
      </c>
      <c r="AG760" t="s">
        <v>1409</v>
      </c>
      <c r="AH760">
        <v>0</v>
      </c>
      <c r="AI760">
        <v>394</v>
      </c>
      <c r="AJ760">
        <v>17</v>
      </c>
      <c r="AK760">
        <v>2239</v>
      </c>
      <c r="AL760">
        <v>1.07</v>
      </c>
    </row>
    <row r="761" spans="1:38" x14ac:dyDescent="0.3">
      <c r="A761" t="s">
        <v>1390</v>
      </c>
      <c r="B761">
        <v>5653</v>
      </c>
      <c r="C761">
        <v>3</v>
      </c>
      <c r="D761" t="s">
        <v>1069</v>
      </c>
      <c r="E761" t="s">
        <v>1403</v>
      </c>
      <c r="F761">
        <v>2102</v>
      </c>
      <c r="G761">
        <v>37.15</v>
      </c>
      <c r="H761">
        <v>122.82</v>
      </c>
      <c r="I761">
        <v>30.81</v>
      </c>
      <c r="J761">
        <v>101.86</v>
      </c>
      <c r="K761">
        <v>80</v>
      </c>
      <c r="T761">
        <v>4</v>
      </c>
      <c r="U761">
        <v>2</v>
      </c>
      <c r="V761" t="s">
        <v>269</v>
      </c>
      <c r="W761">
        <v>122</v>
      </c>
      <c r="X761">
        <v>20</v>
      </c>
      <c r="Y761">
        <v>17</v>
      </c>
      <c r="Z761" t="s">
        <v>1407</v>
      </c>
      <c r="AA761" t="s">
        <v>1408</v>
      </c>
      <c r="AB761" t="s">
        <v>272</v>
      </c>
      <c r="AC761" t="s">
        <v>273</v>
      </c>
      <c r="AD761" t="s">
        <v>274</v>
      </c>
      <c r="AE761" t="s">
        <v>1395</v>
      </c>
      <c r="AG761" t="s">
        <v>1409</v>
      </c>
      <c r="AH761">
        <v>0</v>
      </c>
      <c r="AI761">
        <v>394</v>
      </c>
      <c r="AJ761">
        <v>17</v>
      </c>
      <c r="AK761">
        <v>2239</v>
      </c>
      <c r="AL761">
        <v>1.07</v>
      </c>
    </row>
    <row r="762" spans="1:38" x14ac:dyDescent="0.3">
      <c r="A762" t="s">
        <v>1390</v>
      </c>
      <c r="B762">
        <v>5653</v>
      </c>
      <c r="C762">
        <v>4</v>
      </c>
      <c r="D762" t="s">
        <v>1069</v>
      </c>
      <c r="E762" t="s">
        <v>1403</v>
      </c>
      <c r="F762">
        <v>2102</v>
      </c>
      <c r="G762">
        <v>47.56</v>
      </c>
      <c r="H762">
        <v>157.25</v>
      </c>
      <c r="I762">
        <v>40.630000000000003</v>
      </c>
      <c r="J762">
        <v>134.34</v>
      </c>
      <c r="K762">
        <v>240</v>
      </c>
      <c r="T762">
        <v>4</v>
      </c>
      <c r="U762">
        <v>2</v>
      </c>
      <c r="V762" t="s">
        <v>269</v>
      </c>
      <c r="W762">
        <v>157</v>
      </c>
      <c r="X762">
        <v>20</v>
      </c>
      <c r="Y762">
        <v>17</v>
      </c>
      <c r="Z762" t="s">
        <v>1407</v>
      </c>
      <c r="AA762" t="s">
        <v>1408</v>
      </c>
      <c r="AB762" t="s">
        <v>272</v>
      </c>
      <c r="AC762" t="s">
        <v>273</v>
      </c>
      <c r="AD762" t="s">
        <v>274</v>
      </c>
      <c r="AE762" t="s">
        <v>1395</v>
      </c>
      <c r="AG762" t="s">
        <v>1409</v>
      </c>
      <c r="AH762">
        <v>0</v>
      </c>
      <c r="AI762">
        <v>394</v>
      </c>
      <c r="AJ762">
        <v>17</v>
      </c>
      <c r="AK762">
        <v>2239</v>
      </c>
      <c r="AL762">
        <v>1.07</v>
      </c>
    </row>
    <row r="763" spans="1:38" x14ac:dyDescent="0.3">
      <c r="A763" t="s">
        <v>1390</v>
      </c>
      <c r="B763">
        <v>5653</v>
      </c>
      <c r="C763">
        <v>5</v>
      </c>
      <c r="D763" t="s">
        <v>1069</v>
      </c>
      <c r="E763" t="s">
        <v>1403</v>
      </c>
      <c r="F763">
        <v>2102</v>
      </c>
      <c r="G763">
        <v>58.22</v>
      </c>
      <c r="H763">
        <v>192.49</v>
      </c>
      <c r="I763">
        <v>50.06</v>
      </c>
      <c r="J763">
        <v>165.51</v>
      </c>
      <c r="K763">
        <v>80</v>
      </c>
      <c r="T763">
        <v>4</v>
      </c>
      <c r="U763">
        <v>2</v>
      </c>
      <c r="V763" t="s">
        <v>269</v>
      </c>
      <c r="W763">
        <v>192</v>
      </c>
      <c r="X763">
        <v>20</v>
      </c>
      <c r="Y763">
        <v>17</v>
      </c>
      <c r="Z763" t="s">
        <v>1407</v>
      </c>
      <c r="AA763" t="s">
        <v>1408</v>
      </c>
      <c r="AB763" t="s">
        <v>272</v>
      </c>
      <c r="AC763" t="s">
        <v>273</v>
      </c>
      <c r="AD763" t="s">
        <v>274</v>
      </c>
      <c r="AE763" t="s">
        <v>1395</v>
      </c>
      <c r="AG763" t="s">
        <v>1409</v>
      </c>
      <c r="AH763">
        <v>0</v>
      </c>
      <c r="AI763">
        <v>394</v>
      </c>
      <c r="AJ763">
        <v>17</v>
      </c>
      <c r="AK763">
        <v>2239</v>
      </c>
      <c r="AL763">
        <v>1.07</v>
      </c>
    </row>
    <row r="764" spans="1:38" x14ac:dyDescent="0.3">
      <c r="A764" t="s">
        <v>1390</v>
      </c>
      <c r="B764">
        <v>5653</v>
      </c>
      <c r="C764">
        <v>6</v>
      </c>
      <c r="D764" t="s">
        <v>1069</v>
      </c>
      <c r="E764" t="s">
        <v>1403</v>
      </c>
      <c r="F764">
        <v>2102</v>
      </c>
      <c r="G764">
        <v>65.59</v>
      </c>
      <c r="H764">
        <v>216.85</v>
      </c>
      <c r="I764">
        <v>56.86</v>
      </c>
      <c r="J764">
        <v>187.99</v>
      </c>
      <c r="K764">
        <v>68</v>
      </c>
      <c r="T764">
        <v>4</v>
      </c>
      <c r="U764">
        <v>2</v>
      </c>
      <c r="V764" t="s">
        <v>269</v>
      </c>
      <c r="W764">
        <v>216</v>
      </c>
      <c r="X764">
        <v>20</v>
      </c>
      <c r="Y764">
        <v>17</v>
      </c>
      <c r="Z764" t="s">
        <v>1407</v>
      </c>
      <c r="AA764" t="s">
        <v>1408</v>
      </c>
      <c r="AB764" t="s">
        <v>272</v>
      </c>
      <c r="AC764" t="s">
        <v>273</v>
      </c>
      <c r="AD764" t="s">
        <v>274</v>
      </c>
      <c r="AE764" t="s">
        <v>1395</v>
      </c>
      <c r="AG764" t="s">
        <v>1409</v>
      </c>
      <c r="AH764">
        <v>0</v>
      </c>
      <c r="AI764">
        <v>394</v>
      </c>
      <c r="AJ764">
        <v>17</v>
      </c>
      <c r="AK764">
        <v>2239</v>
      </c>
      <c r="AL764">
        <v>1.07</v>
      </c>
    </row>
    <row r="765" spans="1:38" x14ac:dyDescent="0.3">
      <c r="A765" t="s">
        <v>1390</v>
      </c>
      <c r="B765">
        <v>5648</v>
      </c>
      <c r="C765">
        <v>1</v>
      </c>
      <c r="D765" t="s">
        <v>1410</v>
      </c>
      <c r="E765" t="s">
        <v>1411</v>
      </c>
      <c r="F765">
        <v>180</v>
      </c>
      <c r="G765">
        <v>25.55</v>
      </c>
      <c r="H765">
        <v>84.48</v>
      </c>
      <c r="I765">
        <v>25.55</v>
      </c>
      <c r="J765">
        <v>84.48</v>
      </c>
      <c r="K765">
        <v>35</v>
      </c>
      <c r="T765">
        <v>3</v>
      </c>
      <c r="U765">
        <v>1</v>
      </c>
      <c r="V765" t="s">
        <v>269</v>
      </c>
      <c r="W765" t="s">
        <v>63</v>
      </c>
      <c r="X765">
        <v>5</v>
      </c>
      <c r="Y765">
        <v>5</v>
      </c>
      <c r="Z765" t="s">
        <v>1412</v>
      </c>
      <c r="AA765" t="s">
        <v>1413</v>
      </c>
      <c r="AB765" t="s">
        <v>272</v>
      </c>
      <c r="AC765" t="s">
        <v>273</v>
      </c>
      <c r="AD765" t="s">
        <v>274</v>
      </c>
      <c r="AE765" t="s">
        <v>1395</v>
      </c>
      <c r="AG765" t="s">
        <v>1414</v>
      </c>
      <c r="AH765">
        <v>0</v>
      </c>
      <c r="AI765">
        <v>235</v>
      </c>
      <c r="AJ765">
        <v>21</v>
      </c>
      <c r="AK765">
        <v>0</v>
      </c>
      <c r="AL765">
        <v>0</v>
      </c>
    </row>
    <row r="766" spans="1:38" x14ac:dyDescent="0.3">
      <c r="A766" t="s">
        <v>1390</v>
      </c>
      <c r="B766">
        <v>5648</v>
      </c>
      <c r="C766">
        <v>2</v>
      </c>
      <c r="D766" t="s">
        <v>1410</v>
      </c>
      <c r="E766" t="s">
        <v>1411</v>
      </c>
      <c r="F766">
        <v>180</v>
      </c>
      <c r="G766">
        <v>25.55</v>
      </c>
      <c r="H766">
        <v>84.47</v>
      </c>
      <c r="I766">
        <v>25.55</v>
      </c>
      <c r="J766">
        <v>84.47</v>
      </c>
      <c r="K766">
        <v>25</v>
      </c>
      <c r="T766">
        <v>3</v>
      </c>
      <c r="U766">
        <v>1</v>
      </c>
      <c r="V766" t="s">
        <v>269</v>
      </c>
      <c r="W766" t="s">
        <v>60</v>
      </c>
      <c r="X766">
        <v>5</v>
      </c>
      <c r="Y766">
        <v>5</v>
      </c>
      <c r="Z766" t="s">
        <v>1412</v>
      </c>
      <c r="AA766" t="s">
        <v>1413</v>
      </c>
      <c r="AB766" t="s">
        <v>272</v>
      </c>
      <c r="AC766" t="s">
        <v>273</v>
      </c>
      <c r="AD766" t="s">
        <v>274</v>
      </c>
      <c r="AE766" t="s">
        <v>1395</v>
      </c>
      <c r="AG766" t="s">
        <v>1414</v>
      </c>
      <c r="AH766">
        <v>0</v>
      </c>
      <c r="AI766">
        <v>235</v>
      </c>
      <c r="AJ766">
        <v>21</v>
      </c>
      <c r="AK766">
        <v>0</v>
      </c>
      <c r="AL766">
        <v>0</v>
      </c>
    </row>
    <row r="767" spans="1:38" x14ac:dyDescent="0.3">
      <c r="A767" t="s">
        <v>1390</v>
      </c>
      <c r="B767">
        <v>5648</v>
      </c>
      <c r="C767">
        <v>3</v>
      </c>
      <c r="D767" t="s">
        <v>1410</v>
      </c>
      <c r="E767" t="s">
        <v>1411</v>
      </c>
      <c r="F767">
        <v>180</v>
      </c>
      <c r="G767">
        <v>25.57</v>
      </c>
      <c r="H767">
        <v>84.56</v>
      </c>
      <c r="I767">
        <v>25.57</v>
      </c>
      <c r="J767">
        <v>84.56</v>
      </c>
      <c r="K767">
        <v>22</v>
      </c>
      <c r="T767">
        <v>3</v>
      </c>
      <c r="U767">
        <v>1</v>
      </c>
      <c r="V767" t="s">
        <v>269</v>
      </c>
      <c r="W767" t="s">
        <v>64</v>
      </c>
      <c r="X767">
        <v>5</v>
      </c>
      <c r="Y767">
        <v>5</v>
      </c>
      <c r="Z767" t="s">
        <v>1412</v>
      </c>
      <c r="AA767" t="s">
        <v>1413</v>
      </c>
      <c r="AB767" t="s">
        <v>272</v>
      </c>
      <c r="AC767" t="s">
        <v>273</v>
      </c>
      <c r="AD767" t="s">
        <v>274</v>
      </c>
      <c r="AE767" t="s">
        <v>1395</v>
      </c>
      <c r="AG767" t="s">
        <v>1414</v>
      </c>
      <c r="AH767">
        <v>0</v>
      </c>
      <c r="AI767">
        <v>235</v>
      </c>
      <c r="AJ767">
        <v>21</v>
      </c>
      <c r="AK767">
        <v>0</v>
      </c>
      <c r="AL767">
        <v>0</v>
      </c>
    </row>
    <row r="768" spans="1:38" x14ac:dyDescent="0.3">
      <c r="A768" t="s">
        <v>1390</v>
      </c>
      <c r="B768">
        <v>5648</v>
      </c>
      <c r="C768">
        <v>4</v>
      </c>
      <c r="D768" t="s">
        <v>1410</v>
      </c>
      <c r="E768" t="s">
        <v>1411</v>
      </c>
      <c r="F768">
        <v>180</v>
      </c>
      <c r="G768">
        <v>25.58</v>
      </c>
      <c r="H768">
        <v>84.57</v>
      </c>
      <c r="I768">
        <v>25.58</v>
      </c>
      <c r="J768">
        <v>84.57</v>
      </c>
      <c r="K768">
        <v>8</v>
      </c>
      <c r="T768">
        <v>3</v>
      </c>
      <c r="U768">
        <v>1</v>
      </c>
      <c r="V768" t="s">
        <v>269</v>
      </c>
      <c r="W768" t="s">
        <v>217</v>
      </c>
      <c r="X768">
        <v>5</v>
      </c>
      <c r="Y768">
        <v>5</v>
      </c>
      <c r="Z768" t="s">
        <v>1412</v>
      </c>
      <c r="AA768" t="s">
        <v>1413</v>
      </c>
      <c r="AB768" t="s">
        <v>272</v>
      </c>
      <c r="AC768" t="s">
        <v>273</v>
      </c>
      <c r="AD768" t="s">
        <v>274</v>
      </c>
      <c r="AE768" t="s">
        <v>1395</v>
      </c>
      <c r="AG768" t="s">
        <v>1414</v>
      </c>
      <c r="AH768">
        <v>0</v>
      </c>
      <c r="AI768">
        <v>235</v>
      </c>
      <c r="AJ768">
        <v>21</v>
      </c>
      <c r="AK768">
        <v>0</v>
      </c>
      <c r="AL768">
        <v>0</v>
      </c>
    </row>
    <row r="769" spans="1:38" x14ac:dyDescent="0.3">
      <c r="A769" t="s">
        <v>1390</v>
      </c>
      <c r="B769">
        <v>5648</v>
      </c>
      <c r="C769">
        <v>5</v>
      </c>
      <c r="D769" t="s">
        <v>1410</v>
      </c>
      <c r="E769" t="s">
        <v>1411</v>
      </c>
      <c r="F769">
        <v>180</v>
      </c>
      <c r="G769">
        <v>29.44</v>
      </c>
      <c r="H769">
        <v>97.34</v>
      </c>
      <c r="I769">
        <v>29.44</v>
      </c>
      <c r="J769">
        <v>97.34</v>
      </c>
      <c r="K769">
        <v>18</v>
      </c>
      <c r="T769">
        <v>3</v>
      </c>
      <c r="U769">
        <v>1</v>
      </c>
      <c r="V769" t="s">
        <v>269</v>
      </c>
      <c r="W769" t="s">
        <v>1415</v>
      </c>
      <c r="X769">
        <v>5</v>
      </c>
      <c r="Y769">
        <v>5</v>
      </c>
      <c r="Z769" t="s">
        <v>1412</v>
      </c>
      <c r="AA769" t="s">
        <v>1413</v>
      </c>
      <c r="AB769" t="s">
        <v>272</v>
      </c>
      <c r="AC769" t="s">
        <v>273</v>
      </c>
      <c r="AD769" t="s">
        <v>274</v>
      </c>
      <c r="AE769" t="s">
        <v>1395</v>
      </c>
      <c r="AG769" t="s">
        <v>1414</v>
      </c>
      <c r="AH769">
        <v>0</v>
      </c>
      <c r="AI769">
        <v>235</v>
      </c>
      <c r="AJ769">
        <v>21</v>
      </c>
      <c r="AK769">
        <v>0</v>
      </c>
      <c r="AL769">
        <v>0</v>
      </c>
    </row>
    <row r="770" spans="1:38" x14ac:dyDescent="0.3">
      <c r="A770" t="s">
        <v>1390</v>
      </c>
      <c r="B770">
        <v>5648</v>
      </c>
      <c r="C770">
        <v>6</v>
      </c>
      <c r="D770" t="s">
        <v>1410</v>
      </c>
      <c r="E770" t="s">
        <v>1411</v>
      </c>
      <c r="F770">
        <v>180</v>
      </c>
      <c r="G770">
        <v>29.44</v>
      </c>
      <c r="H770">
        <v>97.33</v>
      </c>
      <c r="I770">
        <v>29.44</v>
      </c>
      <c r="J770">
        <v>97.33</v>
      </c>
      <c r="K770">
        <v>11</v>
      </c>
      <c r="T770">
        <v>3</v>
      </c>
      <c r="U770">
        <v>1</v>
      </c>
      <c r="V770" t="s">
        <v>269</v>
      </c>
      <c r="W770" t="s">
        <v>464</v>
      </c>
      <c r="X770">
        <v>5</v>
      </c>
      <c r="Y770">
        <v>5</v>
      </c>
      <c r="Z770" t="s">
        <v>1412</v>
      </c>
      <c r="AA770" t="s">
        <v>1413</v>
      </c>
      <c r="AB770" t="s">
        <v>272</v>
      </c>
      <c r="AC770" t="s">
        <v>273</v>
      </c>
      <c r="AD770" t="s">
        <v>274</v>
      </c>
      <c r="AE770" t="s">
        <v>1395</v>
      </c>
      <c r="AG770" t="s">
        <v>1414</v>
      </c>
      <c r="AH770">
        <v>0</v>
      </c>
      <c r="AI770">
        <v>235</v>
      </c>
      <c r="AJ770">
        <v>21</v>
      </c>
      <c r="AK770">
        <v>0</v>
      </c>
      <c r="AL770">
        <v>0</v>
      </c>
    </row>
    <row r="771" spans="1:38" x14ac:dyDescent="0.3">
      <c r="A771" t="s">
        <v>1390</v>
      </c>
      <c r="B771">
        <v>5648</v>
      </c>
      <c r="C771">
        <v>7</v>
      </c>
      <c r="D771" t="s">
        <v>1410</v>
      </c>
      <c r="E771" t="s">
        <v>1411</v>
      </c>
      <c r="F771">
        <v>180</v>
      </c>
      <c r="G771">
        <v>29.43</v>
      </c>
      <c r="H771">
        <v>97.3</v>
      </c>
      <c r="I771">
        <v>29.43</v>
      </c>
      <c r="J771">
        <v>97.3</v>
      </c>
      <c r="K771">
        <v>1</v>
      </c>
      <c r="T771">
        <v>3</v>
      </c>
      <c r="U771">
        <v>1</v>
      </c>
      <c r="V771" t="s">
        <v>269</v>
      </c>
      <c r="W771" t="s">
        <v>1416</v>
      </c>
      <c r="X771">
        <v>5</v>
      </c>
      <c r="Y771">
        <v>5</v>
      </c>
      <c r="Z771" t="s">
        <v>1412</v>
      </c>
      <c r="AA771" t="s">
        <v>1413</v>
      </c>
      <c r="AB771" t="s">
        <v>272</v>
      </c>
      <c r="AC771" t="s">
        <v>273</v>
      </c>
      <c r="AD771" t="s">
        <v>274</v>
      </c>
      <c r="AE771" t="s">
        <v>1395</v>
      </c>
      <c r="AG771" t="s">
        <v>1414</v>
      </c>
      <c r="AH771">
        <v>0</v>
      </c>
      <c r="AI771">
        <v>235</v>
      </c>
      <c r="AJ771">
        <v>21</v>
      </c>
      <c r="AK771">
        <v>0</v>
      </c>
      <c r="AL771">
        <v>0</v>
      </c>
    </row>
    <row r="772" spans="1:38" x14ac:dyDescent="0.3">
      <c r="A772" t="s">
        <v>1390</v>
      </c>
      <c r="B772">
        <v>5648</v>
      </c>
      <c r="C772">
        <v>8</v>
      </c>
      <c r="D772" t="s">
        <v>1410</v>
      </c>
      <c r="E772" t="s">
        <v>1411</v>
      </c>
      <c r="F772">
        <v>180</v>
      </c>
      <c r="G772">
        <v>30.76</v>
      </c>
      <c r="H772">
        <v>101.69</v>
      </c>
      <c r="I772">
        <v>30.76</v>
      </c>
      <c r="J772">
        <v>101.69</v>
      </c>
      <c r="K772">
        <v>22</v>
      </c>
      <c r="T772">
        <v>3</v>
      </c>
      <c r="U772">
        <v>2</v>
      </c>
      <c r="V772" t="s">
        <v>269</v>
      </c>
      <c r="W772" t="s">
        <v>765</v>
      </c>
      <c r="X772">
        <v>5</v>
      </c>
      <c r="Y772">
        <v>5</v>
      </c>
      <c r="Z772" t="s">
        <v>1412</v>
      </c>
      <c r="AA772" t="s">
        <v>1413</v>
      </c>
      <c r="AB772" t="s">
        <v>272</v>
      </c>
      <c r="AC772" t="s">
        <v>273</v>
      </c>
      <c r="AD772" t="s">
        <v>274</v>
      </c>
      <c r="AE772" t="s">
        <v>1395</v>
      </c>
      <c r="AG772" t="s">
        <v>1414</v>
      </c>
      <c r="AH772">
        <v>0</v>
      </c>
      <c r="AI772">
        <v>235</v>
      </c>
      <c r="AJ772">
        <v>21</v>
      </c>
      <c r="AK772">
        <v>0</v>
      </c>
      <c r="AL772">
        <v>0</v>
      </c>
    </row>
    <row r="773" spans="1:38" x14ac:dyDescent="0.3">
      <c r="A773" t="s">
        <v>1390</v>
      </c>
      <c r="B773">
        <v>5648</v>
      </c>
      <c r="C773">
        <v>9</v>
      </c>
      <c r="D773" t="s">
        <v>1410</v>
      </c>
      <c r="E773" t="s">
        <v>1411</v>
      </c>
      <c r="F773">
        <v>180</v>
      </c>
      <c r="G773">
        <v>30.75</v>
      </c>
      <c r="H773">
        <v>101.68</v>
      </c>
      <c r="I773">
        <v>30.75</v>
      </c>
      <c r="J773">
        <v>101.68</v>
      </c>
      <c r="K773">
        <v>8</v>
      </c>
      <c r="T773">
        <v>3</v>
      </c>
      <c r="U773">
        <v>2</v>
      </c>
      <c r="V773" t="s">
        <v>269</v>
      </c>
      <c r="W773" t="s">
        <v>142</v>
      </c>
      <c r="X773">
        <v>5</v>
      </c>
      <c r="Y773">
        <v>5</v>
      </c>
      <c r="Z773" t="s">
        <v>1412</v>
      </c>
      <c r="AA773" t="s">
        <v>1413</v>
      </c>
      <c r="AB773" t="s">
        <v>272</v>
      </c>
      <c r="AC773" t="s">
        <v>273</v>
      </c>
      <c r="AD773" t="s">
        <v>274</v>
      </c>
      <c r="AE773" t="s">
        <v>1395</v>
      </c>
      <c r="AG773" t="s">
        <v>1414</v>
      </c>
      <c r="AH773">
        <v>0</v>
      </c>
      <c r="AI773">
        <v>235</v>
      </c>
      <c r="AJ773">
        <v>21</v>
      </c>
      <c r="AK773">
        <v>0</v>
      </c>
      <c r="AL773">
        <v>0</v>
      </c>
    </row>
    <row r="774" spans="1:38" x14ac:dyDescent="0.3">
      <c r="A774" t="s">
        <v>1390</v>
      </c>
      <c r="B774">
        <v>5648</v>
      </c>
      <c r="C774">
        <v>10</v>
      </c>
      <c r="D774" t="s">
        <v>1410</v>
      </c>
      <c r="E774" t="s">
        <v>1411</v>
      </c>
      <c r="F774">
        <v>180</v>
      </c>
      <c r="G774">
        <v>31.07</v>
      </c>
      <c r="H774">
        <v>102.74</v>
      </c>
      <c r="I774">
        <v>31.07</v>
      </c>
      <c r="J774">
        <v>102.74</v>
      </c>
      <c r="K774">
        <v>28</v>
      </c>
      <c r="T774">
        <v>3</v>
      </c>
      <c r="U774">
        <v>2</v>
      </c>
      <c r="V774" t="s">
        <v>269</v>
      </c>
      <c r="W774" t="s">
        <v>728</v>
      </c>
      <c r="X774">
        <v>5</v>
      </c>
      <c r="Y774">
        <v>5</v>
      </c>
      <c r="Z774" t="s">
        <v>1412</v>
      </c>
      <c r="AA774" t="s">
        <v>1413</v>
      </c>
      <c r="AB774" t="s">
        <v>272</v>
      </c>
      <c r="AC774" t="s">
        <v>273</v>
      </c>
      <c r="AD774" t="s">
        <v>274</v>
      </c>
      <c r="AE774" t="s">
        <v>1395</v>
      </c>
      <c r="AG774" t="s">
        <v>1414</v>
      </c>
      <c r="AH774">
        <v>0</v>
      </c>
      <c r="AI774">
        <v>235</v>
      </c>
      <c r="AJ774">
        <v>21</v>
      </c>
      <c r="AK774">
        <v>0</v>
      </c>
      <c r="AL774">
        <v>0</v>
      </c>
    </row>
    <row r="775" spans="1:38" x14ac:dyDescent="0.3">
      <c r="A775" t="s">
        <v>1390</v>
      </c>
      <c r="B775">
        <v>5648</v>
      </c>
      <c r="C775">
        <v>11</v>
      </c>
      <c r="D775" t="s">
        <v>1410</v>
      </c>
      <c r="E775" t="s">
        <v>1411</v>
      </c>
      <c r="F775">
        <v>180</v>
      </c>
      <c r="G775">
        <v>30.99</v>
      </c>
      <c r="H775">
        <v>102.47</v>
      </c>
      <c r="I775">
        <v>30.99</v>
      </c>
      <c r="J775">
        <v>102.47</v>
      </c>
      <c r="K775">
        <v>1</v>
      </c>
      <c r="T775">
        <v>3</v>
      </c>
      <c r="U775">
        <v>2</v>
      </c>
      <c r="V775" t="s">
        <v>269</v>
      </c>
      <c r="W775" t="s">
        <v>727</v>
      </c>
      <c r="X775">
        <v>5</v>
      </c>
      <c r="Y775">
        <v>5</v>
      </c>
      <c r="Z775" t="s">
        <v>1412</v>
      </c>
      <c r="AA775" t="s">
        <v>1413</v>
      </c>
      <c r="AB775" t="s">
        <v>272</v>
      </c>
      <c r="AC775" t="s">
        <v>273</v>
      </c>
      <c r="AD775" t="s">
        <v>274</v>
      </c>
      <c r="AE775" t="s">
        <v>1395</v>
      </c>
      <c r="AG775" t="s">
        <v>1414</v>
      </c>
      <c r="AH775">
        <v>0</v>
      </c>
      <c r="AI775">
        <v>235</v>
      </c>
      <c r="AJ775">
        <v>21</v>
      </c>
      <c r="AK775">
        <v>0</v>
      </c>
      <c r="AL775">
        <v>0</v>
      </c>
    </row>
    <row r="776" spans="1:38" x14ac:dyDescent="0.3">
      <c r="A776" t="s">
        <v>1390</v>
      </c>
      <c r="B776">
        <v>5648</v>
      </c>
      <c r="C776">
        <v>12</v>
      </c>
      <c r="D776" t="s">
        <v>1410</v>
      </c>
      <c r="E776" t="s">
        <v>1411</v>
      </c>
      <c r="F776">
        <v>180</v>
      </c>
      <c r="G776">
        <v>31.08</v>
      </c>
      <c r="H776">
        <v>102.75</v>
      </c>
      <c r="I776">
        <v>31.08</v>
      </c>
      <c r="J776">
        <v>102.75</v>
      </c>
      <c r="K776">
        <v>1</v>
      </c>
      <c r="T776">
        <v>3</v>
      </c>
      <c r="U776">
        <v>2</v>
      </c>
      <c r="V776" t="s">
        <v>269</v>
      </c>
      <c r="W776" t="s">
        <v>1417</v>
      </c>
      <c r="X776">
        <v>5</v>
      </c>
      <c r="Y776">
        <v>5</v>
      </c>
      <c r="Z776" t="s">
        <v>1412</v>
      </c>
      <c r="AA776" t="s">
        <v>1413</v>
      </c>
      <c r="AB776" t="s">
        <v>272</v>
      </c>
      <c r="AC776" t="s">
        <v>273</v>
      </c>
      <c r="AD776" t="s">
        <v>274</v>
      </c>
      <c r="AE776" t="s">
        <v>1395</v>
      </c>
      <c r="AG776" t="s">
        <v>1414</v>
      </c>
      <c r="AH776">
        <v>0</v>
      </c>
      <c r="AI776">
        <v>235</v>
      </c>
      <c r="AJ776">
        <v>21</v>
      </c>
      <c r="AK776">
        <v>0</v>
      </c>
      <c r="AL776">
        <v>0</v>
      </c>
    </row>
    <row r="777" spans="1:38" x14ac:dyDescent="0.3">
      <c r="A777" t="s">
        <v>1390</v>
      </c>
      <c r="B777">
        <v>5640</v>
      </c>
      <c r="C777">
        <v>1</v>
      </c>
      <c r="D777" t="s">
        <v>1418</v>
      </c>
      <c r="E777" t="s">
        <v>1419</v>
      </c>
      <c r="F777">
        <v>117</v>
      </c>
      <c r="G777">
        <v>38.5</v>
      </c>
      <c r="H777">
        <v>127.29</v>
      </c>
      <c r="I777">
        <v>28.42</v>
      </c>
      <c r="J777">
        <v>93.96</v>
      </c>
      <c r="K777">
        <v>39</v>
      </c>
      <c r="T777">
        <v>3</v>
      </c>
      <c r="U777">
        <v>2</v>
      </c>
      <c r="V777" t="s">
        <v>279</v>
      </c>
      <c r="W777">
        <v>127</v>
      </c>
      <c r="X777">
        <v>13</v>
      </c>
      <c r="Y777">
        <v>13</v>
      </c>
      <c r="Z777" t="s">
        <v>1420</v>
      </c>
      <c r="AA777" t="s">
        <v>1421</v>
      </c>
      <c r="AB777" t="s">
        <v>272</v>
      </c>
      <c r="AC777" t="s">
        <v>273</v>
      </c>
      <c r="AD777" t="s">
        <v>274</v>
      </c>
      <c r="AE777" t="s">
        <v>1395</v>
      </c>
      <c r="AG777" t="s">
        <v>1422</v>
      </c>
      <c r="AH777">
        <v>0</v>
      </c>
      <c r="AI777">
        <v>0</v>
      </c>
      <c r="AJ777">
        <v>0</v>
      </c>
      <c r="AK777">
        <v>0</v>
      </c>
      <c r="AL777">
        <v>0</v>
      </c>
    </row>
    <row r="778" spans="1:38" x14ac:dyDescent="0.3">
      <c r="A778" t="s">
        <v>1390</v>
      </c>
      <c r="B778">
        <v>5640</v>
      </c>
      <c r="C778">
        <v>2</v>
      </c>
      <c r="D778" t="s">
        <v>1418</v>
      </c>
      <c r="E778" t="s">
        <v>1419</v>
      </c>
      <c r="F778">
        <v>117</v>
      </c>
      <c r="G778">
        <v>42.3</v>
      </c>
      <c r="H778">
        <v>139.84</v>
      </c>
      <c r="I778">
        <v>31.22</v>
      </c>
      <c r="J778">
        <v>103.23</v>
      </c>
      <c r="K778">
        <v>39</v>
      </c>
      <c r="T778">
        <v>4</v>
      </c>
      <c r="U778">
        <v>2</v>
      </c>
      <c r="V778" t="s">
        <v>279</v>
      </c>
      <c r="W778">
        <v>139</v>
      </c>
      <c r="X778">
        <v>13</v>
      </c>
      <c r="Y778">
        <v>13</v>
      </c>
      <c r="Z778" t="s">
        <v>1420</v>
      </c>
      <c r="AA778" t="s">
        <v>1421</v>
      </c>
      <c r="AB778" t="s">
        <v>272</v>
      </c>
      <c r="AC778" t="s">
        <v>273</v>
      </c>
      <c r="AD778" t="s">
        <v>274</v>
      </c>
      <c r="AE778" t="s">
        <v>1395</v>
      </c>
      <c r="AG778" t="s">
        <v>1422</v>
      </c>
      <c r="AH778">
        <v>0</v>
      </c>
      <c r="AI778">
        <v>0</v>
      </c>
      <c r="AJ778">
        <v>0</v>
      </c>
      <c r="AK778">
        <v>0</v>
      </c>
      <c r="AL778">
        <v>0</v>
      </c>
    </row>
    <row r="779" spans="1:38" x14ac:dyDescent="0.3">
      <c r="A779" t="s">
        <v>1390</v>
      </c>
      <c r="B779">
        <v>5640</v>
      </c>
      <c r="C779">
        <v>3</v>
      </c>
      <c r="D779" t="s">
        <v>1418</v>
      </c>
      <c r="E779" t="s">
        <v>1419</v>
      </c>
      <c r="F779">
        <v>117</v>
      </c>
      <c r="G779">
        <v>45.43</v>
      </c>
      <c r="H779">
        <v>150.19</v>
      </c>
      <c r="I779">
        <v>33.54</v>
      </c>
      <c r="J779">
        <v>110.88</v>
      </c>
      <c r="K779">
        <v>13</v>
      </c>
      <c r="T779">
        <v>4</v>
      </c>
      <c r="U779">
        <v>2</v>
      </c>
      <c r="V779" t="s">
        <v>279</v>
      </c>
      <c r="W779">
        <v>150</v>
      </c>
      <c r="X779">
        <v>13</v>
      </c>
      <c r="Y779">
        <v>13</v>
      </c>
      <c r="Z779" t="s">
        <v>1420</v>
      </c>
      <c r="AA779" t="s">
        <v>1421</v>
      </c>
      <c r="AB779" t="s">
        <v>272</v>
      </c>
      <c r="AC779" t="s">
        <v>273</v>
      </c>
      <c r="AD779" t="s">
        <v>274</v>
      </c>
      <c r="AE779" t="s">
        <v>1395</v>
      </c>
      <c r="AG779" t="s">
        <v>1422</v>
      </c>
      <c r="AH779">
        <v>0</v>
      </c>
      <c r="AI779">
        <v>0</v>
      </c>
      <c r="AJ779">
        <v>0</v>
      </c>
      <c r="AK779">
        <v>0</v>
      </c>
      <c r="AL779">
        <v>0</v>
      </c>
    </row>
    <row r="780" spans="1:38" x14ac:dyDescent="0.3">
      <c r="A780" t="s">
        <v>1390</v>
      </c>
      <c r="B780">
        <v>5640</v>
      </c>
      <c r="C780">
        <v>4</v>
      </c>
      <c r="D780" t="s">
        <v>1418</v>
      </c>
      <c r="E780" t="s">
        <v>1419</v>
      </c>
      <c r="F780">
        <v>117</v>
      </c>
      <c r="G780">
        <v>50.01</v>
      </c>
      <c r="H780">
        <v>165.34</v>
      </c>
      <c r="I780">
        <v>36.909999999999997</v>
      </c>
      <c r="J780">
        <v>122.04</v>
      </c>
      <c r="K780">
        <v>26</v>
      </c>
      <c r="T780">
        <v>4</v>
      </c>
      <c r="U780">
        <v>2</v>
      </c>
      <c r="V780" t="s">
        <v>279</v>
      </c>
      <c r="W780">
        <v>165</v>
      </c>
      <c r="X780">
        <v>13</v>
      </c>
      <c r="Y780">
        <v>13</v>
      </c>
      <c r="Z780" t="s">
        <v>1420</v>
      </c>
      <c r="AA780" t="s">
        <v>1421</v>
      </c>
      <c r="AB780" t="s">
        <v>272</v>
      </c>
      <c r="AC780" t="s">
        <v>273</v>
      </c>
      <c r="AD780" t="s">
        <v>274</v>
      </c>
      <c r="AE780" t="s">
        <v>1395</v>
      </c>
      <c r="AG780" t="s">
        <v>1422</v>
      </c>
      <c r="AH780">
        <v>0</v>
      </c>
      <c r="AI780">
        <v>0</v>
      </c>
      <c r="AJ780">
        <v>0</v>
      </c>
      <c r="AK780">
        <v>0</v>
      </c>
      <c r="AL780">
        <v>0</v>
      </c>
    </row>
    <row r="781" spans="1:38" x14ac:dyDescent="0.3">
      <c r="A781" t="s">
        <v>1423</v>
      </c>
      <c r="B781">
        <v>133644</v>
      </c>
      <c r="C781">
        <v>1</v>
      </c>
      <c r="D781" t="s">
        <v>1424</v>
      </c>
      <c r="F781">
        <v>69</v>
      </c>
      <c r="G781">
        <v>15.26</v>
      </c>
      <c r="H781">
        <v>50.46</v>
      </c>
      <c r="I781">
        <v>12.25</v>
      </c>
      <c r="J781">
        <v>40.5</v>
      </c>
      <c r="K781">
        <v>10</v>
      </c>
      <c r="T781">
        <v>2</v>
      </c>
      <c r="U781">
        <v>1</v>
      </c>
      <c r="V781" t="s">
        <v>269</v>
      </c>
      <c r="W781">
        <v>50</v>
      </c>
      <c r="X781">
        <v>5</v>
      </c>
      <c r="Y781">
        <v>3</v>
      </c>
      <c r="Z781" t="s">
        <v>1425</v>
      </c>
      <c r="AA781" t="s">
        <v>1426</v>
      </c>
      <c r="AB781" t="s">
        <v>272</v>
      </c>
      <c r="AC781" t="s">
        <v>273</v>
      </c>
      <c r="AD781" t="s">
        <v>274</v>
      </c>
      <c r="AE781" t="s">
        <v>1427</v>
      </c>
      <c r="AG781" t="s">
        <v>1428</v>
      </c>
      <c r="AH781">
        <v>0</v>
      </c>
      <c r="AI781">
        <v>0</v>
      </c>
      <c r="AJ781">
        <v>0</v>
      </c>
      <c r="AK781">
        <v>0</v>
      </c>
      <c r="AL781">
        <v>0</v>
      </c>
    </row>
    <row r="782" spans="1:38" x14ac:dyDescent="0.3">
      <c r="A782" t="s">
        <v>1423</v>
      </c>
      <c r="B782">
        <v>133644</v>
      </c>
      <c r="C782">
        <v>2</v>
      </c>
      <c r="D782" t="s">
        <v>1424</v>
      </c>
      <c r="F782">
        <v>69</v>
      </c>
      <c r="G782">
        <v>16.89</v>
      </c>
      <c r="H782">
        <v>55.86</v>
      </c>
      <c r="I782">
        <v>13.77</v>
      </c>
      <c r="J782">
        <v>45.54</v>
      </c>
      <c r="K782">
        <v>11</v>
      </c>
      <c r="T782">
        <v>2</v>
      </c>
      <c r="U782">
        <v>1</v>
      </c>
      <c r="V782" t="s">
        <v>269</v>
      </c>
      <c r="W782" t="s">
        <v>1429</v>
      </c>
      <c r="X782">
        <v>5</v>
      </c>
      <c r="Y782">
        <v>3</v>
      </c>
      <c r="Z782" t="s">
        <v>1425</v>
      </c>
      <c r="AA782" t="s">
        <v>1426</v>
      </c>
      <c r="AB782" t="s">
        <v>272</v>
      </c>
      <c r="AC782" t="s">
        <v>273</v>
      </c>
      <c r="AD782" t="s">
        <v>274</v>
      </c>
      <c r="AE782" t="s">
        <v>1427</v>
      </c>
      <c r="AG782" t="s">
        <v>1428</v>
      </c>
      <c r="AH782">
        <v>0</v>
      </c>
      <c r="AI782">
        <v>0</v>
      </c>
      <c r="AJ782">
        <v>0</v>
      </c>
      <c r="AK782">
        <v>0</v>
      </c>
      <c r="AL782">
        <v>0</v>
      </c>
    </row>
    <row r="783" spans="1:38" x14ac:dyDescent="0.3">
      <c r="A783" t="s">
        <v>1423</v>
      </c>
      <c r="B783">
        <v>133644</v>
      </c>
      <c r="C783">
        <v>3</v>
      </c>
      <c r="D783" t="s">
        <v>1424</v>
      </c>
      <c r="F783">
        <v>69</v>
      </c>
      <c r="G783">
        <v>17.14</v>
      </c>
      <c r="H783">
        <v>56.67</v>
      </c>
      <c r="I783">
        <v>14.02</v>
      </c>
      <c r="J783">
        <v>46.35</v>
      </c>
      <c r="K783">
        <v>10</v>
      </c>
      <c r="T783">
        <v>2</v>
      </c>
      <c r="U783">
        <v>1</v>
      </c>
      <c r="V783" t="s">
        <v>269</v>
      </c>
      <c r="W783" t="s">
        <v>1430</v>
      </c>
      <c r="X783">
        <v>5</v>
      </c>
      <c r="Y783">
        <v>3</v>
      </c>
      <c r="Z783" t="s">
        <v>1425</v>
      </c>
      <c r="AA783" t="s">
        <v>1426</v>
      </c>
      <c r="AB783" t="s">
        <v>272</v>
      </c>
      <c r="AC783" t="s">
        <v>273</v>
      </c>
      <c r="AD783" t="s">
        <v>274</v>
      </c>
      <c r="AE783" t="s">
        <v>1427</v>
      </c>
      <c r="AG783" t="s">
        <v>1428</v>
      </c>
      <c r="AH783">
        <v>0</v>
      </c>
      <c r="AI783">
        <v>0</v>
      </c>
      <c r="AJ783">
        <v>0</v>
      </c>
      <c r="AK783">
        <v>0</v>
      </c>
      <c r="AL783">
        <v>0</v>
      </c>
    </row>
    <row r="784" spans="1:38" x14ac:dyDescent="0.3">
      <c r="A784" t="s">
        <v>1423</v>
      </c>
      <c r="B784">
        <v>133644</v>
      </c>
      <c r="C784">
        <v>4</v>
      </c>
      <c r="D784" t="s">
        <v>1424</v>
      </c>
      <c r="F784">
        <v>69</v>
      </c>
      <c r="G784">
        <v>17.63</v>
      </c>
      <c r="H784">
        <v>58.29</v>
      </c>
      <c r="I784">
        <v>14.51</v>
      </c>
      <c r="J784">
        <v>47.97</v>
      </c>
      <c r="K784">
        <v>25</v>
      </c>
      <c r="T784">
        <v>2</v>
      </c>
      <c r="U784">
        <v>1</v>
      </c>
      <c r="V784" t="s">
        <v>269</v>
      </c>
      <c r="W784">
        <v>58</v>
      </c>
      <c r="X784">
        <v>5</v>
      </c>
      <c r="Y784">
        <v>3</v>
      </c>
      <c r="Z784" t="s">
        <v>1425</v>
      </c>
      <c r="AA784" t="s">
        <v>1426</v>
      </c>
      <c r="AB784" t="s">
        <v>272</v>
      </c>
      <c r="AC784" t="s">
        <v>273</v>
      </c>
      <c r="AD784" t="s">
        <v>274</v>
      </c>
      <c r="AE784" t="s">
        <v>1427</v>
      </c>
      <c r="AG784" t="s">
        <v>1428</v>
      </c>
      <c r="AH784">
        <v>0</v>
      </c>
      <c r="AI784">
        <v>0</v>
      </c>
      <c r="AJ784">
        <v>0</v>
      </c>
      <c r="AK784">
        <v>0</v>
      </c>
      <c r="AL784">
        <v>0</v>
      </c>
    </row>
    <row r="785" spans="1:38" x14ac:dyDescent="0.3">
      <c r="A785" t="s">
        <v>1423</v>
      </c>
      <c r="B785">
        <v>133644</v>
      </c>
      <c r="C785">
        <v>5</v>
      </c>
      <c r="D785" t="s">
        <v>1424</v>
      </c>
      <c r="F785">
        <v>69</v>
      </c>
      <c r="G785">
        <v>20.079999999999998</v>
      </c>
      <c r="H785">
        <v>66.39</v>
      </c>
      <c r="I785">
        <v>16.96</v>
      </c>
      <c r="J785">
        <v>56.07</v>
      </c>
      <c r="K785">
        <v>10</v>
      </c>
      <c r="T785">
        <v>3</v>
      </c>
      <c r="U785">
        <v>1</v>
      </c>
      <c r="V785" t="s">
        <v>269</v>
      </c>
      <c r="W785" t="s">
        <v>122</v>
      </c>
      <c r="X785">
        <v>5</v>
      </c>
      <c r="Y785">
        <v>3</v>
      </c>
      <c r="Z785" t="s">
        <v>1425</v>
      </c>
      <c r="AA785" t="s">
        <v>1426</v>
      </c>
      <c r="AB785" t="s">
        <v>272</v>
      </c>
      <c r="AC785" t="s">
        <v>273</v>
      </c>
      <c r="AD785" t="s">
        <v>274</v>
      </c>
      <c r="AE785" t="s">
        <v>1427</v>
      </c>
      <c r="AG785" t="s">
        <v>1428</v>
      </c>
      <c r="AH785">
        <v>0</v>
      </c>
      <c r="AI785">
        <v>0</v>
      </c>
      <c r="AJ785">
        <v>0</v>
      </c>
      <c r="AK785">
        <v>0</v>
      </c>
      <c r="AL785">
        <v>0</v>
      </c>
    </row>
    <row r="786" spans="1:38" x14ac:dyDescent="0.3">
      <c r="A786" t="s">
        <v>1423</v>
      </c>
      <c r="B786">
        <v>133644</v>
      </c>
      <c r="C786">
        <v>6</v>
      </c>
      <c r="D786" t="s">
        <v>1424</v>
      </c>
      <c r="F786">
        <v>69</v>
      </c>
      <c r="G786">
        <v>20.46</v>
      </c>
      <c r="H786">
        <v>67.650000000000006</v>
      </c>
      <c r="I786">
        <v>15.59</v>
      </c>
      <c r="J786">
        <v>51.57</v>
      </c>
      <c r="K786">
        <v>3</v>
      </c>
      <c r="T786">
        <v>3</v>
      </c>
      <c r="U786">
        <v>1</v>
      </c>
      <c r="V786" t="s">
        <v>269</v>
      </c>
      <c r="W786" t="s">
        <v>1431</v>
      </c>
      <c r="X786">
        <v>5</v>
      </c>
      <c r="Y786">
        <v>3</v>
      </c>
      <c r="Z786" t="s">
        <v>1425</v>
      </c>
      <c r="AA786" t="s">
        <v>1426</v>
      </c>
      <c r="AB786" t="s">
        <v>272</v>
      </c>
      <c r="AC786" t="s">
        <v>273</v>
      </c>
      <c r="AD786" t="s">
        <v>274</v>
      </c>
      <c r="AE786" t="s">
        <v>1427</v>
      </c>
      <c r="AG786" t="s">
        <v>1428</v>
      </c>
      <c r="AH786">
        <v>0</v>
      </c>
      <c r="AI786">
        <v>0</v>
      </c>
      <c r="AJ786">
        <v>0</v>
      </c>
      <c r="AK786">
        <v>0</v>
      </c>
      <c r="AL786">
        <v>0</v>
      </c>
    </row>
    <row r="787" spans="1:38" x14ac:dyDescent="0.3">
      <c r="A787" t="s">
        <v>1423</v>
      </c>
      <c r="B787">
        <v>117386</v>
      </c>
      <c r="C787">
        <v>1</v>
      </c>
      <c r="D787" t="s">
        <v>1432</v>
      </c>
      <c r="E787" t="s">
        <v>1433</v>
      </c>
      <c r="F787">
        <v>56</v>
      </c>
      <c r="G787">
        <v>19.95</v>
      </c>
      <c r="H787">
        <v>65.97</v>
      </c>
      <c r="I787">
        <v>15.01</v>
      </c>
      <c r="J787">
        <v>49.64</v>
      </c>
      <c r="K787">
        <v>28</v>
      </c>
      <c r="T787">
        <v>1</v>
      </c>
      <c r="U787">
        <v>1</v>
      </c>
      <c r="V787" t="s">
        <v>269</v>
      </c>
      <c r="W787" t="s">
        <v>396</v>
      </c>
      <c r="X787">
        <v>8</v>
      </c>
      <c r="Y787">
        <v>8</v>
      </c>
      <c r="Z787" t="s">
        <v>1434</v>
      </c>
      <c r="AA787" t="s">
        <v>1435</v>
      </c>
      <c r="AB787" t="s">
        <v>272</v>
      </c>
      <c r="AC787" t="s">
        <v>273</v>
      </c>
      <c r="AD787" t="s">
        <v>274</v>
      </c>
      <c r="AE787" t="s">
        <v>1427</v>
      </c>
      <c r="AG787" t="s">
        <v>1436</v>
      </c>
      <c r="AH787">
        <v>0</v>
      </c>
      <c r="AI787">
        <v>184</v>
      </c>
      <c r="AJ787">
        <v>27</v>
      </c>
      <c r="AK787">
        <v>54</v>
      </c>
      <c r="AL787">
        <v>0.96</v>
      </c>
    </row>
    <row r="788" spans="1:38" x14ac:dyDescent="0.3">
      <c r="A788" t="s">
        <v>1423</v>
      </c>
      <c r="B788">
        <v>117386</v>
      </c>
      <c r="C788">
        <v>2</v>
      </c>
      <c r="D788" t="s">
        <v>1432</v>
      </c>
      <c r="E788" t="s">
        <v>1433</v>
      </c>
      <c r="F788">
        <v>56</v>
      </c>
      <c r="G788">
        <v>20.079999999999998</v>
      </c>
      <c r="H788">
        <v>66.400000000000006</v>
      </c>
      <c r="I788">
        <v>15.01</v>
      </c>
      <c r="J788">
        <v>49.64</v>
      </c>
      <c r="K788">
        <v>28</v>
      </c>
      <c r="T788">
        <v>1</v>
      </c>
      <c r="U788">
        <v>1</v>
      </c>
      <c r="V788" t="s">
        <v>269</v>
      </c>
      <c r="W788" t="s">
        <v>122</v>
      </c>
      <c r="X788">
        <v>8</v>
      </c>
      <c r="Y788">
        <v>8</v>
      </c>
      <c r="Z788" t="s">
        <v>1434</v>
      </c>
      <c r="AA788" t="s">
        <v>1435</v>
      </c>
      <c r="AB788" t="s">
        <v>272</v>
      </c>
      <c r="AC788" t="s">
        <v>273</v>
      </c>
      <c r="AD788" t="s">
        <v>274</v>
      </c>
      <c r="AE788" t="s">
        <v>1427</v>
      </c>
      <c r="AG788" t="s">
        <v>1436</v>
      </c>
      <c r="AH788">
        <v>0</v>
      </c>
      <c r="AI788">
        <v>184</v>
      </c>
      <c r="AJ788">
        <v>27</v>
      </c>
      <c r="AK788">
        <v>54</v>
      </c>
      <c r="AL788">
        <v>0.96</v>
      </c>
    </row>
    <row r="789" spans="1:38" x14ac:dyDescent="0.3">
      <c r="A789" t="s">
        <v>1423</v>
      </c>
      <c r="B789">
        <v>105143</v>
      </c>
      <c r="C789">
        <v>1</v>
      </c>
      <c r="D789" t="s">
        <v>1437</v>
      </c>
      <c r="E789" t="s">
        <v>624</v>
      </c>
      <c r="F789">
        <v>82</v>
      </c>
      <c r="G789">
        <v>28</v>
      </c>
      <c r="H789">
        <v>92.57</v>
      </c>
      <c r="I789">
        <v>23.15</v>
      </c>
      <c r="J789">
        <v>76.55</v>
      </c>
      <c r="K789">
        <v>20</v>
      </c>
      <c r="T789">
        <v>3</v>
      </c>
      <c r="U789">
        <v>2</v>
      </c>
      <c r="V789" t="s">
        <v>269</v>
      </c>
      <c r="W789">
        <v>92</v>
      </c>
      <c r="X789">
        <v>6</v>
      </c>
      <c r="Y789">
        <v>5</v>
      </c>
      <c r="Z789" t="s">
        <v>1438</v>
      </c>
      <c r="AA789" t="s">
        <v>1439</v>
      </c>
      <c r="AB789" t="s">
        <v>272</v>
      </c>
      <c r="AC789" t="s">
        <v>273</v>
      </c>
      <c r="AD789" t="s">
        <v>274</v>
      </c>
      <c r="AE789" t="s">
        <v>1427</v>
      </c>
      <c r="AG789" t="s">
        <v>1440</v>
      </c>
      <c r="AH789">
        <v>0</v>
      </c>
      <c r="AI789">
        <v>0</v>
      </c>
      <c r="AJ789">
        <v>0</v>
      </c>
      <c r="AK789">
        <v>0</v>
      </c>
      <c r="AL789">
        <v>0</v>
      </c>
    </row>
    <row r="790" spans="1:38" x14ac:dyDescent="0.3">
      <c r="A790" t="s">
        <v>1423</v>
      </c>
      <c r="B790">
        <v>105143</v>
      </c>
      <c r="C790">
        <v>2</v>
      </c>
      <c r="D790" t="s">
        <v>1437</v>
      </c>
      <c r="E790" t="s">
        <v>624</v>
      </c>
      <c r="F790">
        <v>82</v>
      </c>
      <c r="G790">
        <v>30</v>
      </c>
      <c r="H790">
        <v>99.2</v>
      </c>
      <c r="I790">
        <v>24.93</v>
      </c>
      <c r="J790">
        <v>82.44</v>
      </c>
      <c r="K790">
        <v>44</v>
      </c>
      <c r="T790">
        <v>3</v>
      </c>
      <c r="U790">
        <v>2</v>
      </c>
      <c r="V790" t="s">
        <v>269</v>
      </c>
      <c r="W790" t="s">
        <v>195</v>
      </c>
      <c r="X790">
        <v>6</v>
      </c>
      <c r="Y790">
        <v>5</v>
      </c>
      <c r="Z790" t="s">
        <v>1438</v>
      </c>
      <c r="AA790" t="s">
        <v>1439</v>
      </c>
      <c r="AB790" t="s">
        <v>272</v>
      </c>
      <c r="AC790" t="s">
        <v>273</v>
      </c>
      <c r="AD790" t="s">
        <v>274</v>
      </c>
      <c r="AE790" t="s">
        <v>1427</v>
      </c>
      <c r="AG790" t="s">
        <v>1440</v>
      </c>
      <c r="AH790">
        <v>0</v>
      </c>
      <c r="AI790">
        <v>0</v>
      </c>
      <c r="AJ790">
        <v>0</v>
      </c>
      <c r="AK790">
        <v>0</v>
      </c>
      <c r="AL790">
        <v>0</v>
      </c>
    </row>
    <row r="791" spans="1:38" x14ac:dyDescent="0.3">
      <c r="A791" t="s">
        <v>1423</v>
      </c>
      <c r="B791">
        <v>105143</v>
      </c>
      <c r="C791">
        <v>3</v>
      </c>
      <c r="D791" t="s">
        <v>1437</v>
      </c>
      <c r="E791" t="s">
        <v>624</v>
      </c>
      <c r="F791">
        <v>82</v>
      </c>
      <c r="G791">
        <v>30.26</v>
      </c>
      <c r="H791">
        <v>100.06</v>
      </c>
      <c r="I791">
        <v>23.48</v>
      </c>
      <c r="J791">
        <v>77.650000000000006</v>
      </c>
      <c r="K791">
        <v>18</v>
      </c>
      <c r="T791">
        <v>3</v>
      </c>
      <c r="U791">
        <v>2</v>
      </c>
      <c r="V791" t="s">
        <v>269</v>
      </c>
      <c r="W791" t="s">
        <v>77</v>
      </c>
      <c r="X791">
        <v>6</v>
      </c>
      <c r="Y791">
        <v>5</v>
      </c>
      <c r="Z791" t="s">
        <v>1438</v>
      </c>
      <c r="AA791" t="s">
        <v>1439</v>
      </c>
      <c r="AB791" t="s">
        <v>272</v>
      </c>
      <c r="AC791" t="s">
        <v>273</v>
      </c>
      <c r="AD791" t="s">
        <v>274</v>
      </c>
      <c r="AE791" t="s">
        <v>1427</v>
      </c>
      <c r="AG791" t="s">
        <v>1440</v>
      </c>
      <c r="AH791">
        <v>0</v>
      </c>
      <c r="AI791">
        <v>0</v>
      </c>
      <c r="AJ791">
        <v>0</v>
      </c>
      <c r="AK791">
        <v>0</v>
      </c>
      <c r="AL791">
        <v>0</v>
      </c>
    </row>
    <row r="792" spans="1:38" x14ac:dyDescent="0.3">
      <c r="A792" t="s">
        <v>1441</v>
      </c>
      <c r="B792">
        <v>109120</v>
      </c>
      <c r="C792">
        <v>1</v>
      </c>
      <c r="D792" t="s">
        <v>426</v>
      </c>
      <c r="E792" t="s">
        <v>1442</v>
      </c>
      <c r="F792">
        <v>99</v>
      </c>
      <c r="G792">
        <v>11.89</v>
      </c>
      <c r="H792">
        <v>39.32</v>
      </c>
      <c r="I792">
        <v>8.66</v>
      </c>
      <c r="J792">
        <v>28.65</v>
      </c>
      <c r="K792">
        <v>56</v>
      </c>
      <c r="T792">
        <v>2</v>
      </c>
      <c r="U792">
        <v>1</v>
      </c>
      <c r="V792" t="s">
        <v>269</v>
      </c>
      <c r="W792">
        <v>39</v>
      </c>
      <c r="X792">
        <v>8</v>
      </c>
      <c r="Y792">
        <v>8</v>
      </c>
      <c r="Z792" t="s">
        <v>1443</v>
      </c>
      <c r="AA792" t="s">
        <v>1444</v>
      </c>
      <c r="AB792" t="s">
        <v>272</v>
      </c>
      <c r="AC792" t="s">
        <v>273</v>
      </c>
      <c r="AD792" t="s">
        <v>274</v>
      </c>
      <c r="AE792" t="s">
        <v>1445</v>
      </c>
      <c r="AG792" t="s">
        <v>1446</v>
      </c>
      <c r="AH792">
        <v>0</v>
      </c>
      <c r="AI792">
        <v>195</v>
      </c>
      <c r="AJ792">
        <v>29</v>
      </c>
      <c r="AK792">
        <v>70</v>
      </c>
      <c r="AL792">
        <v>0.71</v>
      </c>
    </row>
    <row r="793" spans="1:38" x14ac:dyDescent="0.3">
      <c r="A793" t="s">
        <v>1441</v>
      </c>
      <c r="B793">
        <v>109120</v>
      </c>
      <c r="C793">
        <v>2</v>
      </c>
      <c r="D793" t="s">
        <v>426</v>
      </c>
      <c r="E793" t="s">
        <v>1442</v>
      </c>
      <c r="F793">
        <v>99</v>
      </c>
      <c r="G793">
        <v>17.29</v>
      </c>
      <c r="H793">
        <v>57.16</v>
      </c>
      <c r="I793">
        <v>12.59</v>
      </c>
      <c r="J793">
        <v>41.64</v>
      </c>
      <c r="K793">
        <v>43</v>
      </c>
      <c r="T793">
        <v>2</v>
      </c>
      <c r="U793">
        <v>1</v>
      </c>
      <c r="V793" t="s">
        <v>269</v>
      </c>
      <c r="W793">
        <v>57</v>
      </c>
      <c r="X793">
        <v>8</v>
      </c>
      <c r="Y793">
        <v>8</v>
      </c>
      <c r="Z793" t="s">
        <v>1443</v>
      </c>
      <c r="AA793" t="s">
        <v>1444</v>
      </c>
      <c r="AB793" t="s">
        <v>272</v>
      </c>
      <c r="AC793" t="s">
        <v>273</v>
      </c>
      <c r="AD793" t="s">
        <v>274</v>
      </c>
      <c r="AE793" t="s">
        <v>1445</v>
      </c>
      <c r="AG793" t="s">
        <v>1446</v>
      </c>
      <c r="AH793">
        <v>0</v>
      </c>
      <c r="AI793">
        <v>195</v>
      </c>
      <c r="AJ793">
        <v>29</v>
      </c>
      <c r="AK793">
        <v>70</v>
      </c>
      <c r="AL793">
        <v>0.71</v>
      </c>
    </row>
    <row r="794" spans="1:38" x14ac:dyDescent="0.3">
      <c r="A794" t="s">
        <v>1441</v>
      </c>
      <c r="B794">
        <v>17087</v>
      </c>
      <c r="C794">
        <v>1</v>
      </c>
      <c r="D794" t="s">
        <v>1447</v>
      </c>
      <c r="E794" t="s">
        <v>1448</v>
      </c>
      <c r="F794">
        <v>659</v>
      </c>
      <c r="G794">
        <v>17.11</v>
      </c>
      <c r="H794">
        <v>56.57</v>
      </c>
      <c r="I794">
        <v>11.43</v>
      </c>
      <c r="J794">
        <v>37.799999999999997</v>
      </c>
      <c r="K794">
        <v>95</v>
      </c>
      <c r="T794">
        <v>1</v>
      </c>
      <c r="U794">
        <v>1</v>
      </c>
      <c r="V794" t="s">
        <v>279</v>
      </c>
      <c r="W794">
        <v>56</v>
      </c>
      <c r="X794">
        <v>18</v>
      </c>
      <c r="Y794">
        <v>13</v>
      </c>
      <c r="Z794" t="s">
        <v>1449</v>
      </c>
      <c r="AA794" t="s">
        <v>1450</v>
      </c>
      <c r="AB794" t="s">
        <v>272</v>
      </c>
      <c r="AC794" t="s">
        <v>273</v>
      </c>
      <c r="AD794" t="s">
        <v>274</v>
      </c>
      <c r="AE794" t="s">
        <v>1445</v>
      </c>
      <c r="AG794" t="s">
        <v>1451</v>
      </c>
      <c r="AH794">
        <v>161</v>
      </c>
      <c r="AI794">
        <v>230</v>
      </c>
      <c r="AJ794">
        <v>20</v>
      </c>
      <c r="AK794">
        <v>523</v>
      </c>
      <c r="AL794">
        <v>0.79</v>
      </c>
    </row>
    <row r="795" spans="1:38" x14ac:dyDescent="0.3">
      <c r="A795" t="s">
        <v>1441</v>
      </c>
      <c r="B795">
        <v>17087</v>
      </c>
      <c r="C795">
        <v>2</v>
      </c>
      <c r="D795" t="s">
        <v>1447</v>
      </c>
      <c r="E795" t="s">
        <v>1448</v>
      </c>
      <c r="F795">
        <v>659</v>
      </c>
      <c r="G795">
        <v>21.44</v>
      </c>
      <c r="H795">
        <v>70.88</v>
      </c>
      <c r="I795">
        <v>14.97</v>
      </c>
      <c r="J795">
        <v>49.5</v>
      </c>
      <c r="K795">
        <v>122</v>
      </c>
      <c r="T795">
        <v>2</v>
      </c>
      <c r="U795">
        <v>1</v>
      </c>
      <c r="V795" t="s">
        <v>279</v>
      </c>
      <c r="W795">
        <v>70</v>
      </c>
      <c r="X795">
        <v>18</v>
      </c>
      <c r="Y795">
        <v>13</v>
      </c>
      <c r="Z795" t="s">
        <v>1449</v>
      </c>
      <c r="AA795" t="s">
        <v>1450</v>
      </c>
      <c r="AB795" t="s">
        <v>272</v>
      </c>
      <c r="AC795" t="s">
        <v>273</v>
      </c>
      <c r="AD795" t="s">
        <v>274</v>
      </c>
      <c r="AE795" t="s">
        <v>1445</v>
      </c>
      <c r="AG795" t="s">
        <v>1451</v>
      </c>
      <c r="AH795">
        <v>161</v>
      </c>
      <c r="AI795">
        <v>230</v>
      </c>
      <c r="AJ795">
        <v>20</v>
      </c>
      <c r="AK795">
        <v>523</v>
      </c>
      <c r="AL795">
        <v>0.79</v>
      </c>
    </row>
    <row r="796" spans="1:38" x14ac:dyDescent="0.3">
      <c r="A796" t="s">
        <v>1441</v>
      </c>
      <c r="B796">
        <v>17087</v>
      </c>
      <c r="C796">
        <v>3</v>
      </c>
      <c r="D796" t="s">
        <v>1447</v>
      </c>
      <c r="E796" t="s">
        <v>1448</v>
      </c>
      <c r="F796">
        <v>659</v>
      </c>
      <c r="G796">
        <v>23.44</v>
      </c>
      <c r="H796">
        <v>77.52</v>
      </c>
      <c r="I796">
        <v>18.13</v>
      </c>
      <c r="J796">
        <v>59.96</v>
      </c>
      <c r="K796">
        <v>281</v>
      </c>
      <c r="T796">
        <v>3</v>
      </c>
      <c r="U796">
        <v>1</v>
      </c>
      <c r="V796" t="s">
        <v>269</v>
      </c>
      <c r="W796">
        <v>77</v>
      </c>
      <c r="X796">
        <v>18</v>
      </c>
      <c r="Y796">
        <v>13</v>
      </c>
      <c r="Z796" t="s">
        <v>1449</v>
      </c>
      <c r="AA796" t="s">
        <v>1450</v>
      </c>
      <c r="AB796" t="s">
        <v>272</v>
      </c>
      <c r="AC796" t="s">
        <v>273</v>
      </c>
      <c r="AD796" t="s">
        <v>274</v>
      </c>
      <c r="AE796" t="s">
        <v>1445</v>
      </c>
      <c r="AG796" t="s">
        <v>1451</v>
      </c>
      <c r="AH796">
        <v>161</v>
      </c>
      <c r="AI796">
        <v>230</v>
      </c>
      <c r="AJ796">
        <v>20</v>
      </c>
      <c r="AK796">
        <v>523</v>
      </c>
      <c r="AL796">
        <v>0.79</v>
      </c>
    </row>
    <row r="797" spans="1:38" x14ac:dyDescent="0.3">
      <c r="A797" t="s">
        <v>1441</v>
      </c>
      <c r="B797">
        <v>101585</v>
      </c>
      <c r="C797">
        <v>1</v>
      </c>
      <c r="D797" t="s">
        <v>1452</v>
      </c>
      <c r="E797" t="s">
        <v>1453</v>
      </c>
      <c r="F797">
        <v>95</v>
      </c>
      <c r="G797">
        <v>34.950000000000003</v>
      </c>
      <c r="H797">
        <v>115.56</v>
      </c>
      <c r="I797">
        <v>25.64</v>
      </c>
      <c r="J797">
        <v>84.77</v>
      </c>
      <c r="K797">
        <v>52</v>
      </c>
      <c r="T797">
        <v>3</v>
      </c>
      <c r="U797">
        <v>2</v>
      </c>
      <c r="V797" t="s">
        <v>269</v>
      </c>
      <c r="W797" t="s">
        <v>157</v>
      </c>
      <c r="X797">
        <v>15</v>
      </c>
      <c r="Y797">
        <v>9</v>
      </c>
      <c r="Z797" t="s">
        <v>1454</v>
      </c>
      <c r="AA797" t="s">
        <v>1455</v>
      </c>
      <c r="AB797" t="s">
        <v>272</v>
      </c>
      <c r="AC797" t="s">
        <v>273</v>
      </c>
      <c r="AD797" t="s">
        <v>274</v>
      </c>
      <c r="AE797" t="s">
        <v>1445</v>
      </c>
      <c r="AG797" t="s">
        <v>1456</v>
      </c>
      <c r="AH797">
        <v>0</v>
      </c>
      <c r="AI797">
        <v>190</v>
      </c>
      <c r="AJ797">
        <v>16</v>
      </c>
      <c r="AK797">
        <v>116</v>
      </c>
      <c r="AL797">
        <v>1.22</v>
      </c>
    </row>
    <row r="798" spans="1:38" x14ac:dyDescent="0.3">
      <c r="A798" t="s">
        <v>1441</v>
      </c>
      <c r="B798">
        <v>101585</v>
      </c>
      <c r="C798">
        <v>2</v>
      </c>
      <c r="D798" t="s">
        <v>1452</v>
      </c>
      <c r="E798" t="s">
        <v>1453</v>
      </c>
      <c r="F798">
        <v>95</v>
      </c>
      <c r="G798">
        <v>34.92</v>
      </c>
      <c r="H798">
        <v>115.47</v>
      </c>
      <c r="I798">
        <v>25.67</v>
      </c>
      <c r="J798">
        <v>84.87</v>
      </c>
      <c r="K798">
        <v>15</v>
      </c>
      <c r="T798">
        <v>3</v>
      </c>
      <c r="U798">
        <v>2</v>
      </c>
      <c r="V798" t="s">
        <v>269</v>
      </c>
      <c r="W798" t="s">
        <v>1457</v>
      </c>
      <c r="X798">
        <v>15</v>
      </c>
      <c r="Y798">
        <v>9</v>
      </c>
      <c r="Z798" t="s">
        <v>1454</v>
      </c>
      <c r="AA798" t="s">
        <v>1455</v>
      </c>
      <c r="AB798" t="s">
        <v>272</v>
      </c>
      <c r="AC798" t="s">
        <v>273</v>
      </c>
      <c r="AD798" t="s">
        <v>274</v>
      </c>
      <c r="AE798" t="s">
        <v>1445</v>
      </c>
      <c r="AG798" t="s">
        <v>1456</v>
      </c>
      <c r="AH798">
        <v>0</v>
      </c>
      <c r="AI798">
        <v>190</v>
      </c>
      <c r="AJ798">
        <v>16</v>
      </c>
      <c r="AK798">
        <v>116</v>
      </c>
      <c r="AL798">
        <v>1.22</v>
      </c>
    </row>
    <row r="799" spans="1:38" x14ac:dyDescent="0.3">
      <c r="A799" t="s">
        <v>1441</v>
      </c>
      <c r="B799">
        <v>101585</v>
      </c>
      <c r="C799">
        <v>3</v>
      </c>
      <c r="D799" t="s">
        <v>1452</v>
      </c>
      <c r="E799" t="s">
        <v>1453</v>
      </c>
      <c r="F799">
        <v>95</v>
      </c>
      <c r="G799">
        <v>35.25</v>
      </c>
      <c r="H799">
        <v>116.55</v>
      </c>
      <c r="I799">
        <v>25.66</v>
      </c>
      <c r="J799">
        <v>84.84</v>
      </c>
      <c r="K799">
        <v>15</v>
      </c>
      <c r="T799">
        <v>3</v>
      </c>
      <c r="U799">
        <v>2</v>
      </c>
      <c r="V799" t="s">
        <v>269</v>
      </c>
      <c r="W799" t="s">
        <v>1458</v>
      </c>
      <c r="X799">
        <v>15</v>
      </c>
      <c r="Y799">
        <v>9</v>
      </c>
      <c r="Z799" t="s">
        <v>1454</v>
      </c>
      <c r="AA799" t="s">
        <v>1455</v>
      </c>
      <c r="AB799" t="s">
        <v>272</v>
      </c>
      <c r="AC799" t="s">
        <v>273</v>
      </c>
      <c r="AD799" t="s">
        <v>274</v>
      </c>
      <c r="AE799" t="s">
        <v>1445</v>
      </c>
      <c r="AG799" t="s">
        <v>1456</v>
      </c>
      <c r="AH799">
        <v>0</v>
      </c>
      <c r="AI799">
        <v>190</v>
      </c>
      <c r="AJ799">
        <v>16</v>
      </c>
      <c r="AK799">
        <v>116</v>
      </c>
      <c r="AL799">
        <v>1.22</v>
      </c>
    </row>
    <row r="800" spans="1:38" x14ac:dyDescent="0.3">
      <c r="A800" t="s">
        <v>1441</v>
      </c>
      <c r="B800">
        <v>101585</v>
      </c>
      <c r="C800">
        <v>4</v>
      </c>
      <c r="D800" t="s">
        <v>1452</v>
      </c>
      <c r="E800" t="s">
        <v>1453</v>
      </c>
      <c r="F800">
        <v>95</v>
      </c>
      <c r="G800">
        <v>35.130000000000003</v>
      </c>
      <c r="H800">
        <v>116.14</v>
      </c>
      <c r="I800">
        <v>25.67</v>
      </c>
      <c r="J800">
        <v>84.87</v>
      </c>
      <c r="K800">
        <v>13</v>
      </c>
      <c r="T800">
        <v>3</v>
      </c>
      <c r="U800">
        <v>2</v>
      </c>
      <c r="V800" t="s">
        <v>269</v>
      </c>
      <c r="W800" t="s">
        <v>1459</v>
      </c>
      <c r="X800">
        <v>15</v>
      </c>
      <c r="Y800">
        <v>9</v>
      </c>
      <c r="Z800" t="s">
        <v>1454</v>
      </c>
      <c r="AA800" t="s">
        <v>1455</v>
      </c>
      <c r="AB800" t="s">
        <v>272</v>
      </c>
      <c r="AC800" t="s">
        <v>273</v>
      </c>
      <c r="AD800" t="s">
        <v>274</v>
      </c>
      <c r="AE800" t="s">
        <v>1445</v>
      </c>
      <c r="AG800" t="s">
        <v>1456</v>
      </c>
      <c r="AH800">
        <v>0</v>
      </c>
      <c r="AI800">
        <v>190</v>
      </c>
      <c r="AJ800">
        <v>16</v>
      </c>
      <c r="AK800">
        <v>116</v>
      </c>
      <c r="AL800">
        <v>1.22</v>
      </c>
    </row>
    <row r="801" spans="1:38" x14ac:dyDescent="0.3">
      <c r="A801" t="s">
        <v>1460</v>
      </c>
      <c r="B801">
        <v>5782</v>
      </c>
      <c r="C801">
        <v>1</v>
      </c>
      <c r="D801" t="s">
        <v>1461</v>
      </c>
      <c r="E801" t="s">
        <v>1462</v>
      </c>
      <c r="F801">
        <v>320</v>
      </c>
      <c r="G801">
        <v>21.15</v>
      </c>
      <c r="H801">
        <v>69.95</v>
      </c>
      <c r="I801">
        <v>17.96</v>
      </c>
      <c r="J801">
        <v>59.39</v>
      </c>
      <c r="K801">
        <v>100</v>
      </c>
      <c r="T801">
        <v>3</v>
      </c>
      <c r="U801">
        <v>1</v>
      </c>
      <c r="V801" t="s">
        <v>269</v>
      </c>
      <c r="W801" t="s">
        <v>124</v>
      </c>
      <c r="X801">
        <v>5</v>
      </c>
      <c r="Y801">
        <v>5</v>
      </c>
      <c r="Z801" t="s">
        <v>1463</v>
      </c>
      <c r="AA801" t="s">
        <v>1464</v>
      </c>
      <c r="AB801" t="s">
        <v>272</v>
      </c>
      <c r="AC801" t="s">
        <v>273</v>
      </c>
      <c r="AD801" t="s">
        <v>274</v>
      </c>
      <c r="AE801" t="s">
        <v>1465</v>
      </c>
      <c r="AG801" t="s">
        <v>1466</v>
      </c>
      <c r="AH801">
        <v>0</v>
      </c>
      <c r="AI801">
        <v>0</v>
      </c>
      <c r="AJ801">
        <v>0</v>
      </c>
      <c r="AK801">
        <v>320</v>
      </c>
      <c r="AL801">
        <v>1</v>
      </c>
    </row>
    <row r="802" spans="1:38" x14ac:dyDescent="0.3">
      <c r="A802" t="s">
        <v>1460</v>
      </c>
      <c r="B802">
        <v>5782</v>
      </c>
      <c r="C802">
        <v>2</v>
      </c>
      <c r="D802" t="s">
        <v>1461</v>
      </c>
      <c r="E802" t="s">
        <v>1462</v>
      </c>
      <c r="F802">
        <v>320</v>
      </c>
      <c r="G802">
        <v>21.18</v>
      </c>
      <c r="H802">
        <v>70.03</v>
      </c>
      <c r="I802">
        <v>17.98</v>
      </c>
      <c r="J802">
        <v>59.47</v>
      </c>
      <c r="K802">
        <v>95</v>
      </c>
      <c r="T802">
        <v>3</v>
      </c>
      <c r="U802">
        <v>1</v>
      </c>
      <c r="V802" t="s">
        <v>269</v>
      </c>
      <c r="W802" t="s">
        <v>125</v>
      </c>
      <c r="X802">
        <v>5</v>
      </c>
      <c r="Y802">
        <v>5</v>
      </c>
      <c r="Z802" t="s">
        <v>1463</v>
      </c>
      <c r="AA802" t="s">
        <v>1464</v>
      </c>
      <c r="AB802" t="s">
        <v>272</v>
      </c>
      <c r="AC802" t="s">
        <v>273</v>
      </c>
      <c r="AD802" t="s">
        <v>274</v>
      </c>
      <c r="AE802" t="s">
        <v>1465</v>
      </c>
      <c r="AG802" t="s">
        <v>1466</v>
      </c>
      <c r="AH802">
        <v>0</v>
      </c>
      <c r="AI802">
        <v>0</v>
      </c>
      <c r="AJ802">
        <v>0</v>
      </c>
      <c r="AK802">
        <v>320</v>
      </c>
      <c r="AL802">
        <v>1</v>
      </c>
    </row>
    <row r="803" spans="1:38" x14ac:dyDescent="0.3">
      <c r="A803" t="s">
        <v>1460</v>
      </c>
      <c r="B803">
        <v>5782</v>
      </c>
      <c r="C803">
        <v>3</v>
      </c>
      <c r="D803" t="s">
        <v>1461</v>
      </c>
      <c r="E803" t="s">
        <v>1462</v>
      </c>
      <c r="F803">
        <v>320</v>
      </c>
      <c r="G803">
        <v>23.05</v>
      </c>
      <c r="H803">
        <v>76.209999999999994</v>
      </c>
      <c r="I803">
        <v>17.989999999999998</v>
      </c>
      <c r="J803">
        <v>59.48</v>
      </c>
      <c r="K803">
        <v>125</v>
      </c>
      <c r="T803">
        <v>3</v>
      </c>
      <c r="U803">
        <v>1</v>
      </c>
      <c r="V803" t="s">
        <v>269</v>
      </c>
      <c r="W803">
        <v>76</v>
      </c>
      <c r="X803">
        <v>5</v>
      </c>
      <c r="Y803">
        <v>5</v>
      </c>
      <c r="Z803" t="s">
        <v>1463</v>
      </c>
      <c r="AA803" t="s">
        <v>1464</v>
      </c>
      <c r="AB803" t="s">
        <v>272</v>
      </c>
      <c r="AC803" t="s">
        <v>273</v>
      </c>
      <c r="AD803" t="s">
        <v>274</v>
      </c>
      <c r="AE803" t="s">
        <v>1465</v>
      </c>
      <c r="AG803" t="s">
        <v>1466</v>
      </c>
      <c r="AH803">
        <v>0</v>
      </c>
      <c r="AI803">
        <v>0</v>
      </c>
      <c r="AJ803">
        <v>0</v>
      </c>
      <c r="AK803">
        <v>320</v>
      </c>
      <c r="AL803">
        <v>1</v>
      </c>
    </row>
    <row r="804" spans="1:38" x14ac:dyDescent="0.3">
      <c r="A804" t="s">
        <v>1460</v>
      </c>
      <c r="B804">
        <v>5790</v>
      </c>
      <c r="C804">
        <v>1</v>
      </c>
      <c r="D804" t="s">
        <v>1467</v>
      </c>
      <c r="E804" t="s">
        <v>1468</v>
      </c>
      <c r="F804">
        <v>684</v>
      </c>
      <c r="G804">
        <v>25.64</v>
      </c>
      <c r="H804">
        <v>84.78</v>
      </c>
      <c r="I804">
        <v>18.14</v>
      </c>
      <c r="J804">
        <v>59.97</v>
      </c>
      <c r="K804">
        <v>240</v>
      </c>
      <c r="T804">
        <v>2</v>
      </c>
      <c r="U804">
        <v>1</v>
      </c>
      <c r="V804" t="s">
        <v>279</v>
      </c>
      <c r="W804">
        <v>84</v>
      </c>
      <c r="X804">
        <v>20</v>
      </c>
      <c r="Y804">
        <v>15</v>
      </c>
      <c r="Z804" t="s">
        <v>1469</v>
      </c>
      <c r="AA804" t="s">
        <v>1470</v>
      </c>
      <c r="AB804" t="s">
        <v>272</v>
      </c>
      <c r="AC804" t="s">
        <v>273</v>
      </c>
      <c r="AD804" t="s">
        <v>274</v>
      </c>
      <c r="AE804" t="s">
        <v>1465</v>
      </c>
      <c r="AG804" t="s">
        <v>1471</v>
      </c>
      <c r="AH804">
        <v>0</v>
      </c>
      <c r="AI804">
        <v>0</v>
      </c>
      <c r="AJ804">
        <v>0</v>
      </c>
      <c r="AK804">
        <v>0</v>
      </c>
      <c r="AL804">
        <v>0</v>
      </c>
    </row>
    <row r="805" spans="1:38" x14ac:dyDescent="0.3">
      <c r="A805" t="s">
        <v>1460</v>
      </c>
      <c r="B805">
        <v>5790</v>
      </c>
      <c r="C805">
        <v>2</v>
      </c>
      <c r="D805" t="s">
        <v>1467</v>
      </c>
      <c r="E805" t="s">
        <v>1468</v>
      </c>
      <c r="F805">
        <v>684</v>
      </c>
      <c r="G805">
        <v>31.29</v>
      </c>
      <c r="H805">
        <v>103.44</v>
      </c>
      <c r="I805">
        <v>25.69</v>
      </c>
      <c r="J805">
        <v>84.93</v>
      </c>
      <c r="K805">
        <v>160</v>
      </c>
      <c r="T805">
        <v>3</v>
      </c>
      <c r="U805">
        <v>2</v>
      </c>
      <c r="V805" t="s">
        <v>269</v>
      </c>
      <c r="W805">
        <v>103</v>
      </c>
      <c r="X805">
        <v>20</v>
      </c>
      <c r="Y805">
        <v>15</v>
      </c>
      <c r="Z805" t="s">
        <v>1469</v>
      </c>
      <c r="AA805" t="s">
        <v>1470</v>
      </c>
      <c r="AB805" t="s">
        <v>272</v>
      </c>
      <c r="AC805" t="s">
        <v>273</v>
      </c>
      <c r="AD805" t="s">
        <v>274</v>
      </c>
      <c r="AE805" t="s">
        <v>1465</v>
      </c>
      <c r="AG805" t="s">
        <v>1471</v>
      </c>
      <c r="AH805">
        <v>0</v>
      </c>
      <c r="AI805">
        <v>0</v>
      </c>
      <c r="AJ805">
        <v>0</v>
      </c>
      <c r="AK805">
        <v>0</v>
      </c>
      <c r="AL805">
        <v>0</v>
      </c>
    </row>
    <row r="806" spans="1:38" x14ac:dyDescent="0.3">
      <c r="A806" t="s">
        <v>1460</v>
      </c>
      <c r="B806">
        <v>5790</v>
      </c>
      <c r="C806">
        <v>3</v>
      </c>
      <c r="D806" t="s">
        <v>1467</v>
      </c>
      <c r="E806" t="s">
        <v>1468</v>
      </c>
      <c r="F806">
        <v>684</v>
      </c>
      <c r="G806">
        <v>31.91</v>
      </c>
      <c r="H806">
        <v>105.52</v>
      </c>
      <c r="I806">
        <v>25.69</v>
      </c>
      <c r="J806">
        <v>84.94</v>
      </c>
      <c r="K806">
        <v>224</v>
      </c>
      <c r="T806">
        <v>3</v>
      </c>
      <c r="U806">
        <v>2</v>
      </c>
      <c r="V806" t="s">
        <v>269</v>
      </c>
      <c r="W806">
        <v>105</v>
      </c>
      <c r="X806">
        <v>20</v>
      </c>
      <c r="Y806">
        <v>15</v>
      </c>
      <c r="Z806" t="s">
        <v>1469</v>
      </c>
      <c r="AA806" t="s">
        <v>1470</v>
      </c>
      <c r="AB806" t="s">
        <v>272</v>
      </c>
      <c r="AC806" t="s">
        <v>273</v>
      </c>
      <c r="AD806" t="s">
        <v>274</v>
      </c>
      <c r="AE806" t="s">
        <v>1465</v>
      </c>
      <c r="AG806" t="s">
        <v>1471</v>
      </c>
      <c r="AH806">
        <v>0</v>
      </c>
      <c r="AI806">
        <v>0</v>
      </c>
      <c r="AJ806">
        <v>0</v>
      </c>
      <c r="AK806">
        <v>0</v>
      </c>
      <c r="AL806">
        <v>0</v>
      </c>
    </row>
    <row r="807" spans="1:38" x14ac:dyDescent="0.3">
      <c r="A807" t="s">
        <v>1460</v>
      </c>
      <c r="B807">
        <v>5790</v>
      </c>
      <c r="C807">
        <v>4</v>
      </c>
      <c r="D807" t="s">
        <v>1467</v>
      </c>
      <c r="E807" t="s">
        <v>1468</v>
      </c>
      <c r="F807">
        <v>684</v>
      </c>
      <c r="G807">
        <v>45.09</v>
      </c>
      <c r="H807">
        <v>149.08000000000001</v>
      </c>
      <c r="I807">
        <v>38.729999999999997</v>
      </c>
      <c r="J807">
        <v>128.04</v>
      </c>
      <c r="K807">
        <v>60</v>
      </c>
      <c r="T807">
        <v>4</v>
      </c>
      <c r="U807">
        <v>2</v>
      </c>
      <c r="V807" t="s">
        <v>269</v>
      </c>
      <c r="W807">
        <v>149</v>
      </c>
      <c r="X807">
        <v>20</v>
      </c>
      <c r="Y807">
        <v>15</v>
      </c>
      <c r="Z807" t="s">
        <v>1469</v>
      </c>
      <c r="AA807" t="s">
        <v>1470</v>
      </c>
      <c r="AB807" t="s">
        <v>272</v>
      </c>
      <c r="AC807" t="s">
        <v>273</v>
      </c>
      <c r="AD807" t="s">
        <v>274</v>
      </c>
      <c r="AE807" t="s">
        <v>1465</v>
      </c>
      <c r="AG807" t="s">
        <v>1471</v>
      </c>
      <c r="AH807">
        <v>0</v>
      </c>
      <c r="AI807">
        <v>0</v>
      </c>
      <c r="AJ807">
        <v>0</v>
      </c>
      <c r="AK807">
        <v>0</v>
      </c>
      <c r="AL807">
        <v>0</v>
      </c>
    </row>
    <row r="808" spans="1:38" x14ac:dyDescent="0.3">
      <c r="A808" t="s">
        <v>1460</v>
      </c>
      <c r="B808">
        <v>101167</v>
      </c>
      <c r="C808">
        <v>1</v>
      </c>
      <c r="D808" t="s">
        <v>1472</v>
      </c>
      <c r="E808" t="s">
        <v>770</v>
      </c>
      <c r="F808">
        <v>165</v>
      </c>
      <c r="G808">
        <v>22.32</v>
      </c>
      <c r="H808">
        <v>73.790000000000006</v>
      </c>
      <c r="I808">
        <v>15.81</v>
      </c>
      <c r="J808">
        <v>52.29</v>
      </c>
      <c r="K808">
        <v>74</v>
      </c>
      <c r="T808">
        <v>2</v>
      </c>
      <c r="U808">
        <v>1</v>
      </c>
      <c r="V808" t="s">
        <v>279</v>
      </c>
      <c r="W808">
        <v>73</v>
      </c>
      <c r="X808">
        <v>11</v>
      </c>
      <c r="Y808">
        <v>5</v>
      </c>
      <c r="Z808" t="s">
        <v>1473</v>
      </c>
      <c r="AA808" t="s">
        <v>1474</v>
      </c>
      <c r="AB808" t="s">
        <v>272</v>
      </c>
      <c r="AC808" t="s">
        <v>273</v>
      </c>
      <c r="AD808" t="s">
        <v>274</v>
      </c>
      <c r="AE808" t="s">
        <v>1465</v>
      </c>
      <c r="AG808" t="s">
        <v>1475</v>
      </c>
      <c r="AH808">
        <v>0</v>
      </c>
      <c r="AI808">
        <v>0</v>
      </c>
      <c r="AJ808">
        <v>0</v>
      </c>
      <c r="AK808">
        <v>0</v>
      </c>
      <c r="AL808">
        <v>0</v>
      </c>
    </row>
    <row r="809" spans="1:38" x14ac:dyDescent="0.3">
      <c r="A809" t="s">
        <v>1460</v>
      </c>
      <c r="B809">
        <v>101167</v>
      </c>
      <c r="C809">
        <v>2</v>
      </c>
      <c r="D809" t="s">
        <v>1472</v>
      </c>
      <c r="E809" t="s">
        <v>770</v>
      </c>
      <c r="F809">
        <v>165</v>
      </c>
      <c r="G809">
        <v>23.06</v>
      </c>
      <c r="H809">
        <v>76.260000000000005</v>
      </c>
      <c r="I809">
        <v>16.55</v>
      </c>
      <c r="J809">
        <v>54.72</v>
      </c>
      <c r="K809">
        <v>91</v>
      </c>
      <c r="T809">
        <v>3</v>
      </c>
      <c r="U809">
        <v>1</v>
      </c>
      <c r="V809" t="s">
        <v>269</v>
      </c>
      <c r="W809">
        <v>76</v>
      </c>
      <c r="X809">
        <v>11</v>
      </c>
      <c r="Y809">
        <v>5</v>
      </c>
      <c r="Z809" t="s">
        <v>1473</v>
      </c>
      <c r="AA809" t="s">
        <v>1474</v>
      </c>
      <c r="AB809" t="s">
        <v>272</v>
      </c>
      <c r="AC809" t="s">
        <v>273</v>
      </c>
      <c r="AD809" t="s">
        <v>274</v>
      </c>
      <c r="AE809" t="s">
        <v>1465</v>
      </c>
      <c r="AG809" t="s">
        <v>1475</v>
      </c>
      <c r="AH809">
        <v>0</v>
      </c>
      <c r="AI809">
        <v>0</v>
      </c>
      <c r="AJ809">
        <v>0</v>
      </c>
      <c r="AK809">
        <v>0</v>
      </c>
      <c r="AL809">
        <v>0</v>
      </c>
    </row>
    <row r="810" spans="1:38" x14ac:dyDescent="0.3">
      <c r="A810" t="s">
        <v>1460</v>
      </c>
      <c r="B810">
        <v>101168</v>
      </c>
      <c r="C810">
        <v>1</v>
      </c>
      <c r="D810" t="s">
        <v>1476</v>
      </c>
      <c r="E810" t="s">
        <v>1477</v>
      </c>
      <c r="F810">
        <v>68</v>
      </c>
      <c r="G810">
        <v>32.82</v>
      </c>
      <c r="H810">
        <v>108.52</v>
      </c>
      <c r="I810">
        <v>25.08</v>
      </c>
      <c r="J810">
        <v>82.94</v>
      </c>
      <c r="K810">
        <v>48</v>
      </c>
      <c r="T810">
        <v>3</v>
      </c>
      <c r="U810">
        <v>2</v>
      </c>
      <c r="V810" t="s">
        <v>269</v>
      </c>
      <c r="W810">
        <v>108</v>
      </c>
      <c r="X810">
        <v>10</v>
      </c>
      <c r="Y810">
        <v>10</v>
      </c>
      <c r="Z810" t="s">
        <v>1478</v>
      </c>
      <c r="AA810" t="s">
        <v>1479</v>
      </c>
      <c r="AB810" t="s">
        <v>272</v>
      </c>
      <c r="AC810" t="s">
        <v>273</v>
      </c>
      <c r="AD810" t="s">
        <v>274</v>
      </c>
      <c r="AE810" t="s">
        <v>1465</v>
      </c>
      <c r="AG810" t="s">
        <v>1480</v>
      </c>
      <c r="AH810">
        <v>0</v>
      </c>
      <c r="AI810">
        <v>0</v>
      </c>
      <c r="AJ810">
        <v>0</v>
      </c>
      <c r="AK810">
        <v>0</v>
      </c>
      <c r="AL810">
        <v>0</v>
      </c>
    </row>
    <row r="811" spans="1:38" x14ac:dyDescent="0.3">
      <c r="A811" t="s">
        <v>1460</v>
      </c>
      <c r="B811">
        <v>101168</v>
      </c>
      <c r="C811">
        <v>2</v>
      </c>
      <c r="D811" t="s">
        <v>1476</v>
      </c>
      <c r="E811" t="s">
        <v>1477</v>
      </c>
      <c r="F811">
        <v>68</v>
      </c>
      <c r="G811">
        <v>32.82</v>
      </c>
      <c r="H811">
        <v>108.52</v>
      </c>
      <c r="I811">
        <v>25.03</v>
      </c>
      <c r="J811">
        <v>82.76</v>
      </c>
      <c r="K811">
        <v>20</v>
      </c>
      <c r="T811">
        <v>3</v>
      </c>
      <c r="U811">
        <v>2</v>
      </c>
      <c r="V811" t="s">
        <v>279</v>
      </c>
      <c r="W811">
        <v>108</v>
      </c>
      <c r="X811">
        <v>10</v>
      </c>
      <c r="Y811">
        <v>10</v>
      </c>
      <c r="Z811" t="s">
        <v>1478</v>
      </c>
      <c r="AA811" t="s">
        <v>1479</v>
      </c>
      <c r="AB811" t="s">
        <v>272</v>
      </c>
      <c r="AC811" t="s">
        <v>273</v>
      </c>
      <c r="AD811" t="s">
        <v>274</v>
      </c>
      <c r="AE811" t="s">
        <v>1465</v>
      </c>
      <c r="AG811" t="s">
        <v>1480</v>
      </c>
      <c r="AH811">
        <v>0</v>
      </c>
      <c r="AI811">
        <v>0</v>
      </c>
      <c r="AJ811">
        <v>0</v>
      </c>
      <c r="AK811">
        <v>0</v>
      </c>
      <c r="AL811">
        <v>0</v>
      </c>
    </row>
    <row r="812" spans="1:38" x14ac:dyDescent="0.3">
      <c r="A812" t="s">
        <v>1460</v>
      </c>
      <c r="B812">
        <v>17291</v>
      </c>
      <c r="C812">
        <v>1</v>
      </c>
      <c r="D812" t="s">
        <v>1481</v>
      </c>
      <c r="E812" t="s">
        <v>1482</v>
      </c>
      <c r="F812">
        <v>720</v>
      </c>
      <c r="G812">
        <v>33.380000000000003</v>
      </c>
      <c r="H812">
        <v>110.35</v>
      </c>
      <c r="I812">
        <v>25.65</v>
      </c>
      <c r="J812">
        <v>84.82</v>
      </c>
      <c r="K812">
        <v>352</v>
      </c>
      <c r="T812">
        <v>3</v>
      </c>
      <c r="U812">
        <v>2</v>
      </c>
      <c r="V812" t="s">
        <v>269</v>
      </c>
      <c r="W812">
        <v>110</v>
      </c>
      <c r="X812">
        <v>12</v>
      </c>
      <c r="Y812">
        <v>10</v>
      </c>
      <c r="Z812" t="s">
        <v>1483</v>
      </c>
      <c r="AA812" t="s">
        <v>1484</v>
      </c>
      <c r="AB812" t="s">
        <v>272</v>
      </c>
      <c r="AC812" t="s">
        <v>273</v>
      </c>
      <c r="AD812" t="s">
        <v>274</v>
      </c>
      <c r="AE812" t="s">
        <v>1465</v>
      </c>
      <c r="AG812" t="s">
        <v>1485</v>
      </c>
      <c r="AH812">
        <v>0</v>
      </c>
      <c r="AI812">
        <v>219</v>
      </c>
      <c r="AJ812">
        <v>24</v>
      </c>
      <c r="AK812">
        <v>937</v>
      </c>
      <c r="AL812">
        <v>1.3</v>
      </c>
    </row>
    <row r="813" spans="1:38" x14ac:dyDescent="0.3">
      <c r="A813" t="s">
        <v>1460</v>
      </c>
      <c r="B813">
        <v>17291</v>
      </c>
      <c r="C813">
        <v>2</v>
      </c>
      <c r="D813" t="s">
        <v>1481</v>
      </c>
      <c r="E813" t="s">
        <v>1482</v>
      </c>
      <c r="F813">
        <v>720</v>
      </c>
      <c r="G813">
        <v>33.78</v>
      </c>
      <c r="H813">
        <v>111.67</v>
      </c>
      <c r="I813">
        <v>25.58</v>
      </c>
      <c r="J813">
        <v>84.59</v>
      </c>
      <c r="K813">
        <v>80</v>
      </c>
      <c r="T813">
        <v>2</v>
      </c>
      <c r="U813">
        <v>2</v>
      </c>
      <c r="V813" t="s">
        <v>269</v>
      </c>
      <c r="W813">
        <v>111</v>
      </c>
      <c r="X813">
        <v>12</v>
      </c>
      <c r="Y813">
        <v>10</v>
      </c>
      <c r="Z813" t="s">
        <v>1483</v>
      </c>
      <c r="AA813" t="s">
        <v>1484</v>
      </c>
      <c r="AB813" t="s">
        <v>272</v>
      </c>
      <c r="AC813" t="s">
        <v>273</v>
      </c>
      <c r="AD813" t="s">
        <v>274</v>
      </c>
      <c r="AE813" t="s">
        <v>1465</v>
      </c>
      <c r="AG813" t="s">
        <v>1485</v>
      </c>
      <c r="AH813">
        <v>0</v>
      </c>
      <c r="AI813">
        <v>219</v>
      </c>
      <c r="AJ813">
        <v>24</v>
      </c>
      <c r="AK813">
        <v>937</v>
      </c>
      <c r="AL813">
        <v>1.3</v>
      </c>
    </row>
    <row r="814" spans="1:38" x14ac:dyDescent="0.3">
      <c r="A814" t="s">
        <v>1460</v>
      </c>
      <c r="B814">
        <v>17291</v>
      </c>
      <c r="C814">
        <v>3</v>
      </c>
      <c r="D814" t="s">
        <v>1481</v>
      </c>
      <c r="E814" t="s">
        <v>1482</v>
      </c>
      <c r="F814">
        <v>720</v>
      </c>
      <c r="G814">
        <v>47.69</v>
      </c>
      <c r="H814">
        <v>157.66</v>
      </c>
      <c r="I814">
        <v>38.130000000000003</v>
      </c>
      <c r="J814">
        <v>126.05</v>
      </c>
      <c r="K814">
        <v>288</v>
      </c>
      <c r="T814">
        <v>4</v>
      </c>
      <c r="U814">
        <v>2</v>
      </c>
      <c r="V814" t="s">
        <v>269</v>
      </c>
      <c r="W814">
        <v>157</v>
      </c>
      <c r="X814">
        <v>12</v>
      </c>
      <c r="Y814">
        <v>10</v>
      </c>
      <c r="Z814" t="s">
        <v>1483</v>
      </c>
      <c r="AA814" t="s">
        <v>1484</v>
      </c>
      <c r="AB814" t="s">
        <v>272</v>
      </c>
      <c r="AC814" t="s">
        <v>273</v>
      </c>
      <c r="AD814" t="s">
        <v>274</v>
      </c>
      <c r="AE814" t="s">
        <v>1465</v>
      </c>
      <c r="AG814" t="s">
        <v>1485</v>
      </c>
      <c r="AH814">
        <v>0</v>
      </c>
      <c r="AI814">
        <v>219</v>
      </c>
      <c r="AJ814">
        <v>24</v>
      </c>
      <c r="AK814">
        <v>937</v>
      </c>
      <c r="AL814">
        <v>1.3</v>
      </c>
    </row>
    <row r="815" spans="1:38" x14ac:dyDescent="0.3">
      <c r="A815" t="s">
        <v>1460</v>
      </c>
      <c r="B815">
        <v>5787</v>
      </c>
      <c r="C815">
        <v>1</v>
      </c>
      <c r="D815" t="s">
        <v>1486</v>
      </c>
      <c r="E815" t="s">
        <v>1487</v>
      </c>
      <c r="F815">
        <v>220</v>
      </c>
      <c r="G815">
        <v>30.78</v>
      </c>
      <c r="H815">
        <v>101.78</v>
      </c>
      <c r="I815">
        <v>25.57</v>
      </c>
      <c r="J815">
        <v>84.54</v>
      </c>
      <c r="K815">
        <v>54</v>
      </c>
      <c r="T815">
        <v>3</v>
      </c>
      <c r="U815">
        <v>2</v>
      </c>
      <c r="V815" t="s">
        <v>269</v>
      </c>
      <c r="W815" t="s">
        <v>142</v>
      </c>
      <c r="X815">
        <v>14</v>
      </c>
      <c r="Y815">
        <v>13</v>
      </c>
      <c r="Z815" t="s">
        <v>1488</v>
      </c>
      <c r="AA815" t="s">
        <v>1489</v>
      </c>
      <c r="AB815" t="s">
        <v>272</v>
      </c>
      <c r="AC815" t="s">
        <v>273</v>
      </c>
      <c r="AD815" t="s">
        <v>274</v>
      </c>
      <c r="AE815" t="s">
        <v>1465</v>
      </c>
      <c r="AG815" t="s">
        <v>1490</v>
      </c>
      <c r="AH815">
        <v>0</v>
      </c>
      <c r="AI815">
        <v>0</v>
      </c>
      <c r="AJ815">
        <v>0</v>
      </c>
      <c r="AK815">
        <v>0</v>
      </c>
      <c r="AL815">
        <v>0</v>
      </c>
    </row>
    <row r="816" spans="1:38" x14ac:dyDescent="0.3">
      <c r="A816" t="s">
        <v>1460</v>
      </c>
      <c r="B816">
        <v>5787</v>
      </c>
      <c r="C816">
        <v>2</v>
      </c>
      <c r="D816" t="s">
        <v>1486</v>
      </c>
      <c r="E816" t="s">
        <v>1487</v>
      </c>
      <c r="F816">
        <v>220</v>
      </c>
      <c r="G816">
        <v>30.97</v>
      </c>
      <c r="H816">
        <v>102.41</v>
      </c>
      <c r="I816">
        <v>25.7</v>
      </c>
      <c r="J816">
        <v>84.98</v>
      </c>
      <c r="K816">
        <v>111</v>
      </c>
      <c r="T816">
        <v>3</v>
      </c>
      <c r="U816">
        <v>2</v>
      </c>
      <c r="V816" t="s">
        <v>269</v>
      </c>
      <c r="W816" t="s">
        <v>135</v>
      </c>
      <c r="X816">
        <v>14</v>
      </c>
      <c r="Y816">
        <v>13</v>
      </c>
      <c r="Z816" t="s">
        <v>1488</v>
      </c>
      <c r="AA816" t="s">
        <v>1489</v>
      </c>
      <c r="AB816" t="s">
        <v>272</v>
      </c>
      <c r="AC816" t="s">
        <v>273</v>
      </c>
      <c r="AD816" t="s">
        <v>274</v>
      </c>
      <c r="AE816" t="s">
        <v>1465</v>
      </c>
      <c r="AG816" t="s">
        <v>1490</v>
      </c>
      <c r="AH816">
        <v>0</v>
      </c>
      <c r="AI816">
        <v>0</v>
      </c>
      <c r="AJ816">
        <v>0</v>
      </c>
      <c r="AK816">
        <v>0</v>
      </c>
      <c r="AL816">
        <v>0</v>
      </c>
    </row>
    <row r="817" spans="1:38" x14ac:dyDescent="0.3">
      <c r="A817" t="s">
        <v>1460</v>
      </c>
      <c r="B817">
        <v>5787</v>
      </c>
      <c r="C817">
        <v>3</v>
      </c>
      <c r="D817" t="s">
        <v>1486</v>
      </c>
      <c r="E817" t="s">
        <v>1487</v>
      </c>
      <c r="F817">
        <v>220</v>
      </c>
      <c r="G817">
        <v>44.94</v>
      </c>
      <c r="H817">
        <v>148.57</v>
      </c>
      <c r="I817">
        <v>38.69</v>
      </c>
      <c r="J817">
        <v>127.92</v>
      </c>
      <c r="K817">
        <v>55</v>
      </c>
      <c r="T817">
        <v>4</v>
      </c>
      <c r="U817">
        <v>2</v>
      </c>
      <c r="V817" t="s">
        <v>269</v>
      </c>
      <c r="W817">
        <v>148</v>
      </c>
      <c r="X817">
        <v>14</v>
      </c>
      <c r="Y817">
        <v>13</v>
      </c>
      <c r="Z817" t="s">
        <v>1488</v>
      </c>
      <c r="AA817" t="s">
        <v>1489</v>
      </c>
      <c r="AB817" t="s">
        <v>272</v>
      </c>
      <c r="AC817" t="s">
        <v>273</v>
      </c>
      <c r="AD817" t="s">
        <v>274</v>
      </c>
      <c r="AE817" t="s">
        <v>1465</v>
      </c>
      <c r="AG817" t="s">
        <v>1490</v>
      </c>
      <c r="AH817">
        <v>0</v>
      </c>
      <c r="AI817">
        <v>0</v>
      </c>
      <c r="AJ817">
        <v>0</v>
      </c>
      <c r="AK817">
        <v>0</v>
      </c>
      <c r="AL817">
        <v>0</v>
      </c>
    </row>
    <row r="818" spans="1:38" x14ac:dyDescent="0.3">
      <c r="A818" t="s">
        <v>1460</v>
      </c>
      <c r="B818">
        <v>5789</v>
      </c>
      <c r="C818">
        <v>1</v>
      </c>
      <c r="D818" t="s">
        <v>1491</v>
      </c>
      <c r="E818" t="s">
        <v>1492</v>
      </c>
      <c r="F818">
        <v>796</v>
      </c>
      <c r="G818">
        <v>23.94</v>
      </c>
      <c r="H818">
        <v>79.150000000000006</v>
      </c>
      <c r="I818">
        <v>18.14</v>
      </c>
      <c r="J818">
        <v>59.99</v>
      </c>
      <c r="K818">
        <v>288</v>
      </c>
      <c r="T818">
        <v>3</v>
      </c>
      <c r="U818">
        <v>1</v>
      </c>
      <c r="V818" t="s">
        <v>269</v>
      </c>
      <c r="W818">
        <v>79</v>
      </c>
      <c r="X818">
        <v>18</v>
      </c>
      <c r="Y818">
        <v>16</v>
      </c>
      <c r="Z818" t="s">
        <v>1493</v>
      </c>
      <c r="AA818" t="s">
        <v>1494</v>
      </c>
      <c r="AB818" t="s">
        <v>272</v>
      </c>
      <c r="AC818" t="s">
        <v>273</v>
      </c>
      <c r="AD818" t="s">
        <v>274</v>
      </c>
      <c r="AE818" t="s">
        <v>1465</v>
      </c>
      <c r="AG818" t="s">
        <v>1495</v>
      </c>
      <c r="AH818">
        <v>0</v>
      </c>
      <c r="AI818">
        <v>238</v>
      </c>
      <c r="AJ818">
        <v>23</v>
      </c>
      <c r="AK818">
        <v>718</v>
      </c>
      <c r="AL818">
        <v>0.9</v>
      </c>
    </row>
    <row r="819" spans="1:38" x14ac:dyDescent="0.3">
      <c r="A819" t="s">
        <v>1460</v>
      </c>
      <c r="B819">
        <v>5789</v>
      </c>
      <c r="C819">
        <v>2</v>
      </c>
      <c r="D819" t="s">
        <v>1491</v>
      </c>
      <c r="E819" t="s">
        <v>1492</v>
      </c>
      <c r="F819">
        <v>796</v>
      </c>
      <c r="G819">
        <v>32.1</v>
      </c>
      <c r="H819">
        <v>106.12</v>
      </c>
      <c r="I819">
        <v>25.68</v>
      </c>
      <c r="J819">
        <v>84.9</v>
      </c>
      <c r="K819">
        <v>336</v>
      </c>
      <c r="T819">
        <v>3</v>
      </c>
      <c r="U819">
        <v>2</v>
      </c>
      <c r="V819" t="s">
        <v>269</v>
      </c>
      <c r="W819">
        <v>106</v>
      </c>
      <c r="X819">
        <v>18</v>
      </c>
      <c r="Y819">
        <v>16</v>
      </c>
      <c r="Z819" t="s">
        <v>1493</v>
      </c>
      <c r="AA819" t="s">
        <v>1494</v>
      </c>
      <c r="AB819" t="s">
        <v>272</v>
      </c>
      <c r="AC819" t="s">
        <v>273</v>
      </c>
      <c r="AD819" t="s">
        <v>274</v>
      </c>
      <c r="AE819" t="s">
        <v>1465</v>
      </c>
      <c r="AG819" t="s">
        <v>1495</v>
      </c>
      <c r="AH819">
        <v>0</v>
      </c>
      <c r="AI819">
        <v>238</v>
      </c>
      <c r="AJ819">
        <v>23</v>
      </c>
      <c r="AK819">
        <v>718</v>
      </c>
      <c r="AL819">
        <v>0.9</v>
      </c>
    </row>
    <row r="820" spans="1:38" x14ac:dyDescent="0.3">
      <c r="A820" t="s">
        <v>1460</v>
      </c>
      <c r="B820">
        <v>5789</v>
      </c>
      <c r="C820">
        <v>3</v>
      </c>
      <c r="D820" t="s">
        <v>1491</v>
      </c>
      <c r="E820" t="s">
        <v>1492</v>
      </c>
      <c r="F820">
        <v>796</v>
      </c>
      <c r="G820">
        <v>45.56</v>
      </c>
      <c r="H820">
        <v>150.63</v>
      </c>
      <c r="I820">
        <v>38.19</v>
      </c>
      <c r="J820">
        <v>126.27</v>
      </c>
      <c r="K820">
        <v>172</v>
      </c>
      <c r="T820">
        <v>4</v>
      </c>
      <c r="U820">
        <v>2</v>
      </c>
      <c r="V820" t="s">
        <v>269</v>
      </c>
      <c r="W820">
        <v>150</v>
      </c>
      <c r="X820">
        <v>18</v>
      </c>
      <c r="Y820">
        <v>16</v>
      </c>
      <c r="Z820" t="s">
        <v>1493</v>
      </c>
      <c r="AA820" t="s">
        <v>1494</v>
      </c>
      <c r="AB820" t="s">
        <v>272</v>
      </c>
      <c r="AC820" t="s">
        <v>273</v>
      </c>
      <c r="AD820" t="s">
        <v>274</v>
      </c>
      <c r="AE820" t="s">
        <v>1465</v>
      </c>
      <c r="AG820" t="s">
        <v>1495</v>
      </c>
      <c r="AH820">
        <v>0</v>
      </c>
      <c r="AI820">
        <v>238</v>
      </c>
      <c r="AJ820">
        <v>23</v>
      </c>
      <c r="AK820">
        <v>718</v>
      </c>
      <c r="AL820">
        <v>0.9</v>
      </c>
    </row>
    <row r="821" spans="1:38" x14ac:dyDescent="0.3">
      <c r="A821" t="s">
        <v>1460</v>
      </c>
      <c r="B821">
        <v>5785</v>
      </c>
      <c r="C821">
        <v>1</v>
      </c>
      <c r="D821" t="s">
        <v>1496</v>
      </c>
      <c r="E821" t="s">
        <v>624</v>
      </c>
      <c r="F821">
        <v>244</v>
      </c>
      <c r="G821">
        <v>21.61</v>
      </c>
      <c r="H821">
        <v>71.44</v>
      </c>
      <c r="I821">
        <v>17.940000000000001</v>
      </c>
      <c r="J821">
        <v>59.31</v>
      </c>
      <c r="K821">
        <v>105</v>
      </c>
      <c r="T821">
        <v>2</v>
      </c>
      <c r="U821">
        <v>1</v>
      </c>
      <c r="V821" t="s">
        <v>279</v>
      </c>
      <c r="W821">
        <v>71</v>
      </c>
      <c r="X821">
        <v>5</v>
      </c>
      <c r="Y821">
        <v>4</v>
      </c>
      <c r="Z821" t="s">
        <v>1497</v>
      </c>
      <c r="AA821" t="s">
        <v>1498</v>
      </c>
      <c r="AB821" t="s">
        <v>272</v>
      </c>
      <c r="AC821" t="s">
        <v>273</v>
      </c>
      <c r="AD821" t="s">
        <v>274</v>
      </c>
      <c r="AE821" t="s">
        <v>1465</v>
      </c>
      <c r="AG821" t="s">
        <v>1499</v>
      </c>
      <c r="AH821">
        <v>0</v>
      </c>
      <c r="AI821">
        <v>0</v>
      </c>
      <c r="AJ821">
        <v>0</v>
      </c>
      <c r="AK821">
        <v>244</v>
      </c>
      <c r="AL821">
        <v>1</v>
      </c>
    </row>
    <row r="822" spans="1:38" x14ac:dyDescent="0.3">
      <c r="A822" t="s">
        <v>1460</v>
      </c>
      <c r="B822">
        <v>5785</v>
      </c>
      <c r="C822">
        <v>2</v>
      </c>
      <c r="D822" t="s">
        <v>1496</v>
      </c>
      <c r="E822" t="s">
        <v>624</v>
      </c>
      <c r="F822">
        <v>244</v>
      </c>
      <c r="G822">
        <v>23.02</v>
      </c>
      <c r="H822">
        <v>76.099999999999994</v>
      </c>
      <c r="I822">
        <v>17.64</v>
      </c>
      <c r="J822">
        <v>58.32</v>
      </c>
      <c r="K822">
        <v>139</v>
      </c>
      <c r="T822">
        <v>3</v>
      </c>
      <c r="U822">
        <v>1</v>
      </c>
      <c r="V822" t="s">
        <v>269</v>
      </c>
      <c r="W822">
        <v>76</v>
      </c>
      <c r="X822">
        <v>5</v>
      </c>
      <c r="Y822">
        <v>4</v>
      </c>
      <c r="Z822" t="s">
        <v>1497</v>
      </c>
      <c r="AA822" t="s">
        <v>1498</v>
      </c>
      <c r="AB822" t="s">
        <v>272</v>
      </c>
      <c r="AC822" t="s">
        <v>273</v>
      </c>
      <c r="AD822" t="s">
        <v>274</v>
      </c>
      <c r="AE822" t="s">
        <v>1465</v>
      </c>
      <c r="AG822" t="s">
        <v>1499</v>
      </c>
      <c r="AH822">
        <v>0</v>
      </c>
      <c r="AI822">
        <v>0</v>
      </c>
      <c r="AJ822">
        <v>0</v>
      </c>
      <c r="AK822">
        <v>244</v>
      </c>
      <c r="AL822">
        <v>1</v>
      </c>
    </row>
    <row r="823" spans="1:38" x14ac:dyDescent="0.3">
      <c r="A823" t="s">
        <v>1460</v>
      </c>
      <c r="B823">
        <v>17290</v>
      </c>
      <c r="C823">
        <v>1</v>
      </c>
      <c r="D823" t="s">
        <v>1500</v>
      </c>
      <c r="E823" t="s">
        <v>1482</v>
      </c>
      <c r="F823">
        <v>644</v>
      </c>
      <c r="G823">
        <v>45.07</v>
      </c>
      <c r="H823">
        <v>149.01</v>
      </c>
      <c r="I823">
        <v>35.659999999999997</v>
      </c>
      <c r="J823">
        <v>117.89</v>
      </c>
      <c r="K823">
        <v>192</v>
      </c>
      <c r="T823">
        <v>4</v>
      </c>
      <c r="U823">
        <v>2</v>
      </c>
      <c r="V823" t="s">
        <v>269</v>
      </c>
      <c r="W823">
        <v>149</v>
      </c>
      <c r="X823">
        <v>12</v>
      </c>
      <c r="Y823">
        <v>11</v>
      </c>
      <c r="Z823" t="s">
        <v>1501</v>
      </c>
      <c r="AA823" t="s">
        <v>1502</v>
      </c>
      <c r="AB823" t="s">
        <v>272</v>
      </c>
      <c r="AC823" t="s">
        <v>273</v>
      </c>
      <c r="AD823" t="s">
        <v>274</v>
      </c>
      <c r="AE823" t="s">
        <v>1465</v>
      </c>
      <c r="AG823" t="s">
        <v>1503</v>
      </c>
      <c r="AH823">
        <v>0</v>
      </c>
      <c r="AI823">
        <v>206</v>
      </c>
      <c r="AJ823">
        <v>21</v>
      </c>
      <c r="AK823">
        <v>1144</v>
      </c>
      <c r="AL823">
        <v>1.78</v>
      </c>
    </row>
    <row r="824" spans="1:38" x14ac:dyDescent="0.3">
      <c r="A824" t="s">
        <v>1460</v>
      </c>
      <c r="B824">
        <v>17290</v>
      </c>
      <c r="C824">
        <v>2</v>
      </c>
      <c r="D824" t="s">
        <v>1500</v>
      </c>
      <c r="E824" t="s">
        <v>1482</v>
      </c>
      <c r="F824">
        <v>644</v>
      </c>
      <c r="G824">
        <v>47.66</v>
      </c>
      <c r="H824">
        <v>157.57</v>
      </c>
      <c r="I824">
        <v>38.130000000000003</v>
      </c>
      <c r="J824">
        <v>126.05</v>
      </c>
      <c r="K824">
        <v>192</v>
      </c>
      <c r="T824">
        <v>4</v>
      </c>
      <c r="U824">
        <v>2</v>
      </c>
      <c r="V824" t="s">
        <v>269</v>
      </c>
      <c r="W824">
        <v>157</v>
      </c>
      <c r="X824">
        <v>12</v>
      </c>
      <c r="Y824">
        <v>11</v>
      </c>
      <c r="Z824" t="s">
        <v>1501</v>
      </c>
      <c r="AA824" t="s">
        <v>1502</v>
      </c>
      <c r="AB824" t="s">
        <v>272</v>
      </c>
      <c r="AC824" t="s">
        <v>273</v>
      </c>
      <c r="AD824" t="s">
        <v>274</v>
      </c>
      <c r="AE824" t="s">
        <v>1465</v>
      </c>
      <c r="AG824" t="s">
        <v>1503</v>
      </c>
      <c r="AH824">
        <v>0</v>
      </c>
      <c r="AI824">
        <v>206</v>
      </c>
      <c r="AJ824">
        <v>21</v>
      </c>
      <c r="AK824">
        <v>1144</v>
      </c>
      <c r="AL824">
        <v>1.78</v>
      </c>
    </row>
    <row r="825" spans="1:38" x14ac:dyDescent="0.3">
      <c r="A825" t="s">
        <v>1460</v>
      </c>
      <c r="B825">
        <v>17290</v>
      </c>
      <c r="C825">
        <v>3</v>
      </c>
      <c r="D825" t="s">
        <v>1500</v>
      </c>
      <c r="E825" t="s">
        <v>1482</v>
      </c>
      <c r="F825">
        <v>644</v>
      </c>
      <c r="G825">
        <v>53.01</v>
      </c>
      <c r="H825">
        <v>175.26</v>
      </c>
      <c r="I825">
        <v>43.74</v>
      </c>
      <c r="J825">
        <v>144.62</v>
      </c>
      <c r="K825">
        <v>166</v>
      </c>
      <c r="T825">
        <v>4</v>
      </c>
      <c r="U825">
        <v>2</v>
      </c>
      <c r="V825" t="s">
        <v>269</v>
      </c>
      <c r="W825" t="s">
        <v>228</v>
      </c>
      <c r="X825">
        <v>12</v>
      </c>
      <c r="Y825">
        <v>11</v>
      </c>
      <c r="Z825" t="s">
        <v>1501</v>
      </c>
      <c r="AA825" t="s">
        <v>1502</v>
      </c>
      <c r="AB825" t="s">
        <v>272</v>
      </c>
      <c r="AC825" t="s">
        <v>273</v>
      </c>
      <c r="AD825" t="s">
        <v>274</v>
      </c>
      <c r="AE825" t="s">
        <v>1465</v>
      </c>
      <c r="AG825" t="s">
        <v>1503</v>
      </c>
      <c r="AH825">
        <v>0</v>
      </c>
      <c r="AI825">
        <v>206</v>
      </c>
      <c r="AJ825">
        <v>21</v>
      </c>
      <c r="AK825">
        <v>1144</v>
      </c>
      <c r="AL825">
        <v>1.78</v>
      </c>
    </row>
    <row r="826" spans="1:38" x14ac:dyDescent="0.3">
      <c r="A826" t="s">
        <v>1460</v>
      </c>
      <c r="B826">
        <v>17290</v>
      </c>
      <c r="C826">
        <v>4</v>
      </c>
      <c r="D826" t="s">
        <v>1500</v>
      </c>
      <c r="E826" t="s">
        <v>1482</v>
      </c>
      <c r="F826">
        <v>644</v>
      </c>
      <c r="G826">
        <v>53.43</v>
      </c>
      <c r="H826">
        <v>176.66</v>
      </c>
      <c r="I826">
        <v>44.11</v>
      </c>
      <c r="J826">
        <v>145.82</v>
      </c>
      <c r="K826">
        <v>94</v>
      </c>
      <c r="T826">
        <v>4</v>
      </c>
      <c r="U826">
        <v>2</v>
      </c>
      <c r="V826" t="s">
        <v>269</v>
      </c>
      <c r="W826" t="s">
        <v>229</v>
      </c>
      <c r="X826">
        <v>12</v>
      </c>
      <c r="Y826">
        <v>11</v>
      </c>
      <c r="Z826" t="s">
        <v>1501</v>
      </c>
      <c r="AA826" t="s">
        <v>1502</v>
      </c>
      <c r="AB826" t="s">
        <v>272</v>
      </c>
      <c r="AC826" t="s">
        <v>273</v>
      </c>
      <c r="AD826" t="s">
        <v>274</v>
      </c>
      <c r="AE826" t="s">
        <v>1465</v>
      </c>
      <c r="AG826" t="s">
        <v>1503</v>
      </c>
      <c r="AH826">
        <v>0</v>
      </c>
      <c r="AI826">
        <v>206</v>
      </c>
      <c r="AJ826">
        <v>21</v>
      </c>
      <c r="AK826">
        <v>1144</v>
      </c>
      <c r="AL826">
        <v>1.78</v>
      </c>
    </row>
    <row r="827" spans="1:38" x14ac:dyDescent="0.3">
      <c r="A827" t="s">
        <v>1460</v>
      </c>
      <c r="B827">
        <v>15044</v>
      </c>
      <c r="C827">
        <v>1</v>
      </c>
      <c r="D827" t="s">
        <v>1504</v>
      </c>
      <c r="E827" t="s">
        <v>1505</v>
      </c>
      <c r="F827">
        <v>248</v>
      </c>
      <c r="G827">
        <v>15.53</v>
      </c>
      <c r="H827">
        <v>51.35</v>
      </c>
      <c r="I827">
        <v>11.45</v>
      </c>
      <c r="J827">
        <v>37.86</v>
      </c>
      <c r="K827">
        <v>34</v>
      </c>
      <c r="T827">
        <v>2</v>
      </c>
      <c r="U827">
        <v>1</v>
      </c>
      <c r="V827" t="s">
        <v>279</v>
      </c>
      <c r="W827">
        <v>51</v>
      </c>
      <c r="X827">
        <v>17</v>
      </c>
      <c r="Y827">
        <v>8</v>
      </c>
      <c r="Z827" t="s">
        <v>1506</v>
      </c>
      <c r="AA827" t="s">
        <v>1507</v>
      </c>
      <c r="AB827" t="s">
        <v>272</v>
      </c>
      <c r="AC827" t="s">
        <v>273</v>
      </c>
      <c r="AD827" t="s">
        <v>274</v>
      </c>
      <c r="AE827" t="s">
        <v>1465</v>
      </c>
      <c r="AG827" t="s">
        <v>1508</v>
      </c>
      <c r="AH827">
        <v>0</v>
      </c>
      <c r="AI827">
        <v>277</v>
      </c>
      <c r="AJ827">
        <v>25</v>
      </c>
      <c r="AK827">
        <v>0</v>
      </c>
      <c r="AL827">
        <v>0</v>
      </c>
    </row>
    <row r="828" spans="1:38" x14ac:dyDescent="0.3">
      <c r="A828" t="s">
        <v>1460</v>
      </c>
      <c r="B828">
        <v>15044</v>
      </c>
      <c r="C828">
        <v>2</v>
      </c>
      <c r="D828" t="s">
        <v>1504</v>
      </c>
      <c r="E828" t="s">
        <v>1505</v>
      </c>
      <c r="F828">
        <v>248</v>
      </c>
      <c r="G828">
        <v>24.14</v>
      </c>
      <c r="H828">
        <v>79.83</v>
      </c>
      <c r="I828">
        <v>17.7</v>
      </c>
      <c r="J828">
        <v>58.54</v>
      </c>
      <c r="K828">
        <v>68</v>
      </c>
      <c r="T828">
        <v>2</v>
      </c>
      <c r="U828">
        <v>1</v>
      </c>
      <c r="V828" t="s">
        <v>279</v>
      </c>
      <c r="W828">
        <v>79</v>
      </c>
      <c r="X828">
        <v>17</v>
      </c>
      <c r="Y828">
        <v>8</v>
      </c>
      <c r="Z828" t="s">
        <v>1506</v>
      </c>
      <c r="AA828" t="s">
        <v>1507</v>
      </c>
      <c r="AB828" t="s">
        <v>272</v>
      </c>
      <c r="AC828" t="s">
        <v>273</v>
      </c>
      <c r="AD828" t="s">
        <v>274</v>
      </c>
      <c r="AE828" t="s">
        <v>1465</v>
      </c>
      <c r="AG828" t="s">
        <v>1508</v>
      </c>
      <c r="AH828">
        <v>0</v>
      </c>
      <c r="AI828">
        <v>277</v>
      </c>
      <c r="AJ828">
        <v>25</v>
      </c>
      <c r="AK828">
        <v>0</v>
      </c>
      <c r="AL828">
        <v>0</v>
      </c>
    </row>
    <row r="829" spans="1:38" x14ac:dyDescent="0.3">
      <c r="A829" t="s">
        <v>1460</v>
      </c>
      <c r="B829">
        <v>15044</v>
      </c>
      <c r="C829">
        <v>3</v>
      </c>
      <c r="D829" t="s">
        <v>1504</v>
      </c>
      <c r="E829" t="s">
        <v>1505</v>
      </c>
      <c r="F829">
        <v>248</v>
      </c>
      <c r="G829">
        <v>29.49</v>
      </c>
      <c r="H829">
        <v>97.49</v>
      </c>
      <c r="I829">
        <v>22.55</v>
      </c>
      <c r="J829">
        <v>74.56</v>
      </c>
      <c r="K829">
        <v>60</v>
      </c>
      <c r="T829">
        <v>3</v>
      </c>
      <c r="U829">
        <v>1</v>
      </c>
      <c r="V829" t="s">
        <v>279</v>
      </c>
      <c r="W829">
        <v>97</v>
      </c>
      <c r="X829">
        <v>17</v>
      </c>
      <c r="Y829">
        <v>8</v>
      </c>
      <c r="Z829" t="s">
        <v>1506</v>
      </c>
      <c r="AA829" t="s">
        <v>1507</v>
      </c>
      <c r="AB829" t="s">
        <v>272</v>
      </c>
      <c r="AC829" t="s">
        <v>273</v>
      </c>
      <c r="AD829" t="s">
        <v>274</v>
      </c>
      <c r="AE829" t="s">
        <v>1465</v>
      </c>
      <c r="AG829" t="s">
        <v>1508</v>
      </c>
      <c r="AH829">
        <v>0</v>
      </c>
      <c r="AI829">
        <v>277</v>
      </c>
      <c r="AJ829">
        <v>25</v>
      </c>
      <c r="AK829">
        <v>0</v>
      </c>
      <c r="AL829">
        <v>0</v>
      </c>
    </row>
    <row r="830" spans="1:38" x14ac:dyDescent="0.3">
      <c r="A830" t="s">
        <v>1460</v>
      </c>
      <c r="B830">
        <v>15044</v>
      </c>
      <c r="C830">
        <v>4</v>
      </c>
      <c r="D830" t="s">
        <v>1504</v>
      </c>
      <c r="E830" t="s">
        <v>1505</v>
      </c>
      <c r="F830">
        <v>248</v>
      </c>
      <c r="G830">
        <v>32.22</v>
      </c>
      <c r="H830">
        <v>106.54</v>
      </c>
      <c r="I830">
        <v>25.62</v>
      </c>
      <c r="J830">
        <v>84.72</v>
      </c>
      <c r="K830">
        <v>38</v>
      </c>
      <c r="T830">
        <v>3</v>
      </c>
      <c r="U830">
        <v>2</v>
      </c>
      <c r="V830" t="s">
        <v>269</v>
      </c>
      <c r="W830">
        <v>106</v>
      </c>
      <c r="X830">
        <v>17</v>
      </c>
      <c r="Y830">
        <v>8</v>
      </c>
      <c r="Z830" t="s">
        <v>1506</v>
      </c>
      <c r="AA830" t="s">
        <v>1507</v>
      </c>
      <c r="AB830" t="s">
        <v>272</v>
      </c>
      <c r="AC830" t="s">
        <v>273</v>
      </c>
      <c r="AD830" t="s">
        <v>274</v>
      </c>
      <c r="AE830" t="s">
        <v>1465</v>
      </c>
      <c r="AG830" t="s">
        <v>1508</v>
      </c>
      <c r="AH830">
        <v>0</v>
      </c>
      <c r="AI830">
        <v>277</v>
      </c>
      <c r="AJ830">
        <v>25</v>
      </c>
      <c r="AK830">
        <v>0</v>
      </c>
      <c r="AL830">
        <v>0</v>
      </c>
    </row>
    <row r="831" spans="1:38" x14ac:dyDescent="0.3">
      <c r="A831" t="s">
        <v>1460</v>
      </c>
      <c r="B831">
        <v>15044</v>
      </c>
      <c r="C831">
        <v>5</v>
      </c>
      <c r="D831" t="s">
        <v>1504</v>
      </c>
      <c r="E831" t="s">
        <v>1505</v>
      </c>
      <c r="F831">
        <v>248</v>
      </c>
      <c r="G831">
        <v>43.39</v>
      </c>
      <c r="H831">
        <v>143.44999999999999</v>
      </c>
      <c r="I831">
        <v>36.299999999999997</v>
      </c>
      <c r="J831">
        <v>120</v>
      </c>
      <c r="K831">
        <v>48</v>
      </c>
      <c r="T831">
        <v>4</v>
      </c>
      <c r="U831">
        <v>2</v>
      </c>
      <c r="V831" t="s">
        <v>269</v>
      </c>
      <c r="W831">
        <v>143</v>
      </c>
      <c r="X831">
        <v>17</v>
      </c>
      <c r="Y831">
        <v>8</v>
      </c>
      <c r="Z831" t="s">
        <v>1506</v>
      </c>
      <c r="AA831" t="s">
        <v>1507</v>
      </c>
      <c r="AB831" t="s">
        <v>272</v>
      </c>
      <c r="AC831" t="s">
        <v>273</v>
      </c>
      <c r="AD831" t="s">
        <v>274</v>
      </c>
      <c r="AE831" t="s">
        <v>1465</v>
      </c>
      <c r="AG831" t="s">
        <v>1508</v>
      </c>
      <c r="AH831">
        <v>0</v>
      </c>
      <c r="AI831">
        <v>277</v>
      </c>
      <c r="AJ831">
        <v>25</v>
      </c>
      <c r="AK831">
        <v>0</v>
      </c>
      <c r="AL831">
        <v>0</v>
      </c>
    </row>
    <row r="832" spans="1:38" x14ac:dyDescent="0.3">
      <c r="A832" t="s">
        <v>1460</v>
      </c>
      <c r="B832">
        <v>15047</v>
      </c>
      <c r="C832">
        <v>1</v>
      </c>
      <c r="D832" t="s">
        <v>1509</v>
      </c>
      <c r="E832" t="s">
        <v>1510</v>
      </c>
      <c r="F832">
        <v>82</v>
      </c>
      <c r="G832">
        <v>11.55</v>
      </c>
      <c r="H832">
        <v>38.21</v>
      </c>
      <c r="I832">
        <v>8.4700000000000006</v>
      </c>
      <c r="J832">
        <v>28.01</v>
      </c>
      <c r="K832">
        <v>17</v>
      </c>
      <c r="T832">
        <v>1</v>
      </c>
      <c r="U832">
        <v>1</v>
      </c>
      <c r="V832" t="s">
        <v>269</v>
      </c>
      <c r="W832">
        <v>38</v>
      </c>
      <c r="X832">
        <v>8</v>
      </c>
      <c r="Y832">
        <v>5</v>
      </c>
      <c r="Z832" t="s">
        <v>1511</v>
      </c>
      <c r="AA832" t="s">
        <v>1512</v>
      </c>
      <c r="AB832" t="s">
        <v>272</v>
      </c>
      <c r="AC832" t="s">
        <v>273</v>
      </c>
      <c r="AD832" t="s">
        <v>274</v>
      </c>
      <c r="AE832" t="s">
        <v>1465</v>
      </c>
      <c r="AG832" t="s">
        <v>1513</v>
      </c>
      <c r="AH832">
        <v>0</v>
      </c>
      <c r="AI832">
        <v>242</v>
      </c>
      <c r="AJ832">
        <v>33</v>
      </c>
      <c r="AK832">
        <v>62</v>
      </c>
      <c r="AL832">
        <v>0.76</v>
      </c>
    </row>
    <row r="833" spans="1:38" x14ac:dyDescent="0.3">
      <c r="A833" t="s">
        <v>1460</v>
      </c>
      <c r="B833">
        <v>15047</v>
      </c>
      <c r="C833">
        <v>2</v>
      </c>
      <c r="D833" t="s">
        <v>1509</v>
      </c>
      <c r="E833" t="s">
        <v>1510</v>
      </c>
      <c r="F833">
        <v>82</v>
      </c>
      <c r="G833">
        <v>16.21</v>
      </c>
      <c r="H833">
        <v>53.6</v>
      </c>
      <c r="I833">
        <v>11.88</v>
      </c>
      <c r="J833">
        <v>39.299999999999997</v>
      </c>
      <c r="K833">
        <v>56</v>
      </c>
      <c r="T833">
        <v>1</v>
      </c>
      <c r="U833">
        <v>1</v>
      </c>
      <c r="V833" t="s">
        <v>269</v>
      </c>
      <c r="W833">
        <v>53</v>
      </c>
      <c r="X833">
        <v>8</v>
      </c>
      <c r="Y833">
        <v>5</v>
      </c>
      <c r="Z833" t="s">
        <v>1511</v>
      </c>
      <c r="AA833" t="s">
        <v>1512</v>
      </c>
      <c r="AB833" t="s">
        <v>272</v>
      </c>
      <c r="AC833" t="s">
        <v>273</v>
      </c>
      <c r="AD833" t="s">
        <v>274</v>
      </c>
      <c r="AE833" t="s">
        <v>1465</v>
      </c>
      <c r="AG833" t="s">
        <v>1513</v>
      </c>
      <c r="AH833">
        <v>0</v>
      </c>
      <c r="AI833">
        <v>242</v>
      </c>
      <c r="AJ833">
        <v>33</v>
      </c>
      <c r="AK833">
        <v>62</v>
      </c>
      <c r="AL833">
        <v>0.76</v>
      </c>
    </row>
    <row r="834" spans="1:38" x14ac:dyDescent="0.3">
      <c r="A834" t="s">
        <v>1460</v>
      </c>
      <c r="B834">
        <v>15047</v>
      </c>
      <c r="C834">
        <v>3</v>
      </c>
      <c r="D834" t="s">
        <v>1509</v>
      </c>
      <c r="E834" t="s">
        <v>1510</v>
      </c>
      <c r="F834">
        <v>82</v>
      </c>
      <c r="G834">
        <v>29.61</v>
      </c>
      <c r="H834">
        <v>97.89</v>
      </c>
      <c r="I834">
        <v>21.71</v>
      </c>
      <c r="J834">
        <v>71.77</v>
      </c>
      <c r="K834">
        <v>9</v>
      </c>
      <c r="T834">
        <v>3</v>
      </c>
      <c r="U834">
        <v>1</v>
      </c>
      <c r="V834" t="s">
        <v>269</v>
      </c>
      <c r="W834">
        <v>97</v>
      </c>
      <c r="X834">
        <v>8</v>
      </c>
      <c r="Y834">
        <v>5</v>
      </c>
      <c r="Z834" t="s">
        <v>1511</v>
      </c>
      <c r="AA834" t="s">
        <v>1512</v>
      </c>
      <c r="AB834" t="s">
        <v>272</v>
      </c>
      <c r="AC834" t="s">
        <v>273</v>
      </c>
      <c r="AD834" t="s">
        <v>274</v>
      </c>
      <c r="AE834" t="s">
        <v>1465</v>
      </c>
      <c r="AG834" t="s">
        <v>1513</v>
      </c>
      <c r="AH834">
        <v>0</v>
      </c>
      <c r="AI834">
        <v>242</v>
      </c>
      <c r="AJ834">
        <v>33</v>
      </c>
      <c r="AK834">
        <v>62</v>
      </c>
      <c r="AL834">
        <v>0.76</v>
      </c>
    </row>
    <row r="835" spans="1:38" x14ac:dyDescent="0.3">
      <c r="A835" t="s">
        <v>1460</v>
      </c>
      <c r="B835">
        <v>5776</v>
      </c>
      <c r="C835">
        <v>1</v>
      </c>
      <c r="D835" t="s">
        <v>1514</v>
      </c>
      <c r="E835" t="s">
        <v>1515</v>
      </c>
      <c r="F835">
        <v>530</v>
      </c>
      <c r="G835">
        <v>25.96</v>
      </c>
      <c r="H835">
        <v>85.83</v>
      </c>
      <c r="I835">
        <v>21.25</v>
      </c>
      <c r="J835">
        <v>70.260000000000005</v>
      </c>
      <c r="K835">
        <v>118</v>
      </c>
      <c r="T835">
        <v>3</v>
      </c>
      <c r="U835">
        <v>1</v>
      </c>
      <c r="V835" t="s">
        <v>279</v>
      </c>
      <c r="W835">
        <v>85</v>
      </c>
      <c r="X835">
        <v>15</v>
      </c>
      <c r="Y835">
        <v>11</v>
      </c>
      <c r="Z835" t="s">
        <v>1516</v>
      </c>
      <c r="AA835" t="s">
        <v>1517</v>
      </c>
      <c r="AB835" t="s">
        <v>272</v>
      </c>
      <c r="AC835" t="s">
        <v>273</v>
      </c>
      <c r="AD835" t="s">
        <v>274</v>
      </c>
      <c r="AE835" t="s">
        <v>1465</v>
      </c>
      <c r="AG835" t="s">
        <v>1518</v>
      </c>
      <c r="AH835">
        <v>0</v>
      </c>
      <c r="AI835">
        <v>0</v>
      </c>
      <c r="AJ835">
        <v>0</v>
      </c>
      <c r="AK835">
        <v>0</v>
      </c>
      <c r="AL835">
        <v>0</v>
      </c>
    </row>
    <row r="836" spans="1:38" x14ac:dyDescent="0.3">
      <c r="A836" t="s">
        <v>1460</v>
      </c>
      <c r="B836">
        <v>5776</v>
      </c>
      <c r="C836">
        <v>2</v>
      </c>
      <c r="D836" t="s">
        <v>1514</v>
      </c>
      <c r="E836" t="s">
        <v>1515</v>
      </c>
      <c r="F836">
        <v>530</v>
      </c>
      <c r="G836">
        <v>29.16</v>
      </c>
      <c r="H836">
        <v>96.42</v>
      </c>
      <c r="I836">
        <v>23.74</v>
      </c>
      <c r="J836">
        <v>78.48</v>
      </c>
      <c r="K836">
        <v>150</v>
      </c>
      <c r="T836">
        <v>3</v>
      </c>
      <c r="U836">
        <v>1</v>
      </c>
      <c r="V836" t="s">
        <v>269</v>
      </c>
      <c r="W836">
        <v>96</v>
      </c>
      <c r="X836">
        <v>15</v>
      </c>
      <c r="Y836">
        <v>11</v>
      </c>
      <c r="Z836" t="s">
        <v>1516</v>
      </c>
      <c r="AA836" t="s">
        <v>1517</v>
      </c>
      <c r="AB836" t="s">
        <v>272</v>
      </c>
      <c r="AC836" t="s">
        <v>273</v>
      </c>
      <c r="AD836" t="s">
        <v>274</v>
      </c>
      <c r="AE836" t="s">
        <v>1465</v>
      </c>
      <c r="AG836" t="s">
        <v>1518</v>
      </c>
      <c r="AH836">
        <v>0</v>
      </c>
      <c r="AI836">
        <v>0</v>
      </c>
      <c r="AJ836">
        <v>0</v>
      </c>
      <c r="AK836">
        <v>0</v>
      </c>
      <c r="AL836">
        <v>0</v>
      </c>
    </row>
    <row r="837" spans="1:38" x14ac:dyDescent="0.3">
      <c r="A837" t="s">
        <v>1460</v>
      </c>
      <c r="B837">
        <v>5776</v>
      </c>
      <c r="C837">
        <v>3</v>
      </c>
      <c r="D837" t="s">
        <v>1514</v>
      </c>
      <c r="E837" t="s">
        <v>1515</v>
      </c>
      <c r="F837">
        <v>530</v>
      </c>
      <c r="G837">
        <v>31.29</v>
      </c>
      <c r="H837">
        <v>103.45</v>
      </c>
      <c r="I837">
        <v>25.6</v>
      </c>
      <c r="J837">
        <v>84.66</v>
      </c>
      <c r="K837">
        <v>262</v>
      </c>
      <c r="T837">
        <v>3</v>
      </c>
      <c r="U837">
        <v>2</v>
      </c>
      <c r="V837" t="s">
        <v>269</v>
      </c>
      <c r="W837">
        <v>103</v>
      </c>
      <c r="X837">
        <v>15</v>
      </c>
      <c r="Y837">
        <v>11</v>
      </c>
      <c r="Z837" t="s">
        <v>1516</v>
      </c>
      <c r="AA837" t="s">
        <v>1517</v>
      </c>
      <c r="AB837" t="s">
        <v>272</v>
      </c>
      <c r="AC837" t="s">
        <v>273</v>
      </c>
      <c r="AD837" t="s">
        <v>274</v>
      </c>
      <c r="AE837" t="s">
        <v>1465</v>
      </c>
      <c r="AG837" t="s">
        <v>1518</v>
      </c>
      <c r="AH837">
        <v>0</v>
      </c>
      <c r="AI837">
        <v>0</v>
      </c>
      <c r="AJ837">
        <v>0</v>
      </c>
      <c r="AK837">
        <v>0</v>
      </c>
      <c r="AL837">
        <v>0</v>
      </c>
    </row>
    <row r="838" spans="1:38" x14ac:dyDescent="0.3">
      <c r="A838" t="s">
        <v>1460</v>
      </c>
      <c r="B838">
        <v>5788</v>
      </c>
      <c r="C838">
        <v>1</v>
      </c>
      <c r="D838" t="s">
        <v>1519</v>
      </c>
      <c r="E838" t="s">
        <v>1520</v>
      </c>
      <c r="F838">
        <v>1911</v>
      </c>
      <c r="G838">
        <v>16.690000000000001</v>
      </c>
      <c r="H838">
        <v>55.18</v>
      </c>
      <c r="I838">
        <v>12.02</v>
      </c>
      <c r="J838">
        <v>39.74</v>
      </c>
      <c r="K838">
        <v>312</v>
      </c>
      <c r="T838">
        <v>2</v>
      </c>
      <c r="U838">
        <v>1</v>
      </c>
      <c r="V838" t="s">
        <v>269</v>
      </c>
      <c r="W838">
        <v>55</v>
      </c>
      <c r="X838">
        <v>23</v>
      </c>
      <c r="Y838">
        <v>11</v>
      </c>
      <c r="Z838" t="s">
        <v>1521</v>
      </c>
      <c r="AA838" t="s">
        <v>1522</v>
      </c>
      <c r="AB838" t="s">
        <v>272</v>
      </c>
      <c r="AC838" t="s">
        <v>273</v>
      </c>
      <c r="AD838" t="s">
        <v>274</v>
      </c>
      <c r="AE838" t="s">
        <v>1465</v>
      </c>
      <c r="AG838" t="s">
        <v>1523</v>
      </c>
      <c r="AH838">
        <v>0</v>
      </c>
      <c r="AI838">
        <v>0</v>
      </c>
      <c r="AJ838">
        <v>0</v>
      </c>
      <c r="AK838">
        <v>1101</v>
      </c>
      <c r="AL838">
        <v>0.57999999999999996</v>
      </c>
    </row>
    <row r="839" spans="1:38" x14ac:dyDescent="0.3">
      <c r="A839" t="s">
        <v>1460</v>
      </c>
      <c r="B839">
        <v>5788</v>
      </c>
      <c r="C839">
        <v>2</v>
      </c>
      <c r="D839" t="s">
        <v>1519</v>
      </c>
      <c r="E839" t="s">
        <v>1520</v>
      </c>
      <c r="F839">
        <v>1911</v>
      </c>
      <c r="G839">
        <v>20.65</v>
      </c>
      <c r="H839">
        <v>68.290000000000006</v>
      </c>
      <c r="I839">
        <v>15.01</v>
      </c>
      <c r="J839">
        <v>49.65</v>
      </c>
      <c r="K839">
        <v>427</v>
      </c>
      <c r="T839">
        <v>2</v>
      </c>
      <c r="U839">
        <v>1</v>
      </c>
      <c r="V839" t="s">
        <v>269</v>
      </c>
      <c r="W839">
        <v>68</v>
      </c>
      <c r="X839">
        <v>23</v>
      </c>
      <c r="Y839">
        <v>11</v>
      </c>
      <c r="Z839" t="s">
        <v>1521</v>
      </c>
      <c r="AA839" t="s">
        <v>1522</v>
      </c>
      <c r="AB839" t="s">
        <v>272</v>
      </c>
      <c r="AC839" t="s">
        <v>273</v>
      </c>
      <c r="AD839" t="s">
        <v>274</v>
      </c>
      <c r="AE839" t="s">
        <v>1465</v>
      </c>
      <c r="AG839" t="s">
        <v>1523</v>
      </c>
      <c r="AH839">
        <v>0</v>
      </c>
      <c r="AI839">
        <v>0</v>
      </c>
      <c r="AJ839">
        <v>0</v>
      </c>
      <c r="AK839">
        <v>1101</v>
      </c>
      <c r="AL839">
        <v>0.57999999999999996</v>
      </c>
    </row>
    <row r="840" spans="1:38" x14ac:dyDescent="0.3">
      <c r="A840" t="s">
        <v>1460</v>
      </c>
      <c r="B840">
        <v>5788</v>
      </c>
      <c r="C840">
        <v>3</v>
      </c>
      <c r="D840" t="s">
        <v>1519</v>
      </c>
      <c r="E840" t="s">
        <v>1520</v>
      </c>
      <c r="F840">
        <v>1911</v>
      </c>
      <c r="G840">
        <v>23.31</v>
      </c>
      <c r="H840">
        <v>77.069999999999993</v>
      </c>
      <c r="I840">
        <v>18.13</v>
      </c>
      <c r="J840">
        <v>59.96</v>
      </c>
      <c r="K840">
        <v>272</v>
      </c>
      <c r="T840">
        <v>3</v>
      </c>
      <c r="U840">
        <v>1</v>
      </c>
      <c r="V840" t="s">
        <v>269</v>
      </c>
      <c r="W840">
        <v>77</v>
      </c>
      <c r="X840">
        <v>23</v>
      </c>
      <c r="Y840">
        <v>11</v>
      </c>
      <c r="Z840" t="s">
        <v>1521</v>
      </c>
      <c r="AA840" t="s">
        <v>1522</v>
      </c>
      <c r="AB840" t="s">
        <v>272</v>
      </c>
      <c r="AC840" t="s">
        <v>273</v>
      </c>
      <c r="AD840" t="s">
        <v>274</v>
      </c>
      <c r="AE840" t="s">
        <v>1465</v>
      </c>
      <c r="AG840" t="s">
        <v>1523</v>
      </c>
      <c r="AH840">
        <v>0</v>
      </c>
      <c r="AI840">
        <v>0</v>
      </c>
      <c r="AJ840">
        <v>0</v>
      </c>
      <c r="AK840">
        <v>1101</v>
      </c>
      <c r="AL840">
        <v>0.57999999999999996</v>
      </c>
    </row>
    <row r="841" spans="1:38" x14ac:dyDescent="0.3">
      <c r="A841" t="s">
        <v>1460</v>
      </c>
      <c r="B841">
        <v>5788</v>
      </c>
      <c r="C841">
        <v>4</v>
      </c>
      <c r="D841" t="s">
        <v>1519</v>
      </c>
      <c r="E841" t="s">
        <v>1520</v>
      </c>
      <c r="F841">
        <v>1911</v>
      </c>
      <c r="G841">
        <v>24.17</v>
      </c>
      <c r="H841">
        <v>79.91</v>
      </c>
      <c r="I841">
        <v>18.14</v>
      </c>
      <c r="J841">
        <v>59.99</v>
      </c>
      <c r="K841">
        <v>900</v>
      </c>
      <c r="T841">
        <v>3</v>
      </c>
      <c r="U841">
        <v>1</v>
      </c>
      <c r="V841" t="s">
        <v>269</v>
      </c>
      <c r="W841">
        <v>79</v>
      </c>
      <c r="X841">
        <v>23</v>
      </c>
      <c r="Y841">
        <v>11</v>
      </c>
      <c r="Z841" t="s">
        <v>1521</v>
      </c>
      <c r="AA841" t="s">
        <v>1522</v>
      </c>
      <c r="AB841" t="s">
        <v>272</v>
      </c>
      <c r="AC841" t="s">
        <v>273</v>
      </c>
      <c r="AD841" t="s">
        <v>274</v>
      </c>
      <c r="AE841" t="s">
        <v>1465</v>
      </c>
      <c r="AG841" t="s">
        <v>1523</v>
      </c>
      <c r="AH841">
        <v>0</v>
      </c>
      <c r="AI841">
        <v>0</v>
      </c>
      <c r="AJ841">
        <v>0</v>
      </c>
      <c r="AK841">
        <v>1101</v>
      </c>
      <c r="AL841">
        <v>0.57999999999999996</v>
      </c>
    </row>
    <row r="842" spans="1:38" x14ac:dyDescent="0.3">
      <c r="A842" t="s">
        <v>1524</v>
      </c>
      <c r="B842">
        <v>25705</v>
      </c>
      <c r="C842">
        <v>1</v>
      </c>
      <c r="D842" t="s">
        <v>1525</v>
      </c>
      <c r="E842" t="s">
        <v>1526</v>
      </c>
      <c r="F842">
        <v>791</v>
      </c>
      <c r="G842">
        <v>34.03</v>
      </c>
      <c r="H842">
        <v>112.51</v>
      </c>
      <c r="I842">
        <v>25.63</v>
      </c>
      <c r="J842">
        <v>84.73</v>
      </c>
      <c r="K842">
        <v>46</v>
      </c>
      <c r="T842">
        <v>3</v>
      </c>
      <c r="U842">
        <v>2</v>
      </c>
      <c r="V842" t="s">
        <v>269</v>
      </c>
      <c r="W842">
        <v>112</v>
      </c>
      <c r="X842">
        <v>12</v>
      </c>
      <c r="Y842">
        <v>10</v>
      </c>
      <c r="Z842" t="s">
        <v>1527</v>
      </c>
      <c r="AA842" t="s">
        <v>1528</v>
      </c>
      <c r="AB842" t="s">
        <v>272</v>
      </c>
      <c r="AC842" t="s">
        <v>273</v>
      </c>
      <c r="AD842" t="s">
        <v>274</v>
      </c>
      <c r="AE842" t="s">
        <v>1529</v>
      </c>
      <c r="AG842" t="s">
        <v>1530</v>
      </c>
      <c r="AH842">
        <v>0</v>
      </c>
      <c r="AI842">
        <v>221</v>
      </c>
      <c r="AJ842">
        <v>23</v>
      </c>
      <c r="AK842">
        <v>1258</v>
      </c>
      <c r="AL842">
        <v>1.59</v>
      </c>
    </row>
    <row r="843" spans="1:38" x14ac:dyDescent="0.3">
      <c r="A843" t="s">
        <v>1524</v>
      </c>
      <c r="B843">
        <v>25705</v>
      </c>
      <c r="C843">
        <v>2</v>
      </c>
      <c r="D843" t="s">
        <v>1525</v>
      </c>
      <c r="E843" t="s">
        <v>1526</v>
      </c>
      <c r="F843">
        <v>791</v>
      </c>
      <c r="G843">
        <v>39.31</v>
      </c>
      <c r="H843">
        <v>129.97999999999999</v>
      </c>
      <c r="I843">
        <v>31.42</v>
      </c>
      <c r="J843">
        <v>103.9</v>
      </c>
      <c r="K843">
        <v>24</v>
      </c>
      <c r="T843">
        <v>3</v>
      </c>
      <c r="U843">
        <v>2</v>
      </c>
      <c r="V843" t="s">
        <v>269</v>
      </c>
      <c r="W843">
        <v>129</v>
      </c>
      <c r="X843">
        <v>12</v>
      </c>
      <c r="Y843">
        <v>10</v>
      </c>
      <c r="Z843" t="s">
        <v>1527</v>
      </c>
      <c r="AA843" t="s">
        <v>1528</v>
      </c>
      <c r="AB843" t="s">
        <v>272</v>
      </c>
      <c r="AC843" t="s">
        <v>273</v>
      </c>
      <c r="AD843" t="s">
        <v>274</v>
      </c>
      <c r="AE843" t="s">
        <v>1529</v>
      </c>
      <c r="AG843" t="s">
        <v>1530</v>
      </c>
      <c r="AH843">
        <v>0</v>
      </c>
      <c r="AI843">
        <v>221</v>
      </c>
      <c r="AJ843">
        <v>23</v>
      </c>
      <c r="AK843">
        <v>1258</v>
      </c>
      <c r="AL843">
        <v>1.59</v>
      </c>
    </row>
    <row r="844" spans="1:38" x14ac:dyDescent="0.3">
      <c r="A844" t="s">
        <v>1524</v>
      </c>
      <c r="B844">
        <v>25705</v>
      </c>
      <c r="C844">
        <v>3</v>
      </c>
      <c r="D844" t="s">
        <v>1525</v>
      </c>
      <c r="E844" t="s">
        <v>1526</v>
      </c>
      <c r="F844">
        <v>791</v>
      </c>
      <c r="G844">
        <v>39.979999999999997</v>
      </c>
      <c r="H844">
        <v>132.16999999999999</v>
      </c>
      <c r="I844">
        <v>31.2</v>
      </c>
      <c r="J844">
        <v>103.16</v>
      </c>
      <c r="K844">
        <v>534</v>
      </c>
      <c r="T844">
        <v>3</v>
      </c>
      <c r="U844">
        <v>2</v>
      </c>
      <c r="V844" t="s">
        <v>269</v>
      </c>
      <c r="W844">
        <v>132</v>
      </c>
      <c r="X844">
        <v>12</v>
      </c>
      <c r="Y844">
        <v>10</v>
      </c>
      <c r="Z844" t="s">
        <v>1527</v>
      </c>
      <c r="AA844" t="s">
        <v>1528</v>
      </c>
      <c r="AB844" t="s">
        <v>272</v>
      </c>
      <c r="AC844" t="s">
        <v>273</v>
      </c>
      <c r="AD844" t="s">
        <v>274</v>
      </c>
      <c r="AE844" t="s">
        <v>1529</v>
      </c>
      <c r="AG844" t="s">
        <v>1530</v>
      </c>
      <c r="AH844">
        <v>0</v>
      </c>
      <c r="AI844">
        <v>221</v>
      </c>
      <c r="AJ844">
        <v>23</v>
      </c>
      <c r="AK844">
        <v>1258</v>
      </c>
      <c r="AL844">
        <v>1.59</v>
      </c>
    </row>
    <row r="845" spans="1:38" x14ac:dyDescent="0.3">
      <c r="A845" t="s">
        <v>1524</v>
      </c>
      <c r="B845">
        <v>25705</v>
      </c>
      <c r="C845">
        <v>4</v>
      </c>
      <c r="D845" t="s">
        <v>1525</v>
      </c>
      <c r="E845" t="s">
        <v>1526</v>
      </c>
      <c r="F845">
        <v>791</v>
      </c>
      <c r="G845">
        <v>49.27</v>
      </c>
      <c r="H845">
        <v>162.9</v>
      </c>
      <c r="I845">
        <v>38.82</v>
      </c>
      <c r="J845">
        <v>128.35</v>
      </c>
      <c r="K845">
        <v>69</v>
      </c>
      <c r="T845">
        <v>4</v>
      </c>
      <c r="U845">
        <v>2</v>
      </c>
      <c r="V845" t="s">
        <v>269</v>
      </c>
      <c r="W845">
        <v>162</v>
      </c>
      <c r="X845">
        <v>12</v>
      </c>
      <c r="Y845">
        <v>10</v>
      </c>
      <c r="Z845" t="s">
        <v>1527</v>
      </c>
      <c r="AA845" t="s">
        <v>1528</v>
      </c>
      <c r="AB845" t="s">
        <v>272</v>
      </c>
      <c r="AC845" t="s">
        <v>273</v>
      </c>
      <c r="AD845" t="s">
        <v>274</v>
      </c>
      <c r="AE845" t="s">
        <v>1529</v>
      </c>
      <c r="AG845" t="s">
        <v>1530</v>
      </c>
      <c r="AH845">
        <v>0</v>
      </c>
      <c r="AI845">
        <v>221</v>
      </c>
      <c r="AJ845">
        <v>23</v>
      </c>
      <c r="AK845">
        <v>1258</v>
      </c>
      <c r="AL845">
        <v>1.59</v>
      </c>
    </row>
    <row r="846" spans="1:38" x14ac:dyDescent="0.3">
      <c r="A846" t="s">
        <v>1524</v>
      </c>
      <c r="B846">
        <v>25705</v>
      </c>
      <c r="C846">
        <v>5</v>
      </c>
      <c r="D846" t="s">
        <v>1525</v>
      </c>
      <c r="E846" t="s">
        <v>1526</v>
      </c>
      <c r="F846">
        <v>791</v>
      </c>
      <c r="G846">
        <v>58.33</v>
      </c>
      <c r="H846">
        <v>192.83</v>
      </c>
      <c r="I846">
        <v>47.66</v>
      </c>
      <c r="J846">
        <v>157.56</v>
      </c>
      <c r="K846">
        <v>118</v>
      </c>
      <c r="T846">
        <v>4</v>
      </c>
      <c r="U846">
        <v>2</v>
      </c>
      <c r="V846" t="s">
        <v>269</v>
      </c>
      <c r="W846">
        <v>192</v>
      </c>
      <c r="X846">
        <v>12</v>
      </c>
      <c r="Y846">
        <v>10</v>
      </c>
      <c r="Z846" t="s">
        <v>1527</v>
      </c>
      <c r="AA846" t="s">
        <v>1528</v>
      </c>
      <c r="AB846" t="s">
        <v>272</v>
      </c>
      <c r="AC846" t="s">
        <v>273</v>
      </c>
      <c r="AD846" t="s">
        <v>274</v>
      </c>
      <c r="AE846" t="s">
        <v>1529</v>
      </c>
      <c r="AG846" t="s">
        <v>1530</v>
      </c>
      <c r="AH846">
        <v>0</v>
      </c>
      <c r="AI846">
        <v>221</v>
      </c>
      <c r="AJ846">
        <v>23</v>
      </c>
      <c r="AK846">
        <v>1258</v>
      </c>
      <c r="AL846">
        <v>1.59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1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" sqref="A14:XFD1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고랑동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275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고랑동 고랑노블레스더센텀('16.09.,260^)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4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267</v>
      </c>
      <c r="B6" s="10" t="s">
        <v>1533</v>
      </c>
      <c r="C6" s="87">
        <v>260</v>
      </c>
      <c r="D6" s="85">
        <v>84.3</v>
      </c>
      <c r="E6" s="86">
        <v>26</v>
      </c>
      <c r="F6" s="85">
        <v>60</v>
      </c>
      <c r="G6" s="17">
        <v>18</v>
      </c>
      <c r="H6" s="87">
        <v>154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59</v>
      </c>
      <c r="T6" s="5" t="s">
        <v>60</v>
      </c>
      <c r="U6" s="9"/>
      <c r="W6" s="85">
        <f t="shared" ref="W6:X8" si="2">D6</f>
        <v>84.3</v>
      </c>
      <c r="X6" s="86">
        <f t="shared" si="2"/>
        <v>26</v>
      </c>
      <c r="Y6" s="91">
        <f t="shared" ref="Y6:Z8" si="3">H6</f>
        <v>154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고랑노블레스더센텀</v>
      </c>
      <c r="AI6" s="86">
        <f t="shared" si="0"/>
        <v>26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267</v>
      </c>
      <c r="B7" s="10" t="s">
        <v>1533</v>
      </c>
      <c r="C7" s="87">
        <v>260</v>
      </c>
      <c r="D7" s="85">
        <v>84.5</v>
      </c>
      <c r="E7" s="86">
        <v>26</v>
      </c>
      <c r="F7" s="85">
        <v>60</v>
      </c>
      <c r="G7" s="17">
        <v>18</v>
      </c>
      <c r="H7" s="87">
        <v>88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63</v>
      </c>
      <c r="U7" s="9"/>
      <c r="W7" s="85">
        <f t="shared" si="2"/>
        <v>84.5</v>
      </c>
      <c r="X7" s="86">
        <f t="shared" si="2"/>
        <v>26</v>
      </c>
      <c r="Y7" s="91">
        <f t="shared" si="3"/>
        <v>88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고랑노블레스더센텀</v>
      </c>
      <c r="AI7" s="86">
        <f t="shared" si="0"/>
        <v>26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 t="s">
        <v>267</v>
      </c>
      <c r="B8" s="10" t="s">
        <v>1533</v>
      </c>
      <c r="C8" s="87">
        <v>260</v>
      </c>
      <c r="D8" s="85">
        <v>84.8</v>
      </c>
      <c r="E8" s="86">
        <v>26</v>
      </c>
      <c r="F8" s="85">
        <v>60</v>
      </c>
      <c r="G8" s="17">
        <v>18</v>
      </c>
      <c r="H8" s="87">
        <v>18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59</v>
      </c>
      <c r="T8" s="5" t="s">
        <v>64</v>
      </c>
      <c r="U8" s="9"/>
      <c r="W8" s="85">
        <f t="shared" si="2"/>
        <v>84.8</v>
      </c>
      <c r="X8" s="86">
        <f t="shared" si="2"/>
        <v>26</v>
      </c>
      <c r="Y8" s="91">
        <f t="shared" si="3"/>
        <v>18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고랑노블레스더센텀</v>
      </c>
      <c r="AI8" s="86">
        <f t="shared" si="0"/>
        <v>26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고랑동 고랑명성('98.10.,297^)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277</v>
      </c>
      <c r="B10" s="10" t="s">
        <v>1534</v>
      </c>
      <c r="C10" s="87">
        <v>297</v>
      </c>
      <c r="D10" s="85">
        <v>50.1</v>
      </c>
      <c r="E10" s="86">
        <v>15</v>
      </c>
      <c r="F10" s="85">
        <v>37.4</v>
      </c>
      <c r="G10" s="17">
        <v>11</v>
      </c>
      <c r="H10" s="87">
        <v>45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1</v>
      </c>
      <c r="R10" s="78">
        <v>1</v>
      </c>
      <c r="S10" s="78" t="s">
        <v>65</v>
      </c>
      <c r="T10" s="5">
        <v>50</v>
      </c>
      <c r="U10" s="9"/>
      <c r="W10" s="85">
        <f t="shared" ref="W10:X14" si="5">D10</f>
        <v>50.1</v>
      </c>
      <c r="X10" s="86">
        <f t="shared" si="5"/>
        <v>15</v>
      </c>
      <c r="Y10" s="91">
        <f t="shared" ref="Y10:Z14" si="6">H10</f>
        <v>45</v>
      </c>
      <c r="Z10" s="89">
        <f t="shared" si="6"/>
        <v>0</v>
      </c>
      <c r="AA10" s="89">
        <f>K10</f>
        <v>0</v>
      </c>
      <c r="AB10" s="89">
        <f t="shared" ref="AB10:AD14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복</v>
      </c>
      <c r="AF10" s="78" t="str">
        <f>Q10&amp;"/"&amp;R10</f>
        <v>1/1</v>
      </c>
      <c r="AH10" s="20" t="str">
        <f t="shared" si="1"/>
        <v>고랑명성</v>
      </c>
      <c r="AI10" s="86">
        <f t="shared" si="0"/>
        <v>15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 t="s">
        <v>277</v>
      </c>
      <c r="B11" s="10" t="s">
        <v>1534</v>
      </c>
      <c r="C11" s="87">
        <v>297</v>
      </c>
      <c r="D11" s="85">
        <v>52.5</v>
      </c>
      <c r="E11" s="86">
        <v>16</v>
      </c>
      <c r="F11" s="85">
        <v>39.200000000000003</v>
      </c>
      <c r="G11" s="17">
        <v>12</v>
      </c>
      <c r="H11" s="87">
        <v>30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1</v>
      </c>
      <c r="R11" s="78">
        <v>1</v>
      </c>
      <c r="S11" s="78" t="s">
        <v>65</v>
      </c>
      <c r="T11" s="5">
        <v>52</v>
      </c>
      <c r="U11" s="9"/>
      <c r="W11" s="85">
        <f t="shared" si="5"/>
        <v>52.5</v>
      </c>
      <c r="X11" s="86">
        <f t="shared" si="5"/>
        <v>16</v>
      </c>
      <c r="Y11" s="91">
        <f t="shared" si="6"/>
        <v>30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>S11</f>
        <v>복</v>
      </c>
      <c r="AF11" s="78" t="str">
        <f>Q11&amp;"/"&amp;R11</f>
        <v>1/1</v>
      </c>
      <c r="AH11" s="20" t="str">
        <f t="shared" si="1"/>
        <v>고랑명성</v>
      </c>
      <c r="AI11" s="86">
        <f t="shared" si="0"/>
        <v>16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277</v>
      </c>
      <c r="B12" s="10" t="s">
        <v>1534</v>
      </c>
      <c r="C12" s="87">
        <v>297</v>
      </c>
      <c r="D12" s="85">
        <v>71.900000000000006</v>
      </c>
      <c r="E12" s="86">
        <v>22</v>
      </c>
      <c r="F12" s="85">
        <v>53.6</v>
      </c>
      <c r="G12" s="17">
        <v>16</v>
      </c>
      <c r="H12" s="87">
        <v>72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1</v>
      </c>
      <c r="S12" s="78" t="s">
        <v>65</v>
      </c>
      <c r="T12" s="5" t="s">
        <v>66</v>
      </c>
      <c r="U12" s="9"/>
      <c r="W12" s="85">
        <f t="shared" si="5"/>
        <v>71.900000000000006</v>
      </c>
      <c r="X12" s="86">
        <f t="shared" si="5"/>
        <v>22</v>
      </c>
      <c r="Y12" s="91">
        <f t="shared" si="6"/>
        <v>72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복</v>
      </c>
      <c r="AF12" s="78" t="str">
        <f>Q12&amp;"/"&amp;R12</f>
        <v>3/1</v>
      </c>
      <c r="AH12" s="20" t="str">
        <f t="shared" si="1"/>
        <v>고랑명성</v>
      </c>
      <c r="AI12" s="86">
        <f t="shared" si="0"/>
        <v>22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 t="s">
        <v>277</v>
      </c>
      <c r="B13" s="10" t="s">
        <v>1534</v>
      </c>
      <c r="C13" s="87">
        <v>297</v>
      </c>
      <c r="D13" s="85">
        <v>74.3</v>
      </c>
      <c r="E13" s="86">
        <v>22</v>
      </c>
      <c r="F13" s="85">
        <v>55.4</v>
      </c>
      <c r="G13" s="17">
        <v>17</v>
      </c>
      <c r="H13" s="87">
        <v>39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1</v>
      </c>
      <c r="S13" s="78" t="s">
        <v>65</v>
      </c>
      <c r="T13" s="5" t="s">
        <v>67</v>
      </c>
      <c r="U13" s="9"/>
      <c r="W13" s="85">
        <f t="shared" si="5"/>
        <v>74.3</v>
      </c>
      <c r="X13" s="86">
        <f t="shared" si="5"/>
        <v>22</v>
      </c>
      <c r="Y13" s="91">
        <f t="shared" si="6"/>
        <v>39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복</v>
      </c>
      <c r="AF13" s="78" t="str">
        <f>Q13&amp;"/"&amp;R13</f>
        <v>3/1</v>
      </c>
      <c r="AH13" s="20" t="str">
        <f t="shared" si="1"/>
        <v>고랑명성</v>
      </c>
      <c r="AI13" s="86">
        <f t="shared" si="0"/>
        <v>22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48" x14ac:dyDescent="0.3">
      <c r="A14" s="9" t="s">
        <v>277</v>
      </c>
      <c r="B14" s="10" t="s">
        <v>1534</v>
      </c>
      <c r="C14" s="87">
        <v>297</v>
      </c>
      <c r="D14" s="85">
        <v>80.2</v>
      </c>
      <c r="E14" s="86">
        <v>24</v>
      </c>
      <c r="F14" s="85">
        <v>59.9</v>
      </c>
      <c r="G14" s="17">
        <v>18</v>
      </c>
      <c r="H14" s="87">
        <v>111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1</v>
      </c>
      <c r="S14" s="78" t="s">
        <v>65</v>
      </c>
      <c r="T14" s="5">
        <v>80</v>
      </c>
      <c r="U14" s="9"/>
      <c r="W14" s="85">
        <f t="shared" si="5"/>
        <v>80.2</v>
      </c>
      <c r="X14" s="86">
        <f t="shared" si="5"/>
        <v>24</v>
      </c>
      <c r="Y14" s="91">
        <f t="shared" si="6"/>
        <v>111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>S14</f>
        <v>복</v>
      </c>
      <c r="AF14" s="78" t="str">
        <f>Q14&amp;"/"&amp;R14</f>
        <v>3/1</v>
      </c>
      <c r="AH14" s="20" t="str">
        <f t="shared" si="1"/>
        <v>고랑명성</v>
      </c>
      <c r="AI14" s="86">
        <f t="shared" si="0"/>
        <v>24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</sheetData>
  <mergeCells count="1">
    <mergeCell ref="AJ1:AN1"/>
  </mergeCells>
  <phoneticPr fontId="2" type="noConversion"/>
  <conditionalFormatting sqref="AV4:AV6">
    <cfRule type="expression" dxfId="9633" priority="158">
      <formula>AV4="X"</formula>
    </cfRule>
    <cfRule type="expression" dxfId="9632" priority="159">
      <formula>AV4="후보"</formula>
    </cfRule>
  </conditionalFormatting>
  <conditionalFormatting sqref="AC1:AC2 AC4:AC6 N4:N5">
    <cfRule type="cellIs" dxfId="9631" priority="155" operator="greaterThan">
      <formula>0.9</formula>
    </cfRule>
    <cfRule type="cellIs" dxfId="9630" priority="156" operator="greaterThan">
      <formula>0.85</formula>
    </cfRule>
  </conditionalFormatting>
  <conditionalFormatting sqref="N1:N2">
    <cfRule type="cellIs" dxfId="9629" priority="153" operator="greaterThan">
      <formula>0.9</formula>
    </cfRule>
    <cfRule type="cellIs" dxfId="9628" priority="154" operator="greaterThan">
      <formula>0.85</formula>
    </cfRule>
  </conditionalFormatting>
  <conditionalFormatting sqref="N6">
    <cfRule type="cellIs" dxfId="9627" priority="151" operator="greaterThan">
      <formula>0.9</formula>
    </cfRule>
    <cfRule type="cellIs" dxfId="9626" priority="152" operator="greaterThan">
      <formula>0.85</formula>
    </cfRule>
  </conditionalFormatting>
  <conditionalFormatting sqref="E6">
    <cfRule type="expression" dxfId="9625" priority="147">
      <formula>AND(IF(OR($Q6=1,$Q6=2),1,0),IF($X6&lt;=20,1,0))</formula>
    </cfRule>
    <cfRule type="expression" dxfId="9624" priority="148">
      <formula>AND(IF($Q6=2,1,0),IF($X6&lt;30,1,0))</formula>
    </cfRule>
    <cfRule type="expression" dxfId="9623" priority="149">
      <formula>AND(IF($Q6=3,1,0),IF($X6&lt;30,1,0))</formula>
    </cfRule>
    <cfRule type="expression" dxfId="9622" priority="150">
      <formula>AND(IF($Q6=3,1,IF($Q6=4,1,0)),IF($F6&lt;=85,1,0))</formula>
    </cfRule>
  </conditionalFormatting>
  <conditionalFormatting sqref="X6">
    <cfRule type="expression" dxfId="9621" priority="143">
      <formula>AND(IF(OR($Q6=1,$Q6=2),1,0),IF($X6&lt;=20,1,0))</formula>
    </cfRule>
    <cfRule type="expression" dxfId="9620" priority="144">
      <formula>AND(IF($Q6=2,1,0),IF($X6&lt;30,1,0))</formula>
    </cfRule>
    <cfRule type="expression" dxfId="9619" priority="145">
      <formula>AND(IF($Q6=3,1,0),IF($X6&lt;30,1,0))</formula>
    </cfRule>
    <cfRule type="expression" dxfId="9618" priority="146">
      <formula>AND(IF($Q6=3,1,IF($Q6=4,1,0)),IF($F6&lt;=85,1,0))</formula>
    </cfRule>
  </conditionalFormatting>
  <conditionalFormatting sqref="AI6">
    <cfRule type="expression" dxfId="9617" priority="139">
      <formula>AND(IF(OR($Q6=1,$Q6=2),1,0),IF($X6&lt;=20,1,0))</formula>
    </cfRule>
    <cfRule type="expression" dxfId="9616" priority="140">
      <formula>AND(IF($Q6=2,1,0),IF($X6&lt;30,1,0))</formula>
    </cfRule>
    <cfRule type="expression" dxfId="9615" priority="141">
      <formula>AND(IF($Q6=3,1,0),IF($X6&lt;30,1,0))</formula>
    </cfRule>
    <cfRule type="expression" dxfId="9614" priority="142">
      <formula>AND(IF($Q6=3,1,IF($Q6=4,1,0)),IF($F6&lt;=85,1,0))</formula>
    </cfRule>
  </conditionalFormatting>
  <conditionalFormatting sqref="AV7">
    <cfRule type="expression" dxfId="9613" priority="137">
      <formula>AV7="X"</formula>
    </cfRule>
    <cfRule type="expression" dxfId="9612" priority="138">
      <formula>AV7="후보"</formula>
    </cfRule>
  </conditionalFormatting>
  <conditionalFormatting sqref="AC7">
    <cfRule type="cellIs" dxfId="9611" priority="134" operator="greaterThan">
      <formula>0.9</formula>
    </cfRule>
    <cfRule type="cellIs" dxfId="9610" priority="135" operator="greaterThan">
      <formula>0.85</formula>
    </cfRule>
  </conditionalFormatting>
  <conditionalFormatting sqref="N7">
    <cfRule type="cellIs" dxfId="9609" priority="132" operator="greaterThan">
      <formula>0.9</formula>
    </cfRule>
    <cfRule type="cellIs" dxfId="9608" priority="133" operator="greaterThan">
      <formula>0.85</formula>
    </cfRule>
  </conditionalFormatting>
  <conditionalFormatting sqref="E7">
    <cfRule type="expression" dxfId="9607" priority="128">
      <formula>AND(IF(OR($Q7=1,$Q7=2),1,0),IF($X7&lt;=20,1,0))</formula>
    </cfRule>
    <cfRule type="expression" dxfId="9606" priority="129">
      <formula>AND(IF($Q7=2,1,0),IF($X7&lt;30,1,0))</formula>
    </cfRule>
    <cfRule type="expression" dxfId="9605" priority="130">
      <formula>AND(IF($Q7=3,1,0),IF($X7&lt;30,1,0))</formula>
    </cfRule>
    <cfRule type="expression" dxfId="9604" priority="131">
      <formula>AND(IF($Q7=3,1,IF($Q7=4,1,0)),IF($F7&lt;=85,1,0))</formula>
    </cfRule>
  </conditionalFormatting>
  <conditionalFormatting sqref="X7">
    <cfRule type="expression" dxfId="9603" priority="124">
      <formula>AND(IF(OR($Q7=1,$Q7=2),1,0),IF($X7&lt;=20,1,0))</formula>
    </cfRule>
    <cfRule type="expression" dxfId="9602" priority="125">
      <formula>AND(IF($Q7=2,1,0),IF($X7&lt;30,1,0))</formula>
    </cfRule>
    <cfRule type="expression" dxfId="9601" priority="126">
      <formula>AND(IF($Q7=3,1,0),IF($X7&lt;30,1,0))</formula>
    </cfRule>
    <cfRule type="expression" dxfId="9600" priority="127">
      <formula>AND(IF($Q7=3,1,IF($Q7=4,1,0)),IF($F7&lt;=85,1,0))</formula>
    </cfRule>
  </conditionalFormatting>
  <conditionalFormatting sqref="AI7">
    <cfRule type="expression" dxfId="9599" priority="120">
      <formula>AND(IF(OR($Q7=1,$Q7=2),1,0),IF($X7&lt;=20,1,0))</formula>
    </cfRule>
    <cfRule type="expression" dxfId="9598" priority="121">
      <formula>AND(IF($Q7=2,1,0),IF($X7&lt;30,1,0))</formula>
    </cfRule>
    <cfRule type="expression" dxfId="9597" priority="122">
      <formula>AND(IF($Q7=3,1,0),IF($X7&lt;30,1,0))</formula>
    </cfRule>
    <cfRule type="expression" dxfId="9596" priority="123">
      <formula>AND(IF($Q7=3,1,IF($Q7=4,1,0)),IF($F7&lt;=85,1,0))</formula>
    </cfRule>
  </conditionalFormatting>
  <conditionalFormatting sqref="AV8">
    <cfRule type="expression" dxfId="9595" priority="118">
      <formula>AV8="X"</formula>
    </cfRule>
    <cfRule type="expression" dxfId="9594" priority="119">
      <formula>AV8="후보"</formula>
    </cfRule>
  </conditionalFormatting>
  <conditionalFormatting sqref="AC8">
    <cfRule type="cellIs" dxfId="9593" priority="115" operator="greaterThan">
      <formula>0.9</formula>
    </cfRule>
    <cfRule type="cellIs" dxfId="9592" priority="116" operator="greaterThan">
      <formula>0.85</formula>
    </cfRule>
  </conditionalFormatting>
  <conditionalFormatting sqref="N8">
    <cfRule type="cellIs" dxfId="9591" priority="113" operator="greaterThan">
      <formula>0.9</formula>
    </cfRule>
    <cfRule type="cellIs" dxfId="9590" priority="114" operator="greaterThan">
      <formula>0.85</formula>
    </cfRule>
  </conditionalFormatting>
  <conditionalFormatting sqref="E8">
    <cfRule type="expression" dxfId="9589" priority="109">
      <formula>AND(IF(OR($Q8=1,$Q8=2),1,0),IF($X8&lt;=20,1,0))</formula>
    </cfRule>
    <cfRule type="expression" dxfId="9588" priority="110">
      <formula>AND(IF($Q8=2,1,0),IF($X8&lt;30,1,0))</formula>
    </cfRule>
    <cfRule type="expression" dxfId="9587" priority="111">
      <formula>AND(IF($Q8=3,1,0),IF($X8&lt;30,1,0))</formula>
    </cfRule>
    <cfRule type="expression" dxfId="9586" priority="112">
      <formula>AND(IF($Q8=3,1,IF($Q8=4,1,0)),IF($F8&lt;=85,1,0))</formula>
    </cfRule>
  </conditionalFormatting>
  <conditionalFormatting sqref="X8">
    <cfRule type="expression" dxfId="9585" priority="105">
      <formula>AND(IF(OR($Q8=1,$Q8=2),1,0),IF($X8&lt;=20,1,0))</formula>
    </cfRule>
    <cfRule type="expression" dxfId="9584" priority="106">
      <formula>AND(IF($Q8=2,1,0),IF($X8&lt;30,1,0))</formula>
    </cfRule>
    <cfRule type="expression" dxfId="9583" priority="107">
      <formula>AND(IF($Q8=3,1,0),IF($X8&lt;30,1,0))</formula>
    </cfRule>
    <cfRule type="expression" dxfId="9582" priority="108">
      <formula>AND(IF($Q8=3,1,IF($Q8=4,1,0)),IF($F8&lt;=85,1,0))</formula>
    </cfRule>
  </conditionalFormatting>
  <conditionalFormatting sqref="AI8">
    <cfRule type="expression" dxfId="9581" priority="101">
      <formula>AND(IF(OR($Q8=1,$Q8=2),1,0),IF($X8&lt;=20,1,0))</formula>
    </cfRule>
    <cfRule type="expression" dxfId="9580" priority="102">
      <formula>AND(IF($Q8=2,1,0),IF($X8&lt;30,1,0))</formula>
    </cfRule>
    <cfRule type="expression" dxfId="9579" priority="103">
      <formula>AND(IF($Q8=3,1,0),IF($X8&lt;30,1,0))</formula>
    </cfRule>
    <cfRule type="expression" dxfId="9578" priority="104">
      <formula>AND(IF($Q8=3,1,IF($Q8=4,1,0)),IF($F8&lt;=85,1,0))</formula>
    </cfRule>
  </conditionalFormatting>
  <conditionalFormatting sqref="AV9">
    <cfRule type="expression" dxfId="9577" priority="99">
      <formula>AV9="X"</formula>
    </cfRule>
    <cfRule type="expression" dxfId="9576" priority="100">
      <formula>AV9="후보"</formula>
    </cfRule>
  </conditionalFormatting>
  <conditionalFormatting sqref="AC9 N9">
    <cfRule type="cellIs" dxfId="9575" priority="96" operator="greaterThan">
      <formula>0.9</formula>
    </cfRule>
    <cfRule type="cellIs" dxfId="9574" priority="97" operator="greaterThan">
      <formula>0.85</formula>
    </cfRule>
  </conditionalFormatting>
  <conditionalFormatting sqref="AV10">
    <cfRule type="expression" dxfId="9573" priority="94">
      <formula>AV10="X"</formula>
    </cfRule>
    <cfRule type="expression" dxfId="9572" priority="95">
      <formula>AV10="후보"</formula>
    </cfRule>
  </conditionalFormatting>
  <conditionalFormatting sqref="AC10">
    <cfRule type="cellIs" dxfId="9571" priority="91" operator="greaterThan">
      <formula>0.9</formula>
    </cfRule>
    <cfRule type="cellIs" dxfId="9570" priority="92" operator="greaterThan">
      <formula>0.85</formula>
    </cfRule>
  </conditionalFormatting>
  <conditionalFormatting sqref="N10">
    <cfRule type="cellIs" dxfId="9569" priority="89" operator="greaterThan">
      <formula>0.9</formula>
    </cfRule>
    <cfRule type="cellIs" dxfId="9568" priority="90" operator="greaterThan">
      <formula>0.85</formula>
    </cfRule>
  </conditionalFormatting>
  <conditionalFormatting sqref="E10">
    <cfRule type="expression" dxfId="9567" priority="85">
      <formula>AND(IF(OR($Q10=1,$Q10=2),1,0),IF($X10&lt;=20,1,0))</formula>
    </cfRule>
    <cfRule type="expression" dxfId="9566" priority="86">
      <formula>AND(IF($Q10=2,1,0),IF($X10&lt;30,1,0))</formula>
    </cfRule>
    <cfRule type="expression" dxfId="9565" priority="87">
      <formula>AND(IF($Q10=3,1,0),IF($X10&lt;30,1,0))</formula>
    </cfRule>
    <cfRule type="expression" dxfId="9564" priority="88">
      <formula>AND(IF($Q10=3,1,IF($Q10=4,1,0)),IF($F10&lt;=85,1,0))</formula>
    </cfRule>
  </conditionalFormatting>
  <conditionalFormatting sqref="X10">
    <cfRule type="expression" dxfId="9563" priority="81">
      <formula>AND(IF(OR($Q10=1,$Q10=2),1,0),IF($X10&lt;=20,1,0))</formula>
    </cfRule>
    <cfRule type="expression" dxfId="9562" priority="82">
      <formula>AND(IF($Q10=2,1,0),IF($X10&lt;30,1,0))</formula>
    </cfRule>
    <cfRule type="expression" dxfId="9561" priority="83">
      <formula>AND(IF($Q10=3,1,0),IF($X10&lt;30,1,0))</formula>
    </cfRule>
    <cfRule type="expression" dxfId="9560" priority="84">
      <formula>AND(IF($Q10=3,1,IF($Q10=4,1,0)),IF($F10&lt;=85,1,0))</formula>
    </cfRule>
  </conditionalFormatting>
  <conditionalFormatting sqref="AI10">
    <cfRule type="expression" dxfId="9559" priority="77">
      <formula>AND(IF(OR($Q10=1,$Q10=2),1,0),IF($X10&lt;=20,1,0))</formula>
    </cfRule>
    <cfRule type="expression" dxfId="9558" priority="78">
      <formula>AND(IF($Q10=2,1,0),IF($X10&lt;30,1,0))</formula>
    </cfRule>
    <cfRule type="expression" dxfId="9557" priority="79">
      <formula>AND(IF($Q10=3,1,0),IF($X10&lt;30,1,0))</formula>
    </cfRule>
    <cfRule type="expression" dxfId="9556" priority="80">
      <formula>AND(IF($Q10=3,1,IF($Q10=4,1,0)),IF($F10&lt;=85,1,0))</formula>
    </cfRule>
  </conditionalFormatting>
  <conditionalFormatting sqref="AV11">
    <cfRule type="expression" dxfId="9555" priority="75">
      <formula>AV11="X"</formula>
    </cfRule>
    <cfRule type="expression" dxfId="9554" priority="76">
      <formula>AV11="후보"</formula>
    </cfRule>
  </conditionalFormatting>
  <conditionalFormatting sqref="AC11">
    <cfRule type="cellIs" dxfId="9553" priority="72" operator="greaterThan">
      <formula>0.9</formula>
    </cfRule>
    <cfRule type="cellIs" dxfId="9552" priority="73" operator="greaterThan">
      <formula>0.85</formula>
    </cfRule>
  </conditionalFormatting>
  <conditionalFormatting sqref="N11">
    <cfRule type="cellIs" dxfId="9551" priority="70" operator="greaterThan">
      <formula>0.9</formula>
    </cfRule>
    <cfRule type="cellIs" dxfId="9550" priority="71" operator="greaterThan">
      <formula>0.85</formula>
    </cfRule>
  </conditionalFormatting>
  <conditionalFormatting sqref="E11">
    <cfRule type="expression" dxfId="9549" priority="66">
      <formula>AND(IF(OR($Q11=1,$Q11=2),1,0),IF($X11&lt;=20,1,0))</formula>
    </cfRule>
    <cfRule type="expression" dxfId="9548" priority="67">
      <formula>AND(IF($Q11=2,1,0),IF($X11&lt;30,1,0))</formula>
    </cfRule>
    <cfRule type="expression" dxfId="9547" priority="68">
      <formula>AND(IF($Q11=3,1,0),IF($X11&lt;30,1,0))</formula>
    </cfRule>
    <cfRule type="expression" dxfId="9546" priority="69">
      <formula>AND(IF($Q11=3,1,IF($Q11=4,1,0)),IF($F11&lt;=85,1,0))</formula>
    </cfRule>
  </conditionalFormatting>
  <conditionalFormatting sqref="X11">
    <cfRule type="expression" dxfId="9545" priority="62">
      <formula>AND(IF(OR($Q11=1,$Q11=2),1,0),IF($X11&lt;=20,1,0))</formula>
    </cfRule>
    <cfRule type="expression" dxfId="9544" priority="63">
      <formula>AND(IF($Q11=2,1,0),IF($X11&lt;30,1,0))</formula>
    </cfRule>
    <cfRule type="expression" dxfId="9543" priority="64">
      <formula>AND(IF($Q11=3,1,0),IF($X11&lt;30,1,0))</formula>
    </cfRule>
    <cfRule type="expression" dxfId="9542" priority="65">
      <formula>AND(IF($Q11=3,1,IF($Q11=4,1,0)),IF($F11&lt;=85,1,0))</formula>
    </cfRule>
  </conditionalFormatting>
  <conditionalFormatting sqref="AI11">
    <cfRule type="expression" dxfId="9541" priority="58">
      <formula>AND(IF(OR($Q11=1,$Q11=2),1,0),IF($X11&lt;=20,1,0))</formula>
    </cfRule>
    <cfRule type="expression" dxfId="9540" priority="59">
      <formula>AND(IF($Q11=2,1,0),IF($X11&lt;30,1,0))</formula>
    </cfRule>
    <cfRule type="expression" dxfId="9539" priority="60">
      <formula>AND(IF($Q11=3,1,0),IF($X11&lt;30,1,0))</formula>
    </cfRule>
    <cfRule type="expression" dxfId="9538" priority="61">
      <formula>AND(IF($Q11=3,1,IF($Q11=4,1,0)),IF($F11&lt;=85,1,0))</formula>
    </cfRule>
  </conditionalFormatting>
  <conditionalFormatting sqref="AV12">
    <cfRule type="expression" dxfId="9537" priority="56">
      <formula>AV12="X"</formula>
    </cfRule>
    <cfRule type="expression" dxfId="9536" priority="57">
      <formula>AV12="후보"</formula>
    </cfRule>
  </conditionalFormatting>
  <conditionalFormatting sqref="AC12">
    <cfRule type="cellIs" dxfId="9535" priority="53" operator="greaterThan">
      <formula>0.9</formula>
    </cfRule>
    <cfRule type="cellIs" dxfId="9534" priority="54" operator="greaterThan">
      <formula>0.85</formula>
    </cfRule>
  </conditionalFormatting>
  <conditionalFormatting sqref="N12">
    <cfRule type="cellIs" dxfId="9533" priority="51" operator="greaterThan">
      <formula>0.9</formula>
    </cfRule>
    <cfRule type="cellIs" dxfId="9532" priority="52" operator="greaterThan">
      <formula>0.85</formula>
    </cfRule>
  </conditionalFormatting>
  <conditionalFormatting sqref="E12">
    <cfRule type="expression" dxfId="9531" priority="47">
      <formula>AND(IF(OR($Q12=1,$Q12=2),1,0),IF($X12&lt;=20,1,0))</formula>
    </cfRule>
    <cfRule type="expression" dxfId="9530" priority="48">
      <formula>AND(IF($Q12=2,1,0),IF($X12&lt;30,1,0))</formula>
    </cfRule>
    <cfRule type="expression" dxfId="9529" priority="49">
      <formula>AND(IF($Q12=3,1,0),IF($X12&lt;30,1,0))</formula>
    </cfRule>
    <cfRule type="expression" dxfId="9528" priority="50">
      <formula>AND(IF($Q12=3,1,IF($Q12=4,1,0)),IF($F12&lt;=85,1,0))</formula>
    </cfRule>
  </conditionalFormatting>
  <conditionalFormatting sqref="X12">
    <cfRule type="expression" dxfId="9527" priority="43">
      <formula>AND(IF(OR($Q12=1,$Q12=2),1,0),IF($X12&lt;=20,1,0))</formula>
    </cfRule>
    <cfRule type="expression" dxfId="9526" priority="44">
      <formula>AND(IF($Q12=2,1,0),IF($X12&lt;30,1,0))</formula>
    </cfRule>
    <cfRule type="expression" dxfId="9525" priority="45">
      <formula>AND(IF($Q12=3,1,0),IF($X12&lt;30,1,0))</formula>
    </cfRule>
    <cfRule type="expression" dxfId="9524" priority="46">
      <formula>AND(IF($Q12=3,1,IF($Q12=4,1,0)),IF($F12&lt;=85,1,0))</formula>
    </cfRule>
  </conditionalFormatting>
  <conditionalFormatting sqref="AI12">
    <cfRule type="expression" dxfId="9523" priority="39">
      <formula>AND(IF(OR($Q12=1,$Q12=2),1,0),IF($X12&lt;=20,1,0))</formula>
    </cfRule>
    <cfRule type="expression" dxfId="9522" priority="40">
      <formula>AND(IF($Q12=2,1,0),IF($X12&lt;30,1,0))</formula>
    </cfRule>
    <cfRule type="expression" dxfId="9521" priority="41">
      <formula>AND(IF($Q12=3,1,0),IF($X12&lt;30,1,0))</formula>
    </cfRule>
    <cfRule type="expression" dxfId="9520" priority="42">
      <formula>AND(IF($Q12=3,1,IF($Q12=4,1,0)),IF($F12&lt;=85,1,0))</formula>
    </cfRule>
  </conditionalFormatting>
  <conditionalFormatting sqref="AV13">
    <cfRule type="expression" dxfId="9519" priority="37">
      <formula>AV13="X"</formula>
    </cfRule>
    <cfRule type="expression" dxfId="9518" priority="38">
      <formula>AV13="후보"</formula>
    </cfRule>
  </conditionalFormatting>
  <conditionalFormatting sqref="AC13">
    <cfRule type="cellIs" dxfId="9517" priority="34" operator="greaterThan">
      <formula>0.9</formula>
    </cfRule>
    <cfRule type="cellIs" dxfId="9516" priority="35" operator="greaterThan">
      <formula>0.85</formula>
    </cfRule>
  </conditionalFormatting>
  <conditionalFormatting sqref="N13">
    <cfRule type="cellIs" dxfId="9515" priority="32" operator="greaterThan">
      <formula>0.9</formula>
    </cfRule>
    <cfRule type="cellIs" dxfId="9514" priority="33" operator="greaterThan">
      <formula>0.85</formula>
    </cfRule>
  </conditionalFormatting>
  <conditionalFormatting sqref="E13">
    <cfRule type="expression" dxfId="9513" priority="28">
      <formula>AND(IF(OR($Q13=1,$Q13=2),1,0),IF($X13&lt;=20,1,0))</formula>
    </cfRule>
    <cfRule type="expression" dxfId="9512" priority="29">
      <formula>AND(IF($Q13=2,1,0),IF($X13&lt;30,1,0))</formula>
    </cfRule>
    <cfRule type="expression" dxfId="9511" priority="30">
      <formula>AND(IF($Q13=3,1,0),IF($X13&lt;30,1,0))</formula>
    </cfRule>
    <cfRule type="expression" dxfId="9510" priority="31">
      <formula>AND(IF($Q13=3,1,IF($Q13=4,1,0)),IF($F13&lt;=85,1,0))</formula>
    </cfRule>
  </conditionalFormatting>
  <conditionalFormatting sqref="X13">
    <cfRule type="expression" dxfId="9509" priority="24">
      <formula>AND(IF(OR($Q13=1,$Q13=2),1,0),IF($X13&lt;=20,1,0))</formula>
    </cfRule>
    <cfRule type="expression" dxfId="9508" priority="25">
      <formula>AND(IF($Q13=2,1,0),IF($X13&lt;30,1,0))</formula>
    </cfRule>
    <cfRule type="expression" dxfId="9507" priority="26">
      <formula>AND(IF($Q13=3,1,0),IF($X13&lt;30,1,0))</formula>
    </cfRule>
    <cfRule type="expression" dxfId="9506" priority="27">
      <formula>AND(IF($Q13=3,1,IF($Q13=4,1,0)),IF($F13&lt;=85,1,0))</formula>
    </cfRule>
  </conditionalFormatting>
  <conditionalFormatting sqref="AI13">
    <cfRule type="expression" dxfId="9505" priority="20">
      <formula>AND(IF(OR($Q13=1,$Q13=2),1,0),IF($X13&lt;=20,1,0))</formula>
    </cfRule>
    <cfRule type="expression" dxfId="9504" priority="21">
      <formula>AND(IF($Q13=2,1,0),IF($X13&lt;30,1,0))</formula>
    </cfRule>
    <cfRule type="expression" dxfId="9503" priority="22">
      <formula>AND(IF($Q13=3,1,0),IF($X13&lt;30,1,0))</formula>
    </cfRule>
    <cfRule type="expression" dxfId="9502" priority="23">
      <formula>AND(IF($Q13=3,1,IF($Q13=4,1,0)),IF($F13&lt;=85,1,0))</formula>
    </cfRule>
  </conditionalFormatting>
  <conditionalFormatting sqref="AV14">
    <cfRule type="expression" dxfId="9501" priority="18">
      <formula>AV14="X"</formula>
    </cfRule>
    <cfRule type="expression" dxfId="9500" priority="19">
      <formula>AV14="후보"</formula>
    </cfRule>
  </conditionalFormatting>
  <conditionalFormatting sqref="AC14">
    <cfRule type="cellIs" dxfId="9499" priority="15" operator="greaterThan">
      <formula>0.9</formula>
    </cfRule>
    <cfRule type="cellIs" dxfId="9498" priority="16" operator="greaterThan">
      <formula>0.85</formula>
    </cfRule>
  </conditionalFormatting>
  <conditionalFormatting sqref="N14">
    <cfRule type="cellIs" dxfId="9497" priority="13" operator="greaterThan">
      <formula>0.9</formula>
    </cfRule>
    <cfRule type="cellIs" dxfId="9496" priority="14" operator="greaterThan">
      <formula>0.85</formula>
    </cfRule>
  </conditionalFormatting>
  <conditionalFormatting sqref="E14">
    <cfRule type="expression" dxfId="9495" priority="9">
      <formula>AND(IF(OR($Q14=1,$Q14=2),1,0),IF($X14&lt;=20,1,0))</formula>
    </cfRule>
    <cfRule type="expression" dxfId="9494" priority="10">
      <formula>AND(IF($Q14=2,1,0),IF($X14&lt;30,1,0))</formula>
    </cfRule>
    <cfRule type="expression" dxfId="9493" priority="11">
      <formula>AND(IF($Q14=3,1,0),IF($X14&lt;30,1,0))</formula>
    </cfRule>
    <cfRule type="expression" dxfId="9492" priority="12">
      <formula>AND(IF($Q14=3,1,IF($Q14=4,1,0)),IF($F14&lt;=85,1,0))</formula>
    </cfRule>
  </conditionalFormatting>
  <conditionalFormatting sqref="X14">
    <cfRule type="expression" dxfId="9491" priority="5">
      <formula>AND(IF(OR($Q14=1,$Q14=2),1,0),IF($X14&lt;=20,1,0))</formula>
    </cfRule>
    <cfRule type="expression" dxfId="9490" priority="6">
      <formula>AND(IF($Q14=2,1,0),IF($X14&lt;30,1,0))</formula>
    </cfRule>
    <cfRule type="expression" dxfId="9489" priority="7">
      <formula>AND(IF($Q14=3,1,0),IF($X14&lt;30,1,0))</formula>
    </cfRule>
    <cfRule type="expression" dxfId="9488" priority="8">
      <formula>AND(IF($Q14=3,1,IF($Q14=4,1,0)),IF($F14&lt;=85,1,0))</formula>
    </cfRule>
  </conditionalFormatting>
  <conditionalFormatting sqref="AI14">
    <cfRule type="expression" dxfId="9487" priority="1">
      <formula>AND(IF(OR($Q14=1,$Q14=2),1,0),IF($X14&lt;=20,1,0))</formula>
    </cfRule>
    <cfRule type="expression" dxfId="9486" priority="2">
      <formula>AND(IF($Q14=2,1,0),IF($X14&lt;30,1,0))</formula>
    </cfRule>
    <cfRule type="expression" dxfId="9485" priority="3">
      <formula>AND(IF($Q14=3,1,0),IF($X14&lt;30,1,0))</formula>
    </cfRule>
    <cfRule type="expression" dxfId="9484" priority="4">
      <formula>AND(IF($Q14=3,1,IF($Q14=4,1,0)),IF($F14&lt;=85,1,0))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금암동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288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금암동 금암중앙하이츠('07.07.,602^)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9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295</v>
      </c>
      <c r="B6" s="10" t="s">
        <v>1535</v>
      </c>
      <c r="C6" s="87">
        <v>602</v>
      </c>
      <c r="D6" s="85">
        <v>82.4</v>
      </c>
      <c r="E6" s="86">
        <v>25</v>
      </c>
      <c r="F6" s="85">
        <v>60</v>
      </c>
      <c r="G6" s="17">
        <v>18</v>
      </c>
      <c r="H6" s="87">
        <v>98</v>
      </c>
      <c r="I6" s="88">
        <v>18000</v>
      </c>
      <c r="J6" s="88" t="s">
        <v>68</v>
      </c>
      <c r="K6" s="88"/>
      <c r="L6" s="88"/>
      <c r="M6" s="89">
        <f t="shared" ref="M6:M12" si="2">I6-K6</f>
        <v>18000</v>
      </c>
      <c r="N6" s="4">
        <f t="shared" ref="N6:N12" si="3">IF(ISERROR(K6/I6),"",K6/I6)</f>
        <v>0</v>
      </c>
      <c r="O6" s="90">
        <f t="shared" ref="O6:O12" si="4">I6/E6</f>
        <v>720</v>
      </c>
      <c r="P6" s="90">
        <f t="shared" ref="P6:P12" si="5">K6/E6</f>
        <v>0</v>
      </c>
      <c r="Q6" s="78">
        <v>3</v>
      </c>
      <c r="R6" s="78">
        <v>2</v>
      </c>
      <c r="S6" s="78" t="s">
        <v>59</v>
      </c>
      <c r="T6" s="5">
        <v>82</v>
      </c>
      <c r="U6" s="9"/>
      <c r="W6" s="85">
        <f t="shared" ref="W6:X12" si="6">D6</f>
        <v>82.4</v>
      </c>
      <c r="X6" s="86">
        <f t="shared" si="6"/>
        <v>25</v>
      </c>
      <c r="Y6" s="91">
        <f t="shared" ref="Y6:Z12" si="7">H6</f>
        <v>98</v>
      </c>
      <c r="Z6" s="89">
        <f t="shared" si="7"/>
        <v>18000</v>
      </c>
      <c r="AA6" s="89">
        <f t="shared" ref="AA6:AA12" si="8">K6</f>
        <v>0</v>
      </c>
      <c r="AB6" s="89">
        <f t="shared" ref="AB6:AD12" si="9">M6</f>
        <v>18000</v>
      </c>
      <c r="AC6" s="4">
        <f t="shared" si="9"/>
        <v>0</v>
      </c>
      <c r="AD6" s="90">
        <f t="shared" si="9"/>
        <v>720</v>
      </c>
      <c r="AE6" s="78" t="str">
        <f t="shared" ref="AE6:AE12" si="10">S6</f>
        <v>계</v>
      </c>
      <c r="AF6" s="78" t="str">
        <f t="shared" ref="AF6:AF12" si="11">Q6&amp;"/"&amp;R6</f>
        <v>3/2</v>
      </c>
      <c r="AH6" s="20" t="str">
        <f t="shared" si="1"/>
        <v>금암중앙하이츠</v>
      </c>
      <c r="AI6" s="86">
        <f t="shared" si="0"/>
        <v>25</v>
      </c>
      <c r="AJ6" s="78" t="str">
        <f t="shared" ref="AJ6:AJ12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2" si="13">IF(AI6="","",$AN$2)</f>
        <v>C</v>
      </c>
      <c r="AO6" s="78" t="str">
        <f t="shared" ref="AO6:AO12" si="14">IF(N6="","",IF(N6&gt;=$AO$1/100,"O","X"))</f>
        <v>X</v>
      </c>
      <c r="AP6" s="78" t="str">
        <f t="shared" ref="AP6:AP12" si="15">IF(I6="","",IF(I6&lt;=$AP$1,"O","X"))</f>
        <v>O</v>
      </c>
      <c r="AQ6" s="78" t="str">
        <f t="shared" ref="AQ6:AQ12" si="16">IF(O6="","",IF(O6&lt;=$AQ$1,"O","X"))</f>
        <v>O</v>
      </c>
      <c r="AR6" s="78" t="str">
        <f t="shared" ref="AR6:AR12" si="17">IF(M6="","",IF(M6&lt;=$AR$1,"O","X"))</f>
        <v>X</v>
      </c>
      <c r="AS6" s="78" t="s">
        <v>2</v>
      </c>
      <c r="AT6" s="78" t="str">
        <f t="shared" ref="AT6:AT12" si="18">IF(OR(F6="",AI6=""),"",IF(AND((F6&lt;=85),(AI6&gt;=15)),"O","X"))</f>
        <v>O</v>
      </c>
      <c r="AU6" s="78" t="str">
        <f t="shared" ref="AU6:AU12" si="19">IF(C6="","",IF(C6&gt;=$AU$1,"O","X"))</f>
        <v>O</v>
      </c>
      <c r="AV6" s="78" t="str">
        <f t="shared" ref="AV6:AV12" si="20">IF(AO6="","",IF(AND(AO6="O",AP6="O",AR6="O",AT6="O",AU6="O"),"후보","X"))</f>
        <v>X</v>
      </c>
    </row>
    <row r="7" spans="1:48" x14ac:dyDescent="0.3">
      <c r="A7" s="9" t="s">
        <v>295</v>
      </c>
      <c r="B7" s="10" t="s">
        <v>1535</v>
      </c>
      <c r="C7" s="87">
        <v>602</v>
      </c>
      <c r="D7" s="85">
        <v>109.5</v>
      </c>
      <c r="E7" s="86">
        <v>33</v>
      </c>
      <c r="F7" s="85">
        <v>84.9</v>
      </c>
      <c r="G7" s="17">
        <v>26</v>
      </c>
      <c r="H7" s="87">
        <v>244</v>
      </c>
      <c r="I7" s="88">
        <v>26500</v>
      </c>
      <c r="J7" s="88" t="s">
        <v>69</v>
      </c>
      <c r="K7" s="88"/>
      <c r="L7" s="88"/>
      <c r="M7" s="89">
        <f t="shared" si="2"/>
        <v>26500</v>
      </c>
      <c r="N7" s="4">
        <f t="shared" si="3"/>
        <v>0</v>
      </c>
      <c r="O7" s="90">
        <f t="shared" si="4"/>
        <v>803.030303030303</v>
      </c>
      <c r="P7" s="90">
        <f t="shared" si="5"/>
        <v>0</v>
      </c>
      <c r="Q7" s="78">
        <v>3</v>
      </c>
      <c r="R7" s="78">
        <v>2</v>
      </c>
      <c r="S7" s="78" t="s">
        <v>59</v>
      </c>
      <c r="T7" s="5" t="s">
        <v>70</v>
      </c>
      <c r="U7" s="9"/>
      <c r="W7" s="85">
        <f t="shared" si="6"/>
        <v>109.5</v>
      </c>
      <c r="X7" s="86">
        <f t="shared" si="6"/>
        <v>33</v>
      </c>
      <c r="Y7" s="91">
        <f t="shared" si="7"/>
        <v>244</v>
      </c>
      <c r="Z7" s="89">
        <f t="shared" si="7"/>
        <v>26500</v>
      </c>
      <c r="AA7" s="89">
        <f t="shared" si="8"/>
        <v>0</v>
      </c>
      <c r="AB7" s="89">
        <f t="shared" si="9"/>
        <v>26500</v>
      </c>
      <c r="AC7" s="4">
        <f t="shared" si="9"/>
        <v>0</v>
      </c>
      <c r="AD7" s="90">
        <f t="shared" si="9"/>
        <v>803.030303030303</v>
      </c>
      <c r="AE7" s="78" t="str">
        <f t="shared" si="10"/>
        <v>계</v>
      </c>
      <c r="AF7" s="78" t="str">
        <f t="shared" si="11"/>
        <v>3/2</v>
      </c>
      <c r="AH7" s="20" t="str">
        <f t="shared" si="1"/>
        <v>금암중앙하이츠</v>
      </c>
      <c r="AI7" s="86">
        <f t="shared" si="0"/>
        <v>33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O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295</v>
      </c>
      <c r="B8" s="10" t="s">
        <v>1535</v>
      </c>
      <c r="C8" s="87">
        <v>602</v>
      </c>
      <c r="D8" s="85">
        <v>109.8</v>
      </c>
      <c r="E8" s="86">
        <v>33</v>
      </c>
      <c r="F8" s="85">
        <v>85</v>
      </c>
      <c r="G8" s="17">
        <v>26</v>
      </c>
      <c r="H8" s="87">
        <v>15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3</v>
      </c>
      <c r="R8" s="78">
        <v>2</v>
      </c>
      <c r="S8" s="78" t="s">
        <v>59</v>
      </c>
      <c r="T8" s="5" t="s">
        <v>71</v>
      </c>
      <c r="U8" s="9"/>
      <c r="W8" s="85">
        <f t="shared" si="6"/>
        <v>109.8</v>
      </c>
      <c r="X8" s="86">
        <f t="shared" si="6"/>
        <v>33</v>
      </c>
      <c r="Y8" s="91">
        <f t="shared" si="7"/>
        <v>15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8" t="str">
        <f t="shared" si="10"/>
        <v>계</v>
      </c>
      <c r="AF8" s="78" t="str">
        <f t="shared" si="11"/>
        <v>3/2</v>
      </c>
      <c r="AH8" s="20" t="str">
        <f t="shared" si="1"/>
        <v>금암중앙하이츠</v>
      </c>
      <c r="AI8" s="86">
        <f t="shared" si="0"/>
        <v>33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/>
      </c>
    </row>
    <row r="9" spans="1:48" x14ac:dyDescent="0.3">
      <c r="A9" s="9" t="s">
        <v>295</v>
      </c>
      <c r="B9" s="10" t="s">
        <v>1535</v>
      </c>
      <c r="C9" s="87">
        <v>602</v>
      </c>
      <c r="D9" s="85">
        <v>110.3</v>
      </c>
      <c r="E9" s="86">
        <v>33</v>
      </c>
      <c r="F9" s="85">
        <v>84.8</v>
      </c>
      <c r="G9" s="17">
        <v>26</v>
      </c>
      <c r="H9" s="87">
        <v>18</v>
      </c>
      <c r="I9" s="88">
        <v>27000</v>
      </c>
      <c r="J9" s="88" t="s">
        <v>72</v>
      </c>
      <c r="K9" s="88"/>
      <c r="L9" s="88"/>
      <c r="M9" s="89">
        <f t="shared" si="2"/>
        <v>27000</v>
      </c>
      <c r="N9" s="4">
        <f t="shared" si="3"/>
        <v>0</v>
      </c>
      <c r="O9" s="90">
        <f t="shared" si="4"/>
        <v>818.18181818181813</v>
      </c>
      <c r="P9" s="90">
        <f t="shared" si="5"/>
        <v>0</v>
      </c>
      <c r="Q9" s="78">
        <v>3</v>
      </c>
      <c r="R9" s="78">
        <v>2</v>
      </c>
      <c r="S9" s="78" t="s">
        <v>59</v>
      </c>
      <c r="T9" s="5" t="s">
        <v>73</v>
      </c>
      <c r="U9" s="9"/>
      <c r="W9" s="85">
        <f t="shared" si="6"/>
        <v>110.3</v>
      </c>
      <c r="X9" s="86">
        <f t="shared" si="6"/>
        <v>33</v>
      </c>
      <c r="Y9" s="91">
        <f t="shared" si="7"/>
        <v>18</v>
      </c>
      <c r="Z9" s="89">
        <f t="shared" si="7"/>
        <v>27000</v>
      </c>
      <c r="AA9" s="89">
        <f t="shared" si="8"/>
        <v>0</v>
      </c>
      <c r="AB9" s="89">
        <f t="shared" si="9"/>
        <v>27000</v>
      </c>
      <c r="AC9" s="4">
        <f t="shared" si="9"/>
        <v>0</v>
      </c>
      <c r="AD9" s="90">
        <f t="shared" si="9"/>
        <v>818.18181818181813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금암중앙하이츠</v>
      </c>
      <c r="AI9" s="86">
        <f t="shared" si="0"/>
        <v>33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X</v>
      </c>
      <c r="AP9" s="78" t="str">
        <f t="shared" si="15"/>
        <v>O</v>
      </c>
      <c r="AQ9" s="78" t="str">
        <f t="shared" si="16"/>
        <v>O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295</v>
      </c>
      <c r="B10" s="10" t="s">
        <v>1535</v>
      </c>
      <c r="C10" s="87">
        <v>602</v>
      </c>
      <c r="D10" s="85">
        <v>151.6</v>
      </c>
      <c r="E10" s="86">
        <v>46</v>
      </c>
      <c r="F10" s="85">
        <v>123.3</v>
      </c>
      <c r="G10" s="17">
        <v>37</v>
      </c>
      <c r="H10" s="87">
        <v>25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4</v>
      </c>
      <c r="R10" s="78">
        <v>2</v>
      </c>
      <c r="S10" s="78" t="s">
        <v>59</v>
      </c>
      <c r="T10" s="5" t="s">
        <v>74</v>
      </c>
      <c r="U10" s="9"/>
      <c r="W10" s="85">
        <f t="shared" si="6"/>
        <v>151.6</v>
      </c>
      <c r="X10" s="86">
        <f t="shared" si="6"/>
        <v>46</v>
      </c>
      <c r="Y10" s="91">
        <f t="shared" si="7"/>
        <v>25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금암중앙하이츠</v>
      </c>
      <c r="AI10" s="86">
        <f t="shared" si="0"/>
        <v>46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/>
      </c>
    </row>
    <row r="11" spans="1:48" x14ac:dyDescent="0.3">
      <c r="A11" s="9" t="s">
        <v>295</v>
      </c>
      <c r="B11" s="10" t="s">
        <v>1535</v>
      </c>
      <c r="C11" s="87">
        <v>602</v>
      </c>
      <c r="D11" s="85">
        <v>152</v>
      </c>
      <c r="E11" s="86">
        <v>46</v>
      </c>
      <c r="F11" s="85">
        <v>124.9</v>
      </c>
      <c r="G11" s="17">
        <v>38</v>
      </c>
      <c r="H11" s="87">
        <v>133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4</v>
      </c>
      <c r="R11" s="78">
        <v>2</v>
      </c>
      <c r="S11" s="78" t="s">
        <v>59</v>
      </c>
      <c r="T11" s="5" t="s">
        <v>75</v>
      </c>
      <c r="U11" s="9"/>
      <c r="W11" s="85">
        <f t="shared" si="6"/>
        <v>152</v>
      </c>
      <c r="X11" s="86">
        <f t="shared" si="6"/>
        <v>46</v>
      </c>
      <c r="Y11" s="91">
        <f t="shared" si="7"/>
        <v>133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금암중앙하이츠</v>
      </c>
      <c r="AI11" s="86">
        <f t="shared" si="0"/>
        <v>46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/>
      </c>
    </row>
    <row r="12" spans="1:48" x14ac:dyDescent="0.3">
      <c r="A12" s="9" t="s">
        <v>295</v>
      </c>
      <c r="B12" s="10" t="s">
        <v>1535</v>
      </c>
      <c r="C12" s="87">
        <v>602</v>
      </c>
      <c r="D12" s="85">
        <v>173</v>
      </c>
      <c r="E12" s="86">
        <v>52</v>
      </c>
      <c r="F12" s="85">
        <v>145.6</v>
      </c>
      <c r="G12" s="17">
        <v>44</v>
      </c>
      <c r="H12" s="87">
        <v>69</v>
      </c>
      <c r="I12" s="88">
        <v>33000</v>
      </c>
      <c r="J12" s="88" t="s">
        <v>69</v>
      </c>
      <c r="K12" s="88"/>
      <c r="L12" s="88"/>
      <c r="M12" s="89">
        <f t="shared" si="2"/>
        <v>33000</v>
      </c>
      <c r="N12" s="4">
        <f t="shared" si="3"/>
        <v>0</v>
      </c>
      <c r="O12" s="90">
        <f t="shared" si="4"/>
        <v>634.61538461538464</v>
      </c>
      <c r="P12" s="90">
        <f t="shared" si="5"/>
        <v>0</v>
      </c>
      <c r="Q12" s="78">
        <v>5</v>
      </c>
      <c r="R12" s="78">
        <v>2</v>
      </c>
      <c r="S12" s="78" t="s">
        <v>59</v>
      </c>
      <c r="T12" s="5">
        <v>173</v>
      </c>
      <c r="U12" s="9"/>
      <c r="W12" s="85">
        <f t="shared" si="6"/>
        <v>173</v>
      </c>
      <c r="X12" s="86">
        <f t="shared" si="6"/>
        <v>52</v>
      </c>
      <c r="Y12" s="91">
        <f t="shared" si="7"/>
        <v>69</v>
      </c>
      <c r="Z12" s="89">
        <f t="shared" si="7"/>
        <v>33000</v>
      </c>
      <c r="AA12" s="89">
        <f t="shared" si="8"/>
        <v>0</v>
      </c>
      <c r="AB12" s="89">
        <f t="shared" si="9"/>
        <v>33000</v>
      </c>
      <c r="AC12" s="4">
        <f t="shared" si="9"/>
        <v>0</v>
      </c>
      <c r="AD12" s="90">
        <f t="shared" si="9"/>
        <v>634.61538461538464</v>
      </c>
      <c r="AE12" s="78" t="str">
        <f t="shared" si="10"/>
        <v>계</v>
      </c>
      <c r="AF12" s="78" t="str">
        <f t="shared" si="11"/>
        <v>5/2</v>
      </c>
      <c r="AH12" s="20" t="str">
        <f t="shared" si="1"/>
        <v>금암중앙하이츠</v>
      </c>
      <c r="AI12" s="86">
        <f t="shared" si="0"/>
        <v>52</v>
      </c>
      <c r="AJ12" s="78" t="str">
        <f t="shared" si="12"/>
        <v>A-</v>
      </c>
      <c r="AK12" s="78" t="s">
        <v>13</v>
      </c>
      <c r="AL12" s="78" t="s">
        <v>61</v>
      </c>
      <c r="AM12" s="78" t="s">
        <v>62</v>
      </c>
      <c r="AN12" s="78" t="str">
        <f t="shared" si="13"/>
        <v>C</v>
      </c>
      <c r="AO12" s="78" t="str">
        <f t="shared" si="14"/>
        <v>X</v>
      </c>
      <c r="AP12" s="78" t="str">
        <f t="shared" si="15"/>
        <v>O</v>
      </c>
      <c r="AQ12" s="78" t="str">
        <f t="shared" si="16"/>
        <v>O</v>
      </c>
      <c r="AR12" s="78" t="str">
        <f t="shared" si="17"/>
        <v>X</v>
      </c>
      <c r="AS12" s="78" t="s">
        <v>2</v>
      </c>
      <c r="AT12" s="78" t="str">
        <f t="shared" si="18"/>
        <v>X</v>
      </c>
      <c r="AU12" s="78" t="str">
        <f t="shared" si="19"/>
        <v>O</v>
      </c>
      <c r="AV12" s="78" t="str">
        <f t="shared" si="20"/>
        <v>X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금암동 휴엔하임('16.11.,240^)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357</v>
      </c>
      <c r="B14" s="10" t="s">
        <v>1536</v>
      </c>
      <c r="C14" s="87">
        <v>240</v>
      </c>
      <c r="D14" s="85">
        <v>78.599999999999994</v>
      </c>
      <c r="E14" s="86">
        <v>24</v>
      </c>
      <c r="F14" s="85">
        <v>59.5</v>
      </c>
      <c r="G14" s="17">
        <v>18</v>
      </c>
      <c r="H14" s="87">
        <v>160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59</v>
      </c>
      <c r="T14" s="5" t="s">
        <v>76</v>
      </c>
      <c r="U14" s="9"/>
      <c r="W14" s="85">
        <f>D14</f>
        <v>78.599999999999994</v>
      </c>
      <c r="X14" s="86">
        <f>E14</f>
        <v>24</v>
      </c>
      <c r="Y14" s="91">
        <f>H14</f>
        <v>160</v>
      </c>
      <c r="Z14" s="89">
        <f>I14</f>
        <v>0</v>
      </c>
      <c r="AA14" s="89">
        <f>K14</f>
        <v>0</v>
      </c>
      <c r="AB14" s="89">
        <f t="shared" ref="AB14:AD15" si="21">M14</f>
        <v>0</v>
      </c>
      <c r="AC14" s="4" t="str">
        <f t="shared" si="21"/>
        <v/>
      </c>
      <c r="AD14" s="90">
        <f t="shared" si="21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휴엔하임</v>
      </c>
      <c r="AI14" s="86">
        <f t="shared" si="0"/>
        <v>24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357</v>
      </c>
      <c r="B15" s="10" t="s">
        <v>1536</v>
      </c>
      <c r="C15" s="87">
        <v>240</v>
      </c>
      <c r="D15" s="85">
        <v>100.5</v>
      </c>
      <c r="E15" s="86">
        <v>30</v>
      </c>
      <c r="F15" s="85">
        <v>76.099999999999994</v>
      </c>
      <c r="G15" s="17">
        <v>23</v>
      </c>
      <c r="H15" s="87">
        <v>80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 t="s">
        <v>77</v>
      </c>
      <c r="U15" s="9"/>
      <c r="W15" s="85">
        <f>D15</f>
        <v>100.5</v>
      </c>
      <c r="X15" s="86">
        <f>E15</f>
        <v>30</v>
      </c>
      <c r="Y15" s="91">
        <f>H15</f>
        <v>80</v>
      </c>
      <c r="Z15" s="89">
        <f>I15</f>
        <v>0</v>
      </c>
      <c r="AA15" s="89">
        <f>K15</f>
        <v>0</v>
      </c>
      <c r="AB15" s="89">
        <f t="shared" si="21"/>
        <v>0</v>
      </c>
      <c r="AC15" s="4" t="str">
        <f t="shared" si="21"/>
        <v/>
      </c>
      <c r="AD15" s="90">
        <f t="shared" si="21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휴엔하임</v>
      </c>
      <c r="AI15" s="86">
        <f t="shared" si="0"/>
        <v>30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금암동 천년이지움('18.01.,218^)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397</v>
      </c>
      <c r="B17" s="10" t="s">
        <v>1537</v>
      </c>
      <c r="C17" s="87">
        <v>218</v>
      </c>
      <c r="D17" s="85">
        <v>81.599999999999994</v>
      </c>
      <c r="E17" s="86">
        <v>25</v>
      </c>
      <c r="F17" s="85">
        <v>60</v>
      </c>
      <c r="G17" s="17">
        <v>18</v>
      </c>
      <c r="H17" s="87">
        <v>130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59</v>
      </c>
      <c r="T17" s="5">
        <v>81</v>
      </c>
      <c r="U17" s="9"/>
      <c r="W17" s="85">
        <f t="shared" ref="W17:X19" si="22">D17</f>
        <v>81.599999999999994</v>
      </c>
      <c r="X17" s="86">
        <f t="shared" si="22"/>
        <v>25</v>
      </c>
      <c r="Y17" s="91">
        <f t="shared" ref="Y17:Z19" si="23">H17</f>
        <v>130</v>
      </c>
      <c r="Z17" s="89">
        <f t="shared" si="23"/>
        <v>0</v>
      </c>
      <c r="AA17" s="89">
        <f>K17</f>
        <v>0</v>
      </c>
      <c r="AB17" s="89">
        <f t="shared" ref="AB17:AD19" si="24">M17</f>
        <v>0</v>
      </c>
      <c r="AC17" s="4" t="str">
        <f t="shared" si="24"/>
        <v/>
      </c>
      <c r="AD17" s="90">
        <f t="shared" si="24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천년이지움</v>
      </c>
      <c r="AI17" s="86">
        <f t="shared" si="0"/>
        <v>25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397</v>
      </c>
      <c r="B18" s="10" t="s">
        <v>1537</v>
      </c>
      <c r="C18" s="87">
        <v>218</v>
      </c>
      <c r="D18" s="85">
        <v>114.3</v>
      </c>
      <c r="E18" s="86">
        <v>35</v>
      </c>
      <c r="F18" s="85">
        <v>85</v>
      </c>
      <c r="G18" s="17">
        <v>26</v>
      </c>
      <c r="H18" s="87">
        <v>46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59</v>
      </c>
      <c r="T18" s="5" t="s">
        <v>78</v>
      </c>
      <c r="U18" s="9"/>
      <c r="W18" s="85">
        <f t="shared" si="22"/>
        <v>114.3</v>
      </c>
      <c r="X18" s="86">
        <f t="shared" si="22"/>
        <v>35</v>
      </c>
      <c r="Y18" s="91">
        <f t="shared" si="23"/>
        <v>46</v>
      </c>
      <c r="Z18" s="89">
        <f t="shared" si="23"/>
        <v>0</v>
      </c>
      <c r="AA18" s="89">
        <f>K18</f>
        <v>0</v>
      </c>
      <c r="AB18" s="89">
        <f t="shared" si="24"/>
        <v>0</v>
      </c>
      <c r="AC18" s="4" t="str">
        <f t="shared" si="24"/>
        <v/>
      </c>
      <c r="AD18" s="90">
        <f t="shared" si="24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천년이지움</v>
      </c>
      <c r="AI18" s="86">
        <f t="shared" si="0"/>
        <v>35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 t="s">
        <v>397</v>
      </c>
      <c r="B19" s="10" t="s">
        <v>1537</v>
      </c>
      <c r="C19" s="87">
        <v>218</v>
      </c>
      <c r="D19" s="85">
        <v>114.2</v>
      </c>
      <c r="E19" s="86">
        <v>35</v>
      </c>
      <c r="F19" s="85">
        <v>85</v>
      </c>
      <c r="G19" s="17">
        <v>26</v>
      </c>
      <c r="H19" s="87">
        <v>42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 t="s">
        <v>79</v>
      </c>
      <c r="U19" s="9"/>
      <c r="W19" s="85">
        <f t="shared" si="22"/>
        <v>114.2</v>
      </c>
      <c r="X19" s="86">
        <f t="shared" si="22"/>
        <v>35</v>
      </c>
      <c r="Y19" s="91">
        <f t="shared" si="23"/>
        <v>42</v>
      </c>
      <c r="Z19" s="89">
        <f t="shared" si="23"/>
        <v>0</v>
      </c>
      <c r="AA19" s="89">
        <f>K19</f>
        <v>0</v>
      </c>
      <c r="AB19" s="89">
        <f t="shared" si="24"/>
        <v>0</v>
      </c>
      <c r="AC19" s="4" t="str">
        <f t="shared" si="24"/>
        <v/>
      </c>
      <c r="AD19" s="90">
        <f t="shared" si="24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천년이지움</v>
      </c>
      <c r="AI19" s="86">
        <f t="shared" si="0"/>
        <v>35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</sheetData>
  <mergeCells count="1">
    <mergeCell ref="AJ1:AN1"/>
  </mergeCells>
  <phoneticPr fontId="2" type="noConversion"/>
  <conditionalFormatting sqref="AV4:AV6">
    <cfRule type="expression" dxfId="9483" priority="239">
      <formula>AV4="X"</formula>
    </cfRule>
    <cfRule type="expression" dxfId="9482" priority="240">
      <formula>AV4="후보"</formula>
    </cfRule>
  </conditionalFormatting>
  <conditionalFormatting sqref="AC1:AC2 AC4:AC6 N4:N5">
    <cfRule type="cellIs" dxfId="9481" priority="236" operator="greaterThan">
      <formula>0.9</formula>
    </cfRule>
    <cfRule type="cellIs" dxfId="9480" priority="237" operator="greaterThan">
      <formula>0.85</formula>
    </cfRule>
  </conditionalFormatting>
  <conditionalFormatting sqref="N1:N2">
    <cfRule type="cellIs" dxfId="9479" priority="234" operator="greaterThan">
      <formula>0.9</formula>
    </cfRule>
    <cfRule type="cellIs" dxfId="9478" priority="235" operator="greaterThan">
      <formula>0.85</formula>
    </cfRule>
  </conditionalFormatting>
  <conditionalFormatting sqref="N6">
    <cfRule type="cellIs" dxfId="9477" priority="232" operator="greaterThan">
      <formula>0.9</formula>
    </cfRule>
    <cfRule type="cellIs" dxfId="9476" priority="233" operator="greaterThan">
      <formula>0.85</formula>
    </cfRule>
  </conditionalFormatting>
  <conditionalFormatting sqref="E6">
    <cfRule type="expression" dxfId="9475" priority="228">
      <formula>AND(IF(OR($Q6=1,$Q6=2),1,0),IF($X6&lt;=20,1,0))</formula>
    </cfRule>
    <cfRule type="expression" dxfId="9474" priority="229">
      <formula>AND(IF($Q6=2,1,0),IF($X6&lt;30,1,0))</formula>
    </cfRule>
    <cfRule type="expression" dxfId="9473" priority="230">
      <formula>AND(IF($Q6=3,1,0),IF($X6&lt;30,1,0))</formula>
    </cfRule>
    <cfRule type="expression" dxfId="9472" priority="231">
      <formula>AND(IF($Q6=3,1,IF($Q6=4,1,0)),IF($F6&lt;=85,1,0))</formula>
    </cfRule>
  </conditionalFormatting>
  <conditionalFormatting sqref="X6">
    <cfRule type="expression" dxfId="9471" priority="224">
      <formula>AND(IF(OR($Q6=1,$Q6=2),1,0),IF($X6&lt;=20,1,0))</formula>
    </cfRule>
    <cfRule type="expression" dxfId="9470" priority="225">
      <formula>AND(IF($Q6=2,1,0),IF($X6&lt;30,1,0))</formula>
    </cfRule>
    <cfRule type="expression" dxfId="9469" priority="226">
      <formula>AND(IF($Q6=3,1,0),IF($X6&lt;30,1,0))</formula>
    </cfRule>
    <cfRule type="expression" dxfId="9468" priority="227">
      <formula>AND(IF($Q6=3,1,IF($Q6=4,1,0)),IF($F6&lt;=85,1,0))</formula>
    </cfRule>
  </conditionalFormatting>
  <conditionalFormatting sqref="AI6">
    <cfRule type="expression" dxfId="9467" priority="220">
      <formula>AND(IF(OR($Q6=1,$Q6=2),1,0),IF($X6&lt;=20,1,0))</formula>
    </cfRule>
    <cfRule type="expression" dxfId="9466" priority="221">
      <formula>AND(IF($Q6=2,1,0),IF($X6&lt;30,1,0))</formula>
    </cfRule>
    <cfRule type="expression" dxfId="9465" priority="222">
      <formula>AND(IF($Q6=3,1,0),IF($X6&lt;30,1,0))</formula>
    </cfRule>
    <cfRule type="expression" dxfId="9464" priority="223">
      <formula>AND(IF($Q6=3,1,IF($Q6=4,1,0)),IF($F6&lt;=85,1,0))</formula>
    </cfRule>
  </conditionalFormatting>
  <conditionalFormatting sqref="AV7">
    <cfRule type="expression" dxfId="9463" priority="218">
      <formula>AV7="X"</formula>
    </cfRule>
    <cfRule type="expression" dxfId="9462" priority="219">
      <formula>AV7="후보"</formula>
    </cfRule>
  </conditionalFormatting>
  <conditionalFormatting sqref="AC7">
    <cfRule type="cellIs" dxfId="9461" priority="215" operator="greaterThan">
      <formula>0.9</formula>
    </cfRule>
    <cfRule type="cellIs" dxfId="9460" priority="216" operator="greaterThan">
      <formula>0.85</formula>
    </cfRule>
  </conditionalFormatting>
  <conditionalFormatting sqref="N7">
    <cfRule type="cellIs" dxfId="9459" priority="213" operator="greaterThan">
      <formula>0.9</formula>
    </cfRule>
    <cfRule type="cellIs" dxfId="9458" priority="214" operator="greaterThan">
      <formula>0.85</formula>
    </cfRule>
  </conditionalFormatting>
  <conditionalFormatting sqref="E7">
    <cfRule type="expression" dxfId="9457" priority="209">
      <formula>AND(IF(OR($Q7=1,$Q7=2),1,0),IF($X7&lt;=20,1,0))</formula>
    </cfRule>
    <cfRule type="expression" dxfId="9456" priority="210">
      <formula>AND(IF($Q7=2,1,0),IF($X7&lt;30,1,0))</formula>
    </cfRule>
    <cfRule type="expression" dxfId="9455" priority="211">
      <formula>AND(IF($Q7=3,1,0),IF($X7&lt;30,1,0))</formula>
    </cfRule>
    <cfRule type="expression" dxfId="9454" priority="212">
      <formula>AND(IF($Q7=3,1,IF($Q7=4,1,0)),IF($F7&lt;=85,1,0))</formula>
    </cfRule>
  </conditionalFormatting>
  <conditionalFormatting sqref="X7">
    <cfRule type="expression" dxfId="9453" priority="205">
      <formula>AND(IF(OR($Q7=1,$Q7=2),1,0),IF($X7&lt;=20,1,0))</formula>
    </cfRule>
    <cfRule type="expression" dxfId="9452" priority="206">
      <formula>AND(IF($Q7=2,1,0),IF($X7&lt;30,1,0))</formula>
    </cfRule>
    <cfRule type="expression" dxfId="9451" priority="207">
      <formula>AND(IF($Q7=3,1,0),IF($X7&lt;30,1,0))</formula>
    </cfRule>
    <cfRule type="expression" dxfId="9450" priority="208">
      <formula>AND(IF($Q7=3,1,IF($Q7=4,1,0)),IF($F7&lt;=85,1,0))</formula>
    </cfRule>
  </conditionalFormatting>
  <conditionalFormatting sqref="AI7">
    <cfRule type="expression" dxfId="9449" priority="201">
      <formula>AND(IF(OR($Q7=1,$Q7=2),1,0),IF($X7&lt;=20,1,0))</formula>
    </cfRule>
    <cfRule type="expression" dxfId="9448" priority="202">
      <formula>AND(IF($Q7=2,1,0),IF($X7&lt;30,1,0))</formula>
    </cfRule>
    <cfRule type="expression" dxfId="9447" priority="203">
      <formula>AND(IF($Q7=3,1,0),IF($X7&lt;30,1,0))</formula>
    </cfRule>
    <cfRule type="expression" dxfId="9446" priority="204">
      <formula>AND(IF($Q7=3,1,IF($Q7=4,1,0)),IF($F7&lt;=85,1,0))</formula>
    </cfRule>
  </conditionalFormatting>
  <conditionalFormatting sqref="AV8">
    <cfRule type="expression" dxfId="9445" priority="199">
      <formula>AV8="X"</formula>
    </cfRule>
    <cfRule type="expression" dxfId="9444" priority="200">
      <formula>AV8="후보"</formula>
    </cfRule>
  </conditionalFormatting>
  <conditionalFormatting sqref="AC8">
    <cfRule type="cellIs" dxfId="9443" priority="196" operator="greaterThan">
      <formula>0.9</formula>
    </cfRule>
    <cfRule type="cellIs" dxfId="9442" priority="197" operator="greaterThan">
      <formula>0.85</formula>
    </cfRule>
  </conditionalFormatting>
  <conditionalFormatting sqref="N8">
    <cfRule type="cellIs" dxfId="9441" priority="194" operator="greaterThan">
      <formula>0.9</formula>
    </cfRule>
    <cfRule type="cellIs" dxfId="9440" priority="195" operator="greaterThan">
      <formula>0.85</formula>
    </cfRule>
  </conditionalFormatting>
  <conditionalFormatting sqref="E8">
    <cfRule type="expression" dxfId="9439" priority="190">
      <formula>AND(IF(OR($Q8=1,$Q8=2),1,0),IF($X8&lt;=20,1,0))</formula>
    </cfRule>
    <cfRule type="expression" dxfId="9438" priority="191">
      <formula>AND(IF($Q8=2,1,0),IF($X8&lt;30,1,0))</formula>
    </cfRule>
    <cfRule type="expression" dxfId="9437" priority="192">
      <formula>AND(IF($Q8=3,1,0),IF($X8&lt;30,1,0))</formula>
    </cfRule>
    <cfRule type="expression" dxfId="9436" priority="193">
      <formula>AND(IF($Q8=3,1,IF($Q8=4,1,0)),IF($F8&lt;=85,1,0))</formula>
    </cfRule>
  </conditionalFormatting>
  <conditionalFormatting sqref="X8">
    <cfRule type="expression" dxfId="9435" priority="186">
      <formula>AND(IF(OR($Q8=1,$Q8=2),1,0),IF($X8&lt;=20,1,0))</formula>
    </cfRule>
    <cfRule type="expression" dxfId="9434" priority="187">
      <formula>AND(IF($Q8=2,1,0),IF($X8&lt;30,1,0))</formula>
    </cfRule>
    <cfRule type="expression" dxfId="9433" priority="188">
      <formula>AND(IF($Q8=3,1,0),IF($X8&lt;30,1,0))</formula>
    </cfRule>
    <cfRule type="expression" dxfId="9432" priority="189">
      <formula>AND(IF($Q8=3,1,IF($Q8=4,1,0)),IF($F8&lt;=85,1,0))</formula>
    </cfRule>
  </conditionalFormatting>
  <conditionalFormatting sqref="AI8">
    <cfRule type="expression" dxfId="9431" priority="182">
      <formula>AND(IF(OR($Q8=1,$Q8=2),1,0),IF($X8&lt;=20,1,0))</formula>
    </cfRule>
    <cfRule type="expression" dxfId="9430" priority="183">
      <formula>AND(IF($Q8=2,1,0),IF($X8&lt;30,1,0))</formula>
    </cfRule>
    <cfRule type="expression" dxfId="9429" priority="184">
      <formula>AND(IF($Q8=3,1,0),IF($X8&lt;30,1,0))</formula>
    </cfRule>
    <cfRule type="expression" dxfId="9428" priority="185">
      <formula>AND(IF($Q8=3,1,IF($Q8=4,1,0)),IF($F8&lt;=85,1,0))</formula>
    </cfRule>
  </conditionalFormatting>
  <conditionalFormatting sqref="AV9">
    <cfRule type="expression" dxfId="9427" priority="180">
      <formula>AV9="X"</formula>
    </cfRule>
    <cfRule type="expression" dxfId="9426" priority="181">
      <formula>AV9="후보"</formula>
    </cfRule>
  </conditionalFormatting>
  <conditionalFormatting sqref="AC9">
    <cfRule type="cellIs" dxfId="9425" priority="177" operator="greaterThan">
      <formula>0.9</formula>
    </cfRule>
    <cfRule type="cellIs" dxfId="9424" priority="178" operator="greaterThan">
      <formula>0.85</formula>
    </cfRule>
  </conditionalFormatting>
  <conditionalFormatting sqref="N9">
    <cfRule type="cellIs" dxfId="9423" priority="175" operator="greaterThan">
      <formula>0.9</formula>
    </cfRule>
    <cfRule type="cellIs" dxfId="9422" priority="176" operator="greaterThan">
      <formula>0.85</formula>
    </cfRule>
  </conditionalFormatting>
  <conditionalFormatting sqref="E9">
    <cfRule type="expression" dxfId="9421" priority="171">
      <formula>AND(IF(OR($Q9=1,$Q9=2),1,0),IF($X9&lt;=20,1,0))</formula>
    </cfRule>
    <cfRule type="expression" dxfId="9420" priority="172">
      <formula>AND(IF($Q9=2,1,0),IF($X9&lt;30,1,0))</formula>
    </cfRule>
    <cfRule type="expression" dxfId="9419" priority="173">
      <formula>AND(IF($Q9=3,1,0),IF($X9&lt;30,1,0))</formula>
    </cfRule>
    <cfRule type="expression" dxfId="9418" priority="174">
      <formula>AND(IF($Q9=3,1,IF($Q9=4,1,0)),IF($F9&lt;=85,1,0))</formula>
    </cfRule>
  </conditionalFormatting>
  <conditionalFormatting sqref="X9">
    <cfRule type="expression" dxfId="9417" priority="167">
      <formula>AND(IF(OR($Q9=1,$Q9=2),1,0),IF($X9&lt;=20,1,0))</formula>
    </cfRule>
    <cfRule type="expression" dxfId="9416" priority="168">
      <formula>AND(IF($Q9=2,1,0),IF($X9&lt;30,1,0))</formula>
    </cfRule>
    <cfRule type="expression" dxfId="9415" priority="169">
      <formula>AND(IF($Q9=3,1,0),IF($X9&lt;30,1,0))</formula>
    </cfRule>
    <cfRule type="expression" dxfId="9414" priority="170">
      <formula>AND(IF($Q9=3,1,IF($Q9=4,1,0)),IF($F9&lt;=85,1,0))</formula>
    </cfRule>
  </conditionalFormatting>
  <conditionalFormatting sqref="AI9">
    <cfRule type="expression" dxfId="9413" priority="163">
      <formula>AND(IF(OR($Q9=1,$Q9=2),1,0),IF($X9&lt;=20,1,0))</formula>
    </cfRule>
    <cfRule type="expression" dxfId="9412" priority="164">
      <formula>AND(IF($Q9=2,1,0),IF($X9&lt;30,1,0))</formula>
    </cfRule>
    <cfRule type="expression" dxfId="9411" priority="165">
      <formula>AND(IF($Q9=3,1,0),IF($X9&lt;30,1,0))</formula>
    </cfRule>
    <cfRule type="expression" dxfId="9410" priority="166">
      <formula>AND(IF($Q9=3,1,IF($Q9=4,1,0)),IF($F9&lt;=85,1,0))</formula>
    </cfRule>
  </conditionalFormatting>
  <conditionalFormatting sqref="AV10">
    <cfRule type="expression" dxfId="9409" priority="161">
      <formula>AV10="X"</formula>
    </cfRule>
    <cfRule type="expression" dxfId="9408" priority="162">
      <formula>AV10="후보"</formula>
    </cfRule>
  </conditionalFormatting>
  <conditionalFormatting sqref="AC10">
    <cfRule type="cellIs" dxfId="9407" priority="158" operator="greaterThan">
      <formula>0.9</formula>
    </cfRule>
    <cfRule type="cellIs" dxfId="9406" priority="159" operator="greaterThan">
      <formula>0.85</formula>
    </cfRule>
  </conditionalFormatting>
  <conditionalFormatting sqref="N10">
    <cfRule type="cellIs" dxfId="9405" priority="156" operator="greaterThan">
      <formula>0.9</formula>
    </cfRule>
    <cfRule type="cellIs" dxfId="9404" priority="157" operator="greaterThan">
      <formula>0.85</formula>
    </cfRule>
  </conditionalFormatting>
  <conditionalFormatting sqref="E10">
    <cfRule type="expression" dxfId="9403" priority="152">
      <formula>AND(IF(OR($Q10=1,$Q10=2),1,0),IF($X10&lt;=20,1,0))</formula>
    </cfRule>
    <cfRule type="expression" dxfId="9402" priority="153">
      <formula>AND(IF($Q10=2,1,0),IF($X10&lt;30,1,0))</formula>
    </cfRule>
    <cfRule type="expression" dxfId="9401" priority="154">
      <formula>AND(IF($Q10=3,1,0),IF($X10&lt;30,1,0))</formula>
    </cfRule>
    <cfRule type="expression" dxfId="9400" priority="155">
      <formula>AND(IF($Q10=3,1,IF($Q10=4,1,0)),IF($F10&lt;=85,1,0))</formula>
    </cfRule>
  </conditionalFormatting>
  <conditionalFormatting sqref="X10">
    <cfRule type="expression" dxfId="9399" priority="148">
      <formula>AND(IF(OR($Q10=1,$Q10=2),1,0),IF($X10&lt;=20,1,0))</formula>
    </cfRule>
    <cfRule type="expression" dxfId="9398" priority="149">
      <formula>AND(IF($Q10=2,1,0),IF($X10&lt;30,1,0))</formula>
    </cfRule>
    <cfRule type="expression" dxfId="9397" priority="150">
      <formula>AND(IF($Q10=3,1,0),IF($X10&lt;30,1,0))</formula>
    </cfRule>
    <cfRule type="expression" dxfId="9396" priority="151">
      <formula>AND(IF($Q10=3,1,IF($Q10=4,1,0)),IF($F10&lt;=85,1,0))</formula>
    </cfRule>
  </conditionalFormatting>
  <conditionalFormatting sqref="AI10">
    <cfRule type="expression" dxfId="9395" priority="144">
      <formula>AND(IF(OR($Q10=1,$Q10=2),1,0),IF($X10&lt;=20,1,0))</formula>
    </cfRule>
    <cfRule type="expression" dxfId="9394" priority="145">
      <formula>AND(IF($Q10=2,1,0),IF($X10&lt;30,1,0))</formula>
    </cfRule>
    <cfRule type="expression" dxfId="9393" priority="146">
      <formula>AND(IF($Q10=3,1,0),IF($X10&lt;30,1,0))</formula>
    </cfRule>
    <cfRule type="expression" dxfId="9392" priority="147">
      <formula>AND(IF($Q10=3,1,IF($Q10=4,1,0)),IF($F10&lt;=85,1,0))</formula>
    </cfRule>
  </conditionalFormatting>
  <conditionalFormatting sqref="AV11">
    <cfRule type="expression" dxfId="9391" priority="142">
      <formula>AV11="X"</formula>
    </cfRule>
    <cfRule type="expression" dxfId="9390" priority="143">
      <formula>AV11="후보"</formula>
    </cfRule>
  </conditionalFormatting>
  <conditionalFormatting sqref="AC11">
    <cfRule type="cellIs" dxfId="9389" priority="139" operator="greaterThan">
      <formula>0.9</formula>
    </cfRule>
    <cfRule type="cellIs" dxfId="9388" priority="140" operator="greaterThan">
      <formula>0.85</formula>
    </cfRule>
  </conditionalFormatting>
  <conditionalFormatting sqref="N11">
    <cfRule type="cellIs" dxfId="9387" priority="137" operator="greaterThan">
      <formula>0.9</formula>
    </cfRule>
    <cfRule type="cellIs" dxfId="9386" priority="138" operator="greaterThan">
      <formula>0.85</formula>
    </cfRule>
  </conditionalFormatting>
  <conditionalFormatting sqref="E11">
    <cfRule type="expression" dxfId="9385" priority="133">
      <formula>AND(IF(OR($Q11=1,$Q11=2),1,0),IF($X11&lt;=20,1,0))</formula>
    </cfRule>
    <cfRule type="expression" dxfId="9384" priority="134">
      <formula>AND(IF($Q11=2,1,0),IF($X11&lt;30,1,0))</formula>
    </cfRule>
    <cfRule type="expression" dxfId="9383" priority="135">
      <formula>AND(IF($Q11=3,1,0),IF($X11&lt;30,1,0))</formula>
    </cfRule>
    <cfRule type="expression" dxfId="9382" priority="136">
      <formula>AND(IF($Q11=3,1,IF($Q11=4,1,0)),IF($F11&lt;=85,1,0))</formula>
    </cfRule>
  </conditionalFormatting>
  <conditionalFormatting sqref="X11">
    <cfRule type="expression" dxfId="9381" priority="129">
      <formula>AND(IF(OR($Q11=1,$Q11=2),1,0),IF($X11&lt;=20,1,0))</formula>
    </cfRule>
    <cfRule type="expression" dxfId="9380" priority="130">
      <formula>AND(IF($Q11=2,1,0),IF($X11&lt;30,1,0))</formula>
    </cfRule>
    <cfRule type="expression" dxfId="9379" priority="131">
      <formula>AND(IF($Q11=3,1,0),IF($X11&lt;30,1,0))</formula>
    </cfRule>
    <cfRule type="expression" dxfId="9378" priority="132">
      <formula>AND(IF($Q11=3,1,IF($Q11=4,1,0)),IF($F11&lt;=85,1,0))</formula>
    </cfRule>
  </conditionalFormatting>
  <conditionalFormatting sqref="AI11">
    <cfRule type="expression" dxfId="9377" priority="125">
      <formula>AND(IF(OR($Q11=1,$Q11=2),1,0),IF($X11&lt;=20,1,0))</formula>
    </cfRule>
    <cfRule type="expression" dxfId="9376" priority="126">
      <formula>AND(IF($Q11=2,1,0),IF($X11&lt;30,1,0))</formula>
    </cfRule>
    <cfRule type="expression" dxfId="9375" priority="127">
      <formula>AND(IF($Q11=3,1,0),IF($X11&lt;30,1,0))</formula>
    </cfRule>
    <cfRule type="expression" dxfId="9374" priority="128">
      <formula>AND(IF($Q11=3,1,IF($Q11=4,1,0)),IF($F11&lt;=85,1,0))</formula>
    </cfRule>
  </conditionalFormatting>
  <conditionalFormatting sqref="AV12">
    <cfRule type="expression" dxfId="9373" priority="123">
      <formula>AV12="X"</formula>
    </cfRule>
    <cfRule type="expression" dxfId="9372" priority="124">
      <formula>AV12="후보"</formula>
    </cfRule>
  </conditionalFormatting>
  <conditionalFormatting sqref="AC12">
    <cfRule type="cellIs" dxfId="9371" priority="120" operator="greaterThan">
      <formula>0.9</formula>
    </cfRule>
    <cfRule type="cellIs" dxfId="9370" priority="121" operator="greaterThan">
      <formula>0.85</formula>
    </cfRule>
  </conditionalFormatting>
  <conditionalFormatting sqref="N12">
    <cfRule type="cellIs" dxfId="9369" priority="118" operator="greaterThan">
      <formula>0.9</formula>
    </cfRule>
    <cfRule type="cellIs" dxfId="9368" priority="119" operator="greaterThan">
      <formula>0.85</formula>
    </cfRule>
  </conditionalFormatting>
  <conditionalFormatting sqref="E12">
    <cfRule type="expression" dxfId="9367" priority="114">
      <formula>AND(IF(OR($Q12=1,$Q12=2),1,0),IF($X12&lt;=20,1,0))</formula>
    </cfRule>
    <cfRule type="expression" dxfId="9366" priority="115">
      <formula>AND(IF($Q12=2,1,0),IF($X12&lt;30,1,0))</formula>
    </cfRule>
    <cfRule type="expression" dxfId="9365" priority="116">
      <formula>AND(IF($Q12=3,1,0),IF($X12&lt;30,1,0))</formula>
    </cfRule>
    <cfRule type="expression" dxfId="9364" priority="117">
      <formula>AND(IF($Q12=3,1,IF($Q12=4,1,0)),IF($F12&lt;=85,1,0))</formula>
    </cfRule>
  </conditionalFormatting>
  <conditionalFormatting sqref="X12">
    <cfRule type="expression" dxfId="9363" priority="110">
      <formula>AND(IF(OR($Q12=1,$Q12=2),1,0),IF($X12&lt;=20,1,0))</formula>
    </cfRule>
    <cfRule type="expression" dxfId="9362" priority="111">
      <formula>AND(IF($Q12=2,1,0),IF($X12&lt;30,1,0))</formula>
    </cfRule>
    <cfRule type="expression" dxfId="9361" priority="112">
      <formula>AND(IF($Q12=3,1,0),IF($X12&lt;30,1,0))</formula>
    </cfRule>
    <cfRule type="expression" dxfId="9360" priority="113">
      <formula>AND(IF($Q12=3,1,IF($Q12=4,1,0)),IF($F12&lt;=85,1,0))</formula>
    </cfRule>
  </conditionalFormatting>
  <conditionalFormatting sqref="AI12">
    <cfRule type="expression" dxfId="9359" priority="106">
      <formula>AND(IF(OR($Q12=1,$Q12=2),1,0),IF($X12&lt;=20,1,0))</formula>
    </cfRule>
    <cfRule type="expression" dxfId="9358" priority="107">
      <formula>AND(IF($Q12=2,1,0),IF($X12&lt;30,1,0))</formula>
    </cfRule>
    <cfRule type="expression" dxfId="9357" priority="108">
      <formula>AND(IF($Q12=3,1,0),IF($X12&lt;30,1,0))</formula>
    </cfRule>
    <cfRule type="expression" dxfId="9356" priority="109">
      <formula>AND(IF($Q12=3,1,IF($Q12=4,1,0)),IF($F12&lt;=85,1,0))</formula>
    </cfRule>
  </conditionalFormatting>
  <conditionalFormatting sqref="AV13">
    <cfRule type="expression" dxfId="9355" priority="104">
      <formula>AV13="X"</formula>
    </cfRule>
    <cfRule type="expression" dxfId="9354" priority="105">
      <formula>AV13="후보"</formula>
    </cfRule>
  </conditionalFormatting>
  <conditionalFormatting sqref="AC13 N13">
    <cfRule type="cellIs" dxfId="9353" priority="101" operator="greaterThan">
      <formula>0.9</formula>
    </cfRule>
    <cfRule type="cellIs" dxfId="9352" priority="102" operator="greaterThan">
      <formula>0.85</formula>
    </cfRule>
  </conditionalFormatting>
  <conditionalFormatting sqref="AV14">
    <cfRule type="expression" dxfId="9351" priority="99">
      <formula>AV14="X"</formula>
    </cfRule>
    <cfRule type="expression" dxfId="9350" priority="100">
      <formula>AV14="후보"</formula>
    </cfRule>
  </conditionalFormatting>
  <conditionalFormatting sqref="AC14">
    <cfRule type="cellIs" dxfId="9349" priority="96" operator="greaterThan">
      <formula>0.9</formula>
    </cfRule>
    <cfRule type="cellIs" dxfId="9348" priority="97" operator="greaterThan">
      <formula>0.85</formula>
    </cfRule>
  </conditionalFormatting>
  <conditionalFormatting sqref="N14">
    <cfRule type="cellIs" dxfId="9347" priority="94" operator="greaterThan">
      <formula>0.9</formula>
    </cfRule>
    <cfRule type="cellIs" dxfId="9346" priority="95" operator="greaterThan">
      <formula>0.85</formula>
    </cfRule>
  </conditionalFormatting>
  <conditionalFormatting sqref="E14">
    <cfRule type="expression" dxfId="9345" priority="90">
      <formula>AND(IF(OR($Q14=1,$Q14=2),1,0),IF($X14&lt;=20,1,0))</formula>
    </cfRule>
    <cfRule type="expression" dxfId="9344" priority="91">
      <formula>AND(IF($Q14=2,1,0),IF($X14&lt;30,1,0))</formula>
    </cfRule>
    <cfRule type="expression" dxfId="9343" priority="92">
      <formula>AND(IF($Q14=3,1,0),IF($X14&lt;30,1,0))</formula>
    </cfRule>
    <cfRule type="expression" dxfId="9342" priority="93">
      <formula>AND(IF($Q14=3,1,IF($Q14=4,1,0)),IF($F14&lt;=85,1,0))</formula>
    </cfRule>
  </conditionalFormatting>
  <conditionalFormatting sqref="X14">
    <cfRule type="expression" dxfId="9341" priority="86">
      <formula>AND(IF(OR($Q14=1,$Q14=2),1,0),IF($X14&lt;=20,1,0))</formula>
    </cfRule>
    <cfRule type="expression" dxfId="9340" priority="87">
      <formula>AND(IF($Q14=2,1,0),IF($X14&lt;30,1,0))</formula>
    </cfRule>
    <cfRule type="expression" dxfId="9339" priority="88">
      <formula>AND(IF($Q14=3,1,0),IF($X14&lt;30,1,0))</formula>
    </cfRule>
    <cfRule type="expression" dxfId="9338" priority="89">
      <formula>AND(IF($Q14=3,1,IF($Q14=4,1,0)),IF($F14&lt;=85,1,0))</formula>
    </cfRule>
  </conditionalFormatting>
  <conditionalFormatting sqref="AI14">
    <cfRule type="expression" dxfId="9337" priority="82">
      <formula>AND(IF(OR($Q14=1,$Q14=2),1,0),IF($X14&lt;=20,1,0))</formula>
    </cfRule>
    <cfRule type="expression" dxfId="9336" priority="83">
      <formula>AND(IF($Q14=2,1,0),IF($X14&lt;30,1,0))</formula>
    </cfRule>
    <cfRule type="expression" dxfId="9335" priority="84">
      <formula>AND(IF($Q14=3,1,0),IF($X14&lt;30,1,0))</formula>
    </cfRule>
    <cfRule type="expression" dxfId="9334" priority="85">
      <formula>AND(IF($Q14=3,1,IF($Q14=4,1,0)),IF($F14&lt;=85,1,0))</formula>
    </cfRule>
  </conditionalFormatting>
  <conditionalFormatting sqref="AV15">
    <cfRule type="expression" dxfId="9333" priority="80">
      <formula>AV15="X"</formula>
    </cfRule>
    <cfRule type="expression" dxfId="9332" priority="81">
      <formula>AV15="후보"</formula>
    </cfRule>
  </conditionalFormatting>
  <conditionalFormatting sqref="AC15">
    <cfRule type="cellIs" dxfId="9331" priority="77" operator="greaterThan">
      <formula>0.9</formula>
    </cfRule>
    <cfRule type="cellIs" dxfId="9330" priority="78" operator="greaterThan">
      <formula>0.85</formula>
    </cfRule>
  </conditionalFormatting>
  <conditionalFormatting sqref="N15">
    <cfRule type="cellIs" dxfId="9329" priority="75" operator="greaterThan">
      <formula>0.9</formula>
    </cfRule>
    <cfRule type="cellIs" dxfId="9328" priority="76" operator="greaterThan">
      <formula>0.85</formula>
    </cfRule>
  </conditionalFormatting>
  <conditionalFormatting sqref="E15">
    <cfRule type="expression" dxfId="9327" priority="71">
      <formula>AND(IF(OR($Q15=1,$Q15=2),1,0),IF($X15&lt;=20,1,0))</formula>
    </cfRule>
    <cfRule type="expression" dxfId="9326" priority="72">
      <formula>AND(IF($Q15=2,1,0),IF($X15&lt;30,1,0))</formula>
    </cfRule>
    <cfRule type="expression" dxfId="9325" priority="73">
      <formula>AND(IF($Q15=3,1,0),IF($X15&lt;30,1,0))</formula>
    </cfRule>
    <cfRule type="expression" dxfId="9324" priority="74">
      <formula>AND(IF($Q15=3,1,IF($Q15=4,1,0)),IF($F15&lt;=85,1,0))</formula>
    </cfRule>
  </conditionalFormatting>
  <conditionalFormatting sqref="X15">
    <cfRule type="expression" dxfId="9323" priority="67">
      <formula>AND(IF(OR($Q15=1,$Q15=2),1,0),IF($X15&lt;=20,1,0))</formula>
    </cfRule>
    <cfRule type="expression" dxfId="9322" priority="68">
      <formula>AND(IF($Q15=2,1,0),IF($X15&lt;30,1,0))</formula>
    </cfRule>
    <cfRule type="expression" dxfId="9321" priority="69">
      <formula>AND(IF($Q15=3,1,0),IF($X15&lt;30,1,0))</formula>
    </cfRule>
    <cfRule type="expression" dxfId="9320" priority="70">
      <formula>AND(IF($Q15=3,1,IF($Q15=4,1,0)),IF($F15&lt;=85,1,0))</formula>
    </cfRule>
  </conditionalFormatting>
  <conditionalFormatting sqref="AI15">
    <cfRule type="expression" dxfId="9319" priority="63">
      <formula>AND(IF(OR($Q15=1,$Q15=2),1,0),IF($X15&lt;=20,1,0))</formula>
    </cfRule>
    <cfRule type="expression" dxfId="9318" priority="64">
      <formula>AND(IF($Q15=2,1,0),IF($X15&lt;30,1,0))</formula>
    </cfRule>
    <cfRule type="expression" dxfId="9317" priority="65">
      <formula>AND(IF($Q15=3,1,0),IF($X15&lt;30,1,0))</formula>
    </cfRule>
    <cfRule type="expression" dxfId="9316" priority="66">
      <formula>AND(IF($Q15=3,1,IF($Q15=4,1,0)),IF($F15&lt;=85,1,0))</formula>
    </cfRule>
  </conditionalFormatting>
  <conditionalFormatting sqref="AV16">
    <cfRule type="expression" dxfId="9315" priority="61">
      <formula>AV16="X"</formula>
    </cfRule>
    <cfRule type="expression" dxfId="9314" priority="62">
      <formula>AV16="후보"</formula>
    </cfRule>
  </conditionalFormatting>
  <conditionalFormatting sqref="AC16 N16">
    <cfRule type="cellIs" dxfId="9313" priority="58" operator="greaterThan">
      <formula>0.9</formula>
    </cfRule>
    <cfRule type="cellIs" dxfId="9312" priority="59" operator="greaterThan">
      <formula>0.85</formula>
    </cfRule>
  </conditionalFormatting>
  <conditionalFormatting sqref="AV17">
    <cfRule type="expression" dxfId="9311" priority="56">
      <formula>AV17="X"</formula>
    </cfRule>
    <cfRule type="expression" dxfId="9310" priority="57">
      <formula>AV17="후보"</formula>
    </cfRule>
  </conditionalFormatting>
  <conditionalFormatting sqref="AC17">
    <cfRule type="cellIs" dxfId="9309" priority="53" operator="greaterThan">
      <formula>0.9</formula>
    </cfRule>
    <cfRule type="cellIs" dxfId="9308" priority="54" operator="greaterThan">
      <formula>0.85</formula>
    </cfRule>
  </conditionalFormatting>
  <conditionalFormatting sqref="N17">
    <cfRule type="cellIs" dxfId="9307" priority="51" operator="greaterThan">
      <formula>0.9</formula>
    </cfRule>
    <cfRule type="cellIs" dxfId="9306" priority="52" operator="greaterThan">
      <formula>0.85</formula>
    </cfRule>
  </conditionalFormatting>
  <conditionalFormatting sqref="E17">
    <cfRule type="expression" dxfId="9305" priority="47">
      <formula>AND(IF(OR($Q17=1,$Q17=2),1,0),IF($X17&lt;=20,1,0))</formula>
    </cfRule>
    <cfRule type="expression" dxfId="9304" priority="48">
      <formula>AND(IF($Q17=2,1,0),IF($X17&lt;30,1,0))</formula>
    </cfRule>
    <cfRule type="expression" dxfId="9303" priority="49">
      <formula>AND(IF($Q17=3,1,0),IF($X17&lt;30,1,0))</formula>
    </cfRule>
    <cfRule type="expression" dxfId="9302" priority="50">
      <formula>AND(IF($Q17=3,1,IF($Q17=4,1,0)),IF($F17&lt;=85,1,0))</formula>
    </cfRule>
  </conditionalFormatting>
  <conditionalFormatting sqref="X17">
    <cfRule type="expression" dxfId="9301" priority="43">
      <formula>AND(IF(OR($Q17=1,$Q17=2),1,0),IF($X17&lt;=20,1,0))</formula>
    </cfRule>
    <cfRule type="expression" dxfId="9300" priority="44">
      <formula>AND(IF($Q17=2,1,0),IF($X17&lt;30,1,0))</formula>
    </cfRule>
    <cfRule type="expression" dxfId="9299" priority="45">
      <formula>AND(IF($Q17=3,1,0),IF($X17&lt;30,1,0))</formula>
    </cfRule>
    <cfRule type="expression" dxfId="9298" priority="46">
      <formula>AND(IF($Q17=3,1,IF($Q17=4,1,0)),IF($F17&lt;=85,1,0))</formula>
    </cfRule>
  </conditionalFormatting>
  <conditionalFormatting sqref="AI17">
    <cfRule type="expression" dxfId="9297" priority="39">
      <formula>AND(IF(OR($Q17=1,$Q17=2),1,0),IF($X17&lt;=20,1,0))</formula>
    </cfRule>
    <cfRule type="expression" dxfId="9296" priority="40">
      <formula>AND(IF($Q17=2,1,0),IF($X17&lt;30,1,0))</formula>
    </cfRule>
    <cfRule type="expression" dxfId="9295" priority="41">
      <formula>AND(IF($Q17=3,1,0),IF($X17&lt;30,1,0))</formula>
    </cfRule>
    <cfRule type="expression" dxfId="9294" priority="42">
      <formula>AND(IF($Q17=3,1,IF($Q17=4,1,0)),IF($F17&lt;=85,1,0))</formula>
    </cfRule>
  </conditionalFormatting>
  <conditionalFormatting sqref="AV18">
    <cfRule type="expression" dxfId="9293" priority="37">
      <formula>AV18="X"</formula>
    </cfRule>
    <cfRule type="expression" dxfId="9292" priority="38">
      <formula>AV18="후보"</formula>
    </cfRule>
  </conditionalFormatting>
  <conditionalFormatting sqref="AC18">
    <cfRule type="cellIs" dxfId="9291" priority="34" operator="greaterThan">
      <formula>0.9</formula>
    </cfRule>
    <cfRule type="cellIs" dxfId="9290" priority="35" operator="greaterThan">
      <formula>0.85</formula>
    </cfRule>
  </conditionalFormatting>
  <conditionalFormatting sqref="N18">
    <cfRule type="cellIs" dxfId="9289" priority="32" operator="greaterThan">
      <formula>0.9</formula>
    </cfRule>
    <cfRule type="cellIs" dxfId="9288" priority="33" operator="greaterThan">
      <formula>0.85</formula>
    </cfRule>
  </conditionalFormatting>
  <conditionalFormatting sqref="E18">
    <cfRule type="expression" dxfId="9287" priority="28">
      <formula>AND(IF(OR($Q18=1,$Q18=2),1,0),IF($X18&lt;=20,1,0))</formula>
    </cfRule>
    <cfRule type="expression" dxfId="9286" priority="29">
      <formula>AND(IF($Q18=2,1,0),IF($X18&lt;30,1,0))</formula>
    </cfRule>
    <cfRule type="expression" dxfId="9285" priority="30">
      <formula>AND(IF($Q18=3,1,0),IF($X18&lt;30,1,0))</formula>
    </cfRule>
    <cfRule type="expression" dxfId="9284" priority="31">
      <formula>AND(IF($Q18=3,1,IF($Q18=4,1,0)),IF($F18&lt;=85,1,0))</formula>
    </cfRule>
  </conditionalFormatting>
  <conditionalFormatting sqref="X18">
    <cfRule type="expression" dxfId="9283" priority="24">
      <formula>AND(IF(OR($Q18=1,$Q18=2),1,0),IF($X18&lt;=20,1,0))</formula>
    </cfRule>
    <cfRule type="expression" dxfId="9282" priority="25">
      <formula>AND(IF($Q18=2,1,0),IF($X18&lt;30,1,0))</formula>
    </cfRule>
    <cfRule type="expression" dxfId="9281" priority="26">
      <formula>AND(IF($Q18=3,1,0),IF($X18&lt;30,1,0))</formula>
    </cfRule>
    <cfRule type="expression" dxfId="9280" priority="27">
      <formula>AND(IF($Q18=3,1,IF($Q18=4,1,0)),IF($F18&lt;=85,1,0))</formula>
    </cfRule>
  </conditionalFormatting>
  <conditionalFormatting sqref="AI18">
    <cfRule type="expression" dxfId="9279" priority="20">
      <formula>AND(IF(OR($Q18=1,$Q18=2),1,0),IF($X18&lt;=20,1,0))</formula>
    </cfRule>
    <cfRule type="expression" dxfId="9278" priority="21">
      <formula>AND(IF($Q18=2,1,0),IF($X18&lt;30,1,0))</formula>
    </cfRule>
    <cfRule type="expression" dxfId="9277" priority="22">
      <formula>AND(IF($Q18=3,1,0),IF($X18&lt;30,1,0))</formula>
    </cfRule>
    <cfRule type="expression" dxfId="9276" priority="23">
      <formula>AND(IF($Q18=3,1,IF($Q18=4,1,0)),IF($F18&lt;=85,1,0))</formula>
    </cfRule>
  </conditionalFormatting>
  <conditionalFormatting sqref="AV19">
    <cfRule type="expression" dxfId="9275" priority="18">
      <formula>AV19="X"</formula>
    </cfRule>
    <cfRule type="expression" dxfId="9274" priority="19">
      <formula>AV19="후보"</formula>
    </cfRule>
  </conditionalFormatting>
  <conditionalFormatting sqref="AC19">
    <cfRule type="cellIs" dxfId="9273" priority="15" operator="greaterThan">
      <formula>0.9</formula>
    </cfRule>
    <cfRule type="cellIs" dxfId="9272" priority="16" operator="greaterThan">
      <formula>0.85</formula>
    </cfRule>
  </conditionalFormatting>
  <conditionalFormatting sqref="N19">
    <cfRule type="cellIs" dxfId="9271" priority="13" operator="greaterThan">
      <formula>0.9</formula>
    </cfRule>
    <cfRule type="cellIs" dxfId="9270" priority="14" operator="greaterThan">
      <formula>0.85</formula>
    </cfRule>
  </conditionalFormatting>
  <conditionalFormatting sqref="E19">
    <cfRule type="expression" dxfId="9269" priority="9">
      <formula>AND(IF(OR($Q19=1,$Q19=2),1,0),IF($X19&lt;=20,1,0))</formula>
    </cfRule>
    <cfRule type="expression" dxfId="9268" priority="10">
      <formula>AND(IF($Q19=2,1,0),IF($X19&lt;30,1,0))</formula>
    </cfRule>
    <cfRule type="expression" dxfId="9267" priority="11">
      <formula>AND(IF($Q19=3,1,0),IF($X19&lt;30,1,0))</formula>
    </cfRule>
    <cfRule type="expression" dxfId="9266" priority="12">
      <formula>AND(IF($Q19=3,1,IF($Q19=4,1,0)),IF($F19&lt;=85,1,0))</formula>
    </cfRule>
  </conditionalFormatting>
  <conditionalFormatting sqref="X19">
    <cfRule type="expression" dxfId="9265" priority="5">
      <formula>AND(IF(OR($Q19=1,$Q19=2),1,0),IF($X19&lt;=20,1,0))</formula>
    </cfRule>
    <cfRule type="expression" dxfId="9264" priority="6">
      <formula>AND(IF($Q19=2,1,0),IF($X19&lt;30,1,0))</formula>
    </cfRule>
    <cfRule type="expression" dxfId="9263" priority="7">
      <formula>AND(IF($Q19=3,1,0),IF($X19&lt;30,1,0))</formula>
    </cfRule>
    <cfRule type="expression" dxfId="9262" priority="8">
      <formula>AND(IF($Q19=3,1,IF($Q19=4,1,0)),IF($F19&lt;=85,1,0))</formula>
    </cfRule>
  </conditionalFormatting>
  <conditionalFormatting sqref="AI19">
    <cfRule type="expression" dxfId="9261" priority="1">
      <formula>AND(IF(OR($Q19=1,$Q19=2),1,0),IF($X19&lt;=20,1,0))</formula>
    </cfRule>
    <cfRule type="expression" dxfId="9260" priority="2">
      <formula>AND(IF($Q19=2,1,0),IF($X19&lt;30,1,0))</formula>
    </cfRule>
    <cfRule type="expression" dxfId="9259" priority="3">
      <formula>AND(IF($Q19=3,1,0),IF($X19&lt;30,1,0))</formula>
    </cfRule>
    <cfRule type="expression" dxfId="9258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덕진동1가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424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덕진동1가 명성강변('97.01.,276^)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447</v>
      </c>
      <c r="B6" s="10" t="s">
        <v>1538</v>
      </c>
      <c r="C6" s="87">
        <v>276</v>
      </c>
      <c r="D6" s="85">
        <v>66.5</v>
      </c>
      <c r="E6" s="86">
        <v>20</v>
      </c>
      <c r="F6" s="85">
        <v>49.8</v>
      </c>
      <c r="G6" s="17">
        <v>15</v>
      </c>
      <c r="H6" s="87">
        <v>64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1</v>
      </c>
      <c r="S6" s="78" t="s">
        <v>59</v>
      </c>
      <c r="T6" s="5">
        <v>66</v>
      </c>
      <c r="U6" s="9"/>
      <c r="W6" s="85">
        <f t="shared" ref="W6:X9" si="1">D6</f>
        <v>66.5</v>
      </c>
      <c r="X6" s="86">
        <f t="shared" si="1"/>
        <v>20</v>
      </c>
      <c r="Y6" s="91">
        <f t="shared" ref="Y6:Z9" si="2">H6</f>
        <v>64</v>
      </c>
      <c r="Z6" s="89">
        <f t="shared" si="2"/>
        <v>0</v>
      </c>
      <c r="AA6" s="89">
        <f>K6</f>
        <v>0</v>
      </c>
      <c r="AB6" s="89">
        <f t="shared" ref="AB6:AD9" si="3">M6</f>
        <v>0</v>
      </c>
      <c r="AC6" s="4" t="str">
        <f t="shared" si="3"/>
        <v/>
      </c>
      <c r="AD6" s="90">
        <f t="shared" si="3"/>
        <v>0</v>
      </c>
      <c r="AE6" s="78" t="str">
        <f>S6</f>
        <v>계</v>
      </c>
      <c r="AF6" s="78" t="str">
        <f>Q6&amp;"/"&amp;R6</f>
        <v>3/1</v>
      </c>
      <c r="AH6" s="20" t="str">
        <f>IF(A6="","",A6)</f>
        <v>명성강변</v>
      </c>
      <c r="AI6" s="86">
        <f t="shared" si="0"/>
        <v>20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447</v>
      </c>
      <c r="B7" s="10" t="s">
        <v>1538</v>
      </c>
      <c r="C7" s="87">
        <v>276</v>
      </c>
      <c r="D7" s="85">
        <v>72.599999999999994</v>
      </c>
      <c r="E7" s="86">
        <v>22</v>
      </c>
      <c r="F7" s="85">
        <v>54.3</v>
      </c>
      <c r="G7" s="17">
        <v>16</v>
      </c>
      <c r="H7" s="87">
        <v>61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1</v>
      </c>
      <c r="S7" s="78" t="s">
        <v>59</v>
      </c>
      <c r="T7" s="5">
        <v>72</v>
      </c>
      <c r="U7" s="9"/>
      <c r="W7" s="85">
        <f t="shared" si="1"/>
        <v>72.599999999999994</v>
      </c>
      <c r="X7" s="86">
        <f t="shared" si="1"/>
        <v>22</v>
      </c>
      <c r="Y7" s="91">
        <f t="shared" si="2"/>
        <v>61</v>
      </c>
      <c r="Z7" s="89">
        <f t="shared" si="2"/>
        <v>0</v>
      </c>
      <c r="AA7" s="89">
        <f>K7</f>
        <v>0</v>
      </c>
      <c r="AB7" s="89">
        <f t="shared" si="3"/>
        <v>0</v>
      </c>
      <c r="AC7" s="4" t="str">
        <f t="shared" si="3"/>
        <v/>
      </c>
      <c r="AD7" s="90">
        <f t="shared" si="3"/>
        <v>0</v>
      </c>
      <c r="AE7" s="78" t="str">
        <f>S7</f>
        <v>계</v>
      </c>
      <c r="AF7" s="78" t="str">
        <f>Q7&amp;"/"&amp;R7</f>
        <v>3/1</v>
      </c>
      <c r="AH7" s="20" t="str">
        <f>IF(A7="","",A7)</f>
        <v>명성강변</v>
      </c>
      <c r="AI7" s="86">
        <f t="shared" si="0"/>
        <v>22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 t="s">
        <v>447</v>
      </c>
      <c r="B8" s="10" t="s">
        <v>1538</v>
      </c>
      <c r="C8" s="87">
        <v>276</v>
      </c>
      <c r="D8" s="85">
        <v>79.3</v>
      </c>
      <c r="E8" s="86">
        <v>24</v>
      </c>
      <c r="F8" s="85">
        <v>59</v>
      </c>
      <c r="G8" s="17">
        <v>18</v>
      </c>
      <c r="H8" s="87">
        <v>54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1</v>
      </c>
      <c r="S8" s="78" t="s">
        <v>59</v>
      </c>
      <c r="T8" s="5" t="s">
        <v>80</v>
      </c>
      <c r="U8" s="9"/>
      <c r="W8" s="85">
        <f t="shared" si="1"/>
        <v>79.3</v>
      </c>
      <c r="X8" s="86">
        <f t="shared" si="1"/>
        <v>24</v>
      </c>
      <c r="Y8" s="91">
        <f t="shared" si="2"/>
        <v>54</v>
      </c>
      <c r="Z8" s="89">
        <f t="shared" si="2"/>
        <v>0</v>
      </c>
      <c r="AA8" s="89">
        <f>K8</f>
        <v>0</v>
      </c>
      <c r="AB8" s="89">
        <f t="shared" si="3"/>
        <v>0</v>
      </c>
      <c r="AC8" s="4" t="str">
        <f t="shared" si="3"/>
        <v/>
      </c>
      <c r="AD8" s="90">
        <f t="shared" si="3"/>
        <v>0</v>
      </c>
      <c r="AE8" s="78" t="str">
        <f>S8</f>
        <v>계</v>
      </c>
      <c r="AF8" s="78" t="str">
        <f>Q8&amp;"/"&amp;R8</f>
        <v>3/1</v>
      </c>
      <c r="AH8" s="20" t="str">
        <f>IF(A8="","",A8)</f>
        <v>명성강변</v>
      </c>
      <c r="AI8" s="86">
        <f t="shared" si="0"/>
        <v>24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 t="s">
        <v>447</v>
      </c>
      <c r="B9" s="10" t="s">
        <v>1538</v>
      </c>
      <c r="C9" s="87">
        <v>276</v>
      </c>
      <c r="D9" s="85">
        <v>80.7</v>
      </c>
      <c r="E9" s="86">
        <v>24</v>
      </c>
      <c r="F9" s="85">
        <v>60</v>
      </c>
      <c r="G9" s="17">
        <v>18</v>
      </c>
      <c r="H9" s="87">
        <v>97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1</v>
      </c>
      <c r="S9" s="78" t="s">
        <v>59</v>
      </c>
      <c r="T9" s="5" t="s">
        <v>81</v>
      </c>
      <c r="U9" s="9"/>
      <c r="W9" s="85">
        <f t="shared" si="1"/>
        <v>80.7</v>
      </c>
      <c r="X9" s="86">
        <f t="shared" si="1"/>
        <v>24</v>
      </c>
      <c r="Y9" s="91">
        <f t="shared" si="2"/>
        <v>97</v>
      </c>
      <c r="Z9" s="89">
        <f t="shared" si="2"/>
        <v>0</v>
      </c>
      <c r="AA9" s="89">
        <f>K9</f>
        <v>0</v>
      </c>
      <c r="AB9" s="89">
        <f t="shared" si="3"/>
        <v>0</v>
      </c>
      <c r="AC9" s="4" t="str">
        <f t="shared" si="3"/>
        <v/>
      </c>
      <c r="AD9" s="90">
        <f t="shared" si="3"/>
        <v>0</v>
      </c>
      <c r="AE9" s="78" t="str">
        <f>S9</f>
        <v>계</v>
      </c>
      <c r="AF9" s="78" t="str">
        <f>Q9&amp;"/"&amp;R9</f>
        <v>3/1</v>
      </c>
      <c r="AH9" s="20" t="str">
        <f>IF(A9="","",A9)</f>
        <v>명성강변</v>
      </c>
      <c r="AI9" s="86">
        <f t="shared" si="0"/>
        <v>24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</sheetData>
  <mergeCells count="1">
    <mergeCell ref="AJ1:AN1"/>
  </mergeCells>
  <phoneticPr fontId="2" type="noConversion"/>
  <conditionalFormatting sqref="AV4:AV6">
    <cfRule type="expression" dxfId="9257" priority="77">
      <formula>AV4="X"</formula>
    </cfRule>
    <cfRule type="expression" dxfId="9256" priority="78">
      <formula>AV4="후보"</formula>
    </cfRule>
  </conditionalFormatting>
  <conditionalFormatting sqref="AC1:AC2 AC4:AC6 N4:N5">
    <cfRule type="cellIs" dxfId="9255" priority="74" operator="greaterThan">
      <formula>0.9</formula>
    </cfRule>
    <cfRule type="cellIs" dxfId="9254" priority="75" operator="greaterThan">
      <formula>0.85</formula>
    </cfRule>
  </conditionalFormatting>
  <conditionalFormatting sqref="N1:N2">
    <cfRule type="cellIs" dxfId="9253" priority="72" operator="greaterThan">
      <formula>0.9</formula>
    </cfRule>
    <cfRule type="cellIs" dxfId="9252" priority="73" operator="greaterThan">
      <formula>0.85</formula>
    </cfRule>
  </conditionalFormatting>
  <conditionalFormatting sqref="N6">
    <cfRule type="cellIs" dxfId="9251" priority="70" operator="greaterThan">
      <formula>0.9</formula>
    </cfRule>
    <cfRule type="cellIs" dxfId="9250" priority="71" operator="greaterThan">
      <formula>0.85</formula>
    </cfRule>
  </conditionalFormatting>
  <conditionalFormatting sqref="E6">
    <cfRule type="expression" dxfId="9249" priority="66">
      <formula>AND(IF(OR($Q6=1,$Q6=2),1,0),IF($X6&lt;=20,1,0))</formula>
    </cfRule>
    <cfRule type="expression" dxfId="9248" priority="67">
      <formula>AND(IF($Q6=2,1,0),IF($X6&lt;30,1,0))</formula>
    </cfRule>
    <cfRule type="expression" dxfId="9247" priority="68">
      <formula>AND(IF($Q6=3,1,0),IF($X6&lt;30,1,0))</formula>
    </cfRule>
    <cfRule type="expression" dxfId="9246" priority="69">
      <formula>AND(IF($Q6=3,1,IF($Q6=4,1,0)),IF($F6&lt;=85,1,0))</formula>
    </cfRule>
  </conditionalFormatting>
  <conditionalFormatting sqref="X6">
    <cfRule type="expression" dxfId="9245" priority="62">
      <formula>AND(IF(OR($Q6=1,$Q6=2),1,0),IF($X6&lt;=20,1,0))</formula>
    </cfRule>
    <cfRule type="expression" dxfId="9244" priority="63">
      <formula>AND(IF($Q6=2,1,0),IF($X6&lt;30,1,0))</formula>
    </cfRule>
    <cfRule type="expression" dxfId="9243" priority="64">
      <formula>AND(IF($Q6=3,1,0),IF($X6&lt;30,1,0))</formula>
    </cfRule>
    <cfRule type="expression" dxfId="9242" priority="65">
      <formula>AND(IF($Q6=3,1,IF($Q6=4,1,0)),IF($F6&lt;=85,1,0))</formula>
    </cfRule>
  </conditionalFormatting>
  <conditionalFormatting sqref="AI6">
    <cfRule type="expression" dxfId="9241" priority="58">
      <formula>AND(IF(OR($Q6=1,$Q6=2),1,0),IF($X6&lt;=20,1,0))</formula>
    </cfRule>
    <cfRule type="expression" dxfId="9240" priority="59">
      <formula>AND(IF($Q6=2,1,0),IF($X6&lt;30,1,0))</formula>
    </cfRule>
    <cfRule type="expression" dxfId="9239" priority="60">
      <formula>AND(IF($Q6=3,1,0),IF($X6&lt;30,1,0))</formula>
    </cfRule>
    <cfRule type="expression" dxfId="9238" priority="61">
      <formula>AND(IF($Q6=3,1,IF($Q6=4,1,0)),IF($F6&lt;=85,1,0))</formula>
    </cfRule>
  </conditionalFormatting>
  <conditionalFormatting sqref="AV7">
    <cfRule type="expression" dxfId="9237" priority="56">
      <formula>AV7="X"</formula>
    </cfRule>
    <cfRule type="expression" dxfId="9236" priority="57">
      <formula>AV7="후보"</formula>
    </cfRule>
  </conditionalFormatting>
  <conditionalFormatting sqref="AC7">
    <cfRule type="cellIs" dxfId="9235" priority="53" operator="greaterThan">
      <formula>0.9</formula>
    </cfRule>
    <cfRule type="cellIs" dxfId="9234" priority="54" operator="greaterThan">
      <formula>0.85</formula>
    </cfRule>
  </conditionalFormatting>
  <conditionalFormatting sqref="N7">
    <cfRule type="cellIs" dxfId="9233" priority="51" operator="greaterThan">
      <formula>0.9</formula>
    </cfRule>
    <cfRule type="cellIs" dxfId="9232" priority="52" operator="greaterThan">
      <formula>0.85</formula>
    </cfRule>
  </conditionalFormatting>
  <conditionalFormatting sqref="E7">
    <cfRule type="expression" dxfId="9231" priority="47">
      <formula>AND(IF(OR($Q7=1,$Q7=2),1,0),IF($X7&lt;=20,1,0))</formula>
    </cfRule>
    <cfRule type="expression" dxfId="9230" priority="48">
      <formula>AND(IF($Q7=2,1,0),IF($X7&lt;30,1,0))</formula>
    </cfRule>
    <cfRule type="expression" dxfId="9229" priority="49">
      <formula>AND(IF($Q7=3,1,0),IF($X7&lt;30,1,0))</formula>
    </cfRule>
    <cfRule type="expression" dxfId="9228" priority="50">
      <formula>AND(IF($Q7=3,1,IF($Q7=4,1,0)),IF($F7&lt;=85,1,0))</formula>
    </cfRule>
  </conditionalFormatting>
  <conditionalFormatting sqref="X7">
    <cfRule type="expression" dxfId="9227" priority="43">
      <formula>AND(IF(OR($Q7=1,$Q7=2),1,0),IF($X7&lt;=20,1,0))</formula>
    </cfRule>
    <cfRule type="expression" dxfId="9226" priority="44">
      <formula>AND(IF($Q7=2,1,0),IF($X7&lt;30,1,0))</formula>
    </cfRule>
    <cfRule type="expression" dxfId="9225" priority="45">
      <formula>AND(IF($Q7=3,1,0),IF($X7&lt;30,1,0))</formula>
    </cfRule>
    <cfRule type="expression" dxfId="9224" priority="46">
      <formula>AND(IF($Q7=3,1,IF($Q7=4,1,0)),IF($F7&lt;=85,1,0))</formula>
    </cfRule>
  </conditionalFormatting>
  <conditionalFormatting sqref="AI7">
    <cfRule type="expression" dxfId="9223" priority="39">
      <formula>AND(IF(OR($Q7=1,$Q7=2),1,0),IF($X7&lt;=20,1,0))</formula>
    </cfRule>
    <cfRule type="expression" dxfId="9222" priority="40">
      <formula>AND(IF($Q7=2,1,0),IF($X7&lt;30,1,0))</formula>
    </cfRule>
    <cfRule type="expression" dxfId="9221" priority="41">
      <formula>AND(IF($Q7=3,1,0),IF($X7&lt;30,1,0))</formula>
    </cfRule>
    <cfRule type="expression" dxfId="9220" priority="42">
      <formula>AND(IF($Q7=3,1,IF($Q7=4,1,0)),IF($F7&lt;=85,1,0))</formula>
    </cfRule>
  </conditionalFormatting>
  <conditionalFormatting sqref="AV8">
    <cfRule type="expression" dxfId="9219" priority="37">
      <formula>AV8="X"</formula>
    </cfRule>
    <cfRule type="expression" dxfId="9218" priority="38">
      <formula>AV8="후보"</formula>
    </cfRule>
  </conditionalFormatting>
  <conditionalFormatting sqref="AC8">
    <cfRule type="cellIs" dxfId="9217" priority="34" operator="greaterThan">
      <formula>0.9</formula>
    </cfRule>
    <cfRule type="cellIs" dxfId="9216" priority="35" operator="greaterThan">
      <formula>0.85</formula>
    </cfRule>
  </conditionalFormatting>
  <conditionalFormatting sqref="N8">
    <cfRule type="cellIs" dxfId="9215" priority="32" operator="greaterThan">
      <formula>0.9</formula>
    </cfRule>
    <cfRule type="cellIs" dxfId="9214" priority="33" operator="greaterThan">
      <formula>0.85</formula>
    </cfRule>
  </conditionalFormatting>
  <conditionalFormatting sqref="E8">
    <cfRule type="expression" dxfId="9213" priority="28">
      <formula>AND(IF(OR($Q8=1,$Q8=2),1,0),IF($X8&lt;=20,1,0))</formula>
    </cfRule>
    <cfRule type="expression" dxfId="9212" priority="29">
      <formula>AND(IF($Q8=2,1,0),IF($X8&lt;30,1,0))</formula>
    </cfRule>
    <cfRule type="expression" dxfId="9211" priority="30">
      <formula>AND(IF($Q8=3,1,0),IF($X8&lt;30,1,0))</formula>
    </cfRule>
    <cfRule type="expression" dxfId="9210" priority="31">
      <formula>AND(IF($Q8=3,1,IF($Q8=4,1,0)),IF($F8&lt;=85,1,0))</formula>
    </cfRule>
  </conditionalFormatting>
  <conditionalFormatting sqref="X8">
    <cfRule type="expression" dxfId="9209" priority="24">
      <formula>AND(IF(OR($Q8=1,$Q8=2),1,0),IF($X8&lt;=20,1,0))</formula>
    </cfRule>
    <cfRule type="expression" dxfId="9208" priority="25">
      <formula>AND(IF($Q8=2,1,0),IF($X8&lt;30,1,0))</formula>
    </cfRule>
    <cfRule type="expression" dxfId="9207" priority="26">
      <formula>AND(IF($Q8=3,1,0),IF($X8&lt;30,1,0))</formula>
    </cfRule>
    <cfRule type="expression" dxfId="9206" priority="27">
      <formula>AND(IF($Q8=3,1,IF($Q8=4,1,0)),IF($F8&lt;=85,1,0))</formula>
    </cfRule>
  </conditionalFormatting>
  <conditionalFormatting sqref="AI8">
    <cfRule type="expression" dxfId="9205" priority="20">
      <formula>AND(IF(OR($Q8=1,$Q8=2),1,0),IF($X8&lt;=20,1,0))</formula>
    </cfRule>
    <cfRule type="expression" dxfId="9204" priority="21">
      <formula>AND(IF($Q8=2,1,0),IF($X8&lt;30,1,0))</formula>
    </cfRule>
    <cfRule type="expression" dxfId="9203" priority="22">
      <formula>AND(IF($Q8=3,1,0),IF($X8&lt;30,1,0))</formula>
    </cfRule>
    <cfRule type="expression" dxfId="9202" priority="23">
      <formula>AND(IF($Q8=3,1,IF($Q8=4,1,0)),IF($F8&lt;=85,1,0))</formula>
    </cfRule>
  </conditionalFormatting>
  <conditionalFormatting sqref="AV9">
    <cfRule type="expression" dxfId="9201" priority="18">
      <formula>AV9="X"</formula>
    </cfRule>
    <cfRule type="expression" dxfId="9200" priority="19">
      <formula>AV9="후보"</formula>
    </cfRule>
  </conditionalFormatting>
  <conditionalFormatting sqref="AC9">
    <cfRule type="cellIs" dxfId="9199" priority="15" operator="greaterThan">
      <formula>0.9</formula>
    </cfRule>
    <cfRule type="cellIs" dxfId="9198" priority="16" operator="greaterThan">
      <formula>0.85</formula>
    </cfRule>
  </conditionalFormatting>
  <conditionalFormatting sqref="N9">
    <cfRule type="cellIs" dxfId="9197" priority="13" operator="greaterThan">
      <formula>0.9</formula>
    </cfRule>
    <cfRule type="cellIs" dxfId="9196" priority="14" operator="greaterThan">
      <formula>0.85</formula>
    </cfRule>
  </conditionalFormatting>
  <conditionalFormatting sqref="E9">
    <cfRule type="expression" dxfId="9195" priority="9">
      <formula>AND(IF(OR($Q9=1,$Q9=2),1,0),IF($X9&lt;=20,1,0))</formula>
    </cfRule>
    <cfRule type="expression" dxfId="9194" priority="10">
      <formula>AND(IF($Q9=2,1,0),IF($X9&lt;30,1,0))</formula>
    </cfRule>
    <cfRule type="expression" dxfId="9193" priority="11">
      <formula>AND(IF($Q9=3,1,0),IF($X9&lt;30,1,0))</formula>
    </cfRule>
    <cfRule type="expression" dxfId="9192" priority="12">
      <formula>AND(IF($Q9=3,1,IF($Q9=4,1,0)),IF($F9&lt;=85,1,0))</formula>
    </cfRule>
  </conditionalFormatting>
  <conditionalFormatting sqref="X9">
    <cfRule type="expression" dxfId="9191" priority="5">
      <formula>AND(IF(OR($Q9=1,$Q9=2),1,0),IF($X9&lt;=20,1,0))</formula>
    </cfRule>
    <cfRule type="expression" dxfId="9190" priority="6">
      <formula>AND(IF($Q9=2,1,0),IF($X9&lt;30,1,0))</formula>
    </cfRule>
    <cfRule type="expression" dxfId="9189" priority="7">
      <formula>AND(IF($Q9=3,1,0),IF($X9&lt;30,1,0))</formula>
    </cfRule>
    <cfRule type="expression" dxfId="9188" priority="8">
      <formula>AND(IF($Q9=3,1,IF($Q9=4,1,0)),IF($F9&lt;=85,1,0))</formula>
    </cfRule>
  </conditionalFormatting>
  <conditionalFormatting sqref="AI9">
    <cfRule type="expression" dxfId="9187" priority="1">
      <formula>AND(IF(OR($Q9=1,$Q9=2),1,0),IF($X9&lt;=20,1,0))</formula>
    </cfRule>
    <cfRule type="expression" dxfId="9186" priority="2">
      <formula>AND(IF($Q9=2,1,0),IF($X9&lt;30,1,0))</formula>
    </cfRule>
    <cfRule type="expression" dxfId="9185" priority="3">
      <formula>AND(IF($Q9=3,1,0),IF($X9&lt;30,1,0))</formula>
    </cfRule>
    <cfRule type="expression" dxfId="9184" priority="4">
      <formula>AND(IF($Q9=3,1,IF($Q9=4,1,0)),IF($F9&lt;=85,1,0))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4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1" sqref="A41:XFD41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덕진동2가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1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478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덕진동2가 영무예다음('09.12.,601^)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1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474</v>
      </c>
      <c r="B6" s="10" t="s">
        <v>1539</v>
      </c>
      <c r="C6" s="87">
        <v>601</v>
      </c>
      <c r="D6" s="85">
        <v>79.8</v>
      </c>
      <c r="E6" s="86">
        <v>24</v>
      </c>
      <c r="F6" s="85">
        <v>60</v>
      </c>
      <c r="G6" s="17">
        <v>18</v>
      </c>
      <c r="H6" s="87">
        <v>94</v>
      </c>
      <c r="I6" s="88">
        <v>24000</v>
      </c>
      <c r="J6" s="88" t="s">
        <v>68</v>
      </c>
      <c r="K6" s="88">
        <v>22000</v>
      </c>
      <c r="L6" s="88" t="s">
        <v>83</v>
      </c>
      <c r="M6" s="89">
        <f>I6-K6</f>
        <v>2000</v>
      </c>
      <c r="N6" s="4">
        <f>IF(ISERROR(K6/I6),"",K6/I6)</f>
        <v>0.91666666666666663</v>
      </c>
      <c r="O6" s="90">
        <f>I6/E6</f>
        <v>1000</v>
      </c>
      <c r="P6" s="90">
        <f>K6/E6</f>
        <v>916.66666666666663</v>
      </c>
      <c r="Q6" s="78">
        <v>2</v>
      </c>
      <c r="R6" s="78">
        <v>2</v>
      </c>
      <c r="S6" s="78" t="s">
        <v>59</v>
      </c>
      <c r="T6" s="5" t="s">
        <v>84</v>
      </c>
      <c r="U6" s="9"/>
      <c r="W6" s="85">
        <f t="shared" ref="W6:X8" si="2">D6</f>
        <v>79.8</v>
      </c>
      <c r="X6" s="86">
        <f t="shared" si="2"/>
        <v>24</v>
      </c>
      <c r="Y6" s="91">
        <f t="shared" ref="Y6:Z8" si="3">H6</f>
        <v>94</v>
      </c>
      <c r="Z6" s="89">
        <f t="shared" si="3"/>
        <v>24000</v>
      </c>
      <c r="AA6" s="89">
        <f>K6</f>
        <v>22000</v>
      </c>
      <c r="AB6" s="89">
        <f t="shared" ref="AB6:AD8" si="4">M6</f>
        <v>2000</v>
      </c>
      <c r="AC6" s="4">
        <f t="shared" si="4"/>
        <v>0.91666666666666663</v>
      </c>
      <c r="AD6" s="90">
        <f t="shared" si="4"/>
        <v>1000</v>
      </c>
      <c r="AE6" s="78" t="str">
        <f>S6</f>
        <v>계</v>
      </c>
      <c r="AF6" s="78" t="str">
        <f>Q6&amp;"/"&amp;R6</f>
        <v>2/2</v>
      </c>
      <c r="AH6" s="20" t="str">
        <f t="shared" si="1"/>
        <v>영무예다음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후보</v>
      </c>
    </row>
    <row r="7" spans="1:48" x14ac:dyDescent="0.3">
      <c r="A7" s="9" t="s">
        <v>474</v>
      </c>
      <c r="B7" s="10" t="s">
        <v>1539</v>
      </c>
      <c r="C7" s="87">
        <v>601</v>
      </c>
      <c r="D7" s="85">
        <v>80.599999999999994</v>
      </c>
      <c r="E7" s="86">
        <v>24</v>
      </c>
      <c r="F7" s="85">
        <v>60</v>
      </c>
      <c r="G7" s="17">
        <v>18</v>
      </c>
      <c r="H7" s="87">
        <v>275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85</v>
      </c>
      <c r="U7" s="9"/>
      <c r="W7" s="85">
        <f t="shared" si="2"/>
        <v>80.599999999999994</v>
      </c>
      <c r="X7" s="86">
        <f t="shared" si="2"/>
        <v>24</v>
      </c>
      <c r="Y7" s="91">
        <f t="shared" si="3"/>
        <v>275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영무예다음</v>
      </c>
      <c r="AI7" s="86">
        <f t="shared" si="0"/>
        <v>24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/>
      </c>
    </row>
    <row r="8" spans="1:48" x14ac:dyDescent="0.3">
      <c r="A8" s="9" t="s">
        <v>474</v>
      </c>
      <c r="B8" s="10" t="s">
        <v>1539</v>
      </c>
      <c r="C8" s="87">
        <v>601</v>
      </c>
      <c r="D8" s="85">
        <v>81.3</v>
      </c>
      <c r="E8" s="86">
        <v>25</v>
      </c>
      <c r="F8" s="85">
        <v>60</v>
      </c>
      <c r="G8" s="17">
        <v>18</v>
      </c>
      <c r="H8" s="87">
        <v>232</v>
      </c>
      <c r="I8" s="88">
        <v>22500</v>
      </c>
      <c r="J8" s="88" t="s">
        <v>68</v>
      </c>
      <c r="K8" s="88"/>
      <c r="L8" s="88"/>
      <c r="M8" s="89">
        <f>I8-K8</f>
        <v>22500</v>
      </c>
      <c r="N8" s="4">
        <f>IF(ISERROR(K8/I8),"",K8/I8)</f>
        <v>0</v>
      </c>
      <c r="O8" s="90">
        <f>I8/E8</f>
        <v>900</v>
      </c>
      <c r="P8" s="90">
        <f>K8/E8</f>
        <v>0</v>
      </c>
      <c r="Q8" s="78">
        <v>3</v>
      </c>
      <c r="R8" s="78">
        <v>2</v>
      </c>
      <c r="S8" s="78" t="s">
        <v>59</v>
      </c>
      <c r="T8" s="5">
        <v>81</v>
      </c>
      <c r="U8" s="9"/>
      <c r="W8" s="85">
        <f t="shared" si="2"/>
        <v>81.3</v>
      </c>
      <c r="X8" s="86">
        <f t="shared" si="2"/>
        <v>25</v>
      </c>
      <c r="Y8" s="91">
        <f t="shared" si="3"/>
        <v>232</v>
      </c>
      <c r="Z8" s="89">
        <f t="shared" si="3"/>
        <v>22500</v>
      </c>
      <c r="AA8" s="89">
        <f>K8</f>
        <v>0</v>
      </c>
      <c r="AB8" s="89">
        <f t="shared" si="4"/>
        <v>22500</v>
      </c>
      <c r="AC8" s="4">
        <f t="shared" si="4"/>
        <v>0</v>
      </c>
      <c r="AD8" s="90">
        <f t="shared" si="4"/>
        <v>900</v>
      </c>
      <c r="AE8" s="78" t="str">
        <f>S8</f>
        <v>계</v>
      </c>
      <c r="AF8" s="78" t="str">
        <f>Q8&amp;"/"&amp;R8</f>
        <v>3/2</v>
      </c>
      <c r="AH8" s="20" t="str">
        <f t="shared" si="1"/>
        <v>영무예다음</v>
      </c>
      <c r="AI8" s="86">
        <f t="shared" si="0"/>
        <v>25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덕진동2가 명성강변('97.01.,276^)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447</v>
      </c>
      <c r="B10" s="10" t="s">
        <v>1538</v>
      </c>
      <c r="C10" s="87">
        <v>276</v>
      </c>
      <c r="D10" s="85">
        <v>67</v>
      </c>
      <c r="E10" s="86">
        <v>20</v>
      </c>
      <c r="F10" s="85">
        <v>49.8</v>
      </c>
      <c r="G10" s="17">
        <v>15</v>
      </c>
      <c r="H10" s="87">
        <v>64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2</v>
      </c>
      <c r="R10" s="78">
        <v>1</v>
      </c>
      <c r="S10" s="78" t="s">
        <v>65</v>
      </c>
      <c r="T10" s="5">
        <v>66</v>
      </c>
      <c r="U10" s="9"/>
      <c r="W10" s="85">
        <f t="shared" ref="W10:X13" si="5">D10</f>
        <v>67</v>
      </c>
      <c r="X10" s="86">
        <f t="shared" si="5"/>
        <v>20</v>
      </c>
      <c r="Y10" s="91">
        <f t="shared" ref="Y10:Z13" si="6">H10</f>
        <v>64</v>
      </c>
      <c r="Z10" s="89">
        <f t="shared" si="6"/>
        <v>0</v>
      </c>
      <c r="AA10" s="89">
        <f>K10</f>
        <v>0</v>
      </c>
      <c r="AB10" s="89">
        <f t="shared" ref="AB10:AD13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복</v>
      </c>
      <c r="AF10" s="78" t="str">
        <f>Q10&amp;"/"&amp;R10</f>
        <v>2/1</v>
      </c>
      <c r="AH10" s="20" t="str">
        <f t="shared" si="1"/>
        <v>명성강변</v>
      </c>
      <c r="AI10" s="86">
        <f t="shared" si="0"/>
        <v>20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 t="s">
        <v>447</v>
      </c>
      <c r="B11" s="10" t="s">
        <v>1538</v>
      </c>
      <c r="C11" s="87">
        <v>276</v>
      </c>
      <c r="D11" s="85">
        <v>73.099999999999994</v>
      </c>
      <c r="E11" s="86">
        <v>22</v>
      </c>
      <c r="F11" s="85">
        <v>54.3</v>
      </c>
      <c r="G11" s="17">
        <v>16</v>
      </c>
      <c r="H11" s="87">
        <v>61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2</v>
      </c>
      <c r="R11" s="78">
        <v>1</v>
      </c>
      <c r="S11" s="78" t="s">
        <v>65</v>
      </c>
      <c r="T11" s="5">
        <v>73</v>
      </c>
      <c r="U11" s="9"/>
      <c r="W11" s="85">
        <f t="shared" si="5"/>
        <v>73.099999999999994</v>
      </c>
      <c r="X11" s="86">
        <f t="shared" si="5"/>
        <v>22</v>
      </c>
      <c r="Y11" s="91">
        <f t="shared" si="6"/>
        <v>61</v>
      </c>
      <c r="Z11" s="89">
        <f t="shared" si="6"/>
        <v>0</v>
      </c>
      <c r="AA11" s="89">
        <f>K11</f>
        <v>0</v>
      </c>
      <c r="AB11" s="89">
        <f t="shared" si="7"/>
        <v>0</v>
      </c>
      <c r="AC11" s="4" t="str">
        <f t="shared" si="7"/>
        <v/>
      </c>
      <c r="AD11" s="90">
        <f t="shared" si="7"/>
        <v>0</v>
      </c>
      <c r="AE11" s="78" t="str">
        <f>S11</f>
        <v>복</v>
      </c>
      <c r="AF11" s="78" t="str">
        <f>Q11&amp;"/"&amp;R11</f>
        <v>2/1</v>
      </c>
      <c r="AH11" s="20" t="str">
        <f t="shared" si="1"/>
        <v>명성강변</v>
      </c>
      <c r="AI11" s="86">
        <f t="shared" si="0"/>
        <v>22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447</v>
      </c>
      <c r="B12" s="10" t="s">
        <v>1538</v>
      </c>
      <c r="C12" s="87">
        <v>276</v>
      </c>
      <c r="D12" s="85">
        <v>79.3</v>
      </c>
      <c r="E12" s="86">
        <v>24</v>
      </c>
      <c r="F12" s="85">
        <v>59</v>
      </c>
      <c r="G12" s="17">
        <v>18</v>
      </c>
      <c r="H12" s="87">
        <v>54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1</v>
      </c>
      <c r="S12" s="78" t="s">
        <v>65</v>
      </c>
      <c r="T12" s="5" t="s">
        <v>84</v>
      </c>
      <c r="U12" s="9"/>
      <c r="W12" s="85">
        <f t="shared" si="5"/>
        <v>79.3</v>
      </c>
      <c r="X12" s="86">
        <f t="shared" si="5"/>
        <v>24</v>
      </c>
      <c r="Y12" s="91">
        <f t="shared" si="6"/>
        <v>54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복</v>
      </c>
      <c r="AF12" s="78" t="str">
        <f>Q12&amp;"/"&amp;R12</f>
        <v>3/1</v>
      </c>
      <c r="AH12" s="20" t="str">
        <f t="shared" si="1"/>
        <v>명성강변</v>
      </c>
      <c r="AI12" s="86">
        <f t="shared" si="0"/>
        <v>24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 t="s">
        <v>447</v>
      </c>
      <c r="B13" s="10" t="s">
        <v>1538</v>
      </c>
      <c r="C13" s="87">
        <v>276</v>
      </c>
      <c r="D13" s="85">
        <v>80.7</v>
      </c>
      <c r="E13" s="86">
        <v>24</v>
      </c>
      <c r="F13" s="85">
        <v>60</v>
      </c>
      <c r="G13" s="17">
        <v>18</v>
      </c>
      <c r="H13" s="87">
        <v>97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1</v>
      </c>
      <c r="S13" s="78" t="s">
        <v>65</v>
      </c>
      <c r="T13" s="5" t="s">
        <v>85</v>
      </c>
      <c r="U13" s="9"/>
      <c r="W13" s="85">
        <f t="shared" si="5"/>
        <v>80.7</v>
      </c>
      <c r="X13" s="86">
        <f t="shared" si="5"/>
        <v>24</v>
      </c>
      <c r="Y13" s="91">
        <f t="shared" si="6"/>
        <v>97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복</v>
      </c>
      <c r="AF13" s="78" t="str">
        <f>Q13&amp;"/"&amp;R13</f>
        <v>3/1</v>
      </c>
      <c r="AH13" s="20" t="str">
        <f t="shared" si="1"/>
        <v>명성강변</v>
      </c>
      <c r="AI13" s="86">
        <f t="shared" si="0"/>
        <v>24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덕진동2가 하가더루벤스('12.06.,413^)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482</v>
      </c>
      <c r="B15" s="10" t="s">
        <v>1540</v>
      </c>
      <c r="C15" s="87">
        <v>413</v>
      </c>
      <c r="D15" s="85">
        <v>109.7</v>
      </c>
      <c r="E15" s="86">
        <v>33</v>
      </c>
      <c r="F15" s="85">
        <v>84.8</v>
      </c>
      <c r="G15" s="17">
        <v>26</v>
      </c>
      <c r="H15" s="87">
        <v>140</v>
      </c>
      <c r="I15" s="88">
        <v>38800</v>
      </c>
      <c r="J15" s="88" t="s">
        <v>69</v>
      </c>
      <c r="K15" s="88"/>
      <c r="L15" s="88"/>
      <c r="M15" s="89">
        <f>I15-K15</f>
        <v>38800</v>
      </c>
      <c r="N15" s="4">
        <f>IF(ISERROR(K15/I15),"",K15/I15)</f>
        <v>0</v>
      </c>
      <c r="O15" s="90">
        <f>I15/E15</f>
        <v>1175.7575757575758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 t="s">
        <v>86</v>
      </c>
      <c r="U15" s="9"/>
      <c r="W15" s="85">
        <f t="shared" ref="W15:X19" si="8">D15</f>
        <v>109.7</v>
      </c>
      <c r="X15" s="86">
        <f t="shared" si="8"/>
        <v>33</v>
      </c>
      <c r="Y15" s="91">
        <f t="shared" ref="Y15:Z19" si="9">H15</f>
        <v>140</v>
      </c>
      <c r="Z15" s="89">
        <f t="shared" si="9"/>
        <v>38800</v>
      </c>
      <c r="AA15" s="89">
        <f>K15</f>
        <v>0</v>
      </c>
      <c r="AB15" s="89">
        <f t="shared" ref="AB15:AD19" si="10">M15</f>
        <v>38800</v>
      </c>
      <c r="AC15" s="4">
        <f t="shared" si="10"/>
        <v>0</v>
      </c>
      <c r="AD15" s="90">
        <f t="shared" si="10"/>
        <v>1175.7575757575758</v>
      </c>
      <c r="AE15" s="78" t="str">
        <f>S15</f>
        <v>계</v>
      </c>
      <c r="AF15" s="78" t="str">
        <f>Q15&amp;"/"&amp;R15</f>
        <v>3/2</v>
      </c>
      <c r="AH15" s="20" t="str">
        <f t="shared" si="1"/>
        <v>하가더루벤스</v>
      </c>
      <c r="AI15" s="86">
        <f t="shared" si="0"/>
        <v>33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482</v>
      </c>
      <c r="B16" s="10" t="s">
        <v>1540</v>
      </c>
      <c r="C16" s="87">
        <v>413</v>
      </c>
      <c r="D16" s="85">
        <v>109.8</v>
      </c>
      <c r="E16" s="86">
        <v>33</v>
      </c>
      <c r="F16" s="85">
        <v>84.9</v>
      </c>
      <c r="G16" s="17">
        <v>26</v>
      </c>
      <c r="H16" s="87">
        <v>138</v>
      </c>
      <c r="I16" s="88">
        <v>40000</v>
      </c>
      <c r="J16" s="88" t="s">
        <v>87</v>
      </c>
      <c r="K16" s="88"/>
      <c r="L16" s="88"/>
      <c r="M16" s="89">
        <f>I16-K16</f>
        <v>40000</v>
      </c>
      <c r="N16" s="4">
        <f>IF(ISERROR(K16/I16),"",K16/I16)</f>
        <v>0</v>
      </c>
      <c r="O16" s="90">
        <f>I16/E16</f>
        <v>1212.121212121212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 t="s">
        <v>88</v>
      </c>
      <c r="U16" s="9"/>
      <c r="W16" s="85">
        <f t="shared" si="8"/>
        <v>109.8</v>
      </c>
      <c r="X16" s="86">
        <f t="shared" si="8"/>
        <v>33</v>
      </c>
      <c r="Y16" s="91">
        <f t="shared" si="9"/>
        <v>138</v>
      </c>
      <c r="Z16" s="89">
        <f t="shared" si="9"/>
        <v>40000</v>
      </c>
      <c r="AA16" s="89">
        <f>K16</f>
        <v>0</v>
      </c>
      <c r="AB16" s="89">
        <f t="shared" si="10"/>
        <v>40000</v>
      </c>
      <c r="AC16" s="4">
        <f t="shared" si="10"/>
        <v>0</v>
      </c>
      <c r="AD16" s="90">
        <f t="shared" si="10"/>
        <v>1212.121212121212</v>
      </c>
      <c r="AE16" s="78" t="str">
        <f>S16</f>
        <v>계</v>
      </c>
      <c r="AF16" s="78" t="str">
        <f>Q16&amp;"/"&amp;R16</f>
        <v>3/2</v>
      </c>
      <c r="AH16" s="20" t="str">
        <f t="shared" si="1"/>
        <v>하가더루벤스</v>
      </c>
      <c r="AI16" s="86">
        <f t="shared" si="0"/>
        <v>33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482</v>
      </c>
      <c r="B17" s="10" t="s">
        <v>1540</v>
      </c>
      <c r="C17" s="87">
        <v>413</v>
      </c>
      <c r="D17" s="85">
        <v>109.9</v>
      </c>
      <c r="E17" s="86">
        <v>33</v>
      </c>
      <c r="F17" s="85">
        <v>85</v>
      </c>
      <c r="G17" s="17">
        <v>26</v>
      </c>
      <c r="H17" s="87">
        <v>69</v>
      </c>
      <c r="I17" s="88">
        <v>36500</v>
      </c>
      <c r="J17" s="88" t="s">
        <v>89</v>
      </c>
      <c r="K17" s="88">
        <v>34000</v>
      </c>
      <c r="L17" s="88" t="s">
        <v>72</v>
      </c>
      <c r="M17" s="89">
        <f>I17-K17</f>
        <v>2500</v>
      </c>
      <c r="N17" s="4">
        <f>IF(ISERROR(K17/I17),"",K17/I17)</f>
        <v>0.93150684931506844</v>
      </c>
      <c r="O17" s="90">
        <f>I17/E17</f>
        <v>1106.060606060606</v>
      </c>
      <c r="P17" s="90">
        <f>K17/E17</f>
        <v>1030.3030303030303</v>
      </c>
      <c r="Q17" s="78">
        <v>3</v>
      </c>
      <c r="R17" s="78">
        <v>2</v>
      </c>
      <c r="S17" s="78" t="s">
        <v>59</v>
      </c>
      <c r="T17" s="5" t="s">
        <v>71</v>
      </c>
      <c r="U17" s="9"/>
      <c r="W17" s="85">
        <f t="shared" si="8"/>
        <v>109.9</v>
      </c>
      <c r="X17" s="86">
        <f t="shared" si="8"/>
        <v>33</v>
      </c>
      <c r="Y17" s="91">
        <f t="shared" si="9"/>
        <v>69</v>
      </c>
      <c r="Z17" s="89">
        <f t="shared" si="9"/>
        <v>36500</v>
      </c>
      <c r="AA17" s="89">
        <f>K17</f>
        <v>34000</v>
      </c>
      <c r="AB17" s="89">
        <f t="shared" si="10"/>
        <v>2500</v>
      </c>
      <c r="AC17" s="4">
        <f t="shared" si="10"/>
        <v>0.93150684931506844</v>
      </c>
      <c r="AD17" s="90">
        <f t="shared" si="10"/>
        <v>1106.060606060606</v>
      </c>
      <c r="AE17" s="78" t="str">
        <f>S17</f>
        <v>계</v>
      </c>
      <c r="AF17" s="78" t="str">
        <f>Q17&amp;"/"&amp;R17</f>
        <v>3/2</v>
      </c>
      <c r="AH17" s="20" t="str">
        <f t="shared" si="1"/>
        <v>하가더루벤스</v>
      </c>
      <c r="AI17" s="86">
        <f t="shared" si="0"/>
        <v>33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O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후보</v>
      </c>
    </row>
    <row r="18" spans="1:48" x14ac:dyDescent="0.3">
      <c r="A18" s="9" t="s">
        <v>482</v>
      </c>
      <c r="B18" s="10" t="s">
        <v>1540</v>
      </c>
      <c r="C18" s="87">
        <v>413</v>
      </c>
      <c r="D18" s="85">
        <v>109.9</v>
      </c>
      <c r="E18" s="86">
        <v>33</v>
      </c>
      <c r="F18" s="85">
        <v>84.9</v>
      </c>
      <c r="G18" s="17">
        <v>26</v>
      </c>
      <c r="H18" s="87">
        <v>44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59</v>
      </c>
      <c r="T18" s="5" t="s">
        <v>90</v>
      </c>
      <c r="U18" s="9"/>
      <c r="W18" s="85">
        <f t="shared" si="8"/>
        <v>109.9</v>
      </c>
      <c r="X18" s="86">
        <f t="shared" si="8"/>
        <v>33</v>
      </c>
      <c r="Y18" s="91">
        <f t="shared" si="9"/>
        <v>44</v>
      </c>
      <c r="Z18" s="89">
        <f t="shared" si="9"/>
        <v>0</v>
      </c>
      <c r="AA18" s="89">
        <f>K18</f>
        <v>0</v>
      </c>
      <c r="AB18" s="89">
        <f t="shared" si="10"/>
        <v>0</v>
      </c>
      <c r="AC18" s="4" t="str">
        <f t="shared" si="10"/>
        <v/>
      </c>
      <c r="AD18" s="90">
        <f t="shared" si="10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하가더루벤스</v>
      </c>
      <c r="AI18" s="86">
        <f t="shared" si="0"/>
        <v>33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/>
      </c>
    </row>
    <row r="19" spans="1:48" x14ac:dyDescent="0.3">
      <c r="A19" s="9" t="s">
        <v>482</v>
      </c>
      <c r="B19" s="10" t="s">
        <v>1540</v>
      </c>
      <c r="C19" s="87">
        <v>413</v>
      </c>
      <c r="D19" s="85">
        <v>110.1</v>
      </c>
      <c r="E19" s="86">
        <v>33</v>
      </c>
      <c r="F19" s="85">
        <v>85</v>
      </c>
      <c r="G19" s="17">
        <v>26</v>
      </c>
      <c r="H19" s="87">
        <v>22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 t="s">
        <v>91</v>
      </c>
      <c r="U19" s="9"/>
      <c r="W19" s="85">
        <f t="shared" si="8"/>
        <v>110.1</v>
      </c>
      <c r="X19" s="86">
        <f t="shared" si="8"/>
        <v>33</v>
      </c>
      <c r="Y19" s="91">
        <f t="shared" si="9"/>
        <v>22</v>
      </c>
      <c r="Z19" s="89">
        <f t="shared" si="9"/>
        <v>0</v>
      </c>
      <c r="AA19" s="89">
        <f>K19</f>
        <v>0</v>
      </c>
      <c r="AB19" s="89">
        <f t="shared" si="10"/>
        <v>0</v>
      </c>
      <c r="AC19" s="4" t="str">
        <f t="shared" si="10"/>
        <v/>
      </c>
      <c r="AD19" s="90">
        <f t="shared" si="10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하가더루벤스</v>
      </c>
      <c r="AI19" s="86">
        <f t="shared" si="0"/>
        <v>33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덕진동2가 제일오투그란데('13.01.,319^)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8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487</v>
      </c>
      <c r="B21" s="10" t="s">
        <v>1541</v>
      </c>
      <c r="C21" s="87">
        <v>319</v>
      </c>
      <c r="D21" s="85">
        <v>106.4</v>
      </c>
      <c r="E21" s="86">
        <v>32</v>
      </c>
      <c r="F21" s="85">
        <v>76.599999999999994</v>
      </c>
      <c r="G21" s="17">
        <v>23</v>
      </c>
      <c r="H21" s="87">
        <v>117</v>
      </c>
      <c r="I21" s="88">
        <v>37000</v>
      </c>
      <c r="J21" s="88" t="s">
        <v>82</v>
      </c>
      <c r="K21" s="88">
        <v>33000</v>
      </c>
      <c r="L21" s="88" t="s">
        <v>87</v>
      </c>
      <c r="M21" s="89">
        <f>I21-K21</f>
        <v>4000</v>
      </c>
      <c r="N21" s="4">
        <f>IF(ISERROR(K21/I21),"",K21/I21)</f>
        <v>0.89189189189189189</v>
      </c>
      <c r="O21" s="90">
        <f>I21/E21</f>
        <v>1156.25</v>
      </c>
      <c r="P21" s="90">
        <f>K21/E21</f>
        <v>1031.25</v>
      </c>
      <c r="Q21" s="78">
        <v>3</v>
      </c>
      <c r="R21" s="78">
        <v>2</v>
      </c>
      <c r="S21" s="78" t="s">
        <v>59</v>
      </c>
      <c r="T21" s="5" t="s">
        <v>92</v>
      </c>
      <c r="U21" s="9"/>
      <c r="W21" s="85">
        <f t="shared" ref="W21:X25" si="11">D21</f>
        <v>106.4</v>
      </c>
      <c r="X21" s="86">
        <f t="shared" si="11"/>
        <v>32</v>
      </c>
      <c r="Y21" s="91">
        <f t="shared" ref="Y21:Z25" si="12">H21</f>
        <v>117</v>
      </c>
      <c r="Z21" s="89">
        <f t="shared" si="12"/>
        <v>37000</v>
      </c>
      <c r="AA21" s="89">
        <f>K21</f>
        <v>33000</v>
      </c>
      <c r="AB21" s="89">
        <f t="shared" ref="AB21:AD25" si="13">M21</f>
        <v>4000</v>
      </c>
      <c r="AC21" s="4">
        <f t="shared" si="13"/>
        <v>0.89189189189189189</v>
      </c>
      <c r="AD21" s="90">
        <f t="shared" si="13"/>
        <v>1156.25</v>
      </c>
      <c r="AE21" s="78" t="str">
        <f>S21</f>
        <v>계</v>
      </c>
      <c r="AF21" s="78" t="str">
        <f>Q21&amp;"/"&amp;R21</f>
        <v>3/2</v>
      </c>
      <c r="AH21" s="20" t="str">
        <f t="shared" si="1"/>
        <v>제일오투그란데</v>
      </c>
      <c r="AI21" s="86">
        <f t="shared" si="0"/>
        <v>32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O</v>
      </c>
      <c r="AP21" s="78" t="str">
        <f>IF(I21="","",IF(I21&lt;=$AP$1,"O","X"))</f>
        <v>O</v>
      </c>
      <c r="AQ21" s="78" t="str">
        <f>IF(O21="","",IF(O21&lt;=$AQ$1,"O","X"))</f>
        <v>X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후보</v>
      </c>
    </row>
    <row r="22" spans="1:48" x14ac:dyDescent="0.3">
      <c r="A22" s="9" t="s">
        <v>487</v>
      </c>
      <c r="B22" s="10" t="s">
        <v>1541</v>
      </c>
      <c r="C22" s="87">
        <v>319</v>
      </c>
      <c r="D22" s="85">
        <v>115.7</v>
      </c>
      <c r="E22" s="86">
        <v>35</v>
      </c>
      <c r="F22" s="85">
        <v>84.1</v>
      </c>
      <c r="G22" s="17">
        <v>25</v>
      </c>
      <c r="H22" s="87">
        <v>57</v>
      </c>
      <c r="I22" s="88">
        <v>40000</v>
      </c>
      <c r="J22" s="88" t="s">
        <v>93</v>
      </c>
      <c r="K22" s="88"/>
      <c r="L22" s="88"/>
      <c r="M22" s="89">
        <f>I22-K22</f>
        <v>40000</v>
      </c>
      <c r="N22" s="4">
        <f>IF(ISERROR(K22/I22),"",K22/I22)</f>
        <v>0</v>
      </c>
      <c r="O22" s="90">
        <f>I22/E22</f>
        <v>1142.8571428571429</v>
      </c>
      <c r="P22" s="90">
        <f>K22/E22</f>
        <v>0</v>
      </c>
      <c r="Q22" s="78">
        <v>3</v>
      </c>
      <c r="R22" s="78">
        <v>2</v>
      </c>
      <c r="S22" s="78" t="s">
        <v>59</v>
      </c>
      <c r="T22" s="5" t="s">
        <v>94</v>
      </c>
      <c r="U22" s="9"/>
      <c r="W22" s="85">
        <f t="shared" si="11"/>
        <v>115.7</v>
      </c>
      <c r="X22" s="86">
        <f t="shared" si="11"/>
        <v>35</v>
      </c>
      <c r="Y22" s="91">
        <f t="shared" si="12"/>
        <v>57</v>
      </c>
      <c r="Z22" s="89">
        <f t="shared" si="12"/>
        <v>40000</v>
      </c>
      <c r="AA22" s="89">
        <f>K22</f>
        <v>0</v>
      </c>
      <c r="AB22" s="89">
        <f t="shared" si="13"/>
        <v>40000</v>
      </c>
      <c r="AC22" s="4">
        <f t="shared" si="13"/>
        <v>0</v>
      </c>
      <c r="AD22" s="90">
        <f t="shared" si="13"/>
        <v>1142.8571428571429</v>
      </c>
      <c r="AE22" s="78" t="str">
        <f>S22</f>
        <v>계</v>
      </c>
      <c r="AF22" s="78" t="str">
        <f>Q22&amp;"/"&amp;R22</f>
        <v>3/2</v>
      </c>
      <c r="AH22" s="20" t="str">
        <f t="shared" si="1"/>
        <v>제일오투그란데</v>
      </c>
      <c r="AI22" s="86">
        <f t="shared" si="0"/>
        <v>35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487</v>
      </c>
      <c r="B23" s="10" t="s">
        <v>1541</v>
      </c>
      <c r="C23" s="87">
        <v>319</v>
      </c>
      <c r="D23" s="85">
        <v>115.2</v>
      </c>
      <c r="E23" s="86">
        <v>35</v>
      </c>
      <c r="F23" s="85">
        <v>83.7</v>
      </c>
      <c r="G23" s="17">
        <v>25</v>
      </c>
      <c r="H23" s="87">
        <v>9</v>
      </c>
      <c r="I23" s="88"/>
      <c r="J23" s="88"/>
      <c r="K23" s="88"/>
      <c r="L23" s="88"/>
      <c r="M23" s="89">
        <f>I23-K23</f>
        <v>0</v>
      </c>
      <c r="N23" s="4" t="str">
        <f>IF(ISERROR(K23/I23),"",K23/I23)</f>
        <v/>
      </c>
      <c r="O23" s="90">
        <f>I23/E23</f>
        <v>0</v>
      </c>
      <c r="P23" s="90">
        <f>K23/E23</f>
        <v>0</v>
      </c>
      <c r="Q23" s="78">
        <v>3</v>
      </c>
      <c r="R23" s="78">
        <v>2</v>
      </c>
      <c r="S23" s="78" t="s">
        <v>59</v>
      </c>
      <c r="T23" s="5" t="s">
        <v>95</v>
      </c>
      <c r="U23" s="9"/>
      <c r="W23" s="85">
        <f t="shared" si="11"/>
        <v>115.2</v>
      </c>
      <c r="X23" s="86">
        <f t="shared" si="11"/>
        <v>35</v>
      </c>
      <c r="Y23" s="91">
        <f t="shared" si="12"/>
        <v>9</v>
      </c>
      <c r="Z23" s="89">
        <f t="shared" si="12"/>
        <v>0</v>
      </c>
      <c r="AA23" s="89">
        <f>K23</f>
        <v>0</v>
      </c>
      <c r="AB23" s="89">
        <f t="shared" si="13"/>
        <v>0</v>
      </c>
      <c r="AC23" s="4" t="str">
        <f t="shared" si="13"/>
        <v/>
      </c>
      <c r="AD23" s="90">
        <f t="shared" si="13"/>
        <v>0</v>
      </c>
      <c r="AE23" s="78" t="str">
        <f>S23</f>
        <v>계</v>
      </c>
      <c r="AF23" s="78" t="str">
        <f>Q23&amp;"/"&amp;R23</f>
        <v>3/2</v>
      </c>
      <c r="AH23" s="20" t="str">
        <f t="shared" si="1"/>
        <v>제일오투그란데</v>
      </c>
      <c r="AI23" s="86">
        <f t="shared" si="0"/>
        <v>35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/>
      </c>
      <c r="AP23" s="78" t="str">
        <f>IF(I23="","",IF(I23&lt;=$AP$1,"O","X"))</f>
        <v/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/>
      </c>
    </row>
    <row r="24" spans="1:48" x14ac:dyDescent="0.3">
      <c r="A24" s="9" t="s">
        <v>487</v>
      </c>
      <c r="B24" s="10" t="s">
        <v>1541</v>
      </c>
      <c r="C24" s="87">
        <v>319</v>
      </c>
      <c r="D24" s="85">
        <v>117.5</v>
      </c>
      <c r="E24" s="86">
        <v>36</v>
      </c>
      <c r="F24" s="85">
        <v>84.6</v>
      </c>
      <c r="G24" s="17">
        <v>26</v>
      </c>
      <c r="H24" s="87">
        <v>127</v>
      </c>
      <c r="I24" s="88">
        <v>39500</v>
      </c>
      <c r="J24" s="88" t="s">
        <v>93</v>
      </c>
      <c r="K24" s="88"/>
      <c r="L24" s="88"/>
      <c r="M24" s="89">
        <f>I24-K24</f>
        <v>39500</v>
      </c>
      <c r="N24" s="4">
        <f>IF(ISERROR(K24/I24),"",K24/I24)</f>
        <v>0</v>
      </c>
      <c r="O24" s="90">
        <f>I24/E24</f>
        <v>1097.2222222222222</v>
      </c>
      <c r="P24" s="90">
        <f>K24/E24</f>
        <v>0</v>
      </c>
      <c r="Q24" s="78">
        <v>3</v>
      </c>
      <c r="R24" s="78">
        <v>2</v>
      </c>
      <c r="S24" s="78" t="s">
        <v>59</v>
      </c>
      <c r="T24" s="5" t="s">
        <v>96</v>
      </c>
      <c r="U24" s="9"/>
      <c r="W24" s="85">
        <f t="shared" si="11"/>
        <v>117.5</v>
      </c>
      <c r="X24" s="86">
        <f t="shared" si="11"/>
        <v>36</v>
      </c>
      <c r="Y24" s="91">
        <f t="shared" si="12"/>
        <v>127</v>
      </c>
      <c r="Z24" s="89">
        <f t="shared" si="12"/>
        <v>39500</v>
      </c>
      <c r="AA24" s="89">
        <f>K24</f>
        <v>0</v>
      </c>
      <c r="AB24" s="89">
        <f t="shared" si="13"/>
        <v>39500</v>
      </c>
      <c r="AC24" s="4">
        <f t="shared" si="13"/>
        <v>0</v>
      </c>
      <c r="AD24" s="90">
        <f t="shared" si="13"/>
        <v>1097.2222222222222</v>
      </c>
      <c r="AE24" s="78" t="str">
        <f>S24</f>
        <v>계</v>
      </c>
      <c r="AF24" s="78" t="str">
        <f>Q24&amp;"/"&amp;R24</f>
        <v>3/2</v>
      </c>
      <c r="AH24" s="20" t="str">
        <f t="shared" si="1"/>
        <v>제일오투그란데</v>
      </c>
      <c r="AI24" s="86">
        <f t="shared" si="0"/>
        <v>36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487</v>
      </c>
      <c r="B25" s="10" t="s">
        <v>1541</v>
      </c>
      <c r="C25" s="87">
        <v>319</v>
      </c>
      <c r="D25" s="85">
        <v>117.6</v>
      </c>
      <c r="E25" s="86">
        <v>36</v>
      </c>
      <c r="F25" s="85">
        <v>84.7</v>
      </c>
      <c r="G25" s="17">
        <v>26</v>
      </c>
      <c r="H25" s="87">
        <v>9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59</v>
      </c>
      <c r="T25" s="5" t="s">
        <v>97</v>
      </c>
      <c r="U25" s="9"/>
      <c r="W25" s="85">
        <f t="shared" si="11"/>
        <v>117.6</v>
      </c>
      <c r="X25" s="86">
        <f t="shared" si="11"/>
        <v>36</v>
      </c>
      <c r="Y25" s="91">
        <f t="shared" si="12"/>
        <v>9</v>
      </c>
      <c r="Z25" s="89">
        <f t="shared" si="12"/>
        <v>0</v>
      </c>
      <c r="AA25" s="89">
        <f>K25</f>
        <v>0</v>
      </c>
      <c r="AB25" s="89">
        <f t="shared" si="13"/>
        <v>0</v>
      </c>
      <c r="AC25" s="4" t="str">
        <f t="shared" si="13"/>
        <v/>
      </c>
      <c r="AD25" s="90">
        <f t="shared" si="13"/>
        <v>0</v>
      </c>
      <c r="AE25" s="78" t="str">
        <f>S25</f>
        <v>계</v>
      </c>
      <c r="AF25" s="78" t="str">
        <f>Q25&amp;"/"&amp;R25</f>
        <v>3/2</v>
      </c>
      <c r="AH25" s="20" t="str">
        <f t="shared" si="1"/>
        <v>제일오투그란데</v>
      </c>
      <c r="AI25" s="86">
        <f t="shared" si="0"/>
        <v>36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/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덕진동2가 전주하가휴먼빌('10.04.,331^)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497</v>
      </c>
      <c r="B27" s="10" t="s">
        <v>1542</v>
      </c>
      <c r="C27" s="87">
        <v>331</v>
      </c>
      <c r="D27" s="85">
        <v>109.5</v>
      </c>
      <c r="E27" s="86">
        <v>33</v>
      </c>
      <c r="F27" s="85">
        <v>85</v>
      </c>
      <c r="G27" s="17">
        <v>26</v>
      </c>
      <c r="H27" s="87">
        <v>211</v>
      </c>
      <c r="I27" s="88">
        <v>35500</v>
      </c>
      <c r="J27" s="88" t="s">
        <v>87</v>
      </c>
      <c r="K27" s="88"/>
      <c r="L27" s="88"/>
      <c r="M27" s="89">
        <f>I27-K27</f>
        <v>35500</v>
      </c>
      <c r="N27" s="4">
        <f>IF(ISERROR(K27/I27),"",K27/I27)</f>
        <v>0</v>
      </c>
      <c r="O27" s="90">
        <f>I27/E27</f>
        <v>1075.7575757575758</v>
      </c>
      <c r="P27" s="90">
        <f>K27/E27</f>
        <v>0</v>
      </c>
      <c r="Q27" s="78">
        <v>3</v>
      </c>
      <c r="R27" s="78">
        <v>2</v>
      </c>
      <c r="S27" s="78" t="s">
        <v>59</v>
      </c>
      <c r="T27" s="5" t="s">
        <v>71</v>
      </c>
      <c r="U27" s="9"/>
      <c r="W27" s="85">
        <f t="shared" ref="W27:X29" si="14">D27</f>
        <v>109.5</v>
      </c>
      <c r="X27" s="86">
        <f t="shared" si="14"/>
        <v>33</v>
      </c>
      <c r="Y27" s="91">
        <f t="shared" ref="Y27:Z29" si="15">H27</f>
        <v>211</v>
      </c>
      <c r="Z27" s="89">
        <f t="shared" si="15"/>
        <v>35500</v>
      </c>
      <c r="AA27" s="89">
        <f>K27</f>
        <v>0</v>
      </c>
      <c r="AB27" s="89">
        <f t="shared" ref="AB27:AD29" si="16">M27</f>
        <v>35500</v>
      </c>
      <c r="AC27" s="4">
        <f t="shared" si="16"/>
        <v>0</v>
      </c>
      <c r="AD27" s="90">
        <f t="shared" si="16"/>
        <v>1075.7575757575758</v>
      </c>
      <c r="AE27" s="78" t="str">
        <f>S27</f>
        <v>계</v>
      </c>
      <c r="AF27" s="78" t="str">
        <f>Q27&amp;"/"&amp;R27</f>
        <v>3/2</v>
      </c>
      <c r="AH27" s="20" t="str">
        <f t="shared" si="1"/>
        <v>전주하가휴먼빌</v>
      </c>
      <c r="AI27" s="86">
        <f t="shared" si="0"/>
        <v>33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>X</v>
      </c>
      <c r="AP27" s="78" t="str">
        <f>IF(I27="","",IF(I27&lt;=$AP$1,"O","X"))</f>
        <v>O</v>
      </c>
      <c r="AQ27" s="78" t="str">
        <f>IF(O27="","",IF(O27&lt;=$AQ$1,"O","X"))</f>
        <v>X</v>
      </c>
      <c r="AR27" s="78" t="str">
        <f>IF(M27="","",IF(M27&lt;=$AR$1,"O","X"))</f>
        <v>X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>X</v>
      </c>
    </row>
    <row r="28" spans="1:48" x14ac:dyDescent="0.3">
      <c r="A28" s="9" t="s">
        <v>497</v>
      </c>
      <c r="B28" s="10" t="s">
        <v>1542</v>
      </c>
      <c r="C28" s="87">
        <v>331</v>
      </c>
      <c r="D28" s="85">
        <v>109</v>
      </c>
      <c r="E28" s="86">
        <v>33</v>
      </c>
      <c r="F28" s="85">
        <v>85</v>
      </c>
      <c r="G28" s="17">
        <v>26</v>
      </c>
      <c r="H28" s="87">
        <v>119</v>
      </c>
      <c r="I28" s="88">
        <v>36000</v>
      </c>
      <c r="J28" s="88" t="s">
        <v>82</v>
      </c>
      <c r="K28" s="88"/>
      <c r="L28" s="88"/>
      <c r="M28" s="89">
        <f>I28-K28</f>
        <v>36000</v>
      </c>
      <c r="N28" s="4">
        <f>IF(ISERROR(K28/I28),"",K28/I28)</f>
        <v>0</v>
      </c>
      <c r="O28" s="90">
        <f>I28/E28</f>
        <v>1090.909090909091</v>
      </c>
      <c r="P28" s="90">
        <f>K28/E28</f>
        <v>0</v>
      </c>
      <c r="Q28" s="78">
        <v>3</v>
      </c>
      <c r="R28" s="78">
        <v>2</v>
      </c>
      <c r="S28" s="78" t="s">
        <v>59</v>
      </c>
      <c r="T28" s="5" t="s">
        <v>86</v>
      </c>
      <c r="U28" s="9"/>
      <c r="W28" s="85">
        <f t="shared" si="14"/>
        <v>109</v>
      </c>
      <c r="X28" s="86">
        <f t="shared" si="14"/>
        <v>33</v>
      </c>
      <c r="Y28" s="91">
        <f t="shared" si="15"/>
        <v>119</v>
      </c>
      <c r="Z28" s="89">
        <f t="shared" si="15"/>
        <v>36000</v>
      </c>
      <c r="AA28" s="89">
        <f>K28</f>
        <v>0</v>
      </c>
      <c r="AB28" s="89">
        <f t="shared" si="16"/>
        <v>36000</v>
      </c>
      <c r="AC28" s="4">
        <f t="shared" si="16"/>
        <v>0</v>
      </c>
      <c r="AD28" s="90">
        <f t="shared" si="16"/>
        <v>1090.909090909091</v>
      </c>
      <c r="AE28" s="78" t="str">
        <f>S28</f>
        <v>계</v>
      </c>
      <c r="AF28" s="78" t="str">
        <f>Q28&amp;"/"&amp;R28</f>
        <v>3/2</v>
      </c>
      <c r="AH28" s="20" t="str">
        <f t="shared" si="1"/>
        <v>전주하가휴먼빌</v>
      </c>
      <c r="AI28" s="86">
        <f t="shared" si="0"/>
        <v>33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O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497</v>
      </c>
      <c r="B29" s="10" t="s">
        <v>1542</v>
      </c>
      <c r="C29" s="87">
        <v>331</v>
      </c>
      <c r="D29" s="85">
        <v>109.5</v>
      </c>
      <c r="E29" s="86">
        <v>33</v>
      </c>
      <c r="F29" s="85">
        <v>85</v>
      </c>
      <c r="G29" s="17">
        <v>26</v>
      </c>
      <c r="H29" s="87">
        <v>1</v>
      </c>
      <c r="I29" s="88">
        <v>35500</v>
      </c>
      <c r="J29" s="88" t="s">
        <v>87</v>
      </c>
      <c r="K29" s="88"/>
      <c r="L29" s="88"/>
      <c r="M29" s="89">
        <f>I29-K29</f>
        <v>35500</v>
      </c>
      <c r="N29" s="4">
        <f>IF(ISERROR(K29/I29),"",K29/I29)</f>
        <v>0</v>
      </c>
      <c r="O29" s="90">
        <f>I29/E29</f>
        <v>1075.7575757575758</v>
      </c>
      <c r="P29" s="90">
        <f>K29/E29</f>
        <v>0</v>
      </c>
      <c r="Q29" s="78">
        <v>3</v>
      </c>
      <c r="R29" s="78">
        <v>2</v>
      </c>
      <c r="S29" s="78" t="s">
        <v>59</v>
      </c>
      <c r="T29" s="5" t="s">
        <v>70</v>
      </c>
      <c r="U29" s="9"/>
      <c r="W29" s="85">
        <f t="shared" si="14"/>
        <v>109.5</v>
      </c>
      <c r="X29" s="86">
        <f t="shared" si="14"/>
        <v>33</v>
      </c>
      <c r="Y29" s="91">
        <f t="shared" si="15"/>
        <v>1</v>
      </c>
      <c r="Z29" s="89">
        <f t="shared" si="15"/>
        <v>35500</v>
      </c>
      <c r="AA29" s="89">
        <f>K29</f>
        <v>0</v>
      </c>
      <c r="AB29" s="89">
        <f t="shared" si="16"/>
        <v>35500</v>
      </c>
      <c r="AC29" s="4">
        <f t="shared" si="16"/>
        <v>0</v>
      </c>
      <c r="AD29" s="90">
        <f t="shared" si="16"/>
        <v>1075.7575757575758</v>
      </c>
      <c r="AE29" s="78" t="str">
        <f>S29</f>
        <v>계</v>
      </c>
      <c r="AF29" s="78" t="str">
        <f>Q29&amp;"/"&amp;R29</f>
        <v>3/2</v>
      </c>
      <c r="AH29" s="20" t="str">
        <f t="shared" si="1"/>
        <v>전주하가휴먼빌</v>
      </c>
      <c r="AI29" s="86">
        <f t="shared" si="0"/>
        <v>33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O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덕진동2가 오성유토피아('89.04.,240^)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8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502</v>
      </c>
      <c r="B31" s="10" t="s">
        <v>1543</v>
      </c>
      <c r="C31" s="87">
        <v>240</v>
      </c>
      <c r="D31" s="85">
        <v>96</v>
      </c>
      <c r="E31" s="86">
        <v>29</v>
      </c>
      <c r="F31" s="85">
        <v>84.2</v>
      </c>
      <c r="G31" s="17">
        <v>25</v>
      </c>
      <c r="H31" s="87">
        <v>30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3</v>
      </c>
      <c r="R31" s="78">
        <v>2</v>
      </c>
      <c r="S31" s="78" t="s">
        <v>59</v>
      </c>
      <c r="T31" s="5">
        <v>96</v>
      </c>
      <c r="U31" s="9"/>
      <c r="W31" s="85">
        <f t="shared" ref="W31:X34" si="17">D31</f>
        <v>96</v>
      </c>
      <c r="X31" s="86">
        <f t="shared" si="17"/>
        <v>29</v>
      </c>
      <c r="Y31" s="91">
        <f t="shared" ref="Y31:Z34" si="18">H31</f>
        <v>30</v>
      </c>
      <c r="Z31" s="89">
        <f t="shared" si="18"/>
        <v>0</v>
      </c>
      <c r="AA31" s="89">
        <f>K31</f>
        <v>0</v>
      </c>
      <c r="AB31" s="89">
        <f t="shared" ref="AB31:AD34" si="19">M31</f>
        <v>0</v>
      </c>
      <c r="AC31" s="4" t="str">
        <f t="shared" si="19"/>
        <v/>
      </c>
      <c r="AD31" s="90">
        <f t="shared" si="19"/>
        <v>0</v>
      </c>
      <c r="AE31" s="78" t="str">
        <f>S31</f>
        <v>계</v>
      </c>
      <c r="AF31" s="78" t="str">
        <f>Q31&amp;"/"&amp;R31</f>
        <v>3/2</v>
      </c>
      <c r="AH31" s="20" t="str">
        <f t="shared" si="1"/>
        <v>오성유토피아</v>
      </c>
      <c r="AI31" s="86">
        <f t="shared" si="0"/>
        <v>29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X</v>
      </c>
      <c r="AV31" s="78" t="str">
        <f>IF(AO31="","",IF(AND(AO31="O",AP31="O",AR31="O",AT31="O",AU31="O"),"후보","X"))</f>
        <v/>
      </c>
    </row>
    <row r="32" spans="1:48" x14ac:dyDescent="0.3">
      <c r="A32" s="9" t="s">
        <v>502</v>
      </c>
      <c r="B32" s="10" t="s">
        <v>1543</v>
      </c>
      <c r="C32" s="87">
        <v>240</v>
      </c>
      <c r="D32" s="85">
        <v>113.7</v>
      </c>
      <c r="E32" s="86">
        <v>34</v>
      </c>
      <c r="F32" s="85">
        <v>84.9</v>
      </c>
      <c r="G32" s="17">
        <v>26</v>
      </c>
      <c r="H32" s="87">
        <v>135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3</v>
      </c>
      <c r="R32" s="78">
        <v>2</v>
      </c>
      <c r="S32" s="78" t="s">
        <v>65</v>
      </c>
      <c r="T32" s="5">
        <v>113</v>
      </c>
      <c r="U32" s="9"/>
      <c r="W32" s="85">
        <f t="shared" si="17"/>
        <v>113.7</v>
      </c>
      <c r="X32" s="86">
        <f t="shared" si="17"/>
        <v>34</v>
      </c>
      <c r="Y32" s="91">
        <f t="shared" si="18"/>
        <v>135</v>
      </c>
      <c r="Z32" s="89">
        <f t="shared" si="18"/>
        <v>0</v>
      </c>
      <c r="AA32" s="89">
        <f>K32</f>
        <v>0</v>
      </c>
      <c r="AB32" s="89">
        <f t="shared" si="19"/>
        <v>0</v>
      </c>
      <c r="AC32" s="4" t="str">
        <f t="shared" si="19"/>
        <v/>
      </c>
      <c r="AD32" s="90">
        <f t="shared" si="19"/>
        <v>0</v>
      </c>
      <c r="AE32" s="78" t="str">
        <f>S32</f>
        <v>복</v>
      </c>
      <c r="AF32" s="78" t="str">
        <f>Q32&amp;"/"&amp;R32</f>
        <v>3/2</v>
      </c>
      <c r="AH32" s="20" t="str">
        <f t="shared" si="1"/>
        <v>오성유토피아</v>
      </c>
      <c r="AI32" s="86">
        <f t="shared" si="0"/>
        <v>34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X</v>
      </c>
      <c r="AV32" s="78" t="str">
        <f>IF(AO32="","",IF(AND(AO32="O",AP32="O",AR32="O",AT32="O",AU32="O"),"후보","X"))</f>
        <v/>
      </c>
    </row>
    <row r="33" spans="1:48" x14ac:dyDescent="0.3">
      <c r="A33" s="9" t="s">
        <v>502</v>
      </c>
      <c r="B33" s="10" t="s">
        <v>1543</v>
      </c>
      <c r="C33" s="87">
        <v>240</v>
      </c>
      <c r="D33" s="85">
        <v>123.1</v>
      </c>
      <c r="E33" s="86">
        <v>37</v>
      </c>
      <c r="F33" s="85">
        <v>109.1</v>
      </c>
      <c r="G33" s="17">
        <v>33</v>
      </c>
      <c r="H33" s="87">
        <v>30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3</v>
      </c>
      <c r="R33" s="78">
        <v>2</v>
      </c>
      <c r="S33" s="78" t="s">
        <v>59</v>
      </c>
      <c r="T33" s="5">
        <v>123</v>
      </c>
      <c r="U33" s="9"/>
      <c r="W33" s="85">
        <f t="shared" si="17"/>
        <v>123.1</v>
      </c>
      <c r="X33" s="86">
        <f t="shared" si="17"/>
        <v>37</v>
      </c>
      <c r="Y33" s="91">
        <f t="shared" si="18"/>
        <v>30</v>
      </c>
      <c r="Z33" s="89">
        <f t="shared" si="18"/>
        <v>0</v>
      </c>
      <c r="AA33" s="89">
        <f>K33</f>
        <v>0</v>
      </c>
      <c r="AB33" s="89">
        <f t="shared" si="19"/>
        <v>0</v>
      </c>
      <c r="AC33" s="4" t="str">
        <f t="shared" si="19"/>
        <v/>
      </c>
      <c r="AD33" s="90">
        <f t="shared" si="19"/>
        <v>0</v>
      </c>
      <c r="AE33" s="78" t="str">
        <f>S33</f>
        <v>계</v>
      </c>
      <c r="AF33" s="78" t="str">
        <f>Q33&amp;"/"&amp;R33</f>
        <v>3/2</v>
      </c>
      <c r="AH33" s="20" t="str">
        <f t="shared" si="1"/>
        <v>오성유토피아</v>
      </c>
      <c r="AI33" s="86">
        <f t="shared" si="0"/>
        <v>37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X</v>
      </c>
      <c r="AV33" s="78" t="str">
        <f>IF(AO33="","",IF(AND(AO33="O",AP33="O",AR33="O",AT33="O",AU33="O"),"후보","X"))</f>
        <v/>
      </c>
    </row>
    <row r="34" spans="1:48" x14ac:dyDescent="0.3">
      <c r="A34" s="9" t="s">
        <v>502</v>
      </c>
      <c r="B34" s="10" t="s">
        <v>1543</v>
      </c>
      <c r="C34" s="87">
        <v>240</v>
      </c>
      <c r="D34" s="85">
        <v>137.69999999999999</v>
      </c>
      <c r="E34" s="86">
        <v>42</v>
      </c>
      <c r="F34" s="85">
        <v>105</v>
      </c>
      <c r="G34" s="17">
        <v>32</v>
      </c>
      <c r="H34" s="87">
        <v>45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4</v>
      </c>
      <c r="R34" s="78">
        <v>2</v>
      </c>
      <c r="S34" s="78" t="s">
        <v>65</v>
      </c>
      <c r="T34" s="5">
        <v>137</v>
      </c>
      <c r="U34" s="9"/>
      <c r="W34" s="85">
        <f t="shared" si="17"/>
        <v>137.69999999999999</v>
      </c>
      <c r="X34" s="86">
        <f t="shared" si="17"/>
        <v>42</v>
      </c>
      <c r="Y34" s="91">
        <f t="shared" si="18"/>
        <v>45</v>
      </c>
      <c r="Z34" s="89">
        <f t="shared" si="18"/>
        <v>0</v>
      </c>
      <c r="AA34" s="89">
        <f>K34</f>
        <v>0</v>
      </c>
      <c r="AB34" s="89">
        <f t="shared" si="19"/>
        <v>0</v>
      </c>
      <c r="AC34" s="4" t="str">
        <f t="shared" si="19"/>
        <v/>
      </c>
      <c r="AD34" s="90">
        <f t="shared" si="19"/>
        <v>0</v>
      </c>
      <c r="AE34" s="78" t="str">
        <f>S34</f>
        <v>복</v>
      </c>
      <c r="AF34" s="78" t="str">
        <f>Q34&amp;"/"&amp;R34</f>
        <v>4/2</v>
      </c>
      <c r="AH34" s="20" t="str">
        <f t="shared" si="1"/>
        <v>오성유토피아</v>
      </c>
      <c r="AI34" s="86">
        <f t="shared" si="0"/>
        <v>42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X</v>
      </c>
      <c r="AV34" s="78" t="str">
        <f>IF(AO34="","",IF(AND(AO34="O",AP34="O",AR34="O",AT34="O",AU34="O"),"후보","X"))</f>
        <v/>
      </c>
    </row>
    <row r="35" spans="1:48" x14ac:dyDescent="0.3">
      <c r="A35" s="9"/>
      <c r="B35" s="78"/>
      <c r="C35" s="6"/>
      <c r="D35" s="9"/>
      <c r="E35" s="14"/>
      <c r="F35" s="85"/>
      <c r="G35" s="9"/>
      <c r="H35" s="9"/>
      <c r="I35" s="9"/>
      <c r="J35" s="9"/>
      <c r="K35" s="9"/>
      <c r="L35" s="9"/>
      <c r="M35" s="9"/>
      <c r="N35" s="9"/>
      <c r="O35" s="90"/>
      <c r="P35" s="90"/>
      <c r="Q35" s="86"/>
      <c r="R35" s="86"/>
      <c r="S35" s="9"/>
      <c r="T35" s="47"/>
      <c r="U35" s="9"/>
      <c r="W35" s="67" t="str">
        <f>$A$4&amp;" "&amp;A36&amp;"("&amp;B36&amp;","&amp;C36&amp;"^)"</f>
        <v>덕진동2가 전주덕진휴먼빌2차('16.12.,367^)</v>
      </c>
      <c r="X35" s="68"/>
      <c r="Y35" s="68"/>
      <c r="Z35" s="68"/>
      <c r="AA35" s="68"/>
      <c r="AB35" s="68"/>
      <c r="AC35" s="68"/>
      <c r="AD35" s="68"/>
      <c r="AE35" s="68"/>
      <c r="AF35" s="69"/>
      <c r="AH35" s="20" t="str">
        <f t="shared" si="1"/>
        <v/>
      </c>
      <c r="AI35" s="108" t="str">
        <f t="shared" si="0"/>
        <v/>
      </c>
      <c r="AJ35" s="78"/>
      <c r="AK35" s="78"/>
      <c r="AL35" s="78"/>
      <c r="AM35" s="78"/>
      <c r="AN35" s="78"/>
      <c r="AO35" s="78"/>
      <c r="AP35" s="78"/>
      <c r="AQ35" s="78"/>
      <c r="AR35" s="78"/>
      <c r="AS35" s="78"/>
      <c r="AT35" s="78"/>
      <c r="AU35" s="78"/>
      <c r="AV35" s="78"/>
    </row>
    <row r="36" spans="1:48" x14ac:dyDescent="0.3">
      <c r="A36" s="9" t="s">
        <v>507</v>
      </c>
      <c r="B36" s="10" t="s">
        <v>1544</v>
      </c>
      <c r="C36" s="87">
        <v>367</v>
      </c>
      <c r="D36" s="85">
        <v>80.7</v>
      </c>
      <c r="E36" s="86">
        <v>24</v>
      </c>
      <c r="F36" s="85">
        <v>60</v>
      </c>
      <c r="G36" s="17">
        <v>18</v>
      </c>
      <c r="H36" s="87">
        <v>84</v>
      </c>
      <c r="I36" s="88">
        <v>32000</v>
      </c>
      <c r="J36" s="88" t="s">
        <v>87</v>
      </c>
      <c r="K36" s="88"/>
      <c r="L36" s="88"/>
      <c r="M36" s="89">
        <f t="shared" ref="M36:M41" si="20">I36-K36</f>
        <v>32000</v>
      </c>
      <c r="N36" s="4">
        <f t="shared" ref="N36:N41" si="21">IF(ISERROR(K36/I36),"",K36/I36)</f>
        <v>0</v>
      </c>
      <c r="O36" s="90">
        <f t="shared" ref="O36:O41" si="22">I36/E36</f>
        <v>1333.3333333333333</v>
      </c>
      <c r="P36" s="90">
        <f t="shared" ref="P36:P41" si="23">K36/E36</f>
        <v>0</v>
      </c>
      <c r="Q36" s="78">
        <v>3</v>
      </c>
      <c r="R36" s="78">
        <v>2</v>
      </c>
      <c r="S36" s="78" t="s">
        <v>59</v>
      </c>
      <c r="T36" s="5" t="s">
        <v>81</v>
      </c>
      <c r="U36" s="9"/>
      <c r="W36" s="85">
        <f t="shared" ref="W36:X41" si="24">D36</f>
        <v>80.7</v>
      </c>
      <c r="X36" s="86">
        <f t="shared" si="24"/>
        <v>24</v>
      </c>
      <c r="Y36" s="91">
        <f t="shared" ref="Y36:Z41" si="25">H36</f>
        <v>84</v>
      </c>
      <c r="Z36" s="89">
        <f t="shared" si="25"/>
        <v>32000</v>
      </c>
      <c r="AA36" s="89">
        <f t="shared" ref="AA36:AA41" si="26">K36</f>
        <v>0</v>
      </c>
      <c r="AB36" s="89">
        <f t="shared" ref="AB36:AD41" si="27">M36</f>
        <v>32000</v>
      </c>
      <c r="AC36" s="4">
        <f t="shared" si="27"/>
        <v>0</v>
      </c>
      <c r="AD36" s="90">
        <f t="shared" si="27"/>
        <v>1333.3333333333333</v>
      </c>
      <c r="AE36" s="78" t="str">
        <f t="shared" ref="AE36:AE41" si="28">S36</f>
        <v>계</v>
      </c>
      <c r="AF36" s="78" t="str">
        <f t="shared" ref="AF36:AF41" si="29">Q36&amp;"/"&amp;R36</f>
        <v>3/2</v>
      </c>
      <c r="AH36" s="20" t="str">
        <f t="shared" si="1"/>
        <v>전주덕진휴먼빌2차</v>
      </c>
      <c r="AI36" s="86">
        <f t="shared" si="0"/>
        <v>24</v>
      </c>
      <c r="AJ36" s="78" t="str">
        <f t="shared" ref="AJ36:AJ41" si="30"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 t="shared" ref="AN36:AN41" si="31">IF(AI36="","",$AN$2)</f>
        <v>C</v>
      </c>
      <c r="AO36" s="78" t="str">
        <f t="shared" ref="AO36:AO41" si="32">IF(N36="","",IF(N36&gt;=$AO$1/100,"O","X"))</f>
        <v>X</v>
      </c>
      <c r="AP36" s="78" t="str">
        <f t="shared" ref="AP36:AP41" si="33">IF(I36="","",IF(I36&lt;=$AP$1,"O","X"))</f>
        <v>O</v>
      </c>
      <c r="AQ36" s="78" t="str">
        <f t="shared" ref="AQ36:AQ41" si="34">IF(O36="","",IF(O36&lt;=$AQ$1,"O","X"))</f>
        <v>X</v>
      </c>
      <c r="AR36" s="78" t="str">
        <f t="shared" ref="AR36:AR41" si="35">IF(M36="","",IF(M36&lt;=$AR$1,"O","X"))</f>
        <v>X</v>
      </c>
      <c r="AS36" s="78" t="s">
        <v>2</v>
      </c>
      <c r="AT36" s="78" t="str">
        <f t="shared" ref="AT36:AT41" si="36">IF(OR(F36="",AI36=""),"",IF(AND((F36&lt;=85),(AI36&gt;=15)),"O","X"))</f>
        <v>O</v>
      </c>
      <c r="AU36" s="78" t="str">
        <f t="shared" ref="AU36:AU41" si="37">IF(C36="","",IF(C36&gt;=$AU$1,"O","X"))</f>
        <v>O</v>
      </c>
      <c r="AV36" s="78" t="str">
        <f t="shared" ref="AV36:AV41" si="38">IF(AO36="","",IF(AND(AO36="O",AP36="O",AR36="O",AT36="O",AU36="O"),"후보","X"))</f>
        <v>X</v>
      </c>
    </row>
    <row r="37" spans="1:48" x14ac:dyDescent="0.3">
      <c r="A37" s="9" t="s">
        <v>507</v>
      </c>
      <c r="B37" s="10" t="s">
        <v>1544</v>
      </c>
      <c r="C37" s="87">
        <v>367</v>
      </c>
      <c r="D37" s="85">
        <v>80.7</v>
      </c>
      <c r="E37" s="86">
        <v>24</v>
      </c>
      <c r="F37" s="85">
        <v>59.9</v>
      </c>
      <c r="G37" s="17">
        <v>18</v>
      </c>
      <c r="H37" s="87">
        <v>68</v>
      </c>
      <c r="I37" s="88">
        <v>32000</v>
      </c>
      <c r="J37" s="88" t="s">
        <v>69</v>
      </c>
      <c r="K37" s="88"/>
      <c r="L37" s="88"/>
      <c r="M37" s="89">
        <f t="shared" si="20"/>
        <v>32000</v>
      </c>
      <c r="N37" s="4">
        <f t="shared" si="21"/>
        <v>0</v>
      </c>
      <c r="O37" s="90">
        <f t="shared" si="22"/>
        <v>1333.3333333333333</v>
      </c>
      <c r="P37" s="90">
        <f t="shared" si="23"/>
        <v>0</v>
      </c>
      <c r="Q37" s="78">
        <v>3</v>
      </c>
      <c r="R37" s="78">
        <v>2</v>
      </c>
      <c r="S37" s="78" t="s">
        <v>59</v>
      </c>
      <c r="T37" s="5" t="s">
        <v>98</v>
      </c>
      <c r="U37" s="9"/>
      <c r="W37" s="85">
        <f t="shared" si="24"/>
        <v>80.7</v>
      </c>
      <c r="X37" s="86">
        <f t="shared" si="24"/>
        <v>24</v>
      </c>
      <c r="Y37" s="91">
        <f t="shared" si="25"/>
        <v>68</v>
      </c>
      <c r="Z37" s="89">
        <f t="shared" si="25"/>
        <v>32000</v>
      </c>
      <c r="AA37" s="89">
        <f t="shared" si="26"/>
        <v>0</v>
      </c>
      <c r="AB37" s="89">
        <f t="shared" si="27"/>
        <v>32000</v>
      </c>
      <c r="AC37" s="4">
        <f t="shared" si="27"/>
        <v>0</v>
      </c>
      <c r="AD37" s="90">
        <f t="shared" si="27"/>
        <v>1333.3333333333333</v>
      </c>
      <c r="AE37" s="78" t="str">
        <f t="shared" si="28"/>
        <v>계</v>
      </c>
      <c r="AF37" s="78" t="str">
        <f t="shared" si="29"/>
        <v>3/2</v>
      </c>
      <c r="AH37" s="20" t="str">
        <f t="shared" si="1"/>
        <v>전주덕진휴먼빌2차</v>
      </c>
      <c r="AI37" s="86">
        <f t="shared" si="0"/>
        <v>24</v>
      </c>
      <c r="AJ37" s="78" t="str">
        <f t="shared" si="30"/>
        <v>A-</v>
      </c>
      <c r="AK37" s="78" t="s">
        <v>13</v>
      </c>
      <c r="AL37" s="78" t="s">
        <v>61</v>
      </c>
      <c r="AM37" s="78" t="s">
        <v>62</v>
      </c>
      <c r="AN37" s="78" t="str">
        <f t="shared" si="31"/>
        <v>C</v>
      </c>
      <c r="AO37" s="78" t="str">
        <f t="shared" si="32"/>
        <v>X</v>
      </c>
      <c r="AP37" s="78" t="str">
        <f t="shared" si="33"/>
        <v>O</v>
      </c>
      <c r="AQ37" s="78" t="str">
        <f t="shared" si="34"/>
        <v>X</v>
      </c>
      <c r="AR37" s="78" t="str">
        <f t="shared" si="35"/>
        <v>X</v>
      </c>
      <c r="AS37" s="78" t="s">
        <v>2</v>
      </c>
      <c r="AT37" s="78" t="str">
        <f t="shared" si="36"/>
        <v>O</v>
      </c>
      <c r="AU37" s="78" t="str">
        <f t="shared" si="37"/>
        <v>O</v>
      </c>
      <c r="AV37" s="78" t="str">
        <f t="shared" si="38"/>
        <v>X</v>
      </c>
    </row>
    <row r="38" spans="1:48" x14ac:dyDescent="0.3">
      <c r="A38" s="9" t="s">
        <v>507</v>
      </c>
      <c r="B38" s="10" t="s">
        <v>1544</v>
      </c>
      <c r="C38" s="87">
        <v>367</v>
      </c>
      <c r="D38" s="85">
        <v>81.3</v>
      </c>
      <c r="E38" s="86">
        <v>25</v>
      </c>
      <c r="F38" s="85">
        <v>60</v>
      </c>
      <c r="G38" s="17">
        <v>18</v>
      </c>
      <c r="H38" s="87">
        <v>94</v>
      </c>
      <c r="I38" s="88">
        <v>31000</v>
      </c>
      <c r="J38" s="88" t="s">
        <v>83</v>
      </c>
      <c r="K38" s="88">
        <v>27000</v>
      </c>
      <c r="L38" s="88" t="s">
        <v>99</v>
      </c>
      <c r="M38" s="89">
        <f t="shared" si="20"/>
        <v>4000</v>
      </c>
      <c r="N38" s="4">
        <f t="shared" si="21"/>
        <v>0.87096774193548387</v>
      </c>
      <c r="O38" s="90">
        <f t="shared" si="22"/>
        <v>1240</v>
      </c>
      <c r="P38" s="90">
        <f t="shared" si="23"/>
        <v>1080</v>
      </c>
      <c r="Q38" s="78">
        <v>3</v>
      </c>
      <c r="R38" s="78">
        <v>2</v>
      </c>
      <c r="S38" s="78" t="s">
        <v>59</v>
      </c>
      <c r="T38" s="5" t="s">
        <v>100</v>
      </c>
      <c r="U38" s="9"/>
      <c r="W38" s="85">
        <f t="shared" si="24"/>
        <v>81.3</v>
      </c>
      <c r="X38" s="86">
        <f t="shared" si="24"/>
        <v>25</v>
      </c>
      <c r="Y38" s="91">
        <f t="shared" si="25"/>
        <v>94</v>
      </c>
      <c r="Z38" s="89">
        <f t="shared" si="25"/>
        <v>31000</v>
      </c>
      <c r="AA38" s="89">
        <f t="shared" si="26"/>
        <v>27000</v>
      </c>
      <c r="AB38" s="89">
        <f t="shared" si="27"/>
        <v>4000</v>
      </c>
      <c r="AC38" s="4">
        <f t="shared" si="27"/>
        <v>0.87096774193548387</v>
      </c>
      <c r="AD38" s="90">
        <f t="shared" si="27"/>
        <v>1240</v>
      </c>
      <c r="AE38" s="78" t="str">
        <f t="shared" si="28"/>
        <v>계</v>
      </c>
      <c r="AF38" s="78" t="str">
        <f t="shared" si="29"/>
        <v>3/2</v>
      </c>
      <c r="AH38" s="20" t="str">
        <f t="shared" si="1"/>
        <v>전주덕진휴먼빌2차</v>
      </c>
      <c r="AI38" s="86">
        <f t="shared" si="0"/>
        <v>25</v>
      </c>
      <c r="AJ38" s="78" t="str">
        <f t="shared" si="30"/>
        <v>A-</v>
      </c>
      <c r="AK38" s="78" t="s">
        <v>13</v>
      </c>
      <c r="AL38" s="78" t="s">
        <v>61</v>
      </c>
      <c r="AM38" s="78" t="s">
        <v>62</v>
      </c>
      <c r="AN38" s="78" t="str">
        <f t="shared" si="31"/>
        <v>C</v>
      </c>
      <c r="AO38" s="78" t="str">
        <f t="shared" si="32"/>
        <v>O</v>
      </c>
      <c r="AP38" s="78" t="str">
        <f t="shared" si="33"/>
        <v>O</v>
      </c>
      <c r="AQ38" s="78" t="str">
        <f t="shared" si="34"/>
        <v>X</v>
      </c>
      <c r="AR38" s="78" t="str">
        <f t="shared" si="35"/>
        <v>O</v>
      </c>
      <c r="AS38" s="78" t="s">
        <v>2</v>
      </c>
      <c r="AT38" s="78" t="str">
        <f t="shared" si="36"/>
        <v>O</v>
      </c>
      <c r="AU38" s="78" t="str">
        <f t="shared" si="37"/>
        <v>O</v>
      </c>
      <c r="AV38" s="78" t="str">
        <f t="shared" si="38"/>
        <v>후보</v>
      </c>
    </row>
    <row r="39" spans="1:48" x14ac:dyDescent="0.3">
      <c r="A39" s="9" t="s">
        <v>507</v>
      </c>
      <c r="B39" s="10" t="s">
        <v>1544</v>
      </c>
      <c r="C39" s="87">
        <v>367</v>
      </c>
      <c r="D39" s="85">
        <v>112.6</v>
      </c>
      <c r="E39" s="86">
        <v>34</v>
      </c>
      <c r="F39" s="85">
        <v>84.9</v>
      </c>
      <c r="G39" s="17">
        <v>26</v>
      </c>
      <c r="H39" s="87">
        <v>78</v>
      </c>
      <c r="I39" s="88">
        <v>46000</v>
      </c>
      <c r="J39" s="88" t="s">
        <v>82</v>
      </c>
      <c r="K39" s="88">
        <v>35000</v>
      </c>
      <c r="L39" s="88" t="s">
        <v>83</v>
      </c>
      <c r="M39" s="89">
        <f t="shared" si="20"/>
        <v>11000</v>
      </c>
      <c r="N39" s="4">
        <f t="shared" si="21"/>
        <v>0.76086956521739135</v>
      </c>
      <c r="O39" s="90">
        <f t="shared" si="22"/>
        <v>1352.9411764705883</v>
      </c>
      <c r="P39" s="90">
        <f t="shared" si="23"/>
        <v>1029.4117647058824</v>
      </c>
      <c r="Q39" s="78">
        <v>3</v>
      </c>
      <c r="R39" s="78">
        <v>2</v>
      </c>
      <c r="S39" s="78" t="s">
        <v>59</v>
      </c>
      <c r="T39" s="5" t="s">
        <v>101</v>
      </c>
      <c r="U39" s="9"/>
      <c r="W39" s="85">
        <f t="shared" si="24"/>
        <v>112.6</v>
      </c>
      <c r="X39" s="86">
        <f t="shared" si="24"/>
        <v>34</v>
      </c>
      <c r="Y39" s="91">
        <f t="shared" si="25"/>
        <v>78</v>
      </c>
      <c r="Z39" s="89">
        <f t="shared" si="25"/>
        <v>46000</v>
      </c>
      <c r="AA39" s="89">
        <f t="shared" si="26"/>
        <v>35000</v>
      </c>
      <c r="AB39" s="89">
        <f t="shared" si="27"/>
        <v>11000</v>
      </c>
      <c r="AC39" s="4">
        <f t="shared" si="27"/>
        <v>0.76086956521739135</v>
      </c>
      <c r="AD39" s="90">
        <f t="shared" si="27"/>
        <v>1352.9411764705883</v>
      </c>
      <c r="AE39" s="78" t="str">
        <f t="shared" si="28"/>
        <v>계</v>
      </c>
      <c r="AF39" s="78" t="str">
        <f t="shared" si="29"/>
        <v>3/2</v>
      </c>
      <c r="AH39" s="20" t="str">
        <f t="shared" si="1"/>
        <v>전주덕진휴먼빌2차</v>
      </c>
      <c r="AI39" s="86">
        <f t="shared" si="0"/>
        <v>34</v>
      </c>
      <c r="AJ39" s="78" t="str">
        <f t="shared" si="30"/>
        <v>A-</v>
      </c>
      <c r="AK39" s="78" t="s">
        <v>13</v>
      </c>
      <c r="AL39" s="78" t="s">
        <v>61</v>
      </c>
      <c r="AM39" s="78" t="s">
        <v>62</v>
      </c>
      <c r="AN39" s="78" t="str">
        <f t="shared" si="31"/>
        <v>C</v>
      </c>
      <c r="AO39" s="78" t="str">
        <f t="shared" si="32"/>
        <v>X</v>
      </c>
      <c r="AP39" s="78" t="str">
        <f t="shared" si="33"/>
        <v>X</v>
      </c>
      <c r="AQ39" s="78" t="str">
        <f t="shared" si="34"/>
        <v>X</v>
      </c>
      <c r="AR39" s="78" t="str">
        <f t="shared" si="35"/>
        <v>X</v>
      </c>
      <c r="AS39" s="78" t="s">
        <v>2</v>
      </c>
      <c r="AT39" s="78" t="str">
        <f t="shared" si="36"/>
        <v>O</v>
      </c>
      <c r="AU39" s="78" t="str">
        <f t="shared" si="37"/>
        <v>O</v>
      </c>
      <c r="AV39" s="78" t="str">
        <f t="shared" si="38"/>
        <v>X</v>
      </c>
    </row>
    <row r="40" spans="1:48" x14ac:dyDescent="0.3">
      <c r="A40" s="9" t="s">
        <v>507</v>
      </c>
      <c r="B40" s="10" t="s">
        <v>1544</v>
      </c>
      <c r="C40" s="87">
        <v>367</v>
      </c>
      <c r="D40" s="85">
        <v>112.9</v>
      </c>
      <c r="E40" s="86">
        <v>34</v>
      </c>
      <c r="F40" s="85">
        <v>84.9</v>
      </c>
      <c r="G40" s="17">
        <v>26</v>
      </c>
      <c r="H40" s="87">
        <v>20</v>
      </c>
      <c r="I40" s="88">
        <v>45000</v>
      </c>
      <c r="J40" s="88" t="s">
        <v>72</v>
      </c>
      <c r="K40" s="88"/>
      <c r="L40" s="88"/>
      <c r="M40" s="89">
        <f t="shared" si="20"/>
        <v>45000</v>
      </c>
      <c r="N40" s="4">
        <f t="shared" si="21"/>
        <v>0</v>
      </c>
      <c r="O40" s="90">
        <f t="shared" si="22"/>
        <v>1323.5294117647059</v>
      </c>
      <c r="P40" s="90">
        <f t="shared" si="23"/>
        <v>0</v>
      </c>
      <c r="Q40" s="78">
        <v>3</v>
      </c>
      <c r="R40" s="78">
        <v>2</v>
      </c>
      <c r="S40" s="78" t="s">
        <v>59</v>
      </c>
      <c r="T40" s="5" t="s">
        <v>102</v>
      </c>
      <c r="U40" s="9"/>
      <c r="W40" s="85">
        <f t="shared" si="24"/>
        <v>112.9</v>
      </c>
      <c r="X40" s="86">
        <f t="shared" si="24"/>
        <v>34</v>
      </c>
      <c r="Y40" s="91">
        <f t="shared" si="25"/>
        <v>20</v>
      </c>
      <c r="Z40" s="89">
        <f t="shared" si="25"/>
        <v>45000</v>
      </c>
      <c r="AA40" s="89">
        <f t="shared" si="26"/>
        <v>0</v>
      </c>
      <c r="AB40" s="89">
        <f t="shared" si="27"/>
        <v>45000</v>
      </c>
      <c r="AC40" s="4">
        <f t="shared" si="27"/>
        <v>0</v>
      </c>
      <c r="AD40" s="90">
        <f t="shared" si="27"/>
        <v>1323.5294117647059</v>
      </c>
      <c r="AE40" s="78" t="str">
        <f t="shared" si="28"/>
        <v>계</v>
      </c>
      <c r="AF40" s="78" t="str">
        <f t="shared" si="29"/>
        <v>3/2</v>
      </c>
      <c r="AH40" s="20" t="str">
        <f t="shared" si="1"/>
        <v>전주덕진휴먼빌2차</v>
      </c>
      <c r="AI40" s="86">
        <f t="shared" si="0"/>
        <v>34</v>
      </c>
      <c r="AJ40" s="78" t="str">
        <f t="shared" si="30"/>
        <v>A-</v>
      </c>
      <c r="AK40" s="78" t="s">
        <v>13</v>
      </c>
      <c r="AL40" s="78" t="s">
        <v>61</v>
      </c>
      <c r="AM40" s="78" t="s">
        <v>62</v>
      </c>
      <c r="AN40" s="78" t="str">
        <f t="shared" si="31"/>
        <v>C</v>
      </c>
      <c r="AO40" s="78" t="str">
        <f t="shared" si="32"/>
        <v>X</v>
      </c>
      <c r="AP40" s="78" t="str">
        <f t="shared" si="33"/>
        <v>O</v>
      </c>
      <c r="AQ40" s="78" t="str">
        <f t="shared" si="34"/>
        <v>X</v>
      </c>
      <c r="AR40" s="78" t="str">
        <f t="shared" si="35"/>
        <v>X</v>
      </c>
      <c r="AS40" s="78" t="s">
        <v>2</v>
      </c>
      <c r="AT40" s="78" t="str">
        <f t="shared" si="36"/>
        <v>O</v>
      </c>
      <c r="AU40" s="78" t="str">
        <f t="shared" si="37"/>
        <v>O</v>
      </c>
      <c r="AV40" s="78" t="str">
        <f t="shared" si="38"/>
        <v>X</v>
      </c>
    </row>
    <row r="41" spans="1:48" x14ac:dyDescent="0.3">
      <c r="A41" s="9" t="s">
        <v>507</v>
      </c>
      <c r="B41" s="10" t="s">
        <v>1544</v>
      </c>
      <c r="C41" s="87">
        <v>367</v>
      </c>
      <c r="D41" s="85">
        <v>114.1</v>
      </c>
      <c r="E41" s="86">
        <v>35</v>
      </c>
      <c r="F41" s="85">
        <v>85</v>
      </c>
      <c r="G41" s="17">
        <v>26</v>
      </c>
      <c r="H41" s="87">
        <v>23</v>
      </c>
      <c r="I41" s="88"/>
      <c r="J41" s="88"/>
      <c r="K41" s="88"/>
      <c r="L41" s="88"/>
      <c r="M41" s="89">
        <f t="shared" si="20"/>
        <v>0</v>
      </c>
      <c r="N41" s="4" t="str">
        <f t="shared" si="21"/>
        <v/>
      </c>
      <c r="O41" s="90">
        <f t="shared" si="22"/>
        <v>0</v>
      </c>
      <c r="P41" s="90">
        <f t="shared" si="23"/>
        <v>0</v>
      </c>
      <c r="Q41" s="78">
        <v>3</v>
      </c>
      <c r="R41" s="78">
        <v>2</v>
      </c>
      <c r="S41" s="78" t="s">
        <v>59</v>
      </c>
      <c r="T41" s="5" t="s">
        <v>79</v>
      </c>
      <c r="U41" s="9"/>
      <c r="W41" s="85">
        <f t="shared" si="24"/>
        <v>114.1</v>
      </c>
      <c r="X41" s="86">
        <f t="shared" si="24"/>
        <v>35</v>
      </c>
      <c r="Y41" s="91">
        <f t="shared" si="25"/>
        <v>23</v>
      </c>
      <c r="Z41" s="89">
        <f t="shared" si="25"/>
        <v>0</v>
      </c>
      <c r="AA41" s="89">
        <f t="shared" si="26"/>
        <v>0</v>
      </c>
      <c r="AB41" s="89">
        <f t="shared" si="27"/>
        <v>0</v>
      </c>
      <c r="AC41" s="4" t="str">
        <f t="shared" si="27"/>
        <v/>
      </c>
      <c r="AD41" s="90">
        <f t="shared" si="27"/>
        <v>0</v>
      </c>
      <c r="AE41" s="78" t="str">
        <f t="shared" si="28"/>
        <v>계</v>
      </c>
      <c r="AF41" s="78" t="str">
        <f t="shared" si="29"/>
        <v>3/2</v>
      </c>
      <c r="AH41" s="20" t="str">
        <f t="shared" si="1"/>
        <v>전주덕진휴먼빌2차</v>
      </c>
      <c r="AI41" s="86">
        <f t="shared" si="0"/>
        <v>35</v>
      </c>
      <c r="AJ41" s="78" t="str">
        <f t="shared" si="30"/>
        <v>A-</v>
      </c>
      <c r="AK41" s="78" t="s">
        <v>13</v>
      </c>
      <c r="AL41" s="78" t="s">
        <v>61</v>
      </c>
      <c r="AM41" s="78" t="s">
        <v>62</v>
      </c>
      <c r="AN41" s="78" t="str">
        <f t="shared" si="31"/>
        <v>C</v>
      </c>
      <c r="AO41" s="78" t="str">
        <f t="shared" si="32"/>
        <v/>
      </c>
      <c r="AP41" s="78" t="str">
        <f t="shared" si="33"/>
        <v/>
      </c>
      <c r="AQ41" s="78" t="str">
        <f t="shared" si="34"/>
        <v>O</v>
      </c>
      <c r="AR41" s="78" t="str">
        <f t="shared" si="35"/>
        <v>O</v>
      </c>
      <c r="AS41" s="78" t="s">
        <v>2</v>
      </c>
      <c r="AT41" s="78" t="str">
        <f t="shared" si="36"/>
        <v>O</v>
      </c>
      <c r="AU41" s="78" t="str">
        <f t="shared" si="37"/>
        <v>O</v>
      </c>
      <c r="AV41" s="78" t="str">
        <f t="shared" si="38"/>
        <v/>
      </c>
    </row>
  </sheetData>
  <mergeCells count="1">
    <mergeCell ref="AJ1:AN1"/>
  </mergeCells>
  <phoneticPr fontId="2" type="noConversion"/>
  <conditionalFormatting sqref="AV4:AV6">
    <cfRule type="expression" dxfId="9183" priority="601">
      <formula>AV4="X"</formula>
    </cfRule>
    <cfRule type="expression" dxfId="9182" priority="602">
      <formula>AV4="후보"</formula>
    </cfRule>
  </conditionalFormatting>
  <conditionalFormatting sqref="AC1:AC2 AC4:AC6 N4:N5">
    <cfRule type="cellIs" dxfId="9181" priority="598" operator="greaterThan">
      <formula>0.9</formula>
    </cfRule>
    <cfRule type="cellIs" dxfId="9180" priority="599" operator="greaterThan">
      <formula>0.85</formula>
    </cfRule>
  </conditionalFormatting>
  <conditionalFormatting sqref="N1:N2">
    <cfRule type="cellIs" dxfId="9179" priority="596" operator="greaterThan">
      <formula>0.9</formula>
    </cfRule>
    <cfRule type="cellIs" dxfId="9178" priority="597" operator="greaterThan">
      <formula>0.85</formula>
    </cfRule>
  </conditionalFormatting>
  <conditionalFormatting sqref="N6">
    <cfRule type="cellIs" dxfId="9177" priority="594" operator="greaterThan">
      <formula>0.9</formula>
    </cfRule>
    <cfRule type="cellIs" dxfId="9176" priority="595" operator="greaterThan">
      <formula>0.85</formula>
    </cfRule>
  </conditionalFormatting>
  <conditionalFormatting sqref="E6">
    <cfRule type="expression" dxfId="9175" priority="590">
      <formula>AND(IF(OR($Q6=1,$Q6=2),1,0),IF($X6&lt;=20,1,0))</formula>
    </cfRule>
    <cfRule type="expression" dxfId="9174" priority="591">
      <formula>AND(IF($Q6=2,1,0),IF($X6&lt;30,1,0))</formula>
    </cfRule>
    <cfRule type="expression" dxfId="9173" priority="592">
      <formula>AND(IF($Q6=3,1,0),IF($X6&lt;30,1,0))</formula>
    </cfRule>
    <cfRule type="expression" dxfId="9172" priority="593">
      <formula>AND(IF($Q6=3,1,IF($Q6=4,1,0)),IF($F6&lt;=85,1,0))</formula>
    </cfRule>
  </conditionalFormatting>
  <conditionalFormatting sqref="X6">
    <cfRule type="expression" dxfId="9171" priority="586">
      <formula>AND(IF(OR($Q6=1,$Q6=2),1,0),IF($X6&lt;=20,1,0))</formula>
    </cfRule>
    <cfRule type="expression" dxfId="9170" priority="587">
      <formula>AND(IF($Q6=2,1,0),IF($X6&lt;30,1,0))</formula>
    </cfRule>
    <cfRule type="expression" dxfId="9169" priority="588">
      <formula>AND(IF($Q6=3,1,0),IF($X6&lt;30,1,0))</formula>
    </cfRule>
    <cfRule type="expression" dxfId="9168" priority="589">
      <formula>AND(IF($Q6=3,1,IF($Q6=4,1,0)),IF($F6&lt;=85,1,0))</formula>
    </cfRule>
  </conditionalFormatting>
  <conditionalFormatting sqref="AI6">
    <cfRule type="expression" dxfId="9167" priority="582">
      <formula>AND(IF(OR($Q6=1,$Q6=2),1,0),IF($X6&lt;=20,1,0))</formula>
    </cfRule>
    <cfRule type="expression" dxfId="9166" priority="583">
      <formula>AND(IF($Q6=2,1,0),IF($X6&lt;30,1,0))</formula>
    </cfRule>
    <cfRule type="expression" dxfId="9165" priority="584">
      <formula>AND(IF($Q6=3,1,0),IF($X6&lt;30,1,0))</formula>
    </cfRule>
    <cfRule type="expression" dxfId="9164" priority="585">
      <formula>AND(IF($Q6=3,1,IF($Q6=4,1,0)),IF($F6&lt;=85,1,0))</formula>
    </cfRule>
  </conditionalFormatting>
  <conditionalFormatting sqref="AV7">
    <cfRule type="expression" dxfId="9163" priority="580">
      <formula>AV7="X"</formula>
    </cfRule>
    <cfRule type="expression" dxfId="9162" priority="581">
      <formula>AV7="후보"</formula>
    </cfRule>
  </conditionalFormatting>
  <conditionalFormatting sqref="AC7">
    <cfRule type="cellIs" dxfId="9161" priority="577" operator="greaterThan">
      <formula>0.9</formula>
    </cfRule>
    <cfRule type="cellIs" dxfId="9160" priority="578" operator="greaterThan">
      <formula>0.85</formula>
    </cfRule>
  </conditionalFormatting>
  <conditionalFormatting sqref="N7">
    <cfRule type="cellIs" dxfId="9159" priority="575" operator="greaterThan">
      <formula>0.9</formula>
    </cfRule>
    <cfRule type="cellIs" dxfId="9158" priority="576" operator="greaterThan">
      <formula>0.85</formula>
    </cfRule>
  </conditionalFormatting>
  <conditionalFormatting sqref="E7">
    <cfRule type="expression" dxfId="9157" priority="571">
      <formula>AND(IF(OR($Q7=1,$Q7=2),1,0),IF($X7&lt;=20,1,0))</formula>
    </cfRule>
    <cfRule type="expression" dxfId="9156" priority="572">
      <formula>AND(IF($Q7=2,1,0),IF($X7&lt;30,1,0))</formula>
    </cfRule>
    <cfRule type="expression" dxfId="9155" priority="573">
      <formula>AND(IF($Q7=3,1,0),IF($X7&lt;30,1,0))</formula>
    </cfRule>
    <cfRule type="expression" dxfId="9154" priority="574">
      <formula>AND(IF($Q7=3,1,IF($Q7=4,1,0)),IF($F7&lt;=85,1,0))</formula>
    </cfRule>
  </conditionalFormatting>
  <conditionalFormatting sqref="X7">
    <cfRule type="expression" dxfId="9153" priority="567">
      <formula>AND(IF(OR($Q7=1,$Q7=2),1,0),IF($X7&lt;=20,1,0))</formula>
    </cfRule>
    <cfRule type="expression" dxfId="9152" priority="568">
      <formula>AND(IF($Q7=2,1,0),IF($X7&lt;30,1,0))</formula>
    </cfRule>
    <cfRule type="expression" dxfId="9151" priority="569">
      <formula>AND(IF($Q7=3,1,0),IF($X7&lt;30,1,0))</formula>
    </cfRule>
    <cfRule type="expression" dxfId="9150" priority="570">
      <formula>AND(IF($Q7=3,1,IF($Q7=4,1,0)),IF($F7&lt;=85,1,0))</formula>
    </cfRule>
  </conditionalFormatting>
  <conditionalFormatting sqref="AI7">
    <cfRule type="expression" dxfId="9149" priority="563">
      <formula>AND(IF(OR($Q7=1,$Q7=2),1,0),IF($X7&lt;=20,1,0))</formula>
    </cfRule>
    <cfRule type="expression" dxfId="9148" priority="564">
      <formula>AND(IF($Q7=2,1,0),IF($X7&lt;30,1,0))</formula>
    </cfRule>
    <cfRule type="expression" dxfId="9147" priority="565">
      <formula>AND(IF($Q7=3,1,0),IF($X7&lt;30,1,0))</formula>
    </cfRule>
    <cfRule type="expression" dxfId="9146" priority="566">
      <formula>AND(IF($Q7=3,1,IF($Q7=4,1,0)),IF($F7&lt;=85,1,0))</formula>
    </cfRule>
  </conditionalFormatting>
  <conditionalFormatting sqref="AV8">
    <cfRule type="expression" dxfId="9145" priority="561">
      <formula>AV8="X"</formula>
    </cfRule>
    <cfRule type="expression" dxfId="9144" priority="562">
      <formula>AV8="후보"</formula>
    </cfRule>
  </conditionalFormatting>
  <conditionalFormatting sqref="AC8">
    <cfRule type="cellIs" dxfId="9143" priority="558" operator="greaterThan">
      <formula>0.9</formula>
    </cfRule>
    <cfRule type="cellIs" dxfId="9142" priority="559" operator="greaterThan">
      <formula>0.85</formula>
    </cfRule>
  </conditionalFormatting>
  <conditionalFormatting sqref="N8">
    <cfRule type="cellIs" dxfId="9141" priority="556" operator="greaterThan">
      <formula>0.9</formula>
    </cfRule>
    <cfRule type="cellIs" dxfId="9140" priority="557" operator="greaterThan">
      <formula>0.85</formula>
    </cfRule>
  </conditionalFormatting>
  <conditionalFormatting sqref="E8">
    <cfRule type="expression" dxfId="9139" priority="552">
      <formula>AND(IF(OR($Q8=1,$Q8=2),1,0),IF($X8&lt;=20,1,0))</formula>
    </cfRule>
    <cfRule type="expression" dxfId="9138" priority="553">
      <formula>AND(IF($Q8=2,1,0),IF($X8&lt;30,1,0))</formula>
    </cfRule>
    <cfRule type="expression" dxfId="9137" priority="554">
      <formula>AND(IF($Q8=3,1,0),IF($X8&lt;30,1,0))</formula>
    </cfRule>
    <cfRule type="expression" dxfId="9136" priority="555">
      <formula>AND(IF($Q8=3,1,IF($Q8=4,1,0)),IF($F8&lt;=85,1,0))</formula>
    </cfRule>
  </conditionalFormatting>
  <conditionalFormatting sqref="X8">
    <cfRule type="expression" dxfId="9135" priority="548">
      <formula>AND(IF(OR($Q8=1,$Q8=2),1,0),IF($X8&lt;=20,1,0))</formula>
    </cfRule>
    <cfRule type="expression" dxfId="9134" priority="549">
      <formula>AND(IF($Q8=2,1,0),IF($X8&lt;30,1,0))</formula>
    </cfRule>
    <cfRule type="expression" dxfId="9133" priority="550">
      <formula>AND(IF($Q8=3,1,0),IF($X8&lt;30,1,0))</formula>
    </cfRule>
    <cfRule type="expression" dxfId="9132" priority="551">
      <formula>AND(IF($Q8=3,1,IF($Q8=4,1,0)),IF($F8&lt;=85,1,0))</formula>
    </cfRule>
  </conditionalFormatting>
  <conditionalFormatting sqref="AI8">
    <cfRule type="expression" dxfId="9131" priority="544">
      <formula>AND(IF(OR($Q8=1,$Q8=2),1,0),IF($X8&lt;=20,1,0))</formula>
    </cfRule>
    <cfRule type="expression" dxfId="9130" priority="545">
      <formula>AND(IF($Q8=2,1,0),IF($X8&lt;30,1,0))</formula>
    </cfRule>
    <cfRule type="expression" dxfId="9129" priority="546">
      <formula>AND(IF($Q8=3,1,0),IF($X8&lt;30,1,0))</formula>
    </cfRule>
    <cfRule type="expression" dxfId="9128" priority="547">
      <formula>AND(IF($Q8=3,1,IF($Q8=4,1,0)),IF($F8&lt;=85,1,0))</formula>
    </cfRule>
  </conditionalFormatting>
  <conditionalFormatting sqref="AV9">
    <cfRule type="expression" dxfId="9127" priority="542">
      <formula>AV9="X"</formula>
    </cfRule>
    <cfRule type="expression" dxfId="9126" priority="543">
      <formula>AV9="후보"</formula>
    </cfRule>
  </conditionalFormatting>
  <conditionalFormatting sqref="AC9 N9">
    <cfRule type="cellIs" dxfId="9125" priority="539" operator="greaterThan">
      <formula>0.9</formula>
    </cfRule>
    <cfRule type="cellIs" dxfId="9124" priority="540" operator="greaterThan">
      <formula>0.85</formula>
    </cfRule>
  </conditionalFormatting>
  <conditionalFormatting sqref="AV10">
    <cfRule type="expression" dxfId="9123" priority="537">
      <formula>AV10="X"</formula>
    </cfRule>
    <cfRule type="expression" dxfId="9122" priority="538">
      <formula>AV10="후보"</formula>
    </cfRule>
  </conditionalFormatting>
  <conditionalFormatting sqref="AC10">
    <cfRule type="cellIs" dxfId="9121" priority="534" operator="greaterThan">
      <formula>0.9</formula>
    </cfRule>
    <cfRule type="cellIs" dxfId="9120" priority="535" operator="greaterThan">
      <formula>0.85</formula>
    </cfRule>
  </conditionalFormatting>
  <conditionalFormatting sqref="N10">
    <cfRule type="cellIs" dxfId="9119" priority="532" operator="greaterThan">
      <formula>0.9</formula>
    </cfRule>
    <cfRule type="cellIs" dxfId="9118" priority="533" operator="greaterThan">
      <formula>0.85</formula>
    </cfRule>
  </conditionalFormatting>
  <conditionalFormatting sqref="E10">
    <cfRule type="expression" dxfId="9117" priority="528">
      <formula>AND(IF(OR($Q10=1,$Q10=2),1,0),IF($X10&lt;=20,1,0))</formula>
    </cfRule>
    <cfRule type="expression" dxfId="9116" priority="529">
      <formula>AND(IF($Q10=2,1,0),IF($X10&lt;30,1,0))</formula>
    </cfRule>
    <cfRule type="expression" dxfId="9115" priority="530">
      <formula>AND(IF($Q10=3,1,0),IF($X10&lt;30,1,0))</formula>
    </cfRule>
    <cfRule type="expression" dxfId="9114" priority="531">
      <formula>AND(IF($Q10=3,1,IF($Q10=4,1,0)),IF($F10&lt;=85,1,0))</formula>
    </cfRule>
  </conditionalFormatting>
  <conditionalFormatting sqref="X10">
    <cfRule type="expression" dxfId="9113" priority="524">
      <formula>AND(IF(OR($Q10=1,$Q10=2),1,0),IF($X10&lt;=20,1,0))</formula>
    </cfRule>
    <cfRule type="expression" dxfId="9112" priority="525">
      <formula>AND(IF($Q10=2,1,0),IF($X10&lt;30,1,0))</formula>
    </cfRule>
    <cfRule type="expression" dxfId="9111" priority="526">
      <formula>AND(IF($Q10=3,1,0),IF($X10&lt;30,1,0))</formula>
    </cfRule>
    <cfRule type="expression" dxfId="9110" priority="527">
      <formula>AND(IF($Q10=3,1,IF($Q10=4,1,0)),IF($F10&lt;=85,1,0))</formula>
    </cfRule>
  </conditionalFormatting>
  <conditionalFormatting sqref="AI10">
    <cfRule type="expression" dxfId="9109" priority="520">
      <formula>AND(IF(OR($Q10=1,$Q10=2),1,0),IF($X10&lt;=20,1,0))</formula>
    </cfRule>
    <cfRule type="expression" dxfId="9108" priority="521">
      <formula>AND(IF($Q10=2,1,0),IF($X10&lt;30,1,0))</formula>
    </cfRule>
    <cfRule type="expression" dxfId="9107" priority="522">
      <formula>AND(IF($Q10=3,1,0),IF($X10&lt;30,1,0))</formula>
    </cfRule>
    <cfRule type="expression" dxfId="9106" priority="523">
      <formula>AND(IF($Q10=3,1,IF($Q10=4,1,0)),IF($F10&lt;=85,1,0))</formula>
    </cfRule>
  </conditionalFormatting>
  <conditionalFormatting sqref="AV11">
    <cfRule type="expression" dxfId="9105" priority="518">
      <formula>AV11="X"</formula>
    </cfRule>
    <cfRule type="expression" dxfId="9104" priority="519">
      <formula>AV11="후보"</formula>
    </cfRule>
  </conditionalFormatting>
  <conditionalFormatting sqref="AC11">
    <cfRule type="cellIs" dxfId="9103" priority="515" operator="greaterThan">
      <formula>0.9</formula>
    </cfRule>
    <cfRule type="cellIs" dxfId="9102" priority="516" operator="greaterThan">
      <formula>0.85</formula>
    </cfRule>
  </conditionalFormatting>
  <conditionalFormatting sqref="N11">
    <cfRule type="cellIs" dxfId="9101" priority="513" operator="greaterThan">
      <formula>0.9</formula>
    </cfRule>
    <cfRule type="cellIs" dxfId="9100" priority="514" operator="greaterThan">
      <formula>0.85</formula>
    </cfRule>
  </conditionalFormatting>
  <conditionalFormatting sqref="E11">
    <cfRule type="expression" dxfId="9099" priority="509">
      <formula>AND(IF(OR($Q11=1,$Q11=2),1,0),IF($X11&lt;=20,1,0))</formula>
    </cfRule>
    <cfRule type="expression" dxfId="9098" priority="510">
      <formula>AND(IF($Q11=2,1,0),IF($X11&lt;30,1,0))</formula>
    </cfRule>
    <cfRule type="expression" dxfId="9097" priority="511">
      <formula>AND(IF($Q11=3,1,0),IF($X11&lt;30,1,0))</formula>
    </cfRule>
    <cfRule type="expression" dxfId="9096" priority="512">
      <formula>AND(IF($Q11=3,1,IF($Q11=4,1,0)),IF($F11&lt;=85,1,0))</formula>
    </cfRule>
  </conditionalFormatting>
  <conditionalFormatting sqref="X11">
    <cfRule type="expression" dxfId="9095" priority="505">
      <formula>AND(IF(OR($Q11=1,$Q11=2),1,0),IF($X11&lt;=20,1,0))</formula>
    </cfRule>
    <cfRule type="expression" dxfId="9094" priority="506">
      <formula>AND(IF($Q11=2,1,0),IF($X11&lt;30,1,0))</formula>
    </cfRule>
    <cfRule type="expression" dxfId="9093" priority="507">
      <formula>AND(IF($Q11=3,1,0),IF($X11&lt;30,1,0))</formula>
    </cfRule>
    <cfRule type="expression" dxfId="9092" priority="508">
      <formula>AND(IF($Q11=3,1,IF($Q11=4,1,0)),IF($F11&lt;=85,1,0))</formula>
    </cfRule>
  </conditionalFormatting>
  <conditionalFormatting sqref="AI11">
    <cfRule type="expression" dxfId="9091" priority="501">
      <formula>AND(IF(OR($Q11=1,$Q11=2),1,0),IF($X11&lt;=20,1,0))</formula>
    </cfRule>
    <cfRule type="expression" dxfId="9090" priority="502">
      <formula>AND(IF($Q11=2,1,0),IF($X11&lt;30,1,0))</formula>
    </cfRule>
    <cfRule type="expression" dxfId="9089" priority="503">
      <formula>AND(IF($Q11=3,1,0),IF($X11&lt;30,1,0))</formula>
    </cfRule>
    <cfRule type="expression" dxfId="9088" priority="504">
      <formula>AND(IF($Q11=3,1,IF($Q11=4,1,0)),IF($F11&lt;=85,1,0))</formula>
    </cfRule>
  </conditionalFormatting>
  <conditionalFormatting sqref="AV12">
    <cfRule type="expression" dxfId="9087" priority="499">
      <formula>AV12="X"</formula>
    </cfRule>
    <cfRule type="expression" dxfId="9086" priority="500">
      <formula>AV12="후보"</formula>
    </cfRule>
  </conditionalFormatting>
  <conditionalFormatting sqref="AC12">
    <cfRule type="cellIs" dxfId="9085" priority="496" operator="greaterThan">
      <formula>0.9</formula>
    </cfRule>
    <cfRule type="cellIs" dxfId="9084" priority="497" operator="greaterThan">
      <formula>0.85</formula>
    </cfRule>
  </conditionalFormatting>
  <conditionalFormatting sqref="N12">
    <cfRule type="cellIs" dxfId="9083" priority="494" operator="greaterThan">
      <formula>0.9</formula>
    </cfRule>
    <cfRule type="cellIs" dxfId="9082" priority="495" operator="greaterThan">
      <formula>0.85</formula>
    </cfRule>
  </conditionalFormatting>
  <conditionalFormatting sqref="E12">
    <cfRule type="expression" dxfId="9081" priority="490">
      <formula>AND(IF(OR($Q12=1,$Q12=2),1,0),IF($X12&lt;=20,1,0))</formula>
    </cfRule>
    <cfRule type="expression" dxfId="9080" priority="491">
      <formula>AND(IF($Q12=2,1,0),IF($X12&lt;30,1,0))</formula>
    </cfRule>
    <cfRule type="expression" dxfId="9079" priority="492">
      <formula>AND(IF($Q12=3,1,0),IF($X12&lt;30,1,0))</formula>
    </cfRule>
    <cfRule type="expression" dxfId="9078" priority="493">
      <formula>AND(IF($Q12=3,1,IF($Q12=4,1,0)),IF($F12&lt;=85,1,0))</formula>
    </cfRule>
  </conditionalFormatting>
  <conditionalFormatting sqref="X12">
    <cfRule type="expression" dxfId="9077" priority="486">
      <formula>AND(IF(OR($Q12=1,$Q12=2),1,0),IF($X12&lt;=20,1,0))</formula>
    </cfRule>
    <cfRule type="expression" dxfId="9076" priority="487">
      <formula>AND(IF($Q12=2,1,0),IF($X12&lt;30,1,0))</formula>
    </cfRule>
    <cfRule type="expression" dxfId="9075" priority="488">
      <formula>AND(IF($Q12=3,1,0),IF($X12&lt;30,1,0))</formula>
    </cfRule>
    <cfRule type="expression" dxfId="9074" priority="489">
      <formula>AND(IF($Q12=3,1,IF($Q12=4,1,0)),IF($F12&lt;=85,1,0))</formula>
    </cfRule>
  </conditionalFormatting>
  <conditionalFormatting sqref="AI12">
    <cfRule type="expression" dxfId="9073" priority="482">
      <formula>AND(IF(OR($Q12=1,$Q12=2),1,0),IF($X12&lt;=20,1,0))</formula>
    </cfRule>
    <cfRule type="expression" dxfId="9072" priority="483">
      <formula>AND(IF($Q12=2,1,0),IF($X12&lt;30,1,0))</formula>
    </cfRule>
    <cfRule type="expression" dxfId="9071" priority="484">
      <formula>AND(IF($Q12=3,1,0),IF($X12&lt;30,1,0))</formula>
    </cfRule>
    <cfRule type="expression" dxfId="9070" priority="485">
      <formula>AND(IF($Q12=3,1,IF($Q12=4,1,0)),IF($F12&lt;=85,1,0))</formula>
    </cfRule>
  </conditionalFormatting>
  <conditionalFormatting sqref="AV13">
    <cfRule type="expression" dxfId="9069" priority="480">
      <formula>AV13="X"</formula>
    </cfRule>
    <cfRule type="expression" dxfId="9068" priority="481">
      <formula>AV13="후보"</formula>
    </cfRule>
  </conditionalFormatting>
  <conditionalFormatting sqref="AC13">
    <cfRule type="cellIs" dxfId="9067" priority="477" operator="greaterThan">
      <formula>0.9</formula>
    </cfRule>
    <cfRule type="cellIs" dxfId="9066" priority="478" operator="greaterThan">
      <formula>0.85</formula>
    </cfRule>
  </conditionalFormatting>
  <conditionalFormatting sqref="N13">
    <cfRule type="cellIs" dxfId="9065" priority="475" operator="greaterThan">
      <formula>0.9</formula>
    </cfRule>
    <cfRule type="cellIs" dxfId="9064" priority="476" operator="greaterThan">
      <formula>0.85</formula>
    </cfRule>
  </conditionalFormatting>
  <conditionalFormatting sqref="E13">
    <cfRule type="expression" dxfId="9063" priority="471">
      <formula>AND(IF(OR($Q13=1,$Q13=2),1,0),IF($X13&lt;=20,1,0))</formula>
    </cfRule>
    <cfRule type="expression" dxfId="9062" priority="472">
      <formula>AND(IF($Q13=2,1,0),IF($X13&lt;30,1,0))</formula>
    </cfRule>
    <cfRule type="expression" dxfId="9061" priority="473">
      <formula>AND(IF($Q13=3,1,0),IF($X13&lt;30,1,0))</formula>
    </cfRule>
    <cfRule type="expression" dxfId="9060" priority="474">
      <formula>AND(IF($Q13=3,1,IF($Q13=4,1,0)),IF($F13&lt;=85,1,0))</formula>
    </cfRule>
  </conditionalFormatting>
  <conditionalFormatting sqref="X13">
    <cfRule type="expression" dxfId="9059" priority="467">
      <formula>AND(IF(OR($Q13=1,$Q13=2),1,0),IF($X13&lt;=20,1,0))</formula>
    </cfRule>
    <cfRule type="expression" dxfId="9058" priority="468">
      <formula>AND(IF($Q13=2,1,0),IF($X13&lt;30,1,0))</formula>
    </cfRule>
    <cfRule type="expression" dxfId="9057" priority="469">
      <formula>AND(IF($Q13=3,1,0),IF($X13&lt;30,1,0))</formula>
    </cfRule>
    <cfRule type="expression" dxfId="9056" priority="470">
      <formula>AND(IF($Q13=3,1,IF($Q13=4,1,0)),IF($F13&lt;=85,1,0))</formula>
    </cfRule>
  </conditionalFormatting>
  <conditionalFormatting sqref="AI13">
    <cfRule type="expression" dxfId="9055" priority="463">
      <formula>AND(IF(OR($Q13=1,$Q13=2),1,0),IF($X13&lt;=20,1,0))</formula>
    </cfRule>
    <cfRule type="expression" dxfId="9054" priority="464">
      <formula>AND(IF($Q13=2,1,0),IF($X13&lt;30,1,0))</formula>
    </cfRule>
    <cfRule type="expression" dxfId="9053" priority="465">
      <formula>AND(IF($Q13=3,1,0),IF($X13&lt;30,1,0))</formula>
    </cfRule>
    <cfRule type="expression" dxfId="9052" priority="466">
      <formula>AND(IF($Q13=3,1,IF($Q13=4,1,0)),IF($F13&lt;=85,1,0))</formula>
    </cfRule>
  </conditionalFormatting>
  <conditionalFormatting sqref="AV14">
    <cfRule type="expression" dxfId="9051" priority="461">
      <formula>AV14="X"</formula>
    </cfRule>
    <cfRule type="expression" dxfId="9050" priority="462">
      <formula>AV14="후보"</formula>
    </cfRule>
  </conditionalFormatting>
  <conditionalFormatting sqref="AC14 N14">
    <cfRule type="cellIs" dxfId="9049" priority="458" operator="greaterThan">
      <formula>0.9</formula>
    </cfRule>
    <cfRule type="cellIs" dxfId="9048" priority="459" operator="greaterThan">
      <formula>0.85</formula>
    </cfRule>
  </conditionalFormatting>
  <conditionalFormatting sqref="AV15">
    <cfRule type="expression" dxfId="9047" priority="456">
      <formula>AV15="X"</formula>
    </cfRule>
    <cfRule type="expression" dxfId="9046" priority="457">
      <formula>AV15="후보"</formula>
    </cfRule>
  </conditionalFormatting>
  <conditionalFormatting sqref="AC15">
    <cfRule type="cellIs" dxfId="9045" priority="453" operator="greaterThan">
      <formula>0.9</formula>
    </cfRule>
    <cfRule type="cellIs" dxfId="9044" priority="454" operator="greaterThan">
      <formula>0.85</formula>
    </cfRule>
  </conditionalFormatting>
  <conditionalFormatting sqref="N15">
    <cfRule type="cellIs" dxfId="9043" priority="451" operator="greaterThan">
      <formula>0.9</formula>
    </cfRule>
    <cfRule type="cellIs" dxfId="9042" priority="452" operator="greaterThan">
      <formula>0.85</formula>
    </cfRule>
  </conditionalFormatting>
  <conditionalFormatting sqref="E15">
    <cfRule type="expression" dxfId="9041" priority="447">
      <formula>AND(IF(OR($Q15=1,$Q15=2),1,0),IF($X15&lt;=20,1,0))</formula>
    </cfRule>
    <cfRule type="expression" dxfId="9040" priority="448">
      <formula>AND(IF($Q15=2,1,0),IF($X15&lt;30,1,0))</formula>
    </cfRule>
    <cfRule type="expression" dxfId="9039" priority="449">
      <formula>AND(IF($Q15=3,1,0),IF($X15&lt;30,1,0))</formula>
    </cfRule>
    <cfRule type="expression" dxfId="9038" priority="450">
      <formula>AND(IF($Q15=3,1,IF($Q15=4,1,0)),IF($F15&lt;=85,1,0))</formula>
    </cfRule>
  </conditionalFormatting>
  <conditionalFormatting sqref="X15">
    <cfRule type="expression" dxfId="9037" priority="443">
      <formula>AND(IF(OR($Q15=1,$Q15=2),1,0),IF($X15&lt;=20,1,0))</formula>
    </cfRule>
    <cfRule type="expression" dxfId="9036" priority="444">
      <formula>AND(IF($Q15=2,1,0),IF($X15&lt;30,1,0))</formula>
    </cfRule>
    <cfRule type="expression" dxfId="9035" priority="445">
      <formula>AND(IF($Q15=3,1,0),IF($X15&lt;30,1,0))</formula>
    </cfRule>
    <cfRule type="expression" dxfId="9034" priority="446">
      <formula>AND(IF($Q15=3,1,IF($Q15=4,1,0)),IF($F15&lt;=85,1,0))</formula>
    </cfRule>
  </conditionalFormatting>
  <conditionalFormatting sqref="AI15">
    <cfRule type="expression" dxfId="9033" priority="439">
      <formula>AND(IF(OR($Q15=1,$Q15=2),1,0),IF($X15&lt;=20,1,0))</formula>
    </cfRule>
    <cfRule type="expression" dxfId="9032" priority="440">
      <formula>AND(IF($Q15=2,1,0),IF($X15&lt;30,1,0))</formula>
    </cfRule>
    <cfRule type="expression" dxfId="9031" priority="441">
      <formula>AND(IF($Q15=3,1,0),IF($X15&lt;30,1,0))</formula>
    </cfRule>
    <cfRule type="expression" dxfId="9030" priority="442">
      <formula>AND(IF($Q15=3,1,IF($Q15=4,1,0)),IF($F15&lt;=85,1,0))</formula>
    </cfRule>
  </conditionalFormatting>
  <conditionalFormatting sqref="AV16">
    <cfRule type="expression" dxfId="9029" priority="437">
      <formula>AV16="X"</formula>
    </cfRule>
    <cfRule type="expression" dxfId="9028" priority="438">
      <formula>AV16="후보"</formula>
    </cfRule>
  </conditionalFormatting>
  <conditionalFormatting sqref="AC16">
    <cfRule type="cellIs" dxfId="9027" priority="434" operator="greaterThan">
      <formula>0.9</formula>
    </cfRule>
    <cfRule type="cellIs" dxfId="9026" priority="435" operator="greaterThan">
      <formula>0.85</formula>
    </cfRule>
  </conditionalFormatting>
  <conditionalFormatting sqref="N16">
    <cfRule type="cellIs" dxfId="9025" priority="432" operator="greaterThan">
      <formula>0.9</formula>
    </cfRule>
    <cfRule type="cellIs" dxfId="9024" priority="433" operator="greaterThan">
      <formula>0.85</formula>
    </cfRule>
  </conditionalFormatting>
  <conditionalFormatting sqref="E16">
    <cfRule type="expression" dxfId="9023" priority="428">
      <formula>AND(IF(OR($Q16=1,$Q16=2),1,0),IF($X16&lt;=20,1,0))</formula>
    </cfRule>
    <cfRule type="expression" dxfId="9022" priority="429">
      <formula>AND(IF($Q16=2,1,0),IF($X16&lt;30,1,0))</formula>
    </cfRule>
    <cfRule type="expression" dxfId="9021" priority="430">
      <formula>AND(IF($Q16=3,1,0),IF($X16&lt;30,1,0))</formula>
    </cfRule>
    <cfRule type="expression" dxfId="9020" priority="431">
      <formula>AND(IF($Q16=3,1,IF($Q16=4,1,0)),IF($F16&lt;=85,1,0))</formula>
    </cfRule>
  </conditionalFormatting>
  <conditionalFormatting sqref="X16">
    <cfRule type="expression" dxfId="9019" priority="424">
      <formula>AND(IF(OR($Q16=1,$Q16=2),1,0),IF($X16&lt;=20,1,0))</formula>
    </cfRule>
    <cfRule type="expression" dxfId="9018" priority="425">
      <formula>AND(IF($Q16=2,1,0),IF($X16&lt;30,1,0))</formula>
    </cfRule>
    <cfRule type="expression" dxfId="9017" priority="426">
      <formula>AND(IF($Q16=3,1,0),IF($X16&lt;30,1,0))</formula>
    </cfRule>
    <cfRule type="expression" dxfId="9016" priority="427">
      <formula>AND(IF($Q16=3,1,IF($Q16=4,1,0)),IF($F16&lt;=85,1,0))</formula>
    </cfRule>
  </conditionalFormatting>
  <conditionalFormatting sqref="AI16">
    <cfRule type="expression" dxfId="9015" priority="420">
      <formula>AND(IF(OR($Q16=1,$Q16=2),1,0),IF($X16&lt;=20,1,0))</formula>
    </cfRule>
    <cfRule type="expression" dxfId="9014" priority="421">
      <formula>AND(IF($Q16=2,1,0),IF($X16&lt;30,1,0))</formula>
    </cfRule>
    <cfRule type="expression" dxfId="9013" priority="422">
      <formula>AND(IF($Q16=3,1,0),IF($X16&lt;30,1,0))</formula>
    </cfRule>
    <cfRule type="expression" dxfId="9012" priority="423">
      <formula>AND(IF($Q16=3,1,IF($Q16=4,1,0)),IF($F16&lt;=85,1,0))</formula>
    </cfRule>
  </conditionalFormatting>
  <conditionalFormatting sqref="AV17">
    <cfRule type="expression" dxfId="9011" priority="418">
      <formula>AV17="X"</formula>
    </cfRule>
    <cfRule type="expression" dxfId="9010" priority="419">
      <formula>AV17="후보"</formula>
    </cfRule>
  </conditionalFormatting>
  <conditionalFormatting sqref="AC17">
    <cfRule type="cellIs" dxfId="9009" priority="415" operator="greaterThan">
      <formula>0.9</formula>
    </cfRule>
    <cfRule type="cellIs" dxfId="9008" priority="416" operator="greaterThan">
      <formula>0.85</formula>
    </cfRule>
  </conditionalFormatting>
  <conditionalFormatting sqref="N17">
    <cfRule type="cellIs" dxfId="9007" priority="413" operator="greaterThan">
      <formula>0.9</formula>
    </cfRule>
    <cfRule type="cellIs" dxfId="9006" priority="414" operator="greaterThan">
      <formula>0.85</formula>
    </cfRule>
  </conditionalFormatting>
  <conditionalFormatting sqref="E17">
    <cfRule type="expression" dxfId="9005" priority="409">
      <formula>AND(IF(OR($Q17=1,$Q17=2),1,0),IF($X17&lt;=20,1,0))</formula>
    </cfRule>
    <cfRule type="expression" dxfId="9004" priority="410">
      <formula>AND(IF($Q17=2,1,0),IF($X17&lt;30,1,0))</formula>
    </cfRule>
    <cfRule type="expression" dxfId="9003" priority="411">
      <formula>AND(IF($Q17=3,1,0),IF($X17&lt;30,1,0))</formula>
    </cfRule>
    <cfRule type="expression" dxfId="9002" priority="412">
      <formula>AND(IF($Q17=3,1,IF($Q17=4,1,0)),IF($F17&lt;=85,1,0))</formula>
    </cfRule>
  </conditionalFormatting>
  <conditionalFormatting sqref="X17">
    <cfRule type="expression" dxfId="9001" priority="405">
      <formula>AND(IF(OR($Q17=1,$Q17=2),1,0),IF($X17&lt;=20,1,0))</formula>
    </cfRule>
    <cfRule type="expression" dxfId="9000" priority="406">
      <formula>AND(IF($Q17=2,1,0),IF($X17&lt;30,1,0))</formula>
    </cfRule>
    <cfRule type="expression" dxfId="8999" priority="407">
      <formula>AND(IF($Q17=3,1,0),IF($X17&lt;30,1,0))</formula>
    </cfRule>
    <cfRule type="expression" dxfId="8998" priority="408">
      <formula>AND(IF($Q17=3,1,IF($Q17=4,1,0)),IF($F17&lt;=85,1,0))</formula>
    </cfRule>
  </conditionalFormatting>
  <conditionalFormatting sqref="AI17">
    <cfRule type="expression" dxfId="8997" priority="401">
      <formula>AND(IF(OR($Q17=1,$Q17=2),1,0),IF($X17&lt;=20,1,0))</formula>
    </cfRule>
    <cfRule type="expression" dxfId="8996" priority="402">
      <formula>AND(IF($Q17=2,1,0),IF($X17&lt;30,1,0))</formula>
    </cfRule>
    <cfRule type="expression" dxfId="8995" priority="403">
      <formula>AND(IF($Q17=3,1,0),IF($X17&lt;30,1,0))</formula>
    </cfRule>
    <cfRule type="expression" dxfId="8994" priority="404">
      <formula>AND(IF($Q17=3,1,IF($Q17=4,1,0)),IF($F17&lt;=85,1,0))</formula>
    </cfRule>
  </conditionalFormatting>
  <conditionalFormatting sqref="AV18">
    <cfRule type="expression" dxfId="8993" priority="399">
      <formula>AV18="X"</formula>
    </cfRule>
    <cfRule type="expression" dxfId="8992" priority="400">
      <formula>AV18="후보"</formula>
    </cfRule>
  </conditionalFormatting>
  <conditionalFormatting sqref="AC18">
    <cfRule type="cellIs" dxfId="8991" priority="396" operator="greaterThan">
      <formula>0.9</formula>
    </cfRule>
    <cfRule type="cellIs" dxfId="8990" priority="397" operator="greaterThan">
      <formula>0.85</formula>
    </cfRule>
  </conditionalFormatting>
  <conditionalFormatting sqref="N18">
    <cfRule type="cellIs" dxfId="8989" priority="394" operator="greaterThan">
      <formula>0.9</formula>
    </cfRule>
    <cfRule type="cellIs" dxfId="8988" priority="395" operator="greaterThan">
      <formula>0.85</formula>
    </cfRule>
  </conditionalFormatting>
  <conditionalFormatting sqref="E18">
    <cfRule type="expression" dxfId="8987" priority="390">
      <formula>AND(IF(OR($Q18=1,$Q18=2),1,0),IF($X18&lt;=20,1,0))</formula>
    </cfRule>
    <cfRule type="expression" dxfId="8986" priority="391">
      <formula>AND(IF($Q18=2,1,0),IF($X18&lt;30,1,0))</formula>
    </cfRule>
    <cfRule type="expression" dxfId="8985" priority="392">
      <formula>AND(IF($Q18=3,1,0),IF($X18&lt;30,1,0))</formula>
    </cfRule>
    <cfRule type="expression" dxfId="8984" priority="393">
      <formula>AND(IF($Q18=3,1,IF($Q18=4,1,0)),IF($F18&lt;=85,1,0))</formula>
    </cfRule>
  </conditionalFormatting>
  <conditionalFormatting sqref="X18">
    <cfRule type="expression" dxfId="8983" priority="386">
      <formula>AND(IF(OR($Q18=1,$Q18=2),1,0),IF($X18&lt;=20,1,0))</formula>
    </cfRule>
    <cfRule type="expression" dxfId="8982" priority="387">
      <formula>AND(IF($Q18=2,1,0),IF($X18&lt;30,1,0))</formula>
    </cfRule>
    <cfRule type="expression" dxfId="8981" priority="388">
      <formula>AND(IF($Q18=3,1,0),IF($X18&lt;30,1,0))</formula>
    </cfRule>
    <cfRule type="expression" dxfId="8980" priority="389">
      <formula>AND(IF($Q18=3,1,IF($Q18=4,1,0)),IF($F18&lt;=85,1,0))</formula>
    </cfRule>
  </conditionalFormatting>
  <conditionalFormatting sqref="AI18">
    <cfRule type="expression" dxfId="8979" priority="382">
      <formula>AND(IF(OR($Q18=1,$Q18=2),1,0),IF($X18&lt;=20,1,0))</formula>
    </cfRule>
    <cfRule type="expression" dxfId="8978" priority="383">
      <formula>AND(IF($Q18=2,1,0),IF($X18&lt;30,1,0))</formula>
    </cfRule>
    <cfRule type="expression" dxfId="8977" priority="384">
      <formula>AND(IF($Q18=3,1,0),IF($X18&lt;30,1,0))</formula>
    </cfRule>
    <cfRule type="expression" dxfId="8976" priority="385">
      <formula>AND(IF($Q18=3,1,IF($Q18=4,1,0)),IF($F18&lt;=85,1,0))</formula>
    </cfRule>
  </conditionalFormatting>
  <conditionalFormatting sqref="AV19">
    <cfRule type="expression" dxfId="8975" priority="380">
      <formula>AV19="X"</formula>
    </cfRule>
    <cfRule type="expression" dxfId="8974" priority="381">
      <formula>AV19="후보"</formula>
    </cfRule>
  </conditionalFormatting>
  <conditionalFormatting sqref="AC19">
    <cfRule type="cellIs" dxfId="8973" priority="377" operator="greaterThan">
      <formula>0.9</formula>
    </cfRule>
    <cfRule type="cellIs" dxfId="8972" priority="378" operator="greaterThan">
      <formula>0.85</formula>
    </cfRule>
  </conditionalFormatting>
  <conditionalFormatting sqref="N19">
    <cfRule type="cellIs" dxfId="8971" priority="375" operator="greaterThan">
      <formula>0.9</formula>
    </cfRule>
    <cfRule type="cellIs" dxfId="8970" priority="376" operator="greaterThan">
      <formula>0.85</formula>
    </cfRule>
  </conditionalFormatting>
  <conditionalFormatting sqref="E19">
    <cfRule type="expression" dxfId="8969" priority="371">
      <formula>AND(IF(OR($Q19=1,$Q19=2),1,0),IF($X19&lt;=20,1,0))</formula>
    </cfRule>
    <cfRule type="expression" dxfId="8968" priority="372">
      <formula>AND(IF($Q19=2,1,0),IF($X19&lt;30,1,0))</formula>
    </cfRule>
    <cfRule type="expression" dxfId="8967" priority="373">
      <formula>AND(IF($Q19=3,1,0),IF($X19&lt;30,1,0))</formula>
    </cfRule>
    <cfRule type="expression" dxfId="8966" priority="374">
      <formula>AND(IF($Q19=3,1,IF($Q19=4,1,0)),IF($F19&lt;=85,1,0))</formula>
    </cfRule>
  </conditionalFormatting>
  <conditionalFormatting sqref="X19">
    <cfRule type="expression" dxfId="8965" priority="367">
      <formula>AND(IF(OR($Q19=1,$Q19=2),1,0),IF($X19&lt;=20,1,0))</formula>
    </cfRule>
    <cfRule type="expression" dxfId="8964" priority="368">
      <formula>AND(IF($Q19=2,1,0),IF($X19&lt;30,1,0))</formula>
    </cfRule>
    <cfRule type="expression" dxfId="8963" priority="369">
      <formula>AND(IF($Q19=3,1,0),IF($X19&lt;30,1,0))</formula>
    </cfRule>
    <cfRule type="expression" dxfId="8962" priority="370">
      <formula>AND(IF($Q19=3,1,IF($Q19=4,1,0)),IF($F19&lt;=85,1,0))</formula>
    </cfRule>
  </conditionalFormatting>
  <conditionalFormatting sqref="AI19">
    <cfRule type="expression" dxfId="8961" priority="363">
      <formula>AND(IF(OR($Q19=1,$Q19=2),1,0),IF($X19&lt;=20,1,0))</formula>
    </cfRule>
    <cfRule type="expression" dxfId="8960" priority="364">
      <formula>AND(IF($Q19=2,1,0),IF($X19&lt;30,1,0))</formula>
    </cfRule>
    <cfRule type="expression" dxfId="8959" priority="365">
      <formula>AND(IF($Q19=3,1,0),IF($X19&lt;30,1,0))</formula>
    </cfRule>
    <cfRule type="expression" dxfId="8958" priority="366">
      <formula>AND(IF($Q19=3,1,IF($Q19=4,1,0)),IF($F19&lt;=85,1,0))</formula>
    </cfRule>
  </conditionalFormatting>
  <conditionalFormatting sqref="AV20">
    <cfRule type="expression" dxfId="8957" priority="361">
      <formula>AV20="X"</formula>
    </cfRule>
    <cfRule type="expression" dxfId="8956" priority="362">
      <formula>AV20="후보"</formula>
    </cfRule>
  </conditionalFormatting>
  <conditionalFormatting sqref="AC20 N20">
    <cfRule type="cellIs" dxfId="8955" priority="358" operator="greaterThan">
      <formula>0.9</formula>
    </cfRule>
    <cfRule type="cellIs" dxfId="8954" priority="359" operator="greaterThan">
      <formula>0.85</formula>
    </cfRule>
  </conditionalFormatting>
  <conditionalFormatting sqref="AV21">
    <cfRule type="expression" dxfId="8953" priority="356">
      <formula>AV21="X"</formula>
    </cfRule>
    <cfRule type="expression" dxfId="8952" priority="357">
      <formula>AV21="후보"</formula>
    </cfRule>
  </conditionalFormatting>
  <conditionalFormatting sqref="AC21">
    <cfRule type="cellIs" dxfId="8951" priority="353" operator="greaterThan">
      <formula>0.9</formula>
    </cfRule>
    <cfRule type="cellIs" dxfId="8950" priority="354" operator="greaterThan">
      <formula>0.85</formula>
    </cfRule>
  </conditionalFormatting>
  <conditionalFormatting sqref="N21">
    <cfRule type="cellIs" dxfId="8949" priority="351" operator="greaterThan">
      <formula>0.9</formula>
    </cfRule>
    <cfRule type="cellIs" dxfId="8948" priority="352" operator="greaterThan">
      <formula>0.85</formula>
    </cfRule>
  </conditionalFormatting>
  <conditionalFormatting sqref="E21">
    <cfRule type="expression" dxfId="8947" priority="347">
      <formula>AND(IF(OR($Q21=1,$Q21=2),1,0),IF($X21&lt;=20,1,0))</formula>
    </cfRule>
    <cfRule type="expression" dxfId="8946" priority="348">
      <formula>AND(IF($Q21=2,1,0),IF($X21&lt;30,1,0))</formula>
    </cfRule>
    <cfRule type="expression" dxfId="8945" priority="349">
      <formula>AND(IF($Q21=3,1,0),IF($X21&lt;30,1,0))</formula>
    </cfRule>
    <cfRule type="expression" dxfId="8944" priority="350">
      <formula>AND(IF($Q21=3,1,IF($Q21=4,1,0)),IF($F21&lt;=85,1,0))</formula>
    </cfRule>
  </conditionalFormatting>
  <conditionalFormatting sqref="X21">
    <cfRule type="expression" dxfId="8943" priority="343">
      <formula>AND(IF(OR($Q21=1,$Q21=2),1,0),IF($X21&lt;=20,1,0))</formula>
    </cfRule>
    <cfRule type="expression" dxfId="8942" priority="344">
      <formula>AND(IF($Q21=2,1,0),IF($X21&lt;30,1,0))</formula>
    </cfRule>
    <cfRule type="expression" dxfId="8941" priority="345">
      <formula>AND(IF($Q21=3,1,0),IF($X21&lt;30,1,0))</formula>
    </cfRule>
    <cfRule type="expression" dxfId="8940" priority="346">
      <formula>AND(IF($Q21=3,1,IF($Q21=4,1,0)),IF($F21&lt;=85,1,0))</formula>
    </cfRule>
  </conditionalFormatting>
  <conditionalFormatting sqref="AI21">
    <cfRule type="expression" dxfId="8939" priority="339">
      <formula>AND(IF(OR($Q21=1,$Q21=2),1,0),IF($X21&lt;=20,1,0))</formula>
    </cfRule>
    <cfRule type="expression" dxfId="8938" priority="340">
      <formula>AND(IF($Q21=2,1,0),IF($X21&lt;30,1,0))</formula>
    </cfRule>
    <cfRule type="expression" dxfId="8937" priority="341">
      <formula>AND(IF($Q21=3,1,0),IF($X21&lt;30,1,0))</formula>
    </cfRule>
    <cfRule type="expression" dxfId="8936" priority="342">
      <formula>AND(IF($Q21=3,1,IF($Q21=4,1,0)),IF($F21&lt;=85,1,0))</formula>
    </cfRule>
  </conditionalFormatting>
  <conditionalFormatting sqref="AV22">
    <cfRule type="expression" dxfId="8935" priority="337">
      <formula>AV22="X"</formula>
    </cfRule>
    <cfRule type="expression" dxfId="8934" priority="338">
      <formula>AV22="후보"</formula>
    </cfRule>
  </conditionalFormatting>
  <conditionalFormatting sqref="AC22">
    <cfRule type="cellIs" dxfId="8933" priority="334" operator="greaterThan">
      <formula>0.9</formula>
    </cfRule>
    <cfRule type="cellIs" dxfId="8932" priority="335" operator="greaterThan">
      <formula>0.85</formula>
    </cfRule>
  </conditionalFormatting>
  <conditionalFormatting sqref="N22">
    <cfRule type="cellIs" dxfId="8931" priority="332" operator="greaterThan">
      <formula>0.9</formula>
    </cfRule>
    <cfRule type="cellIs" dxfId="8930" priority="333" operator="greaterThan">
      <formula>0.85</formula>
    </cfRule>
  </conditionalFormatting>
  <conditionalFormatting sqref="E22">
    <cfRule type="expression" dxfId="8929" priority="328">
      <formula>AND(IF(OR($Q22=1,$Q22=2),1,0),IF($X22&lt;=20,1,0))</formula>
    </cfRule>
    <cfRule type="expression" dxfId="8928" priority="329">
      <formula>AND(IF($Q22=2,1,0),IF($X22&lt;30,1,0))</formula>
    </cfRule>
    <cfRule type="expression" dxfId="8927" priority="330">
      <formula>AND(IF($Q22=3,1,0),IF($X22&lt;30,1,0))</formula>
    </cfRule>
    <cfRule type="expression" dxfId="8926" priority="331">
      <formula>AND(IF($Q22=3,1,IF($Q22=4,1,0)),IF($F22&lt;=85,1,0))</formula>
    </cfRule>
  </conditionalFormatting>
  <conditionalFormatting sqref="X22">
    <cfRule type="expression" dxfId="8925" priority="324">
      <formula>AND(IF(OR($Q22=1,$Q22=2),1,0),IF($X22&lt;=20,1,0))</formula>
    </cfRule>
    <cfRule type="expression" dxfId="8924" priority="325">
      <formula>AND(IF($Q22=2,1,0),IF($X22&lt;30,1,0))</formula>
    </cfRule>
    <cfRule type="expression" dxfId="8923" priority="326">
      <formula>AND(IF($Q22=3,1,0),IF($X22&lt;30,1,0))</formula>
    </cfRule>
    <cfRule type="expression" dxfId="8922" priority="327">
      <formula>AND(IF($Q22=3,1,IF($Q22=4,1,0)),IF($F22&lt;=85,1,0))</formula>
    </cfRule>
  </conditionalFormatting>
  <conditionalFormatting sqref="AI22">
    <cfRule type="expression" dxfId="8921" priority="320">
      <formula>AND(IF(OR($Q22=1,$Q22=2),1,0),IF($X22&lt;=20,1,0))</formula>
    </cfRule>
    <cfRule type="expression" dxfId="8920" priority="321">
      <formula>AND(IF($Q22=2,1,0),IF($X22&lt;30,1,0))</formula>
    </cfRule>
    <cfRule type="expression" dxfId="8919" priority="322">
      <formula>AND(IF($Q22=3,1,0),IF($X22&lt;30,1,0))</formula>
    </cfRule>
    <cfRule type="expression" dxfId="8918" priority="323">
      <formula>AND(IF($Q22=3,1,IF($Q22=4,1,0)),IF($F22&lt;=85,1,0))</formula>
    </cfRule>
  </conditionalFormatting>
  <conditionalFormatting sqref="AV23">
    <cfRule type="expression" dxfId="8917" priority="318">
      <formula>AV23="X"</formula>
    </cfRule>
    <cfRule type="expression" dxfId="8916" priority="319">
      <formula>AV23="후보"</formula>
    </cfRule>
  </conditionalFormatting>
  <conditionalFormatting sqref="AC23">
    <cfRule type="cellIs" dxfId="8915" priority="315" operator="greaterThan">
      <formula>0.9</formula>
    </cfRule>
    <cfRule type="cellIs" dxfId="8914" priority="316" operator="greaterThan">
      <formula>0.85</formula>
    </cfRule>
  </conditionalFormatting>
  <conditionalFormatting sqref="N23">
    <cfRule type="cellIs" dxfId="8913" priority="313" operator="greaterThan">
      <formula>0.9</formula>
    </cfRule>
    <cfRule type="cellIs" dxfId="8912" priority="314" operator="greaterThan">
      <formula>0.85</formula>
    </cfRule>
  </conditionalFormatting>
  <conditionalFormatting sqref="E23">
    <cfRule type="expression" dxfId="8911" priority="309">
      <formula>AND(IF(OR($Q23=1,$Q23=2),1,0),IF($X23&lt;=20,1,0))</formula>
    </cfRule>
    <cfRule type="expression" dxfId="8910" priority="310">
      <formula>AND(IF($Q23=2,1,0),IF($X23&lt;30,1,0))</formula>
    </cfRule>
    <cfRule type="expression" dxfId="8909" priority="311">
      <formula>AND(IF($Q23=3,1,0),IF($X23&lt;30,1,0))</formula>
    </cfRule>
    <cfRule type="expression" dxfId="8908" priority="312">
      <formula>AND(IF($Q23=3,1,IF($Q23=4,1,0)),IF($F23&lt;=85,1,0))</formula>
    </cfRule>
  </conditionalFormatting>
  <conditionalFormatting sqref="X23">
    <cfRule type="expression" dxfId="8907" priority="305">
      <formula>AND(IF(OR($Q23=1,$Q23=2),1,0),IF($X23&lt;=20,1,0))</formula>
    </cfRule>
    <cfRule type="expression" dxfId="8906" priority="306">
      <formula>AND(IF($Q23=2,1,0),IF($X23&lt;30,1,0))</formula>
    </cfRule>
    <cfRule type="expression" dxfId="8905" priority="307">
      <formula>AND(IF($Q23=3,1,0),IF($X23&lt;30,1,0))</formula>
    </cfRule>
    <cfRule type="expression" dxfId="8904" priority="308">
      <formula>AND(IF($Q23=3,1,IF($Q23=4,1,0)),IF($F23&lt;=85,1,0))</formula>
    </cfRule>
  </conditionalFormatting>
  <conditionalFormatting sqref="AI23">
    <cfRule type="expression" dxfId="8903" priority="301">
      <formula>AND(IF(OR($Q23=1,$Q23=2),1,0),IF($X23&lt;=20,1,0))</formula>
    </cfRule>
    <cfRule type="expression" dxfId="8902" priority="302">
      <formula>AND(IF($Q23=2,1,0),IF($X23&lt;30,1,0))</formula>
    </cfRule>
    <cfRule type="expression" dxfId="8901" priority="303">
      <formula>AND(IF($Q23=3,1,0),IF($X23&lt;30,1,0))</formula>
    </cfRule>
    <cfRule type="expression" dxfId="8900" priority="304">
      <formula>AND(IF($Q23=3,1,IF($Q23=4,1,0)),IF($F23&lt;=85,1,0))</formula>
    </cfRule>
  </conditionalFormatting>
  <conditionalFormatting sqref="AV24">
    <cfRule type="expression" dxfId="8899" priority="299">
      <formula>AV24="X"</formula>
    </cfRule>
    <cfRule type="expression" dxfId="8898" priority="300">
      <formula>AV24="후보"</formula>
    </cfRule>
  </conditionalFormatting>
  <conditionalFormatting sqref="AC24">
    <cfRule type="cellIs" dxfId="8897" priority="296" operator="greaterThan">
      <formula>0.9</formula>
    </cfRule>
    <cfRule type="cellIs" dxfId="8896" priority="297" operator="greaterThan">
      <formula>0.85</formula>
    </cfRule>
  </conditionalFormatting>
  <conditionalFormatting sqref="N24">
    <cfRule type="cellIs" dxfId="8895" priority="294" operator="greaterThan">
      <formula>0.9</formula>
    </cfRule>
    <cfRule type="cellIs" dxfId="8894" priority="295" operator="greaterThan">
      <formula>0.85</formula>
    </cfRule>
  </conditionalFormatting>
  <conditionalFormatting sqref="E24">
    <cfRule type="expression" dxfId="8893" priority="290">
      <formula>AND(IF(OR($Q24=1,$Q24=2),1,0),IF($X24&lt;=20,1,0))</formula>
    </cfRule>
    <cfRule type="expression" dxfId="8892" priority="291">
      <formula>AND(IF($Q24=2,1,0),IF($X24&lt;30,1,0))</formula>
    </cfRule>
    <cfRule type="expression" dxfId="8891" priority="292">
      <formula>AND(IF($Q24=3,1,0),IF($X24&lt;30,1,0))</formula>
    </cfRule>
    <cfRule type="expression" dxfId="8890" priority="293">
      <formula>AND(IF($Q24=3,1,IF($Q24=4,1,0)),IF($F24&lt;=85,1,0))</formula>
    </cfRule>
  </conditionalFormatting>
  <conditionalFormatting sqref="X24">
    <cfRule type="expression" dxfId="8889" priority="286">
      <formula>AND(IF(OR($Q24=1,$Q24=2),1,0),IF($X24&lt;=20,1,0))</formula>
    </cfRule>
    <cfRule type="expression" dxfId="8888" priority="287">
      <formula>AND(IF($Q24=2,1,0),IF($X24&lt;30,1,0))</formula>
    </cfRule>
    <cfRule type="expression" dxfId="8887" priority="288">
      <formula>AND(IF($Q24=3,1,0),IF($X24&lt;30,1,0))</formula>
    </cfRule>
    <cfRule type="expression" dxfId="8886" priority="289">
      <formula>AND(IF($Q24=3,1,IF($Q24=4,1,0)),IF($F24&lt;=85,1,0))</formula>
    </cfRule>
  </conditionalFormatting>
  <conditionalFormatting sqref="AI24">
    <cfRule type="expression" dxfId="8885" priority="282">
      <formula>AND(IF(OR($Q24=1,$Q24=2),1,0),IF($X24&lt;=20,1,0))</formula>
    </cfRule>
    <cfRule type="expression" dxfId="8884" priority="283">
      <formula>AND(IF($Q24=2,1,0),IF($X24&lt;30,1,0))</formula>
    </cfRule>
    <cfRule type="expression" dxfId="8883" priority="284">
      <formula>AND(IF($Q24=3,1,0),IF($X24&lt;30,1,0))</formula>
    </cfRule>
    <cfRule type="expression" dxfId="8882" priority="285">
      <formula>AND(IF($Q24=3,1,IF($Q24=4,1,0)),IF($F24&lt;=85,1,0))</formula>
    </cfRule>
  </conditionalFormatting>
  <conditionalFormatting sqref="AV25">
    <cfRule type="expression" dxfId="8881" priority="280">
      <formula>AV25="X"</formula>
    </cfRule>
    <cfRule type="expression" dxfId="8880" priority="281">
      <formula>AV25="후보"</formula>
    </cfRule>
  </conditionalFormatting>
  <conditionalFormatting sqref="AC25">
    <cfRule type="cellIs" dxfId="8879" priority="277" operator="greaterThan">
      <formula>0.9</formula>
    </cfRule>
    <cfRule type="cellIs" dxfId="8878" priority="278" operator="greaterThan">
      <formula>0.85</formula>
    </cfRule>
  </conditionalFormatting>
  <conditionalFormatting sqref="N25">
    <cfRule type="cellIs" dxfId="8877" priority="275" operator="greaterThan">
      <formula>0.9</formula>
    </cfRule>
    <cfRule type="cellIs" dxfId="8876" priority="276" operator="greaterThan">
      <formula>0.85</formula>
    </cfRule>
  </conditionalFormatting>
  <conditionalFormatting sqref="E25">
    <cfRule type="expression" dxfId="8875" priority="271">
      <formula>AND(IF(OR($Q25=1,$Q25=2),1,0),IF($X25&lt;=20,1,0))</formula>
    </cfRule>
    <cfRule type="expression" dxfId="8874" priority="272">
      <formula>AND(IF($Q25=2,1,0),IF($X25&lt;30,1,0))</formula>
    </cfRule>
    <cfRule type="expression" dxfId="8873" priority="273">
      <formula>AND(IF($Q25=3,1,0),IF($X25&lt;30,1,0))</formula>
    </cfRule>
    <cfRule type="expression" dxfId="8872" priority="274">
      <formula>AND(IF($Q25=3,1,IF($Q25=4,1,0)),IF($F25&lt;=85,1,0))</formula>
    </cfRule>
  </conditionalFormatting>
  <conditionalFormatting sqref="X25">
    <cfRule type="expression" dxfId="8871" priority="267">
      <formula>AND(IF(OR($Q25=1,$Q25=2),1,0),IF($X25&lt;=20,1,0))</formula>
    </cfRule>
    <cfRule type="expression" dxfId="8870" priority="268">
      <formula>AND(IF($Q25=2,1,0),IF($X25&lt;30,1,0))</formula>
    </cfRule>
    <cfRule type="expression" dxfId="8869" priority="269">
      <formula>AND(IF($Q25=3,1,0),IF($X25&lt;30,1,0))</formula>
    </cfRule>
    <cfRule type="expression" dxfId="8868" priority="270">
      <formula>AND(IF($Q25=3,1,IF($Q25=4,1,0)),IF($F25&lt;=85,1,0))</formula>
    </cfRule>
  </conditionalFormatting>
  <conditionalFormatting sqref="AI25">
    <cfRule type="expression" dxfId="8867" priority="263">
      <formula>AND(IF(OR($Q25=1,$Q25=2),1,0),IF($X25&lt;=20,1,0))</formula>
    </cfRule>
    <cfRule type="expression" dxfId="8866" priority="264">
      <formula>AND(IF($Q25=2,1,0),IF($X25&lt;30,1,0))</formula>
    </cfRule>
    <cfRule type="expression" dxfId="8865" priority="265">
      <formula>AND(IF($Q25=3,1,0),IF($X25&lt;30,1,0))</formula>
    </cfRule>
    <cfRule type="expression" dxfId="8864" priority="266">
      <formula>AND(IF($Q25=3,1,IF($Q25=4,1,0)),IF($F25&lt;=85,1,0))</formula>
    </cfRule>
  </conditionalFormatting>
  <conditionalFormatting sqref="AV26">
    <cfRule type="expression" dxfId="8863" priority="261">
      <formula>AV26="X"</formula>
    </cfRule>
    <cfRule type="expression" dxfId="8862" priority="262">
      <formula>AV26="후보"</formula>
    </cfRule>
  </conditionalFormatting>
  <conditionalFormatting sqref="AC26 N26">
    <cfRule type="cellIs" dxfId="8861" priority="258" operator="greaterThan">
      <formula>0.9</formula>
    </cfRule>
    <cfRule type="cellIs" dxfId="8860" priority="259" operator="greaterThan">
      <formula>0.85</formula>
    </cfRule>
  </conditionalFormatting>
  <conditionalFormatting sqref="AV27">
    <cfRule type="expression" dxfId="8859" priority="256">
      <formula>AV27="X"</formula>
    </cfRule>
    <cfRule type="expression" dxfId="8858" priority="257">
      <formula>AV27="후보"</formula>
    </cfRule>
  </conditionalFormatting>
  <conditionalFormatting sqref="AC27">
    <cfRule type="cellIs" dxfId="8857" priority="253" operator="greaterThan">
      <formula>0.9</formula>
    </cfRule>
    <cfRule type="cellIs" dxfId="8856" priority="254" operator="greaterThan">
      <formula>0.85</formula>
    </cfRule>
  </conditionalFormatting>
  <conditionalFormatting sqref="N27">
    <cfRule type="cellIs" dxfId="8855" priority="251" operator="greaterThan">
      <formula>0.9</formula>
    </cfRule>
    <cfRule type="cellIs" dxfId="8854" priority="252" operator="greaterThan">
      <formula>0.85</formula>
    </cfRule>
  </conditionalFormatting>
  <conditionalFormatting sqref="E27">
    <cfRule type="expression" dxfId="8853" priority="247">
      <formula>AND(IF(OR($Q27=1,$Q27=2),1,0),IF($X27&lt;=20,1,0))</formula>
    </cfRule>
    <cfRule type="expression" dxfId="8852" priority="248">
      <formula>AND(IF($Q27=2,1,0),IF($X27&lt;30,1,0))</formula>
    </cfRule>
    <cfRule type="expression" dxfId="8851" priority="249">
      <formula>AND(IF($Q27=3,1,0),IF($X27&lt;30,1,0))</formula>
    </cfRule>
    <cfRule type="expression" dxfId="8850" priority="250">
      <formula>AND(IF($Q27=3,1,IF($Q27=4,1,0)),IF($F27&lt;=85,1,0))</formula>
    </cfRule>
  </conditionalFormatting>
  <conditionalFormatting sqref="X27">
    <cfRule type="expression" dxfId="8849" priority="243">
      <formula>AND(IF(OR($Q27=1,$Q27=2),1,0),IF($X27&lt;=20,1,0))</formula>
    </cfRule>
    <cfRule type="expression" dxfId="8848" priority="244">
      <formula>AND(IF($Q27=2,1,0),IF($X27&lt;30,1,0))</formula>
    </cfRule>
    <cfRule type="expression" dxfId="8847" priority="245">
      <formula>AND(IF($Q27=3,1,0),IF($X27&lt;30,1,0))</formula>
    </cfRule>
    <cfRule type="expression" dxfId="8846" priority="246">
      <formula>AND(IF($Q27=3,1,IF($Q27=4,1,0)),IF($F27&lt;=85,1,0))</formula>
    </cfRule>
  </conditionalFormatting>
  <conditionalFormatting sqref="AI27">
    <cfRule type="expression" dxfId="8845" priority="239">
      <formula>AND(IF(OR($Q27=1,$Q27=2),1,0),IF($X27&lt;=20,1,0))</formula>
    </cfRule>
    <cfRule type="expression" dxfId="8844" priority="240">
      <formula>AND(IF($Q27=2,1,0),IF($X27&lt;30,1,0))</formula>
    </cfRule>
    <cfRule type="expression" dxfId="8843" priority="241">
      <formula>AND(IF($Q27=3,1,0),IF($X27&lt;30,1,0))</formula>
    </cfRule>
    <cfRule type="expression" dxfId="8842" priority="242">
      <formula>AND(IF($Q27=3,1,IF($Q27=4,1,0)),IF($F27&lt;=85,1,0))</formula>
    </cfRule>
  </conditionalFormatting>
  <conditionalFormatting sqref="AV28">
    <cfRule type="expression" dxfId="8841" priority="237">
      <formula>AV28="X"</formula>
    </cfRule>
    <cfRule type="expression" dxfId="8840" priority="238">
      <formula>AV28="후보"</formula>
    </cfRule>
  </conditionalFormatting>
  <conditionalFormatting sqref="AC28">
    <cfRule type="cellIs" dxfId="8839" priority="234" operator="greaterThan">
      <formula>0.9</formula>
    </cfRule>
    <cfRule type="cellIs" dxfId="8838" priority="235" operator="greaterThan">
      <formula>0.85</formula>
    </cfRule>
  </conditionalFormatting>
  <conditionalFormatting sqref="N28">
    <cfRule type="cellIs" dxfId="8837" priority="232" operator="greaterThan">
      <formula>0.9</formula>
    </cfRule>
    <cfRule type="cellIs" dxfId="8836" priority="233" operator="greaterThan">
      <formula>0.85</formula>
    </cfRule>
  </conditionalFormatting>
  <conditionalFormatting sqref="E28">
    <cfRule type="expression" dxfId="8835" priority="228">
      <formula>AND(IF(OR($Q28=1,$Q28=2),1,0),IF($X28&lt;=20,1,0))</formula>
    </cfRule>
    <cfRule type="expression" dxfId="8834" priority="229">
      <formula>AND(IF($Q28=2,1,0),IF($X28&lt;30,1,0))</formula>
    </cfRule>
    <cfRule type="expression" dxfId="8833" priority="230">
      <formula>AND(IF($Q28=3,1,0),IF($X28&lt;30,1,0))</formula>
    </cfRule>
    <cfRule type="expression" dxfId="8832" priority="231">
      <formula>AND(IF($Q28=3,1,IF($Q28=4,1,0)),IF($F28&lt;=85,1,0))</formula>
    </cfRule>
  </conditionalFormatting>
  <conditionalFormatting sqref="X28">
    <cfRule type="expression" dxfId="8831" priority="224">
      <formula>AND(IF(OR($Q28=1,$Q28=2),1,0),IF($X28&lt;=20,1,0))</formula>
    </cfRule>
    <cfRule type="expression" dxfId="8830" priority="225">
      <formula>AND(IF($Q28=2,1,0),IF($X28&lt;30,1,0))</formula>
    </cfRule>
    <cfRule type="expression" dxfId="8829" priority="226">
      <formula>AND(IF($Q28=3,1,0),IF($X28&lt;30,1,0))</formula>
    </cfRule>
    <cfRule type="expression" dxfId="8828" priority="227">
      <formula>AND(IF($Q28=3,1,IF($Q28=4,1,0)),IF($F28&lt;=85,1,0))</formula>
    </cfRule>
  </conditionalFormatting>
  <conditionalFormatting sqref="AI28">
    <cfRule type="expression" dxfId="8827" priority="220">
      <formula>AND(IF(OR($Q28=1,$Q28=2),1,0),IF($X28&lt;=20,1,0))</formula>
    </cfRule>
    <cfRule type="expression" dxfId="8826" priority="221">
      <formula>AND(IF($Q28=2,1,0),IF($X28&lt;30,1,0))</formula>
    </cfRule>
    <cfRule type="expression" dxfId="8825" priority="222">
      <formula>AND(IF($Q28=3,1,0),IF($X28&lt;30,1,0))</formula>
    </cfRule>
    <cfRule type="expression" dxfId="8824" priority="223">
      <formula>AND(IF($Q28=3,1,IF($Q28=4,1,0)),IF($F28&lt;=85,1,0))</formula>
    </cfRule>
  </conditionalFormatting>
  <conditionalFormatting sqref="AV29">
    <cfRule type="expression" dxfId="8823" priority="218">
      <formula>AV29="X"</formula>
    </cfRule>
    <cfRule type="expression" dxfId="8822" priority="219">
      <formula>AV29="후보"</formula>
    </cfRule>
  </conditionalFormatting>
  <conditionalFormatting sqref="AC29">
    <cfRule type="cellIs" dxfId="8821" priority="215" operator="greaterThan">
      <formula>0.9</formula>
    </cfRule>
    <cfRule type="cellIs" dxfId="8820" priority="216" operator="greaterThan">
      <formula>0.85</formula>
    </cfRule>
  </conditionalFormatting>
  <conditionalFormatting sqref="N29">
    <cfRule type="cellIs" dxfId="8819" priority="213" operator="greaterThan">
      <formula>0.9</formula>
    </cfRule>
    <cfRule type="cellIs" dxfId="8818" priority="214" operator="greaterThan">
      <formula>0.85</formula>
    </cfRule>
  </conditionalFormatting>
  <conditionalFormatting sqref="E29">
    <cfRule type="expression" dxfId="8817" priority="209">
      <formula>AND(IF(OR($Q29=1,$Q29=2),1,0),IF($X29&lt;=20,1,0))</formula>
    </cfRule>
    <cfRule type="expression" dxfId="8816" priority="210">
      <formula>AND(IF($Q29=2,1,0),IF($X29&lt;30,1,0))</formula>
    </cfRule>
    <cfRule type="expression" dxfId="8815" priority="211">
      <formula>AND(IF($Q29=3,1,0),IF($X29&lt;30,1,0))</formula>
    </cfRule>
    <cfRule type="expression" dxfId="8814" priority="212">
      <formula>AND(IF($Q29=3,1,IF($Q29=4,1,0)),IF($F29&lt;=85,1,0))</formula>
    </cfRule>
  </conditionalFormatting>
  <conditionalFormatting sqref="X29">
    <cfRule type="expression" dxfId="8813" priority="205">
      <formula>AND(IF(OR($Q29=1,$Q29=2),1,0),IF($X29&lt;=20,1,0))</formula>
    </cfRule>
    <cfRule type="expression" dxfId="8812" priority="206">
      <formula>AND(IF($Q29=2,1,0),IF($X29&lt;30,1,0))</formula>
    </cfRule>
    <cfRule type="expression" dxfId="8811" priority="207">
      <formula>AND(IF($Q29=3,1,0),IF($X29&lt;30,1,0))</formula>
    </cfRule>
    <cfRule type="expression" dxfId="8810" priority="208">
      <formula>AND(IF($Q29=3,1,IF($Q29=4,1,0)),IF($F29&lt;=85,1,0))</formula>
    </cfRule>
  </conditionalFormatting>
  <conditionalFormatting sqref="AI29">
    <cfRule type="expression" dxfId="8809" priority="201">
      <formula>AND(IF(OR($Q29=1,$Q29=2),1,0),IF($X29&lt;=20,1,0))</formula>
    </cfRule>
    <cfRule type="expression" dxfId="8808" priority="202">
      <formula>AND(IF($Q29=2,1,0),IF($X29&lt;30,1,0))</formula>
    </cfRule>
    <cfRule type="expression" dxfId="8807" priority="203">
      <formula>AND(IF($Q29=3,1,0),IF($X29&lt;30,1,0))</formula>
    </cfRule>
    <cfRule type="expression" dxfId="8806" priority="204">
      <formula>AND(IF($Q29=3,1,IF($Q29=4,1,0)),IF($F29&lt;=85,1,0))</formula>
    </cfRule>
  </conditionalFormatting>
  <conditionalFormatting sqref="AV30">
    <cfRule type="expression" dxfId="8805" priority="199">
      <formula>AV30="X"</formula>
    </cfRule>
    <cfRule type="expression" dxfId="8804" priority="200">
      <formula>AV30="후보"</formula>
    </cfRule>
  </conditionalFormatting>
  <conditionalFormatting sqref="AC30 N30">
    <cfRule type="cellIs" dxfId="8803" priority="196" operator="greaterThan">
      <formula>0.9</formula>
    </cfRule>
    <cfRule type="cellIs" dxfId="8802" priority="197" operator="greaterThan">
      <formula>0.85</formula>
    </cfRule>
  </conditionalFormatting>
  <conditionalFormatting sqref="AV31">
    <cfRule type="expression" dxfId="8801" priority="194">
      <formula>AV31="X"</formula>
    </cfRule>
    <cfRule type="expression" dxfId="8800" priority="195">
      <formula>AV31="후보"</formula>
    </cfRule>
  </conditionalFormatting>
  <conditionalFormatting sqref="AC31">
    <cfRule type="cellIs" dxfId="8799" priority="191" operator="greaterThan">
      <formula>0.9</formula>
    </cfRule>
    <cfRule type="cellIs" dxfId="8798" priority="192" operator="greaterThan">
      <formula>0.85</formula>
    </cfRule>
  </conditionalFormatting>
  <conditionalFormatting sqref="N31">
    <cfRule type="cellIs" dxfId="8797" priority="189" operator="greaterThan">
      <formula>0.9</formula>
    </cfRule>
    <cfRule type="cellIs" dxfId="8796" priority="190" operator="greaterThan">
      <formula>0.85</formula>
    </cfRule>
  </conditionalFormatting>
  <conditionalFormatting sqref="E31">
    <cfRule type="expression" dxfId="8795" priority="185">
      <formula>AND(IF(OR($Q31=1,$Q31=2),1,0),IF($X31&lt;=20,1,0))</formula>
    </cfRule>
    <cfRule type="expression" dxfId="8794" priority="186">
      <formula>AND(IF($Q31=2,1,0),IF($X31&lt;30,1,0))</formula>
    </cfRule>
    <cfRule type="expression" dxfId="8793" priority="187">
      <formula>AND(IF($Q31=3,1,0),IF($X31&lt;30,1,0))</formula>
    </cfRule>
    <cfRule type="expression" dxfId="8792" priority="188">
      <formula>AND(IF($Q31=3,1,IF($Q31=4,1,0)),IF($F31&lt;=85,1,0))</formula>
    </cfRule>
  </conditionalFormatting>
  <conditionalFormatting sqref="X31">
    <cfRule type="expression" dxfId="8791" priority="181">
      <formula>AND(IF(OR($Q31=1,$Q31=2),1,0),IF($X31&lt;=20,1,0))</formula>
    </cfRule>
    <cfRule type="expression" dxfId="8790" priority="182">
      <formula>AND(IF($Q31=2,1,0),IF($X31&lt;30,1,0))</formula>
    </cfRule>
    <cfRule type="expression" dxfId="8789" priority="183">
      <formula>AND(IF($Q31=3,1,0),IF($X31&lt;30,1,0))</formula>
    </cfRule>
    <cfRule type="expression" dxfId="8788" priority="184">
      <formula>AND(IF($Q31=3,1,IF($Q31=4,1,0)),IF($F31&lt;=85,1,0))</formula>
    </cfRule>
  </conditionalFormatting>
  <conditionalFormatting sqref="AI31">
    <cfRule type="expression" dxfId="8787" priority="177">
      <formula>AND(IF(OR($Q31=1,$Q31=2),1,0),IF($X31&lt;=20,1,0))</formula>
    </cfRule>
    <cfRule type="expression" dxfId="8786" priority="178">
      <formula>AND(IF($Q31=2,1,0),IF($X31&lt;30,1,0))</formula>
    </cfRule>
    <cfRule type="expression" dxfId="8785" priority="179">
      <formula>AND(IF($Q31=3,1,0),IF($X31&lt;30,1,0))</formula>
    </cfRule>
    <cfRule type="expression" dxfId="8784" priority="180">
      <formula>AND(IF($Q31=3,1,IF($Q31=4,1,0)),IF($F31&lt;=85,1,0))</formula>
    </cfRule>
  </conditionalFormatting>
  <conditionalFormatting sqref="AV32">
    <cfRule type="expression" dxfId="8783" priority="175">
      <formula>AV32="X"</formula>
    </cfRule>
    <cfRule type="expression" dxfId="8782" priority="176">
      <formula>AV32="후보"</formula>
    </cfRule>
  </conditionalFormatting>
  <conditionalFormatting sqref="AC32">
    <cfRule type="cellIs" dxfId="8781" priority="172" operator="greaterThan">
      <formula>0.9</formula>
    </cfRule>
    <cfRule type="cellIs" dxfId="8780" priority="173" operator="greaterThan">
      <formula>0.85</formula>
    </cfRule>
  </conditionalFormatting>
  <conditionalFormatting sqref="N32">
    <cfRule type="cellIs" dxfId="8779" priority="170" operator="greaterThan">
      <formula>0.9</formula>
    </cfRule>
    <cfRule type="cellIs" dxfId="8778" priority="171" operator="greaterThan">
      <formula>0.85</formula>
    </cfRule>
  </conditionalFormatting>
  <conditionalFormatting sqref="E32">
    <cfRule type="expression" dxfId="8777" priority="166">
      <formula>AND(IF(OR($Q32=1,$Q32=2),1,0),IF($X32&lt;=20,1,0))</formula>
    </cfRule>
    <cfRule type="expression" dxfId="8776" priority="167">
      <formula>AND(IF($Q32=2,1,0),IF($X32&lt;30,1,0))</formula>
    </cfRule>
    <cfRule type="expression" dxfId="8775" priority="168">
      <formula>AND(IF($Q32=3,1,0),IF($X32&lt;30,1,0))</formula>
    </cfRule>
    <cfRule type="expression" dxfId="8774" priority="169">
      <formula>AND(IF($Q32=3,1,IF($Q32=4,1,0)),IF($F32&lt;=85,1,0))</formula>
    </cfRule>
  </conditionalFormatting>
  <conditionalFormatting sqref="X32">
    <cfRule type="expression" dxfId="8773" priority="162">
      <formula>AND(IF(OR($Q32=1,$Q32=2),1,0),IF($X32&lt;=20,1,0))</formula>
    </cfRule>
    <cfRule type="expression" dxfId="8772" priority="163">
      <formula>AND(IF($Q32=2,1,0),IF($X32&lt;30,1,0))</formula>
    </cfRule>
    <cfRule type="expression" dxfId="8771" priority="164">
      <formula>AND(IF($Q32=3,1,0),IF($X32&lt;30,1,0))</formula>
    </cfRule>
    <cfRule type="expression" dxfId="8770" priority="165">
      <formula>AND(IF($Q32=3,1,IF($Q32=4,1,0)),IF($F32&lt;=85,1,0))</formula>
    </cfRule>
  </conditionalFormatting>
  <conditionalFormatting sqref="AI32">
    <cfRule type="expression" dxfId="8769" priority="158">
      <formula>AND(IF(OR($Q32=1,$Q32=2),1,0),IF($X32&lt;=20,1,0))</formula>
    </cfRule>
    <cfRule type="expression" dxfId="8768" priority="159">
      <formula>AND(IF($Q32=2,1,0),IF($X32&lt;30,1,0))</formula>
    </cfRule>
    <cfRule type="expression" dxfId="8767" priority="160">
      <formula>AND(IF($Q32=3,1,0),IF($X32&lt;30,1,0))</formula>
    </cfRule>
    <cfRule type="expression" dxfId="8766" priority="161">
      <formula>AND(IF($Q32=3,1,IF($Q32=4,1,0)),IF($F32&lt;=85,1,0))</formula>
    </cfRule>
  </conditionalFormatting>
  <conditionalFormatting sqref="AV33">
    <cfRule type="expression" dxfId="8765" priority="156">
      <formula>AV33="X"</formula>
    </cfRule>
    <cfRule type="expression" dxfId="8764" priority="157">
      <formula>AV33="후보"</formula>
    </cfRule>
  </conditionalFormatting>
  <conditionalFormatting sqref="AC33">
    <cfRule type="cellIs" dxfId="8763" priority="153" operator="greaterThan">
      <formula>0.9</formula>
    </cfRule>
    <cfRule type="cellIs" dxfId="8762" priority="154" operator="greaterThan">
      <formula>0.85</formula>
    </cfRule>
  </conditionalFormatting>
  <conditionalFormatting sqref="N33">
    <cfRule type="cellIs" dxfId="8761" priority="151" operator="greaterThan">
      <formula>0.9</formula>
    </cfRule>
    <cfRule type="cellIs" dxfId="8760" priority="152" operator="greaterThan">
      <formula>0.85</formula>
    </cfRule>
  </conditionalFormatting>
  <conditionalFormatting sqref="E33">
    <cfRule type="expression" dxfId="8759" priority="147">
      <formula>AND(IF(OR($Q33=1,$Q33=2),1,0),IF($X33&lt;=20,1,0))</formula>
    </cfRule>
    <cfRule type="expression" dxfId="8758" priority="148">
      <formula>AND(IF($Q33=2,1,0),IF($X33&lt;30,1,0))</formula>
    </cfRule>
    <cfRule type="expression" dxfId="8757" priority="149">
      <formula>AND(IF($Q33=3,1,0),IF($X33&lt;30,1,0))</formula>
    </cfRule>
    <cfRule type="expression" dxfId="8756" priority="150">
      <formula>AND(IF($Q33=3,1,IF($Q33=4,1,0)),IF($F33&lt;=85,1,0))</formula>
    </cfRule>
  </conditionalFormatting>
  <conditionalFormatting sqref="X33">
    <cfRule type="expression" dxfId="8755" priority="143">
      <formula>AND(IF(OR($Q33=1,$Q33=2),1,0),IF($X33&lt;=20,1,0))</formula>
    </cfRule>
    <cfRule type="expression" dxfId="8754" priority="144">
      <formula>AND(IF($Q33=2,1,0),IF($X33&lt;30,1,0))</formula>
    </cfRule>
    <cfRule type="expression" dxfId="8753" priority="145">
      <formula>AND(IF($Q33=3,1,0),IF($X33&lt;30,1,0))</formula>
    </cfRule>
    <cfRule type="expression" dxfId="8752" priority="146">
      <formula>AND(IF($Q33=3,1,IF($Q33=4,1,0)),IF($F33&lt;=85,1,0))</formula>
    </cfRule>
  </conditionalFormatting>
  <conditionalFormatting sqref="AI33">
    <cfRule type="expression" dxfId="8751" priority="139">
      <formula>AND(IF(OR($Q33=1,$Q33=2),1,0),IF($X33&lt;=20,1,0))</formula>
    </cfRule>
    <cfRule type="expression" dxfId="8750" priority="140">
      <formula>AND(IF($Q33=2,1,0),IF($X33&lt;30,1,0))</formula>
    </cfRule>
    <cfRule type="expression" dxfId="8749" priority="141">
      <formula>AND(IF($Q33=3,1,0),IF($X33&lt;30,1,0))</formula>
    </cfRule>
    <cfRule type="expression" dxfId="8748" priority="142">
      <formula>AND(IF($Q33=3,1,IF($Q33=4,1,0)),IF($F33&lt;=85,1,0))</formula>
    </cfRule>
  </conditionalFormatting>
  <conditionalFormatting sqref="AV34">
    <cfRule type="expression" dxfId="8747" priority="137">
      <formula>AV34="X"</formula>
    </cfRule>
    <cfRule type="expression" dxfId="8746" priority="138">
      <formula>AV34="후보"</formula>
    </cfRule>
  </conditionalFormatting>
  <conditionalFormatting sqref="AC34">
    <cfRule type="cellIs" dxfId="8745" priority="134" operator="greaterThan">
      <formula>0.9</formula>
    </cfRule>
    <cfRule type="cellIs" dxfId="8744" priority="135" operator="greaterThan">
      <formula>0.85</formula>
    </cfRule>
  </conditionalFormatting>
  <conditionalFormatting sqref="N34">
    <cfRule type="cellIs" dxfId="8743" priority="132" operator="greaterThan">
      <formula>0.9</formula>
    </cfRule>
    <cfRule type="cellIs" dxfId="8742" priority="133" operator="greaterThan">
      <formula>0.85</formula>
    </cfRule>
  </conditionalFormatting>
  <conditionalFormatting sqref="E34">
    <cfRule type="expression" dxfId="8741" priority="128">
      <formula>AND(IF(OR($Q34=1,$Q34=2),1,0),IF($X34&lt;=20,1,0))</formula>
    </cfRule>
    <cfRule type="expression" dxfId="8740" priority="129">
      <formula>AND(IF($Q34=2,1,0),IF($X34&lt;30,1,0))</formula>
    </cfRule>
    <cfRule type="expression" dxfId="8739" priority="130">
      <formula>AND(IF($Q34=3,1,0),IF($X34&lt;30,1,0))</formula>
    </cfRule>
    <cfRule type="expression" dxfId="8738" priority="131">
      <formula>AND(IF($Q34=3,1,IF($Q34=4,1,0)),IF($F34&lt;=85,1,0))</formula>
    </cfRule>
  </conditionalFormatting>
  <conditionalFormatting sqref="X34">
    <cfRule type="expression" dxfId="8737" priority="124">
      <formula>AND(IF(OR($Q34=1,$Q34=2),1,0),IF($X34&lt;=20,1,0))</formula>
    </cfRule>
    <cfRule type="expression" dxfId="8736" priority="125">
      <formula>AND(IF($Q34=2,1,0),IF($X34&lt;30,1,0))</formula>
    </cfRule>
    <cfRule type="expression" dxfId="8735" priority="126">
      <formula>AND(IF($Q34=3,1,0),IF($X34&lt;30,1,0))</formula>
    </cfRule>
    <cfRule type="expression" dxfId="8734" priority="127">
      <formula>AND(IF($Q34=3,1,IF($Q34=4,1,0)),IF($F34&lt;=85,1,0))</formula>
    </cfRule>
  </conditionalFormatting>
  <conditionalFormatting sqref="AI34">
    <cfRule type="expression" dxfId="8733" priority="120">
      <formula>AND(IF(OR($Q34=1,$Q34=2),1,0),IF($X34&lt;=20,1,0))</formula>
    </cfRule>
    <cfRule type="expression" dxfId="8732" priority="121">
      <formula>AND(IF($Q34=2,1,0),IF($X34&lt;30,1,0))</formula>
    </cfRule>
    <cfRule type="expression" dxfId="8731" priority="122">
      <formula>AND(IF($Q34=3,1,0),IF($X34&lt;30,1,0))</formula>
    </cfRule>
    <cfRule type="expression" dxfId="8730" priority="123">
      <formula>AND(IF($Q34=3,1,IF($Q34=4,1,0)),IF($F34&lt;=85,1,0))</formula>
    </cfRule>
  </conditionalFormatting>
  <conditionalFormatting sqref="AV35">
    <cfRule type="expression" dxfId="8729" priority="118">
      <formula>AV35="X"</formula>
    </cfRule>
    <cfRule type="expression" dxfId="8728" priority="119">
      <formula>AV35="후보"</formula>
    </cfRule>
  </conditionalFormatting>
  <conditionalFormatting sqref="AC35 N35">
    <cfRule type="cellIs" dxfId="8727" priority="115" operator="greaterThan">
      <formula>0.9</formula>
    </cfRule>
    <cfRule type="cellIs" dxfId="8726" priority="116" operator="greaterThan">
      <formula>0.85</formula>
    </cfRule>
  </conditionalFormatting>
  <conditionalFormatting sqref="AV36">
    <cfRule type="expression" dxfId="8725" priority="113">
      <formula>AV36="X"</formula>
    </cfRule>
    <cfRule type="expression" dxfId="8724" priority="114">
      <formula>AV36="후보"</formula>
    </cfRule>
  </conditionalFormatting>
  <conditionalFormatting sqref="AC36">
    <cfRule type="cellIs" dxfId="8723" priority="110" operator="greaterThan">
      <formula>0.9</formula>
    </cfRule>
    <cfRule type="cellIs" dxfId="8722" priority="111" operator="greaterThan">
      <formula>0.85</formula>
    </cfRule>
  </conditionalFormatting>
  <conditionalFormatting sqref="N36">
    <cfRule type="cellIs" dxfId="8721" priority="108" operator="greaterThan">
      <formula>0.9</formula>
    </cfRule>
    <cfRule type="cellIs" dxfId="8720" priority="109" operator="greaterThan">
      <formula>0.85</formula>
    </cfRule>
  </conditionalFormatting>
  <conditionalFormatting sqref="E36">
    <cfRule type="expression" dxfId="8719" priority="104">
      <formula>AND(IF(OR($Q36=1,$Q36=2),1,0),IF($X36&lt;=20,1,0))</formula>
    </cfRule>
    <cfRule type="expression" dxfId="8718" priority="105">
      <formula>AND(IF($Q36=2,1,0),IF($X36&lt;30,1,0))</formula>
    </cfRule>
    <cfRule type="expression" dxfId="8717" priority="106">
      <formula>AND(IF($Q36=3,1,0),IF($X36&lt;30,1,0))</formula>
    </cfRule>
    <cfRule type="expression" dxfId="8716" priority="107">
      <formula>AND(IF($Q36=3,1,IF($Q36=4,1,0)),IF($F36&lt;=85,1,0))</formula>
    </cfRule>
  </conditionalFormatting>
  <conditionalFormatting sqref="X36">
    <cfRule type="expression" dxfId="8715" priority="100">
      <formula>AND(IF(OR($Q36=1,$Q36=2),1,0),IF($X36&lt;=20,1,0))</formula>
    </cfRule>
    <cfRule type="expression" dxfId="8714" priority="101">
      <formula>AND(IF($Q36=2,1,0),IF($X36&lt;30,1,0))</formula>
    </cfRule>
    <cfRule type="expression" dxfId="8713" priority="102">
      <formula>AND(IF($Q36=3,1,0),IF($X36&lt;30,1,0))</formula>
    </cfRule>
    <cfRule type="expression" dxfId="8712" priority="103">
      <formula>AND(IF($Q36=3,1,IF($Q36=4,1,0)),IF($F36&lt;=85,1,0))</formula>
    </cfRule>
  </conditionalFormatting>
  <conditionalFormatting sqref="AI36">
    <cfRule type="expression" dxfId="8711" priority="96">
      <formula>AND(IF(OR($Q36=1,$Q36=2),1,0),IF($X36&lt;=20,1,0))</formula>
    </cfRule>
    <cfRule type="expression" dxfId="8710" priority="97">
      <formula>AND(IF($Q36=2,1,0),IF($X36&lt;30,1,0))</formula>
    </cfRule>
    <cfRule type="expression" dxfId="8709" priority="98">
      <formula>AND(IF($Q36=3,1,0),IF($X36&lt;30,1,0))</formula>
    </cfRule>
    <cfRule type="expression" dxfId="8708" priority="99">
      <formula>AND(IF($Q36=3,1,IF($Q36=4,1,0)),IF($F36&lt;=85,1,0))</formula>
    </cfRule>
  </conditionalFormatting>
  <conditionalFormatting sqref="AV37">
    <cfRule type="expression" dxfId="8707" priority="94">
      <formula>AV37="X"</formula>
    </cfRule>
    <cfRule type="expression" dxfId="8706" priority="95">
      <formula>AV37="후보"</formula>
    </cfRule>
  </conditionalFormatting>
  <conditionalFormatting sqref="AC37">
    <cfRule type="cellIs" dxfId="8705" priority="91" operator="greaterThan">
      <formula>0.9</formula>
    </cfRule>
    <cfRule type="cellIs" dxfId="8704" priority="92" operator="greaterThan">
      <formula>0.85</formula>
    </cfRule>
  </conditionalFormatting>
  <conditionalFormatting sqref="N37">
    <cfRule type="cellIs" dxfId="8703" priority="89" operator="greaterThan">
      <formula>0.9</formula>
    </cfRule>
    <cfRule type="cellIs" dxfId="8702" priority="90" operator="greaterThan">
      <formula>0.85</formula>
    </cfRule>
  </conditionalFormatting>
  <conditionalFormatting sqref="E37">
    <cfRule type="expression" dxfId="8701" priority="85">
      <formula>AND(IF(OR($Q37=1,$Q37=2),1,0),IF($X37&lt;=20,1,0))</formula>
    </cfRule>
    <cfRule type="expression" dxfId="8700" priority="86">
      <formula>AND(IF($Q37=2,1,0),IF($X37&lt;30,1,0))</formula>
    </cfRule>
    <cfRule type="expression" dxfId="8699" priority="87">
      <formula>AND(IF($Q37=3,1,0),IF($X37&lt;30,1,0))</formula>
    </cfRule>
    <cfRule type="expression" dxfId="8698" priority="88">
      <formula>AND(IF($Q37=3,1,IF($Q37=4,1,0)),IF($F37&lt;=85,1,0))</formula>
    </cfRule>
  </conditionalFormatting>
  <conditionalFormatting sqref="X37">
    <cfRule type="expression" dxfId="8697" priority="81">
      <formula>AND(IF(OR($Q37=1,$Q37=2),1,0),IF($X37&lt;=20,1,0))</formula>
    </cfRule>
    <cfRule type="expression" dxfId="8696" priority="82">
      <formula>AND(IF($Q37=2,1,0),IF($X37&lt;30,1,0))</formula>
    </cfRule>
    <cfRule type="expression" dxfId="8695" priority="83">
      <formula>AND(IF($Q37=3,1,0),IF($X37&lt;30,1,0))</formula>
    </cfRule>
    <cfRule type="expression" dxfId="8694" priority="84">
      <formula>AND(IF($Q37=3,1,IF($Q37=4,1,0)),IF($F37&lt;=85,1,0))</formula>
    </cfRule>
  </conditionalFormatting>
  <conditionalFormatting sqref="AI37">
    <cfRule type="expression" dxfId="8693" priority="77">
      <formula>AND(IF(OR($Q37=1,$Q37=2),1,0),IF($X37&lt;=20,1,0))</formula>
    </cfRule>
    <cfRule type="expression" dxfId="8692" priority="78">
      <formula>AND(IF($Q37=2,1,0),IF($X37&lt;30,1,0))</formula>
    </cfRule>
    <cfRule type="expression" dxfId="8691" priority="79">
      <formula>AND(IF($Q37=3,1,0),IF($X37&lt;30,1,0))</formula>
    </cfRule>
    <cfRule type="expression" dxfId="8690" priority="80">
      <formula>AND(IF($Q37=3,1,IF($Q37=4,1,0)),IF($F37&lt;=85,1,0))</formula>
    </cfRule>
  </conditionalFormatting>
  <conditionalFormatting sqref="AV38">
    <cfRule type="expression" dxfId="8689" priority="75">
      <formula>AV38="X"</formula>
    </cfRule>
    <cfRule type="expression" dxfId="8688" priority="76">
      <formula>AV38="후보"</formula>
    </cfRule>
  </conditionalFormatting>
  <conditionalFormatting sqref="AC38">
    <cfRule type="cellIs" dxfId="8687" priority="72" operator="greaterThan">
      <formula>0.9</formula>
    </cfRule>
    <cfRule type="cellIs" dxfId="8686" priority="73" operator="greaterThan">
      <formula>0.85</formula>
    </cfRule>
  </conditionalFormatting>
  <conditionalFormatting sqref="N38">
    <cfRule type="cellIs" dxfId="8685" priority="70" operator="greaterThan">
      <formula>0.9</formula>
    </cfRule>
    <cfRule type="cellIs" dxfId="8684" priority="71" operator="greaterThan">
      <formula>0.85</formula>
    </cfRule>
  </conditionalFormatting>
  <conditionalFormatting sqref="E38">
    <cfRule type="expression" dxfId="8683" priority="66">
      <formula>AND(IF(OR($Q38=1,$Q38=2),1,0),IF($X38&lt;=20,1,0))</formula>
    </cfRule>
    <cfRule type="expression" dxfId="8682" priority="67">
      <formula>AND(IF($Q38=2,1,0),IF($X38&lt;30,1,0))</formula>
    </cfRule>
    <cfRule type="expression" dxfId="8681" priority="68">
      <formula>AND(IF($Q38=3,1,0),IF($X38&lt;30,1,0))</formula>
    </cfRule>
    <cfRule type="expression" dxfId="8680" priority="69">
      <formula>AND(IF($Q38=3,1,IF($Q38=4,1,0)),IF($F38&lt;=85,1,0))</formula>
    </cfRule>
  </conditionalFormatting>
  <conditionalFormatting sqref="X38">
    <cfRule type="expression" dxfId="8679" priority="62">
      <formula>AND(IF(OR($Q38=1,$Q38=2),1,0),IF($X38&lt;=20,1,0))</formula>
    </cfRule>
    <cfRule type="expression" dxfId="8678" priority="63">
      <formula>AND(IF($Q38=2,1,0),IF($X38&lt;30,1,0))</formula>
    </cfRule>
    <cfRule type="expression" dxfId="8677" priority="64">
      <formula>AND(IF($Q38=3,1,0),IF($X38&lt;30,1,0))</formula>
    </cfRule>
    <cfRule type="expression" dxfId="8676" priority="65">
      <formula>AND(IF($Q38=3,1,IF($Q38=4,1,0)),IF($F38&lt;=85,1,0))</formula>
    </cfRule>
  </conditionalFormatting>
  <conditionalFormatting sqref="AI38">
    <cfRule type="expression" dxfId="8675" priority="58">
      <formula>AND(IF(OR($Q38=1,$Q38=2),1,0),IF($X38&lt;=20,1,0))</formula>
    </cfRule>
    <cfRule type="expression" dxfId="8674" priority="59">
      <formula>AND(IF($Q38=2,1,0),IF($X38&lt;30,1,0))</formula>
    </cfRule>
    <cfRule type="expression" dxfId="8673" priority="60">
      <formula>AND(IF($Q38=3,1,0),IF($X38&lt;30,1,0))</formula>
    </cfRule>
    <cfRule type="expression" dxfId="8672" priority="61">
      <formula>AND(IF($Q38=3,1,IF($Q38=4,1,0)),IF($F38&lt;=85,1,0))</formula>
    </cfRule>
  </conditionalFormatting>
  <conditionalFormatting sqref="AV39">
    <cfRule type="expression" dxfId="8671" priority="56">
      <formula>AV39="X"</formula>
    </cfRule>
    <cfRule type="expression" dxfId="8670" priority="57">
      <formula>AV39="후보"</formula>
    </cfRule>
  </conditionalFormatting>
  <conditionalFormatting sqref="AC39">
    <cfRule type="cellIs" dxfId="8669" priority="53" operator="greaterThan">
      <formula>0.9</formula>
    </cfRule>
    <cfRule type="cellIs" dxfId="8668" priority="54" operator="greaterThan">
      <formula>0.85</formula>
    </cfRule>
  </conditionalFormatting>
  <conditionalFormatting sqref="N39">
    <cfRule type="cellIs" dxfId="8667" priority="51" operator="greaterThan">
      <formula>0.9</formula>
    </cfRule>
    <cfRule type="cellIs" dxfId="8666" priority="52" operator="greaterThan">
      <formula>0.85</formula>
    </cfRule>
  </conditionalFormatting>
  <conditionalFormatting sqref="E39">
    <cfRule type="expression" dxfId="8665" priority="47">
      <formula>AND(IF(OR($Q39=1,$Q39=2),1,0),IF($X39&lt;=20,1,0))</formula>
    </cfRule>
    <cfRule type="expression" dxfId="8664" priority="48">
      <formula>AND(IF($Q39=2,1,0),IF($X39&lt;30,1,0))</formula>
    </cfRule>
    <cfRule type="expression" dxfId="8663" priority="49">
      <formula>AND(IF($Q39=3,1,0),IF($X39&lt;30,1,0))</formula>
    </cfRule>
    <cfRule type="expression" dxfId="8662" priority="50">
      <formula>AND(IF($Q39=3,1,IF($Q39=4,1,0)),IF($F39&lt;=85,1,0))</formula>
    </cfRule>
  </conditionalFormatting>
  <conditionalFormatting sqref="X39">
    <cfRule type="expression" dxfId="8661" priority="43">
      <formula>AND(IF(OR($Q39=1,$Q39=2),1,0),IF($X39&lt;=20,1,0))</formula>
    </cfRule>
    <cfRule type="expression" dxfId="8660" priority="44">
      <formula>AND(IF($Q39=2,1,0),IF($X39&lt;30,1,0))</formula>
    </cfRule>
    <cfRule type="expression" dxfId="8659" priority="45">
      <formula>AND(IF($Q39=3,1,0),IF($X39&lt;30,1,0))</formula>
    </cfRule>
    <cfRule type="expression" dxfId="8658" priority="46">
      <formula>AND(IF($Q39=3,1,IF($Q39=4,1,0)),IF($F39&lt;=85,1,0))</formula>
    </cfRule>
  </conditionalFormatting>
  <conditionalFormatting sqref="AI39">
    <cfRule type="expression" dxfId="8657" priority="39">
      <formula>AND(IF(OR($Q39=1,$Q39=2),1,0),IF($X39&lt;=20,1,0))</formula>
    </cfRule>
    <cfRule type="expression" dxfId="8656" priority="40">
      <formula>AND(IF($Q39=2,1,0),IF($X39&lt;30,1,0))</formula>
    </cfRule>
    <cfRule type="expression" dxfId="8655" priority="41">
      <formula>AND(IF($Q39=3,1,0),IF($X39&lt;30,1,0))</formula>
    </cfRule>
    <cfRule type="expression" dxfId="8654" priority="42">
      <formula>AND(IF($Q39=3,1,IF($Q39=4,1,0)),IF($F39&lt;=85,1,0))</formula>
    </cfRule>
  </conditionalFormatting>
  <conditionalFormatting sqref="AV40">
    <cfRule type="expression" dxfId="8653" priority="37">
      <formula>AV40="X"</formula>
    </cfRule>
    <cfRule type="expression" dxfId="8652" priority="38">
      <formula>AV40="후보"</formula>
    </cfRule>
  </conditionalFormatting>
  <conditionalFormatting sqref="AC40">
    <cfRule type="cellIs" dxfId="8651" priority="34" operator="greaterThan">
      <formula>0.9</formula>
    </cfRule>
    <cfRule type="cellIs" dxfId="8650" priority="35" operator="greaterThan">
      <formula>0.85</formula>
    </cfRule>
  </conditionalFormatting>
  <conditionalFormatting sqref="N40">
    <cfRule type="cellIs" dxfId="8649" priority="32" operator="greaterThan">
      <formula>0.9</formula>
    </cfRule>
    <cfRule type="cellIs" dxfId="8648" priority="33" operator="greaterThan">
      <formula>0.85</formula>
    </cfRule>
  </conditionalFormatting>
  <conditionalFormatting sqref="E40">
    <cfRule type="expression" dxfId="8647" priority="28">
      <formula>AND(IF(OR($Q40=1,$Q40=2),1,0),IF($X40&lt;=20,1,0))</formula>
    </cfRule>
    <cfRule type="expression" dxfId="8646" priority="29">
      <formula>AND(IF($Q40=2,1,0),IF($X40&lt;30,1,0))</formula>
    </cfRule>
    <cfRule type="expression" dxfId="8645" priority="30">
      <formula>AND(IF($Q40=3,1,0),IF($X40&lt;30,1,0))</formula>
    </cfRule>
    <cfRule type="expression" dxfId="8644" priority="31">
      <formula>AND(IF($Q40=3,1,IF($Q40=4,1,0)),IF($F40&lt;=85,1,0))</formula>
    </cfRule>
  </conditionalFormatting>
  <conditionalFormatting sqref="X40">
    <cfRule type="expression" dxfId="8643" priority="24">
      <formula>AND(IF(OR($Q40=1,$Q40=2),1,0),IF($X40&lt;=20,1,0))</formula>
    </cfRule>
    <cfRule type="expression" dxfId="8642" priority="25">
      <formula>AND(IF($Q40=2,1,0),IF($X40&lt;30,1,0))</formula>
    </cfRule>
    <cfRule type="expression" dxfId="8641" priority="26">
      <formula>AND(IF($Q40=3,1,0),IF($X40&lt;30,1,0))</formula>
    </cfRule>
    <cfRule type="expression" dxfId="8640" priority="27">
      <formula>AND(IF($Q40=3,1,IF($Q40=4,1,0)),IF($F40&lt;=85,1,0))</formula>
    </cfRule>
  </conditionalFormatting>
  <conditionalFormatting sqref="AI40">
    <cfRule type="expression" dxfId="8639" priority="20">
      <formula>AND(IF(OR($Q40=1,$Q40=2),1,0),IF($X40&lt;=20,1,0))</formula>
    </cfRule>
    <cfRule type="expression" dxfId="8638" priority="21">
      <formula>AND(IF($Q40=2,1,0),IF($X40&lt;30,1,0))</formula>
    </cfRule>
    <cfRule type="expression" dxfId="8637" priority="22">
      <formula>AND(IF($Q40=3,1,0),IF($X40&lt;30,1,0))</formula>
    </cfRule>
    <cfRule type="expression" dxfId="8636" priority="23">
      <formula>AND(IF($Q40=3,1,IF($Q40=4,1,0)),IF($F40&lt;=85,1,0))</formula>
    </cfRule>
  </conditionalFormatting>
  <conditionalFormatting sqref="AV41">
    <cfRule type="expression" dxfId="8635" priority="18">
      <formula>AV41="X"</formula>
    </cfRule>
    <cfRule type="expression" dxfId="8634" priority="19">
      <formula>AV41="후보"</formula>
    </cfRule>
  </conditionalFormatting>
  <conditionalFormatting sqref="AC41">
    <cfRule type="cellIs" dxfId="8633" priority="15" operator="greaterThan">
      <formula>0.9</formula>
    </cfRule>
    <cfRule type="cellIs" dxfId="8632" priority="16" operator="greaterThan">
      <formula>0.85</formula>
    </cfRule>
  </conditionalFormatting>
  <conditionalFormatting sqref="N41">
    <cfRule type="cellIs" dxfId="8631" priority="13" operator="greaterThan">
      <formula>0.9</formula>
    </cfRule>
    <cfRule type="cellIs" dxfId="8630" priority="14" operator="greaterThan">
      <formula>0.85</formula>
    </cfRule>
  </conditionalFormatting>
  <conditionalFormatting sqref="E41">
    <cfRule type="expression" dxfId="8629" priority="9">
      <formula>AND(IF(OR($Q41=1,$Q41=2),1,0),IF($X41&lt;=20,1,0))</formula>
    </cfRule>
    <cfRule type="expression" dxfId="8628" priority="10">
      <formula>AND(IF($Q41=2,1,0),IF($X41&lt;30,1,0))</formula>
    </cfRule>
    <cfRule type="expression" dxfId="8627" priority="11">
      <formula>AND(IF($Q41=3,1,0),IF($X41&lt;30,1,0))</formula>
    </cfRule>
    <cfRule type="expression" dxfId="8626" priority="12">
      <formula>AND(IF($Q41=3,1,IF($Q41=4,1,0)),IF($F41&lt;=85,1,0))</formula>
    </cfRule>
  </conditionalFormatting>
  <conditionalFormatting sqref="X41">
    <cfRule type="expression" dxfId="8625" priority="5">
      <formula>AND(IF(OR($Q41=1,$Q41=2),1,0),IF($X41&lt;=20,1,0))</formula>
    </cfRule>
    <cfRule type="expression" dxfId="8624" priority="6">
      <formula>AND(IF($Q41=2,1,0),IF($X41&lt;30,1,0))</formula>
    </cfRule>
    <cfRule type="expression" dxfId="8623" priority="7">
      <formula>AND(IF($Q41=3,1,0),IF($X41&lt;30,1,0))</formula>
    </cfRule>
    <cfRule type="expression" dxfId="8622" priority="8">
      <formula>AND(IF($Q41=3,1,IF($Q41=4,1,0)),IF($F41&lt;=85,1,0))</formula>
    </cfRule>
  </conditionalFormatting>
  <conditionalFormatting sqref="AI41">
    <cfRule type="expression" dxfId="8621" priority="1">
      <formula>AND(IF(OR($Q41=1,$Q41=2),1,0),IF($X41&lt;=20,1,0))</formula>
    </cfRule>
    <cfRule type="expression" dxfId="8620" priority="2">
      <formula>AND(IF($Q41=2,1,0),IF($X41&lt;30,1,0))</formula>
    </cfRule>
    <cfRule type="expression" dxfId="8619" priority="3">
      <formula>AND(IF($Q41=3,1,0),IF($X41&lt;30,1,0))</formula>
    </cfRule>
    <cfRule type="expression" dxfId="8618" priority="4">
      <formula>AND(IF($Q41=3,1,IF($Q41=4,1,0)),IF($F41&lt;=85,1,0))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2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" sqref="A23:XFD2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만성동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만성동 전주만성시티프라디움('19.01.,625^)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3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513</v>
      </c>
      <c r="B6" s="10" t="s">
        <v>1545</v>
      </c>
      <c r="C6" s="87">
        <v>625</v>
      </c>
      <c r="D6" s="85">
        <v>109.2</v>
      </c>
      <c r="E6" s="86">
        <v>33</v>
      </c>
      <c r="F6" s="85">
        <v>85</v>
      </c>
      <c r="G6" s="17">
        <v>26</v>
      </c>
      <c r="H6" s="87">
        <v>517</v>
      </c>
      <c r="I6" s="88">
        <v>49800</v>
      </c>
      <c r="J6" s="88" t="s">
        <v>69</v>
      </c>
      <c r="K6" s="88">
        <v>43000</v>
      </c>
      <c r="L6" s="88" t="s">
        <v>68</v>
      </c>
      <c r="M6" s="89">
        <f>I6-K6</f>
        <v>6800</v>
      </c>
      <c r="N6" s="4">
        <f>IF(ISERROR(K6/I6),"",K6/I6)</f>
        <v>0.86345381526104414</v>
      </c>
      <c r="O6" s="90">
        <f>I6/E6</f>
        <v>1509.090909090909</v>
      </c>
      <c r="P6" s="90">
        <f>K6/E6</f>
        <v>1303.030303030303</v>
      </c>
      <c r="Q6" s="78">
        <v>3</v>
      </c>
      <c r="R6" s="78">
        <v>2</v>
      </c>
      <c r="S6" s="78" t="s">
        <v>59</v>
      </c>
      <c r="T6" s="5" t="s">
        <v>70</v>
      </c>
      <c r="U6" s="9"/>
      <c r="W6" s="85">
        <f>D6</f>
        <v>109.2</v>
      </c>
      <c r="X6" s="86">
        <f>E6</f>
        <v>33</v>
      </c>
      <c r="Y6" s="91">
        <f>H6</f>
        <v>517</v>
      </c>
      <c r="Z6" s="89">
        <f>I6</f>
        <v>49800</v>
      </c>
      <c r="AA6" s="89">
        <f>K6</f>
        <v>43000</v>
      </c>
      <c r="AB6" s="89">
        <f t="shared" ref="AB6:AD7" si="2">M6</f>
        <v>6800</v>
      </c>
      <c r="AC6" s="4">
        <f t="shared" si="2"/>
        <v>0.86345381526104414</v>
      </c>
      <c r="AD6" s="90">
        <f t="shared" si="2"/>
        <v>1509.090909090909</v>
      </c>
      <c r="AE6" s="78" t="str">
        <f>S6</f>
        <v>계</v>
      </c>
      <c r="AF6" s="78" t="str">
        <f>Q6&amp;"/"&amp;R6</f>
        <v>3/2</v>
      </c>
      <c r="AH6" s="20" t="str">
        <f t="shared" si="1"/>
        <v>전주만성시티프라디움</v>
      </c>
      <c r="AI6" s="86">
        <f t="shared" si="0"/>
        <v>33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513</v>
      </c>
      <c r="B7" s="10" t="s">
        <v>1545</v>
      </c>
      <c r="C7" s="87">
        <v>625</v>
      </c>
      <c r="D7" s="85">
        <v>109.1</v>
      </c>
      <c r="E7" s="86">
        <v>33</v>
      </c>
      <c r="F7" s="85">
        <v>85</v>
      </c>
      <c r="G7" s="17">
        <v>26</v>
      </c>
      <c r="H7" s="87">
        <v>108</v>
      </c>
      <c r="I7" s="88">
        <v>54000</v>
      </c>
      <c r="J7" s="88" t="s">
        <v>104</v>
      </c>
      <c r="K7" s="88">
        <v>43000</v>
      </c>
      <c r="L7" s="88" t="s">
        <v>68</v>
      </c>
      <c r="M7" s="89">
        <f>I7-K7</f>
        <v>11000</v>
      </c>
      <c r="N7" s="4">
        <f>IF(ISERROR(K7/I7),"",K7/I7)</f>
        <v>0.79629629629629628</v>
      </c>
      <c r="O7" s="90">
        <f>I7/E7</f>
        <v>1636.3636363636363</v>
      </c>
      <c r="P7" s="90">
        <f>K7/E7</f>
        <v>1303.030303030303</v>
      </c>
      <c r="Q7" s="78">
        <v>3</v>
      </c>
      <c r="R7" s="78">
        <v>2</v>
      </c>
      <c r="S7" s="78" t="s">
        <v>59</v>
      </c>
      <c r="T7" s="5" t="s">
        <v>71</v>
      </c>
      <c r="U7" s="9"/>
      <c r="W7" s="85">
        <f>D7</f>
        <v>109.1</v>
      </c>
      <c r="X7" s="86">
        <f>E7</f>
        <v>33</v>
      </c>
      <c r="Y7" s="91">
        <f>H7</f>
        <v>108</v>
      </c>
      <c r="Z7" s="89">
        <f>I7</f>
        <v>54000</v>
      </c>
      <c r="AA7" s="89">
        <f>K7</f>
        <v>43000</v>
      </c>
      <c r="AB7" s="89">
        <f t="shared" si="2"/>
        <v>11000</v>
      </c>
      <c r="AC7" s="4">
        <f t="shared" si="2"/>
        <v>0.79629629629629628</v>
      </c>
      <c r="AD7" s="90">
        <f t="shared" si="2"/>
        <v>1636.3636363636363</v>
      </c>
      <c r="AE7" s="78" t="str">
        <f>S7</f>
        <v>계</v>
      </c>
      <c r="AF7" s="78" t="str">
        <f>Q7&amp;"/"&amp;R7</f>
        <v>3/2</v>
      </c>
      <c r="AH7" s="20" t="str">
        <f t="shared" si="1"/>
        <v>전주만성시티프라디움</v>
      </c>
      <c r="AI7" s="86">
        <f t="shared" si="0"/>
        <v>33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만성동 LH퍼스트리움('18.01.,711^)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554</v>
      </c>
      <c r="B9" s="10" t="s">
        <v>1537</v>
      </c>
      <c r="C9" s="87">
        <v>711</v>
      </c>
      <c r="D9" s="85">
        <v>84</v>
      </c>
      <c r="E9" s="86">
        <v>25</v>
      </c>
      <c r="F9" s="85">
        <v>59.9</v>
      </c>
      <c r="G9" s="17">
        <v>18</v>
      </c>
      <c r="H9" s="87">
        <v>55</v>
      </c>
      <c r="I9" s="88">
        <v>39000</v>
      </c>
      <c r="J9" s="88" t="s">
        <v>99</v>
      </c>
      <c r="K9" s="88"/>
      <c r="L9" s="88"/>
      <c r="M9" s="89">
        <f>I9-K9</f>
        <v>39000</v>
      </c>
      <c r="N9" s="4">
        <f>IF(ISERROR(K9/I9),"",K9/I9)</f>
        <v>0</v>
      </c>
      <c r="O9" s="90">
        <f>I9/E9</f>
        <v>1560</v>
      </c>
      <c r="P9" s="90">
        <f>K9/E9</f>
        <v>0</v>
      </c>
      <c r="Q9" s="78">
        <v>3</v>
      </c>
      <c r="R9" s="78">
        <v>2</v>
      </c>
      <c r="S9" s="78" t="s">
        <v>59</v>
      </c>
      <c r="T9" s="5" t="s">
        <v>103</v>
      </c>
      <c r="U9" s="9"/>
      <c r="W9" s="85">
        <f t="shared" ref="W9:X12" si="3">D9</f>
        <v>84</v>
      </c>
      <c r="X9" s="86">
        <f t="shared" si="3"/>
        <v>25</v>
      </c>
      <c r="Y9" s="91">
        <f t="shared" ref="Y9:Z12" si="4">H9</f>
        <v>55</v>
      </c>
      <c r="Z9" s="89">
        <f t="shared" si="4"/>
        <v>39000</v>
      </c>
      <c r="AA9" s="89">
        <f>K9</f>
        <v>0</v>
      </c>
      <c r="AB9" s="89">
        <f t="shared" ref="AB9:AD12" si="5">M9</f>
        <v>39000</v>
      </c>
      <c r="AC9" s="4">
        <f t="shared" si="5"/>
        <v>0</v>
      </c>
      <c r="AD9" s="90">
        <f t="shared" si="5"/>
        <v>1560</v>
      </c>
      <c r="AE9" s="78" t="str">
        <f>S9</f>
        <v>계</v>
      </c>
      <c r="AF9" s="78" t="str">
        <f>Q9&amp;"/"&amp;R9</f>
        <v>3/2</v>
      </c>
      <c r="AH9" s="20" t="str">
        <f t="shared" si="1"/>
        <v>LH퍼스트리움</v>
      </c>
      <c r="AI9" s="86">
        <f t="shared" si="0"/>
        <v>25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O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554</v>
      </c>
      <c r="B10" s="10" t="s">
        <v>1537</v>
      </c>
      <c r="C10" s="87">
        <v>711</v>
      </c>
      <c r="D10" s="85">
        <v>84</v>
      </c>
      <c r="E10" s="86">
        <v>25</v>
      </c>
      <c r="F10" s="85">
        <v>60</v>
      </c>
      <c r="G10" s="17">
        <v>18</v>
      </c>
      <c r="H10" s="87">
        <v>546</v>
      </c>
      <c r="I10" s="88">
        <v>35000</v>
      </c>
      <c r="J10" s="88" t="s">
        <v>93</v>
      </c>
      <c r="K10" s="88">
        <v>31000</v>
      </c>
      <c r="L10" s="88" t="s">
        <v>111</v>
      </c>
      <c r="M10" s="89">
        <f>I10-K10</f>
        <v>4000</v>
      </c>
      <c r="N10" s="4">
        <f>IF(ISERROR(K10/I10),"",K10/I10)</f>
        <v>0.88571428571428568</v>
      </c>
      <c r="O10" s="90">
        <f>I10/E10</f>
        <v>1400</v>
      </c>
      <c r="P10" s="90">
        <f>K10/E10</f>
        <v>1240</v>
      </c>
      <c r="Q10" s="78">
        <v>3</v>
      </c>
      <c r="R10" s="78">
        <v>2</v>
      </c>
      <c r="S10" s="78" t="s">
        <v>59</v>
      </c>
      <c r="T10" s="5" t="s">
        <v>60</v>
      </c>
      <c r="U10" s="9"/>
      <c r="W10" s="85">
        <f t="shared" si="3"/>
        <v>84</v>
      </c>
      <c r="X10" s="86">
        <f t="shared" si="3"/>
        <v>25</v>
      </c>
      <c r="Y10" s="91">
        <f t="shared" si="4"/>
        <v>546</v>
      </c>
      <c r="Z10" s="89">
        <f t="shared" si="4"/>
        <v>35000</v>
      </c>
      <c r="AA10" s="89">
        <f>K10</f>
        <v>31000</v>
      </c>
      <c r="AB10" s="89">
        <f t="shared" si="5"/>
        <v>4000</v>
      </c>
      <c r="AC10" s="4">
        <f t="shared" si="5"/>
        <v>0.88571428571428568</v>
      </c>
      <c r="AD10" s="90">
        <f t="shared" si="5"/>
        <v>1400</v>
      </c>
      <c r="AE10" s="78" t="str">
        <f>S10</f>
        <v>계</v>
      </c>
      <c r="AF10" s="78" t="str">
        <f>Q10&amp;"/"&amp;R10</f>
        <v>3/2</v>
      </c>
      <c r="AH10" s="20" t="str">
        <f t="shared" si="1"/>
        <v>LH퍼스트리움</v>
      </c>
      <c r="AI10" s="86">
        <f t="shared" si="0"/>
        <v>25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X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48" x14ac:dyDescent="0.3">
      <c r="A11" s="9" t="s">
        <v>554</v>
      </c>
      <c r="B11" s="10" t="s">
        <v>1537</v>
      </c>
      <c r="C11" s="87">
        <v>711</v>
      </c>
      <c r="D11" s="85">
        <v>84</v>
      </c>
      <c r="E11" s="86">
        <v>25</v>
      </c>
      <c r="F11" s="85">
        <v>60</v>
      </c>
      <c r="G11" s="17">
        <v>18</v>
      </c>
      <c r="H11" s="87">
        <v>55</v>
      </c>
      <c r="I11" s="88">
        <v>35000</v>
      </c>
      <c r="J11" s="88" t="s">
        <v>93</v>
      </c>
      <c r="K11" s="88">
        <v>31000</v>
      </c>
      <c r="L11" s="88" t="s">
        <v>111</v>
      </c>
      <c r="M11" s="89">
        <f>I11-K11</f>
        <v>4000</v>
      </c>
      <c r="N11" s="4">
        <f>IF(ISERROR(K11/I11),"",K11/I11)</f>
        <v>0.88571428571428568</v>
      </c>
      <c r="O11" s="90">
        <f>I11/E11</f>
        <v>1400</v>
      </c>
      <c r="P11" s="90">
        <f>K11/E11</f>
        <v>1240</v>
      </c>
      <c r="Q11" s="78">
        <v>3</v>
      </c>
      <c r="R11" s="78">
        <v>2</v>
      </c>
      <c r="S11" s="78" t="s">
        <v>59</v>
      </c>
      <c r="T11" s="5" t="s">
        <v>105</v>
      </c>
      <c r="U11" s="9"/>
      <c r="W11" s="85">
        <f t="shared" si="3"/>
        <v>84</v>
      </c>
      <c r="X11" s="86">
        <f t="shared" si="3"/>
        <v>25</v>
      </c>
      <c r="Y11" s="91">
        <f t="shared" si="4"/>
        <v>55</v>
      </c>
      <c r="Z11" s="89">
        <f t="shared" si="4"/>
        <v>35000</v>
      </c>
      <c r="AA11" s="89">
        <f>K11</f>
        <v>31000</v>
      </c>
      <c r="AB11" s="89">
        <f t="shared" si="5"/>
        <v>4000</v>
      </c>
      <c r="AC11" s="4">
        <f t="shared" si="5"/>
        <v>0.88571428571428568</v>
      </c>
      <c r="AD11" s="90">
        <f t="shared" si="5"/>
        <v>1400</v>
      </c>
      <c r="AE11" s="78" t="str">
        <f>S11</f>
        <v>계</v>
      </c>
      <c r="AF11" s="78" t="str">
        <f>Q11&amp;"/"&amp;R11</f>
        <v>3/2</v>
      </c>
      <c r="AH11" s="20" t="str">
        <f t="shared" si="1"/>
        <v>LH퍼스트리움</v>
      </c>
      <c r="AI11" s="86">
        <f t="shared" si="0"/>
        <v>25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O</v>
      </c>
      <c r="AP11" s="78" t="str">
        <f>IF(I11="","",IF(I11&lt;=$AP$1,"O","X"))</f>
        <v>O</v>
      </c>
      <c r="AQ11" s="78" t="str">
        <f>IF(O11="","",IF(O11&lt;=$AQ$1,"O","X"))</f>
        <v>X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후보</v>
      </c>
    </row>
    <row r="12" spans="1:48" x14ac:dyDescent="0.3">
      <c r="A12" s="9" t="s">
        <v>554</v>
      </c>
      <c r="B12" s="10" t="s">
        <v>1537</v>
      </c>
      <c r="C12" s="87">
        <v>711</v>
      </c>
      <c r="D12" s="85">
        <v>84</v>
      </c>
      <c r="E12" s="86">
        <v>25</v>
      </c>
      <c r="F12" s="85">
        <v>60</v>
      </c>
      <c r="G12" s="17">
        <v>18</v>
      </c>
      <c r="H12" s="87">
        <v>55</v>
      </c>
      <c r="I12" s="88">
        <v>35000</v>
      </c>
      <c r="J12" s="88" t="s">
        <v>93</v>
      </c>
      <c r="K12" s="88">
        <v>31000</v>
      </c>
      <c r="L12" s="88" t="s">
        <v>111</v>
      </c>
      <c r="M12" s="89">
        <f>I12-K12</f>
        <v>4000</v>
      </c>
      <c r="N12" s="4">
        <f>IF(ISERROR(K12/I12),"",K12/I12)</f>
        <v>0.88571428571428568</v>
      </c>
      <c r="O12" s="90">
        <f>I12/E12</f>
        <v>1400</v>
      </c>
      <c r="P12" s="90">
        <f>K12/E12</f>
        <v>1240</v>
      </c>
      <c r="Q12" s="78">
        <v>3</v>
      </c>
      <c r="R12" s="78">
        <v>2</v>
      </c>
      <c r="S12" s="78" t="s">
        <v>59</v>
      </c>
      <c r="T12" s="5" t="s">
        <v>106</v>
      </c>
      <c r="U12" s="9"/>
      <c r="W12" s="85">
        <f t="shared" si="3"/>
        <v>84</v>
      </c>
      <c r="X12" s="86">
        <f t="shared" si="3"/>
        <v>25</v>
      </c>
      <c r="Y12" s="91">
        <f t="shared" si="4"/>
        <v>55</v>
      </c>
      <c r="Z12" s="89">
        <f t="shared" si="4"/>
        <v>35000</v>
      </c>
      <c r="AA12" s="89">
        <f>K12</f>
        <v>31000</v>
      </c>
      <c r="AB12" s="89">
        <f t="shared" si="5"/>
        <v>4000</v>
      </c>
      <c r="AC12" s="4">
        <f t="shared" si="5"/>
        <v>0.88571428571428568</v>
      </c>
      <c r="AD12" s="90">
        <f t="shared" si="5"/>
        <v>1400</v>
      </c>
      <c r="AE12" s="78" t="str">
        <f>S12</f>
        <v>계</v>
      </c>
      <c r="AF12" s="78" t="str">
        <f>Q12&amp;"/"&amp;R12</f>
        <v>3/2</v>
      </c>
      <c r="AH12" s="20" t="str">
        <f t="shared" si="1"/>
        <v>LH퍼스트리움</v>
      </c>
      <c r="AI12" s="86">
        <f t="shared" si="0"/>
        <v>25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O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후보</v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만성동 중흥에스클래스더퍼스트('18.07.,615^)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558</v>
      </c>
      <c r="B14" s="10" t="s">
        <v>1546</v>
      </c>
      <c r="C14" s="87">
        <v>615</v>
      </c>
      <c r="D14" s="85">
        <v>127.6</v>
      </c>
      <c r="E14" s="86">
        <v>39</v>
      </c>
      <c r="F14" s="85">
        <v>104.3</v>
      </c>
      <c r="G14" s="17">
        <v>32</v>
      </c>
      <c r="H14" s="87">
        <v>312</v>
      </c>
      <c r="I14" s="88">
        <v>77000</v>
      </c>
      <c r="J14" s="88" t="s">
        <v>89</v>
      </c>
      <c r="K14" s="88">
        <v>50000</v>
      </c>
      <c r="L14" s="88" t="s">
        <v>72</v>
      </c>
      <c r="M14" s="89">
        <f>I14-K14</f>
        <v>27000</v>
      </c>
      <c r="N14" s="4">
        <f>IF(ISERROR(K14/I14),"",K14/I14)</f>
        <v>0.64935064935064934</v>
      </c>
      <c r="O14" s="90">
        <f>I14/E14</f>
        <v>1974.3589743589744</v>
      </c>
      <c r="P14" s="90">
        <f>K14/E14</f>
        <v>1282.051282051282</v>
      </c>
      <c r="Q14" s="78">
        <v>4</v>
      </c>
      <c r="R14" s="78">
        <v>2</v>
      </c>
      <c r="S14" s="78" t="s">
        <v>59</v>
      </c>
      <c r="T14" s="5">
        <v>127</v>
      </c>
      <c r="U14" s="9"/>
      <c r="W14" s="85">
        <f t="shared" ref="W14:X16" si="6">D14</f>
        <v>127.6</v>
      </c>
      <c r="X14" s="86">
        <f t="shared" si="6"/>
        <v>39</v>
      </c>
      <c r="Y14" s="91">
        <f t="shared" ref="Y14:Z16" si="7">H14</f>
        <v>312</v>
      </c>
      <c r="Z14" s="89">
        <f t="shared" si="7"/>
        <v>77000</v>
      </c>
      <c r="AA14" s="89">
        <f>K14</f>
        <v>50000</v>
      </c>
      <c r="AB14" s="89">
        <f t="shared" ref="AB14:AD16" si="8">M14</f>
        <v>27000</v>
      </c>
      <c r="AC14" s="4">
        <f t="shared" si="8"/>
        <v>0.64935064935064934</v>
      </c>
      <c r="AD14" s="90">
        <f t="shared" si="8"/>
        <v>1974.3589743589744</v>
      </c>
      <c r="AE14" s="78" t="str">
        <f>S14</f>
        <v>계</v>
      </c>
      <c r="AF14" s="78" t="str">
        <f>Q14&amp;"/"&amp;R14</f>
        <v>4/2</v>
      </c>
      <c r="AH14" s="20" t="str">
        <f t="shared" si="1"/>
        <v>중흥에스클래스더퍼스트</v>
      </c>
      <c r="AI14" s="86">
        <f t="shared" si="0"/>
        <v>39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558</v>
      </c>
      <c r="B15" s="10" t="s">
        <v>1546</v>
      </c>
      <c r="C15" s="87">
        <v>615</v>
      </c>
      <c r="D15" s="85">
        <v>142.1</v>
      </c>
      <c r="E15" s="86">
        <v>43</v>
      </c>
      <c r="F15" s="85">
        <v>115.9</v>
      </c>
      <c r="G15" s="17">
        <v>35</v>
      </c>
      <c r="H15" s="87">
        <v>189</v>
      </c>
      <c r="I15" s="88">
        <v>86000</v>
      </c>
      <c r="J15" s="88" t="s">
        <v>68</v>
      </c>
      <c r="K15" s="88">
        <v>50000</v>
      </c>
      <c r="L15" s="88" t="s">
        <v>72</v>
      </c>
      <c r="M15" s="89">
        <f>I15-K15</f>
        <v>36000</v>
      </c>
      <c r="N15" s="4">
        <f>IF(ISERROR(K15/I15),"",K15/I15)</f>
        <v>0.58139534883720934</v>
      </c>
      <c r="O15" s="90">
        <f>I15/E15</f>
        <v>2000</v>
      </c>
      <c r="P15" s="90">
        <f>K15/E15</f>
        <v>1162.7906976744187</v>
      </c>
      <c r="Q15" s="78">
        <v>4</v>
      </c>
      <c r="R15" s="78">
        <v>2</v>
      </c>
      <c r="S15" s="78" t="s">
        <v>59</v>
      </c>
      <c r="T15" s="5">
        <v>142</v>
      </c>
      <c r="U15" s="9"/>
      <c r="W15" s="85">
        <f t="shared" si="6"/>
        <v>142.1</v>
      </c>
      <c r="X15" s="86">
        <f t="shared" si="6"/>
        <v>43</v>
      </c>
      <c r="Y15" s="91">
        <f t="shared" si="7"/>
        <v>189</v>
      </c>
      <c r="Z15" s="89">
        <f t="shared" si="7"/>
        <v>86000</v>
      </c>
      <c r="AA15" s="89">
        <f>K15</f>
        <v>50000</v>
      </c>
      <c r="AB15" s="89">
        <f t="shared" si="8"/>
        <v>36000</v>
      </c>
      <c r="AC15" s="4">
        <f t="shared" si="8"/>
        <v>0.58139534883720934</v>
      </c>
      <c r="AD15" s="90">
        <f t="shared" si="8"/>
        <v>2000</v>
      </c>
      <c r="AE15" s="78" t="str">
        <f>S15</f>
        <v>계</v>
      </c>
      <c r="AF15" s="78" t="str">
        <f>Q15&amp;"/"&amp;R15</f>
        <v>4/2</v>
      </c>
      <c r="AH15" s="20" t="str">
        <f t="shared" si="1"/>
        <v>중흥에스클래스더퍼스트</v>
      </c>
      <c r="AI15" s="86">
        <f t="shared" si="0"/>
        <v>43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X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558</v>
      </c>
      <c r="B16" s="10" t="s">
        <v>1546</v>
      </c>
      <c r="C16" s="87">
        <v>615</v>
      </c>
      <c r="D16" s="85">
        <v>152.19999999999999</v>
      </c>
      <c r="E16" s="86">
        <v>46</v>
      </c>
      <c r="F16" s="85">
        <v>124.2</v>
      </c>
      <c r="G16" s="17">
        <v>38</v>
      </c>
      <c r="H16" s="87">
        <v>114</v>
      </c>
      <c r="I16" s="88">
        <v>110000</v>
      </c>
      <c r="J16" s="88" t="s">
        <v>104</v>
      </c>
      <c r="K16" s="88">
        <v>57000</v>
      </c>
      <c r="L16" s="88" t="s">
        <v>108</v>
      </c>
      <c r="M16" s="89">
        <f>I16-K16</f>
        <v>53000</v>
      </c>
      <c r="N16" s="4">
        <f>IF(ISERROR(K16/I16),"",K16/I16)</f>
        <v>0.51818181818181819</v>
      </c>
      <c r="O16" s="90">
        <f>I16/E16</f>
        <v>2391.304347826087</v>
      </c>
      <c r="P16" s="90">
        <f>K16/E16</f>
        <v>1239.1304347826087</v>
      </c>
      <c r="Q16" s="78">
        <v>4</v>
      </c>
      <c r="R16" s="78">
        <v>2</v>
      </c>
      <c r="S16" s="78" t="s">
        <v>59</v>
      </c>
      <c r="T16" s="5">
        <v>152</v>
      </c>
      <c r="U16" s="9"/>
      <c r="W16" s="85">
        <f t="shared" si="6"/>
        <v>152.19999999999999</v>
      </c>
      <c r="X16" s="86">
        <f t="shared" si="6"/>
        <v>46</v>
      </c>
      <c r="Y16" s="91">
        <f t="shared" si="7"/>
        <v>114</v>
      </c>
      <c r="Z16" s="89">
        <f t="shared" si="7"/>
        <v>110000</v>
      </c>
      <c r="AA16" s="89">
        <f>K16</f>
        <v>57000</v>
      </c>
      <c r="AB16" s="89">
        <f t="shared" si="8"/>
        <v>53000</v>
      </c>
      <c r="AC16" s="4">
        <f t="shared" si="8"/>
        <v>0.51818181818181819</v>
      </c>
      <c r="AD16" s="90">
        <f t="shared" si="8"/>
        <v>2391.304347826087</v>
      </c>
      <c r="AE16" s="78" t="str">
        <f>S16</f>
        <v>계</v>
      </c>
      <c r="AF16" s="78" t="str">
        <f>Q16&amp;"/"&amp;R16</f>
        <v>4/2</v>
      </c>
      <c r="AH16" s="20" t="str">
        <f t="shared" si="1"/>
        <v>중흥에스클래스더퍼스트</v>
      </c>
      <c r="AI16" s="86">
        <f t="shared" si="0"/>
        <v>46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X</v>
      </c>
      <c r="AQ16" s="78" t="str">
        <f>IF(O16="","",IF(O16&lt;=$AQ$1,"O","X"))</f>
        <v>X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X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만성동 제일풍경채('18.02.,553^)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8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563</v>
      </c>
      <c r="B18" s="10" t="s">
        <v>1547</v>
      </c>
      <c r="C18" s="87">
        <v>553</v>
      </c>
      <c r="D18" s="85">
        <v>111.5</v>
      </c>
      <c r="E18" s="86">
        <v>34</v>
      </c>
      <c r="F18" s="85">
        <v>84.9</v>
      </c>
      <c r="G18" s="17">
        <v>26</v>
      </c>
      <c r="H18" s="87">
        <v>344</v>
      </c>
      <c r="I18" s="88">
        <v>49500</v>
      </c>
      <c r="J18" s="88" t="s">
        <v>69</v>
      </c>
      <c r="K18" s="88">
        <v>41000</v>
      </c>
      <c r="L18" s="88" t="s">
        <v>69</v>
      </c>
      <c r="M18" s="89">
        <f>I18-K18</f>
        <v>8500</v>
      </c>
      <c r="N18" s="4">
        <f>IF(ISERROR(K18/I18),"",K18/I18)</f>
        <v>0.82828282828282829</v>
      </c>
      <c r="O18" s="90">
        <f>I18/E18</f>
        <v>1455.8823529411766</v>
      </c>
      <c r="P18" s="90">
        <f>K18/E18</f>
        <v>1205.8823529411766</v>
      </c>
      <c r="Q18" s="78">
        <v>3</v>
      </c>
      <c r="R18" s="78">
        <v>2</v>
      </c>
      <c r="S18" s="78" t="s">
        <v>59</v>
      </c>
      <c r="T18" s="5" t="s">
        <v>109</v>
      </c>
      <c r="U18" s="9"/>
      <c r="W18" s="85">
        <f t="shared" ref="W18:X20" si="9">D18</f>
        <v>111.5</v>
      </c>
      <c r="X18" s="86">
        <f t="shared" si="9"/>
        <v>34</v>
      </c>
      <c r="Y18" s="91">
        <f t="shared" ref="Y18:Z20" si="10">H18</f>
        <v>344</v>
      </c>
      <c r="Z18" s="89">
        <f t="shared" si="10"/>
        <v>49500</v>
      </c>
      <c r="AA18" s="89">
        <f>K18</f>
        <v>41000</v>
      </c>
      <c r="AB18" s="89">
        <f t="shared" ref="AB18:AD20" si="11">M18</f>
        <v>8500</v>
      </c>
      <c r="AC18" s="4">
        <f t="shared" si="11"/>
        <v>0.82828282828282829</v>
      </c>
      <c r="AD18" s="90">
        <f t="shared" si="11"/>
        <v>1455.8823529411766</v>
      </c>
      <c r="AE18" s="78" t="str">
        <f>S18</f>
        <v>계</v>
      </c>
      <c r="AF18" s="78" t="str">
        <f>Q18&amp;"/"&amp;R18</f>
        <v>3/2</v>
      </c>
      <c r="AH18" s="20" t="str">
        <f t="shared" si="1"/>
        <v>제일풍경채</v>
      </c>
      <c r="AI18" s="86">
        <f t="shared" si="0"/>
        <v>34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O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563</v>
      </c>
      <c r="B19" s="10" t="s">
        <v>1547</v>
      </c>
      <c r="C19" s="87">
        <v>553</v>
      </c>
      <c r="D19" s="85">
        <v>111.9</v>
      </c>
      <c r="E19" s="86">
        <v>34</v>
      </c>
      <c r="F19" s="85">
        <v>84.8</v>
      </c>
      <c r="G19" s="17">
        <v>26</v>
      </c>
      <c r="H19" s="87">
        <v>19</v>
      </c>
      <c r="I19" s="88"/>
      <c r="J19" s="88"/>
      <c r="K19" s="88">
        <v>40000</v>
      </c>
      <c r="L19" s="88" t="s">
        <v>68</v>
      </c>
      <c r="M19" s="89">
        <f>I19-K19</f>
        <v>-40000</v>
      </c>
      <c r="N19" s="4" t="str">
        <f>IF(ISERROR(K19/I19),"",K19/I19)</f>
        <v/>
      </c>
      <c r="O19" s="90">
        <f>I19/E19</f>
        <v>0</v>
      </c>
      <c r="P19" s="90">
        <f>K19/E19</f>
        <v>1176.4705882352941</v>
      </c>
      <c r="Q19" s="78">
        <v>3</v>
      </c>
      <c r="R19" s="78">
        <v>2</v>
      </c>
      <c r="S19" s="78" t="s">
        <v>59</v>
      </c>
      <c r="T19" s="5" t="s">
        <v>110</v>
      </c>
      <c r="U19" s="9"/>
      <c r="W19" s="85">
        <f t="shared" si="9"/>
        <v>111.9</v>
      </c>
      <c r="X19" s="86">
        <f t="shared" si="9"/>
        <v>34</v>
      </c>
      <c r="Y19" s="91">
        <f t="shared" si="10"/>
        <v>19</v>
      </c>
      <c r="Z19" s="89">
        <f t="shared" si="10"/>
        <v>0</v>
      </c>
      <c r="AA19" s="89">
        <f>K19</f>
        <v>40000</v>
      </c>
      <c r="AB19" s="89">
        <f t="shared" si="11"/>
        <v>-40000</v>
      </c>
      <c r="AC19" s="4" t="str">
        <f t="shared" si="11"/>
        <v/>
      </c>
      <c r="AD19" s="90">
        <f t="shared" si="11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제일풍경채</v>
      </c>
      <c r="AI19" s="86">
        <f t="shared" si="0"/>
        <v>34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563</v>
      </c>
      <c r="B20" s="10" t="s">
        <v>1547</v>
      </c>
      <c r="C20" s="87">
        <v>553</v>
      </c>
      <c r="D20" s="85">
        <v>133.69999999999999</v>
      </c>
      <c r="E20" s="86">
        <v>40</v>
      </c>
      <c r="F20" s="85">
        <v>103</v>
      </c>
      <c r="G20" s="17">
        <v>31</v>
      </c>
      <c r="H20" s="87">
        <v>190</v>
      </c>
      <c r="I20" s="88">
        <v>70000</v>
      </c>
      <c r="J20" s="88" t="s">
        <v>69</v>
      </c>
      <c r="K20" s="88">
        <v>50000</v>
      </c>
      <c r="L20" s="88" t="s">
        <v>72</v>
      </c>
      <c r="M20" s="89">
        <f>I20-K20</f>
        <v>20000</v>
      </c>
      <c r="N20" s="4">
        <f>IF(ISERROR(K20/I20),"",K20/I20)</f>
        <v>0.7142857142857143</v>
      </c>
      <c r="O20" s="90">
        <f>I20/E20</f>
        <v>1750</v>
      </c>
      <c r="P20" s="90">
        <f>K20/E20</f>
        <v>1250</v>
      </c>
      <c r="Q20" s="78">
        <v>3</v>
      </c>
      <c r="R20" s="78">
        <v>2</v>
      </c>
      <c r="S20" s="78" t="s">
        <v>59</v>
      </c>
      <c r="T20" s="5">
        <v>133</v>
      </c>
      <c r="U20" s="9"/>
      <c r="W20" s="85">
        <f t="shared" si="9"/>
        <v>133.69999999999999</v>
      </c>
      <c r="X20" s="86">
        <f t="shared" si="9"/>
        <v>40</v>
      </c>
      <c r="Y20" s="91">
        <f t="shared" si="10"/>
        <v>190</v>
      </c>
      <c r="Z20" s="89">
        <f t="shared" si="10"/>
        <v>70000</v>
      </c>
      <c r="AA20" s="89">
        <f>K20</f>
        <v>50000</v>
      </c>
      <c r="AB20" s="89">
        <f t="shared" si="11"/>
        <v>20000</v>
      </c>
      <c r="AC20" s="4">
        <f t="shared" si="11"/>
        <v>0.7142857142857143</v>
      </c>
      <c r="AD20" s="90">
        <f t="shared" si="11"/>
        <v>1750</v>
      </c>
      <c r="AE20" s="78" t="str">
        <f>S20</f>
        <v>계</v>
      </c>
      <c r="AF20" s="78" t="str">
        <f>Q20&amp;"/"&amp;R20</f>
        <v>3/2</v>
      </c>
      <c r="AH20" s="20" t="str">
        <f t="shared" si="1"/>
        <v>제일풍경채</v>
      </c>
      <c r="AI20" s="86">
        <f t="shared" si="0"/>
        <v>40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만성동 만성법조타운골드클래스('18.02.,1070^)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568</v>
      </c>
      <c r="B22" s="10" t="s">
        <v>1547</v>
      </c>
      <c r="C22" s="87">
        <v>1070</v>
      </c>
      <c r="D22" s="85">
        <v>99.5</v>
      </c>
      <c r="E22" s="86">
        <v>30</v>
      </c>
      <c r="F22" s="85">
        <v>74.099999999999994</v>
      </c>
      <c r="G22" s="17">
        <v>22</v>
      </c>
      <c r="H22" s="87">
        <v>294</v>
      </c>
      <c r="I22" s="88">
        <v>48000</v>
      </c>
      <c r="J22" s="88" t="s">
        <v>93</v>
      </c>
      <c r="K22" s="88">
        <v>37000</v>
      </c>
      <c r="L22" s="88" t="s">
        <v>104</v>
      </c>
      <c r="M22" s="89">
        <f>I22-K22</f>
        <v>11000</v>
      </c>
      <c r="N22" s="4">
        <f>IF(ISERROR(K22/I22),"",K22/I22)</f>
        <v>0.77083333333333337</v>
      </c>
      <c r="O22" s="90">
        <f>I22/E22</f>
        <v>1600</v>
      </c>
      <c r="P22" s="90">
        <f>K22/E22</f>
        <v>1233.3333333333333</v>
      </c>
      <c r="Q22" s="78">
        <v>3</v>
      </c>
      <c r="R22" s="78">
        <v>2</v>
      </c>
      <c r="S22" s="78" t="s">
        <v>59</v>
      </c>
      <c r="T22" s="5">
        <v>99</v>
      </c>
      <c r="U22" s="9"/>
      <c r="W22" s="85">
        <f>D22</f>
        <v>99.5</v>
      </c>
      <c r="X22" s="86">
        <f>E22</f>
        <v>30</v>
      </c>
      <c r="Y22" s="91">
        <f>H22</f>
        <v>294</v>
      </c>
      <c r="Z22" s="89">
        <f>I22</f>
        <v>48000</v>
      </c>
      <c r="AA22" s="89">
        <f>K22</f>
        <v>37000</v>
      </c>
      <c r="AB22" s="89">
        <f t="shared" ref="AB22:AD23" si="12">M22</f>
        <v>11000</v>
      </c>
      <c r="AC22" s="4">
        <f t="shared" si="12"/>
        <v>0.77083333333333337</v>
      </c>
      <c r="AD22" s="90">
        <f t="shared" si="12"/>
        <v>1600</v>
      </c>
      <c r="AE22" s="78" t="str">
        <f>S22</f>
        <v>계</v>
      </c>
      <c r="AF22" s="78" t="str">
        <f>Q22&amp;"/"&amp;R22</f>
        <v>3/2</v>
      </c>
      <c r="AH22" s="20" t="str">
        <f t="shared" si="1"/>
        <v>만성법조타운골드클래스</v>
      </c>
      <c r="AI22" s="86">
        <f t="shared" si="0"/>
        <v>30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568</v>
      </c>
      <c r="B23" s="10" t="s">
        <v>1547</v>
      </c>
      <c r="C23" s="87">
        <v>1070</v>
      </c>
      <c r="D23" s="85">
        <v>111.3</v>
      </c>
      <c r="E23" s="86">
        <v>34</v>
      </c>
      <c r="F23" s="85">
        <v>85</v>
      </c>
      <c r="G23" s="17">
        <v>26</v>
      </c>
      <c r="H23" s="87">
        <v>776</v>
      </c>
      <c r="I23" s="88">
        <v>54000</v>
      </c>
      <c r="J23" s="88" t="s">
        <v>89</v>
      </c>
      <c r="K23" s="88">
        <v>41000</v>
      </c>
      <c r="L23" s="88" t="s">
        <v>107</v>
      </c>
      <c r="M23" s="89">
        <f>I23-K23</f>
        <v>13000</v>
      </c>
      <c r="N23" s="4">
        <f>IF(ISERROR(K23/I23),"",K23/I23)</f>
        <v>0.7592592592592593</v>
      </c>
      <c r="O23" s="90">
        <f>I23/E23</f>
        <v>1588.2352941176471</v>
      </c>
      <c r="P23" s="90">
        <f>K23/E23</f>
        <v>1205.8823529411766</v>
      </c>
      <c r="Q23" s="78">
        <v>4</v>
      </c>
      <c r="R23" s="78">
        <v>2</v>
      </c>
      <c r="S23" s="78" t="s">
        <v>59</v>
      </c>
      <c r="T23" s="5">
        <v>111</v>
      </c>
      <c r="U23" s="9"/>
      <c r="W23" s="85">
        <f>D23</f>
        <v>111.3</v>
      </c>
      <c r="X23" s="86">
        <f>E23</f>
        <v>34</v>
      </c>
      <c r="Y23" s="91">
        <f>H23</f>
        <v>776</v>
      </c>
      <c r="Z23" s="89">
        <f>I23</f>
        <v>54000</v>
      </c>
      <c r="AA23" s="89">
        <f>K23</f>
        <v>41000</v>
      </c>
      <c r="AB23" s="89">
        <f t="shared" si="12"/>
        <v>13000</v>
      </c>
      <c r="AC23" s="4">
        <f t="shared" si="12"/>
        <v>0.7592592592592593</v>
      </c>
      <c r="AD23" s="90">
        <f t="shared" si="12"/>
        <v>1588.2352941176471</v>
      </c>
      <c r="AE23" s="78" t="str">
        <f>S23</f>
        <v>계</v>
      </c>
      <c r="AF23" s="78" t="str">
        <f>Q23&amp;"/"&amp;R23</f>
        <v>4/2</v>
      </c>
      <c r="AH23" s="20" t="str">
        <f t="shared" si="1"/>
        <v>만성법조타운골드클래스</v>
      </c>
      <c r="AI23" s="86">
        <f t="shared" si="0"/>
        <v>34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</sheetData>
  <mergeCells count="1">
    <mergeCell ref="AJ1:AN1"/>
  </mergeCells>
  <phoneticPr fontId="2" type="noConversion"/>
  <conditionalFormatting sqref="AV4:AV6">
    <cfRule type="expression" dxfId="8617" priority="287">
      <formula>AV4="X"</formula>
    </cfRule>
    <cfRule type="expression" dxfId="8616" priority="288">
      <formula>AV4="후보"</formula>
    </cfRule>
  </conditionalFormatting>
  <conditionalFormatting sqref="AC1:AC2 AC4:AC6 N4:N5">
    <cfRule type="cellIs" dxfId="8615" priority="284" operator="greaterThan">
      <formula>0.9</formula>
    </cfRule>
    <cfRule type="cellIs" dxfId="8614" priority="285" operator="greaterThan">
      <formula>0.85</formula>
    </cfRule>
  </conditionalFormatting>
  <conditionalFormatting sqref="N1:N2">
    <cfRule type="cellIs" dxfId="8613" priority="282" operator="greaterThan">
      <formula>0.9</formula>
    </cfRule>
    <cfRule type="cellIs" dxfId="8612" priority="283" operator="greaterThan">
      <formula>0.85</formula>
    </cfRule>
  </conditionalFormatting>
  <conditionalFormatting sqref="N6">
    <cfRule type="cellIs" dxfId="8611" priority="280" operator="greaterThan">
      <formula>0.9</formula>
    </cfRule>
    <cfRule type="cellIs" dxfId="8610" priority="281" operator="greaterThan">
      <formula>0.85</formula>
    </cfRule>
  </conditionalFormatting>
  <conditionalFormatting sqref="E6">
    <cfRule type="expression" dxfId="8609" priority="276">
      <formula>AND(IF(OR($Q6=1,$Q6=2),1,0),IF($X6&lt;=20,1,0))</formula>
    </cfRule>
    <cfRule type="expression" dxfId="8608" priority="277">
      <formula>AND(IF($Q6=2,1,0),IF($X6&lt;30,1,0))</formula>
    </cfRule>
    <cfRule type="expression" dxfId="8607" priority="278">
      <formula>AND(IF($Q6=3,1,0),IF($X6&lt;30,1,0))</formula>
    </cfRule>
    <cfRule type="expression" dxfId="8606" priority="279">
      <formula>AND(IF($Q6=3,1,IF($Q6=4,1,0)),IF($F6&lt;=85,1,0))</formula>
    </cfRule>
  </conditionalFormatting>
  <conditionalFormatting sqref="X6">
    <cfRule type="expression" dxfId="8605" priority="272">
      <formula>AND(IF(OR($Q6=1,$Q6=2),1,0),IF($X6&lt;=20,1,0))</formula>
    </cfRule>
    <cfRule type="expression" dxfId="8604" priority="273">
      <formula>AND(IF($Q6=2,1,0),IF($X6&lt;30,1,0))</formula>
    </cfRule>
    <cfRule type="expression" dxfId="8603" priority="274">
      <formula>AND(IF($Q6=3,1,0),IF($X6&lt;30,1,0))</formula>
    </cfRule>
    <cfRule type="expression" dxfId="8602" priority="275">
      <formula>AND(IF($Q6=3,1,IF($Q6=4,1,0)),IF($F6&lt;=85,1,0))</formula>
    </cfRule>
  </conditionalFormatting>
  <conditionalFormatting sqref="AI6">
    <cfRule type="expression" dxfId="8601" priority="268">
      <formula>AND(IF(OR($Q6=1,$Q6=2),1,0),IF($X6&lt;=20,1,0))</formula>
    </cfRule>
    <cfRule type="expression" dxfId="8600" priority="269">
      <formula>AND(IF($Q6=2,1,0),IF($X6&lt;30,1,0))</formula>
    </cfRule>
    <cfRule type="expression" dxfId="8599" priority="270">
      <formula>AND(IF($Q6=3,1,0),IF($X6&lt;30,1,0))</formula>
    </cfRule>
    <cfRule type="expression" dxfId="8598" priority="271">
      <formula>AND(IF($Q6=3,1,IF($Q6=4,1,0)),IF($F6&lt;=85,1,0))</formula>
    </cfRule>
  </conditionalFormatting>
  <conditionalFormatting sqref="AV7">
    <cfRule type="expression" dxfId="8597" priority="266">
      <formula>AV7="X"</formula>
    </cfRule>
    <cfRule type="expression" dxfId="8596" priority="267">
      <formula>AV7="후보"</formula>
    </cfRule>
  </conditionalFormatting>
  <conditionalFormatting sqref="AC7">
    <cfRule type="cellIs" dxfId="8595" priority="263" operator="greaterThan">
      <formula>0.9</formula>
    </cfRule>
    <cfRule type="cellIs" dxfId="8594" priority="264" operator="greaterThan">
      <formula>0.85</formula>
    </cfRule>
  </conditionalFormatting>
  <conditionalFormatting sqref="N7">
    <cfRule type="cellIs" dxfId="8593" priority="261" operator="greaterThan">
      <formula>0.9</formula>
    </cfRule>
    <cfRule type="cellIs" dxfId="8592" priority="262" operator="greaterThan">
      <formula>0.85</formula>
    </cfRule>
  </conditionalFormatting>
  <conditionalFormatting sqref="E7">
    <cfRule type="expression" dxfId="8591" priority="257">
      <formula>AND(IF(OR($Q7=1,$Q7=2),1,0),IF($X7&lt;=20,1,0))</formula>
    </cfRule>
    <cfRule type="expression" dxfId="8590" priority="258">
      <formula>AND(IF($Q7=2,1,0),IF($X7&lt;30,1,0))</formula>
    </cfRule>
    <cfRule type="expression" dxfId="8589" priority="259">
      <formula>AND(IF($Q7=3,1,0),IF($X7&lt;30,1,0))</formula>
    </cfRule>
    <cfRule type="expression" dxfId="8588" priority="260">
      <formula>AND(IF($Q7=3,1,IF($Q7=4,1,0)),IF($F7&lt;=85,1,0))</formula>
    </cfRule>
  </conditionalFormatting>
  <conditionalFormatting sqref="X7">
    <cfRule type="expression" dxfId="8587" priority="253">
      <formula>AND(IF(OR($Q7=1,$Q7=2),1,0),IF($X7&lt;=20,1,0))</formula>
    </cfRule>
    <cfRule type="expression" dxfId="8586" priority="254">
      <formula>AND(IF($Q7=2,1,0),IF($X7&lt;30,1,0))</formula>
    </cfRule>
    <cfRule type="expression" dxfId="8585" priority="255">
      <formula>AND(IF($Q7=3,1,0),IF($X7&lt;30,1,0))</formula>
    </cfRule>
    <cfRule type="expression" dxfId="8584" priority="256">
      <formula>AND(IF($Q7=3,1,IF($Q7=4,1,0)),IF($F7&lt;=85,1,0))</formula>
    </cfRule>
  </conditionalFormatting>
  <conditionalFormatting sqref="AI7">
    <cfRule type="expression" dxfId="8583" priority="249">
      <formula>AND(IF(OR($Q7=1,$Q7=2),1,0),IF($X7&lt;=20,1,0))</formula>
    </cfRule>
    <cfRule type="expression" dxfId="8582" priority="250">
      <formula>AND(IF($Q7=2,1,0),IF($X7&lt;30,1,0))</formula>
    </cfRule>
    <cfRule type="expression" dxfId="8581" priority="251">
      <formula>AND(IF($Q7=3,1,0),IF($X7&lt;30,1,0))</formula>
    </cfRule>
    <cfRule type="expression" dxfId="8580" priority="252">
      <formula>AND(IF($Q7=3,1,IF($Q7=4,1,0)),IF($F7&lt;=85,1,0))</formula>
    </cfRule>
  </conditionalFormatting>
  <conditionalFormatting sqref="AV8">
    <cfRule type="expression" dxfId="8579" priority="247">
      <formula>AV8="X"</formula>
    </cfRule>
    <cfRule type="expression" dxfId="8578" priority="248">
      <formula>AV8="후보"</formula>
    </cfRule>
  </conditionalFormatting>
  <conditionalFormatting sqref="AC8 N8">
    <cfRule type="cellIs" dxfId="8577" priority="244" operator="greaterThan">
      <formula>0.9</formula>
    </cfRule>
    <cfRule type="cellIs" dxfId="8576" priority="245" operator="greaterThan">
      <formula>0.85</formula>
    </cfRule>
  </conditionalFormatting>
  <conditionalFormatting sqref="AV9">
    <cfRule type="expression" dxfId="8575" priority="242">
      <formula>AV9="X"</formula>
    </cfRule>
    <cfRule type="expression" dxfId="8574" priority="243">
      <formula>AV9="후보"</formula>
    </cfRule>
  </conditionalFormatting>
  <conditionalFormatting sqref="AC9">
    <cfRule type="cellIs" dxfId="8573" priority="239" operator="greaterThan">
      <formula>0.9</formula>
    </cfRule>
    <cfRule type="cellIs" dxfId="8572" priority="240" operator="greaterThan">
      <formula>0.85</formula>
    </cfRule>
  </conditionalFormatting>
  <conditionalFormatting sqref="N9">
    <cfRule type="cellIs" dxfId="8571" priority="237" operator="greaterThan">
      <formula>0.9</formula>
    </cfRule>
    <cfRule type="cellIs" dxfId="8570" priority="238" operator="greaterThan">
      <formula>0.85</formula>
    </cfRule>
  </conditionalFormatting>
  <conditionalFormatting sqref="E9">
    <cfRule type="expression" dxfId="8569" priority="233">
      <formula>AND(IF(OR($Q9=1,$Q9=2),1,0),IF($X9&lt;=20,1,0))</formula>
    </cfRule>
    <cfRule type="expression" dxfId="8568" priority="234">
      <formula>AND(IF($Q9=2,1,0),IF($X9&lt;30,1,0))</formula>
    </cfRule>
    <cfRule type="expression" dxfId="8567" priority="235">
      <formula>AND(IF($Q9=3,1,0),IF($X9&lt;30,1,0))</formula>
    </cfRule>
    <cfRule type="expression" dxfId="8566" priority="236">
      <formula>AND(IF($Q9=3,1,IF($Q9=4,1,0)),IF($F9&lt;=85,1,0))</formula>
    </cfRule>
  </conditionalFormatting>
  <conditionalFormatting sqref="X9">
    <cfRule type="expression" dxfId="8565" priority="229">
      <formula>AND(IF(OR($Q9=1,$Q9=2),1,0),IF($X9&lt;=20,1,0))</formula>
    </cfRule>
    <cfRule type="expression" dxfId="8564" priority="230">
      <formula>AND(IF($Q9=2,1,0),IF($X9&lt;30,1,0))</formula>
    </cfRule>
    <cfRule type="expression" dxfId="8563" priority="231">
      <formula>AND(IF($Q9=3,1,0),IF($X9&lt;30,1,0))</formula>
    </cfRule>
    <cfRule type="expression" dxfId="8562" priority="232">
      <formula>AND(IF($Q9=3,1,IF($Q9=4,1,0)),IF($F9&lt;=85,1,0))</formula>
    </cfRule>
  </conditionalFormatting>
  <conditionalFormatting sqref="AI9">
    <cfRule type="expression" dxfId="8561" priority="225">
      <formula>AND(IF(OR($Q9=1,$Q9=2),1,0),IF($X9&lt;=20,1,0))</formula>
    </cfRule>
    <cfRule type="expression" dxfId="8560" priority="226">
      <formula>AND(IF($Q9=2,1,0),IF($X9&lt;30,1,0))</formula>
    </cfRule>
    <cfRule type="expression" dxfId="8559" priority="227">
      <formula>AND(IF($Q9=3,1,0),IF($X9&lt;30,1,0))</formula>
    </cfRule>
    <cfRule type="expression" dxfId="8558" priority="228">
      <formula>AND(IF($Q9=3,1,IF($Q9=4,1,0)),IF($F9&lt;=85,1,0))</formula>
    </cfRule>
  </conditionalFormatting>
  <conditionalFormatting sqref="AV10">
    <cfRule type="expression" dxfId="8557" priority="223">
      <formula>AV10="X"</formula>
    </cfRule>
    <cfRule type="expression" dxfId="8556" priority="224">
      <formula>AV10="후보"</formula>
    </cfRule>
  </conditionalFormatting>
  <conditionalFormatting sqref="AC10">
    <cfRule type="cellIs" dxfId="8555" priority="220" operator="greaterThan">
      <formula>0.9</formula>
    </cfRule>
    <cfRule type="cellIs" dxfId="8554" priority="221" operator="greaterThan">
      <formula>0.85</formula>
    </cfRule>
  </conditionalFormatting>
  <conditionalFormatting sqref="N10">
    <cfRule type="cellIs" dxfId="8553" priority="218" operator="greaterThan">
      <formula>0.9</formula>
    </cfRule>
    <cfRule type="cellIs" dxfId="8552" priority="219" operator="greaterThan">
      <formula>0.85</formula>
    </cfRule>
  </conditionalFormatting>
  <conditionalFormatting sqref="E10">
    <cfRule type="expression" dxfId="8551" priority="214">
      <formula>AND(IF(OR($Q10=1,$Q10=2),1,0),IF($X10&lt;=20,1,0))</formula>
    </cfRule>
    <cfRule type="expression" dxfId="8550" priority="215">
      <formula>AND(IF($Q10=2,1,0),IF($X10&lt;30,1,0))</formula>
    </cfRule>
    <cfRule type="expression" dxfId="8549" priority="216">
      <formula>AND(IF($Q10=3,1,0),IF($X10&lt;30,1,0))</formula>
    </cfRule>
    <cfRule type="expression" dxfId="8548" priority="217">
      <formula>AND(IF($Q10=3,1,IF($Q10=4,1,0)),IF($F10&lt;=85,1,0))</formula>
    </cfRule>
  </conditionalFormatting>
  <conditionalFormatting sqref="X10">
    <cfRule type="expression" dxfId="8547" priority="210">
      <formula>AND(IF(OR($Q10=1,$Q10=2),1,0),IF($X10&lt;=20,1,0))</formula>
    </cfRule>
    <cfRule type="expression" dxfId="8546" priority="211">
      <formula>AND(IF($Q10=2,1,0),IF($X10&lt;30,1,0))</formula>
    </cfRule>
    <cfRule type="expression" dxfId="8545" priority="212">
      <formula>AND(IF($Q10=3,1,0),IF($X10&lt;30,1,0))</formula>
    </cfRule>
    <cfRule type="expression" dxfId="8544" priority="213">
      <formula>AND(IF($Q10=3,1,IF($Q10=4,1,0)),IF($F10&lt;=85,1,0))</formula>
    </cfRule>
  </conditionalFormatting>
  <conditionalFormatting sqref="AI10">
    <cfRule type="expression" dxfId="8543" priority="206">
      <formula>AND(IF(OR($Q10=1,$Q10=2),1,0),IF($X10&lt;=20,1,0))</formula>
    </cfRule>
    <cfRule type="expression" dxfId="8542" priority="207">
      <formula>AND(IF($Q10=2,1,0),IF($X10&lt;30,1,0))</formula>
    </cfRule>
    <cfRule type="expression" dxfId="8541" priority="208">
      <formula>AND(IF($Q10=3,1,0),IF($X10&lt;30,1,0))</formula>
    </cfRule>
    <cfRule type="expression" dxfId="8540" priority="209">
      <formula>AND(IF($Q10=3,1,IF($Q10=4,1,0)),IF($F10&lt;=85,1,0))</formula>
    </cfRule>
  </conditionalFormatting>
  <conditionalFormatting sqref="AV11">
    <cfRule type="expression" dxfId="8539" priority="204">
      <formula>AV11="X"</formula>
    </cfRule>
    <cfRule type="expression" dxfId="8538" priority="205">
      <formula>AV11="후보"</formula>
    </cfRule>
  </conditionalFormatting>
  <conditionalFormatting sqref="AC11">
    <cfRule type="cellIs" dxfId="8537" priority="201" operator="greaterThan">
      <formula>0.9</formula>
    </cfRule>
    <cfRule type="cellIs" dxfId="8536" priority="202" operator="greaterThan">
      <formula>0.85</formula>
    </cfRule>
  </conditionalFormatting>
  <conditionalFormatting sqref="N11">
    <cfRule type="cellIs" dxfId="8535" priority="199" operator="greaterThan">
      <formula>0.9</formula>
    </cfRule>
    <cfRule type="cellIs" dxfId="8534" priority="200" operator="greaterThan">
      <formula>0.85</formula>
    </cfRule>
  </conditionalFormatting>
  <conditionalFormatting sqref="E11">
    <cfRule type="expression" dxfId="8533" priority="195">
      <formula>AND(IF(OR($Q11=1,$Q11=2),1,0),IF($X11&lt;=20,1,0))</formula>
    </cfRule>
    <cfRule type="expression" dxfId="8532" priority="196">
      <formula>AND(IF($Q11=2,1,0),IF($X11&lt;30,1,0))</formula>
    </cfRule>
    <cfRule type="expression" dxfId="8531" priority="197">
      <formula>AND(IF($Q11=3,1,0),IF($X11&lt;30,1,0))</formula>
    </cfRule>
    <cfRule type="expression" dxfId="8530" priority="198">
      <formula>AND(IF($Q11=3,1,IF($Q11=4,1,0)),IF($F11&lt;=85,1,0))</formula>
    </cfRule>
  </conditionalFormatting>
  <conditionalFormatting sqref="X11">
    <cfRule type="expression" dxfId="8529" priority="191">
      <formula>AND(IF(OR($Q11=1,$Q11=2),1,0),IF($X11&lt;=20,1,0))</formula>
    </cfRule>
    <cfRule type="expression" dxfId="8528" priority="192">
      <formula>AND(IF($Q11=2,1,0),IF($X11&lt;30,1,0))</formula>
    </cfRule>
    <cfRule type="expression" dxfId="8527" priority="193">
      <formula>AND(IF($Q11=3,1,0),IF($X11&lt;30,1,0))</formula>
    </cfRule>
    <cfRule type="expression" dxfId="8526" priority="194">
      <formula>AND(IF($Q11=3,1,IF($Q11=4,1,0)),IF($F11&lt;=85,1,0))</formula>
    </cfRule>
  </conditionalFormatting>
  <conditionalFormatting sqref="AI11">
    <cfRule type="expression" dxfId="8525" priority="187">
      <formula>AND(IF(OR($Q11=1,$Q11=2),1,0),IF($X11&lt;=20,1,0))</formula>
    </cfRule>
    <cfRule type="expression" dxfId="8524" priority="188">
      <formula>AND(IF($Q11=2,1,0),IF($X11&lt;30,1,0))</formula>
    </cfRule>
    <cfRule type="expression" dxfId="8523" priority="189">
      <formula>AND(IF($Q11=3,1,0),IF($X11&lt;30,1,0))</formula>
    </cfRule>
    <cfRule type="expression" dxfId="8522" priority="190">
      <formula>AND(IF($Q11=3,1,IF($Q11=4,1,0)),IF($F11&lt;=85,1,0))</formula>
    </cfRule>
  </conditionalFormatting>
  <conditionalFormatting sqref="AV12">
    <cfRule type="expression" dxfId="8521" priority="185">
      <formula>AV12="X"</formula>
    </cfRule>
    <cfRule type="expression" dxfId="8520" priority="186">
      <formula>AV12="후보"</formula>
    </cfRule>
  </conditionalFormatting>
  <conditionalFormatting sqref="AC12">
    <cfRule type="cellIs" dxfId="8519" priority="182" operator="greaterThan">
      <formula>0.9</formula>
    </cfRule>
    <cfRule type="cellIs" dxfId="8518" priority="183" operator="greaterThan">
      <formula>0.85</formula>
    </cfRule>
  </conditionalFormatting>
  <conditionalFormatting sqref="N12">
    <cfRule type="cellIs" dxfId="8517" priority="180" operator="greaterThan">
      <formula>0.9</formula>
    </cfRule>
    <cfRule type="cellIs" dxfId="8516" priority="181" operator="greaterThan">
      <formula>0.85</formula>
    </cfRule>
  </conditionalFormatting>
  <conditionalFormatting sqref="E12">
    <cfRule type="expression" dxfId="8515" priority="176">
      <formula>AND(IF(OR($Q12=1,$Q12=2),1,0),IF($X12&lt;=20,1,0))</formula>
    </cfRule>
    <cfRule type="expression" dxfId="8514" priority="177">
      <formula>AND(IF($Q12=2,1,0),IF($X12&lt;30,1,0))</formula>
    </cfRule>
    <cfRule type="expression" dxfId="8513" priority="178">
      <formula>AND(IF($Q12=3,1,0),IF($X12&lt;30,1,0))</formula>
    </cfRule>
    <cfRule type="expression" dxfId="8512" priority="179">
      <formula>AND(IF($Q12=3,1,IF($Q12=4,1,0)),IF($F12&lt;=85,1,0))</formula>
    </cfRule>
  </conditionalFormatting>
  <conditionalFormatting sqref="X12">
    <cfRule type="expression" dxfId="8511" priority="172">
      <formula>AND(IF(OR($Q12=1,$Q12=2),1,0),IF($X12&lt;=20,1,0))</formula>
    </cfRule>
    <cfRule type="expression" dxfId="8510" priority="173">
      <formula>AND(IF($Q12=2,1,0),IF($X12&lt;30,1,0))</formula>
    </cfRule>
    <cfRule type="expression" dxfId="8509" priority="174">
      <formula>AND(IF($Q12=3,1,0),IF($X12&lt;30,1,0))</formula>
    </cfRule>
    <cfRule type="expression" dxfId="8508" priority="175">
      <formula>AND(IF($Q12=3,1,IF($Q12=4,1,0)),IF($F12&lt;=85,1,0))</formula>
    </cfRule>
  </conditionalFormatting>
  <conditionalFormatting sqref="AI12">
    <cfRule type="expression" dxfId="8507" priority="168">
      <formula>AND(IF(OR($Q12=1,$Q12=2),1,0),IF($X12&lt;=20,1,0))</formula>
    </cfRule>
    <cfRule type="expression" dxfId="8506" priority="169">
      <formula>AND(IF($Q12=2,1,0),IF($X12&lt;30,1,0))</formula>
    </cfRule>
    <cfRule type="expression" dxfId="8505" priority="170">
      <formula>AND(IF($Q12=3,1,0),IF($X12&lt;30,1,0))</formula>
    </cfRule>
    <cfRule type="expression" dxfId="8504" priority="171">
      <formula>AND(IF($Q12=3,1,IF($Q12=4,1,0)),IF($F12&lt;=85,1,0))</formula>
    </cfRule>
  </conditionalFormatting>
  <conditionalFormatting sqref="AV13">
    <cfRule type="expression" dxfId="8503" priority="166">
      <formula>AV13="X"</formula>
    </cfRule>
    <cfRule type="expression" dxfId="8502" priority="167">
      <formula>AV13="후보"</formula>
    </cfRule>
  </conditionalFormatting>
  <conditionalFormatting sqref="AC13 N13">
    <cfRule type="cellIs" dxfId="8501" priority="163" operator="greaterThan">
      <formula>0.9</formula>
    </cfRule>
    <cfRule type="cellIs" dxfId="8500" priority="164" operator="greaterThan">
      <formula>0.85</formula>
    </cfRule>
  </conditionalFormatting>
  <conditionalFormatting sqref="AV14">
    <cfRule type="expression" dxfId="8499" priority="161">
      <formula>AV14="X"</formula>
    </cfRule>
    <cfRule type="expression" dxfId="8498" priority="162">
      <formula>AV14="후보"</formula>
    </cfRule>
  </conditionalFormatting>
  <conditionalFormatting sqref="AC14">
    <cfRule type="cellIs" dxfId="8497" priority="158" operator="greaterThan">
      <formula>0.9</formula>
    </cfRule>
    <cfRule type="cellIs" dxfId="8496" priority="159" operator="greaterThan">
      <formula>0.85</formula>
    </cfRule>
  </conditionalFormatting>
  <conditionalFormatting sqref="N14">
    <cfRule type="cellIs" dxfId="8495" priority="156" operator="greaterThan">
      <formula>0.9</formula>
    </cfRule>
    <cfRule type="cellIs" dxfId="8494" priority="157" operator="greaterThan">
      <formula>0.85</formula>
    </cfRule>
  </conditionalFormatting>
  <conditionalFormatting sqref="E14">
    <cfRule type="expression" dxfId="8493" priority="152">
      <formula>AND(IF(OR($Q14=1,$Q14=2),1,0),IF($X14&lt;=20,1,0))</formula>
    </cfRule>
    <cfRule type="expression" dxfId="8492" priority="153">
      <formula>AND(IF($Q14=2,1,0),IF($X14&lt;30,1,0))</formula>
    </cfRule>
    <cfRule type="expression" dxfId="8491" priority="154">
      <formula>AND(IF($Q14=3,1,0),IF($X14&lt;30,1,0))</formula>
    </cfRule>
    <cfRule type="expression" dxfId="8490" priority="155">
      <formula>AND(IF($Q14=3,1,IF($Q14=4,1,0)),IF($F14&lt;=85,1,0))</formula>
    </cfRule>
  </conditionalFormatting>
  <conditionalFormatting sqref="X14">
    <cfRule type="expression" dxfId="8489" priority="148">
      <formula>AND(IF(OR($Q14=1,$Q14=2),1,0),IF($X14&lt;=20,1,0))</formula>
    </cfRule>
    <cfRule type="expression" dxfId="8488" priority="149">
      <formula>AND(IF($Q14=2,1,0),IF($X14&lt;30,1,0))</formula>
    </cfRule>
    <cfRule type="expression" dxfId="8487" priority="150">
      <formula>AND(IF($Q14=3,1,0),IF($X14&lt;30,1,0))</formula>
    </cfRule>
    <cfRule type="expression" dxfId="8486" priority="151">
      <formula>AND(IF($Q14=3,1,IF($Q14=4,1,0)),IF($F14&lt;=85,1,0))</formula>
    </cfRule>
  </conditionalFormatting>
  <conditionalFormatting sqref="AI14">
    <cfRule type="expression" dxfId="8485" priority="144">
      <formula>AND(IF(OR($Q14=1,$Q14=2),1,0),IF($X14&lt;=20,1,0))</formula>
    </cfRule>
    <cfRule type="expression" dxfId="8484" priority="145">
      <formula>AND(IF($Q14=2,1,0),IF($X14&lt;30,1,0))</formula>
    </cfRule>
    <cfRule type="expression" dxfId="8483" priority="146">
      <formula>AND(IF($Q14=3,1,0),IF($X14&lt;30,1,0))</formula>
    </cfRule>
    <cfRule type="expression" dxfId="8482" priority="147">
      <formula>AND(IF($Q14=3,1,IF($Q14=4,1,0)),IF($F14&lt;=85,1,0))</formula>
    </cfRule>
  </conditionalFormatting>
  <conditionalFormatting sqref="AV15">
    <cfRule type="expression" dxfId="8481" priority="142">
      <formula>AV15="X"</formula>
    </cfRule>
    <cfRule type="expression" dxfId="8480" priority="143">
      <formula>AV15="후보"</formula>
    </cfRule>
  </conditionalFormatting>
  <conditionalFormatting sqref="AC15">
    <cfRule type="cellIs" dxfId="8479" priority="139" operator="greaterThan">
      <formula>0.9</formula>
    </cfRule>
    <cfRule type="cellIs" dxfId="8478" priority="140" operator="greaterThan">
      <formula>0.85</formula>
    </cfRule>
  </conditionalFormatting>
  <conditionalFormatting sqref="N15">
    <cfRule type="cellIs" dxfId="8477" priority="137" operator="greaterThan">
      <formula>0.9</formula>
    </cfRule>
    <cfRule type="cellIs" dxfId="8476" priority="138" operator="greaterThan">
      <formula>0.85</formula>
    </cfRule>
  </conditionalFormatting>
  <conditionalFormatting sqref="E15">
    <cfRule type="expression" dxfId="8475" priority="133">
      <formula>AND(IF(OR($Q15=1,$Q15=2),1,0),IF($X15&lt;=20,1,0))</formula>
    </cfRule>
    <cfRule type="expression" dxfId="8474" priority="134">
      <formula>AND(IF($Q15=2,1,0),IF($X15&lt;30,1,0))</formula>
    </cfRule>
    <cfRule type="expression" dxfId="8473" priority="135">
      <formula>AND(IF($Q15=3,1,0),IF($X15&lt;30,1,0))</formula>
    </cfRule>
    <cfRule type="expression" dxfId="8472" priority="136">
      <formula>AND(IF($Q15=3,1,IF($Q15=4,1,0)),IF($F15&lt;=85,1,0))</formula>
    </cfRule>
  </conditionalFormatting>
  <conditionalFormatting sqref="X15">
    <cfRule type="expression" dxfId="8471" priority="129">
      <formula>AND(IF(OR($Q15=1,$Q15=2),1,0),IF($X15&lt;=20,1,0))</formula>
    </cfRule>
    <cfRule type="expression" dxfId="8470" priority="130">
      <formula>AND(IF($Q15=2,1,0),IF($X15&lt;30,1,0))</formula>
    </cfRule>
    <cfRule type="expression" dxfId="8469" priority="131">
      <formula>AND(IF($Q15=3,1,0),IF($X15&lt;30,1,0))</formula>
    </cfRule>
    <cfRule type="expression" dxfId="8468" priority="132">
      <formula>AND(IF($Q15=3,1,IF($Q15=4,1,0)),IF($F15&lt;=85,1,0))</formula>
    </cfRule>
  </conditionalFormatting>
  <conditionalFormatting sqref="AI15">
    <cfRule type="expression" dxfId="8467" priority="125">
      <formula>AND(IF(OR($Q15=1,$Q15=2),1,0),IF($X15&lt;=20,1,0))</formula>
    </cfRule>
    <cfRule type="expression" dxfId="8466" priority="126">
      <formula>AND(IF($Q15=2,1,0),IF($X15&lt;30,1,0))</formula>
    </cfRule>
    <cfRule type="expression" dxfId="8465" priority="127">
      <formula>AND(IF($Q15=3,1,0),IF($X15&lt;30,1,0))</formula>
    </cfRule>
    <cfRule type="expression" dxfId="8464" priority="128">
      <formula>AND(IF($Q15=3,1,IF($Q15=4,1,0)),IF($F15&lt;=85,1,0))</formula>
    </cfRule>
  </conditionalFormatting>
  <conditionalFormatting sqref="AV16">
    <cfRule type="expression" dxfId="8463" priority="123">
      <formula>AV16="X"</formula>
    </cfRule>
    <cfRule type="expression" dxfId="8462" priority="124">
      <formula>AV16="후보"</formula>
    </cfRule>
  </conditionalFormatting>
  <conditionalFormatting sqref="AC16">
    <cfRule type="cellIs" dxfId="8461" priority="120" operator="greaterThan">
      <formula>0.9</formula>
    </cfRule>
    <cfRule type="cellIs" dxfId="8460" priority="121" operator="greaterThan">
      <formula>0.85</formula>
    </cfRule>
  </conditionalFormatting>
  <conditionalFormatting sqref="N16">
    <cfRule type="cellIs" dxfId="8459" priority="118" operator="greaterThan">
      <formula>0.9</formula>
    </cfRule>
    <cfRule type="cellIs" dxfId="8458" priority="119" operator="greaterThan">
      <formula>0.85</formula>
    </cfRule>
  </conditionalFormatting>
  <conditionalFormatting sqref="E16">
    <cfRule type="expression" dxfId="8457" priority="114">
      <formula>AND(IF(OR($Q16=1,$Q16=2),1,0),IF($X16&lt;=20,1,0))</formula>
    </cfRule>
    <cfRule type="expression" dxfId="8456" priority="115">
      <formula>AND(IF($Q16=2,1,0),IF($X16&lt;30,1,0))</formula>
    </cfRule>
    <cfRule type="expression" dxfId="8455" priority="116">
      <formula>AND(IF($Q16=3,1,0),IF($X16&lt;30,1,0))</formula>
    </cfRule>
    <cfRule type="expression" dxfId="8454" priority="117">
      <formula>AND(IF($Q16=3,1,IF($Q16=4,1,0)),IF($F16&lt;=85,1,0))</formula>
    </cfRule>
  </conditionalFormatting>
  <conditionalFormatting sqref="X16">
    <cfRule type="expression" dxfId="8453" priority="110">
      <formula>AND(IF(OR($Q16=1,$Q16=2),1,0),IF($X16&lt;=20,1,0))</formula>
    </cfRule>
    <cfRule type="expression" dxfId="8452" priority="111">
      <formula>AND(IF($Q16=2,1,0),IF($X16&lt;30,1,0))</formula>
    </cfRule>
    <cfRule type="expression" dxfId="8451" priority="112">
      <formula>AND(IF($Q16=3,1,0),IF($X16&lt;30,1,0))</formula>
    </cfRule>
    <cfRule type="expression" dxfId="8450" priority="113">
      <formula>AND(IF($Q16=3,1,IF($Q16=4,1,0)),IF($F16&lt;=85,1,0))</formula>
    </cfRule>
  </conditionalFormatting>
  <conditionalFormatting sqref="AI16">
    <cfRule type="expression" dxfId="8449" priority="106">
      <formula>AND(IF(OR($Q16=1,$Q16=2),1,0),IF($X16&lt;=20,1,0))</formula>
    </cfRule>
    <cfRule type="expression" dxfId="8448" priority="107">
      <formula>AND(IF($Q16=2,1,0),IF($X16&lt;30,1,0))</formula>
    </cfRule>
    <cfRule type="expression" dxfId="8447" priority="108">
      <formula>AND(IF($Q16=3,1,0),IF($X16&lt;30,1,0))</formula>
    </cfRule>
    <cfRule type="expression" dxfId="8446" priority="109">
      <formula>AND(IF($Q16=3,1,IF($Q16=4,1,0)),IF($F16&lt;=85,1,0))</formula>
    </cfRule>
  </conditionalFormatting>
  <conditionalFormatting sqref="AV17">
    <cfRule type="expression" dxfId="8445" priority="104">
      <formula>AV17="X"</formula>
    </cfRule>
    <cfRule type="expression" dxfId="8444" priority="105">
      <formula>AV17="후보"</formula>
    </cfRule>
  </conditionalFormatting>
  <conditionalFormatting sqref="AC17 N17">
    <cfRule type="cellIs" dxfId="8443" priority="101" operator="greaterThan">
      <formula>0.9</formula>
    </cfRule>
    <cfRule type="cellIs" dxfId="8442" priority="102" operator="greaterThan">
      <formula>0.85</formula>
    </cfRule>
  </conditionalFormatting>
  <conditionalFormatting sqref="AV18">
    <cfRule type="expression" dxfId="8441" priority="99">
      <formula>AV18="X"</formula>
    </cfRule>
    <cfRule type="expression" dxfId="8440" priority="100">
      <formula>AV18="후보"</formula>
    </cfRule>
  </conditionalFormatting>
  <conditionalFormatting sqref="AC18">
    <cfRule type="cellIs" dxfId="8439" priority="96" operator="greaterThan">
      <formula>0.9</formula>
    </cfRule>
    <cfRule type="cellIs" dxfId="8438" priority="97" operator="greaterThan">
      <formula>0.85</formula>
    </cfRule>
  </conditionalFormatting>
  <conditionalFormatting sqref="N18">
    <cfRule type="cellIs" dxfId="8437" priority="94" operator="greaterThan">
      <formula>0.9</formula>
    </cfRule>
    <cfRule type="cellIs" dxfId="8436" priority="95" operator="greaterThan">
      <formula>0.85</formula>
    </cfRule>
  </conditionalFormatting>
  <conditionalFormatting sqref="E18">
    <cfRule type="expression" dxfId="8435" priority="90">
      <formula>AND(IF(OR($Q18=1,$Q18=2),1,0),IF($X18&lt;=20,1,0))</formula>
    </cfRule>
    <cfRule type="expression" dxfId="8434" priority="91">
      <formula>AND(IF($Q18=2,1,0),IF($X18&lt;30,1,0))</formula>
    </cfRule>
    <cfRule type="expression" dxfId="8433" priority="92">
      <formula>AND(IF($Q18=3,1,0),IF($X18&lt;30,1,0))</formula>
    </cfRule>
    <cfRule type="expression" dxfId="8432" priority="93">
      <formula>AND(IF($Q18=3,1,IF($Q18=4,1,0)),IF($F18&lt;=85,1,0))</formula>
    </cfRule>
  </conditionalFormatting>
  <conditionalFormatting sqref="X18">
    <cfRule type="expression" dxfId="8431" priority="86">
      <formula>AND(IF(OR($Q18=1,$Q18=2),1,0),IF($X18&lt;=20,1,0))</formula>
    </cfRule>
    <cfRule type="expression" dxfId="8430" priority="87">
      <formula>AND(IF($Q18=2,1,0),IF($X18&lt;30,1,0))</formula>
    </cfRule>
    <cfRule type="expression" dxfId="8429" priority="88">
      <formula>AND(IF($Q18=3,1,0),IF($X18&lt;30,1,0))</formula>
    </cfRule>
    <cfRule type="expression" dxfId="8428" priority="89">
      <formula>AND(IF($Q18=3,1,IF($Q18=4,1,0)),IF($F18&lt;=85,1,0))</formula>
    </cfRule>
  </conditionalFormatting>
  <conditionalFormatting sqref="AI18">
    <cfRule type="expression" dxfId="8427" priority="82">
      <formula>AND(IF(OR($Q18=1,$Q18=2),1,0),IF($X18&lt;=20,1,0))</formula>
    </cfRule>
    <cfRule type="expression" dxfId="8426" priority="83">
      <formula>AND(IF($Q18=2,1,0),IF($X18&lt;30,1,0))</formula>
    </cfRule>
    <cfRule type="expression" dxfId="8425" priority="84">
      <formula>AND(IF($Q18=3,1,0),IF($X18&lt;30,1,0))</formula>
    </cfRule>
    <cfRule type="expression" dxfId="8424" priority="85">
      <formula>AND(IF($Q18=3,1,IF($Q18=4,1,0)),IF($F18&lt;=85,1,0))</formula>
    </cfRule>
  </conditionalFormatting>
  <conditionalFormatting sqref="AV19">
    <cfRule type="expression" dxfId="8423" priority="80">
      <formula>AV19="X"</formula>
    </cfRule>
    <cfRule type="expression" dxfId="8422" priority="81">
      <formula>AV19="후보"</formula>
    </cfRule>
  </conditionalFormatting>
  <conditionalFormatting sqref="AC19">
    <cfRule type="cellIs" dxfId="8421" priority="77" operator="greaterThan">
      <formula>0.9</formula>
    </cfRule>
    <cfRule type="cellIs" dxfId="8420" priority="78" operator="greaterThan">
      <formula>0.85</formula>
    </cfRule>
  </conditionalFormatting>
  <conditionalFormatting sqref="N19">
    <cfRule type="cellIs" dxfId="8419" priority="75" operator="greaterThan">
      <formula>0.9</formula>
    </cfRule>
    <cfRule type="cellIs" dxfId="8418" priority="76" operator="greaterThan">
      <formula>0.85</formula>
    </cfRule>
  </conditionalFormatting>
  <conditionalFormatting sqref="E19">
    <cfRule type="expression" dxfId="8417" priority="71">
      <formula>AND(IF(OR($Q19=1,$Q19=2),1,0),IF($X19&lt;=20,1,0))</formula>
    </cfRule>
    <cfRule type="expression" dxfId="8416" priority="72">
      <formula>AND(IF($Q19=2,1,0),IF($X19&lt;30,1,0))</formula>
    </cfRule>
    <cfRule type="expression" dxfId="8415" priority="73">
      <formula>AND(IF($Q19=3,1,0),IF($X19&lt;30,1,0))</formula>
    </cfRule>
    <cfRule type="expression" dxfId="8414" priority="74">
      <formula>AND(IF($Q19=3,1,IF($Q19=4,1,0)),IF($F19&lt;=85,1,0))</formula>
    </cfRule>
  </conditionalFormatting>
  <conditionalFormatting sqref="X19">
    <cfRule type="expression" dxfId="8413" priority="67">
      <formula>AND(IF(OR($Q19=1,$Q19=2),1,0),IF($X19&lt;=20,1,0))</formula>
    </cfRule>
    <cfRule type="expression" dxfId="8412" priority="68">
      <formula>AND(IF($Q19=2,1,0),IF($X19&lt;30,1,0))</formula>
    </cfRule>
    <cfRule type="expression" dxfId="8411" priority="69">
      <formula>AND(IF($Q19=3,1,0),IF($X19&lt;30,1,0))</formula>
    </cfRule>
    <cfRule type="expression" dxfId="8410" priority="70">
      <formula>AND(IF($Q19=3,1,IF($Q19=4,1,0)),IF($F19&lt;=85,1,0))</formula>
    </cfRule>
  </conditionalFormatting>
  <conditionalFormatting sqref="AI19">
    <cfRule type="expression" dxfId="8409" priority="63">
      <formula>AND(IF(OR($Q19=1,$Q19=2),1,0),IF($X19&lt;=20,1,0))</formula>
    </cfRule>
    <cfRule type="expression" dxfId="8408" priority="64">
      <formula>AND(IF($Q19=2,1,0),IF($X19&lt;30,1,0))</formula>
    </cfRule>
    <cfRule type="expression" dxfId="8407" priority="65">
      <formula>AND(IF($Q19=3,1,0),IF($X19&lt;30,1,0))</formula>
    </cfRule>
    <cfRule type="expression" dxfId="8406" priority="66">
      <formula>AND(IF($Q19=3,1,IF($Q19=4,1,0)),IF($F19&lt;=85,1,0))</formula>
    </cfRule>
  </conditionalFormatting>
  <conditionalFormatting sqref="AV20">
    <cfRule type="expression" dxfId="8405" priority="61">
      <formula>AV20="X"</formula>
    </cfRule>
    <cfRule type="expression" dxfId="8404" priority="62">
      <formula>AV20="후보"</formula>
    </cfRule>
  </conditionalFormatting>
  <conditionalFormatting sqref="AC20">
    <cfRule type="cellIs" dxfId="8403" priority="58" operator="greaterThan">
      <formula>0.9</formula>
    </cfRule>
    <cfRule type="cellIs" dxfId="8402" priority="59" operator="greaterThan">
      <formula>0.85</formula>
    </cfRule>
  </conditionalFormatting>
  <conditionalFormatting sqref="N20">
    <cfRule type="cellIs" dxfId="8401" priority="56" operator="greaterThan">
      <formula>0.9</formula>
    </cfRule>
    <cfRule type="cellIs" dxfId="8400" priority="57" operator="greaterThan">
      <formula>0.85</formula>
    </cfRule>
  </conditionalFormatting>
  <conditionalFormatting sqref="E20">
    <cfRule type="expression" dxfId="8399" priority="52">
      <formula>AND(IF(OR($Q20=1,$Q20=2),1,0),IF($X20&lt;=20,1,0))</formula>
    </cfRule>
    <cfRule type="expression" dxfId="8398" priority="53">
      <formula>AND(IF($Q20=2,1,0),IF($X20&lt;30,1,0))</formula>
    </cfRule>
    <cfRule type="expression" dxfId="8397" priority="54">
      <formula>AND(IF($Q20=3,1,0),IF($X20&lt;30,1,0))</formula>
    </cfRule>
    <cfRule type="expression" dxfId="8396" priority="55">
      <formula>AND(IF($Q20=3,1,IF($Q20=4,1,0)),IF($F20&lt;=85,1,0))</formula>
    </cfRule>
  </conditionalFormatting>
  <conditionalFormatting sqref="X20">
    <cfRule type="expression" dxfId="8395" priority="48">
      <formula>AND(IF(OR($Q20=1,$Q20=2),1,0),IF($X20&lt;=20,1,0))</formula>
    </cfRule>
    <cfRule type="expression" dxfId="8394" priority="49">
      <formula>AND(IF($Q20=2,1,0),IF($X20&lt;30,1,0))</formula>
    </cfRule>
    <cfRule type="expression" dxfId="8393" priority="50">
      <formula>AND(IF($Q20=3,1,0),IF($X20&lt;30,1,0))</formula>
    </cfRule>
    <cfRule type="expression" dxfId="8392" priority="51">
      <formula>AND(IF($Q20=3,1,IF($Q20=4,1,0)),IF($F20&lt;=85,1,0))</formula>
    </cfRule>
  </conditionalFormatting>
  <conditionalFormatting sqref="AI20">
    <cfRule type="expression" dxfId="8391" priority="44">
      <formula>AND(IF(OR($Q20=1,$Q20=2),1,0),IF($X20&lt;=20,1,0))</formula>
    </cfRule>
    <cfRule type="expression" dxfId="8390" priority="45">
      <formula>AND(IF($Q20=2,1,0),IF($X20&lt;30,1,0))</formula>
    </cfRule>
    <cfRule type="expression" dxfId="8389" priority="46">
      <formula>AND(IF($Q20=3,1,0),IF($X20&lt;30,1,0))</formula>
    </cfRule>
    <cfRule type="expression" dxfId="8388" priority="47">
      <formula>AND(IF($Q20=3,1,IF($Q20=4,1,0)),IF($F20&lt;=85,1,0))</formula>
    </cfRule>
  </conditionalFormatting>
  <conditionalFormatting sqref="AV21">
    <cfRule type="expression" dxfId="8387" priority="42">
      <formula>AV21="X"</formula>
    </cfRule>
    <cfRule type="expression" dxfId="8386" priority="43">
      <formula>AV21="후보"</formula>
    </cfRule>
  </conditionalFormatting>
  <conditionalFormatting sqref="AC21 N21">
    <cfRule type="cellIs" dxfId="8385" priority="39" operator="greaterThan">
      <formula>0.9</formula>
    </cfRule>
    <cfRule type="cellIs" dxfId="8384" priority="40" operator="greaterThan">
      <formula>0.85</formula>
    </cfRule>
  </conditionalFormatting>
  <conditionalFormatting sqref="AV22">
    <cfRule type="expression" dxfId="8383" priority="37">
      <formula>AV22="X"</formula>
    </cfRule>
    <cfRule type="expression" dxfId="8382" priority="38">
      <formula>AV22="후보"</formula>
    </cfRule>
  </conditionalFormatting>
  <conditionalFormatting sqref="AC22">
    <cfRule type="cellIs" dxfId="8381" priority="34" operator="greaterThan">
      <formula>0.9</formula>
    </cfRule>
    <cfRule type="cellIs" dxfId="8380" priority="35" operator="greaterThan">
      <formula>0.85</formula>
    </cfRule>
  </conditionalFormatting>
  <conditionalFormatting sqref="N22">
    <cfRule type="cellIs" dxfId="8379" priority="32" operator="greaterThan">
      <formula>0.9</formula>
    </cfRule>
    <cfRule type="cellIs" dxfId="8378" priority="33" operator="greaterThan">
      <formula>0.85</formula>
    </cfRule>
  </conditionalFormatting>
  <conditionalFormatting sqref="E22">
    <cfRule type="expression" dxfId="8377" priority="28">
      <formula>AND(IF(OR($Q22=1,$Q22=2),1,0),IF($X22&lt;=20,1,0))</formula>
    </cfRule>
    <cfRule type="expression" dxfId="8376" priority="29">
      <formula>AND(IF($Q22=2,1,0),IF($X22&lt;30,1,0))</formula>
    </cfRule>
    <cfRule type="expression" dxfId="8375" priority="30">
      <formula>AND(IF($Q22=3,1,0),IF($X22&lt;30,1,0))</formula>
    </cfRule>
    <cfRule type="expression" dxfId="8374" priority="31">
      <formula>AND(IF($Q22=3,1,IF($Q22=4,1,0)),IF($F22&lt;=85,1,0))</formula>
    </cfRule>
  </conditionalFormatting>
  <conditionalFormatting sqref="X22">
    <cfRule type="expression" dxfId="8373" priority="24">
      <formula>AND(IF(OR($Q22=1,$Q22=2),1,0),IF($X22&lt;=20,1,0))</formula>
    </cfRule>
    <cfRule type="expression" dxfId="8372" priority="25">
      <formula>AND(IF($Q22=2,1,0),IF($X22&lt;30,1,0))</formula>
    </cfRule>
    <cfRule type="expression" dxfId="8371" priority="26">
      <formula>AND(IF($Q22=3,1,0),IF($X22&lt;30,1,0))</formula>
    </cfRule>
    <cfRule type="expression" dxfId="8370" priority="27">
      <formula>AND(IF($Q22=3,1,IF($Q22=4,1,0)),IF($F22&lt;=85,1,0))</formula>
    </cfRule>
  </conditionalFormatting>
  <conditionalFormatting sqref="AI22">
    <cfRule type="expression" dxfId="8369" priority="20">
      <formula>AND(IF(OR($Q22=1,$Q22=2),1,0),IF($X22&lt;=20,1,0))</formula>
    </cfRule>
    <cfRule type="expression" dxfId="8368" priority="21">
      <formula>AND(IF($Q22=2,1,0),IF($X22&lt;30,1,0))</formula>
    </cfRule>
    <cfRule type="expression" dxfId="8367" priority="22">
      <formula>AND(IF($Q22=3,1,0),IF($X22&lt;30,1,0))</formula>
    </cfRule>
    <cfRule type="expression" dxfId="8366" priority="23">
      <formula>AND(IF($Q22=3,1,IF($Q22=4,1,0)),IF($F22&lt;=85,1,0))</formula>
    </cfRule>
  </conditionalFormatting>
  <conditionalFormatting sqref="AV23">
    <cfRule type="expression" dxfId="8365" priority="18">
      <formula>AV23="X"</formula>
    </cfRule>
    <cfRule type="expression" dxfId="8364" priority="19">
      <formula>AV23="후보"</formula>
    </cfRule>
  </conditionalFormatting>
  <conditionalFormatting sqref="AC23">
    <cfRule type="cellIs" dxfId="8363" priority="15" operator="greaterThan">
      <formula>0.9</formula>
    </cfRule>
    <cfRule type="cellIs" dxfId="8362" priority="16" operator="greaterThan">
      <formula>0.85</formula>
    </cfRule>
  </conditionalFormatting>
  <conditionalFormatting sqref="N23">
    <cfRule type="cellIs" dxfId="8361" priority="13" operator="greaterThan">
      <formula>0.9</formula>
    </cfRule>
    <cfRule type="cellIs" dxfId="8360" priority="14" operator="greaterThan">
      <formula>0.85</formula>
    </cfRule>
  </conditionalFormatting>
  <conditionalFormatting sqref="E23">
    <cfRule type="expression" dxfId="8359" priority="9">
      <formula>AND(IF(OR($Q23=1,$Q23=2),1,0),IF($X23&lt;=20,1,0))</formula>
    </cfRule>
    <cfRule type="expression" dxfId="8358" priority="10">
      <formula>AND(IF($Q23=2,1,0),IF($X23&lt;30,1,0))</formula>
    </cfRule>
    <cfRule type="expression" dxfId="8357" priority="11">
      <formula>AND(IF($Q23=3,1,0),IF($X23&lt;30,1,0))</formula>
    </cfRule>
    <cfRule type="expression" dxfId="8356" priority="12">
      <formula>AND(IF($Q23=3,1,IF($Q23=4,1,0)),IF($F23&lt;=85,1,0))</formula>
    </cfRule>
  </conditionalFormatting>
  <conditionalFormatting sqref="X23">
    <cfRule type="expression" dxfId="8355" priority="5">
      <formula>AND(IF(OR($Q23=1,$Q23=2),1,0),IF($X23&lt;=20,1,0))</formula>
    </cfRule>
    <cfRule type="expression" dxfId="8354" priority="6">
      <formula>AND(IF($Q23=2,1,0),IF($X23&lt;30,1,0))</formula>
    </cfRule>
    <cfRule type="expression" dxfId="8353" priority="7">
      <formula>AND(IF($Q23=3,1,0),IF($X23&lt;30,1,0))</formula>
    </cfRule>
    <cfRule type="expression" dxfId="8352" priority="8">
      <formula>AND(IF($Q23=3,1,IF($Q23=4,1,0)),IF($F23&lt;=85,1,0))</formula>
    </cfRule>
  </conditionalFormatting>
  <conditionalFormatting sqref="AI23">
    <cfRule type="expression" dxfId="8351" priority="1">
      <formula>AND(IF(OR($Q23=1,$Q23=2),1,0),IF($X23&lt;=20,1,0))</formula>
    </cfRule>
    <cfRule type="expression" dxfId="8350" priority="2">
      <formula>AND(IF($Q23=2,1,0),IF($X23&lt;30,1,0))</formula>
    </cfRule>
    <cfRule type="expression" dxfId="8349" priority="3">
      <formula>AND(IF($Q23=3,1,0),IF($X23&lt;30,1,0))</formula>
    </cfRule>
    <cfRule type="expression" dxfId="8348" priority="4">
      <formula>AND(IF($Q23=3,1,IF($Q23=4,1,0)),IF($F23&lt;=85,1,0))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3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3" sqref="A33:XFD3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반월동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577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반월동 전주반월남해오네뜨하이뷰('18.06.,328^)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3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573</v>
      </c>
      <c r="B6" s="10" t="s">
        <v>1548</v>
      </c>
      <c r="C6" s="87">
        <v>328</v>
      </c>
      <c r="D6" s="85">
        <v>83</v>
      </c>
      <c r="E6" s="86">
        <v>25</v>
      </c>
      <c r="F6" s="85">
        <v>59.8</v>
      </c>
      <c r="G6" s="17">
        <v>18</v>
      </c>
      <c r="H6" s="87">
        <v>312</v>
      </c>
      <c r="I6" s="88">
        <v>19200</v>
      </c>
      <c r="J6" s="88" t="s">
        <v>68</v>
      </c>
      <c r="K6" s="88"/>
      <c r="L6" s="88"/>
      <c r="M6" s="89">
        <f>I6-K6</f>
        <v>19200</v>
      </c>
      <c r="N6" s="4">
        <f>IF(ISERROR(K6/I6),"",K6/I6)</f>
        <v>0</v>
      </c>
      <c r="O6" s="90">
        <f>I6/E6</f>
        <v>768</v>
      </c>
      <c r="P6" s="90">
        <f>K6/E6</f>
        <v>0</v>
      </c>
      <c r="Q6" s="78">
        <v>3</v>
      </c>
      <c r="R6" s="78">
        <v>2</v>
      </c>
      <c r="S6" s="78" t="s">
        <v>59</v>
      </c>
      <c r="T6" s="5" t="s">
        <v>112</v>
      </c>
      <c r="U6" s="9"/>
      <c r="W6" s="85">
        <f>D6</f>
        <v>83</v>
      </c>
      <c r="X6" s="86">
        <f>E6</f>
        <v>25</v>
      </c>
      <c r="Y6" s="91">
        <f>H6</f>
        <v>312</v>
      </c>
      <c r="Z6" s="89">
        <f>I6</f>
        <v>19200</v>
      </c>
      <c r="AA6" s="89">
        <f>K6</f>
        <v>0</v>
      </c>
      <c r="AB6" s="89">
        <f t="shared" ref="AB6:AD7" si="2">M6</f>
        <v>19200</v>
      </c>
      <c r="AC6" s="4">
        <f t="shared" si="2"/>
        <v>0</v>
      </c>
      <c r="AD6" s="90">
        <f t="shared" si="2"/>
        <v>768</v>
      </c>
      <c r="AE6" s="78" t="str">
        <f>S6</f>
        <v>계</v>
      </c>
      <c r="AF6" s="78" t="str">
        <f>Q6&amp;"/"&amp;R6</f>
        <v>3/2</v>
      </c>
      <c r="AH6" s="20" t="str">
        <f t="shared" si="1"/>
        <v>전주반월남해오네뜨하이뷰</v>
      </c>
      <c r="AI6" s="86">
        <f t="shared" si="0"/>
        <v>25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573</v>
      </c>
      <c r="B7" s="10" t="s">
        <v>1548</v>
      </c>
      <c r="C7" s="87">
        <v>328</v>
      </c>
      <c r="D7" s="85">
        <v>98.5</v>
      </c>
      <c r="E7" s="86">
        <v>30</v>
      </c>
      <c r="F7" s="85">
        <v>60</v>
      </c>
      <c r="G7" s="17">
        <v>18</v>
      </c>
      <c r="H7" s="87">
        <v>16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113</v>
      </c>
      <c r="U7" s="9"/>
      <c r="W7" s="85">
        <f>D7</f>
        <v>98.5</v>
      </c>
      <c r="X7" s="86">
        <f>E7</f>
        <v>30</v>
      </c>
      <c r="Y7" s="91">
        <f>H7</f>
        <v>16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전주반월남해오네뜨하이뷰</v>
      </c>
      <c r="AI7" s="86">
        <f t="shared" si="0"/>
        <v>30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/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반월동 영무예다음('06.06.,264^)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474</v>
      </c>
      <c r="B9" s="10" t="s">
        <v>1549</v>
      </c>
      <c r="C9" s="87">
        <v>264</v>
      </c>
      <c r="D9" s="85">
        <v>86.7</v>
      </c>
      <c r="E9" s="86">
        <v>26</v>
      </c>
      <c r="F9" s="85">
        <v>50.9</v>
      </c>
      <c r="G9" s="17">
        <v>15</v>
      </c>
      <c r="H9" s="87">
        <v>5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2</v>
      </c>
      <c r="R9" s="78">
        <v>1</v>
      </c>
      <c r="S9" s="78" t="s">
        <v>59</v>
      </c>
      <c r="T9" s="5">
        <v>86</v>
      </c>
      <c r="U9" s="9"/>
      <c r="W9" s="85">
        <f t="shared" ref="W9:X12" si="3">D9</f>
        <v>86.7</v>
      </c>
      <c r="X9" s="86">
        <f t="shared" si="3"/>
        <v>26</v>
      </c>
      <c r="Y9" s="91">
        <f t="shared" ref="Y9:Z12" si="4">H9</f>
        <v>5</v>
      </c>
      <c r="Z9" s="89">
        <f t="shared" si="4"/>
        <v>0</v>
      </c>
      <c r="AA9" s="89">
        <f>K9</f>
        <v>0</v>
      </c>
      <c r="AB9" s="89">
        <f t="shared" ref="AB9:AD12" si="5">M9</f>
        <v>0</v>
      </c>
      <c r="AC9" s="4" t="str">
        <f t="shared" si="5"/>
        <v/>
      </c>
      <c r="AD9" s="90">
        <f t="shared" si="5"/>
        <v>0</v>
      </c>
      <c r="AE9" s="78" t="str">
        <f>S9</f>
        <v>계</v>
      </c>
      <c r="AF9" s="78" t="str">
        <f>Q9&amp;"/"&amp;R9</f>
        <v>2/1</v>
      </c>
      <c r="AH9" s="20" t="str">
        <f t="shared" si="1"/>
        <v>영무예다음</v>
      </c>
      <c r="AI9" s="86">
        <f t="shared" si="0"/>
        <v>26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48" x14ac:dyDescent="0.3">
      <c r="A10" s="9" t="s">
        <v>474</v>
      </c>
      <c r="B10" s="10" t="s">
        <v>1549</v>
      </c>
      <c r="C10" s="87">
        <v>264</v>
      </c>
      <c r="D10" s="85">
        <v>105.8</v>
      </c>
      <c r="E10" s="86">
        <v>32</v>
      </c>
      <c r="F10" s="85">
        <v>77.099999999999994</v>
      </c>
      <c r="G10" s="17">
        <v>23</v>
      </c>
      <c r="H10" s="87">
        <v>1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1</v>
      </c>
      <c r="S10" s="78" t="s">
        <v>59</v>
      </c>
      <c r="T10" s="5">
        <v>105</v>
      </c>
      <c r="U10" s="9"/>
      <c r="W10" s="85">
        <f t="shared" si="3"/>
        <v>105.8</v>
      </c>
      <c r="X10" s="86">
        <f t="shared" si="3"/>
        <v>32</v>
      </c>
      <c r="Y10" s="91">
        <f t="shared" si="4"/>
        <v>1</v>
      </c>
      <c r="Z10" s="89">
        <f t="shared" si="4"/>
        <v>0</v>
      </c>
      <c r="AA10" s="89">
        <f>K10</f>
        <v>0</v>
      </c>
      <c r="AB10" s="89">
        <f t="shared" si="5"/>
        <v>0</v>
      </c>
      <c r="AC10" s="4" t="str">
        <f t="shared" si="5"/>
        <v/>
      </c>
      <c r="AD10" s="90">
        <f t="shared" si="5"/>
        <v>0</v>
      </c>
      <c r="AE10" s="78" t="str">
        <f>S10</f>
        <v>계</v>
      </c>
      <c r="AF10" s="78" t="str">
        <f>Q10&amp;"/"&amp;R10</f>
        <v>3/1</v>
      </c>
      <c r="AH10" s="20" t="str">
        <f t="shared" si="1"/>
        <v>영무예다음</v>
      </c>
      <c r="AI10" s="86">
        <f t="shared" si="0"/>
        <v>32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 t="s">
        <v>474</v>
      </c>
      <c r="B11" s="10" t="s">
        <v>1549</v>
      </c>
      <c r="C11" s="87">
        <v>264</v>
      </c>
      <c r="D11" s="85">
        <v>113.8</v>
      </c>
      <c r="E11" s="86">
        <v>34</v>
      </c>
      <c r="F11" s="85">
        <v>81.3</v>
      </c>
      <c r="G11" s="17">
        <v>25</v>
      </c>
      <c r="H11" s="87">
        <v>1</v>
      </c>
      <c r="I11" s="88"/>
      <c r="J11" s="88"/>
      <c r="K11" s="88"/>
      <c r="L11" s="88"/>
      <c r="M11" s="89">
        <f>I11-K11</f>
        <v>0</v>
      </c>
      <c r="N11" s="4" t="str">
        <f>IF(ISERROR(K11/I11),"",K11/I11)</f>
        <v/>
      </c>
      <c r="O11" s="90">
        <f>I11/E11</f>
        <v>0</v>
      </c>
      <c r="P11" s="90">
        <f>K11/E11</f>
        <v>0</v>
      </c>
      <c r="Q11" s="78">
        <v>3</v>
      </c>
      <c r="R11" s="78">
        <v>2</v>
      </c>
      <c r="S11" s="78" t="s">
        <v>59</v>
      </c>
      <c r="T11" s="5">
        <v>113</v>
      </c>
      <c r="U11" s="9"/>
      <c r="W11" s="85">
        <f t="shared" si="3"/>
        <v>113.8</v>
      </c>
      <c r="X11" s="86">
        <f t="shared" si="3"/>
        <v>34</v>
      </c>
      <c r="Y11" s="91">
        <f t="shared" si="4"/>
        <v>1</v>
      </c>
      <c r="Z11" s="89">
        <f t="shared" si="4"/>
        <v>0</v>
      </c>
      <c r="AA11" s="89">
        <f>K11</f>
        <v>0</v>
      </c>
      <c r="AB11" s="89">
        <f t="shared" si="5"/>
        <v>0</v>
      </c>
      <c r="AC11" s="4" t="str">
        <f t="shared" si="5"/>
        <v/>
      </c>
      <c r="AD11" s="90">
        <f t="shared" si="5"/>
        <v>0</v>
      </c>
      <c r="AE11" s="78" t="str">
        <f>S11</f>
        <v>계</v>
      </c>
      <c r="AF11" s="78" t="str">
        <f>Q11&amp;"/"&amp;R11</f>
        <v>3/2</v>
      </c>
      <c r="AH11" s="20" t="str">
        <f t="shared" si="1"/>
        <v>영무예다음</v>
      </c>
      <c r="AI11" s="86">
        <f t="shared" si="0"/>
        <v>34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X</v>
      </c>
      <c r="AV11" s="78" t="str">
        <f>IF(AO11="","",IF(AND(AO11="O",AP11="O",AR11="O",AT11="O",AU11="O"),"후보","X"))</f>
        <v/>
      </c>
    </row>
    <row r="12" spans="1:48" x14ac:dyDescent="0.3">
      <c r="A12" s="9" t="s">
        <v>474</v>
      </c>
      <c r="B12" s="10" t="s">
        <v>1549</v>
      </c>
      <c r="C12" s="87">
        <v>264</v>
      </c>
      <c r="D12" s="85">
        <v>121.4</v>
      </c>
      <c r="E12" s="86">
        <v>37</v>
      </c>
      <c r="F12" s="85">
        <v>84.8</v>
      </c>
      <c r="G12" s="17">
        <v>26</v>
      </c>
      <c r="H12" s="87">
        <v>257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2</v>
      </c>
      <c r="S12" s="78" t="s">
        <v>59</v>
      </c>
      <c r="T12" s="5">
        <v>121</v>
      </c>
      <c r="U12" s="9"/>
      <c r="W12" s="85">
        <f t="shared" si="3"/>
        <v>121.4</v>
      </c>
      <c r="X12" s="86">
        <f t="shared" si="3"/>
        <v>37</v>
      </c>
      <c r="Y12" s="91">
        <f t="shared" si="4"/>
        <v>257</v>
      </c>
      <c r="Z12" s="89">
        <f t="shared" si="4"/>
        <v>0</v>
      </c>
      <c r="AA12" s="89">
        <f>K12</f>
        <v>0</v>
      </c>
      <c r="AB12" s="89">
        <f t="shared" si="5"/>
        <v>0</v>
      </c>
      <c r="AC12" s="4" t="str">
        <f t="shared" si="5"/>
        <v/>
      </c>
      <c r="AD12" s="90">
        <f t="shared" si="5"/>
        <v>0</v>
      </c>
      <c r="AE12" s="78" t="str">
        <f>S12</f>
        <v>계</v>
      </c>
      <c r="AF12" s="78" t="str">
        <f>Q12&amp;"/"&amp;R12</f>
        <v>3/2</v>
      </c>
      <c r="AH12" s="20" t="str">
        <f t="shared" si="1"/>
        <v>영무예다음</v>
      </c>
      <c r="AI12" s="86">
        <f t="shared" si="0"/>
        <v>37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반월동 대창하이빌타운('98.01.,835^)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588</v>
      </c>
      <c r="B14" s="10" t="s">
        <v>1550</v>
      </c>
      <c r="C14" s="87">
        <v>835</v>
      </c>
      <c r="D14" s="85">
        <v>42</v>
      </c>
      <c r="E14" s="86">
        <v>13</v>
      </c>
      <c r="F14" s="85">
        <v>28.7</v>
      </c>
      <c r="G14" s="17">
        <v>9</v>
      </c>
      <c r="H14" s="87">
        <v>835</v>
      </c>
      <c r="I14" s="88">
        <v>2550</v>
      </c>
      <c r="J14" s="88" t="s">
        <v>69</v>
      </c>
      <c r="K14" s="88">
        <v>2300</v>
      </c>
      <c r="L14" s="88" t="s">
        <v>68</v>
      </c>
      <c r="M14" s="89">
        <f>I14-K14</f>
        <v>250</v>
      </c>
      <c r="N14" s="4">
        <f>IF(ISERROR(K14/I14),"",K14/I14)</f>
        <v>0.90196078431372551</v>
      </c>
      <c r="O14" s="90">
        <f>I14/E14</f>
        <v>196.15384615384616</v>
      </c>
      <c r="P14" s="90">
        <f>K14/E14</f>
        <v>176.92307692307693</v>
      </c>
      <c r="Q14" s="78">
        <v>1</v>
      </c>
      <c r="R14" s="78">
        <v>1</v>
      </c>
      <c r="S14" s="78" t="s">
        <v>59</v>
      </c>
      <c r="T14" s="5">
        <v>42</v>
      </c>
      <c r="U14" s="9"/>
      <c r="W14" s="85">
        <f>D14</f>
        <v>42</v>
      </c>
      <c r="X14" s="86">
        <f>E14</f>
        <v>13</v>
      </c>
      <c r="Y14" s="91">
        <f>H14</f>
        <v>835</v>
      </c>
      <c r="Z14" s="89">
        <f>I14</f>
        <v>2550</v>
      </c>
      <c r="AA14" s="89">
        <f>K14</f>
        <v>2300</v>
      </c>
      <c r="AB14" s="89">
        <f>M14</f>
        <v>250</v>
      </c>
      <c r="AC14" s="4">
        <f>N14</f>
        <v>0.90196078431372551</v>
      </c>
      <c r="AD14" s="90">
        <f>O14</f>
        <v>196.15384615384616</v>
      </c>
      <c r="AE14" s="78" t="str">
        <f>S14</f>
        <v>계</v>
      </c>
      <c r="AF14" s="78" t="str">
        <f>Q14&amp;"/"&amp;R14</f>
        <v>1/1</v>
      </c>
      <c r="AH14" s="20" t="str">
        <f t="shared" si="1"/>
        <v>대창하이빌타운</v>
      </c>
      <c r="AI14" s="86">
        <f t="shared" si="0"/>
        <v>13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O</v>
      </c>
      <c r="AP14" s="78" t="str">
        <f>IF(I14="","",IF(I14&lt;=$AP$1,"O","X"))</f>
        <v>O</v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/>
      <c r="B15" s="78"/>
      <c r="C15" s="6"/>
      <c r="D15" s="9"/>
      <c r="E15" s="14"/>
      <c r="F15" s="85"/>
      <c r="G15" s="9"/>
      <c r="H15" s="9"/>
      <c r="I15" s="9"/>
      <c r="J15" s="9"/>
      <c r="K15" s="9"/>
      <c r="L15" s="9"/>
      <c r="M15" s="9"/>
      <c r="N15" s="9"/>
      <c r="O15" s="90"/>
      <c r="P15" s="90"/>
      <c r="Q15" s="86"/>
      <c r="R15" s="86"/>
      <c r="S15" s="9"/>
      <c r="T15" s="47"/>
      <c r="U15" s="9"/>
      <c r="W15" s="67" t="str">
        <f>$A$4&amp;" "&amp;A16&amp;"("&amp;B16&amp;","&amp;C16&amp;"^)"</f>
        <v>반월동 세움펠리피아('16.02.,211^)</v>
      </c>
      <c r="X15" s="68"/>
      <c r="Y15" s="68"/>
      <c r="Z15" s="68"/>
      <c r="AA15" s="68"/>
      <c r="AB15" s="68"/>
      <c r="AC15" s="68"/>
      <c r="AD15" s="68"/>
      <c r="AE15" s="68"/>
      <c r="AF15" s="69"/>
      <c r="AH15" s="20" t="str">
        <f t="shared" si="1"/>
        <v/>
      </c>
      <c r="AI15" s="108" t="str">
        <f t="shared" si="0"/>
        <v/>
      </c>
      <c r="AJ15" s="78"/>
      <c r="AK15" s="78"/>
      <c r="AL15" s="78"/>
      <c r="AM15" s="78"/>
      <c r="AN15" s="78"/>
      <c r="AO15" s="78"/>
      <c r="AP15" s="78"/>
      <c r="AQ15" s="78"/>
      <c r="AR15" s="78"/>
      <c r="AS15" s="78"/>
      <c r="AT15" s="78"/>
      <c r="AU15" s="78"/>
      <c r="AV15" s="78"/>
    </row>
    <row r="16" spans="1:48" x14ac:dyDescent="0.3">
      <c r="A16" s="9" t="s">
        <v>593</v>
      </c>
      <c r="B16" s="10" t="s">
        <v>1551</v>
      </c>
      <c r="C16" s="87">
        <v>211</v>
      </c>
      <c r="D16" s="85">
        <v>85.8</v>
      </c>
      <c r="E16" s="86">
        <v>26</v>
      </c>
      <c r="F16" s="85">
        <v>59.9</v>
      </c>
      <c r="G16" s="17">
        <v>18</v>
      </c>
      <c r="H16" s="87">
        <v>136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 t="s">
        <v>114</v>
      </c>
      <c r="U16" s="9"/>
      <c r="W16" s="85">
        <f t="shared" ref="W16:X18" si="6">D16</f>
        <v>85.8</v>
      </c>
      <c r="X16" s="86">
        <f t="shared" si="6"/>
        <v>26</v>
      </c>
      <c r="Y16" s="91">
        <f t="shared" ref="Y16:Z18" si="7">H16</f>
        <v>136</v>
      </c>
      <c r="Z16" s="89">
        <f t="shared" si="7"/>
        <v>0</v>
      </c>
      <c r="AA16" s="89">
        <f>K16</f>
        <v>0</v>
      </c>
      <c r="AB16" s="89">
        <f t="shared" ref="AB16:AD18" si="8">M16</f>
        <v>0</v>
      </c>
      <c r="AC16" s="4" t="str">
        <f t="shared" si="8"/>
        <v/>
      </c>
      <c r="AD16" s="90">
        <f t="shared" si="8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세움펠리피아</v>
      </c>
      <c r="AI16" s="86">
        <f t="shared" si="0"/>
        <v>26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 t="s">
        <v>593</v>
      </c>
      <c r="B17" s="10" t="s">
        <v>1551</v>
      </c>
      <c r="C17" s="87">
        <v>211</v>
      </c>
      <c r="D17" s="85">
        <v>85.8</v>
      </c>
      <c r="E17" s="86">
        <v>26</v>
      </c>
      <c r="F17" s="85">
        <v>59.9</v>
      </c>
      <c r="G17" s="17">
        <v>18</v>
      </c>
      <c r="H17" s="87">
        <v>25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59</v>
      </c>
      <c r="T17" s="5" t="s">
        <v>115</v>
      </c>
      <c r="U17" s="9"/>
      <c r="W17" s="85">
        <f t="shared" si="6"/>
        <v>85.8</v>
      </c>
      <c r="X17" s="86">
        <f t="shared" si="6"/>
        <v>26</v>
      </c>
      <c r="Y17" s="91">
        <f t="shared" si="7"/>
        <v>25</v>
      </c>
      <c r="Z17" s="89">
        <f t="shared" si="7"/>
        <v>0</v>
      </c>
      <c r="AA17" s="89">
        <f>K17</f>
        <v>0</v>
      </c>
      <c r="AB17" s="89">
        <f t="shared" si="8"/>
        <v>0</v>
      </c>
      <c r="AC17" s="4" t="str">
        <f t="shared" si="8"/>
        <v/>
      </c>
      <c r="AD17" s="90">
        <f t="shared" si="8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세움펠리피아</v>
      </c>
      <c r="AI17" s="86">
        <f t="shared" si="0"/>
        <v>26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  <row r="18" spans="1:48" x14ac:dyDescent="0.3">
      <c r="A18" s="9" t="s">
        <v>593</v>
      </c>
      <c r="B18" s="10" t="s">
        <v>1551</v>
      </c>
      <c r="C18" s="87">
        <v>211</v>
      </c>
      <c r="D18" s="85">
        <v>98</v>
      </c>
      <c r="E18" s="86">
        <v>30</v>
      </c>
      <c r="F18" s="85">
        <v>68.400000000000006</v>
      </c>
      <c r="G18" s="17">
        <v>21</v>
      </c>
      <c r="H18" s="87">
        <v>50</v>
      </c>
      <c r="I18" s="88"/>
      <c r="J18" s="88"/>
      <c r="K18" s="88"/>
      <c r="L18" s="88"/>
      <c r="M18" s="89">
        <f>I18-K18</f>
        <v>0</v>
      </c>
      <c r="N18" s="4" t="str">
        <f>IF(ISERROR(K18/I18),"",K18/I18)</f>
        <v/>
      </c>
      <c r="O18" s="90">
        <f>I18/E18</f>
        <v>0</v>
      </c>
      <c r="P18" s="90">
        <f>K18/E18</f>
        <v>0</v>
      </c>
      <c r="Q18" s="78">
        <v>3</v>
      </c>
      <c r="R18" s="78">
        <v>2</v>
      </c>
      <c r="S18" s="78" t="s">
        <v>59</v>
      </c>
      <c r="T18" s="5">
        <v>97</v>
      </c>
      <c r="U18" s="9"/>
      <c r="W18" s="85">
        <f t="shared" si="6"/>
        <v>98</v>
      </c>
      <c r="X18" s="86">
        <f t="shared" si="6"/>
        <v>30</v>
      </c>
      <c r="Y18" s="91">
        <f t="shared" si="7"/>
        <v>50</v>
      </c>
      <c r="Z18" s="89">
        <f t="shared" si="7"/>
        <v>0</v>
      </c>
      <c r="AA18" s="89">
        <f>K18</f>
        <v>0</v>
      </c>
      <c r="AB18" s="89">
        <f t="shared" si="8"/>
        <v>0</v>
      </c>
      <c r="AC18" s="4" t="str">
        <f t="shared" si="8"/>
        <v/>
      </c>
      <c r="AD18" s="90">
        <f t="shared" si="8"/>
        <v>0</v>
      </c>
      <c r="AE18" s="78" t="str">
        <f>S18</f>
        <v>계</v>
      </c>
      <c r="AF18" s="78" t="str">
        <f>Q18&amp;"/"&amp;R18</f>
        <v>3/2</v>
      </c>
      <c r="AH18" s="20" t="str">
        <f t="shared" si="1"/>
        <v>세움펠리피아</v>
      </c>
      <c r="AI18" s="86">
        <f t="shared" si="0"/>
        <v>30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/>
      </c>
      <c r="AP18" s="78" t="str">
        <f>IF(I18="","",IF(I18&lt;=$AP$1,"O","X"))</f>
        <v/>
      </c>
      <c r="AQ18" s="78" t="str">
        <f>IF(O18="","",IF(O18&lt;=$AQ$1,"O","X"))</f>
        <v>O</v>
      </c>
      <c r="AR18" s="78" t="str">
        <f>IF(M18="","",IF(M18&lt;=$AR$1,"O","X"))</f>
        <v>O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X</v>
      </c>
      <c r="AV18" s="78" t="str">
        <f>IF(AO18="","",IF(AND(AO18="O",AP18="O",AR18="O",AT18="O",AU18="O"),"후보","X"))</f>
        <v/>
      </c>
    </row>
    <row r="19" spans="1:48" x14ac:dyDescent="0.3">
      <c r="A19" s="9"/>
      <c r="B19" s="78"/>
      <c r="C19" s="6"/>
      <c r="D19" s="9"/>
      <c r="E19" s="14"/>
      <c r="F19" s="85"/>
      <c r="G19" s="9"/>
      <c r="H19" s="9"/>
      <c r="I19" s="9"/>
      <c r="J19" s="9"/>
      <c r="K19" s="9"/>
      <c r="L19" s="9"/>
      <c r="M19" s="9"/>
      <c r="N19" s="9"/>
      <c r="O19" s="90"/>
      <c r="P19" s="90"/>
      <c r="Q19" s="86"/>
      <c r="R19" s="86"/>
      <c r="S19" s="9"/>
      <c r="T19" s="47"/>
      <c r="U19" s="9"/>
      <c r="W19" s="67" t="str">
        <f>$A$4&amp;" "&amp;A20&amp;"("&amp;B20&amp;","&amp;C20&amp;"^)"</f>
        <v>반월동 반월세움펠리피아2차('19.10.,505^)</v>
      </c>
      <c r="X19" s="68"/>
      <c r="Y19" s="68"/>
      <c r="Z19" s="68"/>
      <c r="AA19" s="68"/>
      <c r="AB19" s="68"/>
      <c r="AC19" s="68"/>
      <c r="AD19" s="68"/>
      <c r="AE19" s="68"/>
      <c r="AF19" s="69"/>
      <c r="AH19" s="20" t="str">
        <f t="shared" si="1"/>
        <v/>
      </c>
      <c r="AI19" s="108" t="str">
        <f t="shared" si="0"/>
        <v/>
      </c>
      <c r="AJ19" s="78"/>
      <c r="AK19" s="78"/>
      <c r="AL19" s="78"/>
      <c r="AM19" s="78"/>
      <c r="AN19" s="78"/>
      <c r="AO19" s="78"/>
      <c r="AP19" s="78"/>
      <c r="AQ19" s="78"/>
      <c r="AR19" s="78"/>
      <c r="AS19" s="78"/>
      <c r="AT19" s="78"/>
      <c r="AU19" s="78"/>
      <c r="AV19" s="78"/>
    </row>
    <row r="20" spans="1:48" x14ac:dyDescent="0.3">
      <c r="A20" s="9" t="s">
        <v>598</v>
      </c>
      <c r="B20" s="10" t="s">
        <v>1552</v>
      </c>
      <c r="C20" s="87">
        <v>505</v>
      </c>
      <c r="D20" s="85">
        <v>80.400000000000006</v>
      </c>
      <c r="E20" s="86">
        <v>24</v>
      </c>
      <c r="F20" s="85">
        <v>59.7</v>
      </c>
      <c r="G20" s="17">
        <v>18</v>
      </c>
      <c r="H20" s="87">
        <v>188</v>
      </c>
      <c r="I20" s="88">
        <v>23500</v>
      </c>
      <c r="J20" s="88" t="s">
        <v>69</v>
      </c>
      <c r="K20" s="88">
        <v>21000</v>
      </c>
      <c r="L20" s="88" t="s">
        <v>68</v>
      </c>
      <c r="M20" s="89">
        <f>I20-K20</f>
        <v>2500</v>
      </c>
      <c r="N20" s="4">
        <f>IF(ISERROR(K20/I20),"",K20/I20)</f>
        <v>0.8936170212765957</v>
      </c>
      <c r="O20" s="90">
        <f>I20/E20</f>
        <v>979.16666666666663</v>
      </c>
      <c r="P20" s="90">
        <f>K20/E20</f>
        <v>875</v>
      </c>
      <c r="Q20" s="78">
        <v>3</v>
      </c>
      <c r="R20" s="78">
        <v>2</v>
      </c>
      <c r="S20" s="78" t="s">
        <v>59</v>
      </c>
      <c r="T20" s="5">
        <v>80</v>
      </c>
      <c r="U20" s="9"/>
      <c r="W20" s="85">
        <f t="shared" ref="W20:X22" si="9">D20</f>
        <v>80.400000000000006</v>
      </c>
      <c r="X20" s="86">
        <f t="shared" si="9"/>
        <v>24</v>
      </c>
      <c r="Y20" s="91">
        <f t="shared" ref="Y20:Z22" si="10">H20</f>
        <v>188</v>
      </c>
      <c r="Z20" s="89">
        <f t="shared" si="10"/>
        <v>23500</v>
      </c>
      <c r="AA20" s="89">
        <f>K20</f>
        <v>21000</v>
      </c>
      <c r="AB20" s="89">
        <f t="shared" ref="AB20:AD22" si="11">M20</f>
        <v>2500</v>
      </c>
      <c r="AC20" s="4">
        <f t="shared" si="11"/>
        <v>0.8936170212765957</v>
      </c>
      <c r="AD20" s="90">
        <f t="shared" si="11"/>
        <v>979.16666666666663</v>
      </c>
      <c r="AE20" s="78" t="str">
        <f>S20</f>
        <v>계</v>
      </c>
      <c r="AF20" s="78" t="str">
        <f>Q20&amp;"/"&amp;R20</f>
        <v>3/2</v>
      </c>
      <c r="AH20" s="20" t="str">
        <f t="shared" si="1"/>
        <v>반월세움펠리피아2차</v>
      </c>
      <c r="AI20" s="86">
        <f t="shared" si="0"/>
        <v>24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O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후보</v>
      </c>
    </row>
    <row r="21" spans="1:48" x14ac:dyDescent="0.3">
      <c r="A21" s="9" t="s">
        <v>598</v>
      </c>
      <c r="B21" s="10" t="s">
        <v>1552</v>
      </c>
      <c r="C21" s="87">
        <v>505</v>
      </c>
      <c r="D21" s="85">
        <v>87</v>
      </c>
      <c r="E21" s="86">
        <v>26</v>
      </c>
      <c r="F21" s="85">
        <v>64.599999999999994</v>
      </c>
      <c r="G21" s="17">
        <v>20</v>
      </c>
      <c r="H21" s="87">
        <v>159</v>
      </c>
      <c r="I21" s="88">
        <v>27000</v>
      </c>
      <c r="J21" s="88" t="s">
        <v>69</v>
      </c>
      <c r="K21" s="88"/>
      <c r="L21" s="88"/>
      <c r="M21" s="89">
        <f>I21-K21</f>
        <v>27000</v>
      </c>
      <c r="N21" s="4">
        <f>IF(ISERROR(K21/I21),"",K21/I21)</f>
        <v>0</v>
      </c>
      <c r="O21" s="90">
        <f>I21/E21</f>
        <v>1038.4615384615386</v>
      </c>
      <c r="P21" s="90">
        <f>K21/E21</f>
        <v>0</v>
      </c>
      <c r="Q21" s="78">
        <v>3</v>
      </c>
      <c r="R21" s="78">
        <v>2</v>
      </c>
      <c r="S21" s="78" t="s">
        <v>59</v>
      </c>
      <c r="T21" s="5">
        <v>87</v>
      </c>
      <c r="U21" s="9"/>
      <c r="W21" s="85">
        <f t="shared" si="9"/>
        <v>87</v>
      </c>
      <c r="X21" s="86">
        <f t="shared" si="9"/>
        <v>26</v>
      </c>
      <c r="Y21" s="91">
        <f t="shared" si="10"/>
        <v>159</v>
      </c>
      <c r="Z21" s="89">
        <f t="shared" si="10"/>
        <v>27000</v>
      </c>
      <c r="AA21" s="89">
        <f>K21</f>
        <v>0</v>
      </c>
      <c r="AB21" s="89">
        <f t="shared" si="11"/>
        <v>27000</v>
      </c>
      <c r="AC21" s="4">
        <f t="shared" si="11"/>
        <v>0</v>
      </c>
      <c r="AD21" s="90">
        <f t="shared" si="11"/>
        <v>1038.4615384615386</v>
      </c>
      <c r="AE21" s="78" t="str">
        <f>S21</f>
        <v>계</v>
      </c>
      <c r="AF21" s="78" t="str">
        <f>Q21&amp;"/"&amp;R21</f>
        <v>3/2</v>
      </c>
      <c r="AH21" s="20" t="str">
        <f t="shared" si="1"/>
        <v>반월세움펠리피아2차</v>
      </c>
      <c r="AI21" s="86">
        <f t="shared" si="0"/>
        <v>26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O</v>
      </c>
      <c r="AQ21" s="78" t="str">
        <f>IF(O21="","",IF(O21&lt;=$AQ$1,"O","X"))</f>
        <v>X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598</v>
      </c>
      <c r="B22" s="10" t="s">
        <v>1552</v>
      </c>
      <c r="C22" s="87">
        <v>505</v>
      </c>
      <c r="D22" s="85">
        <v>114.2</v>
      </c>
      <c r="E22" s="86">
        <v>35</v>
      </c>
      <c r="F22" s="85">
        <v>84.8</v>
      </c>
      <c r="G22" s="17">
        <v>26</v>
      </c>
      <c r="H22" s="87">
        <v>158</v>
      </c>
      <c r="I22" s="88">
        <v>37000</v>
      </c>
      <c r="J22" s="88" t="s">
        <v>68</v>
      </c>
      <c r="K22" s="88"/>
      <c r="L22" s="88"/>
      <c r="M22" s="89">
        <f>I22-K22</f>
        <v>37000</v>
      </c>
      <c r="N22" s="4">
        <f>IF(ISERROR(K22/I22),"",K22/I22)</f>
        <v>0</v>
      </c>
      <c r="O22" s="90">
        <f>I22/E22</f>
        <v>1057.1428571428571</v>
      </c>
      <c r="P22" s="90">
        <f>K22/E22</f>
        <v>0</v>
      </c>
      <c r="Q22" s="78">
        <v>3</v>
      </c>
      <c r="R22" s="78">
        <v>2</v>
      </c>
      <c r="S22" s="78" t="s">
        <v>59</v>
      </c>
      <c r="T22" s="5">
        <v>114</v>
      </c>
      <c r="U22" s="9"/>
      <c r="W22" s="85">
        <f t="shared" si="9"/>
        <v>114.2</v>
      </c>
      <c r="X22" s="86">
        <f t="shared" si="9"/>
        <v>35</v>
      </c>
      <c r="Y22" s="91">
        <f t="shared" si="10"/>
        <v>158</v>
      </c>
      <c r="Z22" s="89">
        <f t="shared" si="10"/>
        <v>37000</v>
      </c>
      <c r="AA22" s="89">
        <f>K22</f>
        <v>0</v>
      </c>
      <c r="AB22" s="89">
        <f t="shared" si="11"/>
        <v>37000</v>
      </c>
      <c r="AC22" s="4">
        <f t="shared" si="11"/>
        <v>0</v>
      </c>
      <c r="AD22" s="90">
        <f t="shared" si="11"/>
        <v>1057.1428571428571</v>
      </c>
      <c r="AE22" s="78" t="str">
        <f>S22</f>
        <v>계</v>
      </c>
      <c r="AF22" s="78" t="str">
        <f>Q22&amp;"/"&amp;R22</f>
        <v>3/2</v>
      </c>
      <c r="AH22" s="20" t="str">
        <f t="shared" si="1"/>
        <v>반월세움펠리피아2차</v>
      </c>
      <c r="AI22" s="86">
        <f t="shared" si="0"/>
        <v>35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반월동 남양반월타운('97.01.,486^)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8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608</v>
      </c>
      <c r="B24" s="10" t="s">
        <v>1538</v>
      </c>
      <c r="C24" s="87">
        <v>486</v>
      </c>
      <c r="D24" s="85">
        <v>84.9</v>
      </c>
      <c r="E24" s="86">
        <v>26</v>
      </c>
      <c r="F24" s="85">
        <v>59.9</v>
      </c>
      <c r="G24" s="17">
        <v>18</v>
      </c>
      <c r="H24" s="87">
        <v>486</v>
      </c>
      <c r="I24" s="88">
        <v>8500</v>
      </c>
      <c r="J24" s="88" t="s">
        <v>69</v>
      </c>
      <c r="K24" s="88"/>
      <c r="L24" s="88"/>
      <c r="M24" s="89">
        <f>I24-K24</f>
        <v>8500</v>
      </c>
      <c r="N24" s="4">
        <f>IF(ISERROR(K24/I24),"",K24/I24)</f>
        <v>0</v>
      </c>
      <c r="O24" s="90">
        <f>I24/E24</f>
        <v>326.92307692307691</v>
      </c>
      <c r="P24" s="90">
        <f>K24/E24</f>
        <v>0</v>
      </c>
      <c r="Q24" s="78">
        <v>2</v>
      </c>
      <c r="R24" s="78">
        <v>1</v>
      </c>
      <c r="S24" s="78" t="s">
        <v>65</v>
      </c>
      <c r="T24" s="5">
        <v>84</v>
      </c>
      <c r="U24" s="9"/>
      <c r="W24" s="85">
        <f>D24</f>
        <v>84.9</v>
      </c>
      <c r="X24" s="86">
        <f>E24</f>
        <v>26</v>
      </c>
      <c r="Y24" s="91">
        <f>H24</f>
        <v>486</v>
      </c>
      <c r="Z24" s="89">
        <f>I24</f>
        <v>8500</v>
      </c>
      <c r="AA24" s="89">
        <f>K24</f>
        <v>0</v>
      </c>
      <c r="AB24" s="89">
        <f>M24</f>
        <v>8500</v>
      </c>
      <c r="AC24" s="4">
        <f>N24</f>
        <v>0</v>
      </c>
      <c r="AD24" s="90">
        <f>O24</f>
        <v>326.92307692307691</v>
      </c>
      <c r="AE24" s="78" t="str">
        <f>S24</f>
        <v>복</v>
      </c>
      <c r="AF24" s="78" t="str">
        <f>Q24&amp;"/"&amp;R24</f>
        <v>2/1</v>
      </c>
      <c r="AH24" s="20" t="str">
        <f t="shared" si="1"/>
        <v>남양반월타운</v>
      </c>
      <c r="AI24" s="86">
        <f t="shared" si="0"/>
        <v>26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반월동 월드컵이지움('15.03.,210^)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612</v>
      </c>
      <c r="B26" s="10" t="s">
        <v>1553</v>
      </c>
      <c r="C26" s="87">
        <v>210</v>
      </c>
      <c r="D26" s="85">
        <v>86.8</v>
      </c>
      <c r="E26" s="86">
        <v>26</v>
      </c>
      <c r="F26" s="85">
        <v>59.9</v>
      </c>
      <c r="G26" s="17">
        <v>18</v>
      </c>
      <c r="H26" s="87">
        <v>124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59</v>
      </c>
      <c r="T26" s="5" t="s">
        <v>116</v>
      </c>
      <c r="U26" s="9"/>
      <c r="W26" s="85">
        <f t="shared" ref="W26:X29" si="12">D26</f>
        <v>86.8</v>
      </c>
      <c r="X26" s="86">
        <f t="shared" si="12"/>
        <v>26</v>
      </c>
      <c r="Y26" s="91">
        <f t="shared" ref="Y26:Z29" si="13">H26</f>
        <v>124</v>
      </c>
      <c r="Z26" s="89">
        <f t="shared" si="13"/>
        <v>0</v>
      </c>
      <c r="AA26" s="89">
        <f>K26</f>
        <v>0</v>
      </c>
      <c r="AB26" s="89">
        <f t="shared" ref="AB26:AD29" si="14">M26</f>
        <v>0</v>
      </c>
      <c r="AC26" s="4" t="str">
        <f t="shared" si="14"/>
        <v/>
      </c>
      <c r="AD26" s="90">
        <f t="shared" si="14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월드컵이지움</v>
      </c>
      <c r="AI26" s="86">
        <f t="shared" si="0"/>
        <v>26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X</v>
      </c>
      <c r="AV26" s="78" t="str">
        <f>IF(AO26="","",IF(AND(AO26="O",AP26="O",AR26="O",AT26="O",AU26="O"),"후보","X"))</f>
        <v/>
      </c>
    </row>
    <row r="27" spans="1:48" x14ac:dyDescent="0.3">
      <c r="A27" s="9" t="s">
        <v>612</v>
      </c>
      <c r="B27" s="10" t="s">
        <v>1553</v>
      </c>
      <c r="C27" s="87">
        <v>210</v>
      </c>
      <c r="D27" s="85">
        <v>86.8</v>
      </c>
      <c r="E27" s="86">
        <v>26</v>
      </c>
      <c r="F27" s="85">
        <v>59.9</v>
      </c>
      <c r="G27" s="17">
        <v>18</v>
      </c>
      <c r="H27" s="87">
        <v>70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2</v>
      </c>
      <c r="S27" s="78" t="s">
        <v>59</v>
      </c>
      <c r="T27" s="5" t="s">
        <v>117</v>
      </c>
      <c r="U27" s="9"/>
      <c r="W27" s="85">
        <f t="shared" si="12"/>
        <v>86.8</v>
      </c>
      <c r="X27" s="86">
        <f t="shared" si="12"/>
        <v>26</v>
      </c>
      <c r="Y27" s="91">
        <f t="shared" si="13"/>
        <v>70</v>
      </c>
      <c r="Z27" s="89">
        <f t="shared" si="13"/>
        <v>0</v>
      </c>
      <c r="AA27" s="89">
        <f>K27</f>
        <v>0</v>
      </c>
      <c r="AB27" s="89">
        <f t="shared" si="14"/>
        <v>0</v>
      </c>
      <c r="AC27" s="4" t="str">
        <f t="shared" si="14"/>
        <v/>
      </c>
      <c r="AD27" s="90">
        <f t="shared" si="14"/>
        <v>0</v>
      </c>
      <c r="AE27" s="78" t="str">
        <f>S27</f>
        <v>계</v>
      </c>
      <c r="AF27" s="78" t="str">
        <f>Q27&amp;"/"&amp;R27</f>
        <v>3/2</v>
      </c>
      <c r="AH27" s="20" t="str">
        <f t="shared" si="1"/>
        <v>월드컵이지움</v>
      </c>
      <c r="AI27" s="86">
        <f t="shared" si="0"/>
        <v>26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612</v>
      </c>
      <c r="B28" s="10" t="s">
        <v>1553</v>
      </c>
      <c r="C28" s="87">
        <v>210</v>
      </c>
      <c r="D28" s="85">
        <v>87.6</v>
      </c>
      <c r="E28" s="86">
        <v>26</v>
      </c>
      <c r="F28" s="85">
        <v>60</v>
      </c>
      <c r="G28" s="17">
        <v>18</v>
      </c>
      <c r="H28" s="87">
        <v>10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59</v>
      </c>
      <c r="T28" s="5" t="s">
        <v>118</v>
      </c>
      <c r="U28" s="9"/>
      <c r="W28" s="85">
        <f t="shared" si="12"/>
        <v>87.6</v>
      </c>
      <c r="X28" s="86">
        <f t="shared" si="12"/>
        <v>26</v>
      </c>
      <c r="Y28" s="91">
        <f t="shared" si="13"/>
        <v>10</v>
      </c>
      <c r="Z28" s="89">
        <f t="shared" si="13"/>
        <v>0</v>
      </c>
      <c r="AA28" s="89">
        <f>K28</f>
        <v>0</v>
      </c>
      <c r="AB28" s="89">
        <f t="shared" si="14"/>
        <v>0</v>
      </c>
      <c r="AC28" s="4" t="str">
        <f t="shared" si="14"/>
        <v/>
      </c>
      <c r="AD28" s="90">
        <f t="shared" si="14"/>
        <v>0</v>
      </c>
      <c r="AE28" s="78" t="str">
        <f>S28</f>
        <v>계</v>
      </c>
      <c r="AF28" s="78" t="str">
        <f>Q28&amp;"/"&amp;R28</f>
        <v>3/2</v>
      </c>
      <c r="AH28" s="20" t="str">
        <f t="shared" si="1"/>
        <v>월드컵이지움</v>
      </c>
      <c r="AI28" s="86">
        <f t="shared" si="0"/>
        <v>26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 t="s">
        <v>612</v>
      </c>
      <c r="B29" s="10" t="s">
        <v>1553</v>
      </c>
      <c r="C29" s="87">
        <v>210</v>
      </c>
      <c r="D29" s="85">
        <v>88.3</v>
      </c>
      <c r="E29" s="86">
        <v>27</v>
      </c>
      <c r="F29" s="85">
        <v>59.6</v>
      </c>
      <c r="G29" s="17">
        <v>18</v>
      </c>
      <c r="H29" s="87">
        <v>6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3</v>
      </c>
      <c r="R29" s="78">
        <v>2</v>
      </c>
      <c r="S29" s="78" t="s">
        <v>59</v>
      </c>
      <c r="T29" s="5" t="s">
        <v>119</v>
      </c>
      <c r="U29" s="9"/>
      <c r="W29" s="85">
        <f t="shared" si="12"/>
        <v>88.3</v>
      </c>
      <c r="X29" s="86">
        <f t="shared" si="12"/>
        <v>27</v>
      </c>
      <c r="Y29" s="91">
        <f t="shared" si="13"/>
        <v>6</v>
      </c>
      <c r="Z29" s="89">
        <f t="shared" si="13"/>
        <v>0</v>
      </c>
      <c r="AA29" s="89">
        <f>K29</f>
        <v>0</v>
      </c>
      <c r="AB29" s="89">
        <f t="shared" si="14"/>
        <v>0</v>
      </c>
      <c r="AC29" s="4" t="str">
        <f t="shared" si="14"/>
        <v/>
      </c>
      <c r="AD29" s="90">
        <f t="shared" si="14"/>
        <v>0</v>
      </c>
      <c r="AE29" s="78" t="str">
        <f>S29</f>
        <v>계</v>
      </c>
      <c r="AF29" s="78" t="str">
        <f>Q29&amp;"/"&amp;R29</f>
        <v>3/2</v>
      </c>
      <c r="AH29" s="20" t="str">
        <f t="shared" si="1"/>
        <v>월드컵이지움</v>
      </c>
      <c r="AI29" s="86">
        <f t="shared" si="0"/>
        <v>27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X</v>
      </c>
      <c r="AV29" s="78" t="str">
        <f>IF(AO29="","",IF(AND(AO29="O",AP29="O",AR29="O",AT29="O",AU29="O"),"후보","X"))</f>
        <v/>
      </c>
    </row>
    <row r="30" spans="1:48" x14ac:dyDescent="0.3">
      <c r="A30" s="9"/>
      <c r="B30" s="78"/>
      <c r="C30" s="6"/>
      <c r="D30" s="9"/>
      <c r="E30" s="14"/>
      <c r="F30" s="85"/>
      <c r="G30" s="9"/>
      <c r="H30" s="9"/>
      <c r="I30" s="9"/>
      <c r="J30" s="9"/>
      <c r="K30" s="9"/>
      <c r="L30" s="9"/>
      <c r="M30" s="9"/>
      <c r="N30" s="9"/>
      <c r="O30" s="90"/>
      <c r="P30" s="90"/>
      <c r="Q30" s="86"/>
      <c r="R30" s="86"/>
      <c r="S30" s="9"/>
      <c r="T30" s="47"/>
      <c r="U30" s="9"/>
      <c r="W30" s="67" t="str">
        <f>$A$4&amp;" "&amp;A31&amp;"("&amp;B31&amp;","&amp;C31&amp;"^)"</f>
        <v>반월동 삼오('96.02.,418^)</v>
      </c>
      <c r="X30" s="68"/>
      <c r="Y30" s="68"/>
      <c r="Z30" s="68"/>
      <c r="AA30" s="68"/>
      <c r="AB30" s="68"/>
      <c r="AC30" s="68"/>
      <c r="AD30" s="68"/>
      <c r="AE30" s="68"/>
      <c r="AF30" s="69"/>
      <c r="AH30" s="20" t="str">
        <f t="shared" si="1"/>
        <v/>
      </c>
      <c r="AI30" s="108" t="str">
        <f t="shared" si="0"/>
        <v/>
      </c>
      <c r="AJ30" s="78"/>
      <c r="AK30" s="78"/>
      <c r="AL30" s="78"/>
      <c r="AM30" s="78"/>
      <c r="AN30" s="78"/>
      <c r="AO30" s="78"/>
      <c r="AP30" s="78"/>
      <c r="AQ30" s="78"/>
      <c r="AR30" s="78"/>
      <c r="AS30" s="78"/>
      <c r="AT30" s="78"/>
      <c r="AU30" s="78"/>
      <c r="AV30" s="78"/>
    </row>
    <row r="31" spans="1:48" x14ac:dyDescent="0.3">
      <c r="A31" s="9" t="s">
        <v>617</v>
      </c>
      <c r="B31" s="10" t="s">
        <v>1554</v>
      </c>
      <c r="C31" s="87">
        <v>418</v>
      </c>
      <c r="D31" s="85">
        <v>76.099999999999994</v>
      </c>
      <c r="E31" s="86">
        <v>23</v>
      </c>
      <c r="F31" s="85">
        <v>60</v>
      </c>
      <c r="G31" s="17">
        <v>18</v>
      </c>
      <c r="H31" s="87">
        <v>190</v>
      </c>
      <c r="I31" s="88">
        <v>9500</v>
      </c>
      <c r="J31" s="88" t="s">
        <v>93</v>
      </c>
      <c r="K31" s="88"/>
      <c r="L31" s="88"/>
      <c r="M31" s="89">
        <f>I31-K31</f>
        <v>9500</v>
      </c>
      <c r="N31" s="4">
        <f>IF(ISERROR(K31/I31),"",K31/I31)</f>
        <v>0</v>
      </c>
      <c r="O31" s="90">
        <f>I31/E31</f>
        <v>413.04347826086956</v>
      </c>
      <c r="P31" s="90">
        <f>K31/E31</f>
        <v>0</v>
      </c>
      <c r="Q31" s="78">
        <v>3</v>
      </c>
      <c r="R31" s="78">
        <v>1</v>
      </c>
      <c r="S31" s="78" t="s">
        <v>59</v>
      </c>
      <c r="T31" s="5">
        <v>76</v>
      </c>
      <c r="U31" s="9"/>
      <c r="W31" s="85">
        <f t="shared" ref="W31:X33" si="15">D31</f>
        <v>76.099999999999994</v>
      </c>
      <c r="X31" s="86">
        <f t="shared" si="15"/>
        <v>23</v>
      </c>
      <c r="Y31" s="91">
        <f t="shared" ref="Y31:Z33" si="16">H31</f>
        <v>190</v>
      </c>
      <c r="Z31" s="89">
        <f t="shared" si="16"/>
        <v>9500</v>
      </c>
      <c r="AA31" s="89">
        <f>K31</f>
        <v>0</v>
      </c>
      <c r="AB31" s="89">
        <f t="shared" ref="AB31:AD33" si="17">M31</f>
        <v>9500</v>
      </c>
      <c r="AC31" s="4">
        <f t="shared" si="17"/>
        <v>0</v>
      </c>
      <c r="AD31" s="90">
        <f t="shared" si="17"/>
        <v>413.04347826086956</v>
      </c>
      <c r="AE31" s="78" t="str">
        <f>S31</f>
        <v>계</v>
      </c>
      <c r="AF31" s="78" t="str">
        <f>Q31&amp;"/"&amp;R31</f>
        <v>3/1</v>
      </c>
      <c r="AH31" s="20" t="str">
        <f t="shared" si="1"/>
        <v>삼오</v>
      </c>
      <c r="AI31" s="86">
        <f t="shared" si="0"/>
        <v>23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O</v>
      </c>
      <c r="AQ31" s="78" t="str">
        <f>IF(O31="","",IF(O31&lt;=$AQ$1,"O","X"))</f>
        <v>O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O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617</v>
      </c>
      <c r="B32" s="10" t="s">
        <v>1554</v>
      </c>
      <c r="C32" s="87">
        <v>418</v>
      </c>
      <c r="D32" s="85">
        <v>107.3</v>
      </c>
      <c r="E32" s="86">
        <v>32</v>
      </c>
      <c r="F32" s="85">
        <v>84.5</v>
      </c>
      <c r="G32" s="17">
        <v>26</v>
      </c>
      <c r="H32" s="87">
        <v>204</v>
      </c>
      <c r="I32" s="88">
        <v>14000</v>
      </c>
      <c r="J32" s="88" t="s">
        <v>107</v>
      </c>
      <c r="K32" s="88">
        <v>17000</v>
      </c>
      <c r="L32" s="88" t="s">
        <v>68</v>
      </c>
      <c r="M32" s="89">
        <f>I32-K32</f>
        <v>-3000</v>
      </c>
      <c r="N32" s="4">
        <f>IF(ISERROR(K32/I32),"",K32/I32)</f>
        <v>1.2142857142857142</v>
      </c>
      <c r="O32" s="90">
        <f>I32/E32</f>
        <v>437.5</v>
      </c>
      <c r="P32" s="90">
        <f>K32/E32</f>
        <v>531.25</v>
      </c>
      <c r="Q32" s="78">
        <v>3</v>
      </c>
      <c r="R32" s="78">
        <v>2</v>
      </c>
      <c r="S32" s="78" t="s">
        <v>59</v>
      </c>
      <c r="T32" s="5">
        <v>107</v>
      </c>
      <c r="U32" s="9"/>
      <c r="W32" s="85">
        <f t="shared" si="15"/>
        <v>107.3</v>
      </c>
      <c r="X32" s="86">
        <f t="shared" si="15"/>
        <v>32</v>
      </c>
      <c r="Y32" s="91">
        <f t="shared" si="16"/>
        <v>204</v>
      </c>
      <c r="Z32" s="89">
        <f t="shared" si="16"/>
        <v>14000</v>
      </c>
      <c r="AA32" s="89">
        <f>K32</f>
        <v>17000</v>
      </c>
      <c r="AB32" s="89">
        <f t="shared" si="17"/>
        <v>-3000</v>
      </c>
      <c r="AC32" s="4">
        <f t="shared" si="17"/>
        <v>1.2142857142857142</v>
      </c>
      <c r="AD32" s="90">
        <f t="shared" si="17"/>
        <v>437.5</v>
      </c>
      <c r="AE32" s="78" t="str">
        <f>S32</f>
        <v>계</v>
      </c>
      <c r="AF32" s="78" t="str">
        <f>Q32&amp;"/"&amp;R32</f>
        <v>3/2</v>
      </c>
      <c r="AH32" s="20" t="str">
        <f t="shared" si="1"/>
        <v>삼오</v>
      </c>
      <c r="AI32" s="86">
        <f t="shared" si="0"/>
        <v>32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O</v>
      </c>
      <c r="AP32" s="78" t="str">
        <f>IF(I32="","",IF(I32&lt;=$AP$1,"O","X"))</f>
        <v>O</v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후보</v>
      </c>
    </row>
    <row r="33" spans="1:48" x14ac:dyDescent="0.3">
      <c r="A33" s="9" t="s">
        <v>617</v>
      </c>
      <c r="B33" s="10" t="s">
        <v>1554</v>
      </c>
      <c r="C33" s="87">
        <v>418</v>
      </c>
      <c r="D33" s="85">
        <v>161.30000000000001</v>
      </c>
      <c r="E33" s="86">
        <v>49</v>
      </c>
      <c r="F33" s="85">
        <v>127</v>
      </c>
      <c r="G33" s="17">
        <v>38</v>
      </c>
      <c r="H33" s="87">
        <v>24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4</v>
      </c>
      <c r="R33" s="78">
        <v>2</v>
      </c>
      <c r="S33" s="78" t="s">
        <v>59</v>
      </c>
      <c r="T33" s="5">
        <v>161</v>
      </c>
      <c r="U33" s="9"/>
      <c r="W33" s="85">
        <f t="shared" si="15"/>
        <v>161.30000000000001</v>
      </c>
      <c r="X33" s="86">
        <f t="shared" si="15"/>
        <v>49</v>
      </c>
      <c r="Y33" s="91">
        <f t="shared" si="16"/>
        <v>24</v>
      </c>
      <c r="Z33" s="89">
        <f t="shared" si="16"/>
        <v>0</v>
      </c>
      <c r="AA33" s="89">
        <f>K33</f>
        <v>0</v>
      </c>
      <c r="AB33" s="89">
        <f t="shared" si="17"/>
        <v>0</v>
      </c>
      <c r="AC33" s="4" t="str">
        <f t="shared" si="17"/>
        <v/>
      </c>
      <c r="AD33" s="90">
        <f t="shared" si="17"/>
        <v>0</v>
      </c>
      <c r="AE33" s="78" t="str">
        <f>S33</f>
        <v>계</v>
      </c>
      <c r="AF33" s="78" t="str">
        <f>Q33&amp;"/"&amp;R33</f>
        <v>4/2</v>
      </c>
      <c r="AH33" s="20" t="str">
        <f t="shared" si="1"/>
        <v>삼오</v>
      </c>
      <c r="AI33" s="86">
        <f t="shared" si="0"/>
        <v>49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/>
      </c>
    </row>
  </sheetData>
  <mergeCells count="1">
    <mergeCell ref="AJ1:AN1"/>
  </mergeCells>
  <phoneticPr fontId="2" type="noConversion"/>
  <conditionalFormatting sqref="AV4:AV6">
    <cfRule type="expression" dxfId="8347" priority="435">
      <formula>AV4="X"</formula>
    </cfRule>
    <cfRule type="expression" dxfId="8346" priority="436">
      <formula>AV4="후보"</formula>
    </cfRule>
  </conditionalFormatting>
  <conditionalFormatting sqref="AC1:AC2 AC4:AC6 N4:N5">
    <cfRule type="cellIs" dxfId="8345" priority="432" operator="greaterThan">
      <formula>0.9</formula>
    </cfRule>
    <cfRule type="cellIs" dxfId="8344" priority="433" operator="greaterThan">
      <formula>0.85</formula>
    </cfRule>
  </conditionalFormatting>
  <conditionalFormatting sqref="N1:N2">
    <cfRule type="cellIs" dxfId="8343" priority="430" operator="greaterThan">
      <formula>0.9</formula>
    </cfRule>
    <cfRule type="cellIs" dxfId="8342" priority="431" operator="greaterThan">
      <formula>0.85</formula>
    </cfRule>
  </conditionalFormatting>
  <conditionalFormatting sqref="N6">
    <cfRule type="cellIs" dxfId="8341" priority="428" operator="greaterThan">
      <formula>0.9</formula>
    </cfRule>
    <cfRule type="cellIs" dxfId="8340" priority="429" operator="greaterThan">
      <formula>0.85</formula>
    </cfRule>
  </conditionalFormatting>
  <conditionalFormatting sqref="E6">
    <cfRule type="expression" dxfId="8339" priority="424">
      <formula>AND(IF(OR($Q6=1,$Q6=2),1,0),IF($X6&lt;=20,1,0))</formula>
    </cfRule>
    <cfRule type="expression" dxfId="8338" priority="425">
      <formula>AND(IF($Q6=2,1,0),IF($X6&lt;30,1,0))</formula>
    </cfRule>
    <cfRule type="expression" dxfId="8337" priority="426">
      <formula>AND(IF($Q6=3,1,0),IF($X6&lt;30,1,0))</formula>
    </cfRule>
    <cfRule type="expression" dxfId="8336" priority="427">
      <formula>AND(IF($Q6=3,1,IF($Q6=4,1,0)),IF($F6&lt;=85,1,0))</formula>
    </cfRule>
  </conditionalFormatting>
  <conditionalFormatting sqref="X6">
    <cfRule type="expression" dxfId="8335" priority="420">
      <formula>AND(IF(OR($Q6=1,$Q6=2),1,0),IF($X6&lt;=20,1,0))</formula>
    </cfRule>
    <cfRule type="expression" dxfId="8334" priority="421">
      <formula>AND(IF($Q6=2,1,0),IF($X6&lt;30,1,0))</formula>
    </cfRule>
    <cfRule type="expression" dxfId="8333" priority="422">
      <formula>AND(IF($Q6=3,1,0),IF($X6&lt;30,1,0))</formula>
    </cfRule>
    <cfRule type="expression" dxfId="8332" priority="423">
      <formula>AND(IF($Q6=3,1,IF($Q6=4,1,0)),IF($F6&lt;=85,1,0))</formula>
    </cfRule>
  </conditionalFormatting>
  <conditionalFormatting sqref="AI6">
    <cfRule type="expression" dxfId="8331" priority="416">
      <formula>AND(IF(OR($Q6=1,$Q6=2),1,0),IF($X6&lt;=20,1,0))</formula>
    </cfRule>
    <cfRule type="expression" dxfId="8330" priority="417">
      <formula>AND(IF($Q6=2,1,0),IF($X6&lt;30,1,0))</formula>
    </cfRule>
    <cfRule type="expression" dxfId="8329" priority="418">
      <formula>AND(IF($Q6=3,1,0),IF($X6&lt;30,1,0))</formula>
    </cfRule>
    <cfRule type="expression" dxfId="8328" priority="419">
      <formula>AND(IF($Q6=3,1,IF($Q6=4,1,0)),IF($F6&lt;=85,1,0))</formula>
    </cfRule>
  </conditionalFormatting>
  <conditionalFormatting sqref="AV7">
    <cfRule type="expression" dxfId="8327" priority="414">
      <formula>AV7="X"</formula>
    </cfRule>
    <cfRule type="expression" dxfId="8326" priority="415">
      <formula>AV7="후보"</formula>
    </cfRule>
  </conditionalFormatting>
  <conditionalFormatting sqref="AC7">
    <cfRule type="cellIs" dxfId="8325" priority="411" operator="greaterThan">
      <formula>0.9</formula>
    </cfRule>
    <cfRule type="cellIs" dxfId="8324" priority="412" operator="greaterThan">
      <formula>0.85</formula>
    </cfRule>
  </conditionalFormatting>
  <conditionalFormatting sqref="N7">
    <cfRule type="cellIs" dxfId="8323" priority="409" operator="greaterThan">
      <formula>0.9</formula>
    </cfRule>
    <cfRule type="cellIs" dxfId="8322" priority="410" operator="greaterThan">
      <formula>0.85</formula>
    </cfRule>
  </conditionalFormatting>
  <conditionalFormatting sqref="E7">
    <cfRule type="expression" dxfId="8321" priority="405">
      <formula>AND(IF(OR($Q7=1,$Q7=2),1,0),IF($X7&lt;=20,1,0))</formula>
    </cfRule>
    <cfRule type="expression" dxfId="8320" priority="406">
      <formula>AND(IF($Q7=2,1,0),IF($X7&lt;30,1,0))</formula>
    </cfRule>
    <cfRule type="expression" dxfId="8319" priority="407">
      <formula>AND(IF($Q7=3,1,0),IF($X7&lt;30,1,0))</formula>
    </cfRule>
    <cfRule type="expression" dxfId="8318" priority="408">
      <formula>AND(IF($Q7=3,1,IF($Q7=4,1,0)),IF($F7&lt;=85,1,0))</formula>
    </cfRule>
  </conditionalFormatting>
  <conditionalFormatting sqref="X7">
    <cfRule type="expression" dxfId="8317" priority="401">
      <formula>AND(IF(OR($Q7=1,$Q7=2),1,0),IF($X7&lt;=20,1,0))</formula>
    </cfRule>
    <cfRule type="expression" dxfId="8316" priority="402">
      <formula>AND(IF($Q7=2,1,0),IF($X7&lt;30,1,0))</formula>
    </cfRule>
    <cfRule type="expression" dxfId="8315" priority="403">
      <formula>AND(IF($Q7=3,1,0),IF($X7&lt;30,1,0))</formula>
    </cfRule>
    <cfRule type="expression" dxfId="8314" priority="404">
      <formula>AND(IF($Q7=3,1,IF($Q7=4,1,0)),IF($F7&lt;=85,1,0))</formula>
    </cfRule>
  </conditionalFormatting>
  <conditionalFormatting sqref="AI7">
    <cfRule type="expression" dxfId="8313" priority="397">
      <formula>AND(IF(OR($Q7=1,$Q7=2),1,0),IF($X7&lt;=20,1,0))</formula>
    </cfRule>
    <cfRule type="expression" dxfId="8312" priority="398">
      <formula>AND(IF($Q7=2,1,0),IF($X7&lt;30,1,0))</formula>
    </cfRule>
    <cfRule type="expression" dxfId="8311" priority="399">
      <formula>AND(IF($Q7=3,1,0),IF($X7&lt;30,1,0))</formula>
    </cfRule>
    <cfRule type="expression" dxfId="8310" priority="400">
      <formula>AND(IF($Q7=3,1,IF($Q7=4,1,0)),IF($F7&lt;=85,1,0))</formula>
    </cfRule>
  </conditionalFormatting>
  <conditionalFormatting sqref="AV8">
    <cfRule type="expression" dxfId="8309" priority="395">
      <formula>AV8="X"</formula>
    </cfRule>
    <cfRule type="expression" dxfId="8308" priority="396">
      <formula>AV8="후보"</formula>
    </cfRule>
  </conditionalFormatting>
  <conditionalFormatting sqref="AC8 N8">
    <cfRule type="cellIs" dxfId="8307" priority="392" operator="greaterThan">
      <formula>0.9</formula>
    </cfRule>
    <cfRule type="cellIs" dxfId="8306" priority="393" operator="greaterThan">
      <formula>0.85</formula>
    </cfRule>
  </conditionalFormatting>
  <conditionalFormatting sqref="AV9">
    <cfRule type="expression" dxfId="8305" priority="390">
      <formula>AV9="X"</formula>
    </cfRule>
    <cfRule type="expression" dxfId="8304" priority="391">
      <formula>AV9="후보"</formula>
    </cfRule>
  </conditionalFormatting>
  <conditionalFormatting sqref="AC9">
    <cfRule type="cellIs" dxfId="8303" priority="387" operator="greaterThan">
      <formula>0.9</formula>
    </cfRule>
    <cfRule type="cellIs" dxfId="8302" priority="388" operator="greaterThan">
      <formula>0.85</formula>
    </cfRule>
  </conditionalFormatting>
  <conditionalFormatting sqref="N9">
    <cfRule type="cellIs" dxfId="8301" priority="385" operator="greaterThan">
      <formula>0.9</formula>
    </cfRule>
    <cfRule type="cellIs" dxfId="8300" priority="386" operator="greaterThan">
      <formula>0.85</formula>
    </cfRule>
  </conditionalFormatting>
  <conditionalFormatting sqref="E9">
    <cfRule type="expression" dxfId="8299" priority="381">
      <formula>AND(IF(OR($Q9=1,$Q9=2),1,0),IF($X9&lt;=20,1,0))</formula>
    </cfRule>
    <cfRule type="expression" dxfId="8298" priority="382">
      <formula>AND(IF($Q9=2,1,0),IF($X9&lt;30,1,0))</formula>
    </cfRule>
    <cfRule type="expression" dxfId="8297" priority="383">
      <formula>AND(IF($Q9=3,1,0),IF($X9&lt;30,1,0))</formula>
    </cfRule>
    <cfRule type="expression" dxfId="8296" priority="384">
      <formula>AND(IF($Q9=3,1,IF($Q9=4,1,0)),IF($F9&lt;=85,1,0))</formula>
    </cfRule>
  </conditionalFormatting>
  <conditionalFormatting sqref="X9">
    <cfRule type="expression" dxfId="8295" priority="377">
      <formula>AND(IF(OR($Q9=1,$Q9=2),1,0),IF($X9&lt;=20,1,0))</formula>
    </cfRule>
    <cfRule type="expression" dxfId="8294" priority="378">
      <formula>AND(IF($Q9=2,1,0),IF($X9&lt;30,1,0))</formula>
    </cfRule>
    <cfRule type="expression" dxfId="8293" priority="379">
      <formula>AND(IF($Q9=3,1,0),IF($X9&lt;30,1,0))</formula>
    </cfRule>
    <cfRule type="expression" dxfId="8292" priority="380">
      <formula>AND(IF($Q9=3,1,IF($Q9=4,1,0)),IF($F9&lt;=85,1,0))</formula>
    </cfRule>
  </conditionalFormatting>
  <conditionalFormatting sqref="AI9">
    <cfRule type="expression" dxfId="8291" priority="373">
      <formula>AND(IF(OR($Q9=1,$Q9=2),1,0),IF($X9&lt;=20,1,0))</formula>
    </cfRule>
    <cfRule type="expression" dxfId="8290" priority="374">
      <formula>AND(IF($Q9=2,1,0),IF($X9&lt;30,1,0))</formula>
    </cfRule>
    <cfRule type="expression" dxfId="8289" priority="375">
      <formula>AND(IF($Q9=3,1,0),IF($X9&lt;30,1,0))</formula>
    </cfRule>
    <cfRule type="expression" dxfId="8288" priority="376">
      <formula>AND(IF($Q9=3,1,IF($Q9=4,1,0)),IF($F9&lt;=85,1,0))</formula>
    </cfRule>
  </conditionalFormatting>
  <conditionalFormatting sqref="AV10">
    <cfRule type="expression" dxfId="8287" priority="371">
      <formula>AV10="X"</formula>
    </cfRule>
    <cfRule type="expression" dxfId="8286" priority="372">
      <formula>AV10="후보"</formula>
    </cfRule>
  </conditionalFormatting>
  <conditionalFormatting sqref="AC10">
    <cfRule type="cellIs" dxfId="8285" priority="368" operator="greaterThan">
      <formula>0.9</formula>
    </cfRule>
    <cfRule type="cellIs" dxfId="8284" priority="369" operator="greaterThan">
      <formula>0.85</formula>
    </cfRule>
  </conditionalFormatting>
  <conditionalFormatting sqref="N10">
    <cfRule type="cellIs" dxfId="8283" priority="366" operator="greaterThan">
      <formula>0.9</formula>
    </cfRule>
    <cfRule type="cellIs" dxfId="8282" priority="367" operator="greaterThan">
      <formula>0.85</formula>
    </cfRule>
  </conditionalFormatting>
  <conditionalFormatting sqref="E10">
    <cfRule type="expression" dxfId="8281" priority="362">
      <formula>AND(IF(OR($Q10=1,$Q10=2),1,0),IF($X10&lt;=20,1,0))</formula>
    </cfRule>
    <cfRule type="expression" dxfId="8280" priority="363">
      <formula>AND(IF($Q10=2,1,0),IF($X10&lt;30,1,0))</formula>
    </cfRule>
    <cfRule type="expression" dxfId="8279" priority="364">
      <formula>AND(IF($Q10=3,1,0),IF($X10&lt;30,1,0))</formula>
    </cfRule>
    <cfRule type="expression" dxfId="8278" priority="365">
      <formula>AND(IF($Q10=3,1,IF($Q10=4,1,0)),IF($F10&lt;=85,1,0))</formula>
    </cfRule>
  </conditionalFormatting>
  <conditionalFormatting sqref="X10">
    <cfRule type="expression" dxfId="8277" priority="358">
      <formula>AND(IF(OR($Q10=1,$Q10=2),1,0),IF($X10&lt;=20,1,0))</formula>
    </cfRule>
    <cfRule type="expression" dxfId="8276" priority="359">
      <formula>AND(IF($Q10=2,1,0),IF($X10&lt;30,1,0))</formula>
    </cfRule>
    <cfRule type="expression" dxfId="8275" priority="360">
      <formula>AND(IF($Q10=3,1,0),IF($X10&lt;30,1,0))</formula>
    </cfRule>
    <cfRule type="expression" dxfId="8274" priority="361">
      <formula>AND(IF($Q10=3,1,IF($Q10=4,1,0)),IF($F10&lt;=85,1,0))</formula>
    </cfRule>
  </conditionalFormatting>
  <conditionalFormatting sqref="AI10">
    <cfRule type="expression" dxfId="8273" priority="354">
      <formula>AND(IF(OR($Q10=1,$Q10=2),1,0),IF($X10&lt;=20,1,0))</formula>
    </cfRule>
    <cfRule type="expression" dxfId="8272" priority="355">
      <formula>AND(IF($Q10=2,1,0),IF($X10&lt;30,1,0))</formula>
    </cfRule>
    <cfRule type="expression" dxfId="8271" priority="356">
      <formula>AND(IF($Q10=3,1,0),IF($X10&lt;30,1,0))</formula>
    </cfRule>
    <cfRule type="expression" dxfId="8270" priority="357">
      <formula>AND(IF($Q10=3,1,IF($Q10=4,1,0)),IF($F10&lt;=85,1,0))</formula>
    </cfRule>
  </conditionalFormatting>
  <conditionalFormatting sqref="AV11">
    <cfRule type="expression" dxfId="8269" priority="352">
      <formula>AV11="X"</formula>
    </cfRule>
    <cfRule type="expression" dxfId="8268" priority="353">
      <formula>AV11="후보"</formula>
    </cfRule>
  </conditionalFormatting>
  <conditionalFormatting sqref="AC11">
    <cfRule type="cellIs" dxfId="8267" priority="349" operator="greaterThan">
      <formula>0.9</formula>
    </cfRule>
    <cfRule type="cellIs" dxfId="8266" priority="350" operator="greaterThan">
      <formula>0.85</formula>
    </cfRule>
  </conditionalFormatting>
  <conditionalFormatting sqref="N11">
    <cfRule type="cellIs" dxfId="8265" priority="347" operator="greaterThan">
      <formula>0.9</formula>
    </cfRule>
    <cfRule type="cellIs" dxfId="8264" priority="348" operator="greaterThan">
      <formula>0.85</formula>
    </cfRule>
  </conditionalFormatting>
  <conditionalFormatting sqref="E11">
    <cfRule type="expression" dxfId="8263" priority="343">
      <formula>AND(IF(OR($Q11=1,$Q11=2),1,0),IF($X11&lt;=20,1,0))</formula>
    </cfRule>
    <cfRule type="expression" dxfId="8262" priority="344">
      <formula>AND(IF($Q11=2,1,0),IF($X11&lt;30,1,0))</formula>
    </cfRule>
    <cfRule type="expression" dxfId="8261" priority="345">
      <formula>AND(IF($Q11=3,1,0),IF($X11&lt;30,1,0))</formula>
    </cfRule>
    <cfRule type="expression" dxfId="8260" priority="346">
      <formula>AND(IF($Q11=3,1,IF($Q11=4,1,0)),IF($F11&lt;=85,1,0))</formula>
    </cfRule>
  </conditionalFormatting>
  <conditionalFormatting sqref="X11">
    <cfRule type="expression" dxfId="8259" priority="339">
      <formula>AND(IF(OR($Q11=1,$Q11=2),1,0),IF($X11&lt;=20,1,0))</formula>
    </cfRule>
    <cfRule type="expression" dxfId="8258" priority="340">
      <formula>AND(IF($Q11=2,1,0),IF($X11&lt;30,1,0))</formula>
    </cfRule>
    <cfRule type="expression" dxfId="8257" priority="341">
      <formula>AND(IF($Q11=3,1,0),IF($X11&lt;30,1,0))</formula>
    </cfRule>
    <cfRule type="expression" dxfId="8256" priority="342">
      <formula>AND(IF($Q11=3,1,IF($Q11=4,1,0)),IF($F11&lt;=85,1,0))</formula>
    </cfRule>
  </conditionalFormatting>
  <conditionalFormatting sqref="AI11">
    <cfRule type="expression" dxfId="8255" priority="335">
      <formula>AND(IF(OR($Q11=1,$Q11=2),1,0),IF($X11&lt;=20,1,0))</formula>
    </cfRule>
    <cfRule type="expression" dxfId="8254" priority="336">
      <formula>AND(IF($Q11=2,1,0),IF($X11&lt;30,1,0))</formula>
    </cfRule>
    <cfRule type="expression" dxfId="8253" priority="337">
      <formula>AND(IF($Q11=3,1,0),IF($X11&lt;30,1,0))</formula>
    </cfRule>
    <cfRule type="expression" dxfId="8252" priority="338">
      <formula>AND(IF($Q11=3,1,IF($Q11=4,1,0)),IF($F11&lt;=85,1,0))</formula>
    </cfRule>
  </conditionalFormatting>
  <conditionalFormatting sqref="AV12">
    <cfRule type="expression" dxfId="8251" priority="333">
      <formula>AV12="X"</formula>
    </cfRule>
    <cfRule type="expression" dxfId="8250" priority="334">
      <formula>AV12="후보"</formula>
    </cfRule>
  </conditionalFormatting>
  <conditionalFormatting sqref="AC12">
    <cfRule type="cellIs" dxfId="8249" priority="330" operator="greaterThan">
      <formula>0.9</formula>
    </cfRule>
    <cfRule type="cellIs" dxfId="8248" priority="331" operator="greaterThan">
      <formula>0.85</formula>
    </cfRule>
  </conditionalFormatting>
  <conditionalFormatting sqref="N12">
    <cfRule type="cellIs" dxfId="8247" priority="328" operator="greaterThan">
      <formula>0.9</formula>
    </cfRule>
    <cfRule type="cellIs" dxfId="8246" priority="329" operator="greaterThan">
      <formula>0.85</formula>
    </cfRule>
  </conditionalFormatting>
  <conditionalFormatting sqref="E12">
    <cfRule type="expression" dxfId="8245" priority="324">
      <formula>AND(IF(OR($Q12=1,$Q12=2),1,0),IF($X12&lt;=20,1,0))</formula>
    </cfRule>
    <cfRule type="expression" dxfId="8244" priority="325">
      <formula>AND(IF($Q12=2,1,0),IF($X12&lt;30,1,0))</formula>
    </cfRule>
    <cfRule type="expression" dxfId="8243" priority="326">
      <formula>AND(IF($Q12=3,1,0),IF($X12&lt;30,1,0))</formula>
    </cfRule>
    <cfRule type="expression" dxfId="8242" priority="327">
      <formula>AND(IF($Q12=3,1,IF($Q12=4,1,0)),IF($F12&lt;=85,1,0))</formula>
    </cfRule>
  </conditionalFormatting>
  <conditionalFormatting sqref="X12">
    <cfRule type="expression" dxfId="8241" priority="320">
      <formula>AND(IF(OR($Q12=1,$Q12=2),1,0),IF($X12&lt;=20,1,0))</formula>
    </cfRule>
    <cfRule type="expression" dxfId="8240" priority="321">
      <formula>AND(IF($Q12=2,1,0),IF($X12&lt;30,1,0))</formula>
    </cfRule>
    <cfRule type="expression" dxfId="8239" priority="322">
      <formula>AND(IF($Q12=3,1,0),IF($X12&lt;30,1,0))</formula>
    </cfRule>
    <cfRule type="expression" dxfId="8238" priority="323">
      <formula>AND(IF($Q12=3,1,IF($Q12=4,1,0)),IF($F12&lt;=85,1,0))</formula>
    </cfRule>
  </conditionalFormatting>
  <conditionalFormatting sqref="AI12">
    <cfRule type="expression" dxfId="8237" priority="316">
      <formula>AND(IF(OR($Q12=1,$Q12=2),1,0),IF($X12&lt;=20,1,0))</formula>
    </cfRule>
    <cfRule type="expression" dxfId="8236" priority="317">
      <formula>AND(IF($Q12=2,1,0),IF($X12&lt;30,1,0))</formula>
    </cfRule>
    <cfRule type="expression" dxfId="8235" priority="318">
      <formula>AND(IF($Q12=3,1,0),IF($X12&lt;30,1,0))</formula>
    </cfRule>
    <cfRule type="expression" dxfId="8234" priority="319">
      <formula>AND(IF($Q12=3,1,IF($Q12=4,1,0)),IF($F12&lt;=85,1,0))</formula>
    </cfRule>
  </conditionalFormatting>
  <conditionalFormatting sqref="AV13">
    <cfRule type="expression" dxfId="8233" priority="314">
      <formula>AV13="X"</formula>
    </cfRule>
    <cfRule type="expression" dxfId="8232" priority="315">
      <formula>AV13="후보"</formula>
    </cfRule>
  </conditionalFormatting>
  <conditionalFormatting sqref="AC13 N13">
    <cfRule type="cellIs" dxfId="8231" priority="311" operator="greaterThan">
      <formula>0.9</formula>
    </cfRule>
    <cfRule type="cellIs" dxfId="8230" priority="312" operator="greaterThan">
      <formula>0.85</formula>
    </cfRule>
  </conditionalFormatting>
  <conditionalFormatting sqref="AV14">
    <cfRule type="expression" dxfId="8229" priority="309">
      <formula>AV14="X"</formula>
    </cfRule>
    <cfRule type="expression" dxfId="8228" priority="310">
      <formula>AV14="후보"</formula>
    </cfRule>
  </conditionalFormatting>
  <conditionalFormatting sqref="AC14">
    <cfRule type="cellIs" dxfId="8227" priority="306" operator="greaterThan">
      <formula>0.9</formula>
    </cfRule>
    <cfRule type="cellIs" dxfId="8226" priority="307" operator="greaterThan">
      <formula>0.85</formula>
    </cfRule>
  </conditionalFormatting>
  <conditionalFormatting sqref="N14">
    <cfRule type="cellIs" dxfId="8225" priority="304" operator="greaterThan">
      <formula>0.9</formula>
    </cfRule>
    <cfRule type="cellIs" dxfId="8224" priority="305" operator="greaterThan">
      <formula>0.85</formula>
    </cfRule>
  </conditionalFormatting>
  <conditionalFormatting sqref="E14">
    <cfRule type="expression" dxfId="8223" priority="300">
      <formula>AND(IF(OR($Q14=1,$Q14=2),1,0),IF($X14&lt;=20,1,0))</formula>
    </cfRule>
    <cfRule type="expression" dxfId="8222" priority="301">
      <formula>AND(IF($Q14=2,1,0),IF($X14&lt;30,1,0))</formula>
    </cfRule>
    <cfRule type="expression" dxfId="8221" priority="302">
      <formula>AND(IF($Q14=3,1,0),IF($X14&lt;30,1,0))</formula>
    </cfRule>
    <cfRule type="expression" dxfId="8220" priority="303">
      <formula>AND(IF($Q14=3,1,IF($Q14=4,1,0)),IF($F14&lt;=85,1,0))</formula>
    </cfRule>
  </conditionalFormatting>
  <conditionalFormatting sqref="X14">
    <cfRule type="expression" dxfId="8219" priority="296">
      <formula>AND(IF(OR($Q14=1,$Q14=2),1,0),IF($X14&lt;=20,1,0))</formula>
    </cfRule>
    <cfRule type="expression" dxfId="8218" priority="297">
      <formula>AND(IF($Q14=2,1,0),IF($X14&lt;30,1,0))</formula>
    </cfRule>
    <cfRule type="expression" dxfId="8217" priority="298">
      <formula>AND(IF($Q14=3,1,0),IF($X14&lt;30,1,0))</formula>
    </cfRule>
    <cfRule type="expression" dxfId="8216" priority="299">
      <formula>AND(IF($Q14=3,1,IF($Q14=4,1,0)),IF($F14&lt;=85,1,0))</formula>
    </cfRule>
  </conditionalFormatting>
  <conditionalFormatting sqref="AI14">
    <cfRule type="expression" dxfId="8215" priority="292">
      <formula>AND(IF(OR($Q14=1,$Q14=2),1,0),IF($X14&lt;=20,1,0))</formula>
    </cfRule>
    <cfRule type="expression" dxfId="8214" priority="293">
      <formula>AND(IF($Q14=2,1,0),IF($X14&lt;30,1,0))</formula>
    </cfRule>
    <cfRule type="expression" dxfId="8213" priority="294">
      <formula>AND(IF($Q14=3,1,0),IF($X14&lt;30,1,0))</formula>
    </cfRule>
    <cfRule type="expression" dxfId="8212" priority="295">
      <formula>AND(IF($Q14=3,1,IF($Q14=4,1,0)),IF($F14&lt;=85,1,0))</formula>
    </cfRule>
  </conditionalFormatting>
  <conditionalFormatting sqref="AV15">
    <cfRule type="expression" dxfId="8211" priority="290">
      <formula>AV15="X"</formula>
    </cfRule>
    <cfRule type="expression" dxfId="8210" priority="291">
      <formula>AV15="후보"</formula>
    </cfRule>
  </conditionalFormatting>
  <conditionalFormatting sqref="AC15 N15">
    <cfRule type="cellIs" dxfId="8209" priority="287" operator="greaterThan">
      <formula>0.9</formula>
    </cfRule>
    <cfRule type="cellIs" dxfId="8208" priority="288" operator="greaterThan">
      <formula>0.85</formula>
    </cfRule>
  </conditionalFormatting>
  <conditionalFormatting sqref="AV16">
    <cfRule type="expression" dxfId="8207" priority="285">
      <formula>AV16="X"</formula>
    </cfRule>
    <cfRule type="expression" dxfId="8206" priority="286">
      <formula>AV16="후보"</formula>
    </cfRule>
  </conditionalFormatting>
  <conditionalFormatting sqref="AC16">
    <cfRule type="cellIs" dxfId="8205" priority="282" operator="greaterThan">
      <formula>0.9</formula>
    </cfRule>
    <cfRule type="cellIs" dxfId="8204" priority="283" operator="greaterThan">
      <formula>0.85</formula>
    </cfRule>
  </conditionalFormatting>
  <conditionalFormatting sqref="N16">
    <cfRule type="cellIs" dxfId="8203" priority="280" operator="greaterThan">
      <formula>0.9</formula>
    </cfRule>
    <cfRule type="cellIs" dxfId="8202" priority="281" operator="greaterThan">
      <formula>0.85</formula>
    </cfRule>
  </conditionalFormatting>
  <conditionalFormatting sqref="E16">
    <cfRule type="expression" dxfId="8201" priority="276">
      <formula>AND(IF(OR($Q16=1,$Q16=2),1,0),IF($X16&lt;=20,1,0))</formula>
    </cfRule>
    <cfRule type="expression" dxfId="8200" priority="277">
      <formula>AND(IF($Q16=2,1,0),IF($X16&lt;30,1,0))</formula>
    </cfRule>
    <cfRule type="expression" dxfId="8199" priority="278">
      <formula>AND(IF($Q16=3,1,0),IF($X16&lt;30,1,0))</formula>
    </cfRule>
    <cfRule type="expression" dxfId="8198" priority="279">
      <formula>AND(IF($Q16=3,1,IF($Q16=4,1,0)),IF($F16&lt;=85,1,0))</formula>
    </cfRule>
  </conditionalFormatting>
  <conditionalFormatting sqref="X16">
    <cfRule type="expression" dxfId="8197" priority="272">
      <formula>AND(IF(OR($Q16=1,$Q16=2),1,0),IF($X16&lt;=20,1,0))</formula>
    </cfRule>
    <cfRule type="expression" dxfId="8196" priority="273">
      <formula>AND(IF($Q16=2,1,0),IF($X16&lt;30,1,0))</formula>
    </cfRule>
    <cfRule type="expression" dxfId="8195" priority="274">
      <formula>AND(IF($Q16=3,1,0),IF($X16&lt;30,1,0))</formula>
    </cfRule>
    <cfRule type="expression" dxfId="8194" priority="275">
      <formula>AND(IF($Q16=3,1,IF($Q16=4,1,0)),IF($F16&lt;=85,1,0))</formula>
    </cfRule>
  </conditionalFormatting>
  <conditionalFormatting sqref="AI16">
    <cfRule type="expression" dxfId="8193" priority="268">
      <formula>AND(IF(OR($Q16=1,$Q16=2),1,0),IF($X16&lt;=20,1,0))</formula>
    </cfRule>
    <cfRule type="expression" dxfId="8192" priority="269">
      <formula>AND(IF($Q16=2,1,0),IF($X16&lt;30,1,0))</formula>
    </cfRule>
    <cfRule type="expression" dxfId="8191" priority="270">
      <formula>AND(IF($Q16=3,1,0),IF($X16&lt;30,1,0))</formula>
    </cfRule>
    <cfRule type="expression" dxfId="8190" priority="271">
      <formula>AND(IF($Q16=3,1,IF($Q16=4,1,0)),IF($F16&lt;=85,1,0))</formula>
    </cfRule>
  </conditionalFormatting>
  <conditionalFormatting sqref="AV17">
    <cfRule type="expression" dxfId="8189" priority="266">
      <formula>AV17="X"</formula>
    </cfRule>
    <cfRule type="expression" dxfId="8188" priority="267">
      <formula>AV17="후보"</formula>
    </cfRule>
  </conditionalFormatting>
  <conditionalFormatting sqref="AC17">
    <cfRule type="cellIs" dxfId="8187" priority="263" operator="greaterThan">
      <formula>0.9</formula>
    </cfRule>
    <cfRule type="cellIs" dxfId="8186" priority="264" operator="greaterThan">
      <formula>0.85</formula>
    </cfRule>
  </conditionalFormatting>
  <conditionalFormatting sqref="N17">
    <cfRule type="cellIs" dxfId="8185" priority="261" operator="greaterThan">
      <formula>0.9</formula>
    </cfRule>
    <cfRule type="cellIs" dxfId="8184" priority="262" operator="greaterThan">
      <formula>0.85</formula>
    </cfRule>
  </conditionalFormatting>
  <conditionalFormatting sqref="E17">
    <cfRule type="expression" dxfId="8183" priority="257">
      <formula>AND(IF(OR($Q17=1,$Q17=2),1,0),IF($X17&lt;=20,1,0))</formula>
    </cfRule>
    <cfRule type="expression" dxfId="8182" priority="258">
      <formula>AND(IF($Q17=2,1,0),IF($X17&lt;30,1,0))</formula>
    </cfRule>
    <cfRule type="expression" dxfId="8181" priority="259">
      <formula>AND(IF($Q17=3,1,0),IF($X17&lt;30,1,0))</formula>
    </cfRule>
    <cfRule type="expression" dxfId="8180" priority="260">
      <formula>AND(IF($Q17=3,1,IF($Q17=4,1,0)),IF($F17&lt;=85,1,0))</formula>
    </cfRule>
  </conditionalFormatting>
  <conditionalFormatting sqref="X17">
    <cfRule type="expression" dxfId="8179" priority="253">
      <formula>AND(IF(OR($Q17=1,$Q17=2),1,0),IF($X17&lt;=20,1,0))</formula>
    </cfRule>
    <cfRule type="expression" dxfId="8178" priority="254">
      <formula>AND(IF($Q17=2,1,0),IF($X17&lt;30,1,0))</formula>
    </cfRule>
    <cfRule type="expression" dxfId="8177" priority="255">
      <formula>AND(IF($Q17=3,1,0),IF($X17&lt;30,1,0))</formula>
    </cfRule>
    <cfRule type="expression" dxfId="8176" priority="256">
      <formula>AND(IF($Q17=3,1,IF($Q17=4,1,0)),IF($F17&lt;=85,1,0))</formula>
    </cfRule>
  </conditionalFormatting>
  <conditionalFormatting sqref="AI17">
    <cfRule type="expression" dxfId="8175" priority="249">
      <formula>AND(IF(OR($Q17=1,$Q17=2),1,0),IF($X17&lt;=20,1,0))</formula>
    </cfRule>
    <cfRule type="expression" dxfId="8174" priority="250">
      <formula>AND(IF($Q17=2,1,0),IF($X17&lt;30,1,0))</formula>
    </cfRule>
    <cfRule type="expression" dxfId="8173" priority="251">
      <formula>AND(IF($Q17=3,1,0),IF($X17&lt;30,1,0))</formula>
    </cfRule>
    <cfRule type="expression" dxfId="8172" priority="252">
      <formula>AND(IF($Q17=3,1,IF($Q17=4,1,0)),IF($F17&lt;=85,1,0))</formula>
    </cfRule>
  </conditionalFormatting>
  <conditionalFormatting sqref="AV18">
    <cfRule type="expression" dxfId="8171" priority="247">
      <formula>AV18="X"</formula>
    </cfRule>
    <cfRule type="expression" dxfId="8170" priority="248">
      <formula>AV18="후보"</formula>
    </cfRule>
  </conditionalFormatting>
  <conditionalFormatting sqref="AC18">
    <cfRule type="cellIs" dxfId="8169" priority="244" operator="greaterThan">
      <formula>0.9</formula>
    </cfRule>
    <cfRule type="cellIs" dxfId="8168" priority="245" operator="greaterThan">
      <formula>0.85</formula>
    </cfRule>
  </conditionalFormatting>
  <conditionalFormatting sqref="N18">
    <cfRule type="cellIs" dxfId="8167" priority="242" operator="greaterThan">
      <formula>0.9</formula>
    </cfRule>
    <cfRule type="cellIs" dxfId="8166" priority="243" operator="greaterThan">
      <formula>0.85</formula>
    </cfRule>
  </conditionalFormatting>
  <conditionalFormatting sqref="E18">
    <cfRule type="expression" dxfId="8165" priority="238">
      <formula>AND(IF(OR($Q18=1,$Q18=2),1,0),IF($X18&lt;=20,1,0))</formula>
    </cfRule>
    <cfRule type="expression" dxfId="8164" priority="239">
      <formula>AND(IF($Q18=2,1,0),IF($X18&lt;30,1,0))</formula>
    </cfRule>
    <cfRule type="expression" dxfId="8163" priority="240">
      <formula>AND(IF($Q18=3,1,0),IF($X18&lt;30,1,0))</formula>
    </cfRule>
    <cfRule type="expression" dxfId="8162" priority="241">
      <formula>AND(IF($Q18=3,1,IF($Q18=4,1,0)),IF($F18&lt;=85,1,0))</formula>
    </cfRule>
  </conditionalFormatting>
  <conditionalFormatting sqref="X18">
    <cfRule type="expression" dxfId="8161" priority="234">
      <formula>AND(IF(OR($Q18=1,$Q18=2),1,0),IF($X18&lt;=20,1,0))</formula>
    </cfRule>
    <cfRule type="expression" dxfId="8160" priority="235">
      <formula>AND(IF($Q18=2,1,0),IF($X18&lt;30,1,0))</formula>
    </cfRule>
    <cfRule type="expression" dxfId="8159" priority="236">
      <formula>AND(IF($Q18=3,1,0),IF($X18&lt;30,1,0))</formula>
    </cfRule>
    <cfRule type="expression" dxfId="8158" priority="237">
      <formula>AND(IF($Q18=3,1,IF($Q18=4,1,0)),IF($F18&lt;=85,1,0))</formula>
    </cfRule>
  </conditionalFormatting>
  <conditionalFormatting sqref="AI18">
    <cfRule type="expression" dxfId="8157" priority="230">
      <formula>AND(IF(OR($Q18=1,$Q18=2),1,0),IF($X18&lt;=20,1,0))</formula>
    </cfRule>
    <cfRule type="expression" dxfId="8156" priority="231">
      <formula>AND(IF($Q18=2,1,0),IF($X18&lt;30,1,0))</formula>
    </cfRule>
    <cfRule type="expression" dxfId="8155" priority="232">
      <formula>AND(IF($Q18=3,1,0),IF($X18&lt;30,1,0))</formula>
    </cfRule>
    <cfRule type="expression" dxfId="8154" priority="233">
      <formula>AND(IF($Q18=3,1,IF($Q18=4,1,0)),IF($F18&lt;=85,1,0))</formula>
    </cfRule>
  </conditionalFormatting>
  <conditionalFormatting sqref="AV19">
    <cfRule type="expression" dxfId="8153" priority="228">
      <formula>AV19="X"</formula>
    </cfRule>
    <cfRule type="expression" dxfId="8152" priority="229">
      <formula>AV19="후보"</formula>
    </cfRule>
  </conditionalFormatting>
  <conditionalFormatting sqref="AC19 N19">
    <cfRule type="cellIs" dxfId="8151" priority="225" operator="greaterThan">
      <formula>0.9</formula>
    </cfRule>
    <cfRule type="cellIs" dxfId="8150" priority="226" operator="greaterThan">
      <formula>0.85</formula>
    </cfRule>
  </conditionalFormatting>
  <conditionalFormatting sqref="AV20">
    <cfRule type="expression" dxfId="8149" priority="223">
      <formula>AV20="X"</formula>
    </cfRule>
    <cfRule type="expression" dxfId="8148" priority="224">
      <formula>AV20="후보"</formula>
    </cfRule>
  </conditionalFormatting>
  <conditionalFormatting sqref="AC20">
    <cfRule type="cellIs" dxfId="8147" priority="220" operator="greaterThan">
      <formula>0.9</formula>
    </cfRule>
    <cfRule type="cellIs" dxfId="8146" priority="221" operator="greaterThan">
      <formula>0.85</formula>
    </cfRule>
  </conditionalFormatting>
  <conditionalFormatting sqref="N20">
    <cfRule type="cellIs" dxfId="8145" priority="218" operator="greaterThan">
      <formula>0.9</formula>
    </cfRule>
    <cfRule type="cellIs" dxfId="8144" priority="219" operator="greaterThan">
      <formula>0.85</formula>
    </cfRule>
  </conditionalFormatting>
  <conditionalFormatting sqref="E20">
    <cfRule type="expression" dxfId="8143" priority="214">
      <formula>AND(IF(OR($Q20=1,$Q20=2),1,0),IF($X20&lt;=20,1,0))</formula>
    </cfRule>
    <cfRule type="expression" dxfId="8142" priority="215">
      <formula>AND(IF($Q20=2,1,0),IF($X20&lt;30,1,0))</formula>
    </cfRule>
    <cfRule type="expression" dxfId="8141" priority="216">
      <formula>AND(IF($Q20=3,1,0),IF($X20&lt;30,1,0))</formula>
    </cfRule>
    <cfRule type="expression" dxfId="8140" priority="217">
      <formula>AND(IF($Q20=3,1,IF($Q20=4,1,0)),IF($F20&lt;=85,1,0))</formula>
    </cfRule>
  </conditionalFormatting>
  <conditionalFormatting sqref="X20">
    <cfRule type="expression" dxfId="8139" priority="210">
      <formula>AND(IF(OR($Q20=1,$Q20=2),1,0),IF($X20&lt;=20,1,0))</formula>
    </cfRule>
    <cfRule type="expression" dxfId="8138" priority="211">
      <formula>AND(IF($Q20=2,1,0),IF($X20&lt;30,1,0))</formula>
    </cfRule>
    <cfRule type="expression" dxfId="8137" priority="212">
      <formula>AND(IF($Q20=3,1,0),IF($X20&lt;30,1,0))</formula>
    </cfRule>
    <cfRule type="expression" dxfId="8136" priority="213">
      <formula>AND(IF($Q20=3,1,IF($Q20=4,1,0)),IF($F20&lt;=85,1,0))</formula>
    </cfRule>
  </conditionalFormatting>
  <conditionalFormatting sqref="AI20">
    <cfRule type="expression" dxfId="8135" priority="206">
      <formula>AND(IF(OR($Q20=1,$Q20=2),1,0),IF($X20&lt;=20,1,0))</formula>
    </cfRule>
    <cfRule type="expression" dxfId="8134" priority="207">
      <formula>AND(IF($Q20=2,1,0),IF($X20&lt;30,1,0))</formula>
    </cfRule>
    <cfRule type="expression" dxfId="8133" priority="208">
      <formula>AND(IF($Q20=3,1,0),IF($X20&lt;30,1,0))</formula>
    </cfRule>
    <cfRule type="expression" dxfId="8132" priority="209">
      <formula>AND(IF($Q20=3,1,IF($Q20=4,1,0)),IF($F20&lt;=85,1,0))</formula>
    </cfRule>
  </conditionalFormatting>
  <conditionalFormatting sqref="AV21">
    <cfRule type="expression" dxfId="8131" priority="204">
      <formula>AV21="X"</formula>
    </cfRule>
    <cfRule type="expression" dxfId="8130" priority="205">
      <formula>AV21="후보"</formula>
    </cfRule>
  </conditionalFormatting>
  <conditionalFormatting sqref="AC21">
    <cfRule type="cellIs" dxfId="8129" priority="201" operator="greaterThan">
      <formula>0.9</formula>
    </cfRule>
    <cfRule type="cellIs" dxfId="8128" priority="202" operator="greaterThan">
      <formula>0.85</formula>
    </cfRule>
  </conditionalFormatting>
  <conditionalFormatting sqref="N21">
    <cfRule type="cellIs" dxfId="8127" priority="199" operator="greaterThan">
      <formula>0.9</formula>
    </cfRule>
    <cfRule type="cellIs" dxfId="8126" priority="200" operator="greaterThan">
      <formula>0.85</formula>
    </cfRule>
  </conditionalFormatting>
  <conditionalFormatting sqref="E21">
    <cfRule type="expression" dxfId="8125" priority="195">
      <formula>AND(IF(OR($Q21=1,$Q21=2),1,0),IF($X21&lt;=20,1,0))</formula>
    </cfRule>
    <cfRule type="expression" dxfId="8124" priority="196">
      <formula>AND(IF($Q21=2,1,0),IF($X21&lt;30,1,0))</formula>
    </cfRule>
    <cfRule type="expression" dxfId="8123" priority="197">
      <formula>AND(IF($Q21=3,1,0),IF($X21&lt;30,1,0))</formula>
    </cfRule>
    <cfRule type="expression" dxfId="8122" priority="198">
      <formula>AND(IF($Q21=3,1,IF($Q21=4,1,0)),IF($F21&lt;=85,1,0))</formula>
    </cfRule>
  </conditionalFormatting>
  <conditionalFormatting sqref="X21">
    <cfRule type="expression" dxfId="8121" priority="191">
      <formula>AND(IF(OR($Q21=1,$Q21=2),1,0),IF($X21&lt;=20,1,0))</formula>
    </cfRule>
    <cfRule type="expression" dxfId="8120" priority="192">
      <formula>AND(IF($Q21=2,1,0),IF($X21&lt;30,1,0))</formula>
    </cfRule>
    <cfRule type="expression" dxfId="8119" priority="193">
      <formula>AND(IF($Q21=3,1,0),IF($X21&lt;30,1,0))</formula>
    </cfRule>
    <cfRule type="expression" dxfId="8118" priority="194">
      <formula>AND(IF($Q21=3,1,IF($Q21=4,1,0)),IF($F21&lt;=85,1,0))</formula>
    </cfRule>
  </conditionalFormatting>
  <conditionalFormatting sqref="AI21">
    <cfRule type="expression" dxfId="8117" priority="187">
      <formula>AND(IF(OR($Q21=1,$Q21=2),1,0),IF($X21&lt;=20,1,0))</formula>
    </cfRule>
    <cfRule type="expression" dxfId="8116" priority="188">
      <formula>AND(IF($Q21=2,1,0),IF($X21&lt;30,1,0))</formula>
    </cfRule>
    <cfRule type="expression" dxfId="8115" priority="189">
      <formula>AND(IF($Q21=3,1,0),IF($X21&lt;30,1,0))</formula>
    </cfRule>
    <cfRule type="expression" dxfId="8114" priority="190">
      <formula>AND(IF($Q21=3,1,IF($Q21=4,1,0)),IF($F21&lt;=85,1,0))</formula>
    </cfRule>
  </conditionalFormatting>
  <conditionalFormatting sqref="AV22">
    <cfRule type="expression" dxfId="8113" priority="185">
      <formula>AV22="X"</formula>
    </cfRule>
    <cfRule type="expression" dxfId="8112" priority="186">
      <formula>AV22="후보"</formula>
    </cfRule>
  </conditionalFormatting>
  <conditionalFormatting sqref="AC22">
    <cfRule type="cellIs" dxfId="8111" priority="182" operator="greaterThan">
      <formula>0.9</formula>
    </cfRule>
    <cfRule type="cellIs" dxfId="8110" priority="183" operator="greaterThan">
      <formula>0.85</formula>
    </cfRule>
  </conditionalFormatting>
  <conditionalFormatting sqref="N22">
    <cfRule type="cellIs" dxfId="8109" priority="180" operator="greaterThan">
      <formula>0.9</formula>
    </cfRule>
    <cfRule type="cellIs" dxfId="8108" priority="181" operator="greaterThan">
      <formula>0.85</formula>
    </cfRule>
  </conditionalFormatting>
  <conditionalFormatting sqref="E22">
    <cfRule type="expression" dxfId="8107" priority="176">
      <formula>AND(IF(OR($Q22=1,$Q22=2),1,0),IF($X22&lt;=20,1,0))</formula>
    </cfRule>
    <cfRule type="expression" dxfId="8106" priority="177">
      <formula>AND(IF($Q22=2,1,0),IF($X22&lt;30,1,0))</formula>
    </cfRule>
    <cfRule type="expression" dxfId="8105" priority="178">
      <formula>AND(IF($Q22=3,1,0),IF($X22&lt;30,1,0))</formula>
    </cfRule>
    <cfRule type="expression" dxfId="8104" priority="179">
      <formula>AND(IF($Q22=3,1,IF($Q22=4,1,0)),IF($F22&lt;=85,1,0))</formula>
    </cfRule>
  </conditionalFormatting>
  <conditionalFormatting sqref="X22">
    <cfRule type="expression" dxfId="8103" priority="172">
      <formula>AND(IF(OR($Q22=1,$Q22=2),1,0),IF($X22&lt;=20,1,0))</formula>
    </cfRule>
    <cfRule type="expression" dxfId="8102" priority="173">
      <formula>AND(IF($Q22=2,1,0),IF($X22&lt;30,1,0))</formula>
    </cfRule>
    <cfRule type="expression" dxfId="8101" priority="174">
      <formula>AND(IF($Q22=3,1,0),IF($X22&lt;30,1,0))</formula>
    </cfRule>
    <cfRule type="expression" dxfId="8100" priority="175">
      <formula>AND(IF($Q22=3,1,IF($Q22=4,1,0)),IF($F22&lt;=85,1,0))</formula>
    </cfRule>
  </conditionalFormatting>
  <conditionalFormatting sqref="AI22">
    <cfRule type="expression" dxfId="8099" priority="168">
      <formula>AND(IF(OR($Q22=1,$Q22=2),1,0),IF($X22&lt;=20,1,0))</formula>
    </cfRule>
    <cfRule type="expression" dxfId="8098" priority="169">
      <formula>AND(IF($Q22=2,1,0),IF($X22&lt;30,1,0))</formula>
    </cfRule>
    <cfRule type="expression" dxfId="8097" priority="170">
      <formula>AND(IF($Q22=3,1,0),IF($X22&lt;30,1,0))</formula>
    </cfRule>
    <cfRule type="expression" dxfId="8096" priority="171">
      <formula>AND(IF($Q22=3,1,IF($Q22=4,1,0)),IF($F22&lt;=85,1,0))</formula>
    </cfRule>
  </conditionalFormatting>
  <conditionalFormatting sqref="AV23">
    <cfRule type="expression" dxfId="8095" priority="166">
      <formula>AV23="X"</formula>
    </cfRule>
    <cfRule type="expression" dxfId="8094" priority="167">
      <formula>AV23="후보"</formula>
    </cfRule>
  </conditionalFormatting>
  <conditionalFormatting sqref="AC23 N23">
    <cfRule type="cellIs" dxfId="8093" priority="163" operator="greaterThan">
      <formula>0.9</formula>
    </cfRule>
    <cfRule type="cellIs" dxfId="8092" priority="164" operator="greaterThan">
      <formula>0.85</formula>
    </cfRule>
  </conditionalFormatting>
  <conditionalFormatting sqref="AV24">
    <cfRule type="expression" dxfId="8091" priority="161">
      <formula>AV24="X"</formula>
    </cfRule>
    <cfRule type="expression" dxfId="8090" priority="162">
      <formula>AV24="후보"</formula>
    </cfRule>
  </conditionalFormatting>
  <conditionalFormatting sqref="AC24">
    <cfRule type="cellIs" dxfId="8089" priority="158" operator="greaterThan">
      <formula>0.9</formula>
    </cfRule>
    <cfRule type="cellIs" dxfId="8088" priority="159" operator="greaterThan">
      <formula>0.85</formula>
    </cfRule>
  </conditionalFormatting>
  <conditionalFormatting sqref="N24">
    <cfRule type="cellIs" dxfId="8087" priority="156" operator="greaterThan">
      <formula>0.9</formula>
    </cfRule>
    <cfRule type="cellIs" dxfId="8086" priority="157" operator="greaterThan">
      <formula>0.85</formula>
    </cfRule>
  </conditionalFormatting>
  <conditionalFormatting sqref="E24">
    <cfRule type="expression" dxfId="8085" priority="152">
      <formula>AND(IF(OR($Q24=1,$Q24=2),1,0),IF($X24&lt;=20,1,0))</formula>
    </cfRule>
    <cfRule type="expression" dxfId="8084" priority="153">
      <formula>AND(IF($Q24=2,1,0),IF($X24&lt;30,1,0))</formula>
    </cfRule>
    <cfRule type="expression" dxfId="8083" priority="154">
      <formula>AND(IF($Q24=3,1,0),IF($X24&lt;30,1,0))</formula>
    </cfRule>
    <cfRule type="expression" dxfId="8082" priority="155">
      <formula>AND(IF($Q24=3,1,IF($Q24=4,1,0)),IF($F24&lt;=85,1,0))</formula>
    </cfRule>
  </conditionalFormatting>
  <conditionalFormatting sqref="X24">
    <cfRule type="expression" dxfId="8081" priority="148">
      <formula>AND(IF(OR($Q24=1,$Q24=2),1,0),IF($X24&lt;=20,1,0))</formula>
    </cfRule>
    <cfRule type="expression" dxfId="8080" priority="149">
      <formula>AND(IF($Q24=2,1,0),IF($X24&lt;30,1,0))</formula>
    </cfRule>
    <cfRule type="expression" dxfId="8079" priority="150">
      <formula>AND(IF($Q24=3,1,0),IF($X24&lt;30,1,0))</formula>
    </cfRule>
    <cfRule type="expression" dxfId="8078" priority="151">
      <formula>AND(IF($Q24=3,1,IF($Q24=4,1,0)),IF($F24&lt;=85,1,0))</formula>
    </cfRule>
  </conditionalFormatting>
  <conditionalFormatting sqref="AI24">
    <cfRule type="expression" dxfId="8077" priority="144">
      <formula>AND(IF(OR($Q24=1,$Q24=2),1,0),IF($X24&lt;=20,1,0))</formula>
    </cfRule>
    <cfRule type="expression" dxfId="8076" priority="145">
      <formula>AND(IF($Q24=2,1,0),IF($X24&lt;30,1,0))</formula>
    </cfRule>
    <cfRule type="expression" dxfId="8075" priority="146">
      <formula>AND(IF($Q24=3,1,0),IF($X24&lt;30,1,0))</formula>
    </cfRule>
    <cfRule type="expression" dxfId="8074" priority="147">
      <formula>AND(IF($Q24=3,1,IF($Q24=4,1,0)),IF($F24&lt;=85,1,0))</formula>
    </cfRule>
  </conditionalFormatting>
  <conditionalFormatting sqref="AV25">
    <cfRule type="expression" dxfId="8073" priority="142">
      <formula>AV25="X"</formula>
    </cfRule>
    <cfRule type="expression" dxfId="8072" priority="143">
      <formula>AV25="후보"</formula>
    </cfRule>
  </conditionalFormatting>
  <conditionalFormatting sqref="AC25 N25">
    <cfRule type="cellIs" dxfId="8071" priority="139" operator="greaterThan">
      <formula>0.9</formula>
    </cfRule>
    <cfRule type="cellIs" dxfId="8070" priority="140" operator="greaterThan">
      <formula>0.85</formula>
    </cfRule>
  </conditionalFormatting>
  <conditionalFormatting sqref="AV26">
    <cfRule type="expression" dxfId="8069" priority="137">
      <formula>AV26="X"</formula>
    </cfRule>
    <cfRule type="expression" dxfId="8068" priority="138">
      <formula>AV26="후보"</formula>
    </cfRule>
  </conditionalFormatting>
  <conditionalFormatting sqref="AC26">
    <cfRule type="cellIs" dxfId="8067" priority="134" operator="greaterThan">
      <formula>0.9</formula>
    </cfRule>
    <cfRule type="cellIs" dxfId="8066" priority="135" operator="greaterThan">
      <formula>0.85</formula>
    </cfRule>
  </conditionalFormatting>
  <conditionalFormatting sqref="N26">
    <cfRule type="cellIs" dxfId="8065" priority="132" operator="greaterThan">
      <formula>0.9</formula>
    </cfRule>
    <cfRule type="cellIs" dxfId="8064" priority="133" operator="greaterThan">
      <formula>0.85</formula>
    </cfRule>
  </conditionalFormatting>
  <conditionalFormatting sqref="E26">
    <cfRule type="expression" dxfId="8063" priority="128">
      <formula>AND(IF(OR($Q26=1,$Q26=2),1,0),IF($X26&lt;=20,1,0))</formula>
    </cfRule>
    <cfRule type="expression" dxfId="8062" priority="129">
      <formula>AND(IF($Q26=2,1,0),IF($X26&lt;30,1,0))</formula>
    </cfRule>
    <cfRule type="expression" dxfId="8061" priority="130">
      <formula>AND(IF($Q26=3,1,0),IF($X26&lt;30,1,0))</formula>
    </cfRule>
    <cfRule type="expression" dxfId="8060" priority="131">
      <formula>AND(IF($Q26=3,1,IF($Q26=4,1,0)),IF($F26&lt;=85,1,0))</formula>
    </cfRule>
  </conditionalFormatting>
  <conditionalFormatting sqref="X26">
    <cfRule type="expression" dxfId="8059" priority="124">
      <formula>AND(IF(OR($Q26=1,$Q26=2),1,0),IF($X26&lt;=20,1,0))</formula>
    </cfRule>
    <cfRule type="expression" dxfId="8058" priority="125">
      <formula>AND(IF($Q26=2,1,0),IF($X26&lt;30,1,0))</formula>
    </cfRule>
    <cfRule type="expression" dxfId="8057" priority="126">
      <formula>AND(IF($Q26=3,1,0),IF($X26&lt;30,1,0))</formula>
    </cfRule>
    <cfRule type="expression" dxfId="8056" priority="127">
      <formula>AND(IF($Q26=3,1,IF($Q26=4,1,0)),IF($F26&lt;=85,1,0))</formula>
    </cfRule>
  </conditionalFormatting>
  <conditionalFormatting sqref="AI26">
    <cfRule type="expression" dxfId="8055" priority="120">
      <formula>AND(IF(OR($Q26=1,$Q26=2),1,0),IF($X26&lt;=20,1,0))</formula>
    </cfRule>
    <cfRule type="expression" dxfId="8054" priority="121">
      <formula>AND(IF($Q26=2,1,0),IF($X26&lt;30,1,0))</formula>
    </cfRule>
    <cfRule type="expression" dxfId="8053" priority="122">
      <formula>AND(IF($Q26=3,1,0),IF($X26&lt;30,1,0))</formula>
    </cfRule>
    <cfRule type="expression" dxfId="8052" priority="123">
      <formula>AND(IF($Q26=3,1,IF($Q26=4,1,0)),IF($F26&lt;=85,1,0))</formula>
    </cfRule>
  </conditionalFormatting>
  <conditionalFormatting sqref="AV27">
    <cfRule type="expression" dxfId="8051" priority="118">
      <formula>AV27="X"</formula>
    </cfRule>
    <cfRule type="expression" dxfId="8050" priority="119">
      <formula>AV27="후보"</formula>
    </cfRule>
  </conditionalFormatting>
  <conditionalFormatting sqref="AC27">
    <cfRule type="cellIs" dxfId="8049" priority="115" operator="greaterThan">
      <formula>0.9</formula>
    </cfRule>
    <cfRule type="cellIs" dxfId="8048" priority="116" operator="greaterThan">
      <formula>0.85</formula>
    </cfRule>
  </conditionalFormatting>
  <conditionalFormatting sqref="N27">
    <cfRule type="cellIs" dxfId="8047" priority="113" operator="greaterThan">
      <formula>0.9</formula>
    </cfRule>
    <cfRule type="cellIs" dxfId="8046" priority="114" operator="greaterThan">
      <formula>0.85</formula>
    </cfRule>
  </conditionalFormatting>
  <conditionalFormatting sqref="E27">
    <cfRule type="expression" dxfId="8045" priority="109">
      <formula>AND(IF(OR($Q27=1,$Q27=2),1,0),IF($X27&lt;=20,1,0))</formula>
    </cfRule>
    <cfRule type="expression" dxfId="8044" priority="110">
      <formula>AND(IF($Q27=2,1,0),IF($X27&lt;30,1,0))</formula>
    </cfRule>
    <cfRule type="expression" dxfId="8043" priority="111">
      <formula>AND(IF($Q27=3,1,0),IF($X27&lt;30,1,0))</formula>
    </cfRule>
    <cfRule type="expression" dxfId="8042" priority="112">
      <formula>AND(IF($Q27=3,1,IF($Q27=4,1,0)),IF($F27&lt;=85,1,0))</formula>
    </cfRule>
  </conditionalFormatting>
  <conditionalFormatting sqref="X27">
    <cfRule type="expression" dxfId="8041" priority="105">
      <formula>AND(IF(OR($Q27=1,$Q27=2),1,0),IF($X27&lt;=20,1,0))</formula>
    </cfRule>
    <cfRule type="expression" dxfId="8040" priority="106">
      <formula>AND(IF($Q27=2,1,0),IF($X27&lt;30,1,0))</formula>
    </cfRule>
    <cfRule type="expression" dxfId="8039" priority="107">
      <formula>AND(IF($Q27=3,1,0),IF($X27&lt;30,1,0))</formula>
    </cfRule>
    <cfRule type="expression" dxfId="8038" priority="108">
      <formula>AND(IF($Q27=3,1,IF($Q27=4,1,0)),IF($F27&lt;=85,1,0))</formula>
    </cfRule>
  </conditionalFormatting>
  <conditionalFormatting sqref="AI27">
    <cfRule type="expression" dxfId="8037" priority="101">
      <formula>AND(IF(OR($Q27=1,$Q27=2),1,0),IF($X27&lt;=20,1,0))</formula>
    </cfRule>
    <cfRule type="expression" dxfId="8036" priority="102">
      <formula>AND(IF($Q27=2,1,0),IF($X27&lt;30,1,0))</formula>
    </cfRule>
    <cfRule type="expression" dxfId="8035" priority="103">
      <formula>AND(IF($Q27=3,1,0),IF($X27&lt;30,1,0))</formula>
    </cfRule>
    <cfRule type="expression" dxfId="8034" priority="104">
      <formula>AND(IF($Q27=3,1,IF($Q27=4,1,0)),IF($F27&lt;=85,1,0))</formula>
    </cfRule>
  </conditionalFormatting>
  <conditionalFormatting sqref="AV28">
    <cfRule type="expression" dxfId="8033" priority="99">
      <formula>AV28="X"</formula>
    </cfRule>
    <cfRule type="expression" dxfId="8032" priority="100">
      <formula>AV28="후보"</formula>
    </cfRule>
  </conditionalFormatting>
  <conditionalFormatting sqref="AC28">
    <cfRule type="cellIs" dxfId="8031" priority="96" operator="greaterThan">
      <formula>0.9</formula>
    </cfRule>
    <cfRule type="cellIs" dxfId="8030" priority="97" operator="greaterThan">
      <formula>0.85</formula>
    </cfRule>
  </conditionalFormatting>
  <conditionalFormatting sqref="N28">
    <cfRule type="cellIs" dxfId="8029" priority="94" operator="greaterThan">
      <formula>0.9</formula>
    </cfRule>
    <cfRule type="cellIs" dxfId="8028" priority="95" operator="greaterThan">
      <formula>0.85</formula>
    </cfRule>
  </conditionalFormatting>
  <conditionalFormatting sqref="E28">
    <cfRule type="expression" dxfId="8027" priority="90">
      <formula>AND(IF(OR($Q28=1,$Q28=2),1,0),IF($X28&lt;=20,1,0))</formula>
    </cfRule>
    <cfRule type="expression" dxfId="8026" priority="91">
      <formula>AND(IF($Q28=2,1,0),IF($X28&lt;30,1,0))</formula>
    </cfRule>
    <cfRule type="expression" dxfId="8025" priority="92">
      <formula>AND(IF($Q28=3,1,0),IF($X28&lt;30,1,0))</formula>
    </cfRule>
    <cfRule type="expression" dxfId="8024" priority="93">
      <formula>AND(IF($Q28=3,1,IF($Q28=4,1,0)),IF($F28&lt;=85,1,0))</formula>
    </cfRule>
  </conditionalFormatting>
  <conditionalFormatting sqref="X28">
    <cfRule type="expression" dxfId="8023" priority="86">
      <formula>AND(IF(OR($Q28=1,$Q28=2),1,0),IF($X28&lt;=20,1,0))</formula>
    </cfRule>
    <cfRule type="expression" dxfId="8022" priority="87">
      <formula>AND(IF($Q28=2,1,0),IF($X28&lt;30,1,0))</formula>
    </cfRule>
    <cfRule type="expression" dxfId="8021" priority="88">
      <formula>AND(IF($Q28=3,1,0),IF($X28&lt;30,1,0))</formula>
    </cfRule>
    <cfRule type="expression" dxfId="8020" priority="89">
      <formula>AND(IF($Q28=3,1,IF($Q28=4,1,0)),IF($F28&lt;=85,1,0))</formula>
    </cfRule>
  </conditionalFormatting>
  <conditionalFormatting sqref="AI28">
    <cfRule type="expression" dxfId="8019" priority="82">
      <formula>AND(IF(OR($Q28=1,$Q28=2),1,0),IF($X28&lt;=20,1,0))</formula>
    </cfRule>
    <cfRule type="expression" dxfId="8018" priority="83">
      <formula>AND(IF($Q28=2,1,0),IF($X28&lt;30,1,0))</formula>
    </cfRule>
    <cfRule type="expression" dxfId="8017" priority="84">
      <formula>AND(IF($Q28=3,1,0),IF($X28&lt;30,1,0))</formula>
    </cfRule>
    <cfRule type="expression" dxfId="8016" priority="85">
      <formula>AND(IF($Q28=3,1,IF($Q28=4,1,0)),IF($F28&lt;=85,1,0))</formula>
    </cfRule>
  </conditionalFormatting>
  <conditionalFormatting sqref="AV29">
    <cfRule type="expression" dxfId="8015" priority="80">
      <formula>AV29="X"</formula>
    </cfRule>
    <cfRule type="expression" dxfId="8014" priority="81">
      <formula>AV29="후보"</formula>
    </cfRule>
  </conditionalFormatting>
  <conditionalFormatting sqref="AC29">
    <cfRule type="cellIs" dxfId="8013" priority="77" operator="greaterThan">
      <formula>0.9</formula>
    </cfRule>
    <cfRule type="cellIs" dxfId="8012" priority="78" operator="greaterThan">
      <formula>0.85</formula>
    </cfRule>
  </conditionalFormatting>
  <conditionalFormatting sqref="N29">
    <cfRule type="cellIs" dxfId="8011" priority="75" operator="greaterThan">
      <formula>0.9</formula>
    </cfRule>
    <cfRule type="cellIs" dxfId="8010" priority="76" operator="greaterThan">
      <formula>0.85</formula>
    </cfRule>
  </conditionalFormatting>
  <conditionalFormatting sqref="E29">
    <cfRule type="expression" dxfId="8009" priority="71">
      <formula>AND(IF(OR($Q29=1,$Q29=2),1,0),IF($X29&lt;=20,1,0))</formula>
    </cfRule>
    <cfRule type="expression" dxfId="8008" priority="72">
      <formula>AND(IF($Q29=2,1,0),IF($X29&lt;30,1,0))</formula>
    </cfRule>
    <cfRule type="expression" dxfId="8007" priority="73">
      <formula>AND(IF($Q29=3,1,0),IF($X29&lt;30,1,0))</formula>
    </cfRule>
    <cfRule type="expression" dxfId="8006" priority="74">
      <formula>AND(IF($Q29=3,1,IF($Q29=4,1,0)),IF($F29&lt;=85,1,0))</formula>
    </cfRule>
  </conditionalFormatting>
  <conditionalFormatting sqref="X29">
    <cfRule type="expression" dxfId="8005" priority="67">
      <formula>AND(IF(OR($Q29=1,$Q29=2),1,0),IF($X29&lt;=20,1,0))</formula>
    </cfRule>
    <cfRule type="expression" dxfId="8004" priority="68">
      <formula>AND(IF($Q29=2,1,0),IF($X29&lt;30,1,0))</formula>
    </cfRule>
    <cfRule type="expression" dxfId="8003" priority="69">
      <formula>AND(IF($Q29=3,1,0),IF($X29&lt;30,1,0))</formula>
    </cfRule>
    <cfRule type="expression" dxfId="8002" priority="70">
      <formula>AND(IF($Q29=3,1,IF($Q29=4,1,0)),IF($F29&lt;=85,1,0))</formula>
    </cfRule>
  </conditionalFormatting>
  <conditionalFormatting sqref="AI29">
    <cfRule type="expression" dxfId="8001" priority="63">
      <formula>AND(IF(OR($Q29=1,$Q29=2),1,0),IF($X29&lt;=20,1,0))</formula>
    </cfRule>
    <cfRule type="expression" dxfId="8000" priority="64">
      <formula>AND(IF($Q29=2,1,0),IF($X29&lt;30,1,0))</formula>
    </cfRule>
    <cfRule type="expression" dxfId="7999" priority="65">
      <formula>AND(IF($Q29=3,1,0),IF($X29&lt;30,1,0))</formula>
    </cfRule>
    <cfRule type="expression" dxfId="7998" priority="66">
      <formula>AND(IF($Q29=3,1,IF($Q29=4,1,0)),IF($F29&lt;=85,1,0))</formula>
    </cfRule>
  </conditionalFormatting>
  <conditionalFormatting sqref="AV30">
    <cfRule type="expression" dxfId="7997" priority="61">
      <formula>AV30="X"</formula>
    </cfRule>
    <cfRule type="expression" dxfId="7996" priority="62">
      <formula>AV30="후보"</formula>
    </cfRule>
  </conditionalFormatting>
  <conditionalFormatting sqref="AC30 N30">
    <cfRule type="cellIs" dxfId="7995" priority="58" operator="greaterThan">
      <formula>0.9</formula>
    </cfRule>
    <cfRule type="cellIs" dxfId="7994" priority="59" operator="greaterThan">
      <formula>0.85</formula>
    </cfRule>
  </conditionalFormatting>
  <conditionalFormatting sqref="AV31">
    <cfRule type="expression" dxfId="7993" priority="56">
      <formula>AV31="X"</formula>
    </cfRule>
    <cfRule type="expression" dxfId="7992" priority="57">
      <formula>AV31="후보"</formula>
    </cfRule>
  </conditionalFormatting>
  <conditionalFormatting sqref="AC31">
    <cfRule type="cellIs" dxfId="7991" priority="53" operator="greaterThan">
      <formula>0.9</formula>
    </cfRule>
    <cfRule type="cellIs" dxfId="7990" priority="54" operator="greaterThan">
      <formula>0.85</formula>
    </cfRule>
  </conditionalFormatting>
  <conditionalFormatting sqref="N31">
    <cfRule type="cellIs" dxfId="7989" priority="51" operator="greaterThan">
      <formula>0.9</formula>
    </cfRule>
    <cfRule type="cellIs" dxfId="7988" priority="52" operator="greaterThan">
      <formula>0.85</formula>
    </cfRule>
  </conditionalFormatting>
  <conditionalFormatting sqref="E31">
    <cfRule type="expression" dxfId="7987" priority="47">
      <formula>AND(IF(OR($Q31=1,$Q31=2),1,0),IF($X31&lt;=20,1,0))</formula>
    </cfRule>
    <cfRule type="expression" dxfId="7986" priority="48">
      <formula>AND(IF($Q31=2,1,0),IF($X31&lt;30,1,0))</formula>
    </cfRule>
    <cfRule type="expression" dxfId="7985" priority="49">
      <formula>AND(IF($Q31=3,1,0),IF($X31&lt;30,1,0))</formula>
    </cfRule>
    <cfRule type="expression" dxfId="7984" priority="50">
      <formula>AND(IF($Q31=3,1,IF($Q31=4,1,0)),IF($F31&lt;=85,1,0))</formula>
    </cfRule>
  </conditionalFormatting>
  <conditionalFormatting sqref="X31">
    <cfRule type="expression" dxfId="7983" priority="43">
      <formula>AND(IF(OR($Q31=1,$Q31=2),1,0),IF($X31&lt;=20,1,0))</formula>
    </cfRule>
    <cfRule type="expression" dxfId="7982" priority="44">
      <formula>AND(IF($Q31=2,1,0),IF($X31&lt;30,1,0))</formula>
    </cfRule>
    <cfRule type="expression" dxfId="7981" priority="45">
      <formula>AND(IF($Q31=3,1,0),IF($X31&lt;30,1,0))</formula>
    </cfRule>
    <cfRule type="expression" dxfId="7980" priority="46">
      <formula>AND(IF($Q31=3,1,IF($Q31=4,1,0)),IF($F31&lt;=85,1,0))</formula>
    </cfRule>
  </conditionalFormatting>
  <conditionalFormatting sqref="AI31">
    <cfRule type="expression" dxfId="7979" priority="39">
      <formula>AND(IF(OR($Q31=1,$Q31=2),1,0),IF($X31&lt;=20,1,0))</formula>
    </cfRule>
    <cfRule type="expression" dxfId="7978" priority="40">
      <formula>AND(IF($Q31=2,1,0),IF($X31&lt;30,1,0))</formula>
    </cfRule>
    <cfRule type="expression" dxfId="7977" priority="41">
      <formula>AND(IF($Q31=3,1,0),IF($X31&lt;30,1,0))</formula>
    </cfRule>
    <cfRule type="expression" dxfId="7976" priority="42">
      <formula>AND(IF($Q31=3,1,IF($Q31=4,1,0)),IF($F31&lt;=85,1,0))</formula>
    </cfRule>
  </conditionalFormatting>
  <conditionalFormatting sqref="AV32">
    <cfRule type="expression" dxfId="7975" priority="37">
      <formula>AV32="X"</formula>
    </cfRule>
    <cfRule type="expression" dxfId="7974" priority="38">
      <formula>AV32="후보"</formula>
    </cfRule>
  </conditionalFormatting>
  <conditionalFormatting sqref="AC32">
    <cfRule type="cellIs" dxfId="7973" priority="34" operator="greaterThan">
      <formula>0.9</formula>
    </cfRule>
    <cfRule type="cellIs" dxfId="7972" priority="35" operator="greaterThan">
      <formula>0.85</formula>
    </cfRule>
  </conditionalFormatting>
  <conditionalFormatting sqref="N32">
    <cfRule type="cellIs" dxfId="7971" priority="32" operator="greaterThan">
      <formula>0.9</formula>
    </cfRule>
    <cfRule type="cellIs" dxfId="7970" priority="33" operator="greaterThan">
      <formula>0.85</formula>
    </cfRule>
  </conditionalFormatting>
  <conditionalFormatting sqref="E32">
    <cfRule type="expression" dxfId="7969" priority="28">
      <formula>AND(IF(OR($Q32=1,$Q32=2),1,0),IF($X32&lt;=20,1,0))</formula>
    </cfRule>
    <cfRule type="expression" dxfId="7968" priority="29">
      <formula>AND(IF($Q32=2,1,0),IF($X32&lt;30,1,0))</formula>
    </cfRule>
    <cfRule type="expression" dxfId="7967" priority="30">
      <formula>AND(IF($Q32=3,1,0),IF($X32&lt;30,1,0))</formula>
    </cfRule>
    <cfRule type="expression" dxfId="7966" priority="31">
      <formula>AND(IF($Q32=3,1,IF($Q32=4,1,0)),IF($F32&lt;=85,1,0))</formula>
    </cfRule>
  </conditionalFormatting>
  <conditionalFormatting sqref="X32">
    <cfRule type="expression" dxfId="7965" priority="24">
      <formula>AND(IF(OR($Q32=1,$Q32=2),1,0),IF($X32&lt;=20,1,0))</formula>
    </cfRule>
    <cfRule type="expression" dxfId="7964" priority="25">
      <formula>AND(IF($Q32=2,1,0),IF($X32&lt;30,1,0))</formula>
    </cfRule>
    <cfRule type="expression" dxfId="7963" priority="26">
      <formula>AND(IF($Q32=3,1,0),IF($X32&lt;30,1,0))</formula>
    </cfRule>
    <cfRule type="expression" dxfId="7962" priority="27">
      <formula>AND(IF($Q32=3,1,IF($Q32=4,1,0)),IF($F32&lt;=85,1,0))</formula>
    </cfRule>
  </conditionalFormatting>
  <conditionalFormatting sqref="AI32">
    <cfRule type="expression" dxfId="7961" priority="20">
      <formula>AND(IF(OR($Q32=1,$Q32=2),1,0),IF($X32&lt;=20,1,0))</formula>
    </cfRule>
    <cfRule type="expression" dxfId="7960" priority="21">
      <formula>AND(IF($Q32=2,1,0),IF($X32&lt;30,1,0))</formula>
    </cfRule>
    <cfRule type="expression" dxfId="7959" priority="22">
      <formula>AND(IF($Q32=3,1,0),IF($X32&lt;30,1,0))</formula>
    </cfRule>
    <cfRule type="expression" dxfId="7958" priority="23">
      <formula>AND(IF($Q32=3,1,IF($Q32=4,1,0)),IF($F32&lt;=85,1,0))</formula>
    </cfRule>
  </conditionalFormatting>
  <conditionalFormatting sqref="AV33">
    <cfRule type="expression" dxfId="7957" priority="18">
      <formula>AV33="X"</formula>
    </cfRule>
    <cfRule type="expression" dxfId="7956" priority="19">
      <formula>AV33="후보"</formula>
    </cfRule>
  </conditionalFormatting>
  <conditionalFormatting sqref="AC33">
    <cfRule type="cellIs" dxfId="7955" priority="15" operator="greaterThan">
      <formula>0.9</formula>
    </cfRule>
    <cfRule type="cellIs" dxfId="7954" priority="16" operator="greaterThan">
      <formula>0.85</formula>
    </cfRule>
  </conditionalFormatting>
  <conditionalFormatting sqref="N33">
    <cfRule type="cellIs" dxfId="7953" priority="13" operator="greaterThan">
      <formula>0.9</formula>
    </cfRule>
    <cfRule type="cellIs" dxfId="7952" priority="14" operator="greaterThan">
      <formula>0.85</formula>
    </cfRule>
  </conditionalFormatting>
  <conditionalFormatting sqref="E33">
    <cfRule type="expression" dxfId="7951" priority="9">
      <formula>AND(IF(OR($Q33=1,$Q33=2),1,0),IF($X33&lt;=20,1,0))</formula>
    </cfRule>
    <cfRule type="expression" dxfId="7950" priority="10">
      <formula>AND(IF($Q33=2,1,0),IF($X33&lt;30,1,0))</formula>
    </cfRule>
    <cfRule type="expression" dxfId="7949" priority="11">
      <formula>AND(IF($Q33=3,1,0),IF($X33&lt;30,1,0))</formula>
    </cfRule>
    <cfRule type="expression" dxfId="7948" priority="12">
      <formula>AND(IF($Q33=3,1,IF($Q33=4,1,0)),IF($F33&lt;=85,1,0))</formula>
    </cfRule>
  </conditionalFormatting>
  <conditionalFormatting sqref="X33">
    <cfRule type="expression" dxfId="7947" priority="5">
      <formula>AND(IF(OR($Q33=1,$Q33=2),1,0),IF($X33&lt;=20,1,0))</formula>
    </cfRule>
    <cfRule type="expression" dxfId="7946" priority="6">
      <formula>AND(IF($Q33=2,1,0),IF($X33&lt;30,1,0))</formula>
    </cfRule>
    <cfRule type="expression" dxfId="7945" priority="7">
      <formula>AND(IF($Q33=3,1,0),IF($X33&lt;30,1,0))</formula>
    </cfRule>
    <cfRule type="expression" dxfId="7944" priority="8">
      <formula>AND(IF($Q33=3,1,IF($Q33=4,1,0)),IF($F33&lt;=85,1,0))</formula>
    </cfRule>
  </conditionalFormatting>
  <conditionalFormatting sqref="AI33">
    <cfRule type="expression" dxfId="7943" priority="1">
      <formula>AND(IF(OR($Q33=1,$Q33=2),1,0),IF($X33&lt;=20,1,0))</formula>
    </cfRule>
    <cfRule type="expression" dxfId="7942" priority="2">
      <formula>AND(IF($Q33=2,1,0),IF($X33&lt;30,1,0))</formula>
    </cfRule>
    <cfRule type="expression" dxfId="7941" priority="3">
      <formula>AND(IF($Q33=3,1,0),IF($X33&lt;30,1,0))</formula>
    </cfRule>
    <cfRule type="expression" dxfId="7940" priority="4">
      <formula>AND(IF($Q33=3,1,IF($Q33=4,1,0)),IF($F33&lt;=85,1,0))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0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4" sqref="A104:XFD10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송천동1가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송천동1가 KJ라미안('06.06.,360^)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628</v>
      </c>
      <c r="B6" s="10" t="s">
        <v>1549</v>
      </c>
      <c r="C6" s="87">
        <v>360</v>
      </c>
      <c r="D6" s="85">
        <v>135.19999999999999</v>
      </c>
      <c r="E6" s="86">
        <v>41</v>
      </c>
      <c r="F6" s="85">
        <v>102.9</v>
      </c>
      <c r="G6" s="17">
        <v>31</v>
      </c>
      <c r="H6" s="87">
        <v>360</v>
      </c>
      <c r="I6" s="88">
        <v>37000</v>
      </c>
      <c r="J6" s="88" t="s">
        <v>82</v>
      </c>
      <c r="K6" s="88">
        <v>31000</v>
      </c>
      <c r="L6" s="88" t="s">
        <v>104</v>
      </c>
      <c r="M6" s="89">
        <f>I6-K6</f>
        <v>6000</v>
      </c>
      <c r="N6" s="4">
        <f>IF(ISERROR(K6/I6),"",K6/I6)</f>
        <v>0.83783783783783783</v>
      </c>
      <c r="O6" s="90">
        <f>I6/E6</f>
        <v>902.43902439024396</v>
      </c>
      <c r="P6" s="90">
        <f>K6/E6</f>
        <v>756.09756097560978</v>
      </c>
      <c r="Q6" s="78">
        <v>3</v>
      </c>
      <c r="R6" s="78">
        <v>2</v>
      </c>
      <c r="S6" s="78" t="s">
        <v>59</v>
      </c>
      <c r="T6" s="5">
        <v>135</v>
      </c>
      <c r="U6" s="9"/>
      <c r="W6" s="85">
        <f>D6</f>
        <v>135.19999999999999</v>
      </c>
      <c r="X6" s="86">
        <f>E6</f>
        <v>41</v>
      </c>
      <c r="Y6" s="91">
        <f>H6</f>
        <v>360</v>
      </c>
      <c r="Z6" s="89">
        <f>I6</f>
        <v>37000</v>
      </c>
      <c r="AA6" s="89">
        <f>K6</f>
        <v>31000</v>
      </c>
      <c r="AB6" s="89">
        <f>M6</f>
        <v>6000</v>
      </c>
      <c r="AC6" s="4">
        <f>N6</f>
        <v>0.83783783783783783</v>
      </c>
      <c r="AD6" s="90">
        <f>O6</f>
        <v>902.43902439024396</v>
      </c>
      <c r="AE6" s="78" t="str">
        <f>S6</f>
        <v>계</v>
      </c>
      <c r="AF6" s="78" t="str">
        <f>Q6&amp;"/"&amp;R6</f>
        <v>3/2</v>
      </c>
      <c r="AH6" s="20" t="str">
        <f t="shared" si="1"/>
        <v>KJ라미안</v>
      </c>
      <c r="AI6" s="86">
        <f t="shared" si="0"/>
        <v>41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O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X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송천동1가 비사벌(468-2)('84.02.,533^)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8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632</v>
      </c>
      <c r="B8" s="10" t="s">
        <v>1555</v>
      </c>
      <c r="C8" s="87">
        <v>533</v>
      </c>
      <c r="D8" s="85">
        <v>48.5</v>
      </c>
      <c r="E8" s="86">
        <v>15</v>
      </c>
      <c r="F8" s="85">
        <v>39.9</v>
      </c>
      <c r="G8" s="17">
        <v>12</v>
      </c>
      <c r="H8" s="87">
        <v>40</v>
      </c>
      <c r="I8" s="88"/>
      <c r="J8" s="88"/>
      <c r="K8" s="88"/>
      <c r="L8" s="88"/>
      <c r="M8" s="89">
        <f t="shared" ref="M8:M15" si="2">I8-K8</f>
        <v>0</v>
      </c>
      <c r="N8" s="4" t="str">
        <f t="shared" ref="N8:N15" si="3">IF(ISERROR(K8/I8),"",K8/I8)</f>
        <v/>
      </c>
      <c r="O8" s="90">
        <f t="shared" ref="O8:O15" si="4">I8/E8</f>
        <v>0</v>
      </c>
      <c r="P8" s="90">
        <f t="shared" ref="P8:P15" si="5">K8/E8</f>
        <v>0</v>
      </c>
      <c r="Q8" s="78">
        <v>2</v>
      </c>
      <c r="R8" s="78">
        <v>1</v>
      </c>
      <c r="S8" s="78" t="s">
        <v>59</v>
      </c>
      <c r="T8" s="5">
        <v>48</v>
      </c>
      <c r="U8" s="9"/>
      <c r="W8" s="85">
        <f t="shared" ref="W8:X15" si="6">D8</f>
        <v>48.5</v>
      </c>
      <c r="X8" s="86">
        <f t="shared" si="6"/>
        <v>15</v>
      </c>
      <c r="Y8" s="91">
        <f t="shared" ref="Y8:Z15" si="7">H8</f>
        <v>40</v>
      </c>
      <c r="Z8" s="89">
        <f t="shared" si="7"/>
        <v>0</v>
      </c>
      <c r="AA8" s="89">
        <f t="shared" ref="AA8:AA15" si="8">K8</f>
        <v>0</v>
      </c>
      <c r="AB8" s="89">
        <f t="shared" ref="AB8:AD15" si="9">M8</f>
        <v>0</v>
      </c>
      <c r="AC8" s="4" t="str">
        <f t="shared" si="9"/>
        <v/>
      </c>
      <c r="AD8" s="90">
        <f t="shared" si="9"/>
        <v>0</v>
      </c>
      <c r="AE8" s="78" t="str">
        <f t="shared" ref="AE8:AE15" si="10">S8</f>
        <v>계</v>
      </c>
      <c r="AF8" s="78" t="str">
        <f t="shared" ref="AF8:AF15" si="11">Q8&amp;"/"&amp;R8</f>
        <v>2/1</v>
      </c>
      <c r="AH8" s="20" t="str">
        <f t="shared" si="1"/>
        <v>비사벌(468-2)</v>
      </c>
      <c r="AI8" s="86">
        <f t="shared" si="0"/>
        <v>15</v>
      </c>
      <c r="AJ8" s="78" t="str">
        <f t="shared" ref="AJ8:AJ15" si="12">IF(AI8="","",$AJ$2)</f>
        <v>A-</v>
      </c>
      <c r="AK8" s="78" t="s">
        <v>13</v>
      </c>
      <c r="AL8" s="78" t="s">
        <v>61</v>
      </c>
      <c r="AM8" s="78" t="s">
        <v>62</v>
      </c>
      <c r="AN8" s="78" t="str">
        <f t="shared" ref="AN8:AN15" si="13">IF(AI8="","",$AN$2)</f>
        <v>C</v>
      </c>
      <c r="AO8" s="78" t="str">
        <f t="shared" ref="AO8:AO15" si="14">IF(N8="","",IF(N8&gt;=$AO$1/100,"O","X"))</f>
        <v/>
      </c>
      <c r="AP8" s="78" t="str">
        <f t="shared" ref="AP8:AP15" si="15">IF(I8="","",IF(I8&lt;=$AP$1,"O","X"))</f>
        <v/>
      </c>
      <c r="AQ8" s="78" t="str">
        <f t="shared" ref="AQ8:AQ15" si="16">IF(O8="","",IF(O8&lt;=$AQ$1,"O","X"))</f>
        <v>O</v>
      </c>
      <c r="AR8" s="78" t="str">
        <f t="shared" ref="AR8:AR15" si="17">IF(M8="","",IF(M8&lt;=$AR$1,"O","X"))</f>
        <v>O</v>
      </c>
      <c r="AS8" s="78" t="s">
        <v>2</v>
      </c>
      <c r="AT8" s="78" t="str">
        <f t="shared" ref="AT8:AT15" si="18">IF(OR(F8="",AI8=""),"",IF(AND((F8&lt;=85),(AI8&gt;=15)),"O","X"))</f>
        <v>O</v>
      </c>
      <c r="AU8" s="78" t="str">
        <f t="shared" ref="AU8:AU15" si="19">IF(C8="","",IF(C8&gt;=$AU$1,"O","X"))</f>
        <v>O</v>
      </c>
      <c r="AV8" s="78" t="str">
        <f t="shared" ref="AV8:AV15" si="20">IF(AO8="","",IF(AND(AO8="O",AP8="O",AR8="O",AT8="O",AU8="O"),"후보","X"))</f>
        <v/>
      </c>
    </row>
    <row r="9" spans="1:48" x14ac:dyDescent="0.3">
      <c r="A9" s="9" t="s">
        <v>632</v>
      </c>
      <c r="B9" s="10" t="s">
        <v>1555</v>
      </c>
      <c r="C9" s="87">
        <v>533</v>
      </c>
      <c r="D9" s="85">
        <v>59.8</v>
      </c>
      <c r="E9" s="86">
        <v>18</v>
      </c>
      <c r="F9" s="85">
        <v>50</v>
      </c>
      <c r="G9" s="17">
        <v>15</v>
      </c>
      <c r="H9" s="87">
        <v>120</v>
      </c>
      <c r="I9" s="88">
        <v>9500</v>
      </c>
      <c r="J9" s="88" t="s">
        <v>89</v>
      </c>
      <c r="K9" s="88"/>
      <c r="L9" s="88"/>
      <c r="M9" s="89">
        <f t="shared" si="2"/>
        <v>9500</v>
      </c>
      <c r="N9" s="4">
        <f t="shared" si="3"/>
        <v>0</v>
      </c>
      <c r="O9" s="90">
        <f t="shared" si="4"/>
        <v>527.77777777777783</v>
      </c>
      <c r="P9" s="90">
        <f t="shared" si="5"/>
        <v>0</v>
      </c>
      <c r="Q9" s="78">
        <v>3</v>
      </c>
      <c r="R9" s="78">
        <v>1</v>
      </c>
      <c r="S9" s="78" t="s">
        <v>65</v>
      </c>
      <c r="T9" s="5">
        <v>59</v>
      </c>
      <c r="U9" s="9"/>
      <c r="W9" s="85">
        <f t="shared" si="6"/>
        <v>59.8</v>
      </c>
      <c r="X9" s="86">
        <f t="shared" si="6"/>
        <v>18</v>
      </c>
      <c r="Y9" s="91">
        <f t="shared" si="7"/>
        <v>120</v>
      </c>
      <c r="Z9" s="89">
        <f t="shared" si="7"/>
        <v>9500</v>
      </c>
      <c r="AA9" s="89">
        <f t="shared" si="8"/>
        <v>0</v>
      </c>
      <c r="AB9" s="89">
        <f t="shared" si="9"/>
        <v>9500</v>
      </c>
      <c r="AC9" s="4">
        <f t="shared" si="9"/>
        <v>0</v>
      </c>
      <c r="AD9" s="90">
        <f t="shared" si="9"/>
        <v>527.77777777777783</v>
      </c>
      <c r="AE9" s="78" t="str">
        <f t="shared" si="10"/>
        <v>복</v>
      </c>
      <c r="AF9" s="78" t="str">
        <f t="shared" si="11"/>
        <v>3/1</v>
      </c>
      <c r="AH9" s="20" t="str">
        <f t="shared" si="1"/>
        <v>비사벌(468-2)</v>
      </c>
      <c r="AI9" s="86">
        <f t="shared" si="0"/>
        <v>18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X</v>
      </c>
      <c r="AP9" s="78" t="str">
        <f t="shared" si="15"/>
        <v>O</v>
      </c>
      <c r="AQ9" s="78" t="str">
        <f t="shared" si="16"/>
        <v>O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632</v>
      </c>
      <c r="B10" s="10" t="s">
        <v>1555</v>
      </c>
      <c r="C10" s="87">
        <v>533</v>
      </c>
      <c r="D10" s="85">
        <v>64.5</v>
      </c>
      <c r="E10" s="86">
        <v>20</v>
      </c>
      <c r="F10" s="85">
        <v>58</v>
      </c>
      <c r="G10" s="17">
        <v>18</v>
      </c>
      <c r="H10" s="87">
        <v>65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3</v>
      </c>
      <c r="R10" s="78">
        <v>1</v>
      </c>
      <c r="S10" s="78" t="s">
        <v>59</v>
      </c>
      <c r="T10" s="5" t="s">
        <v>120</v>
      </c>
      <c r="U10" s="9"/>
      <c r="W10" s="85">
        <f t="shared" si="6"/>
        <v>64.5</v>
      </c>
      <c r="X10" s="86">
        <f t="shared" si="6"/>
        <v>20</v>
      </c>
      <c r="Y10" s="91">
        <f t="shared" si="7"/>
        <v>65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8" t="str">
        <f t="shared" si="10"/>
        <v>계</v>
      </c>
      <c r="AF10" s="78" t="str">
        <f t="shared" si="11"/>
        <v>3/1</v>
      </c>
      <c r="AH10" s="20" t="str">
        <f t="shared" si="1"/>
        <v>비사벌(468-2)</v>
      </c>
      <c r="AI10" s="86">
        <f t="shared" si="0"/>
        <v>20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/>
      </c>
    </row>
    <row r="11" spans="1:48" x14ac:dyDescent="0.3">
      <c r="A11" s="9" t="s">
        <v>632</v>
      </c>
      <c r="B11" s="10" t="s">
        <v>1555</v>
      </c>
      <c r="C11" s="87">
        <v>533</v>
      </c>
      <c r="D11" s="85">
        <v>65.2</v>
      </c>
      <c r="E11" s="86">
        <v>20</v>
      </c>
      <c r="F11" s="85">
        <v>59.5</v>
      </c>
      <c r="G11" s="17">
        <v>18</v>
      </c>
      <c r="H11" s="87">
        <v>30</v>
      </c>
      <c r="I11" s="88"/>
      <c r="J11" s="88"/>
      <c r="K11" s="88"/>
      <c r="L11" s="88"/>
      <c r="M11" s="89">
        <f t="shared" si="2"/>
        <v>0</v>
      </c>
      <c r="N11" s="4" t="str">
        <f t="shared" si="3"/>
        <v/>
      </c>
      <c r="O11" s="90">
        <f t="shared" si="4"/>
        <v>0</v>
      </c>
      <c r="P11" s="90">
        <f t="shared" si="5"/>
        <v>0</v>
      </c>
      <c r="Q11" s="78">
        <v>3</v>
      </c>
      <c r="R11" s="78">
        <v>1</v>
      </c>
      <c r="S11" s="78" t="s">
        <v>59</v>
      </c>
      <c r="T11" s="5" t="s">
        <v>121</v>
      </c>
      <c r="U11" s="9"/>
      <c r="W11" s="85">
        <f t="shared" si="6"/>
        <v>65.2</v>
      </c>
      <c r="X11" s="86">
        <f t="shared" si="6"/>
        <v>20</v>
      </c>
      <c r="Y11" s="91">
        <f t="shared" si="7"/>
        <v>30</v>
      </c>
      <c r="Z11" s="89">
        <f t="shared" si="7"/>
        <v>0</v>
      </c>
      <c r="AA11" s="89">
        <f t="shared" si="8"/>
        <v>0</v>
      </c>
      <c r="AB11" s="89">
        <f t="shared" si="9"/>
        <v>0</v>
      </c>
      <c r="AC11" s="4" t="str">
        <f t="shared" si="9"/>
        <v/>
      </c>
      <c r="AD11" s="90">
        <f t="shared" si="9"/>
        <v>0</v>
      </c>
      <c r="AE11" s="78" t="str">
        <f t="shared" si="10"/>
        <v>계</v>
      </c>
      <c r="AF11" s="78" t="str">
        <f t="shared" si="11"/>
        <v>3/1</v>
      </c>
      <c r="AH11" s="20" t="str">
        <f t="shared" si="1"/>
        <v>비사벌(468-2)</v>
      </c>
      <c r="AI11" s="86">
        <f t="shared" si="0"/>
        <v>20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/>
      </c>
      <c r="AP11" s="78" t="str">
        <f t="shared" si="15"/>
        <v/>
      </c>
      <c r="AQ11" s="78" t="str">
        <f t="shared" si="16"/>
        <v>O</v>
      </c>
      <c r="AR11" s="78" t="str">
        <f t="shared" si="17"/>
        <v>O</v>
      </c>
      <c r="AS11" s="78" t="s">
        <v>2</v>
      </c>
      <c r="AT11" s="78" t="str">
        <f t="shared" si="18"/>
        <v>O</v>
      </c>
      <c r="AU11" s="78" t="str">
        <f t="shared" si="19"/>
        <v>O</v>
      </c>
      <c r="AV11" s="78" t="str">
        <f t="shared" si="20"/>
        <v/>
      </c>
    </row>
    <row r="12" spans="1:48" x14ac:dyDescent="0.3">
      <c r="A12" s="9" t="s">
        <v>632</v>
      </c>
      <c r="B12" s="10" t="s">
        <v>1555</v>
      </c>
      <c r="C12" s="87">
        <v>533</v>
      </c>
      <c r="D12" s="85">
        <v>66.2</v>
      </c>
      <c r="E12" s="86">
        <v>20</v>
      </c>
      <c r="F12" s="85">
        <v>59.6</v>
      </c>
      <c r="G12" s="17">
        <v>18</v>
      </c>
      <c r="H12" s="87">
        <v>40</v>
      </c>
      <c r="I12" s="88"/>
      <c r="J12" s="88"/>
      <c r="K12" s="88"/>
      <c r="L12" s="88"/>
      <c r="M12" s="89">
        <f t="shared" si="2"/>
        <v>0</v>
      </c>
      <c r="N12" s="4" t="str">
        <f t="shared" si="3"/>
        <v/>
      </c>
      <c r="O12" s="90">
        <f t="shared" si="4"/>
        <v>0</v>
      </c>
      <c r="P12" s="90">
        <f t="shared" si="5"/>
        <v>0</v>
      </c>
      <c r="Q12" s="78">
        <v>3</v>
      </c>
      <c r="R12" s="78">
        <v>1</v>
      </c>
      <c r="S12" s="78" t="s">
        <v>59</v>
      </c>
      <c r="T12" s="5" t="s">
        <v>122</v>
      </c>
      <c r="U12" s="9"/>
      <c r="W12" s="85">
        <f t="shared" si="6"/>
        <v>66.2</v>
      </c>
      <c r="X12" s="86">
        <f t="shared" si="6"/>
        <v>20</v>
      </c>
      <c r="Y12" s="91">
        <f t="shared" si="7"/>
        <v>40</v>
      </c>
      <c r="Z12" s="89">
        <f t="shared" si="7"/>
        <v>0</v>
      </c>
      <c r="AA12" s="89">
        <f t="shared" si="8"/>
        <v>0</v>
      </c>
      <c r="AB12" s="89">
        <f t="shared" si="9"/>
        <v>0</v>
      </c>
      <c r="AC12" s="4" t="str">
        <f t="shared" si="9"/>
        <v/>
      </c>
      <c r="AD12" s="90">
        <f t="shared" si="9"/>
        <v>0</v>
      </c>
      <c r="AE12" s="78" t="str">
        <f t="shared" si="10"/>
        <v>계</v>
      </c>
      <c r="AF12" s="78" t="str">
        <f t="shared" si="11"/>
        <v>3/1</v>
      </c>
      <c r="AH12" s="20" t="str">
        <f t="shared" si="1"/>
        <v>비사벌(468-2)</v>
      </c>
      <c r="AI12" s="86">
        <f t="shared" si="0"/>
        <v>20</v>
      </c>
      <c r="AJ12" s="78" t="str">
        <f t="shared" si="12"/>
        <v>A-</v>
      </c>
      <c r="AK12" s="78" t="s">
        <v>13</v>
      </c>
      <c r="AL12" s="78" t="s">
        <v>61</v>
      </c>
      <c r="AM12" s="78" t="s">
        <v>62</v>
      </c>
      <c r="AN12" s="78" t="str">
        <f t="shared" si="13"/>
        <v>C</v>
      </c>
      <c r="AO12" s="78" t="str">
        <f t="shared" si="14"/>
        <v/>
      </c>
      <c r="AP12" s="78" t="str">
        <f t="shared" si="15"/>
        <v/>
      </c>
      <c r="AQ12" s="78" t="str">
        <f t="shared" si="16"/>
        <v>O</v>
      </c>
      <c r="AR12" s="78" t="str">
        <f t="shared" si="17"/>
        <v>O</v>
      </c>
      <c r="AS12" s="78" t="s">
        <v>2</v>
      </c>
      <c r="AT12" s="78" t="str">
        <f t="shared" si="18"/>
        <v>O</v>
      </c>
      <c r="AU12" s="78" t="str">
        <f t="shared" si="19"/>
        <v>O</v>
      </c>
      <c r="AV12" s="78" t="str">
        <f t="shared" si="20"/>
        <v/>
      </c>
    </row>
    <row r="13" spans="1:48" x14ac:dyDescent="0.3">
      <c r="A13" s="9" t="s">
        <v>632</v>
      </c>
      <c r="B13" s="10" t="s">
        <v>1555</v>
      </c>
      <c r="C13" s="87">
        <v>533</v>
      </c>
      <c r="D13" s="85">
        <v>69.599999999999994</v>
      </c>
      <c r="E13" s="86">
        <v>21</v>
      </c>
      <c r="F13" s="85">
        <v>59.9</v>
      </c>
      <c r="G13" s="17">
        <v>18</v>
      </c>
      <c r="H13" s="87">
        <v>40</v>
      </c>
      <c r="I13" s="88"/>
      <c r="J13" s="88"/>
      <c r="K13" s="88"/>
      <c r="L13" s="88"/>
      <c r="M13" s="89">
        <f t="shared" si="2"/>
        <v>0</v>
      </c>
      <c r="N13" s="4" t="str">
        <f t="shared" si="3"/>
        <v/>
      </c>
      <c r="O13" s="90">
        <f t="shared" si="4"/>
        <v>0</v>
      </c>
      <c r="P13" s="90">
        <f t="shared" si="5"/>
        <v>0</v>
      </c>
      <c r="Q13" s="78">
        <v>3</v>
      </c>
      <c r="R13" s="78">
        <v>1</v>
      </c>
      <c r="S13" s="78" t="s">
        <v>59</v>
      </c>
      <c r="T13" s="5" t="s">
        <v>123</v>
      </c>
      <c r="U13" s="9"/>
      <c r="W13" s="85">
        <f t="shared" si="6"/>
        <v>69.599999999999994</v>
      </c>
      <c r="X13" s="86">
        <f t="shared" si="6"/>
        <v>21</v>
      </c>
      <c r="Y13" s="91">
        <f t="shared" si="7"/>
        <v>40</v>
      </c>
      <c r="Z13" s="89">
        <f t="shared" si="7"/>
        <v>0</v>
      </c>
      <c r="AA13" s="89">
        <f t="shared" si="8"/>
        <v>0</v>
      </c>
      <c r="AB13" s="89">
        <f t="shared" si="9"/>
        <v>0</v>
      </c>
      <c r="AC13" s="4" t="str">
        <f t="shared" si="9"/>
        <v/>
      </c>
      <c r="AD13" s="90">
        <f t="shared" si="9"/>
        <v>0</v>
      </c>
      <c r="AE13" s="78" t="str">
        <f t="shared" si="10"/>
        <v>계</v>
      </c>
      <c r="AF13" s="78" t="str">
        <f t="shared" si="11"/>
        <v>3/1</v>
      </c>
      <c r="AH13" s="20" t="str">
        <f t="shared" si="1"/>
        <v>비사벌(468-2)</v>
      </c>
      <c r="AI13" s="86">
        <f t="shared" si="0"/>
        <v>21</v>
      </c>
      <c r="AJ13" s="78" t="str">
        <f t="shared" si="12"/>
        <v>A-</v>
      </c>
      <c r="AK13" s="78" t="s">
        <v>13</v>
      </c>
      <c r="AL13" s="78" t="s">
        <v>61</v>
      </c>
      <c r="AM13" s="78" t="s">
        <v>62</v>
      </c>
      <c r="AN13" s="78" t="str">
        <f t="shared" si="13"/>
        <v>C</v>
      </c>
      <c r="AO13" s="78" t="str">
        <f t="shared" si="14"/>
        <v/>
      </c>
      <c r="AP13" s="78" t="str">
        <f t="shared" si="15"/>
        <v/>
      </c>
      <c r="AQ13" s="78" t="str">
        <f t="shared" si="16"/>
        <v>O</v>
      </c>
      <c r="AR13" s="78" t="str">
        <f t="shared" si="17"/>
        <v>O</v>
      </c>
      <c r="AS13" s="78" t="s">
        <v>2</v>
      </c>
      <c r="AT13" s="78" t="str">
        <f t="shared" si="18"/>
        <v>O</v>
      </c>
      <c r="AU13" s="78" t="str">
        <f t="shared" si="19"/>
        <v>O</v>
      </c>
      <c r="AV13" s="78" t="str">
        <f t="shared" si="20"/>
        <v/>
      </c>
    </row>
    <row r="14" spans="1:48" x14ac:dyDescent="0.3">
      <c r="A14" s="9" t="s">
        <v>632</v>
      </c>
      <c r="B14" s="10" t="s">
        <v>1555</v>
      </c>
      <c r="C14" s="87">
        <v>533</v>
      </c>
      <c r="D14" s="85">
        <v>69.7</v>
      </c>
      <c r="E14" s="86">
        <v>21</v>
      </c>
      <c r="F14" s="85">
        <v>58.1</v>
      </c>
      <c r="G14" s="17">
        <v>18</v>
      </c>
      <c r="H14" s="87">
        <v>3</v>
      </c>
      <c r="I14" s="88"/>
      <c r="J14" s="88"/>
      <c r="K14" s="88"/>
      <c r="L14" s="88"/>
      <c r="M14" s="89">
        <f t="shared" si="2"/>
        <v>0</v>
      </c>
      <c r="N14" s="4" t="str">
        <f t="shared" si="3"/>
        <v/>
      </c>
      <c r="O14" s="90">
        <f t="shared" si="4"/>
        <v>0</v>
      </c>
      <c r="P14" s="90">
        <f t="shared" si="5"/>
        <v>0</v>
      </c>
      <c r="Q14" s="78">
        <v>3</v>
      </c>
      <c r="R14" s="78">
        <v>1</v>
      </c>
      <c r="S14" s="78" t="s">
        <v>59</v>
      </c>
      <c r="T14" s="5" t="s">
        <v>124</v>
      </c>
      <c r="U14" s="9"/>
      <c r="W14" s="85">
        <f t="shared" si="6"/>
        <v>69.7</v>
      </c>
      <c r="X14" s="86">
        <f t="shared" si="6"/>
        <v>21</v>
      </c>
      <c r="Y14" s="91">
        <f t="shared" si="7"/>
        <v>3</v>
      </c>
      <c r="Z14" s="89">
        <f t="shared" si="7"/>
        <v>0</v>
      </c>
      <c r="AA14" s="89">
        <f t="shared" si="8"/>
        <v>0</v>
      </c>
      <c r="AB14" s="89">
        <f t="shared" si="9"/>
        <v>0</v>
      </c>
      <c r="AC14" s="4" t="str">
        <f t="shared" si="9"/>
        <v/>
      </c>
      <c r="AD14" s="90">
        <f t="shared" si="9"/>
        <v>0</v>
      </c>
      <c r="AE14" s="78" t="str">
        <f t="shared" si="10"/>
        <v>계</v>
      </c>
      <c r="AF14" s="78" t="str">
        <f t="shared" si="11"/>
        <v>3/1</v>
      </c>
      <c r="AH14" s="20" t="str">
        <f t="shared" si="1"/>
        <v>비사벌(468-2)</v>
      </c>
      <c r="AI14" s="86">
        <f t="shared" si="0"/>
        <v>21</v>
      </c>
      <c r="AJ14" s="78" t="str">
        <f t="shared" si="12"/>
        <v>A-</v>
      </c>
      <c r="AK14" s="78" t="s">
        <v>13</v>
      </c>
      <c r="AL14" s="78" t="s">
        <v>61</v>
      </c>
      <c r="AM14" s="78" t="s">
        <v>62</v>
      </c>
      <c r="AN14" s="78" t="str">
        <f t="shared" si="13"/>
        <v>C</v>
      </c>
      <c r="AO14" s="78" t="str">
        <f t="shared" si="14"/>
        <v/>
      </c>
      <c r="AP14" s="78" t="str">
        <f t="shared" si="15"/>
        <v/>
      </c>
      <c r="AQ14" s="78" t="str">
        <f t="shared" si="16"/>
        <v>O</v>
      </c>
      <c r="AR14" s="78" t="str">
        <f t="shared" si="17"/>
        <v>O</v>
      </c>
      <c r="AS14" s="78" t="s">
        <v>2</v>
      </c>
      <c r="AT14" s="78" t="str">
        <f t="shared" si="18"/>
        <v>O</v>
      </c>
      <c r="AU14" s="78" t="str">
        <f t="shared" si="19"/>
        <v>O</v>
      </c>
      <c r="AV14" s="78" t="str">
        <f t="shared" si="20"/>
        <v/>
      </c>
    </row>
    <row r="15" spans="1:48" x14ac:dyDescent="0.3">
      <c r="A15" s="9" t="s">
        <v>632</v>
      </c>
      <c r="B15" s="10" t="s">
        <v>1555</v>
      </c>
      <c r="C15" s="87">
        <v>533</v>
      </c>
      <c r="D15" s="85">
        <v>70.2</v>
      </c>
      <c r="E15" s="86">
        <v>21</v>
      </c>
      <c r="F15" s="85">
        <v>59.9</v>
      </c>
      <c r="G15" s="17">
        <v>18</v>
      </c>
      <c r="H15" s="87">
        <v>195</v>
      </c>
      <c r="I15" s="88">
        <v>12500</v>
      </c>
      <c r="J15" s="88" t="s">
        <v>89</v>
      </c>
      <c r="K15" s="88"/>
      <c r="L15" s="88"/>
      <c r="M15" s="89">
        <f t="shared" si="2"/>
        <v>12500</v>
      </c>
      <c r="N15" s="4">
        <f t="shared" si="3"/>
        <v>0</v>
      </c>
      <c r="O15" s="90">
        <f t="shared" si="4"/>
        <v>595.23809523809518</v>
      </c>
      <c r="P15" s="90">
        <f t="shared" si="5"/>
        <v>0</v>
      </c>
      <c r="Q15" s="78">
        <v>3</v>
      </c>
      <c r="R15" s="78">
        <v>1</v>
      </c>
      <c r="S15" s="78" t="s">
        <v>59</v>
      </c>
      <c r="T15" s="5" t="s">
        <v>125</v>
      </c>
      <c r="U15" s="9"/>
      <c r="W15" s="85">
        <f t="shared" si="6"/>
        <v>70.2</v>
      </c>
      <c r="X15" s="86">
        <f t="shared" si="6"/>
        <v>21</v>
      </c>
      <c r="Y15" s="91">
        <f t="shared" si="7"/>
        <v>195</v>
      </c>
      <c r="Z15" s="89">
        <f t="shared" si="7"/>
        <v>12500</v>
      </c>
      <c r="AA15" s="89">
        <f t="shared" si="8"/>
        <v>0</v>
      </c>
      <c r="AB15" s="89">
        <f t="shared" si="9"/>
        <v>12500</v>
      </c>
      <c r="AC15" s="4">
        <f t="shared" si="9"/>
        <v>0</v>
      </c>
      <c r="AD15" s="90">
        <f t="shared" si="9"/>
        <v>595.23809523809518</v>
      </c>
      <c r="AE15" s="78" t="str">
        <f t="shared" si="10"/>
        <v>계</v>
      </c>
      <c r="AF15" s="78" t="str">
        <f t="shared" si="11"/>
        <v>3/1</v>
      </c>
      <c r="AH15" s="20" t="str">
        <f t="shared" si="1"/>
        <v>비사벌(468-2)</v>
      </c>
      <c r="AI15" s="86">
        <f t="shared" si="0"/>
        <v>21</v>
      </c>
      <c r="AJ15" s="78" t="str">
        <f t="shared" si="12"/>
        <v>A-</v>
      </c>
      <c r="AK15" s="78" t="s">
        <v>13</v>
      </c>
      <c r="AL15" s="78" t="s">
        <v>61</v>
      </c>
      <c r="AM15" s="78" t="s">
        <v>62</v>
      </c>
      <c r="AN15" s="78" t="str">
        <f t="shared" si="13"/>
        <v>C</v>
      </c>
      <c r="AO15" s="78" t="str">
        <f t="shared" si="14"/>
        <v>X</v>
      </c>
      <c r="AP15" s="78" t="str">
        <f t="shared" si="15"/>
        <v>O</v>
      </c>
      <c r="AQ15" s="78" t="str">
        <f t="shared" si="16"/>
        <v>O</v>
      </c>
      <c r="AR15" s="78" t="str">
        <f t="shared" si="17"/>
        <v>X</v>
      </c>
      <c r="AS15" s="78" t="s">
        <v>2</v>
      </c>
      <c r="AT15" s="78" t="str">
        <f t="shared" si="18"/>
        <v>O</v>
      </c>
      <c r="AU15" s="78" t="str">
        <f t="shared" si="19"/>
        <v>O</v>
      </c>
      <c r="AV15" s="78" t="str">
        <f t="shared" si="20"/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송천동1가 송천우림('96.10.,417^)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637</v>
      </c>
      <c r="B17" s="10" t="s">
        <v>1556</v>
      </c>
      <c r="C17" s="87">
        <v>417</v>
      </c>
      <c r="D17" s="85">
        <v>76.599999999999994</v>
      </c>
      <c r="E17" s="86">
        <v>23</v>
      </c>
      <c r="F17" s="85">
        <v>59.8</v>
      </c>
      <c r="G17" s="17">
        <v>18</v>
      </c>
      <c r="H17" s="87">
        <v>198</v>
      </c>
      <c r="I17" s="88">
        <v>13500</v>
      </c>
      <c r="J17" s="88" t="s">
        <v>107</v>
      </c>
      <c r="K17" s="88">
        <v>14000</v>
      </c>
      <c r="L17" s="88" t="s">
        <v>107</v>
      </c>
      <c r="M17" s="89">
        <f t="shared" ref="M17:M22" si="21">I17-K17</f>
        <v>-500</v>
      </c>
      <c r="N17" s="4">
        <f t="shared" ref="N17:N22" si="22">IF(ISERROR(K17/I17),"",K17/I17)</f>
        <v>1.037037037037037</v>
      </c>
      <c r="O17" s="90">
        <f t="shared" ref="O17:O22" si="23">I17/E17</f>
        <v>586.95652173913038</v>
      </c>
      <c r="P17" s="90">
        <f t="shared" ref="P17:P22" si="24">K17/E17</f>
        <v>608.695652173913</v>
      </c>
      <c r="Q17" s="78">
        <v>3</v>
      </c>
      <c r="R17" s="78">
        <v>1</v>
      </c>
      <c r="S17" s="78" t="s">
        <v>59</v>
      </c>
      <c r="T17" s="5">
        <v>76</v>
      </c>
      <c r="U17" s="9"/>
      <c r="W17" s="85">
        <f t="shared" ref="W17:X22" si="25">D17</f>
        <v>76.599999999999994</v>
      </c>
      <c r="X17" s="86">
        <f t="shared" si="25"/>
        <v>23</v>
      </c>
      <c r="Y17" s="91">
        <f t="shared" ref="Y17:Z22" si="26">H17</f>
        <v>198</v>
      </c>
      <c r="Z17" s="89">
        <f t="shared" si="26"/>
        <v>13500</v>
      </c>
      <c r="AA17" s="89">
        <f t="shared" ref="AA17:AA22" si="27">K17</f>
        <v>14000</v>
      </c>
      <c r="AB17" s="89">
        <f t="shared" ref="AB17:AD22" si="28">M17</f>
        <v>-500</v>
      </c>
      <c r="AC17" s="4">
        <f t="shared" si="28"/>
        <v>1.037037037037037</v>
      </c>
      <c r="AD17" s="90">
        <f t="shared" si="28"/>
        <v>586.95652173913038</v>
      </c>
      <c r="AE17" s="78" t="str">
        <f t="shared" ref="AE17:AE22" si="29">S17</f>
        <v>계</v>
      </c>
      <c r="AF17" s="78" t="str">
        <f t="shared" ref="AF17:AF22" si="30">Q17&amp;"/"&amp;R17</f>
        <v>3/1</v>
      </c>
      <c r="AH17" s="20" t="str">
        <f t="shared" si="1"/>
        <v>송천우림</v>
      </c>
      <c r="AI17" s="86">
        <f t="shared" si="0"/>
        <v>23</v>
      </c>
      <c r="AJ17" s="78" t="str">
        <f t="shared" ref="AJ17:AJ22" si="31"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 t="shared" ref="AN17:AN22" si="32">IF(AI17="","",$AN$2)</f>
        <v>C</v>
      </c>
      <c r="AO17" s="78" t="str">
        <f t="shared" ref="AO17:AO22" si="33">IF(N17="","",IF(N17&gt;=$AO$1/100,"O","X"))</f>
        <v>O</v>
      </c>
      <c r="AP17" s="78" t="str">
        <f t="shared" ref="AP17:AP22" si="34">IF(I17="","",IF(I17&lt;=$AP$1,"O","X"))</f>
        <v>O</v>
      </c>
      <c r="AQ17" s="78" t="str">
        <f t="shared" ref="AQ17:AQ22" si="35">IF(O17="","",IF(O17&lt;=$AQ$1,"O","X"))</f>
        <v>O</v>
      </c>
      <c r="AR17" s="78" t="str">
        <f t="shared" ref="AR17:AR22" si="36">IF(M17="","",IF(M17&lt;=$AR$1,"O","X"))</f>
        <v>O</v>
      </c>
      <c r="AS17" s="78" t="s">
        <v>2</v>
      </c>
      <c r="AT17" s="78" t="str">
        <f t="shared" ref="AT17:AT22" si="37">IF(OR(F17="",AI17=""),"",IF(AND((F17&lt;=85),(AI17&gt;=15)),"O","X"))</f>
        <v>O</v>
      </c>
      <c r="AU17" s="78" t="str">
        <f t="shared" ref="AU17:AU22" si="38">IF(C17="","",IF(C17&gt;=$AU$1,"O","X"))</f>
        <v>O</v>
      </c>
      <c r="AV17" s="78" t="str">
        <f t="shared" ref="AV17:AV22" si="39">IF(AO17="","",IF(AND(AO17="O",AP17="O",AR17="O",AT17="O",AU17="O"),"후보","X"))</f>
        <v>후보</v>
      </c>
    </row>
    <row r="18" spans="1:48" x14ac:dyDescent="0.3">
      <c r="A18" s="9" t="s">
        <v>637</v>
      </c>
      <c r="B18" s="10" t="s">
        <v>1556</v>
      </c>
      <c r="C18" s="87">
        <v>417</v>
      </c>
      <c r="D18" s="85">
        <v>94.2</v>
      </c>
      <c r="E18" s="86">
        <v>29</v>
      </c>
      <c r="F18" s="85">
        <v>73.599999999999994</v>
      </c>
      <c r="G18" s="17">
        <v>22</v>
      </c>
      <c r="H18" s="87">
        <v>20</v>
      </c>
      <c r="I18" s="88"/>
      <c r="J18" s="88"/>
      <c r="K18" s="88"/>
      <c r="L18" s="88"/>
      <c r="M18" s="89">
        <f t="shared" si="21"/>
        <v>0</v>
      </c>
      <c r="N18" s="4" t="str">
        <f t="shared" si="22"/>
        <v/>
      </c>
      <c r="O18" s="90">
        <f t="shared" si="23"/>
        <v>0</v>
      </c>
      <c r="P18" s="90">
        <f t="shared" si="24"/>
        <v>0</v>
      </c>
      <c r="Q18" s="78">
        <v>3</v>
      </c>
      <c r="R18" s="78">
        <v>1</v>
      </c>
      <c r="S18" s="78" t="s">
        <v>59</v>
      </c>
      <c r="T18" s="5">
        <v>94</v>
      </c>
      <c r="U18" s="9"/>
      <c r="W18" s="85">
        <f t="shared" si="25"/>
        <v>94.2</v>
      </c>
      <c r="X18" s="86">
        <f t="shared" si="25"/>
        <v>29</v>
      </c>
      <c r="Y18" s="91">
        <f t="shared" si="26"/>
        <v>20</v>
      </c>
      <c r="Z18" s="89">
        <f t="shared" si="26"/>
        <v>0</v>
      </c>
      <c r="AA18" s="89">
        <f t="shared" si="27"/>
        <v>0</v>
      </c>
      <c r="AB18" s="89">
        <f t="shared" si="28"/>
        <v>0</v>
      </c>
      <c r="AC18" s="4" t="str">
        <f t="shared" si="28"/>
        <v/>
      </c>
      <c r="AD18" s="90">
        <f t="shared" si="28"/>
        <v>0</v>
      </c>
      <c r="AE18" s="78" t="str">
        <f t="shared" si="29"/>
        <v>계</v>
      </c>
      <c r="AF18" s="78" t="str">
        <f t="shared" si="30"/>
        <v>3/1</v>
      </c>
      <c r="AH18" s="20" t="str">
        <f t="shared" si="1"/>
        <v>송천우림</v>
      </c>
      <c r="AI18" s="86">
        <f t="shared" si="0"/>
        <v>29</v>
      </c>
      <c r="AJ18" s="78" t="str">
        <f t="shared" si="31"/>
        <v>A-</v>
      </c>
      <c r="AK18" s="78" t="s">
        <v>13</v>
      </c>
      <c r="AL18" s="78" t="s">
        <v>61</v>
      </c>
      <c r="AM18" s="78" t="s">
        <v>62</v>
      </c>
      <c r="AN18" s="78" t="str">
        <f t="shared" si="32"/>
        <v>C</v>
      </c>
      <c r="AO18" s="78" t="str">
        <f t="shared" si="33"/>
        <v/>
      </c>
      <c r="AP18" s="78" t="str">
        <f t="shared" si="34"/>
        <v/>
      </c>
      <c r="AQ18" s="78" t="str">
        <f t="shared" si="35"/>
        <v>O</v>
      </c>
      <c r="AR18" s="78" t="str">
        <f t="shared" si="36"/>
        <v>O</v>
      </c>
      <c r="AS18" s="78" t="s">
        <v>2</v>
      </c>
      <c r="AT18" s="78" t="str">
        <f t="shared" si="37"/>
        <v>O</v>
      </c>
      <c r="AU18" s="78" t="str">
        <f t="shared" si="38"/>
        <v>O</v>
      </c>
      <c r="AV18" s="78" t="str">
        <f t="shared" si="39"/>
        <v/>
      </c>
    </row>
    <row r="19" spans="1:48" x14ac:dyDescent="0.3">
      <c r="A19" s="9" t="s">
        <v>637</v>
      </c>
      <c r="B19" s="10" t="s">
        <v>1556</v>
      </c>
      <c r="C19" s="87">
        <v>417</v>
      </c>
      <c r="D19" s="85">
        <v>108.7</v>
      </c>
      <c r="E19" s="86">
        <v>33</v>
      </c>
      <c r="F19" s="85">
        <v>84.9</v>
      </c>
      <c r="G19" s="17">
        <v>26</v>
      </c>
      <c r="H19" s="87">
        <v>119</v>
      </c>
      <c r="I19" s="88">
        <v>20000</v>
      </c>
      <c r="J19" s="88" t="s">
        <v>141</v>
      </c>
      <c r="K19" s="88"/>
      <c r="L19" s="88"/>
      <c r="M19" s="89">
        <f t="shared" si="21"/>
        <v>20000</v>
      </c>
      <c r="N19" s="4">
        <f t="shared" si="22"/>
        <v>0</v>
      </c>
      <c r="O19" s="90">
        <f t="shared" si="23"/>
        <v>606.06060606060601</v>
      </c>
      <c r="P19" s="90">
        <f t="shared" si="24"/>
        <v>0</v>
      </c>
      <c r="Q19" s="78">
        <v>3</v>
      </c>
      <c r="R19" s="78">
        <v>2</v>
      </c>
      <c r="S19" s="78" t="s">
        <v>59</v>
      </c>
      <c r="T19" s="5" t="s">
        <v>128</v>
      </c>
      <c r="U19" s="9"/>
      <c r="W19" s="85">
        <f t="shared" si="25"/>
        <v>108.7</v>
      </c>
      <c r="X19" s="86">
        <f t="shared" si="25"/>
        <v>33</v>
      </c>
      <c r="Y19" s="91">
        <f t="shared" si="26"/>
        <v>119</v>
      </c>
      <c r="Z19" s="89">
        <f t="shared" si="26"/>
        <v>20000</v>
      </c>
      <c r="AA19" s="89">
        <f t="shared" si="27"/>
        <v>0</v>
      </c>
      <c r="AB19" s="89">
        <f t="shared" si="28"/>
        <v>20000</v>
      </c>
      <c r="AC19" s="4">
        <f t="shared" si="28"/>
        <v>0</v>
      </c>
      <c r="AD19" s="90">
        <f t="shared" si="28"/>
        <v>606.06060606060601</v>
      </c>
      <c r="AE19" s="78" t="str">
        <f t="shared" si="29"/>
        <v>계</v>
      </c>
      <c r="AF19" s="78" t="str">
        <f t="shared" si="30"/>
        <v>3/2</v>
      </c>
      <c r="AH19" s="20" t="str">
        <f t="shared" si="1"/>
        <v>송천우림</v>
      </c>
      <c r="AI19" s="86">
        <f t="shared" si="0"/>
        <v>33</v>
      </c>
      <c r="AJ19" s="78" t="str">
        <f t="shared" si="31"/>
        <v>A-</v>
      </c>
      <c r="AK19" s="78" t="s">
        <v>13</v>
      </c>
      <c r="AL19" s="78" t="s">
        <v>61</v>
      </c>
      <c r="AM19" s="78" t="s">
        <v>62</v>
      </c>
      <c r="AN19" s="78" t="str">
        <f t="shared" si="32"/>
        <v>C</v>
      </c>
      <c r="AO19" s="78" t="str">
        <f t="shared" si="33"/>
        <v>X</v>
      </c>
      <c r="AP19" s="78" t="str">
        <f t="shared" si="34"/>
        <v>O</v>
      </c>
      <c r="AQ19" s="78" t="str">
        <f t="shared" si="35"/>
        <v>O</v>
      </c>
      <c r="AR19" s="78" t="str">
        <f t="shared" si="36"/>
        <v>X</v>
      </c>
      <c r="AS19" s="78" t="s">
        <v>2</v>
      </c>
      <c r="AT19" s="78" t="str">
        <f t="shared" si="37"/>
        <v>O</v>
      </c>
      <c r="AU19" s="78" t="str">
        <f t="shared" si="38"/>
        <v>O</v>
      </c>
      <c r="AV19" s="78" t="str">
        <f t="shared" si="39"/>
        <v>X</v>
      </c>
    </row>
    <row r="20" spans="1:48" x14ac:dyDescent="0.3">
      <c r="A20" s="9" t="s">
        <v>637</v>
      </c>
      <c r="B20" s="10" t="s">
        <v>1556</v>
      </c>
      <c r="C20" s="87">
        <v>417</v>
      </c>
      <c r="D20" s="85">
        <v>108.4</v>
      </c>
      <c r="E20" s="86">
        <v>33</v>
      </c>
      <c r="F20" s="85">
        <v>84.6</v>
      </c>
      <c r="G20" s="17">
        <v>26</v>
      </c>
      <c r="H20" s="87">
        <v>20</v>
      </c>
      <c r="I20" s="88">
        <v>20000</v>
      </c>
      <c r="J20" s="88" t="s">
        <v>68</v>
      </c>
      <c r="K20" s="88"/>
      <c r="L20" s="88"/>
      <c r="M20" s="89">
        <f t="shared" si="21"/>
        <v>20000</v>
      </c>
      <c r="N20" s="4">
        <f t="shared" si="22"/>
        <v>0</v>
      </c>
      <c r="O20" s="90">
        <f t="shared" si="23"/>
        <v>606.06060606060601</v>
      </c>
      <c r="P20" s="90">
        <f t="shared" si="24"/>
        <v>0</v>
      </c>
      <c r="Q20" s="78">
        <v>3</v>
      </c>
      <c r="R20" s="78">
        <v>2</v>
      </c>
      <c r="S20" s="78" t="s">
        <v>59</v>
      </c>
      <c r="T20" s="5" t="s">
        <v>129</v>
      </c>
      <c r="U20" s="9"/>
      <c r="W20" s="85">
        <f t="shared" si="25"/>
        <v>108.4</v>
      </c>
      <c r="X20" s="86">
        <f t="shared" si="25"/>
        <v>33</v>
      </c>
      <c r="Y20" s="91">
        <f t="shared" si="26"/>
        <v>20</v>
      </c>
      <c r="Z20" s="89">
        <f t="shared" si="26"/>
        <v>20000</v>
      </c>
      <c r="AA20" s="89">
        <f t="shared" si="27"/>
        <v>0</v>
      </c>
      <c r="AB20" s="89">
        <f t="shared" si="28"/>
        <v>20000</v>
      </c>
      <c r="AC20" s="4">
        <f t="shared" si="28"/>
        <v>0</v>
      </c>
      <c r="AD20" s="90">
        <f t="shared" si="28"/>
        <v>606.06060606060601</v>
      </c>
      <c r="AE20" s="78" t="str">
        <f t="shared" si="29"/>
        <v>계</v>
      </c>
      <c r="AF20" s="78" t="str">
        <f t="shared" si="30"/>
        <v>3/2</v>
      </c>
      <c r="AH20" s="20" t="str">
        <f t="shared" si="1"/>
        <v>송천우림</v>
      </c>
      <c r="AI20" s="86">
        <f t="shared" si="0"/>
        <v>33</v>
      </c>
      <c r="AJ20" s="78" t="str">
        <f t="shared" si="31"/>
        <v>A-</v>
      </c>
      <c r="AK20" s="78" t="s">
        <v>13</v>
      </c>
      <c r="AL20" s="78" t="s">
        <v>61</v>
      </c>
      <c r="AM20" s="78" t="s">
        <v>62</v>
      </c>
      <c r="AN20" s="78" t="str">
        <f t="shared" si="32"/>
        <v>C</v>
      </c>
      <c r="AO20" s="78" t="str">
        <f t="shared" si="33"/>
        <v>X</v>
      </c>
      <c r="AP20" s="78" t="str">
        <f t="shared" si="34"/>
        <v>O</v>
      </c>
      <c r="AQ20" s="78" t="str">
        <f t="shared" si="35"/>
        <v>O</v>
      </c>
      <c r="AR20" s="78" t="str">
        <f t="shared" si="36"/>
        <v>X</v>
      </c>
      <c r="AS20" s="78" t="s">
        <v>2</v>
      </c>
      <c r="AT20" s="78" t="str">
        <f t="shared" si="37"/>
        <v>O</v>
      </c>
      <c r="AU20" s="78" t="str">
        <f t="shared" si="38"/>
        <v>O</v>
      </c>
      <c r="AV20" s="78" t="str">
        <f t="shared" si="39"/>
        <v>X</v>
      </c>
    </row>
    <row r="21" spans="1:48" x14ac:dyDescent="0.3">
      <c r="A21" s="9" t="s">
        <v>637</v>
      </c>
      <c r="B21" s="10" t="s">
        <v>1556</v>
      </c>
      <c r="C21" s="87">
        <v>417</v>
      </c>
      <c r="D21" s="85">
        <v>108.7</v>
      </c>
      <c r="E21" s="86">
        <v>33</v>
      </c>
      <c r="F21" s="85">
        <v>84.9</v>
      </c>
      <c r="G21" s="17">
        <v>26</v>
      </c>
      <c r="H21" s="87">
        <v>20</v>
      </c>
      <c r="I21" s="88">
        <v>20000</v>
      </c>
      <c r="J21" s="88" t="s">
        <v>141</v>
      </c>
      <c r="K21" s="88"/>
      <c r="L21" s="88"/>
      <c r="M21" s="89">
        <f t="shared" si="21"/>
        <v>20000</v>
      </c>
      <c r="N21" s="4">
        <f t="shared" si="22"/>
        <v>0</v>
      </c>
      <c r="O21" s="90">
        <f t="shared" si="23"/>
        <v>606.06060606060601</v>
      </c>
      <c r="P21" s="90">
        <f t="shared" si="24"/>
        <v>0</v>
      </c>
      <c r="Q21" s="78">
        <v>3</v>
      </c>
      <c r="R21" s="78">
        <v>2</v>
      </c>
      <c r="S21" s="78" t="s">
        <v>59</v>
      </c>
      <c r="T21" s="5" t="s">
        <v>130</v>
      </c>
      <c r="U21" s="9"/>
      <c r="W21" s="85">
        <f t="shared" si="25"/>
        <v>108.7</v>
      </c>
      <c r="X21" s="86">
        <f t="shared" si="25"/>
        <v>33</v>
      </c>
      <c r="Y21" s="91">
        <f t="shared" si="26"/>
        <v>20</v>
      </c>
      <c r="Z21" s="89">
        <f t="shared" si="26"/>
        <v>20000</v>
      </c>
      <c r="AA21" s="89">
        <f t="shared" si="27"/>
        <v>0</v>
      </c>
      <c r="AB21" s="89">
        <f t="shared" si="28"/>
        <v>20000</v>
      </c>
      <c r="AC21" s="4">
        <f t="shared" si="28"/>
        <v>0</v>
      </c>
      <c r="AD21" s="90">
        <f t="shared" si="28"/>
        <v>606.06060606060601</v>
      </c>
      <c r="AE21" s="78" t="str">
        <f t="shared" si="29"/>
        <v>계</v>
      </c>
      <c r="AF21" s="78" t="str">
        <f t="shared" si="30"/>
        <v>3/2</v>
      </c>
      <c r="AH21" s="20" t="str">
        <f t="shared" si="1"/>
        <v>송천우림</v>
      </c>
      <c r="AI21" s="86">
        <f t="shared" si="0"/>
        <v>33</v>
      </c>
      <c r="AJ21" s="78" t="str">
        <f t="shared" si="31"/>
        <v>A-</v>
      </c>
      <c r="AK21" s="78" t="s">
        <v>13</v>
      </c>
      <c r="AL21" s="78" t="s">
        <v>61</v>
      </c>
      <c r="AM21" s="78" t="s">
        <v>62</v>
      </c>
      <c r="AN21" s="78" t="str">
        <f t="shared" si="32"/>
        <v>C</v>
      </c>
      <c r="AO21" s="78" t="str">
        <f t="shared" si="33"/>
        <v>X</v>
      </c>
      <c r="AP21" s="78" t="str">
        <f t="shared" si="34"/>
        <v>O</v>
      </c>
      <c r="AQ21" s="78" t="str">
        <f t="shared" si="35"/>
        <v>O</v>
      </c>
      <c r="AR21" s="78" t="str">
        <f t="shared" si="36"/>
        <v>X</v>
      </c>
      <c r="AS21" s="78" t="s">
        <v>2</v>
      </c>
      <c r="AT21" s="78" t="str">
        <f t="shared" si="37"/>
        <v>O</v>
      </c>
      <c r="AU21" s="78" t="str">
        <f t="shared" si="38"/>
        <v>O</v>
      </c>
      <c r="AV21" s="78" t="str">
        <f t="shared" si="39"/>
        <v>X</v>
      </c>
    </row>
    <row r="22" spans="1:48" x14ac:dyDescent="0.3">
      <c r="A22" s="9" t="s">
        <v>637</v>
      </c>
      <c r="B22" s="10" t="s">
        <v>1556</v>
      </c>
      <c r="C22" s="87">
        <v>417</v>
      </c>
      <c r="D22" s="85">
        <v>126.8</v>
      </c>
      <c r="E22" s="86">
        <v>38</v>
      </c>
      <c r="F22" s="85">
        <v>102.4</v>
      </c>
      <c r="G22" s="17">
        <v>31</v>
      </c>
      <c r="H22" s="87">
        <v>40</v>
      </c>
      <c r="I22" s="88"/>
      <c r="J22" s="88"/>
      <c r="K22" s="88"/>
      <c r="L22" s="88"/>
      <c r="M22" s="89">
        <f t="shared" si="21"/>
        <v>0</v>
      </c>
      <c r="N22" s="4" t="str">
        <f t="shared" si="22"/>
        <v/>
      </c>
      <c r="O22" s="90">
        <f t="shared" si="23"/>
        <v>0</v>
      </c>
      <c r="P22" s="90">
        <f t="shared" si="24"/>
        <v>0</v>
      </c>
      <c r="Q22" s="78">
        <v>3</v>
      </c>
      <c r="R22" s="78">
        <v>2</v>
      </c>
      <c r="S22" s="78" t="s">
        <v>59</v>
      </c>
      <c r="T22" s="5">
        <v>126</v>
      </c>
      <c r="U22" s="9"/>
      <c r="W22" s="85">
        <f t="shared" si="25"/>
        <v>126.8</v>
      </c>
      <c r="X22" s="86">
        <f t="shared" si="25"/>
        <v>38</v>
      </c>
      <c r="Y22" s="91">
        <f t="shared" si="26"/>
        <v>40</v>
      </c>
      <c r="Z22" s="89">
        <f t="shared" si="26"/>
        <v>0</v>
      </c>
      <c r="AA22" s="89">
        <f t="shared" si="27"/>
        <v>0</v>
      </c>
      <c r="AB22" s="89">
        <f t="shared" si="28"/>
        <v>0</v>
      </c>
      <c r="AC22" s="4" t="str">
        <f t="shared" si="28"/>
        <v/>
      </c>
      <c r="AD22" s="90">
        <f t="shared" si="28"/>
        <v>0</v>
      </c>
      <c r="AE22" s="78" t="str">
        <f t="shared" si="29"/>
        <v>계</v>
      </c>
      <c r="AF22" s="78" t="str">
        <f t="shared" si="30"/>
        <v>3/2</v>
      </c>
      <c r="AH22" s="20" t="str">
        <f t="shared" si="1"/>
        <v>송천우림</v>
      </c>
      <c r="AI22" s="86">
        <f t="shared" si="0"/>
        <v>38</v>
      </c>
      <c r="AJ22" s="78" t="str">
        <f t="shared" si="31"/>
        <v>A-</v>
      </c>
      <c r="AK22" s="78" t="s">
        <v>13</v>
      </c>
      <c r="AL22" s="78" t="s">
        <v>61</v>
      </c>
      <c r="AM22" s="78" t="s">
        <v>62</v>
      </c>
      <c r="AN22" s="78" t="str">
        <f t="shared" si="32"/>
        <v>C</v>
      </c>
      <c r="AO22" s="78" t="str">
        <f t="shared" si="33"/>
        <v/>
      </c>
      <c r="AP22" s="78" t="str">
        <f t="shared" si="34"/>
        <v/>
      </c>
      <c r="AQ22" s="78" t="str">
        <f t="shared" si="35"/>
        <v>O</v>
      </c>
      <c r="AR22" s="78" t="str">
        <f t="shared" si="36"/>
        <v>O</v>
      </c>
      <c r="AS22" s="78" t="s">
        <v>2</v>
      </c>
      <c r="AT22" s="78" t="str">
        <f t="shared" si="37"/>
        <v>X</v>
      </c>
      <c r="AU22" s="78" t="str">
        <f t="shared" si="38"/>
        <v>O</v>
      </c>
      <c r="AV22" s="78" t="str">
        <f t="shared" si="39"/>
        <v/>
      </c>
    </row>
    <row r="23" spans="1:48" x14ac:dyDescent="0.3">
      <c r="A23" s="9"/>
      <c r="B23" s="78"/>
      <c r="C23" s="6"/>
      <c r="D23" s="9"/>
      <c r="E23" s="14"/>
      <c r="F23" s="85"/>
      <c r="G23" s="9"/>
      <c r="H23" s="9"/>
      <c r="I23" s="9"/>
      <c r="J23" s="9"/>
      <c r="K23" s="9"/>
      <c r="L23" s="9"/>
      <c r="M23" s="9"/>
      <c r="N23" s="9"/>
      <c r="O23" s="90"/>
      <c r="P23" s="90"/>
      <c r="Q23" s="86"/>
      <c r="R23" s="86"/>
      <c r="S23" s="9"/>
      <c r="T23" s="47"/>
      <c r="U23" s="9"/>
      <c r="W23" s="67" t="str">
        <f>$A$4&amp;" "&amp;A24&amp;"("&amp;B24&amp;","&amp;C24&amp;"^)"</f>
        <v>송천동1가 서호2단지('95.11.,394^)</v>
      </c>
      <c r="X23" s="68"/>
      <c r="Y23" s="68"/>
      <c r="Z23" s="68"/>
      <c r="AA23" s="68"/>
      <c r="AB23" s="68"/>
      <c r="AC23" s="68"/>
      <c r="AD23" s="68"/>
      <c r="AE23" s="68"/>
      <c r="AF23" s="69"/>
      <c r="AH23" s="20" t="str">
        <f t="shared" si="1"/>
        <v/>
      </c>
      <c r="AI23" s="108" t="str">
        <f t="shared" si="0"/>
        <v/>
      </c>
      <c r="AJ23" s="78"/>
      <c r="AK23" s="78"/>
      <c r="AL23" s="78"/>
      <c r="AM23" s="78"/>
      <c r="AN23" s="78"/>
      <c r="AO23" s="78"/>
      <c r="AP23" s="78"/>
      <c r="AQ23" s="78"/>
      <c r="AR23" s="78"/>
      <c r="AS23" s="78"/>
      <c r="AT23" s="78"/>
      <c r="AU23" s="78"/>
      <c r="AV23" s="78"/>
    </row>
    <row r="24" spans="1:48" x14ac:dyDescent="0.3">
      <c r="A24" s="9" t="s">
        <v>642</v>
      </c>
      <c r="B24" s="10" t="s">
        <v>1557</v>
      </c>
      <c r="C24" s="87">
        <v>394</v>
      </c>
      <c r="D24" s="85">
        <v>84.7</v>
      </c>
      <c r="E24" s="86">
        <v>26</v>
      </c>
      <c r="F24" s="85">
        <v>59.9</v>
      </c>
      <c r="G24" s="17">
        <v>18</v>
      </c>
      <c r="H24" s="87">
        <v>174</v>
      </c>
      <c r="I24" s="88">
        <v>12000</v>
      </c>
      <c r="J24" s="88" t="s">
        <v>68</v>
      </c>
      <c r="K24" s="88">
        <v>12000</v>
      </c>
      <c r="L24" s="88" t="s">
        <v>108</v>
      </c>
      <c r="M24" s="89">
        <f>I24-K24</f>
        <v>0</v>
      </c>
      <c r="N24" s="4">
        <f>IF(ISERROR(K24/I24),"",K24/I24)</f>
        <v>1</v>
      </c>
      <c r="O24" s="90">
        <f>I24/E24</f>
        <v>461.53846153846155</v>
      </c>
      <c r="P24" s="90">
        <f>K24/E24</f>
        <v>461.53846153846155</v>
      </c>
      <c r="Q24" s="78">
        <v>2</v>
      </c>
      <c r="R24" s="78">
        <v>1</v>
      </c>
      <c r="S24" s="78" t="s">
        <v>59</v>
      </c>
      <c r="T24" s="5">
        <v>84</v>
      </c>
      <c r="U24" s="9"/>
      <c r="W24" s="85">
        <f t="shared" ref="W24:X26" si="40">D24</f>
        <v>84.7</v>
      </c>
      <c r="X24" s="86">
        <f t="shared" si="40"/>
        <v>26</v>
      </c>
      <c r="Y24" s="91">
        <f t="shared" ref="Y24:Z26" si="41">H24</f>
        <v>174</v>
      </c>
      <c r="Z24" s="89">
        <f t="shared" si="41"/>
        <v>12000</v>
      </c>
      <c r="AA24" s="89">
        <f>K24</f>
        <v>12000</v>
      </c>
      <c r="AB24" s="89">
        <f t="shared" ref="AB24:AD26" si="42">M24</f>
        <v>0</v>
      </c>
      <c r="AC24" s="4">
        <f t="shared" si="42"/>
        <v>1</v>
      </c>
      <c r="AD24" s="90">
        <f t="shared" si="42"/>
        <v>461.53846153846155</v>
      </c>
      <c r="AE24" s="78" t="str">
        <f>S24</f>
        <v>계</v>
      </c>
      <c r="AF24" s="78" t="str">
        <f>Q24&amp;"/"&amp;R24</f>
        <v>2/1</v>
      </c>
      <c r="AH24" s="20" t="str">
        <f t="shared" si="1"/>
        <v>서호2단지</v>
      </c>
      <c r="AI24" s="86">
        <f t="shared" si="0"/>
        <v>26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O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O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후보</v>
      </c>
    </row>
    <row r="25" spans="1:48" x14ac:dyDescent="0.3">
      <c r="A25" s="9" t="s">
        <v>642</v>
      </c>
      <c r="B25" s="10" t="s">
        <v>1557</v>
      </c>
      <c r="C25" s="87">
        <v>394</v>
      </c>
      <c r="D25" s="85">
        <v>105.7</v>
      </c>
      <c r="E25" s="86">
        <v>32</v>
      </c>
      <c r="F25" s="85">
        <v>84.9</v>
      </c>
      <c r="G25" s="17">
        <v>26</v>
      </c>
      <c r="H25" s="87">
        <v>199</v>
      </c>
      <c r="I25" s="88"/>
      <c r="J25" s="88"/>
      <c r="K25" s="88"/>
      <c r="L25" s="88"/>
      <c r="M25" s="89">
        <f>I25-K25</f>
        <v>0</v>
      </c>
      <c r="N25" s="4" t="str">
        <f>IF(ISERROR(K25/I25),"",K25/I25)</f>
        <v/>
      </c>
      <c r="O25" s="90">
        <f>I25/E25</f>
        <v>0</v>
      </c>
      <c r="P25" s="90">
        <f>K25/E25</f>
        <v>0</v>
      </c>
      <c r="Q25" s="78">
        <v>3</v>
      </c>
      <c r="R25" s="78">
        <v>2</v>
      </c>
      <c r="S25" s="78" t="s">
        <v>59</v>
      </c>
      <c r="T25" s="5">
        <v>105</v>
      </c>
      <c r="U25" s="9"/>
      <c r="W25" s="85">
        <f t="shared" si="40"/>
        <v>105.7</v>
      </c>
      <c r="X25" s="86">
        <f t="shared" si="40"/>
        <v>32</v>
      </c>
      <c r="Y25" s="91">
        <f t="shared" si="41"/>
        <v>199</v>
      </c>
      <c r="Z25" s="89">
        <f t="shared" si="41"/>
        <v>0</v>
      </c>
      <c r="AA25" s="89">
        <f>K25</f>
        <v>0</v>
      </c>
      <c r="AB25" s="89">
        <f t="shared" si="42"/>
        <v>0</v>
      </c>
      <c r="AC25" s="4" t="str">
        <f t="shared" si="42"/>
        <v/>
      </c>
      <c r="AD25" s="90">
        <f t="shared" si="42"/>
        <v>0</v>
      </c>
      <c r="AE25" s="78" t="str">
        <f>S25</f>
        <v>계</v>
      </c>
      <c r="AF25" s="78" t="str">
        <f>Q25&amp;"/"&amp;R25</f>
        <v>3/2</v>
      </c>
      <c r="AH25" s="20" t="str">
        <f t="shared" si="1"/>
        <v>서호2단지</v>
      </c>
      <c r="AI25" s="86">
        <f t="shared" si="0"/>
        <v>32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/>
      </c>
      <c r="AP25" s="78" t="str">
        <f>IF(I25="","",IF(I25&lt;=$AP$1,"O","X"))</f>
        <v/>
      </c>
      <c r="AQ25" s="78" t="str">
        <f>IF(O25="","",IF(O25&lt;=$AQ$1,"O","X"))</f>
        <v>O</v>
      </c>
      <c r="AR25" s="78" t="str">
        <f>IF(M25="","",IF(M25&lt;=$AR$1,"O","X"))</f>
        <v>O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/>
      </c>
    </row>
    <row r="26" spans="1:48" x14ac:dyDescent="0.3">
      <c r="A26" s="9" t="s">
        <v>642</v>
      </c>
      <c r="B26" s="10" t="s">
        <v>1557</v>
      </c>
      <c r="C26" s="87">
        <v>394</v>
      </c>
      <c r="D26" s="85">
        <v>107.6</v>
      </c>
      <c r="E26" s="86">
        <v>33</v>
      </c>
      <c r="F26" s="85">
        <v>85</v>
      </c>
      <c r="G26" s="17">
        <v>26</v>
      </c>
      <c r="H26" s="87">
        <v>21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2</v>
      </c>
      <c r="S26" s="78" t="s">
        <v>59</v>
      </c>
      <c r="T26" s="5">
        <v>107</v>
      </c>
      <c r="U26" s="9"/>
      <c r="W26" s="85">
        <f t="shared" si="40"/>
        <v>107.6</v>
      </c>
      <c r="X26" s="86">
        <f t="shared" si="40"/>
        <v>33</v>
      </c>
      <c r="Y26" s="91">
        <f t="shared" si="41"/>
        <v>21</v>
      </c>
      <c r="Z26" s="89">
        <f t="shared" si="41"/>
        <v>0</v>
      </c>
      <c r="AA26" s="89">
        <f>K26</f>
        <v>0</v>
      </c>
      <c r="AB26" s="89">
        <f t="shared" si="42"/>
        <v>0</v>
      </c>
      <c r="AC26" s="4" t="str">
        <f t="shared" si="42"/>
        <v/>
      </c>
      <c r="AD26" s="90">
        <f t="shared" si="42"/>
        <v>0</v>
      </c>
      <c r="AE26" s="78" t="str">
        <f>S26</f>
        <v>계</v>
      </c>
      <c r="AF26" s="78" t="str">
        <f>Q26&amp;"/"&amp;R26</f>
        <v>3/2</v>
      </c>
      <c r="AH26" s="20" t="str">
        <f t="shared" si="1"/>
        <v>서호2단지</v>
      </c>
      <c r="AI26" s="86">
        <f t="shared" si="0"/>
        <v>33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송천동1가 송천센트럴파크1단지('08.04.,520^)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8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647</v>
      </c>
      <c r="B28" s="10" t="s">
        <v>1558</v>
      </c>
      <c r="C28" s="87">
        <v>520</v>
      </c>
      <c r="D28" s="85">
        <v>115.3</v>
      </c>
      <c r="E28" s="86">
        <v>35</v>
      </c>
      <c r="F28" s="85">
        <v>84.9</v>
      </c>
      <c r="G28" s="17">
        <v>26</v>
      </c>
      <c r="H28" s="87">
        <v>91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2</v>
      </c>
      <c r="S28" s="78" t="s">
        <v>59</v>
      </c>
      <c r="T28" s="5">
        <v>115</v>
      </c>
      <c r="U28" s="9"/>
      <c r="W28" s="85">
        <f t="shared" ref="W28:X32" si="43">D28</f>
        <v>115.3</v>
      </c>
      <c r="X28" s="86">
        <f t="shared" si="43"/>
        <v>35</v>
      </c>
      <c r="Y28" s="91">
        <f t="shared" ref="Y28:Z32" si="44">H28</f>
        <v>91</v>
      </c>
      <c r="Z28" s="89">
        <f t="shared" si="44"/>
        <v>0</v>
      </c>
      <c r="AA28" s="89">
        <f>K28</f>
        <v>0</v>
      </c>
      <c r="AB28" s="89">
        <f t="shared" ref="AB28:AD32" si="45">M28</f>
        <v>0</v>
      </c>
      <c r="AC28" s="4" t="str">
        <f t="shared" si="45"/>
        <v/>
      </c>
      <c r="AD28" s="90">
        <f t="shared" si="45"/>
        <v>0</v>
      </c>
      <c r="AE28" s="78" t="str">
        <f>S28</f>
        <v>계</v>
      </c>
      <c r="AF28" s="78" t="str">
        <f>Q28&amp;"/"&amp;R28</f>
        <v>3/2</v>
      </c>
      <c r="AH28" s="20" t="str">
        <f t="shared" si="1"/>
        <v>송천센트럴파크1단지</v>
      </c>
      <c r="AI28" s="86">
        <f t="shared" si="0"/>
        <v>35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/>
      </c>
    </row>
    <row r="29" spans="1:48" x14ac:dyDescent="0.3">
      <c r="A29" s="9" t="s">
        <v>647</v>
      </c>
      <c r="B29" s="10" t="s">
        <v>1558</v>
      </c>
      <c r="C29" s="87">
        <v>520</v>
      </c>
      <c r="D29" s="85">
        <v>131.1</v>
      </c>
      <c r="E29" s="86">
        <v>40</v>
      </c>
      <c r="F29" s="85">
        <v>101.1</v>
      </c>
      <c r="G29" s="17">
        <v>31</v>
      </c>
      <c r="H29" s="87">
        <v>61</v>
      </c>
      <c r="I29" s="88"/>
      <c r="J29" s="88"/>
      <c r="K29" s="88"/>
      <c r="L29" s="88"/>
      <c r="M29" s="89">
        <f>I29-K29</f>
        <v>0</v>
      </c>
      <c r="N29" s="4" t="str">
        <f>IF(ISERROR(K29/I29),"",K29/I29)</f>
        <v/>
      </c>
      <c r="O29" s="90">
        <f>I29/E29</f>
        <v>0</v>
      </c>
      <c r="P29" s="90">
        <f>K29/E29</f>
        <v>0</v>
      </c>
      <c r="Q29" s="78">
        <v>3</v>
      </c>
      <c r="R29" s="78">
        <v>2</v>
      </c>
      <c r="S29" s="78" t="s">
        <v>59</v>
      </c>
      <c r="T29" s="5">
        <v>131</v>
      </c>
      <c r="U29" s="9"/>
      <c r="W29" s="85">
        <f t="shared" si="43"/>
        <v>131.1</v>
      </c>
      <c r="X29" s="86">
        <f t="shared" si="43"/>
        <v>40</v>
      </c>
      <c r="Y29" s="91">
        <f t="shared" si="44"/>
        <v>61</v>
      </c>
      <c r="Z29" s="89">
        <f t="shared" si="44"/>
        <v>0</v>
      </c>
      <c r="AA29" s="89">
        <f>K29</f>
        <v>0</v>
      </c>
      <c r="AB29" s="89">
        <f t="shared" si="45"/>
        <v>0</v>
      </c>
      <c r="AC29" s="4" t="str">
        <f t="shared" si="45"/>
        <v/>
      </c>
      <c r="AD29" s="90">
        <f t="shared" si="45"/>
        <v>0</v>
      </c>
      <c r="AE29" s="78" t="str">
        <f>S29</f>
        <v>계</v>
      </c>
      <c r="AF29" s="78" t="str">
        <f>Q29&amp;"/"&amp;R29</f>
        <v>3/2</v>
      </c>
      <c r="AH29" s="20" t="str">
        <f t="shared" si="1"/>
        <v>송천센트럴파크1단지</v>
      </c>
      <c r="AI29" s="86">
        <f t="shared" si="0"/>
        <v>40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/>
      </c>
      <c r="AP29" s="78" t="str">
        <f>IF(I29="","",IF(I29&lt;=$AP$1,"O","X"))</f>
        <v/>
      </c>
      <c r="AQ29" s="78" t="str">
        <f>IF(O29="","",IF(O29&lt;=$AQ$1,"O","X"))</f>
        <v>O</v>
      </c>
      <c r="AR29" s="78" t="str">
        <f>IF(M29="","",IF(M29&lt;=$AR$1,"O","X"))</f>
        <v>O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/>
      </c>
    </row>
    <row r="30" spans="1:48" x14ac:dyDescent="0.3">
      <c r="A30" s="9" t="s">
        <v>647</v>
      </c>
      <c r="B30" s="10" t="s">
        <v>1558</v>
      </c>
      <c r="C30" s="87">
        <v>520</v>
      </c>
      <c r="D30" s="85">
        <v>144.6</v>
      </c>
      <c r="E30" s="86">
        <v>44</v>
      </c>
      <c r="F30" s="85">
        <v>112.9</v>
      </c>
      <c r="G30" s="17">
        <v>34</v>
      </c>
      <c r="H30" s="87">
        <v>218</v>
      </c>
      <c r="I30" s="88">
        <v>47500</v>
      </c>
      <c r="J30" s="88" t="s">
        <v>69</v>
      </c>
      <c r="K30" s="88"/>
      <c r="L30" s="88"/>
      <c r="M30" s="89">
        <f>I30-K30</f>
        <v>47500</v>
      </c>
      <c r="N30" s="4">
        <f>IF(ISERROR(K30/I30),"",K30/I30)</f>
        <v>0</v>
      </c>
      <c r="O30" s="90">
        <f>I30/E30</f>
        <v>1079.5454545454545</v>
      </c>
      <c r="P30" s="90">
        <f>K30/E30</f>
        <v>0</v>
      </c>
      <c r="Q30" s="78">
        <v>4</v>
      </c>
      <c r="R30" s="78">
        <v>2</v>
      </c>
      <c r="S30" s="78" t="s">
        <v>59</v>
      </c>
      <c r="T30" s="5">
        <v>144</v>
      </c>
      <c r="U30" s="9"/>
      <c r="W30" s="85">
        <f t="shared" si="43"/>
        <v>144.6</v>
      </c>
      <c r="X30" s="86">
        <f t="shared" si="43"/>
        <v>44</v>
      </c>
      <c r="Y30" s="91">
        <f t="shared" si="44"/>
        <v>218</v>
      </c>
      <c r="Z30" s="89">
        <f t="shared" si="44"/>
        <v>47500</v>
      </c>
      <c r="AA30" s="89">
        <f>K30</f>
        <v>0</v>
      </c>
      <c r="AB30" s="89">
        <f t="shared" si="45"/>
        <v>47500</v>
      </c>
      <c r="AC30" s="4">
        <f t="shared" si="45"/>
        <v>0</v>
      </c>
      <c r="AD30" s="90">
        <f t="shared" si="45"/>
        <v>1079.5454545454545</v>
      </c>
      <c r="AE30" s="78" t="str">
        <f>S30</f>
        <v>계</v>
      </c>
      <c r="AF30" s="78" t="str">
        <f>Q30&amp;"/"&amp;R30</f>
        <v>4/2</v>
      </c>
      <c r="AH30" s="20" t="str">
        <f t="shared" si="1"/>
        <v>송천센트럴파크1단지</v>
      </c>
      <c r="AI30" s="86">
        <f t="shared" si="0"/>
        <v>44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647</v>
      </c>
      <c r="B31" s="10" t="s">
        <v>1558</v>
      </c>
      <c r="C31" s="87">
        <v>520</v>
      </c>
      <c r="D31" s="85">
        <v>184.4</v>
      </c>
      <c r="E31" s="86">
        <v>56</v>
      </c>
      <c r="F31" s="85">
        <v>143.80000000000001</v>
      </c>
      <c r="G31" s="17">
        <v>43</v>
      </c>
      <c r="H31" s="87">
        <v>140</v>
      </c>
      <c r="I31" s="88">
        <v>55000</v>
      </c>
      <c r="J31" s="88" t="s">
        <v>68</v>
      </c>
      <c r="K31" s="88"/>
      <c r="L31" s="88"/>
      <c r="M31" s="89">
        <f>I31-K31</f>
        <v>55000</v>
      </c>
      <c r="N31" s="4">
        <f>IF(ISERROR(K31/I31),"",K31/I31)</f>
        <v>0</v>
      </c>
      <c r="O31" s="90">
        <f>I31/E31</f>
        <v>982.14285714285711</v>
      </c>
      <c r="P31" s="90">
        <f>K31/E31</f>
        <v>0</v>
      </c>
      <c r="Q31" s="78">
        <v>4</v>
      </c>
      <c r="R31" s="78">
        <v>2</v>
      </c>
      <c r="S31" s="78" t="s">
        <v>59</v>
      </c>
      <c r="T31" s="5">
        <v>184</v>
      </c>
      <c r="U31" s="9"/>
      <c r="W31" s="85">
        <f t="shared" si="43"/>
        <v>184.4</v>
      </c>
      <c r="X31" s="86">
        <f t="shared" si="43"/>
        <v>56</v>
      </c>
      <c r="Y31" s="91">
        <f t="shared" si="44"/>
        <v>140</v>
      </c>
      <c r="Z31" s="89">
        <f t="shared" si="44"/>
        <v>55000</v>
      </c>
      <c r="AA31" s="89">
        <f>K31</f>
        <v>0</v>
      </c>
      <c r="AB31" s="89">
        <f t="shared" si="45"/>
        <v>55000</v>
      </c>
      <c r="AC31" s="4">
        <f t="shared" si="45"/>
        <v>0</v>
      </c>
      <c r="AD31" s="90">
        <f t="shared" si="45"/>
        <v>982.14285714285711</v>
      </c>
      <c r="AE31" s="78" t="str">
        <f>S31</f>
        <v>계</v>
      </c>
      <c r="AF31" s="78" t="str">
        <f>Q31&amp;"/"&amp;R31</f>
        <v>4/2</v>
      </c>
      <c r="AH31" s="20" t="str">
        <f t="shared" si="1"/>
        <v>송천센트럴파크1단지</v>
      </c>
      <c r="AI31" s="86">
        <f t="shared" si="0"/>
        <v>56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O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 t="s">
        <v>647</v>
      </c>
      <c r="B32" s="10" t="s">
        <v>1558</v>
      </c>
      <c r="C32" s="87">
        <v>520</v>
      </c>
      <c r="D32" s="85">
        <v>234.8</v>
      </c>
      <c r="E32" s="86">
        <v>71</v>
      </c>
      <c r="F32" s="85">
        <v>182.3</v>
      </c>
      <c r="G32" s="17">
        <v>55</v>
      </c>
      <c r="H32" s="87">
        <v>10</v>
      </c>
      <c r="I32" s="88"/>
      <c r="J32" s="88"/>
      <c r="K32" s="88"/>
      <c r="L32" s="88"/>
      <c r="M32" s="89">
        <f>I32-K32</f>
        <v>0</v>
      </c>
      <c r="N32" s="4" t="str">
        <f>IF(ISERROR(K32/I32),"",K32/I32)</f>
        <v/>
      </c>
      <c r="O32" s="90">
        <f>I32/E32</f>
        <v>0</v>
      </c>
      <c r="P32" s="90">
        <f>K32/E32</f>
        <v>0</v>
      </c>
      <c r="Q32" s="78">
        <v>5</v>
      </c>
      <c r="R32" s="78">
        <v>3</v>
      </c>
      <c r="S32" s="78" t="s">
        <v>59</v>
      </c>
      <c r="T32" s="5">
        <v>234</v>
      </c>
      <c r="U32" s="9"/>
      <c r="W32" s="85">
        <f t="shared" si="43"/>
        <v>234.8</v>
      </c>
      <c r="X32" s="86">
        <f t="shared" si="43"/>
        <v>71</v>
      </c>
      <c r="Y32" s="91">
        <f t="shared" si="44"/>
        <v>10</v>
      </c>
      <c r="Z32" s="89">
        <f t="shared" si="44"/>
        <v>0</v>
      </c>
      <c r="AA32" s="89">
        <f>K32</f>
        <v>0</v>
      </c>
      <c r="AB32" s="89">
        <f t="shared" si="45"/>
        <v>0</v>
      </c>
      <c r="AC32" s="4" t="str">
        <f t="shared" si="45"/>
        <v/>
      </c>
      <c r="AD32" s="90">
        <f t="shared" si="45"/>
        <v>0</v>
      </c>
      <c r="AE32" s="78" t="str">
        <f>S32</f>
        <v>계</v>
      </c>
      <c r="AF32" s="78" t="str">
        <f>Q32&amp;"/"&amp;R32</f>
        <v>5/3</v>
      </c>
      <c r="AH32" s="20" t="str">
        <f t="shared" si="1"/>
        <v>송천센트럴파크1단지</v>
      </c>
      <c r="AI32" s="86">
        <f t="shared" si="0"/>
        <v>71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/>
      </c>
      <c r="AP32" s="78" t="str">
        <f>IF(I32="","",IF(I32&lt;=$AP$1,"O","X"))</f>
        <v/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/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송천동1가 송천아이파크5단지('09.05.,478^)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660</v>
      </c>
      <c r="B34" s="10" t="s">
        <v>1559</v>
      </c>
      <c r="C34" s="87">
        <v>478</v>
      </c>
      <c r="D34" s="85">
        <v>135.5</v>
      </c>
      <c r="E34" s="86">
        <v>41</v>
      </c>
      <c r="F34" s="85">
        <v>101.9</v>
      </c>
      <c r="G34" s="17">
        <v>31</v>
      </c>
      <c r="H34" s="87">
        <v>118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3</v>
      </c>
      <c r="R34" s="78">
        <v>2</v>
      </c>
      <c r="S34" s="78" t="s">
        <v>59</v>
      </c>
      <c r="T34" s="5">
        <v>135</v>
      </c>
      <c r="U34" s="9"/>
      <c r="W34" s="85">
        <f t="shared" ref="W34:X37" si="46">D34</f>
        <v>135.5</v>
      </c>
      <c r="X34" s="86">
        <f t="shared" si="46"/>
        <v>41</v>
      </c>
      <c r="Y34" s="91">
        <f t="shared" ref="Y34:Z37" si="47">H34</f>
        <v>118</v>
      </c>
      <c r="Z34" s="89">
        <f t="shared" si="47"/>
        <v>0</v>
      </c>
      <c r="AA34" s="89">
        <f>K34</f>
        <v>0</v>
      </c>
      <c r="AB34" s="89">
        <f t="shared" ref="AB34:AD37" si="48">M34</f>
        <v>0</v>
      </c>
      <c r="AC34" s="4" t="str">
        <f t="shared" si="48"/>
        <v/>
      </c>
      <c r="AD34" s="90">
        <f t="shared" si="48"/>
        <v>0</v>
      </c>
      <c r="AE34" s="78" t="str">
        <f>S34</f>
        <v>계</v>
      </c>
      <c r="AF34" s="78" t="str">
        <f>Q34&amp;"/"&amp;R34</f>
        <v>3/2</v>
      </c>
      <c r="AH34" s="20" t="str">
        <f t="shared" si="1"/>
        <v>송천아이파크5단지</v>
      </c>
      <c r="AI34" s="86">
        <f t="shared" si="0"/>
        <v>41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/>
      </c>
    </row>
    <row r="35" spans="1:48" x14ac:dyDescent="0.3">
      <c r="A35" s="9" t="s">
        <v>660</v>
      </c>
      <c r="B35" s="10" t="s">
        <v>1559</v>
      </c>
      <c r="C35" s="87">
        <v>478</v>
      </c>
      <c r="D35" s="85">
        <v>164.5</v>
      </c>
      <c r="E35" s="86">
        <v>50</v>
      </c>
      <c r="F35" s="85">
        <v>126.5</v>
      </c>
      <c r="G35" s="17">
        <v>38</v>
      </c>
      <c r="H35" s="87">
        <v>168</v>
      </c>
      <c r="I35" s="88">
        <v>66000</v>
      </c>
      <c r="J35" s="88" t="s">
        <v>83</v>
      </c>
      <c r="K35" s="88">
        <v>54000</v>
      </c>
      <c r="L35" s="88" t="s">
        <v>89</v>
      </c>
      <c r="M35" s="89">
        <f>I35-K35</f>
        <v>12000</v>
      </c>
      <c r="N35" s="4">
        <f>IF(ISERROR(K35/I35),"",K35/I35)</f>
        <v>0.81818181818181823</v>
      </c>
      <c r="O35" s="90">
        <f>I35/E35</f>
        <v>1320</v>
      </c>
      <c r="P35" s="90">
        <f>K35/E35</f>
        <v>1080</v>
      </c>
      <c r="Q35" s="78">
        <v>4</v>
      </c>
      <c r="R35" s="78">
        <v>2</v>
      </c>
      <c r="S35" s="78" t="s">
        <v>59</v>
      </c>
      <c r="T35" s="5">
        <v>164</v>
      </c>
      <c r="U35" s="9"/>
      <c r="W35" s="85">
        <f t="shared" si="46"/>
        <v>164.5</v>
      </c>
      <c r="X35" s="86">
        <f t="shared" si="46"/>
        <v>50</v>
      </c>
      <c r="Y35" s="91">
        <f t="shared" si="47"/>
        <v>168</v>
      </c>
      <c r="Z35" s="89">
        <f t="shared" si="47"/>
        <v>66000</v>
      </c>
      <c r="AA35" s="89">
        <f>K35</f>
        <v>54000</v>
      </c>
      <c r="AB35" s="89">
        <f t="shared" si="48"/>
        <v>12000</v>
      </c>
      <c r="AC35" s="4">
        <f t="shared" si="48"/>
        <v>0.81818181818181823</v>
      </c>
      <c r="AD35" s="90">
        <f t="shared" si="48"/>
        <v>1320</v>
      </c>
      <c r="AE35" s="78" t="str">
        <f>S35</f>
        <v>계</v>
      </c>
      <c r="AF35" s="78" t="str">
        <f>Q35&amp;"/"&amp;R35</f>
        <v>4/2</v>
      </c>
      <c r="AH35" s="20" t="str">
        <f t="shared" si="1"/>
        <v>송천아이파크5단지</v>
      </c>
      <c r="AI35" s="86">
        <f t="shared" ref="AI35:AI66" si="49">IF(E35="","",E35)</f>
        <v>50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O</v>
      </c>
      <c r="AP35" s="78" t="str">
        <f>IF(I35="","",IF(I35&lt;=$AP$1,"O","X"))</f>
        <v>X</v>
      </c>
      <c r="AQ35" s="78" t="str">
        <f>IF(O35="","",IF(O35&lt;=$AQ$1,"O","X"))</f>
        <v>X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660</v>
      </c>
      <c r="B36" s="10" t="s">
        <v>1559</v>
      </c>
      <c r="C36" s="87">
        <v>478</v>
      </c>
      <c r="D36" s="85">
        <v>191.6</v>
      </c>
      <c r="E36" s="86">
        <v>58</v>
      </c>
      <c r="F36" s="85">
        <v>154</v>
      </c>
      <c r="G36" s="17">
        <v>47</v>
      </c>
      <c r="H36" s="87">
        <v>144</v>
      </c>
      <c r="I36" s="88">
        <v>78000</v>
      </c>
      <c r="J36" s="88" t="s">
        <v>82</v>
      </c>
      <c r="K36" s="88">
        <v>58000</v>
      </c>
      <c r="L36" s="88" t="s">
        <v>93</v>
      </c>
      <c r="M36" s="89">
        <f>I36-K36</f>
        <v>20000</v>
      </c>
      <c r="N36" s="4">
        <f>IF(ISERROR(K36/I36),"",K36/I36)</f>
        <v>0.74358974358974361</v>
      </c>
      <c r="O36" s="90">
        <f>I36/E36</f>
        <v>1344.8275862068965</v>
      </c>
      <c r="P36" s="90">
        <f>K36/E36</f>
        <v>1000</v>
      </c>
      <c r="Q36" s="78">
        <v>4</v>
      </c>
      <c r="R36" s="78">
        <v>2</v>
      </c>
      <c r="S36" s="78" t="s">
        <v>59</v>
      </c>
      <c r="T36" s="5">
        <v>191</v>
      </c>
      <c r="U36" s="9"/>
      <c r="W36" s="85">
        <f t="shared" si="46"/>
        <v>191.6</v>
      </c>
      <c r="X36" s="86">
        <f t="shared" si="46"/>
        <v>58</v>
      </c>
      <c r="Y36" s="91">
        <f t="shared" si="47"/>
        <v>144</v>
      </c>
      <c r="Z36" s="89">
        <f t="shared" si="47"/>
        <v>78000</v>
      </c>
      <c r="AA36" s="89">
        <f>K36</f>
        <v>58000</v>
      </c>
      <c r="AB36" s="89">
        <f t="shared" si="48"/>
        <v>20000</v>
      </c>
      <c r="AC36" s="4">
        <f t="shared" si="48"/>
        <v>0.74358974358974361</v>
      </c>
      <c r="AD36" s="90">
        <f t="shared" si="48"/>
        <v>1344.8275862068965</v>
      </c>
      <c r="AE36" s="78" t="str">
        <f>S36</f>
        <v>계</v>
      </c>
      <c r="AF36" s="78" t="str">
        <f>Q36&amp;"/"&amp;R36</f>
        <v>4/2</v>
      </c>
      <c r="AH36" s="20" t="str">
        <f t="shared" si="1"/>
        <v>송천아이파크5단지</v>
      </c>
      <c r="AI36" s="86">
        <f t="shared" si="49"/>
        <v>58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X</v>
      </c>
      <c r="AQ36" s="78" t="str">
        <f>IF(O36="","",IF(O36&lt;=$AQ$1,"O","X"))</f>
        <v>X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660</v>
      </c>
      <c r="B37" s="10" t="s">
        <v>1559</v>
      </c>
      <c r="C37" s="87">
        <v>478</v>
      </c>
      <c r="D37" s="85">
        <v>217</v>
      </c>
      <c r="E37" s="86">
        <v>66</v>
      </c>
      <c r="F37" s="85">
        <v>183.8</v>
      </c>
      <c r="G37" s="17">
        <v>56</v>
      </c>
      <c r="H37" s="87">
        <v>48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4</v>
      </c>
      <c r="R37" s="78">
        <v>2</v>
      </c>
      <c r="S37" s="78" t="s">
        <v>59</v>
      </c>
      <c r="T37" s="5">
        <v>216</v>
      </c>
      <c r="U37" s="9"/>
      <c r="W37" s="85">
        <f t="shared" si="46"/>
        <v>217</v>
      </c>
      <c r="X37" s="86">
        <f t="shared" si="46"/>
        <v>66</v>
      </c>
      <c r="Y37" s="91">
        <f t="shared" si="47"/>
        <v>48</v>
      </c>
      <c r="Z37" s="89">
        <f t="shared" si="47"/>
        <v>0</v>
      </c>
      <c r="AA37" s="89">
        <f>K37</f>
        <v>0</v>
      </c>
      <c r="AB37" s="89">
        <f t="shared" si="48"/>
        <v>0</v>
      </c>
      <c r="AC37" s="4" t="str">
        <f t="shared" si="48"/>
        <v/>
      </c>
      <c r="AD37" s="90">
        <f t="shared" si="48"/>
        <v>0</v>
      </c>
      <c r="AE37" s="78" t="str">
        <f>S37</f>
        <v>계</v>
      </c>
      <c r="AF37" s="78" t="str">
        <f>Q37&amp;"/"&amp;R37</f>
        <v>4/2</v>
      </c>
      <c r="AH37" s="20" t="str">
        <f t="shared" ref="AH37:AH68" si="50">IF(A37="","",A37)</f>
        <v>송천아이파크5단지</v>
      </c>
      <c r="AI37" s="86">
        <f t="shared" si="49"/>
        <v>66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송천동1가 벽산e-리버파크('13.10.,464^)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0"/>
        <v/>
      </c>
      <c r="AI38" s="108" t="str">
        <f t="shared" si="49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665</v>
      </c>
      <c r="B39" s="10" t="s">
        <v>1560</v>
      </c>
      <c r="C39" s="87">
        <v>464</v>
      </c>
      <c r="D39" s="85">
        <v>110.9</v>
      </c>
      <c r="E39" s="86">
        <v>34</v>
      </c>
      <c r="F39" s="85">
        <v>84.9</v>
      </c>
      <c r="G39" s="17">
        <v>26</v>
      </c>
      <c r="H39" s="87">
        <v>180</v>
      </c>
      <c r="I39" s="88">
        <v>36000</v>
      </c>
      <c r="J39" s="88" t="s">
        <v>82</v>
      </c>
      <c r="K39" s="88"/>
      <c r="L39" s="88"/>
      <c r="M39" s="89">
        <f>I39-K39</f>
        <v>36000</v>
      </c>
      <c r="N39" s="4">
        <f>IF(ISERROR(K39/I39),"",K39/I39)</f>
        <v>0</v>
      </c>
      <c r="O39" s="90">
        <f>I39/E39</f>
        <v>1058.8235294117646</v>
      </c>
      <c r="P39" s="90">
        <f>K39/E39</f>
        <v>0</v>
      </c>
      <c r="Q39" s="78">
        <v>3</v>
      </c>
      <c r="R39" s="78">
        <v>2</v>
      </c>
      <c r="S39" s="78" t="s">
        <v>59</v>
      </c>
      <c r="T39" s="5" t="s">
        <v>132</v>
      </c>
      <c r="U39" s="9"/>
      <c r="W39" s="85">
        <f t="shared" ref="W39:X41" si="51">D39</f>
        <v>110.9</v>
      </c>
      <c r="X39" s="86">
        <f t="shared" si="51"/>
        <v>34</v>
      </c>
      <c r="Y39" s="91">
        <f t="shared" ref="Y39:Z41" si="52">H39</f>
        <v>180</v>
      </c>
      <c r="Z39" s="89">
        <f t="shared" si="52"/>
        <v>36000</v>
      </c>
      <c r="AA39" s="89">
        <f>K39</f>
        <v>0</v>
      </c>
      <c r="AB39" s="89">
        <f t="shared" ref="AB39:AD41" si="53">M39</f>
        <v>36000</v>
      </c>
      <c r="AC39" s="4">
        <f t="shared" si="53"/>
        <v>0</v>
      </c>
      <c r="AD39" s="90">
        <f t="shared" si="53"/>
        <v>1058.8235294117646</v>
      </c>
      <c r="AE39" s="78" t="str">
        <f>S39</f>
        <v>계</v>
      </c>
      <c r="AF39" s="78" t="str">
        <f>Q39&amp;"/"&amp;R39</f>
        <v>3/2</v>
      </c>
      <c r="AH39" s="20" t="str">
        <f t="shared" si="50"/>
        <v>벽산e-리버파크</v>
      </c>
      <c r="AI39" s="86">
        <f t="shared" si="49"/>
        <v>34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O</v>
      </c>
      <c r="AQ39" s="78" t="str">
        <f>IF(O39="","",IF(O39&lt;=$AQ$1,"O","X"))</f>
        <v>X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 t="s">
        <v>665</v>
      </c>
      <c r="B40" s="10" t="s">
        <v>1560</v>
      </c>
      <c r="C40" s="87">
        <v>464</v>
      </c>
      <c r="D40" s="85">
        <v>110.1</v>
      </c>
      <c r="E40" s="86">
        <v>33</v>
      </c>
      <c r="F40" s="85">
        <v>85</v>
      </c>
      <c r="G40" s="17">
        <v>26</v>
      </c>
      <c r="H40" s="87">
        <v>160</v>
      </c>
      <c r="I40" s="88">
        <v>35500</v>
      </c>
      <c r="J40" s="88" t="s">
        <v>68</v>
      </c>
      <c r="K40" s="88">
        <v>33000</v>
      </c>
      <c r="L40" s="88" t="s">
        <v>68</v>
      </c>
      <c r="M40" s="89">
        <f>I40-K40</f>
        <v>2500</v>
      </c>
      <c r="N40" s="4">
        <f>IF(ISERROR(K40/I40),"",K40/I40)</f>
        <v>0.92957746478873238</v>
      </c>
      <c r="O40" s="90">
        <f>I40/E40</f>
        <v>1075.7575757575758</v>
      </c>
      <c r="P40" s="90">
        <f>K40/E40</f>
        <v>1000</v>
      </c>
      <c r="Q40" s="78">
        <v>3</v>
      </c>
      <c r="R40" s="78">
        <v>2</v>
      </c>
      <c r="S40" s="78" t="s">
        <v>59</v>
      </c>
      <c r="T40" s="5" t="s">
        <v>91</v>
      </c>
      <c r="U40" s="9"/>
      <c r="W40" s="85">
        <f t="shared" si="51"/>
        <v>110.1</v>
      </c>
      <c r="X40" s="86">
        <f t="shared" si="51"/>
        <v>33</v>
      </c>
      <c r="Y40" s="91">
        <f t="shared" si="52"/>
        <v>160</v>
      </c>
      <c r="Z40" s="89">
        <f t="shared" si="52"/>
        <v>35500</v>
      </c>
      <c r="AA40" s="89">
        <f>K40</f>
        <v>33000</v>
      </c>
      <c r="AB40" s="89">
        <f t="shared" si="53"/>
        <v>2500</v>
      </c>
      <c r="AC40" s="4">
        <f t="shared" si="53"/>
        <v>0.92957746478873238</v>
      </c>
      <c r="AD40" s="90">
        <f t="shared" si="53"/>
        <v>1075.7575757575758</v>
      </c>
      <c r="AE40" s="78" t="str">
        <f>S40</f>
        <v>계</v>
      </c>
      <c r="AF40" s="78" t="str">
        <f>Q40&amp;"/"&amp;R40</f>
        <v>3/2</v>
      </c>
      <c r="AH40" s="20" t="str">
        <f t="shared" si="50"/>
        <v>벽산e-리버파크</v>
      </c>
      <c r="AI40" s="86">
        <f t="shared" si="49"/>
        <v>33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>O</v>
      </c>
      <c r="AP40" s="78" t="str">
        <f>IF(I40="","",IF(I40&lt;=$AP$1,"O","X"))</f>
        <v>O</v>
      </c>
      <c r="AQ40" s="78" t="str">
        <f>IF(O40="","",IF(O40&lt;=$AQ$1,"O","X"))</f>
        <v>X</v>
      </c>
      <c r="AR40" s="78" t="str">
        <f>IF(M40="","",IF(M40&lt;=$AR$1,"O","X"))</f>
        <v>O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후보</v>
      </c>
    </row>
    <row r="41" spans="1:48" x14ac:dyDescent="0.3">
      <c r="A41" s="9" t="s">
        <v>665</v>
      </c>
      <c r="B41" s="10" t="s">
        <v>1560</v>
      </c>
      <c r="C41" s="87">
        <v>464</v>
      </c>
      <c r="D41" s="85">
        <v>110.5</v>
      </c>
      <c r="E41" s="86">
        <v>33</v>
      </c>
      <c r="F41" s="85">
        <v>84.9</v>
      </c>
      <c r="G41" s="17">
        <v>26</v>
      </c>
      <c r="H41" s="87">
        <v>124</v>
      </c>
      <c r="I41" s="88">
        <v>32300</v>
      </c>
      <c r="J41" s="88" t="s">
        <v>69</v>
      </c>
      <c r="K41" s="88"/>
      <c r="L41" s="88"/>
      <c r="M41" s="89">
        <f>I41-K41</f>
        <v>32300</v>
      </c>
      <c r="N41" s="4">
        <f>IF(ISERROR(K41/I41),"",K41/I41)</f>
        <v>0</v>
      </c>
      <c r="O41" s="90">
        <f>I41/E41</f>
        <v>978.78787878787875</v>
      </c>
      <c r="P41" s="90">
        <f>K41/E41</f>
        <v>0</v>
      </c>
      <c r="Q41" s="78">
        <v>3</v>
      </c>
      <c r="R41" s="78">
        <v>2</v>
      </c>
      <c r="S41" s="78" t="s">
        <v>59</v>
      </c>
      <c r="T41" s="5" t="s">
        <v>73</v>
      </c>
      <c r="U41" s="9"/>
      <c r="W41" s="85">
        <f t="shared" si="51"/>
        <v>110.5</v>
      </c>
      <c r="X41" s="86">
        <f t="shared" si="51"/>
        <v>33</v>
      </c>
      <c r="Y41" s="91">
        <f t="shared" si="52"/>
        <v>124</v>
      </c>
      <c r="Z41" s="89">
        <f t="shared" si="52"/>
        <v>32300</v>
      </c>
      <c r="AA41" s="89">
        <f>K41</f>
        <v>0</v>
      </c>
      <c r="AB41" s="89">
        <f t="shared" si="53"/>
        <v>32300</v>
      </c>
      <c r="AC41" s="4">
        <f t="shared" si="53"/>
        <v>0</v>
      </c>
      <c r="AD41" s="90">
        <f t="shared" si="53"/>
        <v>978.78787878787875</v>
      </c>
      <c r="AE41" s="78" t="str">
        <f>S41</f>
        <v>계</v>
      </c>
      <c r="AF41" s="78" t="str">
        <f>Q41&amp;"/"&amp;R41</f>
        <v>3/2</v>
      </c>
      <c r="AH41" s="20" t="str">
        <f t="shared" si="50"/>
        <v>벽산e-리버파크</v>
      </c>
      <c r="AI41" s="86">
        <f t="shared" si="49"/>
        <v>33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O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/>
      <c r="B42" s="78"/>
      <c r="C42" s="6"/>
      <c r="D42" s="9"/>
      <c r="E42" s="14"/>
      <c r="F42" s="85"/>
      <c r="G42" s="9"/>
      <c r="H42" s="9"/>
      <c r="I42" s="9"/>
      <c r="J42" s="9"/>
      <c r="K42" s="9"/>
      <c r="L42" s="9"/>
      <c r="M42" s="9"/>
      <c r="N42" s="9"/>
      <c r="O42" s="90"/>
      <c r="P42" s="90"/>
      <c r="Q42" s="86"/>
      <c r="R42" s="86"/>
      <c r="S42" s="9"/>
      <c r="T42" s="47"/>
      <c r="U42" s="9"/>
      <c r="W42" s="67" t="str">
        <f>$A$4&amp;" "&amp;A43&amp;"("&amp;B43&amp;","&amp;C43&amp;"^)"</f>
        <v>송천동1가 한양('93.05.,782^)</v>
      </c>
      <c r="X42" s="68"/>
      <c r="Y42" s="68"/>
      <c r="Z42" s="68"/>
      <c r="AA42" s="68"/>
      <c r="AB42" s="68"/>
      <c r="AC42" s="68"/>
      <c r="AD42" s="68"/>
      <c r="AE42" s="68"/>
      <c r="AF42" s="69"/>
      <c r="AH42" s="20" t="str">
        <f t="shared" si="50"/>
        <v/>
      </c>
      <c r="AI42" s="108" t="str">
        <f t="shared" si="49"/>
        <v/>
      </c>
      <c r="AJ42" s="78"/>
      <c r="AK42" s="78"/>
      <c r="AL42" s="78"/>
      <c r="AM42" s="78"/>
      <c r="AN42" s="78"/>
      <c r="AO42" s="78"/>
      <c r="AP42" s="78"/>
      <c r="AQ42" s="78"/>
      <c r="AR42" s="78"/>
      <c r="AS42" s="78"/>
      <c r="AT42" s="78"/>
      <c r="AU42" s="78"/>
      <c r="AV42" s="78"/>
    </row>
    <row r="43" spans="1:48" x14ac:dyDescent="0.3">
      <c r="A43" s="9" t="s">
        <v>337</v>
      </c>
      <c r="B43" s="10" t="s">
        <v>1561</v>
      </c>
      <c r="C43" s="87">
        <v>782</v>
      </c>
      <c r="D43" s="85">
        <v>90.9</v>
      </c>
      <c r="E43" s="86">
        <v>28</v>
      </c>
      <c r="F43" s="85">
        <v>75.2</v>
      </c>
      <c r="G43" s="17">
        <v>23</v>
      </c>
      <c r="H43" s="87">
        <v>165</v>
      </c>
      <c r="I43" s="88">
        <v>14000</v>
      </c>
      <c r="J43" s="88" t="s">
        <v>127</v>
      </c>
      <c r="K43" s="88">
        <v>12000</v>
      </c>
      <c r="L43" s="88" t="s">
        <v>72</v>
      </c>
      <c r="M43" s="89">
        <f>I43-K43</f>
        <v>2000</v>
      </c>
      <c r="N43" s="4">
        <f>IF(ISERROR(K43/I43),"",K43/I43)</f>
        <v>0.8571428571428571</v>
      </c>
      <c r="O43" s="90">
        <f>I43/E43</f>
        <v>500</v>
      </c>
      <c r="P43" s="90">
        <f>K43/E43</f>
        <v>428.57142857142856</v>
      </c>
      <c r="Q43" s="78">
        <v>3</v>
      </c>
      <c r="R43" s="78">
        <v>1</v>
      </c>
      <c r="S43" s="78" t="s">
        <v>59</v>
      </c>
      <c r="T43" s="5" t="s">
        <v>133</v>
      </c>
      <c r="U43" s="9"/>
      <c r="W43" s="85">
        <f t="shared" ref="W43:X47" si="54">D43</f>
        <v>90.9</v>
      </c>
      <c r="X43" s="86">
        <f t="shared" si="54"/>
        <v>28</v>
      </c>
      <c r="Y43" s="91">
        <f t="shared" ref="Y43:Z47" si="55">H43</f>
        <v>165</v>
      </c>
      <c r="Z43" s="89">
        <f t="shared" si="55"/>
        <v>14000</v>
      </c>
      <c r="AA43" s="89">
        <f>K43</f>
        <v>12000</v>
      </c>
      <c r="AB43" s="89">
        <f t="shared" ref="AB43:AD47" si="56">M43</f>
        <v>2000</v>
      </c>
      <c r="AC43" s="4">
        <f t="shared" si="56"/>
        <v>0.8571428571428571</v>
      </c>
      <c r="AD43" s="90">
        <f t="shared" si="56"/>
        <v>500</v>
      </c>
      <c r="AE43" s="78" t="str">
        <f>S43</f>
        <v>계</v>
      </c>
      <c r="AF43" s="78" t="str">
        <f>Q43&amp;"/"&amp;R43</f>
        <v>3/1</v>
      </c>
      <c r="AH43" s="20" t="str">
        <f t="shared" si="50"/>
        <v>한양</v>
      </c>
      <c r="AI43" s="86">
        <f t="shared" si="49"/>
        <v>28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>O</v>
      </c>
      <c r="AP43" s="78" t="str">
        <f>IF(I43="","",IF(I43&lt;=$AP$1,"O","X"))</f>
        <v>O</v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후보</v>
      </c>
    </row>
    <row r="44" spans="1:48" x14ac:dyDescent="0.3">
      <c r="A44" s="9" t="s">
        <v>337</v>
      </c>
      <c r="B44" s="10" t="s">
        <v>1561</v>
      </c>
      <c r="C44" s="87">
        <v>782</v>
      </c>
      <c r="D44" s="85">
        <v>91.2</v>
      </c>
      <c r="E44" s="86">
        <v>28</v>
      </c>
      <c r="F44" s="85">
        <v>75.400000000000006</v>
      </c>
      <c r="G44" s="17">
        <v>23</v>
      </c>
      <c r="H44" s="87">
        <v>15</v>
      </c>
      <c r="I44" s="88"/>
      <c r="J44" s="88"/>
      <c r="K44" s="88"/>
      <c r="L44" s="88"/>
      <c r="M44" s="89">
        <f>I44-K44</f>
        <v>0</v>
      </c>
      <c r="N44" s="4" t="str">
        <f>IF(ISERROR(K44/I44),"",K44/I44)</f>
        <v/>
      </c>
      <c r="O44" s="90">
        <f>I44/E44</f>
        <v>0</v>
      </c>
      <c r="P44" s="90">
        <f>K44/E44</f>
        <v>0</v>
      </c>
      <c r="Q44" s="78">
        <v>3</v>
      </c>
      <c r="R44" s="78">
        <v>1</v>
      </c>
      <c r="S44" s="78" t="s">
        <v>59</v>
      </c>
      <c r="T44" s="5" t="s">
        <v>134</v>
      </c>
      <c r="U44" s="9"/>
      <c r="W44" s="85">
        <f t="shared" si="54"/>
        <v>91.2</v>
      </c>
      <c r="X44" s="86">
        <f t="shared" si="54"/>
        <v>28</v>
      </c>
      <c r="Y44" s="91">
        <f t="shared" si="55"/>
        <v>15</v>
      </c>
      <c r="Z44" s="89">
        <f t="shared" si="55"/>
        <v>0</v>
      </c>
      <c r="AA44" s="89">
        <f>K44</f>
        <v>0</v>
      </c>
      <c r="AB44" s="89">
        <f t="shared" si="56"/>
        <v>0</v>
      </c>
      <c r="AC44" s="4" t="str">
        <f t="shared" si="56"/>
        <v/>
      </c>
      <c r="AD44" s="90">
        <f t="shared" si="56"/>
        <v>0</v>
      </c>
      <c r="AE44" s="78" t="str">
        <f>S44</f>
        <v>계</v>
      </c>
      <c r="AF44" s="78" t="str">
        <f>Q44&amp;"/"&amp;R44</f>
        <v>3/1</v>
      </c>
      <c r="AH44" s="20" t="str">
        <f t="shared" si="50"/>
        <v>한양</v>
      </c>
      <c r="AI44" s="86">
        <f t="shared" si="49"/>
        <v>28</v>
      </c>
      <c r="AJ44" s="78" t="str">
        <f>IF(AI44="","",$AJ$2)</f>
        <v>A-</v>
      </c>
      <c r="AK44" s="78" t="s">
        <v>13</v>
      </c>
      <c r="AL44" s="78" t="s">
        <v>61</v>
      </c>
      <c r="AM44" s="78" t="s">
        <v>62</v>
      </c>
      <c r="AN44" s="78" t="str">
        <f>IF(AI44="","",$AN$2)</f>
        <v>C</v>
      </c>
      <c r="AO44" s="78" t="str">
        <f>IF(N44="","",IF(N44&gt;=$AO$1/100,"O","X"))</f>
        <v/>
      </c>
      <c r="AP44" s="78" t="str">
        <f>IF(I44="","",IF(I44&lt;=$AP$1,"O","X"))</f>
        <v/>
      </c>
      <c r="AQ44" s="78" t="str">
        <f>IF(O44="","",IF(O44&lt;=$AQ$1,"O","X"))</f>
        <v>O</v>
      </c>
      <c r="AR44" s="78" t="str">
        <f>IF(M44="","",IF(M44&lt;=$AR$1,"O","X"))</f>
        <v>O</v>
      </c>
      <c r="AS44" s="78" t="s">
        <v>2</v>
      </c>
      <c r="AT44" s="78" t="str">
        <f>IF(OR(F44="",AI44=""),"",IF(AND((F44&lt;=85),(AI44&gt;=15)),"O","X"))</f>
        <v>O</v>
      </c>
      <c r="AU44" s="78" t="str">
        <f>IF(C44="","",IF(C44&gt;=$AU$1,"O","X"))</f>
        <v>O</v>
      </c>
      <c r="AV44" s="78" t="str">
        <f>IF(AO44="","",IF(AND(AO44="O",AP44="O",AR44="O",AT44="O",AU44="O"),"후보","X"))</f>
        <v/>
      </c>
    </row>
    <row r="45" spans="1:48" x14ac:dyDescent="0.3">
      <c r="A45" s="9" t="s">
        <v>337</v>
      </c>
      <c r="B45" s="10" t="s">
        <v>1561</v>
      </c>
      <c r="C45" s="87">
        <v>782</v>
      </c>
      <c r="D45" s="85">
        <v>102.3</v>
      </c>
      <c r="E45" s="86">
        <v>31</v>
      </c>
      <c r="F45" s="85">
        <v>84.6</v>
      </c>
      <c r="G45" s="17">
        <v>26</v>
      </c>
      <c r="H45" s="87">
        <v>395</v>
      </c>
      <c r="I45" s="88">
        <v>16000</v>
      </c>
      <c r="J45" s="88" t="s">
        <v>72</v>
      </c>
      <c r="K45" s="88">
        <v>16000</v>
      </c>
      <c r="L45" s="88" t="s">
        <v>104</v>
      </c>
      <c r="M45" s="89">
        <f>I45-K45</f>
        <v>0</v>
      </c>
      <c r="N45" s="4">
        <f>IF(ISERROR(K45/I45),"",K45/I45)</f>
        <v>1</v>
      </c>
      <c r="O45" s="90">
        <f>I45/E45</f>
        <v>516.12903225806451</v>
      </c>
      <c r="P45" s="90">
        <f>K45/E45</f>
        <v>516.12903225806451</v>
      </c>
      <c r="Q45" s="78">
        <v>3</v>
      </c>
      <c r="R45" s="78">
        <v>2</v>
      </c>
      <c r="S45" s="78" t="s">
        <v>59</v>
      </c>
      <c r="T45" s="5" t="s">
        <v>135</v>
      </c>
      <c r="U45" s="9"/>
      <c r="W45" s="85">
        <f t="shared" si="54"/>
        <v>102.3</v>
      </c>
      <c r="X45" s="86">
        <f t="shared" si="54"/>
        <v>31</v>
      </c>
      <c r="Y45" s="91">
        <f t="shared" si="55"/>
        <v>395</v>
      </c>
      <c r="Z45" s="89">
        <f t="shared" si="55"/>
        <v>16000</v>
      </c>
      <c r="AA45" s="89">
        <f>K45</f>
        <v>16000</v>
      </c>
      <c r="AB45" s="89">
        <f t="shared" si="56"/>
        <v>0</v>
      </c>
      <c r="AC45" s="4">
        <f t="shared" si="56"/>
        <v>1</v>
      </c>
      <c r="AD45" s="90">
        <f t="shared" si="56"/>
        <v>516.12903225806451</v>
      </c>
      <c r="AE45" s="78" t="str">
        <f>S45</f>
        <v>계</v>
      </c>
      <c r="AF45" s="78" t="str">
        <f>Q45&amp;"/"&amp;R45</f>
        <v>3/2</v>
      </c>
      <c r="AH45" s="20" t="str">
        <f t="shared" si="50"/>
        <v>한양</v>
      </c>
      <c r="AI45" s="86">
        <f t="shared" si="49"/>
        <v>31</v>
      </c>
      <c r="AJ45" s="78" t="str">
        <f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>IF(AI45="","",$AN$2)</f>
        <v>C</v>
      </c>
      <c r="AO45" s="78" t="str">
        <f>IF(N45="","",IF(N45&gt;=$AO$1/100,"O","X"))</f>
        <v>O</v>
      </c>
      <c r="AP45" s="78" t="str">
        <f>IF(I45="","",IF(I45&lt;=$AP$1,"O","X"))</f>
        <v>O</v>
      </c>
      <c r="AQ45" s="78" t="str">
        <f>IF(O45="","",IF(O45&lt;=$AQ$1,"O","X"))</f>
        <v>O</v>
      </c>
      <c r="AR45" s="78" t="str">
        <f>IF(M45="","",IF(M45&lt;=$AR$1,"O","X"))</f>
        <v>O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후보</v>
      </c>
    </row>
    <row r="46" spans="1:48" x14ac:dyDescent="0.3">
      <c r="A46" s="9" t="s">
        <v>337</v>
      </c>
      <c r="B46" s="10" t="s">
        <v>1561</v>
      </c>
      <c r="C46" s="87">
        <v>782</v>
      </c>
      <c r="D46" s="85">
        <v>102.2</v>
      </c>
      <c r="E46" s="86">
        <v>31</v>
      </c>
      <c r="F46" s="85">
        <v>84.5</v>
      </c>
      <c r="G46" s="17">
        <v>26</v>
      </c>
      <c r="H46" s="87">
        <v>45</v>
      </c>
      <c r="I46" s="88">
        <v>15800</v>
      </c>
      <c r="J46" s="88" t="s">
        <v>127</v>
      </c>
      <c r="K46" s="88"/>
      <c r="L46" s="88"/>
      <c r="M46" s="89">
        <f>I46-K46</f>
        <v>15800</v>
      </c>
      <c r="N46" s="4">
        <f>IF(ISERROR(K46/I46),"",K46/I46)</f>
        <v>0</v>
      </c>
      <c r="O46" s="90">
        <f>I46/E46</f>
        <v>509.67741935483872</v>
      </c>
      <c r="P46" s="90">
        <f>K46/E46</f>
        <v>0</v>
      </c>
      <c r="Q46" s="78">
        <v>3</v>
      </c>
      <c r="R46" s="78">
        <v>2</v>
      </c>
      <c r="S46" s="78" t="s">
        <v>59</v>
      </c>
      <c r="T46" s="5" t="s">
        <v>136</v>
      </c>
      <c r="U46" s="9"/>
      <c r="W46" s="85">
        <f t="shared" si="54"/>
        <v>102.2</v>
      </c>
      <c r="X46" s="86">
        <f t="shared" si="54"/>
        <v>31</v>
      </c>
      <c r="Y46" s="91">
        <f t="shared" si="55"/>
        <v>45</v>
      </c>
      <c r="Z46" s="89">
        <f t="shared" si="55"/>
        <v>15800</v>
      </c>
      <c r="AA46" s="89">
        <f>K46</f>
        <v>0</v>
      </c>
      <c r="AB46" s="89">
        <f t="shared" si="56"/>
        <v>15800</v>
      </c>
      <c r="AC46" s="4">
        <f t="shared" si="56"/>
        <v>0</v>
      </c>
      <c r="AD46" s="90">
        <f t="shared" si="56"/>
        <v>509.67741935483872</v>
      </c>
      <c r="AE46" s="78" t="str">
        <f>S46</f>
        <v>계</v>
      </c>
      <c r="AF46" s="78" t="str">
        <f>Q46&amp;"/"&amp;R46</f>
        <v>3/2</v>
      </c>
      <c r="AH46" s="20" t="str">
        <f t="shared" si="50"/>
        <v>한양</v>
      </c>
      <c r="AI46" s="86">
        <f t="shared" si="49"/>
        <v>31</v>
      </c>
      <c r="AJ46" s="78" t="str">
        <f>IF(AI46="","",$AJ$2)</f>
        <v>A-</v>
      </c>
      <c r="AK46" s="78" t="s">
        <v>13</v>
      </c>
      <c r="AL46" s="78" t="s">
        <v>61</v>
      </c>
      <c r="AM46" s="78" t="s">
        <v>62</v>
      </c>
      <c r="AN46" s="78" t="str">
        <f>IF(AI46="","",$AN$2)</f>
        <v>C</v>
      </c>
      <c r="AO46" s="78" t="str">
        <f>IF(N46="","",IF(N46&gt;=$AO$1/100,"O","X"))</f>
        <v>X</v>
      </c>
      <c r="AP46" s="78" t="str">
        <f>IF(I46="","",IF(I46&lt;=$AP$1,"O","X"))</f>
        <v>O</v>
      </c>
      <c r="AQ46" s="78" t="str">
        <f>IF(O46="","",IF(O46&lt;=$AQ$1,"O","X"))</f>
        <v>O</v>
      </c>
      <c r="AR46" s="78" t="str">
        <f>IF(M46="","",IF(M46&lt;=$AR$1,"O","X"))</f>
        <v>X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>X</v>
      </c>
    </row>
    <row r="47" spans="1:48" x14ac:dyDescent="0.3">
      <c r="A47" s="9" t="s">
        <v>337</v>
      </c>
      <c r="B47" s="10" t="s">
        <v>1561</v>
      </c>
      <c r="C47" s="87">
        <v>782</v>
      </c>
      <c r="D47" s="85">
        <v>141.19999999999999</v>
      </c>
      <c r="E47" s="86">
        <v>43</v>
      </c>
      <c r="F47" s="85">
        <v>116.7</v>
      </c>
      <c r="G47" s="17">
        <v>35</v>
      </c>
      <c r="H47" s="87">
        <v>162</v>
      </c>
      <c r="I47" s="88">
        <v>22000</v>
      </c>
      <c r="J47" s="88" t="s">
        <v>72</v>
      </c>
      <c r="K47" s="88"/>
      <c r="L47" s="88"/>
      <c r="M47" s="89">
        <f>I47-K47</f>
        <v>22000</v>
      </c>
      <c r="N47" s="4">
        <f>IF(ISERROR(K47/I47),"",K47/I47)</f>
        <v>0</v>
      </c>
      <c r="O47" s="90">
        <f>I47/E47</f>
        <v>511.62790697674421</v>
      </c>
      <c r="P47" s="90">
        <f>K47/E47</f>
        <v>0</v>
      </c>
      <c r="Q47" s="78">
        <v>4</v>
      </c>
      <c r="R47" s="78">
        <v>2</v>
      </c>
      <c r="S47" s="78" t="s">
        <v>59</v>
      </c>
      <c r="T47" s="5">
        <v>141</v>
      </c>
      <c r="U47" s="9"/>
      <c r="W47" s="85">
        <f t="shared" si="54"/>
        <v>141.19999999999999</v>
      </c>
      <c r="X47" s="86">
        <f t="shared" si="54"/>
        <v>43</v>
      </c>
      <c r="Y47" s="91">
        <f t="shared" si="55"/>
        <v>162</v>
      </c>
      <c r="Z47" s="89">
        <f t="shared" si="55"/>
        <v>22000</v>
      </c>
      <c r="AA47" s="89">
        <f>K47</f>
        <v>0</v>
      </c>
      <c r="AB47" s="89">
        <f t="shared" si="56"/>
        <v>22000</v>
      </c>
      <c r="AC47" s="4">
        <f t="shared" si="56"/>
        <v>0</v>
      </c>
      <c r="AD47" s="90">
        <f t="shared" si="56"/>
        <v>511.62790697674421</v>
      </c>
      <c r="AE47" s="78" t="str">
        <f>S47</f>
        <v>계</v>
      </c>
      <c r="AF47" s="78" t="str">
        <f>Q47&amp;"/"&amp;R47</f>
        <v>4/2</v>
      </c>
      <c r="AH47" s="20" t="str">
        <f t="shared" si="50"/>
        <v>한양</v>
      </c>
      <c r="AI47" s="86">
        <f t="shared" si="49"/>
        <v>43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>X</v>
      </c>
      <c r="AP47" s="78" t="str">
        <f>IF(I47="","",IF(I47&lt;=$AP$1,"O","X"))</f>
        <v>O</v>
      </c>
      <c r="AQ47" s="78" t="str">
        <f>IF(O47="","",IF(O47&lt;=$AQ$1,"O","X"))</f>
        <v>O</v>
      </c>
      <c r="AR47" s="78" t="str">
        <f>IF(M47="","",IF(M47&lt;=$AR$1,"O","X"))</f>
        <v>X</v>
      </c>
      <c r="AS47" s="78" t="s">
        <v>2</v>
      </c>
      <c r="AT47" s="78" t="str">
        <f>IF(OR(F47="",AI47=""),"",IF(AND((F47&lt;=85),(AI47&gt;=15)),"O","X"))</f>
        <v>X</v>
      </c>
      <c r="AU47" s="78" t="str">
        <f>IF(C47="","",IF(C47&gt;=$AU$1,"O","X"))</f>
        <v>O</v>
      </c>
      <c r="AV47" s="78" t="str">
        <f>IF(AO47="","",IF(AND(AO47="O",AP47="O",AR47="O",AT47="O",AU47="O"),"후보","X"))</f>
        <v>X</v>
      </c>
    </row>
    <row r="48" spans="1:48" x14ac:dyDescent="0.3">
      <c r="A48" s="9"/>
      <c r="B48" s="78"/>
      <c r="C48" s="6"/>
      <c r="D48" s="9"/>
      <c r="E48" s="14"/>
      <c r="F48" s="85"/>
      <c r="G48" s="9"/>
      <c r="H48" s="9"/>
      <c r="I48" s="9"/>
      <c r="J48" s="9"/>
      <c r="K48" s="9"/>
      <c r="L48" s="9"/>
      <c r="M48" s="9"/>
      <c r="N48" s="9"/>
      <c r="O48" s="90"/>
      <c r="P48" s="90"/>
      <c r="Q48" s="86"/>
      <c r="R48" s="86"/>
      <c r="S48" s="9"/>
      <c r="T48" s="47"/>
      <c r="U48" s="9"/>
      <c r="W48" s="67" t="str">
        <f>$A$4&amp;" "&amp;A49&amp;"("&amp;B49&amp;","&amp;C49&amp;"^)"</f>
        <v>송천동1가 송천자이('06.06.,428^)</v>
      </c>
      <c r="X48" s="68"/>
      <c r="Y48" s="68"/>
      <c r="Z48" s="68"/>
      <c r="AA48" s="68"/>
      <c r="AB48" s="68"/>
      <c r="AC48" s="68"/>
      <c r="AD48" s="68"/>
      <c r="AE48" s="68"/>
      <c r="AF48" s="69"/>
      <c r="AH48" s="20" t="str">
        <f t="shared" si="50"/>
        <v/>
      </c>
      <c r="AI48" s="108" t="str">
        <f t="shared" si="49"/>
        <v/>
      </c>
      <c r="AJ48" s="78"/>
      <c r="AK48" s="78"/>
      <c r="AL48" s="78"/>
      <c r="AM48" s="78"/>
      <c r="AN48" s="78"/>
      <c r="AO48" s="78"/>
      <c r="AP48" s="78"/>
      <c r="AQ48" s="78"/>
      <c r="AR48" s="78"/>
      <c r="AS48" s="78"/>
      <c r="AT48" s="78"/>
      <c r="AU48" s="78"/>
      <c r="AV48" s="78"/>
    </row>
    <row r="49" spans="1:48" x14ac:dyDescent="0.3">
      <c r="A49" s="9" t="s">
        <v>700</v>
      </c>
      <c r="B49" s="10" t="s">
        <v>1549</v>
      </c>
      <c r="C49" s="87">
        <v>428</v>
      </c>
      <c r="D49" s="85">
        <v>113.2</v>
      </c>
      <c r="E49" s="86">
        <v>34</v>
      </c>
      <c r="F49" s="85">
        <v>85</v>
      </c>
      <c r="G49" s="17">
        <v>26</v>
      </c>
      <c r="H49" s="87">
        <v>324</v>
      </c>
      <c r="I49" s="88">
        <v>35000</v>
      </c>
      <c r="J49" s="88" t="s">
        <v>83</v>
      </c>
      <c r="K49" s="88"/>
      <c r="L49" s="88"/>
      <c r="M49" s="89">
        <f>I49-K49</f>
        <v>35000</v>
      </c>
      <c r="N49" s="4">
        <f>IF(ISERROR(K49/I49),"",K49/I49)</f>
        <v>0</v>
      </c>
      <c r="O49" s="90">
        <f>I49/E49</f>
        <v>1029.4117647058824</v>
      </c>
      <c r="P49" s="90">
        <f>K49/E49</f>
        <v>0</v>
      </c>
      <c r="Q49" s="78">
        <v>3</v>
      </c>
      <c r="R49" s="78">
        <v>2</v>
      </c>
      <c r="S49" s="78" t="s">
        <v>59</v>
      </c>
      <c r="T49" s="5">
        <v>113</v>
      </c>
      <c r="U49" s="9"/>
      <c r="W49" s="85">
        <f>D49</f>
        <v>113.2</v>
      </c>
      <c r="X49" s="86">
        <f>E49</f>
        <v>34</v>
      </c>
      <c r="Y49" s="91">
        <f>H49</f>
        <v>324</v>
      </c>
      <c r="Z49" s="89">
        <f>I49</f>
        <v>35000</v>
      </c>
      <c r="AA49" s="89">
        <f>K49</f>
        <v>0</v>
      </c>
      <c r="AB49" s="89">
        <f t="shared" ref="AB49:AD50" si="57">M49</f>
        <v>35000</v>
      </c>
      <c r="AC49" s="4">
        <f t="shared" si="57"/>
        <v>0</v>
      </c>
      <c r="AD49" s="90">
        <f t="shared" si="57"/>
        <v>1029.4117647058824</v>
      </c>
      <c r="AE49" s="78" t="str">
        <f>S49</f>
        <v>계</v>
      </c>
      <c r="AF49" s="78" t="str">
        <f>Q49&amp;"/"&amp;R49</f>
        <v>3/2</v>
      </c>
      <c r="AH49" s="20" t="str">
        <f t="shared" si="50"/>
        <v>송천자이</v>
      </c>
      <c r="AI49" s="86">
        <f t="shared" si="49"/>
        <v>34</v>
      </c>
      <c r="AJ49" s="78" t="str">
        <f>IF(AI49="","",$AJ$2)</f>
        <v>A-</v>
      </c>
      <c r="AK49" s="78" t="s">
        <v>13</v>
      </c>
      <c r="AL49" s="78" t="s">
        <v>61</v>
      </c>
      <c r="AM49" s="78" t="s">
        <v>62</v>
      </c>
      <c r="AN49" s="78" t="str">
        <f>IF(AI49="","",$AN$2)</f>
        <v>C</v>
      </c>
      <c r="AO49" s="78" t="str">
        <f>IF(N49="","",IF(N49&gt;=$AO$1/100,"O","X"))</f>
        <v>X</v>
      </c>
      <c r="AP49" s="78" t="str">
        <f>IF(I49="","",IF(I49&lt;=$AP$1,"O","X"))</f>
        <v>O</v>
      </c>
      <c r="AQ49" s="78" t="str">
        <f>IF(O49="","",IF(O49&lt;=$AQ$1,"O","X"))</f>
        <v>X</v>
      </c>
      <c r="AR49" s="78" t="str">
        <f>IF(M49="","",IF(M49&lt;=$AR$1,"O","X"))</f>
        <v>X</v>
      </c>
      <c r="AS49" s="78" t="s">
        <v>2</v>
      </c>
      <c r="AT49" s="78" t="str">
        <f>IF(OR(F49="",AI49=""),"",IF(AND((F49&lt;=85),(AI49&gt;=15)),"O","X"))</f>
        <v>O</v>
      </c>
      <c r="AU49" s="78" t="str">
        <f>IF(C49="","",IF(C49&gt;=$AU$1,"O","X"))</f>
        <v>O</v>
      </c>
      <c r="AV49" s="78" t="str">
        <f>IF(AO49="","",IF(AND(AO49="O",AP49="O",AR49="O",AT49="O",AU49="O"),"후보","X"))</f>
        <v>X</v>
      </c>
    </row>
    <row r="50" spans="1:48" x14ac:dyDescent="0.3">
      <c r="A50" s="9" t="s">
        <v>700</v>
      </c>
      <c r="B50" s="10" t="s">
        <v>1549</v>
      </c>
      <c r="C50" s="87">
        <v>428</v>
      </c>
      <c r="D50" s="85">
        <v>157.80000000000001</v>
      </c>
      <c r="E50" s="86">
        <v>48</v>
      </c>
      <c r="F50" s="85">
        <v>125.6</v>
      </c>
      <c r="G50" s="17">
        <v>38</v>
      </c>
      <c r="H50" s="87">
        <v>104</v>
      </c>
      <c r="I50" s="88">
        <v>46000</v>
      </c>
      <c r="J50" s="88" t="s">
        <v>137</v>
      </c>
      <c r="K50" s="88"/>
      <c r="L50" s="88"/>
      <c r="M50" s="89">
        <f>I50-K50</f>
        <v>46000</v>
      </c>
      <c r="N50" s="4">
        <f>IF(ISERROR(K50/I50),"",K50/I50)</f>
        <v>0</v>
      </c>
      <c r="O50" s="90">
        <f>I50/E50</f>
        <v>958.33333333333337</v>
      </c>
      <c r="P50" s="90">
        <f>K50/E50</f>
        <v>0</v>
      </c>
      <c r="Q50" s="78">
        <v>4</v>
      </c>
      <c r="R50" s="78">
        <v>2</v>
      </c>
      <c r="S50" s="78" t="s">
        <v>59</v>
      </c>
      <c r="T50" s="5">
        <v>157</v>
      </c>
      <c r="U50" s="9"/>
      <c r="W50" s="85">
        <f>D50</f>
        <v>157.80000000000001</v>
      </c>
      <c r="X50" s="86">
        <f>E50</f>
        <v>48</v>
      </c>
      <c r="Y50" s="91">
        <f>H50</f>
        <v>104</v>
      </c>
      <c r="Z50" s="89">
        <f>I50</f>
        <v>46000</v>
      </c>
      <c r="AA50" s="89">
        <f>K50</f>
        <v>0</v>
      </c>
      <c r="AB50" s="89">
        <f t="shared" si="57"/>
        <v>46000</v>
      </c>
      <c r="AC50" s="4">
        <f t="shared" si="57"/>
        <v>0</v>
      </c>
      <c r="AD50" s="90">
        <f t="shared" si="57"/>
        <v>958.33333333333337</v>
      </c>
      <c r="AE50" s="78" t="str">
        <f>S50</f>
        <v>계</v>
      </c>
      <c r="AF50" s="78" t="str">
        <f>Q50&amp;"/"&amp;R50</f>
        <v>4/2</v>
      </c>
      <c r="AH50" s="20" t="str">
        <f t="shared" si="50"/>
        <v>송천자이</v>
      </c>
      <c r="AI50" s="86">
        <f t="shared" si="49"/>
        <v>48</v>
      </c>
      <c r="AJ50" s="78" t="str">
        <f>IF(AI50="","",$AJ$2)</f>
        <v>A-</v>
      </c>
      <c r="AK50" s="78" t="s">
        <v>13</v>
      </c>
      <c r="AL50" s="78" t="s">
        <v>61</v>
      </c>
      <c r="AM50" s="78" t="s">
        <v>62</v>
      </c>
      <c r="AN50" s="78" t="str">
        <f>IF(AI50="","",$AN$2)</f>
        <v>C</v>
      </c>
      <c r="AO50" s="78" t="str">
        <f>IF(N50="","",IF(N50&gt;=$AO$1/100,"O","X"))</f>
        <v>X</v>
      </c>
      <c r="AP50" s="78" t="str">
        <f>IF(I50="","",IF(I50&lt;=$AP$1,"O","X"))</f>
        <v>X</v>
      </c>
      <c r="AQ50" s="78" t="str">
        <f>IF(O50="","",IF(O50&lt;=$AQ$1,"O","X"))</f>
        <v>O</v>
      </c>
      <c r="AR50" s="78" t="str">
        <f>IF(M50="","",IF(M50&lt;=$AR$1,"O","X"))</f>
        <v>X</v>
      </c>
      <c r="AS50" s="78" t="s">
        <v>2</v>
      </c>
      <c r="AT50" s="78" t="str">
        <f>IF(OR(F50="",AI50=""),"",IF(AND((F50&lt;=85),(AI50&gt;=15)),"O","X"))</f>
        <v>X</v>
      </c>
      <c r="AU50" s="78" t="str">
        <f>IF(C50="","",IF(C50&gt;=$AU$1,"O","X"))</f>
        <v>O</v>
      </c>
      <c r="AV50" s="78" t="str">
        <f>IF(AO50="","",IF(AND(AO50="O",AP50="O",AR50="O",AT50="O",AU50="O"),"후보","X"))</f>
        <v>X</v>
      </c>
    </row>
    <row r="51" spans="1:48" x14ac:dyDescent="0.3">
      <c r="A51" s="9"/>
      <c r="B51" s="78"/>
      <c r="C51" s="6"/>
      <c r="D51" s="9"/>
      <c r="E51" s="14"/>
      <c r="F51" s="85"/>
      <c r="G51" s="9"/>
      <c r="H51" s="9"/>
      <c r="I51" s="9"/>
      <c r="J51" s="9"/>
      <c r="K51" s="9"/>
      <c r="L51" s="9"/>
      <c r="M51" s="9"/>
      <c r="N51" s="9"/>
      <c r="O51" s="90"/>
      <c r="P51" s="90"/>
      <c r="Q51" s="86"/>
      <c r="R51" s="86"/>
      <c r="S51" s="9"/>
      <c r="T51" s="47"/>
      <c r="U51" s="9"/>
      <c r="W51" s="67" t="str">
        <f>$A$4&amp;" "&amp;A52&amp;"("&amp;B52&amp;","&amp;C52&amp;"^)"</f>
        <v>송천동1가 송천아이파크6단지('09.05.,304^)</v>
      </c>
      <c r="X51" s="68"/>
      <c r="Y51" s="68"/>
      <c r="Z51" s="68"/>
      <c r="AA51" s="68"/>
      <c r="AB51" s="68"/>
      <c r="AC51" s="68"/>
      <c r="AD51" s="68"/>
      <c r="AE51" s="68"/>
      <c r="AF51" s="69"/>
      <c r="AH51" s="20" t="str">
        <f t="shared" si="50"/>
        <v/>
      </c>
      <c r="AI51" s="108" t="str">
        <f t="shared" si="49"/>
        <v/>
      </c>
      <c r="AJ51" s="78"/>
      <c r="AK51" s="78"/>
      <c r="AL51" s="78"/>
      <c r="AM51" s="78"/>
      <c r="AN51" s="78"/>
      <c r="AO51" s="78"/>
      <c r="AP51" s="78"/>
      <c r="AQ51" s="78"/>
      <c r="AR51" s="78"/>
      <c r="AS51" s="78"/>
      <c r="AT51" s="78"/>
      <c r="AU51" s="78"/>
      <c r="AV51" s="78"/>
    </row>
    <row r="52" spans="1:48" x14ac:dyDescent="0.3">
      <c r="A52" s="9" t="s">
        <v>709</v>
      </c>
      <c r="B52" s="10" t="s">
        <v>1559</v>
      </c>
      <c r="C52" s="87">
        <v>304</v>
      </c>
      <c r="D52" s="85">
        <v>135.80000000000001</v>
      </c>
      <c r="E52" s="86">
        <v>41</v>
      </c>
      <c r="F52" s="85">
        <v>101.9</v>
      </c>
      <c r="G52" s="17">
        <v>31</v>
      </c>
      <c r="H52" s="87">
        <v>197</v>
      </c>
      <c r="I52" s="88">
        <v>55000</v>
      </c>
      <c r="J52" s="88" t="s">
        <v>99</v>
      </c>
      <c r="K52" s="88"/>
      <c r="L52" s="88"/>
      <c r="M52" s="89">
        <f>I52-K52</f>
        <v>55000</v>
      </c>
      <c r="N52" s="4">
        <f>IF(ISERROR(K52/I52),"",K52/I52)</f>
        <v>0</v>
      </c>
      <c r="O52" s="90">
        <f>I52/E52</f>
        <v>1341.4634146341464</v>
      </c>
      <c r="P52" s="90">
        <f>K52/E52</f>
        <v>0</v>
      </c>
      <c r="Q52" s="78">
        <v>3</v>
      </c>
      <c r="R52" s="78">
        <v>2</v>
      </c>
      <c r="S52" s="78" t="s">
        <v>59</v>
      </c>
      <c r="T52" s="5">
        <v>135</v>
      </c>
      <c r="U52" s="9"/>
      <c r="W52" s="85">
        <f>D52</f>
        <v>135.80000000000001</v>
      </c>
      <c r="X52" s="86">
        <f>E52</f>
        <v>41</v>
      </c>
      <c r="Y52" s="91">
        <f>H52</f>
        <v>197</v>
      </c>
      <c r="Z52" s="89">
        <f>I52</f>
        <v>55000</v>
      </c>
      <c r="AA52" s="89">
        <f>K52</f>
        <v>0</v>
      </c>
      <c r="AB52" s="89">
        <f t="shared" ref="AB52:AD53" si="58">M52</f>
        <v>55000</v>
      </c>
      <c r="AC52" s="4">
        <f t="shared" si="58"/>
        <v>0</v>
      </c>
      <c r="AD52" s="90">
        <f t="shared" si="58"/>
        <v>1341.4634146341464</v>
      </c>
      <c r="AE52" s="78" t="str">
        <f>S52</f>
        <v>계</v>
      </c>
      <c r="AF52" s="78" t="str">
        <f>Q52&amp;"/"&amp;R52</f>
        <v>3/2</v>
      </c>
      <c r="AH52" s="20" t="str">
        <f t="shared" si="50"/>
        <v>송천아이파크6단지</v>
      </c>
      <c r="AI52" s="86">
        <f t="shared" si="49"/>
        <v>41</v>
      </c>
      <c r="AJ52" s="78" t="str">
        <f>IF(AI52="","",$AJ$2)</f>
        <v>A-</v>
      </c>
      <c r="AK52" s="78" t="s">
        <v>13</v>
      </c>
      <c r="AL52" s="78" t="s">
        <v>61</v>
      </c>
      <c r="AM52" s="78" t="s">
        <v>62</v>
      </c>
      <c r="AN52" s="78" t="str">
        <f>IF(AI52="","",$AN$2)</f>
        <v>C</v>
      </c>
      <c r="AO52" s="78" t="str">
        <f>IF(N52="","",IF(N52&gt;=$AO$1/100,"O","X"))</f>
        <v>X</v>
      </c>
      <c r="AP52" s="78" t="str">
        <f>IF(I52="","",IF(I52&lt;=$AP$1,"O","X"))</f>
        <v>X</v>
      </c>
      <c r="AQ52" s="78" t="str">
        <f>IF(O52="","",IF(O52&lt;=$AQ$1,"O","X"))</f>
        <v>X</v>
      </c>
      <c r="AR52" s="78" t="str">
        <f>IF(M52="","",IF(M52&lt;=$AR$1,"O","X"))</f>
        <v>X</v>
      </c>
      <c r="AS52" s="78" t="s">
        <v>2</v>
      </c>
      <c r="AT52" s="78" t="str">
        <f>IF(OR(F52="",AI52=""),"",IF(AND((F52&lt;=85),(AI52&gt;=15)),"O","X"))</f>
        <v>X</v>
      </c>
      <c r="AU52" s="78" t="str">
        <f>IF(C52="","",IF(C52&gt;=$AU$1,"O","X"))</f>
        <v>O</v>
      </c>
      <c r="AV52" s="78" t="str">
        <f>IF(AO52="","",IF(AND(AO52="O",AP52="O",AR52="O",AT52="O",AU52="O"),"후보","X"))</f>
        <v>X</v>
      </c>
    </row>
    <row r="53" spans="1:48" x14ac:dyDescent="0.3">
      <c r="A53" s="9" t="s">
        <v>709</v>
      </c>
      <c r="B53" s="10" t="s">
        <v>1559</v>
      </c>
      <c r="C53" s="87">
        <v>304</v>
      </c>
      <c r="D53" s="85">
        <v>165.6</v>
      </c>
      <c r="E53" s="86">
        <v>50</v>
      </c>
      <c r="F53" s="85">
        <v>126.5</v>
      </c>
      <c r="G53" s="17">
        <v>38</v>
      </c>
      <c r="H53" s="87">
        <v>107</v>
      </c>
      <c r="I53" s="88">
        <v>61000</v>
      </c>
      <c r="J53" s="88" t="s">
        <v>89</v>
      </c>
      <c r="K53" s="88"/>
      <c r="L53" s="88"/>
      <c r="M53" s="89">
        <f>I53-K53</f>
        <v>61000</v>
      </c>
      <c r="N53" s="4">
        <f>IF(ISERROR(K53/I53),"",K53/I53)</f>
        <v>0</v>
      </c>
      <c r="O53" s="90">
        <f>I53/E53</f>
        <v>1220</v>
      </c>
      <c r="P53" s="90">
        <f>K53/E53</f>
        <v>0</v>
      </c>
      <c r="Q53" s="78">
        <v>4</v>
      </c>
      <c r="R53" s="78">
        <v>2</v>
      </c>
      <c r="S53" s="78" t="s">
        <v>59</v>
      </c>
      <c r="T53" s="5">
        <v>165</v>
      </c>
      <c r="U53" s="9"/>
      <c r="W53" s="85">
        <f>D53</f>
        <v>165.6</v>
      </c>
      <c r="X53" s="86">
        <f>E53</f>
        <v>50</v>
      </c>
      <c r="Y53" s="91">
        <f>H53</f>
        <v>107</v>
      </c>
      <c r="Z53" s="89">
        <f>I53</f>
        <v>61000</v>
      </c>
      <c r="AA53" s="89">
        <f>K53</f>
        <v>0</v>
      </c>
      <c r="AB53" s="89">
        <f t="shared" si="58"/>
        <v>61000</v>
      </c>
      <c r="AC53" s="4">
        <f t="shared" si="58"/>
        <v>0</v>
      </c>
      <c r="AD53" s="90">
        <f t="shared" si="58"/>
        <v>1220</v>
      </c>
      <c r="AE53" s="78" t="str">
        <f>S53</f>
        <v>계</v>
      </c>
      <c r="AF53" s="78" t="str">
        <f>Q53&amp;"/"&amp;R53</f>
        <v>4/2</v>
      </c>
      <c r="AH53" s="20" t="str">
        <f t="shared" si="50"/>
        <v>송천아이파크6단지</v>
      </c>
      <c r="AI53" s="86">
        <f t="shared" si="49"/>
        <v>50</v>
      </c>
      <c r="AJ53" s="78" t="str">
        <f>IF(AI53="","",$AJ$2)</f>
        <v>A-</v>
      </c>
      <c r="AK53" s="78" t="s">
        <v>13</v>
      </c>
      <c r="AL53" s="78" t="s">
        <v>61</v>
      </c>
      <c r="AM53" s="78" t="s">
        <v>62</v>
      </c>
      <c r="AN53" s="78" t="str">
        <f>IF(AI53="","",$AN$2)</f>
        <v>C</v>
      </c>
      <c r="AO53" s="78" t="str">
        <f>IF(N53="","",IF(N53&gt;=$AO$1/100,"O","X"))</f>
        <v>X</v>
      </c>
      <c r="AP53" s="78" t="str">
        <f>IF(I53="","",IF(I53&lt;=$AP$1,"O","X"))</f>
        <v>X</v>
      </c>
      <c r="AQ53" s="78" t="str">
        <f>IF(O53="","",IF(O53&lt;=$AQ$1,"O","X"))</f>
        <v>X</v>
      </c>
      <c r="AR53" s="78" t="str">
        <f>IF(M53="","",IF(M53&lt;=$AR$1,"O","X"))</f>
        <v>X</v>
      </c>
      <c r="AS53" s="78" t="s">
        <v>2</v>
      </c>
      <c r="AT53" s="78" t="str">
        <f>IF(OR(F53="",AI53=""),"",IF(AND((F53&lt;=85),(AI53&gt;=15)),"O","X"))</f>
        <v>X</v>
      </c>
      <c r="AU53" s="78" t="str">
        <f>IF(C53="","",IF(C53&gt;=$AU$1,"O","X"))</f>
        <v>O</v>
      </c>
      <c r="AV53" s="78" t="str">
        <f>IF(AO53="","",IF(AND(AO53="O",AP53="O",AR53="O",AT53="O",AU53="O"),"후보","X"))</f>
        <v>X</v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송천동1가 성원무지개('88.01.,317^)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0"/>
        <v/>
      </c>
      <c r="AI54" s="108" t="str">
        <f t="shared" si="49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735</v>
      </c>
      <c r="B55" s="10" t="s">
        <v>1562</v>
      </c>
      <c r="C55" s="87">
        <v>317</v>
      </c>
      <c r="D55" s="85">
        <v>69.7</v>
      </c>
      <c r="E55" s="86">
        <v>21</v>
      </c>
      <c r="F55" s="85">
        <v>59.9</v>
      </c>
      <c r="G55" s="17">
        <v>18</v>
      </c>
      <c r="H55" s="87">
        <v>314</v>
      </c>
      <c r="I55" s="88">
        <v>14000</v>
      </c>
      <c r="J55" s="88" t="s">
        <v>89</v>
      </c>
      <c r="K55" s="88">
        <v>5500</v>
      </c>
      <c r="L55" s="88" t="s">
        <v>89</v>
      </c>
      <c r="M55" s="89">
        <f>I55-K55</f>
        <v>8500</v>
      </c>
      <c r="N55" s="4">
        <f>IF(ISERROR(K55/I55),"",K55/I55)</f>
        <v>0.39285714285714285</v>
      </c>
      <c r="O55" s="90">
        <f>I55/E55</f>
        <v>666.66666666666663</v>
      </c>
      <c r="P55" s="90">
        <f>K55/E55</f>
        <v>261.90476190476193</v>
      </c>
      <c r="Q55" s="78">
        <v>2</v>
      </c>
      <c r="R55" s="78">
        <v>1</v>
      </c>
      <c r="S55" s="78" t="s">
        <v>59</v>
      </c>
      <c r="T55" s="5">
        <v>69</v>
      </c>
      <c r="U55" s="9"/>
      <c r="W55" s="85">
        <f>D55</f>
        <v>69.7</v>
      </c>
      <c r="X55" s="86">
        <f>E55</f>
        <v>21</v>
      </c>
      <c r="Y55" s="91">
        <f>H55</f>
        <v>314</v>
      </c>
      <c r="Z55" s="89">
        <f>I55</f>
        <v>14000</v>
      </c>
      <c r="AA55" s="89">
        <f>K55</f>
        <v>5500</v>
      </c>
      <c r="AB55" s="89">
        <f t="shared" ref="AB55:AD56" si="59">M55</f>
        <v>8500</v>
      </c>
      <c r="AC55" s="4">
        <f t="shared" si="59"/>
        <v>0.39285714285714285</v>
      </c>
      <c r="AD55" s="90">
        <f t="shared" si="59"/>
        <v>666.66666666666663</v>
      </c>
      <c r="AE55" s="78" t="str">
        <f>S55</f>
        <v>계</v>
      </c>
      <c r="AF55" s="78" t="str">
        <f>Q55&amp;"/"&amp;R55</f>
        <v>2/1</v>
      </c>
      <c r="AH55" s="20" t="str">
        <f t="shared" si="50"/>
        <v>성원무지개</v>
      </c>
      <c r="AI55" s="86">
        <f t="shared" si="49"/>
        <v>21</v>
      </c>
      <c r="AJ55" s="78" t="str">
        <f>IF(AI55="","",$AJ$2)</f>
        <v>A-</v>
      </c>
      <c r="AK55" s="78" t="s">
        <v>13</v>
      </c>
      <c r="AL55" s="78" t="s">
        <v>61</v>
      </c>
      <c r="AM55" s="78" t="s">
        <v>62</v>
      </c>
      <c r="AN55" s="78" t="str">
        <f>IF(AI55="","",$AN$2)</f>
        <v>C</v>
      </c>
      <c r="AO55" s="78" t="str">
        <f>IF(N55="","",IF(N55&gt;=$AO$1/100,"O","X"))</f>
        <v>X</v>
      </c>
      <c r="AP55" s="78" t="str">
        <f>IF(I55="","",IF(I55&lt;=$AP$1,"O","X"))</f>
        <v>O</v>
      </c>
      <c r="AQ55" s="78" t="str">
        <f>IF(O55="","",IF(O55&lt;=$AQ$1,"O","X"))</f>
        <v>O</v>
      </c>
      <c r="AR55" s="78" t="str">
        <f>IF(M55="","",IF(M55&lt;=$AR$1,"O","X"))</f>
        <v>X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X</v>
      </c>
    </row>
    <row r="56" spans="1:48" x14ac:dyDescent="0.3">
      <c r="A56" s="9" t="s">
        <v>735</v>
      </c>
      <c r="B56" s="10" t="s">
        <v>1562</v>
      </c>
      <c r="C56" s="87">
        <v>317</v>
      </c>
      <c r="D56" s="85">
        <v>71.3</v>
      </c>
      <c r="E56" s="86">
        <v>22</v>
      </c>
      <c r="F56" s="85">
        <v>59.2</v>
      </c>
      <c r="G56" s="17">
        <v>18</v>
      </c>
      <c r="H56" s="87">
        <v>3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2</v>
      </c>
      <c r="R56" s="78">
        <v>1</v>
      </c>
      <c r="S56" s="78" t="s">
        <v>59</v>
      </c>
      <c r="T56" s="5">
        <v>71</v>
      </c>
      <c r="U56" s="9"/>
      <c r="W56" s="85">
        <f>D56</f>
        <v>71.3</v>
      </c>
      <c r="X56" s="86">
        <f>E56</f>
        <v>22</v>
      </c>
      <c r="Y56" s="91">
        <f>H56</f>
        <v>3</v>
      </c>
      <c r="Z56" s="89">
        <f>I56</f>
        <v>0</v>
      </c>
      <c r="AA56" s="89">
        <f>K56</f>
        <v>0</v>
      </c>
      <c r="AB56" s="89">
        <f t="shared" si="59"/>
        <v>0</v>
      </c>
      <c r="AC56" s="4" t="str">
        <f t="shared" si="59"/>
        <v/>
      </c>
      <c r="AD56" s="90">
        <f t="shared" si="59"/>
        <v>0</v>
      </c>
      <c r="AE56" s="78" t="str">
        <f>S56</f>
        <v>계</v>
      </c>
      <c r="AF56" s="78" t="str">
        <f>Q56&amp;"/"&amp;R56</f>
        <v>2/1</v>
      </c>
      <c r="AH56" s="20" t="str">
        <f t="shared" si="50"/>
        <v>성원무지개</v>
      </c>
      <c r="AI56" s="86">
        <f t="shared" si="49"/>
        <v>22</v>
      </c>
      <c r="AJ56" s="78" t="str">
        <f>IF(AI56="","",$AJ$2)</f>
        <v>A-</v>
      </c>
      <c r="AK56" s="78" t="s">
        <v>13</v>
      </c>
      <c r="AL56" s="78" t="s">
        <v>61</v>
      </c>
      <c r="AM56" s="78" t="s">
        <v>62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/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송천동1가 용소마을제일('99.10.,272^)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0"/>
        <v/>
      </c>
      <c r="AI57" s="108" t="str">
        <f t="shared" si="49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740</v>
      </c>
      <c r="B58" s="10" t="s">
        <v>1563</v>
      </c>
      <c r="C58" s="87">
        <v>272</v>
      </c>
      <c r="D58" s="85">
        <v>105.9</v>
      </c>
      <c r="E58" s="86">
        <v>32</v>
      </c>
      <c r="F58" s="85">
        <v>85</v>
      </c>
      <c r="G58" s="17">
        <v>26</v>
      </c>
      <c r="H58" s="87">
        <v>134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3</v>
      </c>
      <c r="R58" s="78">
        <v>2</v>
      </c>
      <c r="S58" s="78" t="s">
        <v>59</v>
      </c>
      <c r="T58" s="5">
        <v>105</v>
      </c>
      <c r="U58" s="9"/>
      <c r="W58" s="85">
        <f t="shared" ref="W58:X60" si="60">D58</f>
        <v>105.9</v>
      </c>
      <c r="X58" s="86">
        <f t="shared" si="60"/>
        <v>32</v>
      </c>
      <c r="Y58" s="91">
        <f t="shared" ref="Y58:Z60" si="61">H58</f>
        <v>134</v>
      </c>
      <c r="Z58" s="89">
        <f t="shared" si="61"/>
        <v>0</v>
      </c>
      <c r="AA58" s="89">
        <f>K58</f>
        <v>0</v>
      </c>
      <c r="AB58" s="89">
        <f t="shared" ref="AB58:AD60" si="62">M58</f>
        <v>0</v>
      </c>
      <c r="AC58" s="4" t="str">
        <f t="shared" si="62"/>
        <v/>
      </c>
      <c r="AD58" s="90">
        <f t="shared" si="62"/>
        <v>0</v>
      </c>
      <c r="AE58" s="78" t="str">
        <f>S58</f>
        <v>계</v>
      </c>
      <c r="AF58" s="78" t="str">
        <f>Q58&amp;"/"&amp;R58</f>
        <v>3/2</v>
      </c>
      <c r="AH58" s="20" t="str">
        <f t="shared" si="50"/>
        <v>용소마을제일</v>
      </c>
      <c r="AI58" s="86">
        <f t="shared" si="49"/>
        <v>32</v>
      </c>
      <c r="AJ58" s="78" t="str">
        <f>IF(AI58="","",$AJ$2)</f>
        <v>A-</v>
      </c>
      <c r="AK58" s="78" t="s">
        <v>13</v>
      </c>
      <c r="AL58" s="78" t="s">
        <v>61</v>
      </c>
      <c r="AM58" s="78" t="s">
        <v>62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X</v>
      </c>
      <c r="AV58" s="78" t="str">
        <f>IF(AO58="","",IF(AND(AO58="O",AP58="O",AR58="O",AT58="O",AU58="O"),"후보","X"))</f>
        <v/>
      </c>
    </row>
    <row r="59" spans="1:48" x14ac:dyDescent="0.3">
      <c r="A59" s="9" t="s">
        <v>740</v>
      </c>
      <c r="B59" s="10" t="s">
        <v>1563</v>
      </c>
      <c r="C59" s="87">
        <v>272</v>
      </c>
      <c r="D59" s="85">
        <v>123.9</v>
      </c>
      <c r="E59" s="86">
        <v>37</v>
      </c>
      <c r="F59" s="85">
        <v>99.8</v>
      </c>
      <c r="G59" s="17">
        <v>30</v>
      </c>
      <c r="H59" s="87">
        <v>87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4</v>
      </c>
      <c r="R59" s="78">
        <v>2</v>
      </c>
      <c r="S59" s="78" t="s">
        <v>59</v>
      </c>
      <c r="T59" s="5">
        <v>123</v>
      </c>
      <c r="U59" s="9"/>
      <c r="W59" s="85">
        <f t="shared" si="60"/>
        <v>123.9</v>
      </c>
      <c r="X59" s="86">
        <f t="shared" si="60"/>
        <v>37</v>
      </c>
      <c r="Y59" s="91">
        <f t="shared" si="61"/>
        <v>87</v>
      </c>
      <c r="Z59" s="89">
        <f t="shared" si="61"/>
        <v>0</v>
      </c>
      <c r="AA59" s="89">
        <f>K59</f>
        <v>0</v>
      </c>
      <c r="AB59" s="89">
        <f t="shared" si="62"/>
        <v>0</v>
      </c>
      <c r="AC59" s="4" t="str">
        <f t="shared" si="62"/>
        <v/>
      </c>
      <c r="AD59" s="90">
        <f t="shared" si="62"/>
        <v>0</v>
      </c>
      <c r="AE59" s="78" t="str">
        <f>S59</f>
        <v>계</v>
      </c>
      <c r="AF59" s="78" t="str">
        <f>Q59&amp;"/"&amp;R59</f>
        <v>4/2</v>
      </c>
      <c r="AH59" s="20" t="str">
        <f t="shared" si="50"/>
        <v>용소마을제일</v>
      </c>
      <c r="AI59" s="86">
        <f t="shared" si="49"/>
        <v>37</v>
      </c>
      <c r="AJ59" s="78" t="str">
        <f>IF(AI59="","",$AJ$2)</f>
        <v>A-</v>
      </c>
      <c r="AK59" s="78" t="s">
        <v>13</v>
      </c>
      <c r="AL59" s="78" t="s">
        <v>61</v>
      </c>
      <c r="AM59" s="78" t="s">
        <v>62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X</v>
      </c>
      <c r="AU59" s="78" t="str">
        <f>IF(C59="","",IF(C59&gt;=$AU$1,"O","X"))</f>
        <v>X</v>
      </c>
      <c r="AV59" s="78" t="str">
        <f>IF(AO59="","",IF(AND(AO59="O",AP59="O",AR59="O",AT59="O",AU59="O"),"후보","X"))</f>
        <v/>
      </c>
    </row>
    <row r="60" spans="1:48" x14ac:dyDescent="0.3">
      <c r="A60" s="9" t="s">
        <v>740</v>
      </c>
      <c r="B60" s="10" t="s">
        <v>1563</v>
      </c>
      <c r="C60" s="87">
        <v>272</v>
      </c>
      <c r="D60" s="85">
        <v>162.30000000000001</v>
      </c>
      <c r="E60" s="86">
        <v>49</v>
      </c>
      <c r="F60" s="85">
        <v>135</v>
      </c>
      <c r="G60" s="17">
        <v>41</v>
      </c>
      <c r="H60" s="87">
        <v>51</v>
      </c>
      <c r="I60" s="88"/>
      <c r="J60" s="88"/>
      <c r="K60" s="88"/>
      <c r="L60" s="88"/>
      <c r="M60" s="89">
        <f>I60-K60</f>
        <v>0</v>
      </c>
      <c r="N60" s="4" t="str">
        <f>IF(ISERROR(K60/I60),"",K60/I60)</f>
        <v/>
      </c>
      <c r="O60" s="90">
        <f>I60/E60</f>
        <v>0</v>
      </c>
      <c r="P60" s="90">
        <f>K60/E60</f>
        <v>0</v>
      </c>
      <c r="Q60" s="78">
        <v>4</v>
      </c>
      <c r="R60" s="78">
        <v>2</v>
      </c>
      <c r="S60" s="78" t="s">
        <v>59</v>
      </c>
      <c r="T60" s="5">
        <v>162</v>
      </c>
      <c r="U60" s="9"/>
      <c r="W60" s="85">
        <f t="shared" si="60"/>
        <v>162.30000000000001</v>
      </c>
      <c r="X60" s="86">
        <f t="shared" si="60"/>
        <v>49</v>
      </c>
      <c r="Y60" s="91">
        <f t="shared" si="61"/>
        <v>51</v>
      </c>
      <c r="Z60" s="89">
        <f t="shared" si="61"/>
        <v>0</v>
      </c>
      <c r="AA60" s="89">
        <f>K60</f>
        <v>0</v>
      </c>
      <c r="AB60" s="89">
        <f t="shared" si="62"/>
        <v>0</v>
      </c>
      <c r="AC60" s="4" t="str">
        <f t="shared" si="62"/>
        <v/>
      </c>
      <c r="AD60" s="90">
        <f t="shared" si="62"/>
        <v>0</v>
      </c>
      <c r="AE60" s="78" t="str">
        <f>S60</f>
        <v>계</v>
      </c>
      <c r="AF60" s="78" t="str">
        <f>Q60&amp;"/"&amp;R60</f>
        <v>4/2</v>
      </c>
      <c r="AH60" s="20" t="str">
        <f t="shared" si="50"/>
        <v>용소마을제일</v>
      </c>
      <c r="AI60" s="86">
        <f t="shared" si="49"/>
        <v>49</v>
      </c>
      <c r="AJ60" s="78" t="str">
        <f>IF(AI60="","",$AJ$2)</f>
        <v>A-</v>
      </c>
      <c r="AK60" s="78" t="s">
        <v>13</v>
      </c>
      <c r="AL60" s="78" t="s">
        <v>61</v>
      </c>
      <c r="AM60" s="78" t="s">
        <v>62</v>
      </c>
      <c r="AN60" s="78" t="str">
        <f>IF(AI60="","",$AN$2)</f>
        <v>C</v>
      </c>
      <c r="AO60" s="78" t="str">
        <f>IF(N60="","",IF(N60&gt;=$AO$1/100,"O","X"))</f>
        <v/>
      </c>
      <c r="AP60" s="78" t="str">
        <f>IF(I60="","",IF(I60&lt;=$AP$1,"O","X"))</f>
        <v/>
      </c>
      <c r="AQ60" s="78" t="str">
        <f>IF(O60="","",IF(O60&lt;=$AQ$1,"O","X"))</f>
        <v>O</v>
      </c>
      <c r="AR60" s="78" t="str">
        <f>IF(M60="","",IF(M60&lt;=$AR$1,"O","X"))</f>
        <v>O</v>
      </c>
      <c r="AS60" s="78" t="s">
        <v>2</v>
      </c>
      <c r="AT60" s="78" t="str">
        <f>IF(OR(F60="",AI60=""),"",IF(AND((F60&lt;=85),(AI60&gt;=15)),"O","X"))</f>
        <v>X</v>
      </c>
      <c r="AU60" s="78" t="str">
        <f>IF(C60="","",IF(C60&gt;=$AU$1,"O","X"))</f>
        <v>X</v>
      </c>
      <c r="AV60" s="78" t="str">
        <f>IF(AO60="","",IF(AND(AO60="O",AP60="O",AR60="O",AT60="O",AU60="O"),"후보","X"))</f>
        <v/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송천동1가 진흥더블파크('08.04.,900^)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50"/>
        <v/>
      </c>
      <c r="AI61" s="108" t="str">
        <f t="shared" si="49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745</v>
      </c>
      <c r="B62" s="10" t="s">
        <v>1558</v>
      </c>
      <c r="C62" s="87">
        <v>900</v>
      </c>
      <c r="D62" s="85">
        <v>114.7</v>
      </c>
      <c r="E62" s="86">
        <v>35</v>
      </c>
      <c r="F62" s="85">
        <v>85</v>
      </c>
      <c r="G62" s="17">
        <v>26</v>
      </c>
      <c r="H62" s="87">
        <v>612</v>
      </c>
      <c r="I62" s="88">
        <v>39000</v>
      </c>
      <c r="J62" s="88" t="s">
        <v>131</v>
      </c>
      <c r="K62" s="88">
        <v>35000</v>
      </c>
      <c r="L62" s="88" t="s">
        <v>72</v>
      </c>
      <c r="M62" s="89">
        <f>I62-K62</f>
        <v>4000</v>
      </c>
      <c r="N62" s="4">
        <f>IF(ISERROR(K62/I62),"",K62/I62)</f>
        <v>0.89743589743589747</v>
      </c>
      <c r="O62" s="90">
        <f>I62/E62</f>
        <v>1114.2857142857142</v>
      </c>
      <c r="P62" s="90">
        <f>K62/E62</f>
        <v>1000</v>
      </c>
      <c r="Q62" s="78">
        <v>3</v>
      </c>
      <c r="R62" s="78">
        <v>2</v>
      </c>
      <c r="S62" s="78" t="s">
        <v>59</v>
      </c>
      <c r="T62" s="5">
        <v>114</v>
      </c>
      <c r="U62" s="9"/>
      <c r="W62" s="85">
        <f t="shared" ref="W62:X64" si="63">D62</f>
        <v>114.7</v>
      </c>
      <c r="X62" s="86">
        <f t="shared" si="63"/>
        <v>35</v>
      </c>
      <c r="Y62" s="91">
        <f t="shared" ref="Y62:Z64" si="64">H62</f>
        <v>612</v>
      </c>
      <c r="Z62" s="89">
        <f t="shared" si="64"/>
        <v>39000</v>
      </c>
      <c r="AA62" s="89">
        <f>K62</f>
        <v>35000</v>
      </c>
      <c r="AB62" s="89">
        <f t="shared" ref="AB62:AD64" si="65">M62</f>
        <v>4000</v>
      </c>
      <c r="AC62" s="4">
        <f t="shared" si="65"/>
        <v>0.89743589743589747</v>
      </c>
      <c r="AD62" s="90">
        <f t="shared" si="65"/>
        <v>1114.2857142857142</v>
      </c>
      <c r="AE62" s="78" t="str">
        <f>S62</f>
        <v>계</v>
      </c>
      <c r="AF62" s="78" t="str">
        <f>Q62&amp;"/"&amp;R62</f>
        <v>3/2</v>
      </c>
      <c r="AH62" s="20" t="str">
        <f t="shared" si="50"/>
        <v>진흥더블파크</v>
      </c>
      <c r="AI62" s="86">
        <f t="shared" si="49"/>
        <v>35</v>
      </c>
      <c r="AJ62" s="78" t="str">
        <f>IF(AI62="","",$AJ$2)</f>
        <v>A-</v>
      </c>
      <c r="AK62" s="78" t="s">
        <v>13</v>
      </c>
      <c r="AL62" s="78" t="s">
        <v>61</v>
      </c>
      <c r="AM62" s="78" t="s">
        <v>62</v>
      </c>
      <c r="AN62" s="78" t="str">
        <f>IF(AI62="","",$AN$2)</f>
        <v>C</v>
      </c>
      <c r="AO62" s="78" t="str">
        <f>IF(N62="","",IF(N62&gt;=$AO$1/100,"O","X"))</f>
        <v>O</v>
      </c>
      <c r="AP62" s="78" t="str">
        <f>IF(I62="","",IF(I62&lt;=$AP$1,"O","X"))</f>
        <v>O</v>
      </c>
      <c r="AQ62" s="78" t="str">
        <f>IF(O62="","",IF(O62&lt;=$AQ$1,"O","X"))</f>
        <v>X</v>
      </c>
      <c r="AR62" s="78" t="str">
        <f>IF(M62="","",IF(M62&lt;=$AR$1,"O","X"))</f>
        <v>O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후보</v>
      </c>
    </row>
    <row r="63" spans="1:48" x14ac:dyDescent="0.3">
      <c r="A63" s="9" t="s">
        <v>745</v>
      </c>
      <c r="B63" s="10" t="s">
        <v>1558</v>
      </c>
      <c r="C63" s="87">
        <v>900</v>
      </c>
      <c r="D63" s="85">
        <v>151.80000000000001</v>
      </c>
      <c r="E63" s="86">
        <v>46</v>
      </c>
      <c r="F63" s="85">
        <v>122</v>
      </c>
      <c r="G63" s="17">
        <v>37</v>
      </c>
      <c r="H63" s="87">
        <v>216</v>
      </c>
      <c r="I63" s="88">
        <v>49500</v>
      </c>
      <c r="J63" s="88" t="s">
        <v>87</v>
      </c>
      <c r="K63" s="88"/>
      <c r="L63" s="88"/>
      <c r="M63" s="89">
        <f>I63-K63</f>
        <v>49500</v>
      </c>
      <c r="N63" s="4">
        <f>IF(ISERROR(K63/I63),"",K63/I63)</f>
        <v>0</v>
      </c>
      <c r="O63" s="90">
        <f>I63/E63</f>
        <v>1076.0869565217392</v>
      </c>
      <c r="P63" s="90">
        <f>K63/E63</f>
        <v>0</v>
      </c>
      <c r="Q63" s="78">
        <v>4</v>
      </c>
      <c r="R63" s="78">
        <v>2</v>
      </c>
      <c r="S63" s="78" t="s">
        <v>59</v>
      </c>
      <c r="T63" s="5">
        <v>151</v>
      </c>
      <c r="U63" s="9"/>
      <c r="W63" s="85">
        <f t="shared" si="63"/>
        <v>151.80000000000001</v>
      </c>
      <c r="X63" s="86">
        <f t="shared" si="63"/>
        <v>46</v>
      </c>
      <c r="Y63" s="91">
        <f t="shared" si="64"/>
        <v>216</v>
      </c>
      <c r="Z63" s="89">
        <f t="shared" si="64"/>
        <v>49500</v>
      </c>
      <c r="AA63" s="89">
        <f>K63</f>
        <v>0</v>
      </c>
      <c r="AB63" s="89">
        <f t="shared" si="65"/>
        <v>49500</v>
      </c>
      <c r="AC63" s="4">
        <f t="shared" si="65"/>
        <v>0</v>
      </c>
      <c r="AD63" s="90">
        <f t="shared" si="65"/>
        <v>1076.0869565217392</v>
      </c>
      <c r="AE63" s="78" t="str">
        <f>S63</f>
        <v>계</v>
      </c>
      <c r="AF63" s="78" t="str">
        <f>Q63&amp;"/"&amp;R63</f>
        <v>4/2</v>
      </c>
      <c r="AH63" s="20" t="str">
        <f t="shared" si="50"/>
        <v>진흥더블파크</v>
      </c>
      <c r="AI63" s="86">
        <f t="shared" si="49"/>
        <v>46</v>
      </c>
      <c r="AJ63" s="78" t="str">
        <f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X</v>
      </c>
      <c r="AQ63" s="78" t="str">
        <f>IF(O63="","",IF(O63&lt;=$AQ$1,"O","X"))</f>
        <v>X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X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745</v>
      </c>
      <c r="B64" s="10" t="s">
        <v>1558</v>
      </c>
      <c r="C64" s="87">
        <v>900</v>
      </c>
      <c r="D64" s="85">
        <v>187.9</v>
      </c>
      <c r="E64" s="86">
        <v>57</v>
      </c>
      <c r="F64" s="85">
        <v>155.69999999999999</v>
      </c>
      <c r="G64" s="17">
        <v>47</v>
      </c>
      <c r="H64" s="87">
        <v>72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4</v>
      </c>
      <c r="R64" s="78">
        <v>2</v>
      </c>
      <c r="S64" s="78" t="s">
        <v>59</v>
      </c>
      <c r="T64" s="5">
        <v>187</v>
      </c>
      <c r="U64" s="9"/>
      <c r="W64" s="85">
        <f t="shared" si="63"/>
        <v>187.9</v>
      </c>
      <c r="X64" s="86">
        <f t="shared" si="63"/>
        <v>57</v>
      </c>
      <c r="Y64" s="91">
        <f t="shared" si="64"/>
        <v>72</v>
      </c>
      <c r="Z64" s="89">
        <f t="shared" si="64"/>
        <v>0</v>
      </c>
      <c r="AA64" s="89">
        <f>K64</f>
        <v>0</v>
      </c>
      <c r="AB64" s="89">
        <f t="shared" si="65"/>
        <v>0</v>
      </c>
      <c r="AC64" s="4" t="str">
        <f t="shared" si="65"/>
        <v/>
      </c>
      <c r="AD64" s="90">
        <f t="shared" si="65"/>
        <v>0</v>
      </c>
      <c r="AE64" s="78" t="str">
        <f>S64</f>
        <v>계</v>
      </c>
      <c r="AF64" s="78" t="str">
        <f>Q64&amp;"/"&amp;R64</f>
        <v>4/2</v>
      </c>
      <c r="AH64" s="20" t="str">
        <f t="shared" si="50"/>
        <v>진흥더블파크</v>
      </c>
      <c r="AI64" s="86">
        <f t="shared" si="49"/>
        <v>57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X</v>
      </c>
      <c r="AU64" s="78" t="str">
        <f>IF(C64="","",IF(C64&gt;=$AU$1,"O","X"))</f>
        <v>O</v>
      </c>
      <c r="AV64" s="78" t="str">
        <f>IF(AO64="","",IF(AND(AO64="O",AP64="O",AR64="O",AT64="O",AU64="O"),"후보","X"))</f>
        <v/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송천동1가 삼성('90.11.,261^)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50"/>
        <v/>
      </c>
      <c r="AI65" s="108" t="str">
        <f t="shared" si="49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769</v>
      </c>
      <c r="B66" s="10" t="s">
        <v>1564</v>
      </c>
      <c r="C66" s="87">
        <v>261</v>
      </c>
      <c r="D66" s="85">
        <v>75.7</v>
      </c>
      <c r="E66" s="86">
        <v>23</v>
      </c>
      <c r="F66" s="85">
        <v>54.9</v>
      </c>
      <c r="G66" s="17">
        <v>17</v>
      </c>
      <c r="H66" s="87">
        <v>30</v>
      </c>
      <c r="I66" s="88"/>
      <c r="J66" s="88"/>
      <c r="K66" s="88"/>
      <c r="L66" s="88"/>
      <c r="M66" s="89">
        <f>I66-K66</f>
        <v>0</v>
      </c>
      <c r="N66" s="4" t="str">
        <f>IF(ISERROR(K66/I66),"",K66/I66)</f>
        <v/>
      </c>
      <c r="O66" s="90">
        <f>I66/E66</f>
        <v>0</v>
      </c>
      <c r="P66" s="90">
        <f>K66/E66</f>
        <v>0</v>
      </c>
      <c r="Q66" s="78">
        <v>3</v>
      </c>
      <c r="R66" s="78">
        <v>1</v>
      </c>
      <c r="S66" s="78" t="s">
        <v>65</v>
      </c>
      <c r="T66" s="5">
        <v>75</v>
      </c>
      <c r="U66" s="9"/>
      <c r="W66" s="85">
        <f>D66</f>
        <v>75.7</v>
      </c>
      <c r="X66" s="86">
        <f>E66</f>
        <v>23</v>
      </c>
      <c r="Y66" s="91">
        <f>H66</f>
        <v>30</v>
      </c>
      <c r="Z66" s="89">
        <f>I66</f>
        <v>0</v>
      </c>
      <c r="AA66" s="89">
        <f>K66</f>
        <v>0</v>
      </c>
      <c r="AB66" s="89">
        <f t="shared" ref="AB66:AD67" si="66">M66</f>
        <v>0</v>
      </c>
      <c r="AC66" s="4" t="str">
        <f t="shared" si="66"/>
        <v/>
      </c>
      <c r="AD66" s="90">
        <f t="shared" si="66"/>
        <v>0</v>
      </c>
      <c r="AE66" s="78" t="str">
        <f>S66</f>
        <v>복</v>
      </c>
      <c r="AF66" s="78" t="str">
        <f>Q66&amp;"/"&amp;R66</f>
        <v>3/1</v>
      </c>
      <c r="AH66" s="20" t="str">
        <f t="shared" si="50"/>
        <v>삼성</v>
      </c>
      <c r="AI66" s="86">
        <f t="shared" si="49"/>
        <v>23</v>
      </c>
      <c r="AJ66" s="78" t="str">
        <f>IF(AI66="","",$AJ$2)</f>
        <v>A-</v>
      </c>
      <c r="AK66" s="78" t="s">
        <v>13</v>
      </c>
      <c r="AL66" s="78" t="s">
        <v>61</v>
      </c>
      <c r="AM66" s="78" t="s">
        <v>62</v>
      </c>
      <c r="AN66" s="78" t="str">
        <f>IF(AI66="","",$AN$2)</f>
        <v>C</v>
      </c>
      <c r="AO66" s="78" t="str">
        <f>IF(N66="","",IF(N66&gt;=$AO$1/100,"O","X"))</f>
        <v/>
      </c>
      <c r="AP66" s="78" t="str">
        <f>IF(I66="","",IF(I66&lt;=$AP$1,"O","X"))</f>
        <v/>
      </c>
      <c r="AQ66" s="78" t="str">
        <f>IF(O66="","",IF(O66&lt;=$AQ$1,"O","X"))</f>
        <v>O</v>
      </c>
      <c r="AR66" s="78" t="str">
        <f>IF(M66="","",IF(M66&lt;=$AR$1,"O","X"))</f>
        <v>O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X</v>
      </c>
      <c r="AV66" s="78" t="str">
        <f>IF(AO66="","",IF(AND(AO66="O",AP66="O",AR66="O",AT66="O",AU66="O"),"후보","X"))</f>
        <v/>
      </c>
    </row>
    <row r="67" spans="1:48" x14ac:dyDescent="0.3">
      <c r="A67" s="9" t="s">
        <v>769</v>
      </c>
      <c r="B67" s="10" t="s">
        <v>1564</v>
      </c>
      <c r="C67" s="87">
        <v>261</v>
      </c>
      <c r="D67" s="85">
        <v>82.3</v>
      </c>
      <c r="E67" s="86">
        <v>25</v>
      </c>
      <c r="F67" s="85">
        <v>59.7</v>
      </c>
      <c r="G67" s="17">
        <v>18</v>
      </c>
      <c r="H67" s="87">
        <v>231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3</v>
      </c>
      <c r="R67" s="78">
        <v>1</v>
      </c>
      <c r="S67" s="78" t="s">
        <v>65</v>
      </c>
      <c r="T67" s="5">
        <v>82</v>
      </c>
      <c r="U67" s="9"/>
      <c r="W67" s="85">
        <f>D67</f>
        <v>82.3</v>
      </c>
      <c r="X67" s="86">
        <f>E67</f>
        <v>25</v>
      </c>
      <c r="Y67" s="91">
        <f>H67</f>
        <v>231</v>
      </c>
      <c r="Z67" s="89">
        <f>I67</f>
        <v>0</v>
      </c>
      <c r="AA67" s="89">
        <f>K67</f>
        <v>0</v>
      </c>
      <c r="AB67" s="89">
        <f t="shared" si="66"/>
        <v>0</v>
      </c>
      <c r="AC67" s="4" t="str">
        <f t="shared" si="66"/>
        <v/>
      </c>
      <c r="AD67" s="90">
        <f t="shared" si="66"/>
        <v>0</v>
      </c>
      <c r="AE67" s="78" t="str">
        <f>S67</f>
        <v>복</v>
      </c>
      <c r="AF67" s="78" t="str">
        <f>Q67&amp;"/"&amp;R67</f>
        <v>3/1</v>
      </c>
      <c r="AH67" s="20" t="str">
        <f t="shared" si="50"/>
        <v>삼성</v>
      </c>
      <c r="AI67" s="86">
        <f t="shared" ref="AI67:AI98" si="67">IF(E67="","",E67)</f>
        <v>25</v>
      </c>
      <c r="AJ67" s="78" t="str">
        <f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X</v>
      </c>
      <c r="AV67" s="78" t="str">
        <f>IF(AO67="","",IF(AND(AO67="O",AP67="O",AR67="O",AT67="O",AU67="O"),"후보","X"))</f>
        <v/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송천동1가 송천센트럴파크2단지('08.01.,468^)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50"/>
        <v/>
      </c>
      <c r="AI68" s="108" t="str">
        <f t="shared" si="67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774</v>
      </c>
      <c r="B69" s="10" t="s">
        <v>1565</v>
      </c>
      <c r="C69" s="87">
        <v>468</v>
      </c>
      <c r="D69" s="85">
        <v>105.9</v>
      </c>
      <c r="E69" s="86">
        <v>32</v>
      </c>
      <c r="F69" s="85">
        <v>84.8</v>
      </c>
      <c r="G69" s="17">
        <v>26</v>
      </c>
      <c r="H69" s="87">
        <v>118</v>
      </c>
      <c r="I69" s="88">
        <v>37500</v>
      </c>
      <c r="J69" s="88" t="s">
        <v>87</v>
      </c>
      <c r="K69" s="88"/>
      <c r="L69" s="88"/>
      <c r="M69" s="89">
        <f>I69-K69</f>
        <v>37500</v>
      </c>
      <c r="N69" s="4">
        <f>IF(ISERROR(K69/I69),"",K69/I69)</f>
        <v>0</v>
      </c>
      <c r="O69" s="90">
        <f>I69/E69</f>
        <v>1171.875</v>
      </c>
      <c r="P69" s="90">
        <f>K69/E69</f>
        <v>0</v>
      </c>
      <c r="Q69" s="78">
        <v>3</v>
      </c>
      <c r="R69" s="78">
        <v>2</v>
      </c>
      <c r="S69" s="78" t="s">
        <v>59</v>
      </c>
      <c r="T69" s="5">
        <v>105</v>
      </c>
      <c r="U69" s="9"/>
      <c r="W69" s="85">
        <f t="shared" ref="W69:X72" si="68">D69</f>
        <v>105.9</v>
      </c>
      <c r="X69" s="86">
        <f t="shared" si="68"/>
        <v>32</v>
      </c>
      <c r="Y69" s="91">
        <f t="shared" ref="Y69:Z72" si="69">H69</f>
        <v>118</v>
      </c>
      <c r="Z69" s="89">
        <f t="shared" si="69"/>
        <v>37500</v>
      </c>
      <c r="AA69" s="89">
        <f>K69</f>
        <v>0</v>
      </c>
      <c r="AB69" s="89">
        <f t="shared" ref="AB69:AD72" si="70">M69</f>
        <v>37500</v>
      </c>
      <c r="AC69" s="4">
        <f t="shared" si="70"/>
        <v>0</v>
      </c>
      <c r="AD69" s="90">
        <f t="shared" si="70"/>
        <v>1171.875</v>
      </c>
      <c r="AE69" s="78" t="str">
        <f>S69</f>
        <v>계</v>
      </c>
      <c r="AF69" s="78" t="str">
        <f>Q69&amp;"/"&amp;R69</f>
        <v>3/2</v>
      </c>
      <c r="AH69" s="20" t="str">
        <f t="shared" ref="AH69:AH104" si="71">IF(A69="","",A69)</f>
        <v>송천센트럴파크2단지</v>
      </c>
      <c r="AI69" s="86">
        <f t="shared" si="67"/>
        <v>32</v>
      </c>
      <c r="AJ69" s="78" t="str">
        <f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>IF(AI69="","",$AN$2)</f>
        <v>C</v>
      </c>
      <c r="AO69" s="78" t="str">
        <f>IF(N69="","",IF(N69&gt;=$AO$1/100,"O","X"))</f>
        <v>X</v>
      </c>
      <c r="AP69" s="78" t="str">
        <f>IF(I69="","",IF(I69&lt;=$AP$1,"O","X"))</f>
        <v>O</v>
      </c>
      <c r="AQ69" s="78" t="str">
        <f>IF(O69="","",IF(O69&lt;=$AQ$1,"O","X"))</f>
        <v>X</v>
      </c>
      <c r="AR69" s="78" t="str">
        <f>IF(M69="","",IF(M69&lt;=$AR$1,"O","X"))</f>
        <v>X</v>
      </c>
      <c r="AS69" s="78" t="s">
        <v>2</v>
      </c>
      <c r="AT69" s="78" t="str">
        <f>IF(OR(F69="",AI69=""),"",IF(AND((F69&lt;=85),(AI69&gt;=15)),"O","X"))</f>
        <v>O</v>
      </c>
      <c r="AU69" s="78" t="str">
        <f>IF(C69="","",IF(C69&gt;=$AU$1,"O","X"))</f>
        <v>O</v>
      </c>
      <c r="AV69" s="78" t="str">
        <f>IF(AO69="","",IF(AND(AO69="O",AP69="O",AR69="O",AT69="O",AU69="O"),"후보","X"))</f>
        <v>X</v>
      </c>
    </row>
    <row r="70" spans="1:48" x14ac:dyDescent="0.3">
      <c r="A70" s="9" t="s">
        <v>774</v>
      </c>
      <c r="B70" s="10" t="s">
        <v>1565</v>
      </c>
      <c r="C70" s="87">
        <v>468</v>
      </c>
      <c r="D70" s="85">
        <v>125.7</v>
      </c>
      <c r="E70" s="86">
        <v>38</v>
      </c>
      <c r="F70" s="85">
        <v>100</v>
      </c>
      <c r="G70" s="17">
        <v>30</v>
      </c>
      <c r="H70" s="87">
        <v>60</v>
      </c>
      <c r="I70" s="88"/>
      <c r="J70" s="88"/>
      <c r="K70" s="88"/>
      <c r="L70" s="88"/>
      <c r="M70" s="89">
        <f>I70-K70</f>
        <v>0</v>
      </c>
      <c r="N70" s="4" t="str">
        <f>IF(ISERROR(K70/I70),"",K70/I70)</f>
        <v/>
      </c>
      <c r="O70" s="90">
        <f>I70/E70</f>
        <v>0</v>
      </c>
      <c r="P70" s="90">
        <f>K70/E70</f>
        <v>0</v>
      </c>
      <c r="Q70" s="78">
        <v>3</v>
      </c>
      <c r="R70" s="78">
        <v>2</v>
      </c>
      <c r="S70" s="78" t="s">
        <v>59</v>
      </c>
      <c r="T70" s="5" t="s">
        <v>138</v>
      </c>
      <c r="U70" s="9"/>
      <c r="W70" s="85">
        <f t="shared" si="68"/>
        <v>125.7</v>
      </c>
      <c r="X70" s="86">
        <f t="shared" si="68"/>
        <v>38</v>
      </c>
      <c r="Y70" s="91">
        <f t="shared" si="69"/>
        <v>60</v>
      </c>
      <c r="Z70" s="89">
        <f t="shared" si="69"/>
        <v>0</v>
      </c>
      <c r="AA70" s="89">
        <f>K70</f>
        <v>0</v>
      </c>
      <c r="AB70" s="89">
        <f t="shared" si="70"/>
        <v>0</v>
      </c>
      <c r="AC70" s="4" t="str">
        <f t="shared" si="70"/>
        <v/>
      </c>
      <c r="AD70" s="90">
        <f t="shared" si="70"/>
        <v>0</v>
      </c>
      <c r="AE70" s="78" t="str">
        <f>S70</f>
        <v>계</v>
      </c>
      <c r="AF70" s="78" t="str">
        <f>Q70&amp;"/"&amp;R70</f>
        <v>3/2</v>
      </c>
      <c r="AH70" s="20" t="str">
        <f t="shared" si="71"/>
        <v>송천센트럴파크2단지</v>
      </c>
      <c r="AI70" s="86">
        <f t="shared" si="67"/>
        <v>38</v>
      </c>
      <c r="AJ70" s="78" t="str">
        <f>IF(AI70="","",$AJ$2)</f>
        <v>A-</v>
      </c>
      <c r="AK70" s="78" t="s">
        <v>13</v>
      </c>
      <c r="AL70" s="78" t="s">
        <v>61</v>
      </c>
      <c r="AM70" s="78" t="s">
        <v>62</v>
      </c>
      <c r="AN70" s="78" t="str">
        <f>IF(AI70="","",$AN$2)</f>
        <v>C</v>
      </c>
      <c r="AO70" s="78" t="str">
        <f>IF(N70="","",IF(N70&gt;=$AO$1/100,"O","X"))</f>
        <v/>
      </c>
      <c r="AP70" s="78" t="str">
        <f>IF(I70="","",IF(I70&lt;=$AP$1,"O","X"))</f>
        <v/>
      </c>
      <c r="AQ70" s="78" t="str">
        <f>IF(O70="","",IF(O70&lt;=$AQ$1,"O","X"))</f>
        <v>O</v>
      </c>
      <c r="AR70" s="78" t="str">
        <f>IF(M70="","",IF(M70&lt;=$AR$1,"O","X"))</f>
        <v>O</v>
      </c>
      <c r="AS70" s="78" t="s">
        <v>2</v>
      </c>
      <c r="AT70" s="78" t="str">
        <f>IF(OR(F70="",AI70=""),"",IF(AND((F70&lt;=85),(AI70&gt;=15)),"O","X"))</f>
        <v>X</v>
      </c>
      <c r="AU70" s="78" t="str">
        <f>IF(C70="","",IF(C70&gt;=$AU$1,"O","X"))</f>
        <v>O</v>
      </c>
      <c r="AV70" s="78" t="str">
        <f>IF(AO70="","",IF(AND(AO70="O",AP70="O",AR70="O",AT70="O",AU70="O"),"후보","X"))</f>
        <v/>
      </c>
    </row>
    <row r="71" spans="1:48" x14ac:dyDescent="0.3">
      <c r="A71" s="9" t="s">
        <v>774</v>
      </c>
      <c r="B71" s="10" t="s">
        <v>1565</v>
      </c>
      <c r="C71" s="87">
        <v>468</v>
      </c>
      <c r="D71" s="85">
        <v>127.4</v>
      </c>
      <c r="E71" s="86">
        <v>39</v>
      </c>
      <c r="F71" s="85">
        <v>103.2</v>
      </c>
      <c r="G71" s="17">
        <v>31</v>
      </c>
      <c r="H71" s="87">
        <v>180</v>
      </c>
      <c r="I71" s="88">
        <v>55000</v>
      </c>
      <c r="J71" s="88" t="s">
        <v>127</v>
      </c>
      <c r="K71" s="88"/>
      <c r="L71" s="88"/>
      <c r="M71" s="89">
        <f>I71-K71</f>
        <v>55000</v>
      </c>
      <c r="N71" s="4">
        <f>IF(ISERROR(K71/I71),"",K71/I71)</f>
        <v>0</v>
      </c>
      <c r="O71" s="90">
        <f>I71/E71</f>
        <v>1410.2564102564102</v>
      </c>
      <c r="P71" s="90">
        <f>K71/E71</f>
        <v>0</v>
      </c>
      <c r="Q71" s="78">
        <v>4</v>
      </c>
      <c r="R71" s="78">
        <v>2</v>
      </c>
      <c r="S71" s="78" t="s">
        <v>59</v>
      </c>
      <c r="T71" s="5" t="s">
        <v>139</v>
      </c>
      <c r="U71" s="9"/>
      <c r="W71" s="85">
        <f t="shared" si="68"/>
        <v>127.4</v>
      </c>
      <c r="X71" s="86">
        <f t="shared" si="68"/>
        <v>39</v>
      </c>
      <c r="Y71" s="91">
        <f t="shared" si="69"/>
        <v>180</v>
      </c>
      <c r="Z71" s="89">
        <f t="shared" si="69"/>
        <v>55000</v>
      </c>
      <c r="AA71" s="89">
        <f>K71</f>
        <v>0</v>
      </c>
      <c r="AB71" s="89">
        <f t="shared" si="70"/>
        <v>55000</v>
      </c>
      <c r="AC71" s="4">
        <f t="shared" si="70"/>
        <v>0</v>
      </c>
      <c r="AD71" s="90">
        <f t="shared" si="70"/>
        <v>1410.2564102564102</v>
      </c>
      <c r="AE71" s="78" t="str">
        <f>S71</f>
        <v>계</v>
      </c>
      <c r="AF71" s="78" t="str">
        <f>Q71&amp;"/"&amp;R71</f>
        <v>4/2</v>
      </c>
      <c r="AH71" s="20" t="str">
        <f t="shared" si="71"/>
        <v>송천센트럴파크2단지</v>
      </c>
      <c r="AI71" s="86">
        <f t="shared" si="67"/>
        <v>39</v>
      </c>
      <c r="AJ71" s="78" t="str">
        <f>IF(AI71="","",$AJ$2)</f>
        <v>A-</v>
      </c>
      <c r="AK71" s="78" t="s">
        <v>13</v>
      </c>
      <c r="AL71" s="78" t="s">
        <v>61</v>
      </c>
      <c r="AM71" s="78" t="s">
        <v>62</v>
      </c>
      <c r="AN71" s="78" t="str">
        <f>IF(AI71="","",$AN$2)</f>
        <v>C</v>
      </c>
      <c r="AO71" s="78" t="str">
        <f>IF(N71="","",IF(N71&gt;=$AO$1/100,"O","X"))</f>
        <v>X</v>
      </c>
      <c r="AP71" s="78" t="str">
        <f>IF(I71="","",IF(I71&lt;=$AP$1,"O","X"))</f>
        <v>X</v>
      </c>
      <c r="AQ71" s="78" t="str">
        <f>IF(O71="","",IF(O71&lt;=$AQ$1,"O","X"))</f>
        <v>X</v>
      </c>
      <c r="AR71" s="78" t="str">
        <f>IF(M71="","",IF(M71&lt;=$AR$1,"O","X"))</f>
        <v>X</v>
      </c>
      <c r="AS71" s="78" t="s">
        <v>2</v>
      </c>
      <c r="AT71" s="78" t="str">
        <f>IF(OR(F71="",AI71=""),"",IF(AND((F71&lt;=85),(AI71&gt;=15)),"O","X"))</f>
        <v>X</v>
      </c>
      <c r="AU71" s="78" t="str">
        <f>IF(C71="","",IF(C71&gt;=$AU$1,"O","X"))</f>
        <v>O</v>
      </c>
      <c r="AV71" s="78" t="str">
        <f>IF(AO71="","",IF(AND(AO71="O",AP71="O",AR71="O",AT71="O",AU71="O"),"후보","X"))</f>
        <v>X</v>
      </c>
    </row>
    <row r="72" spans="1:48" x14ac:dyDescent="0.3">
      <c r="A72" s="9" t="s">
        <v>774</v>
      </c>
      <c r="B72" s="10" t="s">
        <v>1565</v>
      </c>
      <c r="C72" s="87">
        <v>468</v>
      </c>
      <c r="D72" s="85">
        <v>149.4</v>
      </c>
      <c r="E72" s="86">
        <v>45</v>
      </c>
      <c r="F72" s="85">
        <v>117.1</v>
      </c>
      <c r="G72" s="17">
        <v>35</v>
      </c>
      <c r="H72" s="87">
        <v>110</v>
      </c>
      <c r="I72" s="88">
        <v>51000</v>
      </c>
      <c r="J72" s="88" t="s">
        <v>68</v>
      </c>
      <c r="K72" s="88">
        <v>38000</v>
      </c>
      <c r="L72" s="88" t="s">
        <v>89</v>
      </c>
      <c r="M72" s="89">
        <f>I72-K72</f>
        <v>13000</v>
      </c>
      <c r="N72" s="4">
        <f>IF(ISERROR(K72/I72),"",K72/I72)</f>
        <v>0.74509803921568629</v>
      </c>
      <c r="O72" s="90">
        <f>I72/E72</f>
        <v>1133.3333333333333</v>
      </c>
      <c r="P72" s="90">
        <f>K72/E72</f>
        <v>844.44444444444446</v>
      </c>
      <c r="Q72" s="78">
        <v>4</v>
      </c>
      <c r="R72" s="78">
        <v>2</v>
      </c>
      <c r="S72" s="78" t="s">
        <v>59</v>
      </c>
      <c r="T72" s="5">
        <v>149</v>
      </c>
      <c r="U72" s="9"/>
      <c r="W72" s="85">
        <f t="shared" si="68"/>
        <v>149.4</v>
      </c>
      <c r="X72" s="86">
        <f t="shared" si="68"/>
        <v>45</v>
      </c>
      <c r="Y72" s="91">
        <f t="shared" si="69"/>
        <v>110</v>
      </c>
      <c r="Z72" s="89">
        <f t="shared" si="69"/>
        <v>51000</v>
      </c>
      <c r="AA72" s="89">
        <f>K72</f>
        <v>38000</v>
      </c>
      <c r="AB72" s="89">
        <f t="shared" si="70"/>
        <v>13000</v>
      </c>
      <c r="AC72" s="4">
        <f t="shared" si="70"/>
        <v>0.74509803921568629</v>
      </c>
      <c r="AD72" s="90">
        <f t="shared" si="70"/>
        <v>1133.3333333333333</v>
      </c>
      <c r="AE72" s="78" t="str">
        <f>S72</f>
        <v>계</v>
      </c>
      <c r="AF72" s="78" t="str">
        <f>Q72&amp;"/"&amp;R72</f>
        <v>4/2</v>
      </c>
      <c r="AH72" s="20" t="str">
        <f t="shared" si="71"/>
        <v>송천센트럴파크2단지</v>
      </c>
      <c r="AI72" s="86">
        <f t="shared" si="67"/>
        <v>45</v>
      </c>
      <c r="AJ72" s="78" t="str">
        <f>IF(AI72="","",$AJ$2)</f>
        <v>A-</v>
      </c>
      <c r="AK72" s="78" t="s">
        <v>13</v>
      </c>
      <c r="AL72" s="78" t="s">
        <v>61</v>
      </c>
      <c r="AM72" s="78" t="s">
        <v>62</v>
      </c>
      <c r="AN72" s="78" t="str">
        <f>IF(AI72="","",$AN$2)</f>
        <v>C</v>
      </c>
      <c r="AO72" s="78" t="str">
        <f>IF(N72="","",IF(N72&gt;=$AO$1/100,"O","X"))</f>
        <v>X</v>
      </c>
      <c r="AP72" s="78" t="str">
        <f>IF(I72="","",IF(I72&lt;=$AP$1,"O","X"))</f>
        <v>X</v>
      </c>
      <c r="AQ72" s="78" t="str">
        <f>IF(O72="","",IF(O72&lt;=$AQ$1,"O","X"))</f>
        <v>X</v>
      </c>
      <c r="AR72" s="78" t="str">
        <f>IF(M72="","",IF(M72&lt;=$AR$1,"O","X"))</f>
        <v>X</v>
      </c>
      <c r="AS72" s="78" t="s">
        <v>2</v>
      </c>
      <c r="AT72" s="78" t="str">
        <f>IF(OR(F72="",AI72=""),"",IF(AND((F72&lt;=85),(AI72&gt;=15)),"O","X"))</f>
        <v>X</v>
      </c>
      <c r="AU72" s="78" t="str">
        <f>IF(C72="","",IF(C72&gt;=$AU$1,"O","X"))</f>
        <v>O</v>
      </c>
      <c r="AV72" s="78" t="str">
        <f>IF(AO72="","",IF(AND(AO72="O",AP72="O",AR72="O",AT72="O",AU72="O"),"후보","X"))</f>
        <v>X</v>
      </c>
    </row>
    <row r="73" spans="1:48" x14ac:dyDescent="0.3">
      <c r="A73" s="9"/>
      <c r="B73" s="78"/>
      <c r="C73" s="6"/>
      <c r="D73" s="9"/>
      <c r="E73" s="14"/>
      <c r="F73" s="85"/>
      <c r="G73" s="9"/>
      <c r="H73" s="9"/>
      <c r="I73" s="9"/>
      <c r="J73" s="9"/>
      <c r="K73" s="9"/>
      <c r="L73" s="9"/>
      <c r="M73" s="9"/>
      <c r="N73" s="9"/>
      <c r="O73" s="90"/>
      <c r="P73" s="90"/>
      <c r="Q73" s="86"/>
      <c r="R73" s="86"/>
      <c r="S73" s="9"/>
      <c r="T73" s="47"/>
      <c r="U73" s="9"/>
      <c r="W73" s="67" t="str">
        <f>$A$4&amp;" "&amp;A74&amp;"("&amp;B74&amp;","&amp;C74&amp;"^)"</f>
        <v>송천동1가 송천KCC스위첸('16.11.,480^)</v>
      </c>
      <c r="X73" s="68"/>
      <c r="Y73" s="68"/>
      <c r="Z73" s="68"/>
      <c r="AA73" s="68"/>
      <c r="AB73" s="68"/>
      <c r="AC73" s="68"/>
      <c r="AD73" s="68"/>
      <c r="AE73" s="68"/>
      <c r="AF73" s="69"/>
      <c r="AH73" s="20" t="str">
        <f t="shared" si="71"/>
        <v/>
      </c>
      <c r="AI73" s="108" t="str">
        <f t="shared" si="67"/>
        <v/>
      </c>
      <c r="AJ73" s="78"/>
      <c r="AK73" s="78"/>
      <c r="AL73" s="78"/>
      <c r="AM73" s="78"/>
      <c r="AN73" s="78"/>
      <c r="AO73" s="78"/>
      <c r="AP73" s="78"/>
      <c r="AQ73" s="78"/>
      <c r="AR73" s="78"/>
      <c r="AS73" s="78"/>
      <c r="AT73" s="78"/>
      <c r="AU73" s="78"/>
      <c r="AV73" s="78"/>
    </row>
    <row r="74" spans="1:48" x14ac:dyDescent="0.3">
      <c r="A74" s="9" t="s">
        <v>779</v>
      </c>
      <c r="B74" s="10" t="s">
        <v>1536</v>
      </c>
      <c r="C74" s="87">
        <v>480</v>
      </c>
      <c r="D74" s="85">
        <v>109.9</v>
      </c>
      <c r="E74" s="86">
        <v>33</v>
      </c>
      <c r="F74" s="85">
        <v>84.9</v>
      </c>
      <c r="G74" s="17">
        <v>26</v>
      </c>
      <c r="H74" s="87">
        <v>129</v>
      </c>
      <c r="I74" s="88">
        <v>47000</v>
      </c>
      <c r="J74" s="88" t="s">
        <v>89</v>
      </c>
      <c r="K74" s="88">
        <v>39000</v>
      </c>
      <c r="L74" s="88" t="s">
        <v>131</v>
      </c>
      <c r="M74" s="89">
        <f>I74-K74</f>
        <v>8000</v>
      </c>
      <c r="N74" s="4">
        <f>IF(ISERROR(K74/I74),"",K74/I74)</f>
        <v>0.82978723404255317</v>
      </c>
      <c r="O74" s="90">
        <f>I74/E74</f>
        <v>1424.2424242424242</v>
      </c>
      <c r="P74" s="90">
        <f>K74/E74</f>
        <v>1181.8181818181818</v>
      </c>
      <c r="Q74" s="78">
        <v>3</v>
      </c>
      <c r="R74" s="78">
        <v>2</v>
      </c>
      <c r="S74" s="78" t="s">
        <v>59</v>
      </c>
      <c r="T74" s="5" t="s">
        <v>70</v>
      </c>
      <c r="U74" s="9"/>
      <c r="W74" s="85">
        <f t="shared" ref="W74:X76" si="72">D74</f>
        <v>109.9</v>
      </c>
      <c r="X74" s="86">
        <f t="shared" si="72"/>
        <v>33</v>
      </c>
      <c r="Y74" s="91">
        <f t="shared" ref="Y74:Z76" si="73">H74</f>
        <v>129</v>
      </c>
      <c r="Z74" s="89">
        <f t="shared" si="73"/>
        <v>47000</v>
      </c>
      <c r="AA74" s="89">
        <f>K74</f>
        <v>39000</v>
      </c>
      <c r="AB74" s="89">
        <f t="shared" ref="AB74:AD76" si="74">M74</f>
        <v>8000</v>
      </c>
      <c r="AC74" s="4">
        <f t="shared" si="74"/>
        <v>0.82978723404255317</v>
      </c>
      <c r="AD74" s="90">
        <f t="shared" si="74"/>
        <v>1424.2424242424242</v>
      </c>
      <c r="AE74" s="78" t="str">
        <f>S74</f>
        <v>계</v>
      </c>
      <c r="AF74" s="78" t="str">
        <f>Q74&amp;"/"&amp;R74</f>
        <v>3/2</v>
      </c>
      <c r="AH74" s="20" t="str">
        <f t="shared" si="71"/>
        <v>송천KCC스위첸</v>
      </c>
      <c r="AI74" s="86">
        <f t="shared" si="67"/>
        <v>33</v>
      </c>
      <c r="AJ74" s="78" t="str">
        <f>IF(AI74="","",$AJ$2)</f>
        <v>A-</v>
      </c>
      <c r="AK74" s="78" t="s">
        <v>13</v>
      </c>
      <c r="AL74" s="78" t="s">
        <v>61</v>
      </c>
      <c r="AM74" s="78" t="s">
        <v>62</v>
      </c>
      <c r="AN74" s="78" t="str">
        <f>IF(AI74="","",$AN$2)</f>
        <v>C</v>
      </c>
      <c r="AO74" s="78" t="str">
        <f>IF(N74="","",IF(N74&gt;=$AO$1/100,"O","X"))</f>
        <v>O</v>
      </c>
      <c r="AP74" s="78" t="str">
        <f>IF(I74="","",IF(I74&lt;=$AP$1,"O","X"))</f>
        <v>X</v>
      </c>
      <c r="AQ74" s="78" t="str">
        <f>IF(O74="","",IF(O74&lt;=$AQ$1,"O","X"))</f>
        <v>X</v>
      </c>
      <c r="AR74" s="78" t="str">
        <f>IF(M74="","",IF(M74&lt;=$AR$1,"O","X"))</f>
        <v>X</v>
      </c>
      <c r="AS74" s="78" t="s">
        <v>2</v>
      </c>
      <c r="AT74" s="78" t="str">
        <f>IF(OR(F74="",AI74=""),"",IF(AND((F74&lt;=85),(AI74&gt;=15)),"O","X"))</f>
        <v>O</v>
      </c>
      <c r="AU74" s="78" t="str">
        <f>IF(C74="","",IF(C74&gt;=$AU$1,"O","X"))</f>
        <v>O</v>
      </c>
      <c r="AV74" s="78" t="str">
        <f>IF(AO74="","",IF(AND(AO74="O",AP74="O",AR74="O",AT74="O",AU74="O"),"후보","X"))</f>
        <v>X</v>
      </c>
    </row>
    <row r="75" spans="1:48" x14ac:dyDescent="0.3">
      <c r="A75" s="9" t="s">
        <v>779</v>
      </c>
      <c r="B75" s="10" t="s">
        <v>1536</v>
      </c>
      <c r="C75" s="87">
        <v>480</v>
      </c>
      <c r="D75" s="85">
        <v>109.9</v>
      </c>
      <c r="E75" s="86">
        <v>33</v>
      </c>
      <c r="F75" s="85">
        <v>84.9</v>
      </c>
      <c r="G75" s="17">
        <v>26</v>
      </c>
      <c r="H75" s="87">
        <v>129</v>
      </c>
      <c r="I75" s="88">
        <v>47000</v>
      </c>
      <c r="J75" s="88" t="s">
        <v>89</v>
      </c>
      <c r="K75" s="88">
        <v>39000</v>
      </c>
      <c r="L75" s="88" t="s">
        <v>131</v>
      </c>
      <c r="M75" s="89">
        <f>I75-K75</f>
        <v>8000</v>
      </c>
      <c r="N75" s="4">
        <f>IF(ISERROR(K75/I75),"",K75/I75)</f>
        <v>0.82978723404255317</v>
      </c>
      <c r="O75" s="90">
        <f>I75/E75</f>
        <v>1424.2424242424242</v>
      </c>
      <c r="P75" s="90">
        <f>K75/E75</f>
        <v>1181.8181818181818</v>
      </c>
      <c r="Q75" s="78">
        <v>3</v>
      </c>
      <c r="R75" s="78">
        <v>2</v>
      </c>
      <c r="S75" s="78" t="s">
        <v>59</v>
      </c>
      <c r="T75" s="5" t="s">
        <v>140</v>
      </c>
      <c r="U75" s="9"/>
      <c r="W75" s="85">
        <f t="shared" si="72"/>
        <v>109.9</v>
      </c>
      <c r="X75" s="86">
        <f t="shared" si="72"/>
        <v>33</v>
      </c>
      <c r="Y75" s="91">
        <f t="shared" si="73"/>
        <v>129</v>
      </c>
      <c r="Z75" s="89">
        <f t="shared" si="73"/>
        <v>47000</v>
      </c>
      <c r="AA75" s="89">
        <f>K75</f>
        <v>39000</v>
      </c>
      <c r="AB75" s="89">
        <f t="shared" si="74"/>
        <v>8000</v>
      </c>
      <c r="AC75" s="4">
        <f t="shared" si="74"/>
        <v>0.82978723404255317</v>
      </c>
      <c r="AD75" s="90">
        <f t="shared" si="74"/>
        <v>1424.2424242424242</v>
      </c>
      <c r="AE75" s="78" t="str">
        <f>S75</f>
        <v>계</v>
      </c>
      <c r="AF75" s="78" t="str">
        <f>Q75&amp;"/"&amp;R75</f>
        <v>3/2</v>
      </c>
      <c r="AH75" s="20" t="str">
        <f t="shared" si="71"/>
        <v>송천KCC스위첸</v>
      </c>
      <c r="AI75" s="86">
        <f t="shared" si="67"/>
        <v>33</v>
      </c>
      <c r="AJ75" s="78" t="str">
        <f>IF(AI75="","",$AJ$2)</f>
        <v>A-</v>
      </c>
      <c r="AK75" s="78" t="s">
        <v>13</v>
      </c>
      <c r="AL75" s="78" t="s">
        <v>61</v>
      </c>
      <c r="AM75" s="78" t="s">
        <v>62</v>
      </c>
      <c r="AN75" s="78" t="str">
        <f>IF(AI75="","",$AN$2)</f>
        <v>C</v>
      </c>
      <c r="AO75" s="78" t="str">
        <f>IF(N75="","",IF(N75&gt;=$AO$1/100,"O","X"))</f>
        <v>O</v>
      </c>
      <c r="AP75" s="78" t="str">
        <f>IF(I75="","",IF(I75&lt;=$AP$1,"O","X"))</f>
        <v>X</v>
      </c>
      <c r="AQ75" s="78" t="str">
        <f>IF(O75="","",IF(O75&lt;=$AQ$1,"O","X"))</f>
        <v>X</v>
      </c>
      <c r="AR75" s="78" t="str">
        <f>IF(M75="","",IF(M75&lt;=$AR$1,"O","X"))</f>
        <v>X</v>
      </c>
      <c r="AS75" s="78" t="s">
        <v>2</v>
      </c>
      <c r="AT75" s="78" t="str">
        <f>IF(OR(F75="",AI75=""),"",IF(AND((F75&lt;=85),(AI75&gt;=15)),"O","X"))</f>
        <v>O</v>
      </c>
      <c r="AU75" s="78" t="str">
        <f>IF(C75="","",IF(C75&gt;=$AU$1,"O","X"))</f>
        <v>O</v>
      </c>
      <c r="AV75" s="78" t="str">
        <f>IF(AO75="","",IF(AND(AO75="O",AP75="O",AR75="O",AT75="O",AU75="O"),"후보","X"))</f>
        <v>X</v>
      </c>
    </row>
    <row r="76" spans="1:48" x14ac:dyDescent="0.3">
      <c r="A76" s="9" t="s">
        <v>779</v>
      </c>
      <c r="B76" s="10" t="s">
        <v>1536</v>
      </c>
      <c r="C76" s="87">
        <v>480</v>
      </c>
      <c r="D76" s="85">
        <v>110.3</v>
      </c>
      <c r="E76" s="86">
        <v>33</v>
      </c>
      <c r="F76" s="85">
        <v>84.9</v>
      </c>
      <c r="G76" s="17">
        <v>26</v>
      </c>
      <c r="H76" s="87">
        <v>222</v>
      </c>
      <c r="I76" s="88">
        <v>45000</v>
      </c>
      <c r="J76" s="88" t="s">
        <v>89</v>
      </c>
      <c r="K76" s="88">
        <v>39000</v>
      </c>
      <c r="L76" s="88" t="s">
        <v>82</v>
      </c>
      <c r="M76" s="89">
        <f>I76-K76</f>
        <v>6000</v>
      </c>
      <c r="N76" s="4">
        <f>IF(ISERROR(K76/I76),"",K76/I76)</f>
        <v>0.8666666666666667</v>
      </c>
      <c r="O76" s="90">
        <f>I76/E76</f>
        <v>1363.6363636363637</v>
      </c>
      <c r="P76" s="90">
        <f>K76/E76</f>
        <v>1181.8181818181818</v>
      </c>
      <c r="Q76" s="78">
        <v>3</v>
      </c>
      <c r="R76" s="78">
        <v>2</v>
      </c>
      <c r="S76" s="78" t="s">
        <v>59</v>
      </c>
      <c r="T76" s="5" t="s">
        <v>132</v>
      </c>
      <c r="U76" s="9"/>
      <c r="W76" s="85">
        <f t="shared" si="72"/>
        <v>110.3</v>
      </c>
      <c r="X76" s="86">
        <f t="shared" si="72"/>
        <v>33</v>
      </c>
      <c r="Y76" s="91">
        <f t="shared" si="73"/>
        <v>222</v>
      </c>
      <c r="Z76" s="89">
        <f t="shared" si="73"/>
        <v>45000</v>
      </c>
      <c r="AA76" s="89">
        <f>K76</f>
        <v>39000</v>
      </c>
      <c r="AB76" s="89">
        <f t="shared" si="74"/>
        <v>6000</v>
      </c>
      <c r="AC76" s="4">
        <f t="shared" si="74"/>
        <v>0.8666666666666667</v>
      </c>
      <c r="AD76" s="90">
        <f t="shared" si="74"/>
        <v>1363.6363636363637</v>
      </c>
      <c r="AE76" s="78" t="str">
        <f>S76</f>
        <v>계</v>
      </c>
      <c r="AF76" s="78" t="str">
        <f>Q76&amp;"/"&amp;R76</f>
        <v>3/2</v>
      </c>
      <c r="AH76" s="20" t="str">
        <f t="shared" si="71"/>
        <v>송천KCC스위첸</v>
      </c>
      <c r="AI76" s="86">
        <f t="shared" si="67"/>
        <v>33</v>
      </c>
      <c r="AJ76" s="78" t="str">
        <f>IF(AI76="","",$AJ$2)</f>
        <v>A-</v>
      </c>
      <c r="AK76" s="78" t="s">
        <v>13</v>
      </c>
      <c r="AL76" s="78" t="s">
        <v>61</v>
      </c>
      <c r="AM76" s="78" t="s">
        <v>62</v>
      </c>
      <c r="AN76" s="78" t="str">
        <f>IF(AI76="","",$AN$2)</f>
        <v>C</v>
      </c>
      <c r="AO76" s="78" t="str">
        <f>IF(N76="","",IF(N76&gt;=$AO$1/100,"O","X"))</f>
        <v>O</v>
      </c>
      <c r="AP76" s="78" t="str">
        <f>IF(I76="","",IF(I76&lt;=$AP$1,"O","X"))</f>
        <v>O</v>
      </c>
      <c r="AQ76" s="78" t="str">
        <f>IF(O76="","",IF(O76&lt;=$AQ$1,"O","X"))</f>
        <v>X</v>
      </c>
      <c r="AR76" s="78" t="str">
        <f>IF(M76="","",IF(M76&lt;=$AR$1,"O","X"))</f>
        <v>O</v>
      </c>
      <c r="AS76" s="78" t="s">
        <v>2</v>
      </c>
      <c r="AT76" s="78" t="str">
        <f>IF(OR(F76="",AI76=""),"",IF(AND((F76&lt;=85),(AI76&gt;=15)),"O","X"))</f>
        <v>O</v>
      </c>
      <c r="AU76" s="78" t="str">
        <f>IF(C76="","",IF(C76&gt;=$AU$1,"O","X"))</f>
        <v>O</v>
      </c>
      <c r="AV76" s="78" t="str">
        <f>IF(AO76="","",IF(AND(AO76="O",AP76="O",AR76="O",AT76="O",AU76="O"),"후보","X"))</f>
        <v>후보</v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송천동1가 현대2차('97.05.,585^)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71"/>
        <v/>
      </c>
      <c r="AI77" s="108" t="str">
        <f t="shared" si="67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783</v>
      </c>
      <c r="B78" s="10" t="s">
        <v>1566</v>
      </c>
      <c r="C78" s="87">
        <v>585</v>
      </c>
      <c r="D78" s="85">
        <v>79.3</v>
      </c>
      <c r="E78" s="86">
        <v>24</v>
      </c>
      <c r="F78" s="85">
        <v>60</v>
      </c>
      <c r="G78" s="17">
        <v>18</v>
      </c>
      <c r="H78" s="87">
        <v>262</v>
      </c>
      <c r="I78" s="88">
        <v>18500</v>
      </c>
      <c r="J78" s="88" t="s">
        <v>131</v>
      </c>
      <c r="K78" s="88">
        <v>17000</v>
      </c>
      <c r="L78" s="88" t="s">
        <v>111</v>
      </c>
      <c r="M78" s="89">
        <f>I78-K78</f>
        <v>1500</v>
      </c>
      <c r="N78" s="4">
        <f>IF(ISERROR(K78/I78),"",K78/I78)</f>
        <v>0.91891891891891897</v>
      </c>
      <c r="O78" s="90">
        <f>I78/E78</f>
        <v>770.83333333333337</v>
      </c>
      <c r="P78" s="90">
        <f>K78/E78</f>
        <v>708.33333333333337</v>
      </c>
      <c r="Q78" s="78">
        <v>3</v>
      </c>
      <c r="R78" s="78">
        <v>1</v>
      </c>
      <c r="S78" s="78" t="s">
        <v>59</v>
      </c>
      <c r="T78" s="5">
        <v>79</v>
      </c>
      <c r="U78" s="9"/>
      <c r="W78" s="85">
        <f t="shared" ref="W78:X80" si="75">D78</f>
        <v>79.3</v>
      </c>
      <c r="X78" s="86">
        <f t="shared" si="75"/>
        <v>24</v>
      </c>
      <c r="Y78" s="91">
        <f t="shared" ref="Y78:Z80" si="76">H78</f>
        <v>262</v>
      </c>
      <c r="Z78" s="89">
        <f t="shared" si="76"/>
        <v>18500</v>
      </c>
      <c r="AA78" s="89">
        <f>K78</f>
        <v>17000</v>
      </c>
      <c r="AB78" s="89">
        <f t="shared" ref="AB78:AD80" si="77">M78</f>
        <v>1500</v>
      </c>
      <c r="AC78" s="4">
        <f t="shared" si="77"/>
        <v>0.91891891891891897</v>
      </c>
      <c r="AD78" s="90">
        <f t="shared" si="77"/>
        <v>770.83333333333337</v>
      </c>
      <c r="AE78" s="78" t="str">
        <f>S78</f>
        <v>계</v>
      </c>
      <c r="AF78" s="78" t="str">
        <f>Q78&amp;"/"&amp;R78</f>
        <v>3/1</v>
      </c>
      <c r="AH78" s="20" t="str">
        <f t="shared" si="71"/>
        <v>현대2차</v>
      </c>
      <c r="AI78" s="86">
        <f t="shared" si="67"/>
        <v>24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O</v>
      </c>
      <c r="AP78" s="78" t="str">
        <f>IF(I78="","",IF(I78&lt;=$AP$1,"O","X"))</f>
        <v>O</v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후보</v>
      </c>
    </row>
    <row r="79" spans="1:48" x14ac:dyDescent="0.3">
      <c r="A79" s="9" t="s">
        <v>783</v>
      </c>
      <c r="B79" s="10" t="s">
        <v>1566</v>
      </c>
      <c r="C79" s="87">
        <v>585</v>
      </c>
      <c r="D79" s="85">
        <v>96</v>
      </c>
      <c r="E79" s="86">
        <v>29</v>
      </c>
      <c r="F79" s="85">
        <v>75.099999999999994</v>
      </c>
      <c r="G79" s="17">
        <v>23</v>
      </c>
      <c r="H79" s="87">
        <v>108</v>
      </c>
      <c r="I79" s="88">
        <v>21500</v>
      </c>
      <c r="J79" s="88" t="s">
        <v>89</v>
      </c>
      <c r="K79" s="88"/>
      <c r="L79" s="88"/>
      <c r="M79" s="89">
        <f>I79-K79</f>
        <v>21500</v>
      </c>
      <c r="N79" s="4">
        <f>IF(ISERROR(K79/I79),"",K79/I79)</f>
        <v>0</v>
      </c>
      <c r="O79" s="90">
        <f>I79/E79</f>
        <v>741.37931034482756</v>
      </c>
      <c r="P79" s="90">
        <f>K79/E79</f>
        <v>0</v>
      </c>
      <c r="Q79" s="78">
        <v>3</v>
      </c>
      <c r="R79" s="78">
        <v>1</v>
      </c>
      <c r="S79" s="78" t="s">
        <v>59</v>
      </c>
      <c r="T79" s="5">
        <v>96</v>
      </c>
      <c r="U79" s="9"/>
      <c r="W79" s="85">
        <f t="shared" si="75"/>
        <v>96</v>
      </c>
      <c r="X79" s="86">
        <f t="shared" si="75"/>
        <v>29</v>
      </c>
      <c r="Y79" s="91">
        <f t="shared" si="76"/>
        <v>108</v>
      </c>
      <c r="Z79" s="89">
        <f t="shared" si="76"/>
        <v>21500</v>
      </c>
      <c r="AA79" s="89">
        <f>K79</f>
        <v>0</v>
      </c>
      <c r="AB79" s="89">
        <f t="shared" si="77"/>
        <v>21500</v>
      </c>
      <c r="AC79" s="4">
        <f t="shared" si="77"/>
        <v>0</v>
      </c>
      <c r="AD79" s="90">
        <f t="shared" si="77"/>
        <v>741.37931034482756</v>
      </c>
      <c r="AE79" s="78" t="str">
        <f>S79</f>
        <v>계</v>
      </c>
      <c r="AF79" s="78" t="str">
        <f>Q79&amp;"/"&amp;R79</f>
        <v>3/1</v>
      </c>
      <c r="AH79" s="20" t="str">
        <f t="shared" si="71"/>
        <v>현대2차</v>
      </c>
      <c r="AI79" s="86">
        <f t="shared" si="67"/>
        <v>29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>X</v>
      </c>
      <c r="AP79" s="78" t="str">
        <f>IF(I79="","",IF(I79&lt;=$AP$1,"O","X"))</f>
        <v>O</v>
      </c>
      <c r="AQ79" s="78" t="str">
        <f>IF(O79="","",IF(O79&lt;=$AQ$1,"O","X"))</f>
        <v>O</v>
      </c>
      <c r="AR79" s="78" t="str">
        <f>IF(M79="","",IF(M79&lt;=$AR$1,"O","X"))</f>
        <v>X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X</v>
      </c>
    </row>
    <row r="80" spans="1:48" x14ac:dyDescent="0.3">
      <c r="A80" s="9" t="s">
        <v>783</v>
      </c>
      <c r="B80" s="10" t="s">
        <v>1566</v>
      </c>
      <c r="C80" s="87">
        <v>585</v>
      </c>
      <c r="D80" s="85">
        <v>106.7</v>
      </c>
      <c r="E80" s="86">
        <v>32</v>
      </c>
      <c r="F80" s="85">
        <v>85</v>
      </c>
      <c r="G80" s="17">
        <v>26</v>
      </c>
      <c r="H80" s="87">
        <v>215</v>
      </c>
      <c r="I80" s="88">
        <v>23800</v>
      </c>
      <c r="J80" s="88" t="s">
        <v>141</v>
      </c>
      <c r="K80" s="88"/>
      <c r="L80" s="88"/>
      <c r="M80" s="89">
        <f>I80-K80</f>
        <v>23800</v>
      </c>
      <c r="N80" s="4">
        <f>IF(ISERROR(K80/I80),"",K80/I80)</f>
        <v>0</v>
      </c>
      <c r="O80" s="90">
        <f>I80/E80</f>
        <v>743.75</v>
      </c>
      <c r="P80" s="90">
        <f>K80/E80</f>
        <v>0</v>
      </c>
      <c r="Q80" s="78">
        <v>3</v>
      </c>
      <c r="R80" s="78">
        <v>2</v>
      </c>
      <c r="S80" s="78" t="s">
        <v>59</v>
      </c>
      <c r="T80" s="5">
        <v>106</v>
      </c>
      <c r="U80" s="9"/>
      <c r="W80" s="85">
        <f t="shared" si="75"/>
        <v>106.7</v>
      </c>
      <c r="X80" s="86">
        <f t="shared" si="75"/>
        <v>32</v>
      </c>
      <c r="Y80" s="91">
        <f t="shared" si="76"/>
        <v>215</v>
      </c>
      <c r="Z80" s="89">
        <f t="shared" si="76"/>
        <v>23800</v>
      </c>
      <c r="AA80" s="89">
        <f>K80</f>
        <v>0</v>
      </c>
      <c r="AB80" s="89">
        <f t="shared" si="77"/>
        <v>23800</v>
      </c>
      <c r="AC80" s="4">
        <f t="shared" si="77"/>
        <v>0</v>
      </c>
      <c r="AD80" s="90">
        <f t="shared" si="77"/>
        <v>743.75</v>
      </c>
      <c r="AE80" s="78" t="str">
        <f>S80</f>
        <v>계</v>
      </c>
      <c r="AF80" s="78" t="str">
        <f>Q80&amp;"/"&amp;R80</f>
        <v>3/2</v>
      </c>
      <c r="AH80" s="20" t="str">
        <f t="shared" si="71"/>
        <v>현대2차</v>
      </c>
      <c r="AI80" s="86">
        <f t="shared" si="67"/>
        <v>32</v>
      </c>
      <c r="AJ80" s="78" t="str">
        <f>IF(AI80="","",$AJ$2)</f>
        <v>A-</v>
      </c>
      <c r="AK80" s="78" t="s">
        <v>13</v>
      </c>
      <c r="AL80" s="78" t="s">
        <v>61</v>
      </c>
      <c r="AM80" s="78" t="s">
        <v>62</v>
      </c>
      <c r="AN80" s="78" t="str">
        <f>IF(AI80="","",$AN$2)</f>
        <v>C</v>
      </c>
      <c r="AO80" s="78" t="str">
        <f>IF(N80="","",IF(N80&gt;=$AO$1/100,"O","X"))</f>
        <v>X</v>
      </c>
      <c r="AP80" s="78" t="str">
        <f>IF(I80="","",IF(I80&lt;=$AP$1,"O","X"))</f>
        <v>O</v>
      </c>
      <c r="AQ80" s="78" t="str">
        <f>IF(O80="","",IF(O80&lt;=$AQ$1,"O","X"))</f>
        <v>O</v>
      </c>
      <c r="AR80" s="78" t="str">
        <f>IF(M80="","",IF(M80&lt;=$AR$1,"O","X"))</f>
        <v>X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O</v>
      </c>
      <c r="AV80" s="78" t="str">
        <f>IF(AO80="","",IF(AND(AO80="O",AP80="O",AR80="O",AT80="O",AU80="O"),"후보","X"))</f>
        <v>X</v>
      </c>
    </row>
    <row r="81" spans="1:48" x14ac:dyDescent="0.3">
      <c r="A81" s="9"/>
      <c r="B81" s="78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송천동1가 서호1단지('92.11.,480^)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71"/>
        <v/>
      </c>
      <c r="AI81" s="108" t="str">
        <f t="shared" si="67"/>
        <v/>
      </c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</row>
    <row r="82" spans="1:48" x14ac:dyDescent="0.3">
      <c r="A82" s="9" t="s">
        <v>788</v>
      </c>
      <c r="B82" s="10" t="s">
        <v>1567</v>
      </c>
      <c r="C82" s="87">
        <v>480</v>
      </c>
      <c r="D82" s="85">
        <v>102</v>
      </c>
      <c r="E82" s="86">
        <v>31</v>
      </c>
      <c r="F82" s="85">
        <v>84.6</v>
      </c>
      <c r="G82" s="17">
        <v>26</v>
      </c>
      <c r="H82" s="87">
        <v>210</v>
      </c>
      <c r="I82" s="88"/>
      <c r="J82" s="88"/>
      <c r="K82" s="88"/>
      <c r="L82" s="88"/>
      <c r="M82" s="89">
        <f>I82-K82</f>
        <v>0</v>
      </c>
      <c r="N82" s="4" t="str">
        <f>IF(ISERROR(K82/I82),"",K82/I82)</f>
        <v/>
      </c>
      <c r="O82" s="90">
        <f>I82/E82</f>
        <v>0</v>
      </c>
      <c r="P82" s="90">
        <f>K82/E82</f>
        <v>0</v>
      </c>
      <c r="Q82" s="78">
        <v>3</v>
      </c>
      <c r="R82" s="78">
        <v>2</v>
      </c>
      <c r="S82" s="78" t="s">
        <v>59</v>
      </c>
      <c r="T82" s="5" t="s">
        <v>142</v>
      </c>
      <c r="U82" s="9"/>
      <c r="W82" s="85">
        <f t="shared" ref="W82:X85" si="78">D82</f>
        <v>102</v>
      </c>
      <c r="X82" s="86">
        <f t="shared" si="78"/>
        <v>31</v>
      </c>
      <c r="Y82" s="91">
        <f t="shared" ref="Y82:Z85" si="79">H82</f>
        <v>210</v>
      </c>
      <c r="Z82" s="89">
        <f t="shared" si="79"/>
        <v>0</v>
      </c>
      <c r="AA82" s="89">
        <f>K82</f>
        <v>0</v>
      </c>
      <c r="AB82" s="89">
        <f t="shared" ref="AB82:AD85" si="80">M82</f>
        <v>0</v>
      </c>
      <c r="AC82" s="4" t="str">
        <f t="shared" si="80"/>
        <v/>
      </c>
      <c r="AD82" s="90">
        <f t="shared" si="80"/>
        <v>0</v>
      </c>
      <c r="AE82" s="78" t="str">
        <f>S82</f>
        <v>계</v>
      </c>
      <c r="AF82" s="78" t="str">
        <f>Q82&amp;"/"&amp;R82</f>
        <v>3/2</v>
      </c>
      <c r="AH82" s="20" t="str">
        <f t="shared" si="71"/>
        <v>서호1단지</v>
      </c>
      <c r="AI82" s="86">
        <f t="shared" si="67"/>
        <v>31</v>
      </c>
      <c r="AJ82" s="78" t="str">
        <f>IF(AI82="","",$AJ$2)</f>
        <v>A-</v>
      </c>
      <c r="AK82" s="78" t="s">
        <v>13</v>
      </c>
      <c r="AL82" s="78" t="s">
        <v>61</v>
      </c>
      <c r="AM82" s="78" t="s">
        <v>62</v>
      </c>
      <c r="AN82" s="78" t="str">
        <f>IF(AI82="","",$AN$2)</f>
        <v>C</v>
      </c>
      <c r="AO82" s="78" t="str">
        <f>IF(N82="","",IF(N82&gt;=$AO$1/100,"O","X"))</f>
        <v/>
      </c>
      <c r="AP82" s="78" t="str">
        <f>IF(I82="","",IF(I82&lt;=$AP$1,"O","X"))</f>
        <v/>
      </c>
      <c r="AQ82" s="78" t="str">
        <f>IF(O82="","",IF(O82&lt;=$AQ$1,"O","X"))</f>
        <v>O</v>
      </c>
      <c r="AR82" s="78" t="str">
        <f>IF(M82="","",IF(M82&lt;=$AR$1,"O","X"))</f>
        <v>O</v>
      </c>
      <c r="AS82" s="78" t="s">
        <v>2</v>
      </c>
      <c r="AT82" s="78" t="str">
        <f>IF(OR(F82="",AI82=""),"",IF(AND((F82&lt;=85),(AI82&gt;=15)),"O","X"))</f>
        <v>O</v>
      </c>
      <c r="AU82" s="78" t="str">
        <f>IF(C82="","",IF(C82&gt;=$AU$1,"O","X"))</f>
        <v>O</v>
      </c>
      <c r="AV82" s="78" t="str">
        <f>IF(AO82="","",IF(AND(AO82="O",AP82="O",AR82="O",AT82="O",AU82="O"),"후보","X"))</f>
        <v/>
      </c>
    </row>
    <row r="83" spans="1:48" x14ac:dyDescent="0.3">
      <c r="A83" s="9" t="s">
        <v>788</v>
      </c>
      <c r="B83" s="10" t="s">
        <v>1567</v>
      </c>
      <c r="C83" s="87">
        <v>480</v>
      </c>
      <c r="D83" s="85">
        <v>102.4</v>
      </c>
      <c r="E83" s="86">
        <v>31</v>
      </c>
      <c r="F83" s="85">
        <v>84.7</v>
      </c>
      <c r="G83" s="17">
        <v>26</v>
      </c>
      <c r="H83" s="87">
        <v>150</v>
      </c>
      <c r="I83" s="88">
        <v>18900</v>
      </c>
      <c r="J83" s="88" t="s">
        <v>127</v>
      </c>
      <c r="K83" s="88"/>
      <c r="L83" s="88"/>
      <c r="M83" s="89">
        <f>I83-K83</f>
        <v>18900</v>
      </c>
      <c r="N83" s="4">
        <f>IF(ISERROR(K83/I83),"",K83/I83)</f>
        <v>0</v>
      </c>
      <c r="O83" s="90">
        <f>I83/E83</f>
        <v>609.67741935483866</v>
      </c>
      <c r="P83" s="90">
        <f>K83/E83</f>
        <v>0</v>
      </c>
      <c r="Q83" s="78">
        <v>3</v>
      </c>
      <c r="R83" s="78">
        <v>2</v>
      </c>
      <c r="S83" s="78" t="s">
        <v>59</v>
      </c>
      <c r="T83" s="5" t="s">
        <v>135</v>
      </c>
      <c r="U83" s="9"/>
      <c r="W83" s="85">
        <f t="shared" si="78"/>
        <v>102.4</v>
      </c>
      <c r="X83" s="86">
        <f t="shared" si="78"/>
        <v>31</v>
      </c>
      <c r="Y83" s="91">
        <f t="shared" si="79"/>
        <v>150</v>
      </c>
      <c r="Z83" s="89">
        <f t="shared" si="79"/>
        <v>18900</v>
      </c>
      <c r="AA83" s="89">
        <f>K83</f>
        <v>0</v>
      </c>
      <c r="AB83" s="89">
        <f t="shared" si="80"/>
        <v>18900</v>
      </c>
      <c r="AC83" s="4">
        <f t="shared" si="80"/>
        <v>0</v>
      </c>
      <c r="AD83" s="90">
        <f t="shared" si="80"/>
        <v>609.67741935483866</v>
      </c>
      <c r="AE83" s="78" t="str">
        <f>S83</f>
        <v>계</v>
      </c>
      <c r="AF83" s="78" t="str">
        <f>Q83&amp;"/"&amp;R83</f>
        <v>3/2</v>
      </c>
      <c r="AH83" s="20" t="str">
        <f t="shared" si="71"/>
        <v>서호1단지</v>
      </c>
      <c r="AI83" s="86">
        <f t="shared" si="67"/>
        <v>31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>X</v>
      </c>
      <c r="AP83" s="78" t="str">
        <f>IF(I83="","",IF(I83&lt;=$AP$1,"O","X"))</f>
        <v>O</v>
      </c>
      <c r="AQ83" s="78" t="str">
        <f>IF(O83="","",IF(O83&lt;=$AQ$1,"O","X"))</f>
        <v>O</v>
      </c>
      <c r="AR83" s="78" t="str">
        <f>IF(M83="","",IF(M83&lt;=$AR$1,"O","X"))</f>
        <v>X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>X</v>
      </c>
    </row>
    <row r="84" spans="1:48" x14ac:dyDescent="0.3">
      <c r="A84" s="9" t="s">
        <v>788</v>
      </c>
      <c r="B84" s="10" t="s">
        <v>1567</v>
      </c>
      <c r="C84" s="87">
        <v>480</v>
      </c>
      <c r="D84" s="85">
        <v>152.80000000000001</v>
      </c>
      <c r="E84" s="86">
        <v>46</v>
      </c>
      <c r="F84" s="85">
        <v>130.9</v>
      </c>
      <c r="G84" s="17">
        <v>40</v>
      </c>
      <c r="H84" s="87">
        <v>60</v>
      </c>
      <c r="I84" s="88">
        <v>25000</v>
      </c>
      <c r="J84" s="88" t="s">
        <v>87</v>
      </c>
      <c r="K84" s="88"/>
      <c r="L84" s="88"/>
      <c r="M84" s="89">
        <f>I84-K84</f>
        <v>25000</v>
      </c>
      <c r="N84" s="4">
        <f>IF(ISERROR(K84/I84),"",K84/I84)</f>
        <v>0</v>
      </c>
      <c r="O84" s="90">
        <f>I84/E84</f>
        <v>543.47826086956525</v>
      </c>
      <c r="P84" s="90">
        <f>K84/E84</f>
        <v>0</v>
      </c>
      <c r="Q84" s="78">
        <v>4</v>
      </c>
      <c r="R84" s="78">
        <v>2</v>
      </c>
      <c r="S84" s="78" t="s">
        <v>59</v>
      </c>
      <c r="T84" s="5">
        <v>152</v>
      </c>
      <c r="U84" s="9"/>
      <c r="W84" s="85">
        <f t="shared" si="78"/>
        <v>152.80000000000001</v>
      </c>
      <c r="X84" s="86">
        <f t="shared" si="78"/>
        <v>46</v>
      </c>
      <c r="Y84" s="91">
        <f t="shared" si="79"/>
        <v>60</v>
      </c>
      <c r="Z84" s="89">
        <f t="shared" si="79"/>
        <v>25000</v>
      </c>
      <c r="AA84" s="89">
        <f>K84</f>
        <v>0</v>
      </c>
      <c r="AB84" s="89">
        <f t="shared" si="80"/>
        <v>25000</v>
      </c>
      <c r="AC84" s="4">
        <f t="shared" si="80"/>
        <v>0</v>
      </c>
      <c r="AD84" s="90">
        <f t="shared" si="80"/>
        <v>543.47826086956525</v>
      </c>
      <c r="AE84" s="78" t="str">
        <f>S84</f>
        <v>계</v>
      </c>
      <c r="AF84" s="78" t="str">
        <f>Q84&amp;"/"&amp;R84</f>
        <v>4/2</v>
      </c>
      <c r="AH84" s="20" t="str">
        <f t="shared" si="71"/>
        <v>서호1단지</v>
      </c>
      <c r="AI84" s="86">
        <f t="shared" si="67"/>
        <v>46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>X</v>
      </c>
      <c r="AP84" s="78" t="str">
        <f>IF(I84="","",IF(I84&lt;=$AP$1,"O","X"))</f>
        <v>O</v>
      </c>
      <c r="AQ84" s="78" t="str">
        <f>IF(O84="","",IF(O84&lt;=$AQ$1,"O","X"))</f>
        <v>O</v>
      </c>
      <c r="AR84" s="78" t="str">
        <f>IF(M84="","",IF(M84&lt;=$AR$1,"O","X"))</f>
        <v>X</v>
      </c>
      <c r="AS84" s="78" t="s">
        <v>2</v>
      </c>
      <c r="AT84" s="78" t="str">
        <f>IF(OR(F84="",AI84=""),"",IF(AND((F84&lt;=85),(AI84&gt;=15)),"O","X"))</f>
        <v>X</v>
      </c>
      <c r="AU84" s="78" t="str">
        <f>IF(C84="","",IF(C84&gt;=$AU$1,"O","X"))</f>
        <v>O</v>
      </c>
      <c r="AV84" s="78" t="str">
        <f>IF(AO84="","",IF(AND(AO84="O",AP84="O",AR84="O",AT84="O",AU84="O"),"후보","X"))</f>
        <v>X</v>
      </c>
    </row>
    <row r="85" spans="1:48" x14ac:dyDescent="0.3">
      <c r="A85" s="9" t="s">
        <v>788</v>
      </c>
      <c r="B85" s="10" t="s">
        <v>1567</v>
      </c>
      <c r="C85" s="87">
        <v>480</v>
      </c>
      <c r="D85" s="85">
        <v>194</v>
      </c>
      <c r="E85" s="86">
        <v>59</v>
      </c>
      <c r="F85" s="85">
        <v>164.9</v>
      </c>
      <c r="G85" s="17">
        <v>50</v>
      </c>
      <c r="H85" s="87">
        <v>60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5</v>
      </c>
      <c r="R85" s="78">
        <v>3</v>
      </c>
      <c r="S85" s="78" t="s">
        <v>59</v>
      </c>
      <c r="T85" s="5">
        <v>193</v>
      </c>
      <c r="U85" s="9"/>
      <c r="W85" s="85">
        <f t="shared" si="78"/>
        <v>194</v>
      </c>
      <c r="X85" s="86">
        <f t="shared" si="78"/>
        <v>59</v>
      </c>
      <c r="Y85" s="91">
        <f t="shared" si="79"/>
        <v>60</v>
      </c>
      <c r="Z85" s="89">
        <f t="shared" si="79"/>
        <v>0</v>
      </c>
      <c r="AA85" s="89">
        <f>K85</f>
        <v>0</v>
      </c>
      <c r="AB85" s="89">
        <f t="shared" si="80"/>
        <v>0</v>
      </c>
      <c r="AC85" s="4" t="str">
        <f t="shared" si="80"/>
        <v/>
      </c>
      <c r="AD85" s="90">
        <f t="shared" si="80"/>
        <v>0</v>
      </c>
      <c r="AE85" s="78" t="str">
        <f>S85</f>
        <v>계</v>
      </c>
      <c r="AF85" s="78" t="str">
        <f>Q85&amp;"/"&amp;R85</f>
        <v>5/3</v>
      </c>
      <c r="AH85" s="20" t="str">
        <f t="shared" si="71"/>
        <v>서호1단지</v>
      </c>
      <c r="AI85" s="86">
        <f t="shared" si="67"/>
        <v>59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X</v>
      </c>
      <c r="AU85" s="78" t="str">
        <f>IF(C85="","",IF(C85&gt;=$AU$1,"O","X"))</f>
        <v>O</v>
      </c>
      <c r="AV85" s="78" t="str">
        <f>IF(AO85="","",IF(AND(AO85="O",AP85="O",AR85="O",AT85="O",AU85="O"),"후보","X"))</f>
        <v/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송천동1가 송천신일('93.12.,753^)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71"/>
        <v/>
      </c>
      <c r="AI86" s="108" t="str">
        <f t="shared" si="67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793</v>
      </c>
      <c r="B87" s="10" t="s">
        <v>1568</v>
      </c>
      <c r="C87" s="87">
        <v>753</v>
      </c>
      <c r="D87" s="85">
        <v>81</v>
      </c>
      <c r="E87" s="86">
        <v>24</v>
      </c>
      <c r="F87" s="85">
        <v>59.9</v>
      </c>
      <c r="G87" s="17">
        <v>18</v>
      </c>
      <c r="H87" s="87">
        <v>273</v>
      </c>
      <c r="I87" s="88">
        <v>12500</v>
      </c>
      <c r="J87" s="88" t="s">
        <v>104</v>
      </c>
      <c r="K87" s="88">
        <v>12000</v>
      </c>
      <c r="L87" s="88" t="s">
        <v>127</v>
      </c>
      <c r="M87" s="89">
        <f>I87-K87</f>
        <v>500</v>
      </c>
      <c r="N87" s="4">
        <f>IF(ISERROR(K87/I87),"",K87/I87)</f>
        <v>0.96</v>
      </c>
      <c r="O87" s="90">
        <f>I87/E87</f>
        <v>520.83333333333337</v>
      </c>
      <c r="P87" s="90">
        <f>K87/E87</f>
        <v>500</v>
      </c>
      <c r="Q87" s="78">
        <v>2</v>
      </c>
      <c r="R87" s="78">
        <v>1</v>
      </c>
      <c r="S87" s="78" t="s">
        <v>65</v>
      </c>
      <c r="T87" s="5">
        <v>80</v>
      </c>
      <c r="U87" s="9"/>
      <c r="W87" s="85">
        <f t="shared" ref="W87:X90" si="81">D87</f>
        <v>81</v>
      </c>
      <c r="X87" s="86">
        <f t="shared" si="81"/>
        <v>24</v>
      </c>
      <c r="Y87" s="91">
        <f t="shared" ref="Y87:Z90" si="82">H87</f>
        <v>273</v>
      </c>
      <c r="Z87" s="89">
        <f t="shared" si="82"/>
        <v>12500</v>
      </c>
      <c r="AA87" s="89">
        <f>K87</f>
        <v>12000</v>
      </c>
      <c r="AB87" s="89">
        <f t="shared" ref="AB87:AD90" si="83">M87</f>
        <v>500</v>
      </c>
      <c r="AC87" s="4">
        <f t="shared" si="83"/>
        <v>0.96</v>
      </c>
      <c r="AD87" s="90">
        <f t="shared" si="83"/>
        <v>520.83333333333337</v>
      </c>
      <c r="AE87" s="78" t="str">
        <f>S87</f>
        <v>복</v>
      </c>
      <c r="AF87" s="78" t="str">
        <f>Q87&amp;"/"&amp;R87</f>
        <v>2/1</v>
      </c>
      <c r="AH87" s="20" t="str">
        <f t="shared" si="71"/>
        <v>송천신일</v>
      </c>
      <c r="AI87" s="86">
        <f t="shared" si="67"/>
        <v>24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>O</v>
      </c>
      <c r="AP87" s="78" t="str">
        <f>IF(I87="","",IF(I87&lt;=$AP$1,"O","X"))</f>
        <v>O</v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O</v>
      </c>
      <c r="AV87" s="78" t="str">
        <f>IF(AO87="","",IF(AND(AO87="O",AP87="O",AR87="O",AT87="O",AU87="O"),"후보","X"))</f>
        <v>후보</v>
      </c>
    </row>
    <row r="88" spans="1:48" x14ac:dyDescent="0.3">
      <c r="A88" s="9" t="s">
        <v>793</v>
      </c>
      <c r="B88" s="10" t="s">
        <v>1568</v>
      </c>
      <c r="C88" s="87">
        <v>753</v>
      </c>
      <c r="D88" s="85">
        <v>103.8</v>
      </c>
      <c r="E88" s="86">
        <v>31</v>
      </c>
      <c r="F88" s="85">
        <v>84.8</v>
      </c>
      <c r="G88" s="17">
        <v>26</v>
      </c>
      <c r="H88" s="87">
        <v>39</v>
      </c>
      <c r="I88" s="88">
        <v>20000</v>
      </c>
      <c r="J88" s="88" t="s">
        <v>82</v>
      </c>
      <c r="K88" s="88"/>
      <c r="L88" s="88"/>
      <c r="M88" s="89">
        <f>I88-K88</f>
        <v>20000</v>
      </c>
      <c r="N88" s="4">
        <f>IF(ISERROR(K88/I88),"",K88/I88)</f>
        <v>0</v>
      </c>
      <c r="O88" s="90">
        <f>I88/E88</f>
        <v>645.16129032258061</v>
      </c>
      <c r="P88" s="90">
        <f>K88/E88</f>
        <v>0</v>
      </c>
      <c r="Q88" s="78">
        <v>3</v>
      </c>
      <c r="R88" s="78">
        <v>2</v>
      </c>
      <c r="S88" s="78" t="s">
        <v>59</v>
      </c>
      <c r="T88" s="5" t="s">
        <v>143</v>
      </c>
      <c r="U88" s="9"/>
      <c r="W88" s="85">
        <f t="shared" si="81"/>
        <v>103.8</v>
      </c>
      <c r="X88" s="86">
        <f t="shared" si="81"/>
        <v>31</v>
      </c>
      <c r="Y88" s="91">
        <f t="shared" si="82"/>
        <v>39</v>
      </c>
      <c r="Z88" s="89">
        <f t="shared" si="82"/>
        <v>20000</v>
      </c>
      <c r="AA88" s="89">
        <f>K88</f>
        <v>0</v>
      </c>
      <c r="AB88" s="89">
        <f t="shared" si="83"/>
        <v>20000</v>
      </c>
      <c r="AC88" s="4">
        <f t="shared" si="83"/>
        <v>0</v>
      </c>
      <c r="AD88" s="90">
        <f t="shared" si="83"/>
        <v>645.16129032258061</v>
      </c>
      <c r="AE88" s="78" t="str">
        <f>S88</f>
        <v>계</v>
      </c>
      <c r="AF88" s="78" t="str">
        <f>Q88&amp;"/"&amp;R88</f>
        <v>3/2</v>
      </c>
      <c r="AH88" s="20" t="str">
        <f t="shared" si="71"/>
        <v>송천신일</v>
      </c>
      <c r="AI88" s="86">
        <f t="shared" si="67"/>
        <v>31</v>
      </c>
      <c r="AJ88" s="78" t="str">
        <f>IF(AI88="","",$AJ$2)</f>
        <v>A-</v>
      </c>
      <c r="AK88" s="78" t="s">
        <v>13</v>
      </c>
      <c r="AL88" s="78" t="s">
        <v>61</v>
      </c>
      <c r="AM88" s="78" t="s">
        <v>62</v>
      </c>
      <c r="AN88" s="78" t="str">
        <f>IF(AI88="","",$AN$2)</f>
        <v>C</v>
      </c>
      <c r="AO88" s="78" t="str">
        <f>IF(N88="","",IF(N88&gt;=$AO$1/100,"O","X"))</f>
        <v>X</v>
      </c>
      <c r="AP88" s="78" t="str">
        <f>IF(I88="","",IF(I88&lt;=$AP$1,"O","X"))</f>
        <v>O</v>
      </c>
      <c r="AQ88" s="78" t="str">
        <f>IF(O88="","",IF(O88&lt;=$AQ$1,"O","X"))</f>
        <v>O</v>
      </c>
      <c r="AR88" s="78" t="str">
        <f>IF(M88="","",IF(M88&lt;=$AR$1,"O","X"))</f>
        <v>X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O</v>
      </c>
      <c r="AV88" s="78" t="str">
        <f>IF(AO88="","",IF(AND(AO88="O",AP88="O",AR88="O",AT88="O",AU88="O"),"후보","X"))</f>
        <v>X</v>
      </c>
    </row>
    <row r="89" spans="1:48" x14ac:dyDescent="0.3">
      <c r="A89" s="9" t="s">
        <v>793</v>
      </c>
      <c r="B89" s="10" t="s">
        <v>1568</v>
      </c>
      <c r="C89" s="87">
        <v>753</v>
      </c>
      <c r="D89" s="85">
        <v>104.1</v>
      </c>
      <c r="E89" s="86">
        <v>31</v>
      </c>
      <c r="F89" s="85">
        <v>85</v>
      </c>
      <c r="G89" s="17">
        <v>26</v>
      </c>
      <c r="H89" s="87">
        <v>281</v>
      </c>
      <c r="I89" s="88">
        <v>19000</v>
      </c>
      <c r="J89" s="88" t="s">
        <v>126</v>
      </c>
      <c r="K89" s="88">
        <v>19500</v>
      </c>
      <c r="L89" s="88" t="s">
        <v>104</v>
      </c>
      <c r="M89" s="89">
        <f>I89-K89</f>
        <v>-500</v>
      </c>
      <c r="N89" s="4">
        <f>IF(ISERROR(K89/I89),"",K89/I89)</f>
        <v>1.0263157894736843</v>
      </c>
      <c r="O89" s="90">
        <f>I89/E89</f>
        <v>612.90322580645159</v>
      </c>
      <c r="P89" s="90">
        <f>K89/E89</f>
        <v>629.0322580645161</v>
      </c>
      <c r="Q89" s="78">
        <v>3</v>
      </c>
      <c r="R89" s="78">
        <v>2</v>
      </c>
      <c r="S89" s="78" t="s">
        <v>59</v>
      </c>
      <c r="T89" s="5" t="s">
        <v>144</v>
      </c>
      <c r="U89" s="9"/>
      <c r="W89" s="85">
        <f t="shared" si="81"/>
        <v>104.1</v>
      </c>
      <c r="X89" s="86">
        <f t="shared" si="81"/>
        <v>31</v>
      </c>
      <c r="Y89" s="91">
        <f t="shared" si="82"/>
        <v>281</v>
      </c>
      <c r="Z89" s="89">
        <f t="shared" si="82"/>
        <v>19000</v>
      </c>
      <c r="AA89" s="89">
        <f>K89</f>
        <v>19500</v>
      </c>
      <c r="AB89" s="89">
        <f t="shared" si="83"/>
        <v>-500</v>
      </c>
      <c r="AC89" s="4">
        <f t="shared" si="83"/>
        <v>1.0263157894736843</v>
      </c>
      <c r="AD89" s="90">
        <f t="shared" si="83"/>
        <v>612.90322580645159</v>
      </c>
      <c r="AE89" s="78" t="str">
        <f>S89</f>
        <v>계</v>
      </c>
      <c r="AF89" s="78" t="str">
        <f>Q89&amp;"/"&amp;R89</f>
        <v>3/2</v>
      </c>
      <c r="AH89" s="20" t="str">
        <f t="shared" si="71"/>
        <v>송천신일</v>
      </c>
      <c r="AI89" s="86">
        <f t="shared" si="67"/>
        <v>31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>O</v>
      </c>
      <c r="AP89" s="78" t="str">
        <f>IF(I89="","",IF(I89&lt;=$AP$1,"O","X"))</f>
        <v>O</v>
      </c>
      <c r="AQ89" s="78" t="str">
        <f>IF(O89="","",IF(O89&lt;=$AQ$1,"O","X"))</f>
        <v>O</v>
      </c>
      <c r="AR89" s="78" t="str">
        <f>IF(M89="","",IF(M89&lt;=$AR$1,"O","X"))</f>
        <v>O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후보</v>
      </c>
    </row>
    <row r="90" spans="1:48" x14ac:dyDescent="0.3">
      <c r="A90" s="9" t="s">
        <v>793</v>
      </c>
      <c r="B90" s="10" t="s">
        <v>1568</v>
      </c>
      <c r="C90" s="87">
        <v>753</v>
      </c>
      <c r="D90" s="85">
        <v>152.9</v>
      </c>
      <c r="E90" s="86">
        <v>46</v>
      </c>
      <c r="F90" s="85">
        <v>130.4</v>
      </c>
      <c r="G90" s="17">
        <v>39</v>
      </c>
      <c r="H90" s="87">
        <v>160</v>
      </c>
      <c r="I90" s="88">
        <v>30000</v>
      </c>
      <c r="J90" s="88" t="s">
        <v>131</v>
      </c>
      <c r="K90" s="88"/>
      <c r="L90" s="88"/>
      <c r="M90" s="89">
        <f>I90-K90</f>
        <v>30000</v>
      </c>
      <c r="N90" s="4">
        <f>IF(ISERROR(K90/I90),"",K90/I90)</f>
        <v>0</v>
      </c>
      <c r="O90" s="90">
        <f>I90/E90</f>
        <v>652.17391304347825</v>
      </c>
      <c r="P90" s="90">
        <f>K90/E90</f>
        <v>0</v>
      </c>
      <c r="Q90" s="78">
        <v>4</v>
      </c>
      <c r="R90" s="78">
        <v>2</v>
      </c>
      <c r="S90" s="78" t="s">
        <v>59</v>
      </c>
      <c r="T90" s="5">
        <v>152</v>
      </c>
      <c r="U90" s="9"/>
      <c r="W90" s="85">
        <f t="shared" si="81"/>
        <v>152.9</v>
      </c>
      <c r="X90" s="86">
        <f t="shared" si="81"/>
        <v>46</v>
      </c>
      <c r="Y90" s="91">
        <f t="shared" si="82"/>
        <v>160</v>
      </c>
      <c r="Z90" s="89">
        <f t="shared" si="82"/>
        <v>30000</v>
      </c>
      <c r="AA90" s="89">
        <f>K90</f>
        <v>0</v>
      </c>
      <c r="AB90" s="89">
        <f t="shared" si="83"/>
        <v>30000</v>
      </c>
      <c r="AC90" s="4">
        <f t="shared" si="83"/>
        <v>0</v>
      </c>
      <c r="AD90" s="90">
        <f t="shared" si="83"/>
        <v>652.17391304347825</v>
      </c>
      <c r="AE90" s="78" t="str">
        <f>S90</f>
        <v>계</v>
      </c>
      <c r="AF90" s="78" t="str">
        <f>Q90&amp;"/"&amp;R90</f>
        <v>4/2</v>
      </c>
      <c r="AH90" s="20" t="str">
        <f t="shared" si="71"/>
        <v>송천신일</v>
      </c>
      <c r="AI90" s="86">
        <f t="shared" si="67"/>
        <v>46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O</v>
      </c>
      <c r="AQ90" s="78" t="str">
        <f>IF(O90="","",IF(O90&lt;=$AQ$1,"O","X"))</f>
        <v>O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X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/>
      <c r="B91" s="78"/>
      <c r="C91" s="6"/>
      <c r="D91" s="9"/>
      <c r="E91" s="14"/>
      <c r="F91" s="85"/>
      <c r="G91" s="9"/>
      <c r="H91" s="9"/>
      <c r="I91" s="9"/>
      <c r="J91" s="9"/>
      <c r="K91" s="9"/>
      <c r="L91" s="9"/>
      <c r="M91" s="9"/>
      <c r="N91" s="9"/>
      <c r="O91" s="90"/>
      <c r="P91" s="90"/>
      <c r="Q91" s="86"/>
      <c r="R91" s="86"/>
      <c r="S91" s="9"/>
      <c r="T91" s="47"/>
      <c r="U91" s="9"/>
      <c r="W91" s="67" t="str">
        <f>$A$4&amp;" "&amp;A92&amp;"("&amp;B92&amp;","&amp;C92&amp;"^)"</f>
        <v>송천동1가 송천광신프로그레스('19.11.,396^)</v>
      </c>
      <c r="X91" s="68"/>
      <c r="Y91" s="68"/>
      <c r="Z91" s="68"/>
      <c r="AA91" s="68"/>
      <c r="AB91" s="68"/>
      <c r="AC91" s="68"/>
      <c r="AD91" s="68"/>
      <c r="AE91" s="68"/>
      <c r="AF91" s="69"/>
      <c r="AH91" s="20" t="str">
        <f t="shared" si="71"/>
        <v/>
      </c>
      <c r="AI91" s="108" t="str">
        <f t="shared" si="67"/>
        <v/>
      </c>
      <c r="AJ91" s="78"/>
      <c r="AK91" s="78"/>
      <c r="AL91" s="78"/>
      <c r="AM91" s="78"/>
      <c r="AN91" s="78"/>
      <c r="AO91" s="78"/>
      <c r="AP91" s="78"/>
      <c r="AQ91" s="78"/>
      <c r="AR91" s="78"/>
      <c r="AS91" s="78"/>
      <c r="AT91" s="78"/>
      <c r="AU91" s="78"/>
      <c r="AV91" s="78"/>
    </row>
    <row r="92" spans="1:48" x14ac:dyDescent="0.3">
      <c r="A92" s="9" t="s">
        <v>798</v>
      </c>
      <c r="B92" s="10" t="s">
        <v>1569</v>
      </c>
      <c r="C92" s="87">
        <v>396</v>
      </c>
      <c r="D92" s="85">
        <v>109.9</v>
      </c>
      <c r="E92" s="86">
        <v>33</v>
      </c>
      <c r="F92" s="85">
        <v>84.8</v>
      </c>
      <c r="G92" s="17">
        <v>26</v>
      </c>
      <c r="H92" s="87">
        <v>374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8">
        <v>3</v>
      </c>
      <c r="R92" s="78">
        <v>2</v>
      </c>
      <c r="S92" s="78" t="s">
        <v>59</v>
      </c>
      <c r="T92" s="5" t="s">
        <v>70</v>
      </c>
      <c r="U92" s="9"/>
      <c r="W92" s="85">
        <f>D92</f>
        <v>109.9</v>
      </c>
      <c r="X92" s="86">
        <f>E92</f>
        <v>33</v>
      </c>
      <c r="Y92" s="91">
        <f>H92</f>
        <v>374</v>
      </c>
      <c r="Z92" s="89">
        <f>I92</f>
        <v>0</v>
      </c>
      <c r="AA92" s="89">
        <f>K92</f>
        <v>0</v>
      </c>
      <c r="AB92" s="89">
        <f t="shared" ref="AB92:AD93" si="84">M92</f>
        <v>0</v>
      </c>
      <c r="AC92" s="4" t="str">
        <f t="shared" si="84"/>
        <v/>
      </c>
      <c r="AD92" s="90">
        <f t="shared" si="84"/>
        <v>0</v>
      </c>
      <c r="AE92" s="78" t="str">
        <f>S92</f>
        <v>계</v>
      </c>
      <c r="AF92" s="78" t="str">
        <f>Q92&amp;"/"&amp;R92</f>
        <v>3/2</v>
      </c>
      <c r="AH92" s="20" t="str">
        <f t="shared" si="71"/>
        <v>송천광신프로그레스</v>
      </c>
      <c r="AI92" s="86">
        <f t="shared" si="67"/>
        <v>33</v>
      </c>
      <c r="AJ92" s="78" t="str">
        <f>IF(AI92="","",$AJ$2)</f>
        <v>A-</v>
      </c>
      <c r="AK92" s="78" t="s">
        <v>13</v>
      </c>
      <c r="AL92" s="78" t="s">
        <v>61</v>
      </c>
      <c r="AM92" s="78" t="s">
        <v>62</v>
      </c>
      <c r="AN92" s="78" t="str">
        <f>IF(AI92="","",$AN$2)</f>
        <v>C</v>
      </c>
      <c r="AO92" s="78" t="str">
        <f>IF(N92="","",IF(N92&gt;=$AO$1/100,"O","X"))</f>
        <v/>
      </c>
      <c r="AP92" s="78" t="str">
        <f>IF(I92="","",IF(I92&lt;=$AP$1,"O","X"))</f>
        <v/>
      </c>
      <c r="AQ92" s="78" t="str">
        <f>IF(O92="","",IF(O92&lt;=$AQ$1,"O","X"))</f>
        <v>O</v>
      </c>
      <c r="AR92" s="78" t="str">
        <f>IF(M92="","",IF(M92&lt;=$AR$1,"O","X"))</f>
        <v>O</v>
      </c>
      <c r="AS92" s="78" t="s">
        <v>2</v>
      </c>
      <c r="AT92" s="78" t="str">
        <f>IF(OR(F92="",AI92=""),"",IF(AND((F92&lt;=85),(AI92&gt;=15)),"O","X"))</f>
        <v>O</v>
      </c>
      <c r="AU92" s="78" t="str">
        <f>IF(C92="","",IF(C92&gt;=$AU$1,"O","X"))</f>
        <v>O</v>
      </c>
      <c r="AV92" s="78" t="str">
        <f>IF(AO92="","",IF(AND(AO92="O",AP92="O",AR92="O",AT92="O",AU92="O"),"후보","X"))</f>
        <v/>
      </c>
    </row>
    <row r="93" spans="1:48" x14ac:dyDescent="0.3">
      <c r="A93" s="9" t="s">
        <v>798</v>
      </c>
      <c r="B93" s="10" t="s">
        <v>1569</v>
      </c>
      <c r="C93" s="87">
        <v>396</v>
      </c>
      <c r="D93" s="85">
        <v>110.8</v>
      </c>
      <c r="E93" s="86">
        <v>34</v>
      </c>
      <c r="F93" s="85">
        <v>84.7</v>
      </c>
      <c r="G93" s="17">
        <v>26</v>
      </c>
      <c r="H93" s="87">
        <v>22</v>
      </c>
      <c r="I93" s="88">
        <v>46000</v>
      </c>
      <c r="J93" s="88" t="s">
        <v>68</v>
      </c>
      <c r="K93" s="88">
        <v>35000</v>
      </c>
      <c r="L93" s="88" t="s">
        <v>69</v>
      </c>
      <c r="M93" s="89">
        <f>I93-K93</f>
        <v>11000</v>
      </c>
      <c r="N93" s="4">
        <f>IF(ISERROR(K93/I93),"",K93/I93)</f>
        <v>0.76086956521739135</v>
      </c>
      <c r="O93" s="90">
        <f>I93/E93</f>
        <v>1352.9411764705883</v>
      </c>
      <c r="P93" s="90">
        <f>K93/E93</f>
        <v>1029.4117647058824</v>
      </c>
      <c r="Q93" s="78">
        <v>3</v>
      </c>
      <c r="R93" s="78">
        <v>2</v>
      </c>
      <c r="S93" s="78" t="s">
        <v>59</v>
      </c>
      <c r="T93" s="5" t="s">
        <v>132</v>
      </c>
      <c r="U93" s="9"/>
      <c r="W93" s="85">
        <f>D93</f>
        <v>110.8</v>
      </c>
      <c r="X93" s="86">
        <f>E93</f>
        <v>34</v>
      </c>
      <c r="Y93" s="91">
        <f>H93</f>
        <v>22</v>
      </c>
      <c r="Z93" s="89">
        <f>I93</f>
        <v>46000</v>
      </c>
      <c r="AA93" s="89">
        <f>K93</f>
        <v>35000</v>
      </c>
      <c r="AB93" s="89">
        <f t="shared" si="84"/>
        <v>11000</v>
      </c>
      <c r="AC93" s="4">
        <f t="shared" si="84"/>
        <v>0.76086956521739135</v>
      </c>
      <c r="AD93" s="90">
        <f t="shared" si="84"/>
        <v>1352.9411764705883</v>
      </c>
      <c r="AE93" s="78" t="str">
        <f>S93</f>
        <v>계</v>
      </c>
      <c r="AF93" s="78" t="str">
        <f>Q93&amp;"/"&amp;R93</f>
        <v>3/2</v>
      </c>
      <c r="AH93" s="20" t="str">
        <f t="shared" si="71"/>
        <v>송천광신프로그레스</v>
      </c>
      <c r="AI93" s="86">
        <f t="shared" si="67"/>
        <v>34</v>
      </c>
      <c r="AJ93" s="78" t="str">
        <f>IF(AI93="","",$AJ$2)</f>
        <v>A-</v>
      </c>
      <c r="AK93" s="78" t="s">
        <v>13</v>
      </c>
      <c r="AL93" s="78" t="s">
        <v>61</v>
      </c>
      <c r="AM93" s="78" t="s">
        <v>62</v>
      </c>
      <c r="AN93" s="78" t="str">
        <f>IF(AI93="","",$AN$2)</f>
        <v>C</v>
      </c>
      <c r="AO93" s="78" t="str">
        <f>IF(N93="","",IF(N93&gt;=$AO$1/100,"O","X"))</f>
        <v>X</v>
      </c>
      <c r="AP93" s="78" t="str">
        <f>IF(I93="","",IF(I93&lt;=$AP$1,"O","X"))</f>
        <v>X</v>
      </c>
      <c r="AQ93" s="78" t="str">
        <f>IF(O93="","",IF(O93&lt;=$AQ$1,"O","X"))</f>
        <v>X</v>
      </c>
      <c r="AR93" s="78" t="str">
        <f>IF(M93="","",IF(M93&lt;=$AR$1,"O","X"))</f>
        <v>X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O</v>
      </c>
      <c r="AV93" s="78" t="str">
        <f>IF(AO93="","",IF(AND(AO93="O",AP93="O",AR93="O",AT93="O",AU93="O"),"후보","X"))</f>
        <v>X</v>
      </c>
    </row>
    <row r="94" spans="1:48" x14ac:dyDescent="0.3">
      <c r="A94" s="9"/>
      <c r="B94" s="78"/>
      <c r="C94" s="6"/>
      <c r="D94" s="9"/>
      <c r="E94" s="14"/>
      <c r="F94" s="85"/>
      <c r="G94" s="9"/>
      <c r="H94" s="9"/>
      <c r="I94" s="9"/>
      <c r="J94" s="9"/>
      <c r="K94" s="9"/>
      <c r="L94" s="9"/>
      <c r="M94" s="9"/>
      <c r="N94" s="9"/>
      <c r="O94" s="90"/>
      <c r="P94" s="90"/>
      <c r="Q94" s="86"/>
      <c r="R94" s="86"/>
      <c r="S94" s="9"/>
      <c r="T94" s="47"/>
      <c r="U94" s="9"/>
      <c r="W94" s="67" t="str">
        <f>$A$4&amp;" "&amp;A95&amp;"("&amp;B95&amp;","&amp;C95&amp;"^)"</f>
        <v>송천동1가 광진한솔('94.06.,275^)</v>
      </c>
      <c r="X94" s="68"/>
      <c r="Y94" s="68"/>
      <c r="Z94" s="68"/>
      <c r="AA94" s="68"/>
      <c r="AB94" s="68"/>
      <c r="AC94" s="68"/>
      <c r="AD94" s="68"/>
      <c r="AE94" s="68"/>
      <c r="AF94" s="69"/>
      <c r="AH94" s="20" t="str">
        <f t="shared" si="71"/>
        <v/>
      </c>
      <c r="AI94" s="108" t="str">
        <f t="shared" si="67"/>
        <v/>
      </c>
      <c r="AJ94" s="78"/>
      <c r="AK94" s="78"/>
      <c r="AL94" s="78"/>
      <c r="AM94" s="78"/>
      <c r="AN94" s="78"/>
      <c r="AO94" s="78"/>
      <c r="AP94" s="78"/>
      <c r="AQ94" s="78"/>
      <c r="AR94" s="78"/>
      <c r="AS94" s="78"/>
      <c r="AT94" s="78"/>
      <c r="AU94" s="78"/>
      <c r="AV94" s="78"/>
    </row>
    <row r="95" spans="1:48" x14ac:dyDescent="0.3">
      <c r="A95" s="9" t="s">
        <v>803</v>
      </c>
      <c r="B95" s="10" t="s">
        <v>1570</v>
      </c>
      <c r="C95" s="87">
        <v>275</v>
      </c>
      <c r="D95" s="85">
        <v>79</v>
      </c>
      <c r="E95" s="86">
        <v>24</v>
      </c>
      <c r="F95" s="85">
        <v>60</v>
      </c>
      <c r="G95" s="17">
        <v>18</v>
      </c>
      <c r="H95" s="87">
        <v>178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3</v>
      </c>
      <c r="R95" s="78">
        <v>1</v>
      </c>
      <c r="S95" s="78" t="s">
        <v>65</v>
      </c>
      <c r="T95" s="5">
        <v>79</v>
      </c>
      <c r="U95" s="9"/>
      <c r="W95" s="85">
        <f>D95</f>
        <v>79</v>
      </c>
      <c r="X95" s="86">
        <f>E95</f>
        <v>24</v>
      </c>
      <c r="Y95" s="91">
        <f>H95</f>
        <v>178</v>
      </c>
      <c r="Z95" s="89">
        <f>I95</f>
        <v>0</v>
      </c>
      <c r="AA95" s="89">
        <f>K95</f>
        <v>0</v>
      </c>
      <c r="AB95" s="89">
        <f t="shared" ref="AB95:AD96" si="85">M95</f>
        <v>0</v>
      </c>
      <c r="AC95" s="4" t="str">
        <f t="shared" si="85"/>
        <v/>
      </c>
      <c r="AD95" s="90">
        <f t="shared" si="85"/>
        <v>0</v>
      </c>
      <c r="AE95" s="78" t="str">
        <f>S95</f>
        <v>복</v>
      </c>
      <c r="AF95" s="78" t="str">
        <f>Q95&amp;"/"&amp;R95</f>
        <v>3/1</v>
      </c>
      <c r="AH95" s="20" t="str">
        <f t="shared" si="71"/>
        <v>광진한솔</v>
      </c>
      <c r="AI95" s="86">
        <f t="shared" si="67"/>
        <v>24</v>
      </c>
      <c r="AJ95" s="78" t="str">
        <f>IF(AI95="","",$AJ$2)</f>
        <v>A-</v>
      </c>
      <c r="AK95" s="78" t="s">
        <v>13</v>
      </c>
      <c r="AL95" s="78" t="s">
        <v>61</v>
      </c>
      <c r="AM95" s="78" t="s">
        <v>62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X</v>
      </c>
      <c r="AV95" s="78" t="str">
        <f>IF(AO95="","",IF(AND(AO95="O",AP95="O",AR95="O",AT95="O",AU95="O"),"후보","X"))</f>
        <v/>
      </c>
    </row>
    <row r="96" spans="1:48" x14ac:dyDescent="0.3">
      <c r="A96" s="9" t="s">
        <v>803</v>
      </c>
      <c r="B96" s="10" t="s">
        <v>1570</v>
      </c>
      <c r="C96" s="87">
        <v>275</v>
      </c>
      <c r="D96" s="85">
        <v>105</v>
      </c>
      <c r="E96" s="86">
        <v>32</v>
      </c>
      <c r="F96" s="85">
        <v>85</v>
      </c>
      <c r="G96" s="17">
        <v>26</v>
      </c>
      <c r="H96" s="87">
        <v>97</v>
      </c>
      <c r="I96" s="88"/>
      <c r="J96" s="88"/>
      <c r="K96" s="88"/>
      <c r="L96" s="88"/>
      <c r="M96" s="89">
        <f>I96-K96</f>
        <v>0</v>
      </c>
      <c r="N96" s="4" t="str">
        <f>IF(ISERROR(K96/I96),"",K96/I96)</f>
        <v/>
      </c>
      <c r="O96" s="90">
        <f>I96/E96</f>
        <v>0</v>
      </c>
      <c r="P96" s="90">
        <f>K96/E96</f>
        <v>0</v>
      </c>
      <c r="Q96" s="78">
        <v>3</v>
      </c>
      <c r="R96" s="78">
        <v>2</v>
      </c>
      <c r="S96" s="78" t="s">
        <v>59</v>
      </c>
      <c r="T96" s="5">
        <v>104</v>
      </c>
      <c r="U96" s="9"/>
      <c r="W96" s="85">
        <f>D96</f>
        <v>105</v>
      </c>
      <c r="X96" s="86">
        <f>E96</f>
        <v>32</v>
      </c>
      <c r="Y96" s="91">
        <f>H96</f>
        <v>97</v>
      </c>
      <c r="Z96" s="89">
        <f>I96</f>
        <v>0</v>
      </c>
      <c r="AA96" s="89">
        <f>K96</f>
        <v>0</v>
      </c>
      <c r="AB96" s="89">
        <f t="shared" si="85"/>
        <v>0</v>
      </c>
      <c r="AC96" s="4" t="str">
        <f t="shared" si="85"/>
        <v/>
      </c>
      <c r="AD96" s="90">
        <f t="shared" si="85"/>
        <v>0</v>
      </c>
      <c r="AE96" s="78" t="str">
        <f>S96</f>
        <v>계</v>
      </c>
      <c r="AF96" s="78" t="str">
        <f>Q96&amp;"/"&amp;R96</f>
        <v>3/2</v>
      </c>
      <c r="AH96" s="20" t="str">
        <f t="shared" si="71"/>
        <v>광진한솔</v>
      </c>
      <c r="AI96" s="86">
        <f t="shared" si="67"/>
        <v>32</v>
      </c>
      <c r="AJ96" s="78" t="str">
        <f>IF(AI96="","",$AJ$2)</f>
        <v>A-</v>
      </c>
      <c r="AK96" s="78" t="s">
        <v>13</v>
      </c>
      <c r="AL96" s="78" t="s">
        <v>61</v>
      </c>
      <c r="AM96" s="78" t="s">
        <v>62</v>
      </c>
      <c r="AN96" s="78" t="str">
        <f>IF(AI96="","",$AN$2)</f>
        <v>C</v>
      </c>
      <c r="AO96" s="78" t="str">
        <f>IF(N96="","",IF(N96&gt;=$AO$1/100,"O","X"))</f>
        <v/>
      </c>
      <c r="AP96" s="78" t="str">
        <f>IF(I96="","",IF(I96&lt;=$AP$1,"O","X"))</f>
        <v/>
      </c>
      <c r="AQ96" s="78" t="str">
        <f>IF(O96="","",IF(O96&lt;=$AQ$1,"O","X"))</f>
        <v>O</v>
      </c>
      <c r="AR96" s="78" t="str">
        <f>IF(M96="","",IF(M96&lt;=$AR$1,"O","X"))</f>
        <v>O</v>
      </c>
      <c r="AS96" s="78" t="s">
        <v>2</v>
      </c>
      <c r="AT96" s="78" t="str">
        <f>IF(OR(F96="",AI96=""),"",IF(AND((F96&lt;=85),(AI96&gt;=15)),"O","X"))</f>
        <v>O</v>
      </c>
      <c r="AU96" s="78" t="str">
        <f>IF(C96="","",IF(C96&gt;=$AU$1,"O","X"))</f>
        <v>X</v>
      </c>
      <c r="AV96" s="78" t="str">
        <f>IF(AO96="","",IF(AND(AO96="O",AP96="O",AR96="O",AT96="O",AU96="O"),"후보","X"))</f>
        <v/>
      </c>
    </row>
    <row r="97" spans="1:48" x14ac:dyDescent="0.3">
      <c r="A97" s="9"/>
      <c r="B97" s="78"/>
      <c r="C97" s="6"/>
      <c r="D97" s="9"/>
      <c r="E97" s="14"/>
      <c r="F97" s="85"/>
      <c r="G97" s="9"/>
      <c r="H97" s="9"/>
      <c r="I97" s="9"/>
      <c r="J97" s="9"/>
      <c r="K97" s="9"/>
      <c r="L97" s="9"/>
      <c r="M97" s="9"/>
      <c r="N97" s="9"/>
      <c r="O97" s="90"/>
      <c r="P97" s="90"/>
      <c r="Q97" s="86"/>
      <c r="R97" s="86"/>
      <c r="S97" s="9"/>
      <c r="T97" s="47"/>
      <c r="U97" s="9"/>
      <c r="W97" s="67" t="str">
        <f>$A$4&amp;" "&amp;A98&amp;"("&amp;B98&amp;","&amp;C98&amp;"^)"</f>
        <v>송천동1가 영창('93.12.,205^)</v>
      </c>
      <c r="X97" s="68"/>
      <c r="Y97" s="68"/>
      <c r="Z97" s="68"/>
      <c r="AA97" s="68"/>
      <c r="AB97" s="68"/>
      <c r="AC97" s="68"/>
      <c r="AD97" s="68"/>
      <c r="AE97" s="68"/>
      <c r="AF97" s="69"/>
      <c r="AH97" s="20" t="str">
        <f t="shared" si="71"/>
        <v/>
      </c>
      <c r="AI97" s="108" t="str">
        <f t="shared" si="67"/>
        <v/>
      </c>
      <c r="AJ97" s="78"/>
      <c r="AK97" s="78"/>
      <c r="AL97" s="78"/>
      <c r="AM97" s="78"/>
      <c r="AN97" s="78"/>
      <c r="AO97" s="78"/>
      <c r="AP97" s="78"/>
      <c r="AQ97" s="78"/>
      <c r="AR97" s="78"/>
      <c r="AS97" s="78"/>
      <c r="AT97" s="78"/>
      <c r="AU97" s="78"/>
      <c r="AV97" s="78"/>
    </row>
    <row r="98" spans="1:48" x14ac:dyDescent="0.3">
      <c r="A98" s="9" t="s">
        <v>808</v>
      </c>
      <c r="B98" s="10" t="s">
        <v>1568</v>
      </c>
      <c r="C98" s="87">
        <v>205</v>
      </c>
      <c r="D98" s="85">
        <v>80.2</v>
      </c>
      <c r="E98" s="86">
        <v>24</v>
      </c>
      <c r="F98" s="85">
        <v>59.9</v>
      </c>
      <c r="G98" s="17">
        <v>18</v>
      </c>
      <c r="H98" s="87">
        <v>205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8">
        <v>3</v>
      </c>
      <c r="R98" s="78">
        <v>1</v>
      </c>
      <c r="S98" s="78" t="s">
        <v>65</v>
      </c>
      <c r="T98" s="5">
        <v>80</v>
      </c>
      <c r="U98" s="9"/>
      <c r="W98" s="85">
        <f>D98</f>
        <v>80.2</v>
      </c>
      <c r="X98" s="86">
        <f>E98</f>
        <v>24</v>
      </c>
      <c r="Y98" s="91">
        <f>H98</f>
        <v>205</v>
      </c>
      <c r="Z98" s="89">
        <f>I98</f>
        <v>0</v>
      </c>
      <c r="AA98" s="89">
        <f>K98</f>
        <v>0</v>
      </c>
      <c r="AB98" s="89">
        <f>M98</f>
        <v>0</v>
      </c>
      <c r="AC98" s="4" t="str">
        <f>N98</f>
        <v/>
      </c>
      <c r="AD98" s="90">
        <f>O98</f>
        <v>0</v>
      </c>
      <c r="AE98" s="78" t="str">
        <f>S98</f>
        <v>복</v>
      </c>
      <c r="AF98" s="78" t="str">
        <f>Q98&amp;"/"&amp;R98</f>
        <v>3/1</v>
      </c>
      <c r="AH98" s="20" t="str">
        <f t="shared" si="71"/>
        <v>영창</v>
      </c>
      <c r="AI98" s="86">
        <f t="shared" si="67"/>
        <v>24</v>
      </c>
      <c r="AJ98" s="78" t="str">
        <f>IF(AI98="","",$AJ$2)</f>
        <v>A-</v>
      </c>
      <c r="AK98" s="78" t="s">
        <v>13</v>
      </c>
      <c r="AL98" s="78" t="s">
        <v>61</v>
      </c>
      <c r="AM98" s="78" t="s">
        <v>62</v>
      </c>
      <c r="AN98" s="78" t="str">
        <f>IF(AI98="","",$AN$2)</f>
        <v>C</v>
      </c>
      <c r="AO98" s="78" t="str">
        <f>IF(N98="","",IF(N98&gt;=$AO$1/100,"O","X"))</f>
        <v/>
      </c>
      <c r="AP98" s="78" t="str">
        <f>IF(I98="","",IF(I98&lt;=$AP$1,"O","X"))</f>
        <v/>
      </c>
      <c r="AQ98" s="78" t="str">
        <f>IF(O98="","",IF(O98&lt;=$AQ$1,"O","X"))</f>
        <v>O</v>
      </c>
      <c r="AR98" s="78" t="str">
        <f>IF(M98="","",IF(M98&lt;=$AR$1,"O","X"))</f>
        <v>O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X</v>
      </c>
      <c r="AV98" s="78" t="str">
        <f>IF(AO98="","",IF(AND(AO98="O",AP98="O",AR98="O",AT98="O",AU98="O"),"후보","X"))</f>
        <v/>
      </c>
    </row>
    <row r="99" spans="1:48" x14ac:dyDescent="0.3">
      <c r="A99" s="9"/>
      <c r="B99" s="78"/>
      <c r="C99" s="6"/>
      <c r="D99" s="9"/>
      <c r="E99" s="14"/>
      <c r="F99" s="85"/>
      <c r="G99" s="9"/>
      <c r="H99" s="9"/>
      <c r="I99" s="9"/>
      <c r="J99" s="9"/>
      <c r="K99" s="9"/>
      <c r="L99" s="9"/>
      <c r="M99" s="9"/>
      <c r="N99" s="9"/>
      <c r="O99" s="90"/>
      <c r="P99" s="90"/>
      <c r="Q99" s="86"/>
      <c r="R99" s="86"/>
      <c r="S99" s="9"/>
      <c r="T99" s="47"/>
      <c r="U99" s="9"/>
      <c r="W99" s="67" t="str">
        <f>$A$4&amp;" "&amp;A100&amp;"("&amp;B100&amp;","&amp;C100&amp;"^)"</f>
        <v>송천동1가 영창드림맨션('97.12.,242^)</v>
      </c>
      <c r="X99" s="68"/>
      <c r="Y99" s="68"/>
      <c r="Z99" s="68"/>
      <c r="AA99" s="68"/>
      <c r="AB99" s="68"/>
      <c r="AC99" s="68"/>
      <c r="AD99" s="68"/>
      <c r="AE99" s="68"/>
      <c r="AF99" s="69"/>
      <c r="AH99" s="20" t="str">
        <f t="shared" si="71"/>
        <v/>
      </c>
      <c r="AI99" s="108" t="str">
        <f t="shared" ref="AI99:AI104" si="86">IF(E99="","",E99)</f>
        <v/>
      </c>
      <c r="AJ99" s="78"/>
      <c r="AK99" s="78"/>
      <c r="AL99" s="78"/>
      <c r="AM99" s="78"/>
      <c r="AN99" s="78"/>
      <c r="AO99" s="78"/>
      <c r="AP99" s="78"/>
      <c r="AQ99" s="78"/>
      <c r="AR99" s="78"/>
      <c r="AS99" s="78"/>
      <c r="AT99" s="78"/>
      <c r="AU99" s="78"/>
      <c r="AV99" s="78"/>
    </row>
    <row r="100" spans="1:48" x14ac:dyDescent="0.3">
      <c r="A100" s="9" t="s">
        <v>812</v>
      </c>
      <c r="B100" s="10" t="s">
        <v>1571</v>
      </c>
      <c r="C100" s="87">
        <v>242</v>
      </c>
      <c r="D100" s="85">
        <v>79.3</v>
      </c>
      <c r="E100" s="86">
        <v>24</v>
      </c>
      <c r="F100" s="85">
        <v>59.8</v>
      </c>
      <c r="G100" s="17">
        <v>18</v>
      </c>
      <c r="H100" s="87">
        <v>80</v>
      </c>
      <c r="I100" s="88"/>
      <c r="J100" s="88"/>
      <c r="K100" s="88"/>
      <c r="L100" s="88"/>
      <c r="M100" s="89">
        <f>I100-K100</f>
        <v>0</v>
      </c>
      <c r="N100" s="4" t="str">
        <f>IF(ISERROR(K100/I100),"",K100/I100)</f>
        <v/>
      </c>
      <c r="O100" s="90">
        <f>I100/E100</f>
        <v>0</v>
      </c>
      <c r="P100" s="90">
        <f>K100/E100</f>
        <v>0</v>
      </c>
      <c r="Q100" s="78">
        <v>3</v>
      </c>
      <c r="R100" s="78">
        <v>2</v>
      </c>
      <c r="S100" s="78" t="s">
        <v>59</v>
      </c>
      <c r="T100" s="5" t="s">
        <v>84</v>
      </c>
      <c r="U100" s="9"/>
      <c r="W100" s="85">
        <f t="shared" ref="W100:X104" si="87">D100</f>
        <v>79.3</v>
      </c>
      <c r="X100" s="86">
        <f t="shared" si="87"/>
        <v>24</v>
      </c>
      <c r="Y100" s="91">
        <f t="shared" ref="Y100:Z104" si="88">H100</f>
        <v>80</v>
      </c>
      <c r="Z100" s="89">
        <f t="shared" si="88"/>
        <v>0</v>
      </c>
      <c r="AA100" s="89">
        <f>K100</f>
        <v>0</v>
      </c>
      <c r="AB100" s="89">
        <f t="shared" ref="AB100:AD104" si="89">M100</f>
        <v>0</v>
      </c>
      <c r="AC100" s="4" t="str">
        <f t="shared" si="89"/>
        <v/>
      </c>
      <c r="AD100" s="90">
        <f t="shared" si="89"/>
        <v>0</v>
      </c>
      <c r="AE100" s="78" t="str">
        <f>S100</f>
        <v>계</v>
      </c>
      <c r="AF100" s="78" t="str">
        <f>Q100&amp;"/"&amp;R100</f>
        <v>3/2</v>
      </c>
      <c r="AH100" s="20" t="str">
        <f t="shared" si="71"/>
        <v>영창드림맨션</v>
      </c>
      <c r="AI100" s="86">
        <f t="shared" si="86"/>
        <v>24</v>
      </c>
      <c r="AJ100" s="78" t="str">
        <f>IF(AI100="","",$AJ$2)</f>
        <v>A-</v>
      </c>
      <c r="AK100" s="78" t="s">
        <v>13</v>
      </c>
      <c r="AL100" s="78" t="s">
        <v>61</v>
      </c>
      <c r="AM100" s="78" t="s">
        <v>62</v>
      </c>
      <c r="AN100" s="78" t="str">
        <f>IF(AI100="","",$AN$2)</f>
        <v>C</v>
      </c>
      <c r="AO100" s="78" t="str">
        <f>IF(N100="","",IF(N100&gt;=$AO$1/100,"O","X"))</f>
        <v/>
      </c>
      <c r="AP100" s="78" t="str">
        <f>IF(I100="","",IF(I100&lt;=$AP$1,"O","X"))</f>
        <v/>
      </c>
      <c r="AQ100" s="78" t="str">
        <f>IF(O100="","",IF(O100&lt;=$AQ$1,"O","X"))</f>
        <v>O</v>
      </c>
      <c r="AR100" s="78" t="str">
        <f>IF(M100="","",IF(M100&lt;=$AR$1,"O","X"))</f>
        <v>O</v>
      </c>
      <c r="AS100" s="78" t="s">
        <v>2</v>
      </c>
      <c r="AT100" s="78" t="str">
        <f>IF(OR(F100="",AI100=""),"",IF(AND((F100&lt;=85),(AI100&gt;=15)),"O","X"))</f>
        <v>O</v>
      </c>
      <c r="AU100" s="78" t="str">
        <f>IF(C100="","",IF(C100&gt;=$AU$1,"O","X"))</f>
        <v>X</v>
      </c>
      <c r="AV100" s="78" t="str">
        <f>IF(AO100="","",IF(AND(AO100="O",AP100="O",AR100="O",AT100="O",AU100="O"),"후보","X"))</f>
        <v/>
      </c>
    </row>
    <row r="101" spans="1:48" x14ac:dyDescent="0.3">
      <c r="A101" s="9" t="s">
        <v>812</v>
      </c>
      <c r="B101" s="10" t="s">
        <v>1571</v>
      </c>
      <c r="C101" s="87">
        <v>242</v>
      </c>
      <c r="D101" s="85">
        <v>79.5</v>
      </c>
      <c r="E101" s="86">
        <v>24</v>
      </c>
      <c r="F101" s="85">
        <v>60</v>
      </c>
      <c r="G101" s="17">
        <v>18</v>
      </c>
      <c r="H101" s="87">
        <v>17</v>
      </c>
      <c r="I101" s="88"/>
      <c r="J101" s="88"/>
      <c r="K101" s="88"/>
      <c r="L101" s="88"/>
      <c r="M101" s="89">
        <f>I101-K101</f>
        <v>0</v>
      </c>
      <c r="N101" s="4" t="str">
        <f>IF(ISERROR(K101/I101),"",K101/I101)</f>
        <v/>
      </c>
      <c r="O101" s="90">
        <f>I101/E101</f>
        <v>0</v>
      </c>
      <c r="P101" s="90">
        <f>K101/E101</f>
        <v>0</v>
      </c>
      <c r="Q101" s="78">
        <v>3</v>
      </c>
      <c r="R101" s="78">
        <v>2</v>
      </c>
      <c r="S101" s="78" t="s">
        <v>59</v>
      </c>
      <c r="T101" s="5" t="s">
        <v>80</v>
      </c>
      <c r="U101" s="9"/>
      <c r="W101" s="85">
        <f t="shared" si="87"/>
        <v>79.5</v>
      </c>
      <c r="X101" s="86">
        <f t="shared" si="87"/>
        <v>24</v>
      </c>
      <c r="Y101" s="91">
        <f t="shared" si="88"/>
        <v>17</v>
      </c>
      <c r="Z101" s="89">
        <f t="shared" si="88"/>
        <v>0</v>
      </c>
      <c r="AA101" s="89">
        <f>K101</f>
        <v>0</v>
      </c>
      <c r="AB101" s="89">
        <f t="shared" si="89"/>
        <v>0</v>
      </c>
      <c r="AC101" s="4" t="str">
        <f t="shared" si="89"/>
        <v/>
      </c>
      <c r="AD101" s="90">
        <f t="shared" si="89"/>
        <v>0</v>
      </c>
      <c r="AE101" s="78" t="str">
        <f>S101</f>
        <v>계</v>
      </c>
      <c r="AF101" s="78" t="str">
        <f>Q101&amp;"/"&amp;R101</f>
        <v>3/2</v>
      </c>
      <c r="AH101" s="20" t="str">
        <f t="shared" si="71"/>
        <v>영창드림맨션</v>
      </c>
      <c r="AI101" s="86">
        <f t="shared" si="86"/>
        <v>24</v>
      </c>
      <c r="AJ101" s="78" t="str">
        <f>IF(AI101="","",$AJ$2)</f>
        <v>A-</v>
      </c>
      <c r="AK101" s="78" t="s">
        <v>13</v>
      </c>
      <c r="AL101" s="78" t="s">
        <v>61</v>
      </c>
      <c r="AM101" s="78" t="s">
        <v>62</v>
      </c>
      <c r="AN101" s="78" t="str">
        <f>IF(AI101="","",$AN$2)</f>
        <v>C</v>
      </c>
      <c r="AO101" s="78" t="str">
        <f>IF(N101="","",IF(N101&gt;=$AO$1/100,"O","X"))</f>
        <v/>
      </c>
      <c r="AP101" s="78" t="str">
        <f>IF(I101="","",IF(I101&lt;=$AP$1,"O","X"))</f>
        <v/>
      </c>
      <c r="AQ101" s="78" t="str">
        <f>IF(O101="","",IF(O101&lt;=$AQ$1,"O","X"))</f>
        <v>O</v>
      </c>
      <c r="AR101" s="78" t="str">
        <f>IF(M101="","",IF(M101&lt;=$AR$1,"O","X"))</f>
        <v>O</v>
      </c>
      <c r="AS101" s="78" t="s">
        <v>2</v>
      </c>
      <c r="AT101" s="78" t="str">
        <f>IF(OR(F101="",AI101=""),"",IF(AND((F101&lt;=85),(AI101&gt;=15)),"O","X"))</f>
        <v>O</v>
      </c>
      <c r="AU101" s="78" t="str">
        <f>IF(C101="","",IF(C101&gt;=$AU$1,"O","X"))</f>
        <v>X</v>
      </c>
      <c r="AV101" s="78" t="str">
        <f>IF(AO101="","",IF(AND(AO101="O",AP101="O",AR101="O",AT101="O",AU101="O"),"후보","X"))</f>
        <v/>
      </c>
    </row>
    <row r="102" spans="1:48" x14ac:dyDescent="0.3">
      <c r="A102" s="9" t="s">
        <v>812</v>
      </c>
      <c r="B102" s="10" t="s">
        <v>1571</v>
      </c>
      <c r="C102" s="87">
        <v>242</v>
      </c>
      <c r="D102" s="85">
        <v>108</v>
      </c>
      <c r="E102" s="86">
        <v>33</v>
      </c>
      <c r="F102" s="85">
        <v>84.9</v>
      </c>
      <c r="G102" s="17">
        <v>26</v>
      </c>
      <c r="H102" s="87">
        <v>93</v>
      </c>
      <c r="I102" s="88"/>
      <c r="J102" s="88"/>
      <c r="K102" s="88"/>
      <c r="L102" s="88"/>
      <c r="M102" s="89">
        <f>I102-K102</f>
        <v>0</v>
      </c>
      <c r="N102" s="4" t="str">
        <f>IF(ISERROR(K102/I102),"",K102/I102)</f>
        <v/>
      </c>
      <c r="O102" s="90">
        <f>I102/E102</f>
        <v>0</v>
      </c>
      <c r="P102" s="90">
        <f>K102/E102</f>
        <v>0</v>
      </c>
      <c r="Q102" s="78">
        <v>3</v>
      </c>
      <c r="R102" s="78">
        <v>2</v>
      </c>
      <c r="S102" s="78" t="s">
        <v>59</v>
      </c>
      <c r="T102" s="5">
        <v>107</v>
      </c>
      <c r="U102" s="9"/>
      <c r="W102" s="85">
        <f t="shared" si="87"/>
        <v>108</v>
      </c>
      <c r="X102" s="86">
        <f t="shared" si="87"/>
        <v>33</v>
      </c>
      <c r="Y102" s="91">
        <f t="shared" si="88"/>
        <v>93</v>
      </c>
      <c r="Z102" s="89">
        <f t="shared" si="88"/>
        <v>0</v>
      </c>
      <c r="AA102" s="89">
        <f>K102</f>
        <v>0</v>
      </c>
      <c r="AB102" s="89">
        <f t="shared" si="89"/>
        <v>0</v>
      </c>
      <c r="AC102" s="4" t="str">
        <f t="shared" si="89"/>
        <v/>
      </c>
      <c r="AD102" s="90">
        <f t="shared" si="89"/>
        <v>0</v>
      </c>
      <c r="AE102" s="78" t="str">
        <f>S102</f>
        <v>계</v>
      </c>
      <c r="AF102" s="78" t="str">
        <f>Q102&amp;"/"&amp;R102</f>
        <v>3/2</v>
      </c>
      <c r="AH102" s="20" t="str">
        <f t="shared" si="71"/>
        <v>영창드림맨션</v>
      </c>
      <c r="AI102" s="86">
        <f t="shared" si="86"/>
        <v>33</v>
      </c>
      <c r="AJ102" s="78" t="str">
        <f>IF(AI102="","",$AJ$2)</f>
        <v>A-</v>
      </c>
      <c r="AK102" s="78" t="s">
        <v>13</v>
      </c>
      <c r="AL102" s="78" t="s">
        <v>61</v>
      </c>
      <c r="AM102" s="78" t="s">
        <v>62</v>
      </c>
      <c r="AN102" s="78" t="str">
        <f>IF(AI102="","",$AN$2)</f>
        <v>C</v>
      </c>
      <c r="AO102" s="78" t="str">
        <f>IF(N102="","",IF(N102&gt;=$AO$1/100,"O","X"))</f>
        <v/>
      </c>
      <c r="AP102" s="78" t="str">
        <f>IF(I102="","",IF(I102&lt;=$AP$1,"O","X"))</f>
        <v/>
      </c>
      <c r="AQ102" s="78" t="str">
        <f>IF(O102="","",IF(O102&lt;=$AQ$1,"O","X"))</f>
        <v>O</v>
      </c>
      <c r="AR102" s="78" t="str">
        <f>IF(M102="","",IF(M102&lt;=$AR$1,"O","X"))</f>
        <v>O</v>
      </c>
      <c r="AS102" s="78" t="s">
        <v>2</v>
      </c>
      <c r="AT102" s="78" t="str">
        <f>IF(OR(F102="",AI102=""),"",IF(AND((F102&lt;=85),(AI102&gt;=15)),"O","X"))</f>
        <v>O</v>
      </c>
      <c r="AU102" s="78" t="str">
        <f>IF(C102="","",IF(C102&gt;=$AU$1,"O","X"))</f>
        <v>X</v>
      </c>
      <c r="AV102" s="78" t="str">
        <f>IF(AO102="","",IF(AND(AO102="O",AP102="O",AR102="O",AT102="O",AU102="O"),"후보","X"))</f>
        <v/>
      </c>
    </row>
    <row r="103" spans="1:48" x14ac:dyDescent="0.3">
      <c r="A103" s="9" t="s">
        <v>812</v>
      </c>
      <c r="B103" s="10" t="s">
        <v>1571</v>
      </c>
      <c r="C103" s="87">
        <v>242</v>
      </c>
      <c r="D103" s="85">
        <v>118.6</v>
      </c>
      <c r="E103" s="86">
        <v>36</v>
      </c>
      <c r="F103" s="85">
        <v>99.1</v>
      </c>
      <c r="G103" s="17">
        <v>30</v>
      </c>
      <c r="H103" s="87">
        <v>26</v>
      </c>
      <c r="I103" s="88"/>
      <c r="J103" s="88"/>
      <c r="K103" s="88"/>
      <c r="L103" s="88"/>
      <c r="M103" s="89">
        <f>I103-K103</f>
        <v>0</v>
      </c>
      <c r="N103" s="4" t="str">
        <f>IF(ISERROR(K103/I103),"",K103/I103)</f>
        <v/>
      </c>
      <c r="O103" s="90">
        <f>I103/E103</f>
        <v>0</v>
      </c>
      <c r="P103" s="90">
        <f>K103/E103</f>
        <v>0</v>
      </c>
      <c r="Q103" s="78">
        <v>3</v>
      </c>
      <c r="R103" s="78">
        <v>2</v>
      </c>
      <c r="S103" s="78" t="s">
        <v>59</v>
      </c>
      <c r="T103" s="5">
        <v>118</v>
      </c>
      <c r="U103" s="9"/>
      <c r="W103" s="85">
        <f t="shared" si="87"/>
        <v>118.6</v>
      </c>
      <c r="X103" s="86">
        <f t="shared" si="87"/>
        <v>36</v>
      </c>
      <c r="Y103" s="91">
        <f t="shared" si="88"/>
        <v>26</v>
      </c>
      <c r="Z103" s="89">
        <f t="shared" si="88"/>
        <v>0</v>
      </c>
      <c r="AA103" s="89">
        <f>K103</f>
        <v>0</v>
      </c>
      <c r="AB103" s="89">
        <f t="shared" si="89"/>
        <v>0</v>
      </c>
      <c r="AC103" s="4" t="str">
        <f t="shared" si="89"/>
        <v/>
      </c>
      <c r="AD103" s="90">
        <f t="shared" si="89"/>
        <v>0</v>
      </c>
      <c r="AE103" s="78" t="str">
        <f>S103</f>
        <v>계</v>
      </c>
      <c r="AF103" s="78" t="str">
        <f>Q103&amp;"/"&amp;R103</f>
        <v>3/2</v>
      </c>
      <c r="AH103" s="20" t="str">
        <f t="shared" si="71"/>
        <v>영창드림맨션</v>
      </c>
      <c r="AI103" s="86">
        <f t="shared" si="86"/>
        <v>36</v>
      </c>
      <c r="AJ103" s="78" t="str">
        <f>IF(AI103="","",$AJ$2)</f>
        <v>A-</v>
      </c>
      <c r="AK103" s="78" t="s">
        <v>13</v>
      </c>
      <c r="AL103" s="78" t="s">
        <v>61</v>
      </c>
      <c r="AM103" s="78" t="s">
        <v>62</v>
      </c>
      <c r="AN103" s="78" t="str">
        <f>IF(AI103="","",$AN$2)</f>
        <v>C</v>
      </c>
      <c r="AO103" s="78" t="str">
        <f>IF(N103="","",IF(N103&gt;=$AO$1/100,"O","X"))</f>
        <v/>
      </c>
      <c r="AP103" s="78" t="str">
        <f>IF(I103="","",IF(I103&lt;=$AP$1,"O","X"))</f>
        <v/>
      </c>
      <c r="AQ103" s="78" t="str">
        <f>IF(O103="","",IF(O103&lt;=$AQ$1,"O","X"))</f>
        <v>O</v>
      </c>
      <c r="AR103" s="78" t="str">
        <f>IF(M103="","",IF(M103&lt;=$AR$1,"O","X"))</f>
        <v>O</v>
      </c>
      <c r="AS103" s="78" t="s">
        <v>2</v>
      </c>
      <c r="AT103" s="78" t="str">
        <f>IF(OR(F103="",AI103=""),"",IF(AND((F103&lt;=85),(AI103&gt;=15)),"O","X"))</f>
        <v>X</v>
      </c>
      <c r="AU103" s="78" t="str">
        <f>IF(C103="","",IF(C103&gt;=$AU$1,"O","X"))</f>
        <v>X</v>
      </c>
      <c r="AV103" s="78" t="str">
        <f>IF(AO103="","",IF(AND(AO103="O",AP103="O",AR103="O",AT103="O",AU103="O"),"후보","X"))</f>
        <v/>
      </c>
    </row>
    <row r="104" spans="1:48" x14ac:dyDescent="0.3">
      <c r="A104" s="9" t="s">
        <v>812</v>
      </c>
      <c r="B104" s="10" t="s">
        <v>1571</v>
      </c>
      <c r="C104" s="87">
        <v>242</v>
      </c>
      <c r="D104" s="85">
        <v>137.4</v>
      </c>
      <c r="E104" s="86">
        <v>42</v>
      </c>
      <c r="F104" s="85">
        <v>114.8</v>
      </c>
      <c r="G104" s="17">
        <v>35</v>
      </c>
      <c r="H104" s="87">
        <v>26</v>
      </c>
      <c r="I104" s="88"/>
      <c r="J104" s="88"/>
      <c r="K104" s="88"/>
      <c r="L104" s="88"/>
      <c r="M104" s="89">
        <f>I104-K104</f>
        <v>0</v>
      </c>
      <c r="N104" s="4" t="str">
        <f>IF(ISERROR(K104/I104),"",K104/I104)</f>
        <v/>
      </c>
      <c r="O104" s="90">
        <f>I104/E104</f>
        <v>0</v>
      </c>
      <c r="P104" s="90">
        <f>K104/E104</f>
        <v>0</v>
      </c>
      <c r="Q104" s="78">
        <v>4</v>
      </c>
      <c r="R104" s="78">
        <v>2</v>
      </c>
      <c r="S104" s="78" t="s">
        <v>59</v>
      </c>
      <c r="T104" s="5">
        <v>137</v>
      </c>
      <c r="U104" s="9"/>
      <c r="W104" s="85">
        <f t="shared" si="87"/>
        <v>137.4</v>
      </c>
      <c r="X104" s="86">
        <f t="shared" si="87"/>
        <v>42</v>
      </c>
      <c r="Y104" s="91">
        <f t="shared" si="88"/>
        <v>26</v>
      </c>
      <c r="Z104" s="89">
        <f t="shared" si="88"/>
        <v>0</v>
      </c>
      <c r="AA104" s="89">
        <f>K104</f>
        <v>0</v>
      </c>
      <c r="AB104" s="89">
        <f t="shared" si="89"/>
        <v>0</v>
      </c>
      <c r="AC104" s="4" t="str">
        <f t="shared" si="89"/>
        <v/>
      </c>
      <c r="AD104" s="90">
        <f t="shared" si="89"/>
        <v>0</v>
      </c>
      <c r="AE104" s="78" t="str">
        <f>S104</f>
        <v>계</v>
      </c>
      <c r="AF104" s="78" t="str">
        <f>Q104&amp;"/"&amp;R104</f>
        <v>4/2</v>
      </c>
      <c r="AH104" s="20" t="str">
        <f t="shared" si="71"/>
        <v>영창드림맨션</v>
      </c>
      <c r="AI104" s="86">
        <f t="shared" si="86"/>
        <v>42</v>
      </c>
      <c r="AJ104" s="78" t="str">
        <f>IF(AI104="","",$AJ$2)</f>
        <v>A-</v>
      </c>
      <c r="AK104" s="78" t="s">
        <v>13</v>
      </c>
      <c r="AL104" s="78" t="s">
        <v>61</v>
      </c>
      <c r="AM104" s="78" t="s">
        <v>62</v>
      </c>
      <c r="AN104" s="78" t="str">
        <f>IF(AI104="","",$AN$2)</f>
        <v>C</v>
      </c>
      <c r="AO104" s="78" t="str">
        <f>IF(N104="","",IF(N104&gt;=$AO$1/100,"O","X"))</f>
        <v/>
      </c>
      <c r="AP104" s="78" t="str">
        <f>IF(I104="","",IF(I104&lt;=$AP$1,"O","X"))</f>
        <v/>
      </c>
      <c r="AQ104" s="78" t="str">
        <f>IF(O104="","",IF(O104&lt;=$AQ$1,"O","X"))</f>
        <v>O</v>
      </c>
      <c r="AR104" s="78" t="str">
        <f>IF(M104="","",IF(M104&lt;=$AR$1,"O","X"))</f>
        <v>O</v>
      </c>
      <c r="AS104" s="78" t="s">
        <v>2</v>
      </c>
      <c r="AT104" s="78" t="str">
        <f>IF(OR(F104="",AI104=""),"",IF(AND((F104&lt;=85),(AI104&gt;=15)),"O","X"))</f>
        <v>X</v>
      </c>
      <c r="AU104" s="78" t="str">
        <f>IF(C104="","",IF(C104&gt;=$AU$1,"O","X"))</f>
        <v>X</v>
      </c>
      <c r="AV104" s="78" t="str">
        <f>IF(AO104="","",IF(AND(AO104="O",AP104="O",AR104="O",AT104="O",AU104="O"),"후보","X"))</f>
        <v/>
      </c>
    </row>
  </sheetData>
  <mergeCells count="1">
    <mergeCell ref="AJ1:AN1"/>
  </mergeCells>
  <phoneticPr fontId="2" type="noConversion"/>
  <conditionalFormatting sqref="AV4:AV6">
    <cfRule type="expression" dxfId="7939" priority="1574">
      <formula>AV4="X"</formula>
    </cfRule>
    <cfRule type="expression" dxfId="7938" priority="1575">
      <formula>AV4="후보"</formula>
    </cfRule>
  </conditionalFormatting>
  <conditionalFormatting sqref="AC1:AC2 AC4:AC6 N4:N5">
    <cfRule type="cellIs" dxfId="7937" priority="1571" operator="greaterThan">
      <formula>0.9</formula>
    </cfRule>
    <cfRule type="cellIs" dxfId="7936" priority="1572" operator="greaterThan">
      <formula>0.85</formula>
    </cfRule>
  </conditionalFormatting>
  <conditionalFormatting sqref="N1:N2">
    <cfRule type="cellIs" dxfId="7935" priority="1569" operator="greaterThan">
      <formula>0.9</formula>
    </cfRule>
    <cfRule type="cellIs" dxfId="7934" priority="1570" operator="greaterThan">
      <formula>0.85</formula>
    </cfRule>
  </conditionalFormatting>
  <conditionalFormatting sqref="N6">
    <cfRule type="cellIs" dxfId="7933" priority="1567" operator="greaterThan">
      <formula>0.9</formula>
    </cfRule>
    <cfRule type="cellIs" dxfId="7932" priority="1568" operator="greaterThan">
      <formula>0.85</formula>
    </cfRule>
  </conditionalFormatting>
  <conditionalFormatting sqref="E6">
    <cfRule type="expression" dxfId="7931" priority="1563">
      <formula>AND(IF(OR($Q6=1,$Q6=2),1,0),IF($X6&lt;=20,1,0))</formula>
    </cfRule>
    <cfRule type="expression" dxfId="7930" priority="1564">
      <formula>AND(IF($Q6=2,1,0),IF($X6&lt;30,1,0))</formula>
    </cfRule>
    <cfRule type="expression" dxfId="7929" priority="1565">
      <formula>AND(IF($Q6=3,1,0),IF($X6&lt;30,1,0))</formula>
    </cfRule>
    <cfRule type="expression" dxfId="7928" priority="1566">
      <formula>AND(IF($Q6=3,1,IF($Q6=4,1,0)),IF($F6&lt;=85,1,0))</formula>
    </cfRule>
  </conditionalFormatting>
  <conditionalFormatting sqref="X6">
    <cfRule type="expression" dxfId="7927" priority="1559">
      <formula>AND(IF(OR($Q6=1,$Q6=2),1,0),IF($X6&lt;=20,1,0))</formula>
    </cfRule>
    <cfRule type="expression" dxfId="7926" priority="1560">
      <formula>AND(IF($Q6=2,1,0),IF($X6&lt;30,1,0))</formula>
    </cfRule>
    <cfRule type="expression" dxfId="7925" priority="1561">
      <formula>AND(IF($Q6=3,1,0),IF($X6&lt;30,1,0))</formula>
    </cfRule>
    <cfRule type="expression" dxfId="7924" priority="1562">
      <formula>AND(IF($Q6=3,1,IF($Q6=4,1,0)),IF($F6&lt;=85,1,0))</formula>
    </cfRule>
  </conditionalFormatting>
  <conditionalFormatting sqref="AI6">
    <cfRule type="expression" dxfId="7923" priority="1555">
      <formula>AND(IF(OR($Q6=1,$Q6=2),1,0),IF($X6&lt;=20,1,0))</formula>
    </cfRule>
    <cfRule type="expression" dxfId="7922" priority="1556">
      <formula>AND(IF($Q6=2,1,0),IF($X6&lt;30,1,0))</formula>
    </cfRule>
    <cfRule type="expression" dxfId="7921" priority="1557">
      <formula>AND(IF($Q6=3,1,0),IF($X6&lt;30,1,0))</formula>
    </cfRule>
    <cfRule type="expression" dxfId="7920" priority="1558">
      <formula>AND(IF($Q6=3,1,IF($Q6=4,1,0)),IF($F6&lt;=85,1,0))</formula>
    </cfRule>
  </conditionalFormatting>
  <conditionalFormatting sqref="AV7">
    <cfRule type="expression" dxfId="7919" priority="1553">
      <formula>AV7="X"</formula>
    </cfRule>
    <cfRule type="expression" dxfId="7918" priority="1554">
      <formula>AV7="후보"</formula>
    </cfRule>
  </conditionalFormatting>
  <conditionalFormatting sqref="AC7 N7">
    <cfRule type="cellIs" dxfId="7917" priority="1550" operator="greaterThan">
      <formula>0.9</formula>
    </cfRule>
    <cfRule type="cellIs" dxfId="7916" priority="1551" operator="greaterThan">
      <formula>0.85</formula>
    </cfRule>
  </conditionalFormatting>
  <conditionalFormatting sqref="AV8">
    <cfRule type="expression" dxfId="7915" priority="1548">
      <formula>AV8="X"</formula>
    </cfRule>
    <cfRule type="expression" dxfId="7914" priority="1549">
      <formula>AV8="후보"</formula>
    </cfRule>
  </conditionalFormatting>
  <conditionalFormatting sqref="AC8">
    <cfRule type="cellIs" dxfId="7913" priority="1545" operator="greaterThan">
      <formula>0.9</formula>
    </cfRule>
    <cfRule type="cellIs" dxfId="7912" priority="1546" operator="greaterThan">
      <formula>0.85</formula>
    </cfRule>
  </conditionalFormatting>
  <conditionalFormatting sqref="N8">
    <cfRule type="cellIs" dxfId="7911" priority="1543" operator="greaterThan">
      <formula>0.9</formula>
    </cfRule>
    <cfRule type="cellIs" dxfId="7910" priority="1544" operator="greaterThan">
      <formula>0.85</formula>
    </cfRule>
  </conditionalFormatting>
  <conditionalFormatting sqref="E8">
    <cfRule type="expression" dxfId="7909" priority="1539">
      <formula>AND(IF(OR($Q8=1,$Q8=2),1,0),IF($X8&lt;=20,1,0))</formula>
    </cfRule>
    <cfRule type="expression" dxfId="7908" priority="1540">
      <formula>AND(IF($Q8=2,1,0),IF($X8&lt;30,1,0))</formula>
    </cfRule>
    <cfRule type="expression" dxfId="7907" priority="1541">
      <formula>AND(IF($Q8=3,1,0),IF($X8&lt;30,1,0))</formula>
    </cfRule>
    <cfRule type="expression" dxfId="7906" priority="1542">
      <formula>AND(IF($Q8=3,1,IF($Q8=4,1,0)),IF($F8&lt;=85,1,0))</formula>
    </cfRule>
  </conditionalFormatting>
  <conditionalFormatting sqref="X8">
    <cfRule type="expression" dxfId="7905" priority="1535">
      <formula>AND(IF(OR($Q8=1,$Q8=2),1,0),IF($X8&lt;=20,1,0))</formula>
    </cfRule>
    <cfRule type="expression" dxfId="7904" priority="1536">
      <formula>AND(IF($Q8=2,1,0),IF($X8&lt;30,1,0))</formula>
    </cfRule>
    <cfRule type="expression" dxfId="7903" priority="1537">
      <formula>AND(IF($Q8=3,1,0),IF($X8&lt;30,1,0))</formula>
    </cfRule>
    <cfRule type="expression" dxfId="7902" priority="1538">
      <formula>AND(IF($Q8=3,1,IF($Q8=4,1,0)),IF($F8&lt;=85,1,0))</formula>
    </cfRule>
  </conditionalFormatting>
  <conditionalFormatting sqref="AI8">
    <cfRule type="expression" dxfId="7901" priority="1531">
      <formula>AND(IF(OR($Q8=1,$Q8=2),1,0),IF($X8&lt;=20,1,0))</formula>
    </cfRule>
    <cfRule type="expression" dxfId="7900" priority="1532">
      <formula>AND(IF($Q8=2,1,0),IF($X8&lt;30,1,0))</formula>
    </cfRule>
    <cfRule type="expression" dxfId="7899" priority="1533">
      <formula>AND(IF($Q8=3,1,0),IF($X8&lt;30,1,0))</formula>
    </cfRule>
    <cfRule type="expression" dxfId="7898" priority="1534">
      <formula>AND(IF($Q8=3,1,IF($Q8=4,1,0)),IF($F8&lt;=85,1,0))</formula>
    </cfRule>
  </conditionalFormatting>
  <conditionalFormatting sqref="AV9">
    <cfRule type="expression" dxfId="7897" priority="1529">
      <formula>AV9="X"</formula>
    </cfRule>
    <cfRule type="expression" dxfId="7896" priority="1530">
      <formula>AV9="후보"</formula>
    </cfRule>
  </conditionalFormatting>
  <conditionalFormatting sqref="AC9">
    <cfRule type="cellIs" dxfId="7895" priority="1526" operator="greaterThan">
      <formula>0.9</formula>
    </cfRule>
    <cfRule type="cellIs" dxfId="7894" priority="1527" operator="greaterThan">
      <formula>0.85</formula>
    </cfRule>
  </conditionalFormatting>
  <conditionalFormatting sqref="N9">
    <cfRule type="cellIs" dxfId="7893" priority="1524" operator="greaterThan">
      <formula>0.9</formula>
    </cfRule>
    <cfRule type="cellIs" dxfId="7892" priority="1525" operator="greaterThan">
      <formula>0.85</formula>
    </cfRule>
  </conditionalFormatting>
  <conditionalFormatting sqref="E9">
    <cfRule type="expression" dxfId="7891" priority="1520">
      <formula>AND(IF(OR($Q9=1,$Q9=2),1,0),IF($X9&lt;=20,1,0))</formula>
    </cfRule>
    <cfRule type="expression" dxfId="7890" priority="1521">
      <formula>AND(IF($Q9=2,1,0),IF($X9&lt;30,1,0))</formula>
    </cfRule>
    <cfRule type="expression" dxfId="7889" priority="1522">
      <formula>AND(IF($Q9=3,1,0),IF($X9&lt;30,1,0))</formula>
    </cfRule>
    <cfRule type="expression" dxfId="7888" priority="1523">
      <formula>AND(IF($Q9=3,1,IF($Q9=4,1,0)),IF($F9&lt;=85,1,0))</formula>
    </cfRule>
  </conditionalFormatting>
  <conditionalFormatting sqref="X9">
    <cfRule type="expression" dxfId="7887" priority="1516">
      <formula>AND(IF(OR($Q9=1,$Q9=2),1,0),IF($X9&lt;=20,1,0))</formula>
    </cfRule>
    <cfRule type="expression" dxfId="7886" priority="1517">
      <formula>AND(IF($Q9=2,1,0),IF($X9&lt;30,1,0))</formula>
    </cfRule>
    <cfRule type="expression" dxfId="7885" priority="1518">
      <formula>AND(IF($Q9=3,1,0),IF($X9&lt;30,1,0))</formula>
    </cfRule>
    <cfRule type="expression" dxfId="7884" priority="1519">
      <formula>AND(IF($Q9=3,1,IF($Q9=4,1,0)),IF($F9&lt;=85,1,0))</formula>
    </cfRule>
  </conditionalFormatting>
  <conditionalFormatting sqref="AI9">
    <cfRule type="expression" dxfId="7883" priority="1512">
      <formula>AND(IF(OR($Q9=1,$Q9=2),1,0),IF($X9&lt;=20,1,0))</formula>
    </cfRule>
    <cfRule type="expression" dxfId="7882" priority="1513">
      <formula>AND(IF($Q9=2,1,0),IF($X9&lt;30,1,0))</formula>
    </cfRule>
    <cfRule type="expression" dxfId="7881" priority="1514">
      <formula>AND(IF($Q9=3,1,0),IF($X9&lt;30,1,0))</formula>
    </cfRule>
    <cfRule type="expression" dxfId="7880" priority="1515">
      <formula>AND(IF($Q9=3,1,IF($Q9=4,1,0)),IF($F9&lt;=85,1,0))</formula>
    </cfRule>
  </conditionalFormatting>
  <conditionalFormatting sqref="AV10">
    <cfRule type="expression" dxfId="7879" priority="1510">
      <formula>AV10="X"</formula>
    </cfRule>
    <cfRule type="expression" dxfId="7878" priority="1511">
      <formula>AV10="후보"</formula>
    </cfRule>
  </conditionalFormatting>
  <conditionalFormatting sqref="AC10">
    <cfRule type="cellIs" dxfId="7877" priority="1507" operator="greaterThan">
      <formula>0.9</formula>
    </cfRule>
    <cfRule type="cellIs" dxfId="7876" priority="1508" operator="greaterThan">
      <formula>0.85</formula>
    </cfRule>
  </conditionalFormatting>
  <conditionalFormatting sqref="N10">
    <cfRule type="cellIs" dxfId="7875" priority="1505" operator="greaterThan">
      <formula>0.9</formula>
    </cfRule>
    <cfRule type="cellIs" dxfId="7874" priority="1506" operator="greaterThan">
      <formula>0.85</formula>
    </cfRule>
  </conditionalFormatting>
  <conditionalFormatting sqref="E10">
    <cfRule type="expression" dxfId="7873" priority="1501">
      <formula>AND(IF(OR($Q10=1,$Q10=2),1,0),IF($X10&lt;=20,1,0))</formula>
    </cfRule>
    <cfRule type="expression" dxfId="7872" priority="1502">
      <formula>AND(IF($Q10=2,1,0),IF($X10&lt;30,1,0))</formula>
    </cfRule>
    <cfRule type="expression" dxfId="7871" priority="1503">
      <formula>AND(IF($Q10=3,1,0),IF($X10&lt;30,1,0))</formula>
    </cfRule>
    <cfRule type="expression" dxfId="7870" priority="1504">
      <formula>AND(IF($Q10=3,1,IF($Q10=4,1,0)),IF($F10&lt;=85,1,0))</formula>
    </cfRule>
  </conditionalFormatting>
  <conditionalFormatting sqref="X10">
    <cfRule type="expression" dxfId="7869" priority="1497">
      <formula>AND(IF(OR($Q10=1,$Q10=2),1,0),IF($X10&lt;=20,1,0))</formula>
    </cfRule>
    <cfRule type="expression" dxfId="7868" priority="1498">
      <formula>AND(IF($Q10=2,1,0),IF($X10&lt;30,1,0))</formula>
    </cfRule>
    <cfRule type="expression" dxfId="7867" priority="1499">
      <formula>AND(IF($Q10=3,1,0),IF($X10&lt;30,1,0))</formula>
    </cfRule>
    <cfRule type="expression" dxfId="7866" priority="1500">
      <formula>AND(IF($Q10=3,1,IF($Q10=4,1,0)),IF($F10&lt;=85,1,0))</formula>
    </cfRule>
  </conditionalFormatting>
  <conditionalFormatting sqref="AI10">
    <cfRule type="expression" dxfId="7865" priority="1493">
      <formula>AND(IF(OR($Q10=1,$Q10=2),1,0),IF($X10&lt;=20,1,0))</formula>
    </cfRule>
    <cfRule type="expression" dxfId="7864" priority="1494">
      <formula>AND(IF($Q10=2,1,0),IF($X10&lt;30,1,0))</formula>
    </cfRule>
    <cfRule type="expression" dxfId="7863" priority="1495">
      <formula>AND(IF($Q10=3,1,0),IF($X10&lt;30,1,0))</formula>
    </cfRule>
    <cfRule type="expression" dxfId="7862" priority="1496">
      <formula>AND(IF($Q10=3,1,IF($Q10=4,1,0)),IF($F10&lt;=85,1,0))</formula>
    </cfRule>
  </conditionalFormatting>
  <conditionalFormatting sqref="AV11">
    <cfRule type="expression" dxfId="7861" priority="1491">
      <formula>AV11="X"</formula>
    </cfRule>
    <cfRule type="expression" dxfId="7860" priority="1492">
      <formula>AV11="후보"</formula>
    </cfRule>
  </conditionalFormatting>
  <conditionalFormatting sqref="AC11">
    <cfRule type="cellIs" dxfId="7859" priority="1488" operator="greaterThan">
      <formula>0.9</formula>
    </cfRule>
    <cfRule type="cellIs" dxfId="7858" priority="1489" operator="greaterThan">
      <formula>0.85</formula>
    </cfRule>
  </conditionalFormatting>
  <conditionalFormatting sqref="N11">
    <cfRule type="cellIs" dxfId="7857" priority="1486" operator="greaterThan">
      <formula>0.9</formula>
    </cfRule>
    <cfRule type="cellIs" dxfId="7856" priority="1487" operator="greaterThan">
      <formula>0.85</formula>
    </cfRule>
  </conditionalFormatting>
  <conditionalFormatting sqref="E11">
    <cfRule type="expression" dxfId="7855" priority="1482">
      <formula>AND(IF(OR($Q11=1,$Q11=2),1,0),IF($X11&lt;=20,1,0))</formula>
    </cfRule>
    <cfRule type="expression" dxfId="7854" priority="1483">
      <formula>AND(IF($Q11=2,1,0),IF($X11&lt;30,1,0))</formula>
    </cfRule>
    <cfRule type="expression" dxfId="7853" priority="1484">
      <formula>AND(IF($Q11=3,1,0),IF($X11&lt;30,1,0))</formula>
    </cfRule>
    <cfRule type="expression" dxfId="7852" priority="1485">
      <formula>AND(IF($Q11=3,1,IF($Q11=4,1,0)),IF($F11&lt;=85,1,0))</formula>
    </cfRule>
  </conditionalFormatting>
  <conditionalFormatting sqref="X11">
    <cfRule type="expression" dxfId="7851" priority="1478">
      <formula>AND(IF(OR($Q11=1,$Q11=2),1,0),IF($X11&lt;=20,1,0))</formula>
    </cfRule>
    <cfRule type="expression" dxfId="7850" priority="1479">
      <formula>AND(IF($Q11=2,1,0),IF($X11&lt;30,1,0))</formula>
    </cfRule>
    <cfRule type="expression" dxfId="7849" priority="1480">
      <formula>AND(IF($Q11=3,1,0),IF($X11&lt;30,1,0))</formula>
    </cfRule>
    <cfRule type="expression" dxfId="7848" priority="1481">
      <formula>AND(IF($Q11=3,1,IF($Q11=4,1,0)),IF($F11&lt;=85,1,0))</formula>
    </cfRule>
  </conditionalFormatting>
  <conditionalFormatting sqref="AI11">
    <cfRule type="expression" dxfId="7847" priority="1474">
      <formula>AND(IF(OR($Q11=1,$Q11=2),1,0),IF($X11&lt;=20,1,0))</formula>
    </cfRule>
    <cfRule type="expression" dxfId="7846" priority="1475">
      <formula>AND(IF($Q11=2,1,0),IF($X11&lt;30,1,0))</formula>
    </cfRule>
    <cfRule type="expression" dxfId="7845" priority="1476">
      <formula>AND(IF($Q11=3,1,0),IF($X11&lt;30,1,0))</formula>
    </cfRule>
    <cfRule type="expression" dxfId="7844" priority="1477">
      <formula>AND(IF($Q11=3,1,IF($Q11=4,1,0)),IF($F11&lt;=85,1,0))</formula>
    </cfRule>
  </conditionalFormatting>
  <conditionalFormatting sqref="AV12">
    <cfRule type="expression" dxfId="7843" priority="1472">
      <formula>AV12="X"</formula>
    </cfRule>
    <cfRule type="expression" dxfId="7842" priority="1473">
      <formula>AV12="후보"</formula>
    </cfRule>
  </conditionalFormatting>
  <conditionalFormatting sqref="AC12">
    <cfRule type="cellIs" dxfId="7841" priority="1469" operator="greaterThan">
      <formula>0.9</formula>
    </cfRule>
    <cfRule type="cellIs" dxfId="7840" priority="1470" operator="greaterThan">
      <formula>0.85</formula>
    </cfRule>
  </conditionalFormatting>
  <conditionalFormatting sqref="N12">
    <cfRule type="cellIs" dxfId="7839" priority="1467" operator="greaterThan">
      <formula>0.9</formula>
    </cfRule>
    <cfRule type="cellIs" dxfId="7838" priority="1468" operator="greaterThan">
      <formula>0.85</formula>
    </cfRule>
  </conditionalFormatting>
  <conditionalFormatting sqref="E12">
    <cfRule type="expression" dxfId="7837" priority="1463">
      <formula>AND(IF(OR($Q12=1,$Q12=2),1,0),IF($X12&lt;=20,1,0))</formula>
    </cfRule>
    <cfRule type="expression" dxfId="7836" priority="1464">
      <formula>AND(IF($Q12=2,1,0),IF($X12&lt;30,1,0))</formula>
    </cfRule>
    <cfRule type="expression" dxfId="7835" priority="1465">
      <formula>AND(IF($Q12=3,1,0),IF($X12&lt;30,1,0))</formula>
    </cfRule>
    <cfRule type="expression" dxfId="7834" priority="1466">
      <formula>AND(IF($Q12=3,1,IF($Q12=4,1,0)),IF($F12&lt;=85,1,0))</formula>
    </cfRule>
  </conditionalFormatting>
  <conditionalFormatting sqref="X12">
    <cfRule type="expression" dxfId="7833" priority="1459">
      <formula>AND(IF(OR($Q12=1,$Q12=2),1,0),IF($X12&lt;=20,1,0))</formula>
    </cfRule>
    <cfRule type="expression" dxfId="7832" priority="1460">
      <formula>AND(IF($Q12=2,1,0),IF($X12&lt;30,1,0))</formula>
    </cfRule>
    <cfRule type="expression" dxfId="7831" priority="1461">
      <formula>AND(IF($Q12=3,1,0),IF($X12&lt;30,1,0))</formula>
    </cfRule>
    <cfRule type="expression" dxfId="7830" priority="1462">
      <formula>AND(IF($Q12=3,1,IF($Q12=4,1,0)),IF($F12&lt;=85,1,0))</formula>
    </cfRule>
  </conditionalFormatting>
  <conditionalFormatting sqref="AI12">
    <cfRule type="expression" dxfId="7829" priority="1455">
      <formula>AND(IF(OR($Q12=1,$Q12=2),1,0),IF($X12&lt;=20,1,0))</formula>
    </cfRule>
    <cfRule type="expression" dxfId="7828" priority="1456">
      <formula>AND(IF($Q12=2,1,0),IF($X12&lt;30,1,0))</formula>
    </cfRule>
    <cfRule type="expression" dxfId="7827" priority="1457">
      <formula>AND(IF($Q12=3,1,0),IF($X12&lt;30,1,0))</formula>
    </cfRule>
    <cfRule type="expression" dxfId="7826" priority="1458">
      <formula>AND(IF($Q12=3,1,IF($Q12=4,1,0)),IF($F12&lt;=85,1,0))</formula>
    </cfRule>
  </conditionalFormatting>
  <conditionalFormatting sqref="AV13">
    <cfRule type="expression" dxfId="7825" priority="1453">
      <formula>AV13="X"</formula>
    </cfRule>
    <cfRule type="expression" dxfId="7824" priority="1454">
      <formula>AV13="후보"</formula>
    </cfRule>
  </conditionalFormatting>
  <conditionalFormatting sqref="AC13">
    <cfRule type="cellIs" dxfId="7823" priority="1450" operator="greaterThan">
      <formula>0.9</formula>
    </cfRule>
    <cfRule type="cellIs" dxfId="7822" priority="1451" operator="greaterThan">
      <formula>0.85</formula>
    </cfRule>
  </conditionalFormatting>
  <conditionalFormatting sqref="N13">
    <cfRule type="cellIs" dxfId="7821" priority="1448" operator="greaterThan">
      <formula>0.9</formula>
    </cfRule>
    <cfRule type="cellIs" dxfId="7820" priority="1449" operator="greaterThan">
      <formula>0.85</formula>
    </cfRule>
  </conditionalFormatting>
  <conditionalFormatting sqref="E13">
    <cfRule type="expression" dxfId="7819" priority="1444">
      <formula>AND(IF(OR($Q13=1,$Q13=2),1,0),IF($X13&lt;=20,1,0))</formula>
    </cfRule>
    <cfRule type="expression" dxfId="7818" priority="1445">
      <formula>AND(IF($Q13=2,1,0),IF($X13&lt;30,1,0))</formula>
    </cfRule>
    <cfRule type="expression" dxfId="7817" priority="1446">
      <formula>AND(IF($Q13=3,1,0),IF($X13&lt;30,1,0))</formula>
    </cfRule>
    <cfRule type="expression" dxfId="7816" priority="1447">
      <formula>AND(IF($Q13=3,1,IF($Q13=4,1,0)),IF($F13&lt;=85,1,0))</formula>
    </cfRule>
  </conditionalFormatting>
  <conditionalFormatting sqref="X13">
    <cfRule type="expression" dxfId="7815" priority="1440">
      <formula>AND(IF(OR($Q13=1,$Q13=2),1,0),IF($X13&lt;=20,1,0))</formula>
    </cfRule>
    <cfRule type="expression" dxfId="7814" priority="1441">
      <formula>AND(IF($Q13=2,1,0),IF($X13&lt;30,1,0))</formula>
    </cfRule>
    <cfRule type="expression" dxfId="7813" priority="1442">
      <formula>AND(IF($Q13=3,1,0),IF($X13&lt;30,1,0))</formula>
    </cfRule>
    <cfRule type="expression" dxfId="7812" priority="1443">
      <formula>AND(IF($Q13=3,1,IF($Q13=4,1,0)),IF($F13&lt;=85,1,0))</formula>
    </cfRule>
  </conditionalFormatting>
  <conditionalFormatting sqref="AI13">
    <cfRule type="expression" dxfId="7811" priority="1436">
      <formula>AND(IF(OR($Q13=1,$Q13=2),1,0),IF($X13&lt;=20,1,0))</formula>
    </cfRule>
    <cfRule type="expression" dxfId="7810" priority="1437">
      <formula>AND(IF($Q13=2,1,0),IF($X13&lt;30,1,0))</formula>
    </cfRule>
    <cfRule type="expression" dxfId="7809" priority="1438">
      <formula>AND(IF($Q13=3,1,0),IF($X13&lt;30,1,0))</formula>
    </cfRule>
    <cfRule type="expression" dxfId="7808" priority="1439">
      <formula>AND(IF($Q13=3,1,IF($Q13=4,1,0)),IF($F13&lt;=85,1,0))</formula>
    </cfRule>
  </conditionalFormatting>
  <conditionalFormatting sqref="AV14">
    <cfRule type="expression" dxfId="7807" priority="1434">
      <formula>AV14="X"</formula>
    </cfRule>
    <cfRule type="expression" dxfId="7806" priority="1435">
      <formula>AV14="후보"</formula>
    </cfRule>
  </conditionalFormatting>
  <conditionalFormatting sqref="AC14">
    <cfRule type="cellIs" dxfId="7805" priority="1431" operator="greaterThan">
      <formula>0.9</formula>
    </cfRule>
    <cfRule type="cellIs" dxfId="7804" priority="1432" operator="greaterThan">
      <formula>0.85</formula>
    </cfRule>
  </conditionalFormatting>
  <conditionalFormatting sqref="N14">
    <cfRule type="cellIs" dxfId="7803" priority="1429" operator="greaterThan">
      <formula>0.9</formula>
    </cfRule>
    <cfRule type="cellIs" dxfId="7802" priority="1430" operator="greaterThan">
      <formula>0.85</formula>
    </cfRule>
  </conditionalFormatting>
  <conditionalFormatting sqref="E14">
    <cfRule type="expression" dxfId="7801" priority="1425">
      <formula>AND(IF(OR($Q14=1,$Q14=2),1,0),IF($X14&lt;=20,1,0))</formula>
    </cfRule>
    <cfRule type="expression" dxfId="7800" priority="1426">
      <formula>AND(IF($Q14=2,1,0),IF($X14&lt;30,1,0))</formula>
    </cfRule>
    <cfRule type="expression" dxfId="7799" priority="1427">
      <formula>AND(IF($Q14=3,1,0),IF($X14&lt;30,1,0))</formula>
    </cfRule>
    <cfRule type="expression" dxfId="7798" priority="1428">
      <formula>AND(IF($Q14=3,1,IF($Q14=4,1,0)),IF($F14&lt;=85,1,0))</formula>
    </cfRule>
  </conditionalFormatting>
  <conditionalFormatting sqref="X14">
    <cfRule type="expression" dxfId="7797" priority="1421">
      <formula>AND(IF(OR($Q14=1,$Q14=2),1,0),IF($X14&lt;=20,1,0))</formula>
    </cfRule>
    <cfRule type="expression" dxfId="7796" priority="1422">
      <formula>AND(IF($Q14=2,1,0),IF($X14&lt;30,1,0))</formula>
    </cfRule>
    <cfRule type="expression" dxfId="7795" priority="1423">
      <formula>AND(IF($Q14=3,1,0),IF($X14&lt;30,1,0))</formula>
    </cfRule>
    <cfRule type="expression" dxfId="7794" priority="1424">
      <formula>AND(IF($Q14=3,1,IF($Q14=4,1,0)),IF($F14&lt;=85,1,0))</formula>
    </cfRule>
  </conditionalFormatting>
  <conditionalFormatting sqref="AI14">
    <cfRule type="expression" dxfId="7793" priority="1417">
      <formula>AND(IF(OR($Q14=1,$Q14=2),1,0),IF($X14&lt;=20,1,0))</formula>
    </cfRule>
    <cfRule type="expression" dxfId="7792" priority="1418">
      <formula>AND(IF($Q14=2,1,0),IF($X14&lt;30,1,0))</formula>
    </cfRule>
    <cfRule type="expression" dxfId="7791" priority="1419">
      <formula>AND(IF($Q14=3,1,0),IF($X14&lt;30,1,0))</formula>
    </cfRule>
    <cfRule type="expression" dxfId="7790" priority="1420">
      <formula>AND(IF($Q14=3,1,IF($Q14=4,1,0)),IF($F14&lt;=85,1,0))</formula>
    </cfRule>
  </conditionalFormatting>
  <conditionalFormatting sqref="AV15">
    <cfRule type="expression" dxfId="7789" priority="1415">
      <formula>AV15="X"</formula>
    </cfRule>
    <cfRule type="expression" dxfId="7788" priority="1416">
      <formula>AV15="후보"</formula>
    </cfRule>
  </conditionalFormatting>
  <conditionalFormatting sqref="AC15">
    <cfRule type="cellIs" dxfId="7787" priority="1412" operator="greaterThan">
      <formula>0.9</formula>
    </cfRule>
    <cfRule type="cellIs" dxfId="7786" priority="1413" operator="greaterThan">
      <formula>0.85</formula>
    </cfRule>
  </conditionalFormatting>
  <conditionalFormatting sqref="N15">
    <cfRule type="cellIs" dxfId="7785" priority="1410" operator="greaterThan">
      <formula>0.9</formula>
    </cfRule>
    <cfRule type="cellIs" dxfId="7784" priority="1411" operator="greaterThan">
      <formula>0.85</formula>
    </cfRule>
  </conditionalFormatting>
  <conditionalFormatting sqref="E15">
    <cfRule type="expression" dxfId="7783" priority="1406">
      <formula>AND(IF(OR($Q15=1,$Q15=2),1,0),IF($X15&lt;=20,1,0))</formula>
    </cfRule>
    <cfRule type="expression" dxfId="7782" priority="1407">
      <formula>AND(IF($Q15=2,1,0),IF($X15&lt;30,1,0))</formula>
    </cfRule>
    <cfRule type="expression" dxfId="7781" priority="1408">
      <formula>AND(IF($Q15=3,1,0),IF($X15&lt;30,1,0))</formula>
    </cfRule>
    <cfRule type="expression" dxfId="7780" priority="1409">
      <formula>AND(IF($Q15=3,1,IF($Q15=4,1,0)),IF($F15&lt;=85,1,0))</formula>
    </cfRule>
  </conditionalFormatting>
  <conditionalFormatting sqref="X15">
    <cfRule type="expression" dxfId="7779" priority="1402">
      <formula>AND(IF(OR($Q15=1,$Q15=2),1,0),IF($X15&lt;=20,1,0))</formula>
    </cfRule>
    <cfRule type="expression" dxfId="7778" priority="1403">
      <formula>AND(IF($Q15=2,1,0),IF($X15&lt;30,1,0))</formula>
    </cfRule>
    <cfRule type="expression" dxfId="7777" priority="1404">
      <formula>AND(IF($Q15=3,1,0),IF($X15&lt;30,1,0))</formula>
    </cfRule>
    <cfRule type="expression" dxfId="7776" priority="1405">
      <formula>AND(IF($Q15=3,1,IF($Q15=4,1,0)),IF($F15&lt;=85,1,0))</formula>
    </cfRule>
  </conditionalFormatting>
  <conditionalFormatting sqref="AI15">
    <cfRule type="expression" dxfId="7775" priority="1398">
      <formula>AND(IF(OR($Q15=1,$Q15=2),1,0),IF($X15&lt;=20,1,0))</formula>
    </cfRule>
    <cfRule type="expression" dxfId="7774" priority="1399">
      <formula>AND(IF($Q15=2,1,0),IF($X15&lt;30,1,0))</formula>
    </cfRule>
    <cfRule type="expression" dxfId="7773" priority="1400">
      <formula>AND(IF($Q15=3,1,0),IF($X15&lt;30,1,0))</formula>
    </cfRule>
    <cfRule type="expression" dxfId="7772" priority="1401">
      <formula>AND(IF($Q15=3,1,IF($Q15=4,1,0)),IF($F15&lt;=85,1,0))</formula>
    </cfRule>
  </conditionalFormatting>
  <conditionalFormatting sqref="AV16">
    <cfRule type="expression" dxfId="7771" priority="1396">
      <formula>AV16="X"</formula>
    </cfRule>
    <cfRule type="expression" dxfId="7770" priority="1397">
      <formula>AV16="후보"</formula>
    </cfRule>
  </conditionalFormatting>
  <conditionalFormatting sqref="AC16 N16">
    <cfRule type="cellIs" dxfId="7769" priority="1393" operator="greaterThan">
      <formula>0.9</formula>
    </cfRule>
    <cfRule type="cellIs" dxfId="7768" priority="1394" operator="greaterThan">
      <formula>0.85</formula>
    </cfRule>
  </conditionalFormatting>
  <conditionalFormatting sqref="AV17">
    <cfRule type="expression" dxfId="7767" priority="1391">
      <formula>AV17="X"</formula>
    </cfRule>
    <cfRule type="expression" dxfId="7766" priority="1392">
      <formula>AV17="후보"</formula>
    </cfRule>
  </conditionalFormatting>
  <conditionalFormatting sqref="AC17">
    <cfRule type="cellIs" dxfId="7765" priority="1388" operator="greaterThan">
      <formula>0.9</formula>
    </cfRule>
    <cfRule type="cellIs" dxfId="7764" priority="1389" operator="greaterThan">
      <formula>0.85</formula>
    </cfRule>
  </conditionalFormatting>
  <conditionalFormatting sqref="N17">
    <cfRule type="cellIs" dxfId="7763" priority="1386" operator="greaterThan">
      <formula>0.9</formula>
    </cfRule>
    <cfRule type="cellIs" dxfId="7762" priority="1387" operator="greaterThan">
      <formula>0.85</formula>
    </cfRule>
  </conditionalFormatting>
  <conditionalFormatting sqref="E17">
    <cfRule type="expression" dxfId="7761" priority="1382">
      <formula>AND(IF(OR($Q17=1,$Q17=2),1,0),IF($X17&lt;=20,1,0))</formula>
    </cfRule>
    <cfRule type="expression" dxfId="7760" priority="1383">
      <formula>AND(IF($Q17=2,1,0),IF($X17&lt;30,1,0))</formula>
    </cfRule>
    <cfRule type="expression" dxfId="7759" priority="1384">
      <formula>AND(IF($Q17=3,1,0),IF($X17&lt;30,1,0))</formula>
    </cfRule>
    <cfRule type="expression" dxfId="7758" priority="1385">
      <formula>AND(IF($Q17=3,1,IF($Q17=4,1,0)),IF($F17&lt;=85,1,0))</formula>
    </cfRule>
  </conditionalFormatting>
  <conditionalFormatting sqref="X17">
    <cfRule type="expression" dxfId="7757" priority="1378">
      <formula>AND(IF(OR($Q17=1,$Q17=2),1,0),IF($X17&lt;=20,1,0))</formula>
    </cfRule>
    <cfRule type="expression" dxfId="7756" priority="1379">
      <formula>AND(IF($Q17=2,1,0),IF($X17&lt;30,1,0))</formula>
    </cfRule>
    <cfRule type="expression" dxfId="7755" priority="1380">
      <formula>AND(IF($Q17=3,1,0),IF($X17&lt;30,1,0))</formula>
    </cfRule>
    <cfRule type="expression" dxfId="7754" priority="1381">
      <formula>AND(IF($Q17=3,1,IF($Q17=4,1,0)),IF($F17&lt;=85,1,0))</formula>
    </cfRule>
  </conditionalFormatting>
  <conditionalFormatting sqref="AI17">
    <cfRule type="expression" dxfId="7753" priority="1374">
      <formula>AND(IF(OR($Q17=1,$Q17=2),1,0),IF($X17&lt;=20,1,0))</formula>
    </cfRule>
    <cfRule type="expression" dxfId="7752" priority="1375">
      <formula>AND(IF($Q17=2,1,0),IF($X17&lt;30,1,0))</formula>
    </cfRule>
    <cfRule type="expression" dxfId="7751" priority="1376">
      <formula>AND(IF($Q17=3,1,0),IF($X17&lt;30,1,0))</formula>
    </cfRule>
    <cfRule type="expression" dxfId="7750" priority="1377">
      <formula>AND(IF($Q17=3,1,IF($Q17=4,1,0)),IF($F17&lt;=85,1,0))</formula>
    </cfRule>
  </conditionalFormatting>
  <conditionalFormatting sqref="AV18">
    <cfRule type="expression" dxfId="7749" priority="1372">
      <formula>AV18="X"</formula>
    </cfRule>
    <cfRule type="expression" dxfId="7748" priority="1373">
      <formula>AV18="후보"</formula>
    </cfRule>
  </conditionalFormatting>
  <conditionalFormatting sqref="AC18">
    <cfRule type="cellIs" dxfId="7747" priority="1369" operator="greaterThan">
      <formula>0.9</formula>
    </cfRule>
    <cfRule type="cellIs" dxfId="7746" priority="1370" operator="greaterThan">
      <formula>0.85</formula>
    </cfRule>
  </conditionalFormatting>
  <conditionalFormatting sqref="N18">
    <cfRule type="cellIs" dxfId="7745" priority="1367" operator="greaterThan">
      <formula>0.9</formula>
    </cfRule>
    <cfRule type="cellIs" dxfId="7744" priority="1368" operator="greaterThan">
      <formula>0.85</formula>
    </cfRule>
  </conditionalFormatting>
  <conditionalFormatting sqref="E18">
    <cfRule type="expression" dxfId="7743" priority="1363">
      <formula>AND(IF(OR($Q18=1,$Q18=2),1,0),IF($X18&lt;=20,1,0))</formula>
    </cfRule>
    <cfRule type="expression" dxfId="7742" priority="1364">
      <formula>AND(IF($Q18=2,1,0),IF($X18&lt;30,1,0))</formula>
    </cfRule>
    <cfRule type="expression" dxfId="7741" priority="1365">
      <formula>AND(IF($Q18=3,1,0),IF($X18&lt;30,1,0))</formula>
    </cfRule>
    <cfRule type="expression" dxfId="7740" priority="1366">
      <formula>AND(IF($Q18=3,1,IF($Q18=4,1,0)),IF($F18&lt;=85,1,0))</formula>
    </cfRule>
  </conditionalFormatting>
  <conditionalFormatting sqref="X18">
    <cfRule type="expression" dxfId="7739" priority="1359">
      <formula>AND(IF(OR($Q18=1,$Q18=2),1,0),IF($X18&lt;=20,1,0))</formula>
    </cfRule>
    <cfRule type="expression" dxfId="7738" priority="1360">
      <formula>AND(IF($Q18=2,1,0),IF($X18&lt;30,1,0))</formula>
    </cfRule>
    <cfRule type="expression" dxfId="7737" priority="1361">
      <formula>AND(IF($Q18=3,1,0),IF($X18&lt;30,1,0))</formula>
    </cfRule>
    <cfRule type="expression" dxfId="7736" priority="1362">
      <formula>AND(IF($Q18=3,1,IF($Q18=4,1,0)),IF($F18&lt;=85,1,0))</formula>
    </cfRule>
  </conditionalFormatting>
  <conditionalFormatting sqref="AI18">
    <cfRule type="expression" dxfId="7735" priority="1355">
      <formula>AND(IF(OR($Q18=1,$Q18=2),1,0),IF($X18&lt;=20,1,0))</formula>
    </cfRule>
    <cfRule type="expression" dxfId="7734" priority="1356">
      <formula>AND(IF($Q18=2,1,0),IF($X18&lt;30,1,0))</formula>
    </cfRule>
    <cfRule type="expression" dxfId="7733" priority="1357">
      <formula>AND(IF($Q18=3,1,0),IF($X18&lt;30,1,0))</formula>
    </cfRule>
    <cfRule type="expression" dxfId="7732" priority="1358">
      <formula>AND(IF($Q18=3,1,IF($Q18=4,1,0)),IF($F18&lt;=85,1,0))</formula>
    </cfRule>
  </conditionalFormatting>
  <conditionalFormatting sqref="AV19">
    <cfRule type="expression" dxfId="7731" priority="1353">
      <formula>AV19="X"</formula>
    </cfRule>
    <cfRule type="expression" dxfId="7730" priority="1354">
      <formula>AV19="후보"</formula>
    </cfRule>
  </conditionalFormatting>
  <conditionalFormatting sqref="AC19">
    <cfRule type="cellIs" dxfId="7729" priority="1350" operator="greaterThan">
      <formula>0.9</formula>
    </cfRule>
    <cfRule type="cellIs" dxfId="7728" priority="1351" operator="greaterThan">
      <formula>0.85</formula>
    </cfRule>
  </conditionalFormatting>
  <conditionalFormatting sqref="N19">
    <cfRule type="cellIs" dxfId="7727" priority="1348" operator="greaterThan">
      <formula>0.9</formula>
    </cfRule>
    <cfRule type="cellIs" dxfId="7726" priority="1349" operator="greaterThan">
      <formula>0.85</formula>
    </cfRule>
  </conditionalFormatting>
  <conditionalFormatting sqref="E19">
    <cfRule type="expression" dxfId="7725" priority="1344">
      <formula>AND(IF(OR($Q19=1,$Q19=2),1,0),IF($X19&lt;=20,1,0))</formula>
    </cfRule>
    <cfRule type="expression" dxfId="7724" priority="1345">
      <formula>AND(IF($Q19=2,1,0),IF($X19&lt;30,1,0))</formula>
    </cfRule>
    <cfRule type="expression" dxfId="7723" priority="1346">
      <formula>AND(IF($Q19=3,1,0),IF($X19&lt;30,1,0))</formula>
    </cfRule>
    <cfRule type="expression" dxfId="7722" priority="1347">
      <formula>AND(IF($Q19=3,1,IF($Q19=4,1,0)),IF($F19&lt;=85,1,0))</formula>
    </cfRule>
  </conditionalFormatting>
  <conditionalFormatting sqref="X19">
    <cfRule type="expression" dxfId="7721" priority="1340">
      <formula>AND(IF(OR($Q19=1,$Q19=2),1,0),IF($X19&lt;=20,1,0))</formula>
    </cfRule>
    <cfRule type="expression" dxfId="7720" priority="1341">
      <formula>AND(IF($Q19=2,1,0),IF($X19&lt;30,1,0))</formula>
    </cfRule>
    <cfRule type="expression" dxfId="7719" priority="1342">
      <formula>AND(IF($Q19=3,1,0),IF($X19&lt;30,1,0))</formula>
    </cfRule>
    <cfRule type="expression" dxfId="7718" priority="1343">
      <formula>AND(IF($Q19=3,1,IF($Q19=4,1,0)),IF($F19&lt;=85,1,0))</formula>
    </cfRule>
  </conditionalFormatting>
  <conditionalFormatting sqref="AI19">
    <cfRule type="expression" dxfId="7717" priority="1336">
      <formula>AND(IF(OR($Q19=1,$Q19=2),1,0),IF($X19&lt;=20,1,0))</formula>
    </cfRule>
    <cfRule type="expression" dxfId="7716" priority="1337">
      <formula>AND(IF($Q19=2,1,0),IF($X19&lt;30,1,0))</formula>
    </cfRule>
    <cfRule type="expression" dxfId="7715" priority="1338">
      <formula>AND(IF($Q19=3,1,0),IF($X19&lt;30,1,0))</formula>
    </cfRule>
    <cfRule type="expression" dxfId="7714" priority="1339">
      <formula>AND(IF($Q19=3,1,IF($Q19=4,1,0)),IF($F19&lt;=85,1,0))</formula>
    </cfRule>
  </conditionalFormatting>
  <conditionalFormatting sqref="AV20">
    <cfRule type="expression" dxfId="7713" priority="1334">
      <formula>AV20="X"</formula>
    </cfRule>
    <cfRule type="expression" dxfId="7712" priority="1335">
      <formula>AV20="후보"</formula>
    </cfRule>
  </conditionalFormatting>
  <conditionalFormatting sqref="AC20">
    <cfRule type="cellIs" dxfId="7711" priority="1331" operator="greaterThan">
      <formula>0.9</formula>
    </cfRule>
    <cfRule type="cellIs" dxfId="7710" priority="1332" operator="greaterThan">
      <formula>0.85</formula>
    </cfRule>
  </conditionalFormatting>
  <conditionalFormatting sqref="N20">
    <cfRule type="cellIs" dxfId="7709" priority="1329" operator="greaterThan">
      <formula>0.9</formula>
    </cfRule>
    <cfRule type="cellIs" dxfId="7708" priority="1330" operator="greaterThan">
      <formula>0.85</formula>
    </cfRule>
  </conditionalFormatting>
  <conditionalFormatting sqref="E20">
    <cfRule type="expression" dxfId="7707" priority="1325">
      <formula>AND(IF(OR($Q20=1,$Q20=2),1,0),IF($X20&lt;=20,1,0))</formula>
    </cfRule>
    <cfRule type="expression" dxfId="7706" priority="1326">
      <formula>AND(IF($Q20=2,1,0),IF($X20&lt;30,1,0))</formula>
    </cfRule>
    <cfRule type="expression" dxfId="7705" priority="1327">
      <formula>AND(IF($Q20=3,1,0),IF($X20&lt;30,1,0))</formula>
    </cfRule>
    <cfRule type="expression" dxfId="7704" priority="1328">
      <formula>AND(IF($Q20=3,1,IF($Q20=4,1,0)),IF($F20&lt;=85,1,0))</formula>
    </cfRule>
  </conditionalFormatting>
  <conditionalFormatting sqref="X20">
    <cfRule type="expression" dxfId="7703" priority="1321">
      <formula>AND(IF(OR($Q20=1,$Q20=2),1,0),IF($X20&lt;=20,1,0))</formula>
    </cfRule>
    <cfRule type="expression" dxfId="7702" priority="1322">
      <formula>AND(IF($Q20=2,1,0),IF($X20&lt;30,1,0))</formula>
    </cfRule>
    <cfRule type="expression" dxfId="7701" priority="1323">
      <formula>AND(IF($Q20=3,1,0),IF($X20&lt;30,1,0))</formula>
    </cfRule>
    <cfRule type="expression" dxfId="7700" priority="1324">
      <formula>AND(IF($Q20=3,1,IF($Q20=4,1,0)),IF($F20&lt;=85,1,0))</formula>
    </cfRule>
  </conditionalFormatting>
  <conditionalFormatting sqref="AI20">
    <cfRule type="expression" dxfId="7699" priority="1317">
      <formula>AND(IF(OR($Q20=1,$Q20=2),1,0),IF($X20&lt;=20,1,0))</formula>
    </cfRule>
    <cfRule type="expression" dxfId="7698" priority="1318">
      <formula>AND(IF($Q20=2,1,0),IF($X20&lt;30,1,0))</formula>
    </cfRule>
    <cfRule type="expression" dxfId="7697" priority="1319">
      <formula>AND(IF($Q20=3,1,0),IF($X20&lt;30,1,0))</formula>
    </cfRule>
    <cfRule type="expression" dxfId="7696" priority="1320">
      <formula>AND(IF($Q20=3,1,IF($Q20=4,1,0)),IF($F20&lt;=85,1,0))</formula>
    </cfRule>
  </conditionalFormatting>
  <conditionalFormatting sqref="AV21">
    <cfRule type="expression" dxfId="7695" priority="1315">
      <formula>AV21="X"</formula>
    </cfRule>
    <cfRule type="expression" dxfId="7694" priority="1316">
      <formula>AV21="후보"</formula>
    </cfRule>
  </conditionalFormatting>
  <conditionalFormatting sqref="AC21">
    <cfRule type="cellIs" dxfId="7693" priority="1312" operator="greaterThan">
      <formula>0.9</formula>
    </cfRule>
    <cfRule type="cellIs" dxfId="7692" priority="1313" operator="greaterThan">
      <formula>0.85</formula>
    </cfRule>
  </conditionalFormatting>
  <conditionalFormatting sqref="N21">
    <cfRule type="cellIs" dxfId="7691" priority="1310" operator="greaterThan">
      <formula>0.9</formula>
    </cfRule>
    <cfRule type="cellIs" dxfId="7690" priority="1311" operator="greaterThan">
      <formula>0.85</formula>
    </cfRule>
  </conditionalFormatting>
  <conditionalFormatting sqref="E21">
    <cfRule type="expression" dxfId="7689" priority="1306">
      <formula>AND(IF(OR($Q21=1,$Q21=2),1,0),IF($X21&lt;=20,1,0))</formula>
    </cfRule>
    <cfRule type="expression" dxfId="7688" priority="1307">
      <formula>AND(IF($Q21=2,1,0),IF($X21&lt;30,1,0))</formula>
    </cfRule>
    <cfRule type="expression" dxfId="7687" priority="1308">
      <formula>AND(IF($Q21=3,1,0),IF($X21&lt;30,1,0))</formula>
    </cfRule>
    <cfRule type="expression" dxfId="7686" priority="1309">
      <formula>AND(IF($Q21=3,1,IF($Q21=4,1,0)),IF($F21&lt;=85,1,0))</formula>
    </cfRule>
  </conditionalFormatting>
  <conditionalFormatting sqref="X21">
    <cfRule type="expression" dxfId="7685" priority="1302">
      <formula>AND(IF(OR($Q21=1,$Q21=2),1,0),IF($X21&lt;=20,1,0))</formula>
    </cfRule>
    <cfRule type="expression" dxfId="7684" priority="1303">
      <formula>AND(IF($Q21=2,1,0),IF($X21&lt;30,1,0))</formula>
    </cfRule>
    <cfRule type="expression" dxfId="7683" priority="1304">
      <formula>AND(IF($Q21=3,1,0),IF($X21&lt;30,1,0))</formula>
    </cfRule>
    <cfRule type="expression" dxfId="7682" priority="1305">
      <formula>AND(IF($Q21=3,1,IF($Q21=4,1,0)),IF($F21&lt;=85,1,0))</formula>
    </cfRule>
  </conditionalFormatting>
  <conditionalFormatting sqref="AI21">
    <cfRule type="expression" dxfId="7681" priority="1298">
      <formula>AND(IF(OR($Q21=1,$Q21=2),1,0),IF($X21&lt;=20,1,0))</formula>
    </cfRule>
    <cfRule type="expression" dxfId="7680" priority="1299">
      <formula>AND(IF($Q21=2,1,0),IF($X21&lt;30,1,0))</formula>
    </cfRule>
    <cfRule type="expression" dxfId="7679" priority="1300">
      <formula>AND(IF($Q21=3,1,0),IF($X21&lt;30,1,0))</formula>
    </cfRule>
    <cfRule type="expression" dxfId="7678" priority="1301">
      <formula>AND(IF($Q21=3,1,IF($Q21=4,1,0)),IF($F21&lt;=85,1,0))</formula>
    </cfRule>
  </conditionalFormatting>
  <conditionalFormatting sqref="AV22">
    <cfRule type="expression" dxfId="7677" priority="1296">
      <formula>AV22="X"</formula>
    </cfRule>
    <cfRule type="expression" dxfId="7676" priority="1297">
      <formula>AV22="후보"</formula>
    </cfRule>
  </conditionalFormatting>
  <conditionalFormatting sqref="AC22">
    <cfRule type="cellIs" dxfId="7675" priority="1293" operator="greaterThan">
      <formula>0.9</formula>
    </cfRule>
    <cfRule type="cellIs" dxfId="7674" priority="1294" operator="greaterThan">
      <formula>0.85</formula>
    </cfRule>
  </conditionalFormatting>
  <conditionalFormatting sqref="N22">
    <cfRule type="cellIs" dxfId="7673" priority="1291" operator="greaterThan">
      <formula>0.9</formula>
    </cfRule>
    <cfRule type="cellIs" dxfId="7672" priority="1292" operator="greaterThan">
      <formula>0.85</formula>
    </cfRule>
  </conditionalFormatting>
  <conditionalFormatting sqref="E22">
    <cfRule type="expression" dxfId="7671" priority="1287">
      <formula>AND(IF(OR($Q22=1,$Q22=2),1,0),IF($X22&lt;=20,1,0))</formula>
    </cfRule>
    <cfRule type="expression" dxfId="7670" priority="1288">
      <formula>AND(IF($Q22=2,1,0),IF($X22&lt;30,1,0))</formula>
    </cfRule>
    <cfRule type="expression" dxfId="7669" priority="1289">
      <formula>AND(IF($Q22=3,1,0),IF($X22&lt;30,1,0))</formula>
    </cfRule>
    <cfRule type="expression" dxfId="7668" priority="1290">
      <formula>AND(IF($Q22=3,1,IF($Q22=4,1,0)),IF($F22&lt;=85,1,0))</formula>
    </cfRule>
  </conditionalFormatting>
  <conditionalFormatting sqref="X22">
    <cfRule type="expression" dxfId="7667" priority="1283">
      <formula>AND(IF(OR($Q22=1,$Q22=2),1,0),IF($X22&lt;=20,1,0))</formula>
    </cfRule>
    <cfRule type="expression" dxfId="7666" priority="1284">
      <formula>AND(IF($Q22=2,1,0),IF($X22&lt;30,1,0))</formula>
    </cfRule>
    <cfRule type="expression" dxfId="7665" priority="1285">
      <formula>AND(IF($Q22=3,1,0),IF($X22&lt;30,1,0))</formula>
    </cfRule>
    <cfRule type="expression" dxfId="7664" priority="1286">
      <formula>AND(IF($Q22=3,1,IF($Q22=4,1,0)),IF($F22&lt;=85,1,0))</formula>
    </cfRule>
  </conditionalFormatting>
  <conditionalFormatting sqref="AI22">
    <cfRule type="expression" dxfId="7663" priority="1279">
      <formula>AND(IF(OR($Q22=1,$Q22=2),1,0),IF($X22&lt;=20,1,0))</formula>
    </cfRule>
    <cfRule type="expression" dxfId="7662" priority="1280">
      <formula>AND(IF($Q22=2,1,0),IF($X22&lt;30,1,0))</formula>
    </cfRule>
    <cfRule type="expression" dxfId="7661" priority="1281">
      <formula>AND(IF($Q22=3,1,0),IF($X22&lt;30,1,0))</formula>
    </cfRule>
    <cfRule type="expression" dxfId="7660" priority="1282">
      <formula>AND(IF($Q22=3,1,IF($Q22=4,1,0)),IF($F22&lt;=85,1,0))</formula>
    </cfRule>
  </conditionalFormatting>
  <conditionalFormatting sqref="AV23">
    <cfRule type="expression" dxfId="7659" priority="1277">
      <formula>AV23="X"</formula>
    </cfRule>
    <cfRule type="expression" dxfId="7658" priority="1278">
      <formula>AV23="후보"</formula>
    </cfRule>
  </conditionalFormatting>
  <conditionalFormatting sqref="AC23 N23">
    <cfRule type="cellIs" dxfId="7657" priority="1274" operator="greaterThan">
      <formula>0.9</formula>
    </cfRule>
    <cfRule type="cellIs" dxfId="7656" priority="1275" operator="greaterThan">
      <formula>0.85</formula>
    </cfRule>
  </conditionalFormatting>
  <conditionalFormatting sqref="AV24">
    <cfRule type="expression" dxfId="7655" priority="1272">
      <formula>AV24="X"</formula>
    </cfRule>
    <cfRule type="expression" dxfId="7654" priority="1273">
      <formula>AV24="후보"</formula>
    </cfRule>
  </conditionalFormatting>
  <conditionalFormatting sqref="AC24">
    <cfRule type="cellIs" dxfId="7653" priority="1269" operator="greaterThan">
      <formula>0.9</formula>
    </cfRule>
    <cfRule type="cellIs" dxfId="7652" priority="1270" operator="greaterThan">
      <formula>0.85</formula>
    </cfRule>
  </conditionalFormatting>
  <conditionalFormatting sqref="N24">
    <cfRule type="cellIs" dxfId="7651" priority="1267" operator="greaterThan">
      <formula>0.9</formula>
    </cfRule>
    <cfRule type="cellIs" dxfId="7650" priority="1268" operator="greaterThan">
      <formula>0.85</formula>
    </cfRule>
  </conditionalFormatting>
  <conditionalFormatting sqref="E24">
    <cfRule type="expression" dxfId="7649" priority="1263">
      <formula>AND(IF(OR($Q24=1,$Q24=2),1,0),IF($X24&lt;=20,1,0))</formula>
    </cfRule>
    <cfRule type="expression" dxfId="7648" priority="1264">
      <formula>AND(IF($Q24=2,1,0),IF($X24&lt;30,1,0))</formula>
    </cfRule>
    <cfRule type="expression" dxfId="7647" priority="1265">
      <formula>AND(IF($Q24=3,1,0),IF($X24&lt;30,1,0))</formula>
    </cfRule>
    <cfRule type="expression" dxfId="7646" priority="1266">
      <formula>AND(IF($Q24=3,1,IF($Q24=4,1,0)),IF($F24&lt;=85,1,0))</formula>
    </cfRule>
  </conditionalFormatting>
  <conditionalFormatting sqref="X24">
    <cfRule type="expression" dxfId="7645" priority="1259">
      <formula>AND(IF(OR($Q24=1,$Q24=2),1,0),IF($X24&lt;=20,1,0))</formula>
    </cfRule>
    <cfRule type="expression" dxfId="7644" priority="1260">
      <formula>AND(IF($Q24=2,1,0),IF($X24&lt;30,1,0))</formula>
    </cfRule>
    <cfRule type="expression" dxfId="7643" priority="1261">
      <formula>AND(IF($Q24=3,1,0),IF($X24&lt;30,1,0))</formula>
    </cfRule>
    <cfRule type="expression" dxfId="7642" priority="1262">
      <formula>AND(IF($Q24=3,1,IF($Q24=4,1,0)),IF($F24&lt;=85,1,0))</formula>
    </cfRule>
  </conditionalFormatting>
  <conditionalFormatting sqref="AI24">
    <cfRule type="expression" dxfId="7641" priority="1255">
      <formula>AND(IF(OR($Q24=1,$Q24=2),1,0),IF($X24&lt;=20,1,0))</formula>
    </cfRule>
    <cfRule type="expression" dxfId="7640" priority="1256">
      <formula>AND(IF($Q24=2,1,0),IF($X24&lt;30,1,0))</formula>
    </cfRule>
    <cfRule type="expression" dxfId="7639" priority="1257">
      <formula>AND(IF($Q24=3,1,0),IF($X24&lt;30,1,0))</formula>
    </cfRule>
    <cfRule type="expression" dxfId="7638" priority="1258">
      <formula>AND(IF($Q24=3,1,IF($Q24=4,1,0)),IF($F24&lt;=85,1,0))</formula>
    </cfRule>
  </conditionalFormatting>
  <conditionalFormatting sqref="AV25">
    <cfRule type="expression" dxfId="7637" priority="1253">
      <formula>AV25="X"</formula>
    </cfRule>
    <cfRule type="expression" dxfId="7636" priority="1254">
      <formula>AV25="후보"</formula>
    </cfRule>
  </conditionalFormatting>
  <conditionalFormatting sqref="AC25">
    <cfRule type="cellIs" dxfId="7635" priority="1250" operator="greaterThan">
      <formula>0.9</formula>
    </cfRule>
    <cfRule type="cellIs" dxfId="7634" priority="1251" operator="greaterThan">
      <formula>0.85</formula>
    </cfRule>
  </conditionalFormatting>
  <conditionalFormatting sqref="N25">
    <cfRule type="cellIs" dxfId="7633" priority="1248" operator="greaterThan">
      <formula>0.9</formula>
    </cfRule>
    <cfRule type="cellIs" dxfId="7632" priority="1249" operator="greaterThan">
      <formula>0.85</formula>
    </cfRule>
  </conditionalFormatting>
  <conditionalFormatting sqref="E25">
    <cfRule type="expression" dxfId="7631" priority="1244">
      <formula>AND(IF(OR($Q25=1,$Q25=2),1,0),IF($X25&lt;=20,1,0))</formula>
    </cfRule>
    <cfRule type="expression" dxfId="7630" priority="1245">
      <formula>AND(IF($Q25=2,1,0),IF($X25&lt;30,1,0))</formula>
    </cfRule>
    <cfRule type="expression" dxfId="7629" priority="1246">
      <formula>AND(IF($Q25=3,1,0),IF($X25&lt;30,1,0))</formula>
    </cfRule>
    <cfRule type="expression" dxfId="7628" priority="1247">
      <formula>AND(IF($Q25=3,1,IF($Q25=4,1,0)),IF($F25&lt;=85,1,0))</formula>
    </cfRule>
  </conditionalFormatting>
  <conditionalFormatting sqref="X25">
    <cfRule type="expression" dxfId="7627" priority="1240">
      <formula>AND(IF(OR($Q25=1,$Q25=2),1,0),IF($X25&lt;=20,1,0))</formula>
    </cfRule>
    <cfRule type="expression" dxfId="7626" priority="1241">
      <formula>AND(IF($Q25=2,1,0),IF($X25&lt;30,1,0))</formula>
    </cfRule>
    <cfRule type="expression" dxfId="7625" priority="1242">
      <formula>AND(IF($Q25=3,1,0),IF($X25&lt;30,1,0))</formula>
    </cfRule>
    <cfRule type="expression" dxfId="7624" priority="1243">
      <formula>AND(IF($Q25=3,1,IF($Q25=4,1,0)),IF($F25&lt;=85,1,0))</formula>
    </cfRule>
  </conditionalFormatting>
  <conditionalFormatting sqref="AI25">
    <cfRule type="expression" dxfId="7623" priority="1236">
      <formula>AND(IF(OR($Q25=1,$Q25=2),1,0),IF($X25&lt;=20,1,0))</formula>
    </cfRule>
    <cfRule type="expression" dxfId="7622" priority="1237">
      <formula>AND(IF($Q25=2,1,0),IF($X25&lt;30,1,0))</formula>
    </cfRule>
    <cfRule type="expression" dxfId="7621" priority="1238">
      <formula>AND(IF($Q25=3,1,0),IF($X25&lt;30,1,0))</formula>
    </cfRule>
    <cfRule type="expression" dxfId="7620" priority="1239">
      <formula>AND(IF($Q25=3,1,IF($Q25=4,1,0)),IF($F25&lt;=85,1,0))</formula>
    </cfRule>
  </conditionalFormatting>
  <conditionalFormatting sqref="AV26">
    <cfRule type="expression" dxfId="7619" priority="1234">
      <formula>AV26="X"</formula>
    </cfRule>
    <cfRule type="expression" dxfId="7618" priority="1235">
      <formula>AV26="후보"</formula>
    </cfRule>
  </conditionalFormatting>
  <conditionalFormatting sqref="AC26">
    <cfRule type="cellIs" dxfId="7617" priority="1231" operator="greaterThan">
      <formula>0.9</formula>
    </cfRule>
    <cfRule type="cellIs" dxfId="7616" priority="1232" operator="greaterThan">
      <formula>0.85</formula>
    </cfRule>
  </conditionalFormatting>
  <conditionalFormatting sqref="N26">
    <cfRule type="cellIs" dxfId="7615" priority="1229" operator="greaterThan">
      <formula>0.9</formula>
    </cfRule>
    <cfRule type="cellIs" dxfId="7614" priority="1230" operator="greaterThan">
      <formula>0.85</formula>
    </cfRule>
  </conditionalFormatting>
  <conditionalFormatting sqref="E26">
    <cfRule type="expression" dxfId="7613" priority="1225">
      <formula>AND(IF(OR($Q26=1,$Q26=2),1,0),IF($X26&lt;=20,1,0))</formula>
    </cfRule>
    <cfRule type="expression" dxfId="7612" priority="1226">
      <formula>AND(IF($Q26=2,1,0),IF($X26&lt;30,1,0))</formula>
    </cfRule>
    <cfRule type="expression" dxfId="7611" priority="1227">
      <formula>AND(IF($Q26=3,1,0),IF($X26&lt;30,1,0))</formula>
    </cfRule>
    <cfRule type="expression" dxfId="7610" priority="1228">
      <formula>AND(IF($Q26=3,1,IF($Q26=4,1,0)),IF($F26&lt;=85,1,0))</formula>
    </cfRule>
  </conditionalFormatting>
  <conditionalFormatting sqref="X26">
    <cfRule type="expression" dxfId="7609" priority="1221">
      <formula>AND(IF(OR($Q26=1,$Q26=2),1,0),IF($X26&lt;=20,1,0))</formula>
    </cfRule>
    <cfRule type="expression" dxfId="7608" priority="1222">
      <formula>AND(IF($Q26=2,1,0),IF($X26&lt;30,1,0))</formula>
    </cfRule>
    <cfRule type="expression" dxfId="7607" priority="1223">
      <formula>AND(IF($Q26=3,1,0),IF($X26&lt;30,1,0))</formula>
    </cfRule>
    <cfRule type="expression" dxfId="7606" priority="1224">
      <formula>AND(IF($Q26=3,1,IF($Q26=4,1,0)),IF($F26&lt;=85,1,0))</formula>
    </cfRule>
  </conditionalFormatting>
  <conditionalFormatting sqref="AI26">
    <cfRule type="expression" dxfId="7605" priority="1217">
      <formula>AND(IF(OR($Q26=1,$Q26=2),1,0),IF($X26&lt;=20,1,0))</formula>
    </cfRule>
    <cfRule type="expression" dxfId="7604" priority="1218">
      <formula>AND(IF($Q26=2,1,0),IF($X26&lt;30,1,0))</formula>
    </cfRule>
    <cfRule type="expression" dxfId="7603" priority="1219">
      <formula>AND(IF($Q26=3,1,0),IF($X26&lt;30,1,0))</formula>
    </cfRule>
    <cfRule type="expression" dxfId="7602" priority="1220">
      <formula>AND(IF($Q26=3,1,IF($Q26=4,1,0)),IF($F26&lt;=85,1,0))</formula>
    </cfRule>
  </conditionalFormatting>
  <conditionalFormatting sqref="AV27">
    <cfRule type="expression" dxfId="7601" priority="1215">
      <formula>AV27="X"</formula>
    </cfRule>
    <cfRule type="expression" dxfId="7600" priority="1216">
      <formula>AV27="후보"</formula>
    </cfRule>
  </conditionalFormatting>
  <conditionalFormatting sqref="AC27 N27">
    <cfRule type="cellIs" dxfId="7599" priority="1212" operator="greaterThan">
      <formula>0.9</formula>
    </cfRule>
    <cfRule type="cellIs" dxfId="7598" priority="1213" operator="greaterThan">
      <formula>0.85</formula>
    </cfRule>
  </conditionalFormatting>
  <conditionalFormatting sqref="AV28">
    <cfRule type="expression" dxfId="7597" priority="1210">
      <formula>AV28="X"</formula>
    </cfRule>
    <cfRule type="expression" dxfId="7596" priority="1211">
      <formula>AV28="후보"</formula>
    </cfRule>
  </conditionalFormatting>
  <conditionalFormatting sqref="AC28">
    <cfRule type="cellIs" dxfId="7595" priority="1207" operator="greaterThan">
      <formula>0.9</formula>
    </cfRule>
    <cfRule type="cellIs" dxfId="7594" priority="1208" operator="greaterThan">
      <formula>0.85</formula>
    </cfRule>
  </conditionalFormatting>
  <conditionalFormatting sqref="N28">
    <cfRule type="cellIs" dxfId="7593" priority="1205" operator="greaterThan">
      <formula>0.9</formula>
    </cfRule>
    <cfRule type="cellIs" dxfId="7592" priority="1206" operator="greaterThan">
      <formula>0.85</formula>
    </cfRule>
  </conditionalFormatting>
  <conditionalFormatting sqref="E28">
    <cfRule type="expression" dxfId="7591" priority="1201">
      <formula>AND(IF(OR($Q28=1,$Q28=2),1,0),IF($X28&lt;=20,1,0))</formula>
    </cfRule>
    <cfRule type="expression" dxfId="7590" priority="1202">
      <formula>AND(IF($Q28=2,1,0),IF($X28&lt;30,1,0))</formula>
    </cfRule>
    <cfRule type="expression" dxfId="7589" priority="1203">
      <formula>AND(IF($Q28=3,1,0),IF($X28&lt;30,1,0))</formula>
    </cfRule>
    <cfRule type="expression" dxfId="7588" priority="1204">
      <formula>AND(IF($Q28=3,1,IF($Q28=4,1,0)),IF($F28&lt;=85,1,0))</formula>
    </cfRule>
  </conditionalFormatting>
  <conditionalFormatting sqref="X28">
    <cfRule type="expression" dxfId="7587" priority="1197">
      <formula>AND(IF(OR($Q28=1,$Q28=2),1,0),IF($X28&lt;=20,1,0))</formula>
    </cfRule>
    <cfRule type="expression" dxfId="7586" priority="1198">
      <formula>AND(IF($Q28=2,1,0),IF($X28&lt;30,1,0))</formula>
    </cfRule>
    <cfRule type="expression" dxfId="7585" priority="1199">
      <formula>AND(IF($Q28=3,1,0),IF($X28&lt;30,1,0))</formula>
    </cfRule>
    <cfRule type="expression" dxfId="7584" priority="1200">
      <formula>AND(IF($Q28=3,1,IF($Q28=4,1,0)),IF($F28&lt;=85,1,0))</formula>
    </cfRule>
  </conditionalFormatting>
  <conditionalFormatting sqref="AI28">
    <cfRule type="expression" dxfId="7583" priority="1193">
      <formula>AND(IF(OR($Q28=1,$Q28=2),1,0),IF($X28&lt;=20,1,0))</formula>
    </cfRule>
    <cfRule type="expression" dxfId="7582" priority="1194">
      <formula>AND(IF($Q28=2,1,0),IF($X28&lt;30,1,0))</formula>
    </cfRule>
    <cfRule type="expression" dxfId="7581" priority="1195">
      <formula>AND(IF($Q28=3,1,0),IF($X28&lt;30,1,0))</formula>
    </cfRule>
    <cfRule type="expression" dxfId="7580" priority="1196">
      <formula>AND(IF($Q28=3,1,IF($Q28=4,1,0)),IF($F28&lt;=85,1,0))</formula>
    </cfRule>
  </conditionalFormatting>
  <conditionalFormatting sqref="AV29">
    <cfRule type="expression" dxfId="7579" priority="1191">
      <formula>AV29="X"</formula>
    </cfRule>
    <cfRule type="expression" dxfId="7578" priority="1192">
      <formula>AV29="후보"</formula>
    </cfRule>
  </conditionalFormatting>
  <conditionalFormatting sqref="AC29">
    <cfRule type="cellIs" dxfId="7577" priority="1188" operator="greaterThan">
      <formula>0.9</formula>
    </cfRule>
    <cfRule type="cellIs" dxfId="7576" priority="1189" operator="greaterThan">
      <formula>0.85</formula>
    </cfRule>
  </conditionalFormatting>
  <conditionalFormatting sqref="N29">
    <cfRule type="cellIs" dxfId="7575" priority="1186" operator="greaterThan">
      <formula>0.9</formula>
    </cfRule>
    <cfRule type="cellIs" dxfId="7574" priority="1187" operator="greaterThan">
      <formula>0.85</formula>
    </cfRule>
  </conditionalFormatting>
  <conditionalFormatting sqref="E29">
    <cfRule type="expression" dxfId="7573" priority="1182">
      <formula>AND(IF(OR($Q29=1,$Q29=2),1,0),IF($X29&lt;=20,1,0))</formula>
    </cfRule>
    <cfRule type="expression" dxfId="7572" priority="1183">
      <formula>AND(IF($Q29=2,1,0),IF($X29&lt;30,1,0))</formula>
    </cfRule>
    <cfRule type="expression" dxfId="7571" priority="1184">
      <formula>AND(IF($Q29=3,1,0),IF($X29&lt;30,1,0))</formula>
    </cfRule>
    <cfRule type="expression" dxfId="7570" priority="1185">
      <formula>AND(IF($Q29=3,1,IF($Q29=4,1,0)),IF($F29&lt;=85,1,0))</formula>
    </cfRule>
  </conditionalFormatting>
  <conditionalFormatting sqref="X29">
    <cfRule type="expression" dxfId="7569" priority="1178">
      <formula>AND(IF(OR($Q29=1,$Q29=2),1,0),IF($X29&lt;=20,1,0))</formula>
    </cfRule>
    <cfRule type="expression" dxfId="7568" priority="1179">
      <formula>AND(IF($Q29=2,1,0),IF($X29&lt;30,1,0))</formula>
    </cfRule>
    <cfRule type="expression" dxfId="7567" priority="1180">
      <formula>AND(IF($Q29=3,1,0),IF($X29&lt;30,1,0))</formula>
    </cfRule>
    <cfRule type="expression" dxfId="7566" priority="1181">
      <formula>AND(IF($Q29=3,1,IF($Q29=4,1,0)),IF($F29&lt;=85,1,0))</formula>
    </cfRule>
  </conditionalFormatting>
  <conditionalFormatting sqref="AI29">
    <cfRule type="expression" dxfId="7565" priority="1174">
      <formula>AND(IF(OR($Q29=1,$Q29=2),1,0),IF($X29&lt;=20,1,0))</formula>
    </cfRule>
    <cfRule type="expression" dxfId="7564" priority="1175">
      <formula>AND(IF($Q29=2,1,0),IF($X29&lt;30,1,0))</formula>
    </cfRule>
    <cfRule type="expression" dxfId="7563" priority="1176">
      <formula>AND(IF($Q29=3,1,0),IF($X29&lt;30,1,0))</formula>
    </cfRule>
    <cfRule type="expression" dxfId="7562" priority="1177">
      <formula>AND(IF($Q29=3,1,IF($Q29=4,1,0)),IF($F29&lt;=85,1,0))</formula>
    </cfRule>
  </conditionalFormatting>
  <conditionalFormatting sqref="AV30">
    <cfRule type="expression" dxfId="7561" priority="1172">
      <formula>AV30="X"</formula>
    </cfRule>
    <cfRule type="expression" dxfId="7560" priority="1173">
      <formula>AV30="후보"</formula>
    </cfRule>
  </conditionalFormatting>
  <conditionalFormatting sqref="AC30">
    <cfRule type="cellIs" dxfId="7559" priority="1169" operator="greaterThan">
      <formula>0.9</formula>
    </cfRule>
    <cfRule type="cellIs" dxfId="7558" priority="1170" operator="greaterThan">
      <formula>0.85</formula>
    </cfRule>
  </conditionalFormatting>
  <conditionalFormatting sqref="N30">
    <cfRule type="cellIs" dxfId="7557" priority="1167" operator="greaterThan">
      <formula>0.9</formula>
    </cfRule>
    <cfRule type="cellIs" dxfId="7556" priority="1168" operator="greaterThan">
      <formula>0.85</formula>
    </cfRule>
  </conditionalFormatting>
  <conditionalFormatting sqref="E30">
    <cfRule type="expression" dxfId="7555" priority="1163">
      <formula>AND(IF(OR($Q30=1,$Q30=2),1,0),IF($X30&lt;=20,1,0))</formula>
    </cfRule>
    <cfRule type="expression" dxfId="7554" priority="1164">
      <formula>AND(IF($Q30=2,1,0),IF($X30&lt;30,1,0))</formula>
    </cfRule>
    <cfRule type="expression" dxfId="7553" priority="1165">
      <formula>AND(IF($Q30=3,1,0),IF($X30&lt;30,1,0))</formula>
    </cfRule>
    <cfRule type="expression" dxfId="7552" priority="1166">
      <formula>AND(IF($Q30=3,1,IF($Q30=4,1,0)),IF($F30&lt;=85,1,0))</formula>
    </cfRule>
  </conditionalFormatting>
  <conditionalFormatting sqref="X30">
    <cfRule type="expression" dxfId="7551" priority="1159">
      <formula>AND(IF(OR($Q30=1,$Q30=2),1,0),IF($X30&lt;=20,1,0))</formula>
    </cfRule>
    <cfRule type="expression" dxfId="7550" priority="1160">
      <formula>AND(IF($Q30=2,1,0),IF($X30&lt;30,1,0))</formula>
    </cfRule>
    <cfRule type="expression" dxfId="7549" priority="1161">
      <formula>AND(IF($Q30=3,1,0),IF($X30&lt;30,1,0))</formula>
    </cfRule>
    <cfRule type="expression" dxfId="7548" priority="1162">
      <formula>AND(IF($Q30=3,1,IF($Q30=4,1,0)),IF($F30&lt;=85,1,0))</formula>
    </cfRule>
  </conditionalFormatting>
  <conditionalFormatting sqref="AI30">
    <cfRule type="expression" dxfId="7547" priority="1155">
      <formula>AND(IF(OR($Q30=1,$Q30=2),1,0),IF($X30&lt;=20,1,0))</formula>
    </cfRule>
    <cfRule type="expression" dxfId="7546" priority="1156">
      <formula>AND(IF($Q30=2,1,0),IF($X30&lt;30,1,0))</formula>
    </cfRule>
    <cfRule type="expression" dxfId="7545" priority="1157">
      <formula>AND(IF($Q30=3,1,0),IF($X30&lt;30,1,0))</formula>
    </cfRule>
    <cfRule type="expression" dxfId="7544" priority="1158">
      <formula>AND(IF($Q30=3,1,IF($Q30=4,1,0)),IF($F30&lt;=85,1,0))</formula>
    </cfRule>
  </conditionalFormatting>
  <conditionalFormatting sqref="AV31">
    <cfRule type="expression" dxfId="7543" priority="1153">
      <formula>AV31="X"</formula>
    </cfRule>
    <cfRule type="expression" dxfId="7542" priority="1154">
      <formula>AV31="후보"</formula>
    </cfRule>
  </conditionalFormatting>
  <conditionalFormatting sqref="AC31">
    <cfRule type="cellIs" dxfId="7541" priority="1150" operator="greaterThan">
      <formula>0.9</formula>
    </cfRule>
    <cfRule type="cellIs" dxfId="7540" priority="1151" operator="greaterThan">
      <formula>0.85</formula>
    </cfRule>
  </conditionalFormatting>
  <conditionalFormatting sqref="N31">
    <cfRule type="cellIs" dxfId="7539" priority="1148" operator="greaterThan">
      <formula>0.9</formula>
    </cfRule>
    <cfRule type="cellIs" dxfId="7538" priority="1149" operator="greaterThan">
      <formula>0.85</formula>
    </cfRule>
  </conditionalFormatting>
  <conditionalFormatting sqref="E31">
    <cfRule type="expression" dxfId="7537" priority="1144">
      <formula>AND(IF(OR($Q31=1,$Q31=2),1,0),IF($X31&lt;=20,1,0))</formula>
    </cfRule>
    <cfRule type="expression" dxfId="7536" priority="1145">
      <formula>AND(IF($Q31=2,1,0),IF($X31&lt;30,1,0))</formula>
    </cfRule>
    <cfRule type="expression" dxfId="7535" priority="1146">
      <formula>AND(IF($Q31=3,1,0),IF($X31&lt;30,1,0))</formula>
    </cfRule>
    <cfRule type="expression" dxfId="7534" priority="1147">
      <formula>AND(IF($Q31=3,1,IF($Q31=4,1,0)),IF($F31&lt;=85,1,0))</formula>
    </cfRule>
  </conditionalFormatting>
  <conditionalFormatting sqref="X31">
    <cfRule type="expression" dxfId="7533" priority="1140">
      <formula>AND(IF(OR($Q31=1,$Q31=2),1,0),IF($X31&lt;=20,1,0))</formula>
    </cfRule>
    <cfRule type="expression" dxfId="7532" priority="1141">
      <formula>AND(IF($Q31=2,1,0),IF($X31&lt;30,1,0))</formula>
    </cfRule>
    <cfRule type="expression" dxfId="7531" priority="1142">
      <formula>AND(IF($Q31=3,1,0),IF($X31&lt;30,1,0))</formula>
    </cfRule>
    <cfRule type="expression" dxfId="7530" priority="1143">
      <formula>AND(IF($Q31=3,1,IF($Q31=4,1,0)),IF($F31&lt;=85,1,0))</formula>
    </cfRule>
  </conditionalFormatting>
  <conditionalFormatting sqref="AI31">
    <cfRule type="expression" dxfId="7529" priority="1136">
      <formula>AND(IF(OR($Q31=1,$Q31=2),1,0),IF($X31&lt;=20,1,0))</formula>
    </cfRule>
    <cfRule type="expression" dxfId="7528" priority="1137">
      <formula>AND(IF($Q31=2,1,0),IF($X31&lt;30,1,0))</formula>
    </cfRule>
    <cfRule type="expression" dxfId="7527" priority="1138">
      <formula>AND(IF($Q31=3,1,0),IF($X31&lt;30,1,0))</formula>
    </cfRule>
    <cfRule type="expression" dxfId="7526" priority="1139">
      <formula>AND(IF($Q31=3,1,IF($Q31=4,1,0)),IF($F31&lt;=85,1,0))</formula>
    </cfRule>
  </conditionalFormatting>
  <conditionalFormatting sqref="AV32">
    <cfRule type="expression" dxfId="7525" priority="1134">
      <formula>AV32="X"</formula>
    </cfRule>
    <cfRule type="expression" dxfId="7524" priority="1135">
      <formula>AV32="후보"</formula>
    </cfRule>
  </conditionalFormatting>
  <conditionalFormatting sqref="AC32">
    <cfRule type="cellIs" dxfId="7523" priority="1131" operator="greaterThan">
      <formula>0.9</formula>
    </cfRule>
    <cfRule type="cellIs" dxfId="7522" priority="1132" operator="greaterThan">
      <formula>0.85</formula>
    </cfRule>
  </conditionalFormatting>
  <conditionalFormatting sqref="N32">
    <cfRule type="cellIs" dxfId="7521" priority="1129" operator="greaterThan">
      <formula>0.9</formula>
    </cfRule>
    <cfRule type="cellIs" dxfId="7520" priority="1130" operator="greaterThan">
      <formula>0.85</formula>
    </cfRule>
  </conditionalFormatting>
  <conditionalFormatting sqref="E32">
    <cfRule type="expression" dxfId="7519" priority="1125">
      <formula>AND(IF(OR($Q32=1,$Q32=2),1,0),IF($X32&lt;=20,1,0))</formula>
    </cfRule>
    <cfRule type="expression" dxfId="7518" priority="1126">
      <formula>AND(IF($Q32=2,1,0),IF($X32&lt;30,1,0))</formula>
    </cfRule>
    <cfRule type="expression" dxfId="7517" priority="1127">
      <formula>AND(IF($Q32=3,1,0),IF($X32&lt;30,1,0))</formula>
    </cfRule>
    <cfRule type="expression" dxfId="7516" priority="1128">
      <formula>AND(IF($Q32=3,1,IF($Q32=4,1,0)),IF($F32&lt;=85,1,0))</formula>
    </cfRule>
  </conditionalFormatting>
  <conditionalFormatting sqref="X32">
    <cfRule type="expression" dxfId="7515" priority="1121">
      <formula>AND(IF(OR($Q32=1,$Q32=2),1,0),IF($X32&lt;=20,1,0))</formula>
    </cfRule>
    <cfRule type="expression" dxfId="7514" priority="1122">
      <formula>AND(IF($Q32=2,1,0),IF($X32&lt;30,1,0))</formula>
    </cfRule>
    <cfRule type="expression" dxfId="7513" priority="1123">
      <formula>AND(IF($Q32=3,1,0),IF($X32&lt;30,1,0))</formula>
    </cfRule>
    <cfRule type="expression" dxfId="7512" priority="1124">
      <formula>AND(IF($Q32=3,1,IF($Q32=4,1,0)),IF($F32&lt;=85,1,0))</formula>
    </cfRule>
  </conditionalFormatting>
  <conditionalFormatting sqref="AI32">
    <cfRule type="expression" dxfId="7511" priority="1117">
      <formula>AND(IF(OR($Q32=1,$Q32=2),1,0),IF($X32&lt;=20,1,0))</formula>
    </cfRule>
    <cfRule type="expression" dxfId="7510" priority="1118">
      <formula>AND(IF($Q32=2,1,0),IF($X32&lt;30,1,0))</formula>
    </cfRule>
    <cfRule type="expression" dxfId="7509" priority="1119">
      <formula>AND(IF($Q32=3,1,0),IF($X32&lt;30,1,0))</formula>
    </cfRule>
    <cfRule type="expression" dxfId="7508" priority="1120">
      <formula>AND(IF($Q32=3,1,IF($Q32=4,1,0)),IF($F32&lt;=85,1,0))</formula>
    </cfRule>
  </conditionalFormatting>
  <conditionalFormatting sqref="AV33">
    <cfRule type="expression" dxfId="7507" priority="1115">
      <formula>AV33="X"</formula>
    </cfRule>
    <cfRule type="expression" dxfId="7506" priority="1116">
      <formula>AV33="후보"</formula>
    </cfRule>
  </conditionalFormatting>
  <conditionalFormatting sqref="AC33 N33">
    <cfRule type="cellIs" dxfId="7505" priority="1112" operator="greaterThan">
      <formula>0.9</formula>
    </cfRule>
    <cfRule type="cellIs" dxfId="7504" priority="1113" operator="greaterThan">
      <formula>0.85</formula>
    </cfRule>
  </conditionalFormatting>
  <conditionalFormatting sqref="AV34">
    <cfRule type="expression" dxfId="7503" priority="1110">
      <formula>AV34="X"</formula>
    </cfRule>
    <cfRule type="expression" dxfId="7502" priority="1111">
      <formula>AV34="후보"</formula>
    </cfRule>
  </conditionalFormatting>
  <conditionalFormatting sqref="AC34">
    <cfRule type="cellIs" dxfId="7501" priority="1107" operator="greaterThan">
      <formula>0.9</formula>
    </cfRule>
    <cfRule type="cellIs" dxfId="7500" priority="1108" operator="greaterThan">
      <formula>0.85</formula>
    </cfRule>
  </conditionalFormatting>
  <conditionalFormatting sqref="N34">
    <cfRule type="cellIs" dxfId="7499" priority="1105" operator="greaterThan">
      <formula>0.9</formula>
    </cfRule>
    <cfRule type="cellIs" dxfId="7498" priority="1106" operator="greaterThan">
      <formula>0.85</formula>
    </cfRule>
  </conditionalFormatting>
  <conditionalFormatting sqref="E34">
    <cfRule type="expression" dxfId="7497" priority="1101">
      <formula>AND(IF(OR($Q34=1,$Q34=2),1,0),IF($X34&lt;=20,1,0))</formula>
    </cfRule>
    <cfRule type="expression" dxfId="7496" priority="1102">
      <formula>AND(IF($Q34=2,1,0),IF($X34&lt;30,1,0))</formula>
    </cfRule>
    <cfRule type="expression" dxfId="7495" priority="1103">
      <formula>AND(IF($Q34=3,1,0),IF($X34&lt;30,1,0))</formula>
    </cfRule>
    <cfRule type="expression" dxfId="7494" priority="1104">
      <formula>AND(IF($Q34=3,1,IF($Q34=4,1,0)),IF($F34&lt;=85,1,0))</formula>
    </cfRule>
  </conditionalFormatting>
  <conditionalFormatting sqref="X34">
    <cfRule type="expression" dxfId="7493" priority="1097">
      <formula>AND(IF(OR($Q34=1,$Q34=2),1,0),IF($X34&lt;=20,1,0))</formula>
    </cfRule>
    <cfRule type="expression" dxfId="7492" priority="1098">
      <formula>AND(IF($Q34=2,1,0),IF($X34&lt;30,1,0))</formula>
    </cfRule>
    <cfRule type="expression" dxfId="7491" priority="1099">
      <formula>AND(IF($Q34=3,1,0),IF($X34&lt;30,1,0))</formula>
    </cfRule>
    <cfRule type="expression" dxfId="7490" priority="1100">
      <formula>AND(IF($Q34=3,1,IF($Q34=4,1,0)),IF($F34&lt;=85,1,0))</formula>
    </cfRule>
  </conditionalFormatting>
  <conditionalFormatting sqref="AI34">
    <cfRule type="expression" dxfId="7489" priority="1093">
      <formula>AND(IF(OR($Q34=1,$Q34=2),1,0),IF($X34&lt;=20,1,0))</formula>
    </cfRule>
    <cfRule type="expression" dxfId="7488" priority="1094">
      <formula>AND(IF($Q34=2,1,0),IF($X34&lt;30,1,0))</formula>
    </cfRule>
    <cfRule type="expression" dxfId="7487" priority="1095">
      <formula>AND(IF($Q34=3,1,0),IF($X34&lt;30,1,0))</formula>
    </cfRule>
    <cfRule type="expression" dxfId="7486" priority="1096">
      <formula>AND(IF($Q34=3,1,IF($Q34=4,1,0)),IF($F34&lt;=85,1,0))</formula>
    </cfRule>
  </conditionalFormatting>
  <conditionalFormatting sqref="AV35">
    <cfRule type="expression" dxfId="7485" priority="1091">
      <formula>AV35="X"</formula>
    </cfRule>
    <cfRule type="expression" dxfId="7484" priority="1092">
      <formula>AV35="후보"</formula>
    </cfRule>
  </conditionalFormatting>
  <conditionalFormatting sqref="AC35">
    <cfRule type="cellIs" dxfId="7483" priority="1088" operator="greaterThan">
      <formula>0.9</formula>
    </cfRule>
    <cfRule type="cellIs" dxfId="7482" priority="1089" operator="greaterThan">
      <formula>0.85</formula>
    </cfRule>
  </conditionalFormatting>
  <conditionalFormatting sqref="N35">
    <cfRule type="cellIs" dxfId="7481" priority="1086" operator="greaterThan">
      <formula>0.9</formula>
    </cfRule>
    <cfRule type="cellIs" dxfId="7480" priority="1087" operator="greaterThan">
      <formula>0.85</formula>
    </cfRule>
  </conditionalFormatting>
  <conditionalFormatting sqref="E35">
    <cfRule type="expression" dxfId="7479" priority="1082">
      <formula>AND(IF(OR($Q35=1,$Q35=2),1,0),IF($X35&lt;=20,1,0))</formula>
    </cfRule>
    <cfRule type="expression" dxfId="7478" priority="1083">
      <formula>AND(IF($Q35=2,1,0),IF($X35&lt;30,1,0))</formula>
    </cfRule>
    <cfRule type="expression" dxfId="7477" priority="1084">
      <formula>AND(IF($Q35=3,1,0),IF($X35&lt;30,1,0))</formula>
    </cfRule>
    <cfRule type="expression" dxfId="7476" priority="1085">
      <formula>AND(IF($Q35=3,1,IF($Q35=4,1,0)),IF($F35&lt;=85,1,0))</formula>
    </cfRule>
  </conditionalFormatting>
  <conditionalFormatting sqref="X35">
    <cfRule type="expression" dxfId="7475" priority="1078">
      <formula>AND(IF(OR($Q35=1,$Q35=2),1,0),IF($X35&lt;=20,1,0))</formula>
    </cfRule>
    <cfRule type="expression" dxfId="7474" priority="1079">
      <formula>AND(IF($Q35=2,1,0),IF($X35&lt;30,1,0))</formula>
    </cfRule>
    <cfRule type="expression" dxfId="7473" priority="1080">
      <formula>AND(IF($Q35=3,1,0),IF($X35&lt;30,1,0))</formula>
    </cfRule>
    <cfRule type="expression" dxfId="7472" priority="1081">
      <formula>AND(IF($Q35=3,1,IF($Q35=4,1,0)),IF($F35&lt;=85,1,0))</formula>
    </cfRule>
  </conditionalFormatting>
  <conditionalFormatting sqref="AI35">
    <cfRule type="expression" dxfId="7471" priority="1074">
      <formula>AND(IF(OR($Q35=1,$Q35=2),1,0),IF($X35&lt;=20,1,0))</formula>
    </cfRule>
    <cfRule type="expression" dxfId="7470" priority="1075">
      <formula>AND(IF($Q35=2,1,0),IF($X35&lt;30,1,0))</formula>
    </cfRule>
    <cfRule type="expression" dxfId="7469" priority="1076">
      <formula>AND(IF($Q35=3,1,0),IF($X35&lt;30,1,0))</formula>
    </cfRule>
    <cfRule type="expression" dxfId="7468" priority="1077">
      <formula>AND(IF($Q35=3,1,IF($Q35=4,1,0)),IF($F35&lt;=85,1,0))</formula>
    </cfRule>
  </conditionalFormatting>
  <conditionalFormatting sqref="AV36">
    <cfRule type="expression" dxfId="7467" priority="1072">
      <formula>AV36="X"</formula>
    </cfRule>
    <cfRule type="expression" dxfId="7466" priority="1073">
      <formula>AV36="후보"</formula>
    </cfRule>
  </conditionalFormatting>
  <conditionalFormatting sqref="AC36">
    <cfRule type="cellIs" dxfId="7465" priority="1069" operator="greaterThan">
      <formula>0.9</formula>
    </cfRule>
    <cfRule type="cellIs" dxfId="7464" priority="1070" operator="greaterThan">
      <formula>0.85</formula>
    </cfRule>
  </conditionalFormatting>
  <conditionalFormatting sqref="N36">
    <cfRule type="cellIs" dxfId="7463" priority="1067" operator="greaterThan">
      <formula>0.9</formula>
    </cfRule>
    <cfRule type="cellIs" dxfId="7462" priority="1068" operator="greaterThan">
      <formula>0.85</formula>
    </cfRule>
  </conditionalFormatting>
  <conditionalFormatting sqref="E36">
    <cfRule type="expression" dxfId="7461" priority="1063">
      <formula>AND(IF(OR($Q36=1,$Q36=2),1,0),IF($X36&lt;=20,1,0))</formula>
    </cfRule>
    <cfRule type="expression" dxfId="7460" priority="1064">
      <formula>AND(IF($Q36=2,1,0),IF($X36&lt;30,1,0))</formula>
    </cfRule>
    <cfRule type="expression" dxfId="7459" priority="1065">
      <formula>AND(IF($Q36=3,1,0),IF($X36&lt;30,1,0))</formula>
    </cfRule>
    <cfRule type="expression" dxfId="7458" priority="1066">
      <formula>AND(IF($Q36=3,1,IF($Q36=4,1,0)),IF($F36&lt;=85,1,0))</formula>
    </cfRule>
  </conditionalFormatting>
  <conditionalFormatting sqref="X36">
    <cfRule type="expression" dxfId="7457" priority="1059">
      <formula>AND(IF(OR($Q36=1,$Q36=2),1,0),IF($X36&lt;=20,1,0))</formula>
    </cfRule>
    <cfRule type="expression" dxfId="7456" priority="1060">
      <formula>AND(IF($Q36=2,1,0),IF($X36&lt;30,1,0))</formula>
    </cfRule>
    <cfRule type="expression" dxfId="7455" priority="1061">
      <formula>AND(IF($Q36=3,1,0),IF($X36&lt;30,1,0))</formula>
    </cfRule>
    <cfRule type="expression" dxfId="7454" priority="1062">
      <formula>AND(IF($Q36=3,1,IF($Q36=4,1,0)),IF($F36&lt;=85,1,0))</formula>
    </cfRule>
  </conditionalFormatting>
  <conditionalFormatting sqref="AI36">
    <cfRule type="expression" dxfId="7453" priority="1055">
      <formula>AND(IF(OR($Q36=1,$Q36=2),1,0),IF($X36&lt;=20,1,0))</formula>
    </cfRule>
    <cfRule type="expression" dxfId="7452" priority="1056">
      <formula>AND(IF($Q36=2,1,0),IF($X36&lt;30,1,0))</formula>
    </cfRule>
    <cfRule type="expression" dxfId="7451" priority="1057">
      <formula>AND(IF($Q36=3,1,0),IF($X36&lt;30,1,0))</formula>
    </cfRule>
    <cfRule type="expression" dxfId="7450" priority="1058">
      <formula>AND(IF($Q36=3,1,IF($Q36=4,1,0)),IF($F36&lt;=85,1,0))</formula>
    </cfRule>
  </conditionalFormatting>
  <conditionalFormatting sqref="AV37">
    <cfRule type="expression" dxfId="7449" priority="1053">
      <formula>AV37="X"</formula>
    </cfRule>
    <cfRule type="expression" dxfId="7448" priority="1054">
      <formula>AV37="후보"</formula>
    </cfRule>
  </conditionalFormatting>
  <conditionalFormatting sqref="AC37">
    <cfRule type="cellIs" dxfId="7447" priority="1050" operator="greaterThan">
      <formula>0.9</formula>
    </cfRule>
    <cfRule type="cellIs" dxfId="7446" priority="1051" operator="greaterThan">
      <formula>0.85</formula>
    </cfRule>
  </conditionalFormatting>
  <conditionalFormatting sqref="N37">
    <cfRule type="cellIs" dxfId="7445" priority="1048" operator="greaterThan">
      <formula>0.9</formula>
    </cfRule>
    <cfRule type="cellIs" dxfId="7444" priority="1049" operator="greaterThan">
      <formula>0.85</formula>
    </cfRule>
  </conditionalFormatting>
  <conditionalFormatting sqref="E37">
    <cfRule type="expression" dxfId="7443" priority="1044">
      <formula>AND(IF(OR($Q37=1,$Q37=2),1,0),IF($X37&lt;=20,1,0))</formula>
    </cfRule>
    <cfRule type="expression" dxfId="7442" priority="1045">
      <formula>AND(IF($Q37=2,1,0),IF($X37&lt;30,1,0))</formula>
    </cfRule>
    <cfRule type="expression" dxfId="7441" priority="1046">
      <formula>AND(IF($Q37=3,1,0),IF($X37&lt;30,1,0))</formula>
    </cfRule>
    <cfRule type="expression" dxfId="7440" priority="1047">
      <formula>AND(IF($Q37=3,1,IF($Q37=4,1,0)),IF($F37&lt;=85,1,0))</formula>
    </cfRule>
  </conditionalFormatting>
  <conditionalFormatting sqref="X37">
    <cfRule type="expression" dxfId="7439" priority="1040">
      <formula>AND(IF(OR($Q37=1,$Q37=2),1,0),IF($X37&lt;=20,1,0))</formula>
    </cfRule>
    <cfRule type="expression" dxfId="7438" priority="1041">
      <formula>AND(IF($Q37=2,1,0),IF($X37&lt;30,1,0))</formula>
    </cfRule>
    <cfRule type="expression" dxfId="7437" priority="1042">
      <formula>AND(IF($Q37=3,1,0),IF($X37&lt;30,1,0))</formula>
    </cfRule>
    <cfRule type="expression" dxfId="7436" priority="1043">
      <formula>AND(IF($Q37=3,1,IF($Q37=4,1,0)),IF($F37&lt;=85,1,0))</formula>
    </cfRule>
  </conditionalFormatting>
  <conditionalFormatting sqref="AI37">
    <cfRule type="expression" dxfId="7435" priority="1036">
      <formula>AND(IF(OR($Q37=1,$Q37=2),1,0),IF($X37&lt;=20,1,0))</formula>
    </cfRule>
    <cfRule type="expression" dxfId="7434" priority="1037">
      <formula>AND(IF($Q37=2,1,0),IF($X37&lt;30,1,0))</formula>
    </cfRule>
    <cfRule type="expression" dxfId="7433" priority="1038">
      <formula>AND(IF($Q37=3,1,0),IF($X37&lt;30,1,0))</formula>
    </cfRule>
    <cfRule type="expression" dxfId="7432" priority="1039">
      <formula>AND(IF($Q37=3,1,IF($Q37=4,1,0)),IF($F37&lt;=85,1,0))</formula>
    </cfRule>
  </conditionalFormatting>
  <conditionalFormatting sqref="AV38">
    <cfRule type="expression" dxfId="7431" priority="1034">
      <formula>AV38="X"</formula>
    </cfRule>
    <cfRule type="expression" dxfId="7430" priority="1035">
      <formula>AV38="후보"</formula>
    </cfRule>
  </conditionalFormatting>
  <conditionalFormatting sqref="AC38 N38">
    <cfRule type="cellIs" dxfId="7429" priority="1031" operator="greaterThan">
      <formula>0.9</formula>
    </cfRule>
    <cfRule type="cellIs" dxfId="7428" priority="1032" operator="greaterThan">
      <formula>0.85</formula>
    </cfRule>
  </conditionalFormatting>
  <conditionalFormatting sqref="AV39">
    <cfRule type="expression" dxfId="7427" priority="1029">
      <formula>AV39="X"</formula>
    </cfRule>
    <cfRule type="expression" dxfId="7426" priority="1030">
      <formula>AV39="후보"</formula>
    </cfRule>
  </conditionalFormatting>
  <conditionalFormatting sqref="AC39">
    <cfRule type="cellIs" dxfId="7425" priority="1026" operator="greaterThan">
      <formula>0.9</formula>
    </cfRule>
    <cfRule type="cellIs" dxfId="7424" priority="1027" operator="greaterThan">
      <formula>0.85</formula>
    </cfRule>
  </conditionalFormatting>
  <conditionalFormatting sqref="N39">
    <cfRule type="cellIs" dxfId="7423" priority="1024" operator="greaterThan">
      <formula>0.9</formula>
    </cfRule>
    <cfRule type="cellIs" dxfId="7422" priority="1025" operator="greaterThan">
      <formula>0.85</formula>
    </cfRule>
  </conditionalFormatting>
  <conditionalFormatting sqref="E39">
    <cfRule type="expression" dxfId="7421" priority="1020">
      <formula>AND(IF(OR($Q39=1,$Q39=2),1,0),IF($X39&lt;=20,1,0))</formula>
    </cfRule>
    <cfRule type="expression" dxfId="7420" priority="1021">
      <formula>AND(IF($Q39=2,1,0),IF($X39&lt;30,1,0))</formula>
    </cfRule>
    <cfRule type="expression" dxfId="7419" priority="1022">
      <formula>AND(IF($Q39=3,1,0),IF($X39&lt;30,1,0))</formula>
    </cfRule>
    <cfRule type="expression" dxfId="7418" priority="1023">
      <formula>AND(IF($Q39=3,1,IF($Q39=4,1,0)),IF($F39&lt;=85,1,0))</formula>
    </cfRule>
  </conditionalFormatting>
  <conditionalFormatting sqref="X39">
    <cfRule type="expression" dxfId="7417" priority="1016">
      <formula>AND(IF(OR($Q39=1,$Q39=2),1,0),IF($X39&lt;=20,1,0))</formula>
    </cfRule>
    <cfRule type="expression" dxfId="7416" priority="1017">
      <formula>AND(IF($Q39=2,1,0),IF($X39&lt;30,1,0))</formula>
    </cfRule>
    <cfRule type="expression" dxfId="7415" priority="1018">
      <formula>AND(IF($Q39=3,1,0),IF($X39&lt;30,1,0))</formula>
    </cfRule>
    <cfRule type="expression" dxfId="7414" priority="1019">
      <formula>AND(IF($Q39=3,1,IF($Q39=4,1,0)),IF($F39&lt;=85,1,0))</formula>
    </cfRule>
  </conditionalFormatting>
  <conditionalFormatting sqref="AI39">
    <cfRule type="expression" dxfId="7413" priority="1012">
      <formula>AND(IF(OR($Q39=1,$Q39=2),1,0),IF($X39&lt;=20,1,0))</formula>
    </cfRule>
    <cfRule type="expression" dxfId="7412" priority="1013">
      <formula>AND(IF($Q39=2,1,0),IF($X39&lt;30,1,0))</formula>
    </cfRule>
    <cfRule type="expression" dxfId="7411" priority="1014">
      <formula>AND(IF($Q39=3,1,0),IF($X39&lt;30,1,0))</formula>
    </cfRule>
    <cfRule type="expression" dxfId="7410" priority="1015">
      <formula>AND(IF($Q39=3,1,IF($Q39=4,1,0)),IF($F39&lt;=85,1,0))</formula>
    </cfRule>
  </conditionalFormatting>
  <conditionalFormatting sqref="AV40">
    <cfRule type="expression" dxfId="7409" priority="1010">
      <formula>AV40="X"</formula>
    </cfRule>
    <cfRule type="expression" dxfId="7408" priority="1011">
      <formula>AV40="후보"</formula>
    </cfRule>
  </conditionalFormatting>
  <conditionalFormatting sqref="AC40">
    <cfRule type="cellIs" dxfId="7407" priority="1007" operator="greaterThan">
      <formula>0.9</formula>
    </cfRule>
    <cfRule type="cellIs" dxfId="7406" priority="1008" operator="greaterThan">
      <formula>0.85</formula>
    </cfRule>
  </conditionalFormatting>
  <conditionalFormatting sqref="N40">
    <cfRule type="cellIs" dxfId="7405" priority="1005" operator="greaterThan">
      <formula>0.9</formula>
    </cfRule>
    <cfRule type="cellIs" dxfId="7404" priority="1006" operator="greaterThan">
      <formula>0.85</formula>
    </cfRule>
  </conditionalFormatting>
  <conditionalFormatting sqref="E40">
    <cfRule type="expression" dxfId="7403" priority="1001">
      <formula>AND(IF(OR($Q40=1,$Q40=2),1,0),IF($X40&lt;=20,1,0))</formula>
    </cfRule>
    <cfRule type="expression" dxfId="7402" priority="1002">
      <formula>AND(IF($Q40=2,1,0),IF($X40&lt;30,1,0))</formula>
    </cfRule>
    <cfRule type="expression" dxfId="7401" priority="1003">
      <formula>AND(IF($Q40=3,1,0),IF($X40&lt;30,1,0))</formula>
    </cfRule>
    <cfRule type="expression" dxfId="7400" priority="1004">
      <formula>AND(IF($Q40=3,1,IF($Q40=4,1,0)),IF($F40&lt;=85,1,0))</formula>
    </cfRule>
  </conditionalFormatting>
  <conditionalFormatting sqref="X40">
    <cfRule type="expression" dxfId="7399" priority="997">
      <formula>AND(IF(OR($Q40=1,$Q40=2),1,0),IF($X40&lt;=20,1,0))</formula>
    </cfRule>
    <cfRule type="expression" dxfId="7398" priority="998">
      <formula>AND(IF($Q40=2,1,0),IF($X40&lt;30,1,0))</formula>
    </cfRule>
    <cfRule type="expression" dxfId="7397" priority="999">
      <formula>AND(IF($Q40=3,1,0),IF($X40&lt;30,1,0))</formula>
    </cfRule>
    <cfRule type="expression" dxfId="7396" priority="1000">
      <formula>AND(IF($Q40=3,1,IF($Q40=4,1,0)),IF($F40&lt;=85,1,0))</formula>
    </cfRule>
  </conditionalFormatting>
  <conditionalFormatting sqref="AI40">
    <cfRule type="expression" dxfId="7395" priority="993">
      <formula>AND(IF(OR($Q40=1,$Q40=2),1,0),IF($X40&lt;=20,1,0))</formula>
    </cfRule>
    <cfRule type="expression" dxfId="7394" priority="994">
      <formula>AND(IF($Q40=2,1,0),IF($X40&lt;30,1,0))</formula>
    </cfRule>
    <cfRule type="expression" dxfId="7393" priority="995">
      <formula>AND(IF($Q40=3,1,0),IF($X40&lt;30,1,0))</formula>
    </cfRule>
    <cfRule type="expression" dxfId="7392" priority="996">
      <formula>AND(IF($Q40=3,1,IF($Q40=4,1,0)),IF($F40&lt;=85,1,0))</formula>
    </cfRule>
  </conditionalFormatting>
  <conditionalFormatting sqref="AV41">
    <cfRule type="expression" dxfId="7391" priority="991">
      <formula>AV41="X"</formula>
    </cfRule>
    <cfRule type="expression" dxfId="7390" priority="992">
      <formula>AV41="후보"</formula>
    </cfRule>
  </conditionalFormatting>
  <conditionalFormatting sqref="AC41">
    <cfRule type="cellIs" dxfId="7389" priority="988" operator="greaterThan">
      <formula>0.9</formula>
    </cfRule>
    <cfRule type="cellIs" dxfId="7388" priority="989" operator="greaterThan">
      <formula>0.85</formula>
    </cfRule>
  </conditionalFormatting>
  <conditionalFormatting sqref="N41">
    <cfRule type="cellIs" dxfId="7387" priority="986" operator="greaterThan">
      <formula>0.9</formula>
    </cfRule>
    <cfRule type="cellIs" dxfId="7386" priority="987" operator="greaterThan">
      <formula>0.85</formula>
    </cfRule>
  </conditionalFormatting>
  <conditionalFormatting sqref="E41">
    <cfRule type="expression" dxfId="7385" priority="982">
      <formula>AND(IF(OR($Q41=1,$Q41=2),1,0),IF($X41&lt;=20,1,0))</formula>
    </cfRule>
    <cfRule type="expression" dxfId="7384" priority="983">
      <formula>AND(IF($Q41=2,1,0),IF($X41&lt;30,1,0))</formula>
    </cfRule>
    <cfRule type="expression" dxfId="7383" priority="984">
      <formula>AND(IF($Q41=3,1,0),IF($X41&lt;30,1,0))</formula>
    </cfRule>
    <cfRule type="expression" dxfId="7382" priority="985">
      <formula>AND(IF($Q41=3,1,IF($Q41=4,1,0)),IF($F41&lt;=85,1,0))</formula>
    </cfRule>
  </conditionalFormatting>
  <conditionalFormatting sqref="X41">
    <cfRule type="expression" dxfId="7381" priority="978">
      <formula>AND(IF(OR($Q41=1,$Q41=2),1,0),IF($X41&lt;=20,1,0))</formula>
    </cfRule>
    <cfRule type="expression" dxfId="7380" priority="979">
      <formula>AND(IF($Q41=2,1,0),IF($X41&lt;30,1,0))</formula>
    </cfRule>
    <cfRule type="expression" dxfId="7379" priority="980">
      <formula>AND(IF($Q41=3,1,0),IF($X41&lt;30,1,0))</formula>
    </cfRule>
    <cfRule type="expression" dxfId="7378" priority="981">
      <formula>AND(IF($Q41=3,1,IF($Q41=4,1,0)),IF($F41&lt;=85,1,0))</formula>
    </cfRule>
  </conditionalFormatting>
  <conditionalFormatting sqref="AI41">
    <cfRule type="expression" dxfId="7377" priority="974">
      <formula>AND(IF(OR($Q41=1,$Q41=2),1,0),IF($X41&lt;=20,1,0))</formula>
    </cfRule>
    <cfRule type="expression" dxfId="7376" priority="975">
      <formula>AND(IF($Q41=2,1,0),IF($X41&lt;30,1,0))</formula>
    </cfRule>
    <cfRule type="expression" dxfId="7375" priority="976">
      <formula>AND(IF($Q41=3,1,0),IF($X41&lt;30,1,0))</formula>
    </cfRule>
    <cfRule type="expression" dxfId="7374" priority="977">
      <formula>AND(IF($Q41=3,1,IF($Q41=4,1,0)),IF($F41&lt;=85,1,0))</formula>
    </cfRule>
  </conditionalFormatting>
  <conditionalFormatting sqref="AV42">
    <cfRule type="expression" dxfId="7373" priority="972">
      <formula>AV42="X"</formula>
    </cfRule>
    <cfRule type="expression" dxfId="7372" priority="973">
      <formula>AV42="후보"</formula>
    </cfRule>
  </conditionalFormatting>
  <conditionalFormatting sqref="AC42 N42">
    <cfRule type="cellIs" dxfId="7371" priority="969" operator="greaterThan">
      <formula>0.9</formula>
    </cfRule>
    <cfRule type="cellIs" dxfId="7370" priority="970" operator="greaterThan">
      <formula>0.85</formula>
    </cfRule>
  </conditionalFormatting>
  <conditionalFormatting sqref="AV43">
    <cfRule type="expression" dxfId="7369" priority="967">
      <formula>AV43="X"</formula>
    </cfRule>
    <cfRule type="expression" dxfId="7368" priority="968">
      <formula>AV43="후보"</formula>
    </cfRule>
  </conditionalFormatting>
  <conditionalFormatting sqref="AC43">
    <cfRule type="cellIs" dxfId="7367" priority="964" operator="greaterThan">
      <formula>0.9</formula>
    </cfRule>
    <cfRule type="cellIs" dxfId="7366" priority="965" operator="greaterThan">
      <formula>0.85</formula>
    </cfRule>
  </conditionalFormatting>
  <conditionalFormatting sqref="N43">
    <cfRule type="cellIs" dxfId="7365" priority="962" operator="greaterThan">
      <formula>0.9</formula>
    </cfRule>
    <cfRule type="cellIs" dxfId="7364" priority="963" operator="greaterThan">
      <formula>0.85</formula>
    </cfRule>
  </conditionalFormatting>
  <conditionalFormatting sqref="E43">
    <cfRule type="expression" dxfId="7363" priority="958">
      <formula>AND(IF(OR($Q43=1,$Q43=2),1,0),IF($X43&lt;=20,1,0))</formula>
    </cfRule>
    <cfRule type="expression" dxfId="7362" priority="959">
      <formula>AND(IF($Q43=2,1,0),IF($X43&lt;30,1,0))</formula>
    </cfRule>
    <cfRule type="expression" dxfId="7361" priority="960">
      <formula>AND(IF($Q43=3,1,0),IF($X43&lt;30,1,0))</formula>
    </cfRule>
    <cfRule type="expression" dxfId="7360" priority="961">
      <formula>AND(IF($Q43=3,1,IF($Q43=4,1,0)),IF($F43&lt;=85,1,0))</formula>
    </cfRule>
  </conditionalFormatting>
  <conditionalFormatting sqref="X43">
    <cfRule type="expression" dxfId="7359" priority="954">
      <formula>AND(IF(OR($Q43=1,$Q43=2),1,0),IF($X43&lt;=20,1,0))</formula>
    </cfRule>
    <cfRule type="expression" dxfId="7358" priority="955">
      <formula>AND(IF($Q43=2,1,0),IF($X43&lt;30,1,0))</formula>
    </cfRule>
    <cfRule type="expression" dxfId="7357" priority="956">
      <formula>AND(IF($Q43=3,1,0),IF($X43&lt;30,1,0))</formula>
    </cfRule>
    <cfRule type="expression" dxfId="7356" priority="957">
      <formula>AND(IF($Q43=3,1,IF($Q43=4,1,0)),IF($F43&lt;=85,1,0))</formula>
    </cfRule>
  </conditionalFormatting>
  <conditionalFormatting sqref="AI43">
    <cfRule type="expression" dxfId="7355" priority="950">
      <formula>AND(IF(OR($Q43=1,$Q43=2),1,0),IF($X43&lt;=20,1,0))</formula>
    </cfRule>
    <cfRule type="expression" dxfId="7354" priority="951">
      <formula>AND(IF($Q43=2,1,0),IF($X43&lt;30,1,0))</formula>
    </cfRule>
    <cfRule type="expression" dxfId="7353" priority="952">
      <formula>AND(IF($Q43=3,1,0),IF($X43&lt;30,1,0))</formula>
    </cfRule>
    <cfRule type="expression" dxfId="7352" priority="953">
      <formula>AND(IF($Q43=3,1,IF($Q43=4,1,0)),IF($F43&lt;=85,1,0))</formula>
    </cfRule>
  </conditionalFormatting>
  <conditionalFormatting sqref="AV44">
    <cfRule type="expression" dxfId="7351" priority="948">
      <formula>AV44="X"</formula>
    </cfRule>
    <cfRule type="expression" dxfId="7350" priority="949">
      <formula>AV44="후보"</formula>
    </cfRule>
  </conditionalFormatting>
  <conditionalFormatting sqref="AC44">
    <cfRule type="cellIs" dxfId="7349" priority="945" operator="greaterThan">
      <formula>0.9</formula>
    </cfRule>
    <cfRule type="cellIs" dxfId="7348" priority="946" operator="greaterThan">
      <formula>0.85</formula>
    </cfRule>
  </conditionalFormatting>
  <conditionalFormatting sqref="N44">
    <cfRule type="cellIs" dxfId="7347" priority="943" operator="greaterThan">
      <formula>0.9</formula>
    </cfRule>
    <cfRule type="cellIs" dxfId="7346" priority="944" operator="greaterThan">
      <formula>0.85</formula>
    </cfRule>
  </conditionalFormatting>
  <conditionalFormatting sqref="E44">
    <cfRule type="expression" dxfId="7345" priority="939">
      <formula>AND(IF(OR($Q44=1,$Q44=2),1,0),IF($X44&lt;=20,1,0))</formula>
    </cfRule>
    <cfRule type="expression" dxfId="7344" priority="940">
      <formula>AND(IF($Q44=2,1,0),IF($X44&lt;30,1,0))</formula>
    </cfRule>
    <cfRule type="expression" dxfId="7343" priority="941">
      <formula>AND(IF($Q44=3,1,0),IF($X44&lt;30,1,0))</formula>
    </cfRule>
    <cfRule type="expression" dxfId="7342" priority="942">
      <formula>AND(IF($Q44=3,1,IF($Q44=4,1,0)),IF($F44&lt;=85,1,0))</formula>
    </cfRule>
  </conditionalFormatting>
  <conditionalFormatting sqref="X44">
    <cfRule type="expression" dxfId="7341" priority="935">
      <formula>AND(IF(OR($Q44=1,$Q44=2),1,0),IF($X44&lt;=20,1,0))</formula>
    </cfRule>
    <cfRule type="expression" dxfId="7340" priority="936">
      <formula>AND(IF($Q44=2,1,0),IF($X44&lt;30,1,0))</formula>
    </cfRule>
    <cfRule type="expression" dxfId="7339" priority="937">
      <formula>AND(IF($Q44=3,1,0),IF($X44&lt;30,1,0))</formula>
    </cfRule>
    <cfRule type="expression" dxfId="7338" priority="938">
      <formula>AND(IF($Q44=3,1,IF($Q44=4,1,0)),IF($F44&lt;=85,1,0))</formula>
    </cfRule>
  </conditionalFormatting>
  <conditionalFormatting sqref="AI44">
    <cfRule type="expression" dxfId="7337" priority="931">
      <formula>AND(IF(OR($Q44=1,$Q44=2),1,0),IF($X44&lt;=20,1,0))</formula>
    </cfRule>
    <cfRule type="expression" dxfId="7336" priority="932">
      <formula>AND(IF($Q44=2,1,0),IF($X44&lt;30,1,0))</formula>
    </cfRule>
    <cfRule type="expression" dxfId="7335" priority="933">
      <formula>AND(IF($Q44=3,1,0),IF($X44&lt;30,1,0))</formula>
    </cfRule>
    <cfRule type="expression" dxfId="7334" priority="934">
      <formula>AND(IF($Q44=3,1,IF($Q44=4,1,0)),IF($F44&lt;=85,1,0))</formula>
    </cfRule>
  </conditionalFormatting>
  <conditionalFormatting sqref="AV45">
    <cfRule type="expression" dxfId="7333" priority="929">
      <formula>AV45="X"</formula>
    </cfRule>
    <cfRule type="expression" dxfId="7332" priority="930">
      <formula>AV45="후보"</formula>
    </cfRule>
  </conditionalFormatting>
  <conditionalFormatting sqref="AC45">
    <cfRule type="cellIs" dxfId="7331" priority="926" operator="greaterThan">
      <formula>0.9</formula>
    </cfRule>
    <cfRule type="cellIs" dxfId="7330" priority="927" operator="greaterThan">
      <formula>0.85</formula>
    </cfRule>
  </conditionalFormatting>
  <conditionalFormatting sqref="N45">
    <cfRule type="cellIs" dxfId="7329" priority="924" operator="greaterThan">
      <formula>0.9</formula>
    </cfRule>
    <cfRule type="cellIs" dxfId="7328" priority="925" operator="greaterThan">
      <formula>0.85</formula>
    </cfRule>
  </conditionalFormatting>
  <conditionalFormatting sqref="E45">
    <cfRule type="expression" dxfId="7327" priority="920">
      <formula>AND(IF(OR($Q45=1,$Q45=2),1,0),IF($X45&lt;=20,1,0))</formula>
    </cfRule>
    <cfRule type="expression" dxfId="7326" priority="921">
      <formula>AND(IF($Q45=2,1,0),IF($X45&lt;30,1,0))</formula>
    </cfRule>
    <cfRule type="expression" dxfId="7325" priority="922">
      <formula>AND(IF($Q45=3,1,0),IF($X45&lt;30,1,0))</formula>
    </cfRule>
    <cfRule type="expression" dxfId="7324" priority="923">
      <formula>AND(IF($Q45=3,1,IF($Q45=4,1,0)),IF($F45&lt;=85,1,0))</formula>
    </cfRule>
  </conditionalFormatting>
  <conditionalFormatting sqref="X45">
    <cfRule type="expression" dxfId="7323" priority="916">
      <formula>AND(IF(OR($Q45=1,$Q45=2),1,0),IF($X45&lt;=20,1,0))</formula>
    </cfRule>
    <cfRule type="expression" dxfId="7322" priority="917">
      <formula>AND(IF($Q45=2,1,0),IF($X45&lt;30,1,0))</formula>
    </cfRule>
    <cfRule type="expression" dxfId="7321" priority="918">
      <formula>AND(IF($Q45=3,1,0),IF($X45&lt;30,1,0))</formula>
    </cfRule>
    <cfRule type="expression" dxfId="7320" priority="919">
      <formula>AND(IF($Q45=3,1,IF($Q45=4,1,0)),IF($F45&lt;=85,1,0))</formula>
    </cfRule>
  </conditionalFormatting>
  <conditionalFormatting sqref="AI45">
    <cfRule type="expression" dxfId="7319" priority="912">
      <formula>AND(IF(OR($Q45=1,$Q45=2),1,0),IF($X45&lt;=20,1,0))</formula>
    </cfRule>
    <cfRule type="expression" dxfId="7318" priority="913">
      <formula>AND(IF($Q45=2,1,0),IF($X45&lt;30,1,0))</formula>
    </cfRule>
    <cfRule type="expression" dxfId="7317" priority="914">
      <formula>AND(IF($Q45=3,1,0),IF($X45&lt;30,1,0))</formula>
    </cfRule>
    <cfRule type="expression" dxfId="7316" priority="915">
      <formula>AND(IF($Q45=3,1,IF($Q45=4,1,0)),IF($F45&lt;=85,1,0))</formula>
    </cfRule>
  </conditionalFormatting>
  <conditionalFormatting sqref="AV46">
    <cfRule type="expression" dxfId="7315" priority="910">
      <formula>AV46="X"</formula>
    </cfRule>
    <cfRule type="expression" dxfId="7314" priority="911">
      <formula>AV46="후보"</formula>
    </cfRule>
  </conditionalFormatting>
  <conditionalFormatting sqref="AC46">
    <cfRule type="cellIs" dxfId="7313" priority="907" operator="greaterThan">
      <formula>0.9</formula>
    </cfRule>
    <cfRule type="cellIs" dxfId="7312" priority="908" operator="greaterThan">
      <formula>0.85</formula>
    </cfRule>
  </conditionalFormatting>
  <conditionalFormatting sqref="N46">
    <cfRule type="cellIs" dxfId="7311" priority="905" operator="greaterThan">
      <formula>0.9</formula>
    </cfRule>
    <cfRule type="cellIs" dxfId="7310" priority="906" operator="greaterThan">
      <formula>0.85</formula>
    </cfRule>
  </conditionalFormatting>
  <conditionalFormatting sqref="E46">
    <cfRule type="expression" dxfId="7309" priority="901">
      <formula>AND(IF(OR($Q46=1,$Q46=2),1,0),IF($X46&lt;=20,1,0))</formula>
    </cfRule>
    <cfRule type="expression" dxfId="7308" priority="902">
      <formula>AND(IF($Q46=2,1,0),IF($X46&lt;30,1,0))</formula>
    </cfRule>
    <cfRule type="expression" dxfId="7307" priority="903">
      <formula>AND(IF($Q46=3,1,0),IF($X46&lt;30,1,0))</formula>
    </cfRule>
    <cfRule type="expression" dxfId="7306" priority="904">
      <formula>AND(IF($Q46=3,1,IF($Q46=4,1,0)),IF($F46&lt;=85,1,0))</formula>
    </cfRule>
  </conditionalFormatting>
  <conditionalFormatting sqref="X46">
    <cfRule type="expression" dxfId="7305" priority="897">
      <formula>AND(IF(OR($Q46=1,$Q46=2),1,0),IF($X46&lt;=20,1,0))</formula>
    </cfRule>
    <cfRule type="expression" dxfId="7304" priority="898">
      <formula>AND(IF($Q46=2,1,0),IF($X46&lt;30,1,0))</formula>
    </cfRule>
    <cfRule type="expression" dxfId="7303" priority="899">
      <formula>AND(IF($Q46=3,1,0),IF($X46&lt;30,1,0))</formula>
    </cfRule>
    <cfRule type="expression" dxfId="7302" priority="900">
      <formula>AND(IF($Q46=3,1,IF($Q46=4,1,0)),IF($F46&lt;=85,1,0))</formula>
    </cfRule>
  </conditionalFormatting>
  <conditionalFormatting sqref="AI46">
    <cfRule type="expression" dxfId="7301" priority="893">
      <formula>AND(IF(OR($Q46=1,$Q46=2),1,0),IF($X46&lt;=20,1,0))</formula>
    </cfRule>
    <cfRule type="expression" dxfId="7300" priority="894">
      <formula>AND(IF($Q46=2,1,0),IF($X46&lt;30,1,0))</formula>
    </cfRule>
    <cfRule type="expression" dxfId="7299" priority="895">
      <formula>AND(IF($Q46=3,1,0),IF($X46&lt;30,1,0))</formula>
    </cfRule>
    <cfRule type="expression" dxfId="7298" priority="896">
      <formula>AND(IF($Q46=3,1,IF($Q46=4,1,0)),IF($F46&lt;=85,1,0))</formula>
    </cfRule>
  </conditionalFormatting>
  <conditionalFormatting sqref="AV47">
    <cfRule type="expression" dxfId="7297" priority="891">
      <formula>AV47="X"</formula>
    </cfRule>
    <cfRule type="expression" dxfId="7296" priority="892">
      <formula>AV47="후보"</formula>
    </cfRule>
  </conditionalFormatting>
  <conditionalFormatting sqref="AC47">
    <cfRule type="cellIs" dxfId="7295" priority="888" operator="greaterThan">
      <formula>0.9</formula>
    </cfRule>
    <cfRule type="cellIs" dxfId="7294" priority="889" operator="greaterThan">
      <formula>0.85</formula>
    </cfRule>
  </conditionalFormatting>
  <conditionalFormatting sqref="N47">
    <cfRule type="cellIs" dxfId="7293" priority="886" operator="greaterThan">
      <formula>0.9</formula>
    </cfRule>
    <cfRule type="cellIs" dxfId="7292" priority="887" operator="greaterThan">
      <formula>0.85</formula>
    </cfRule>
  </conditionalFormatting>
  <conditionalFormatting sqref="E47">
    <cfRule type="expression" dxfId="7291" priority="882">
      <formula>AND(IF(OR($Q47=1,$Q47=2),1,0),IF($X47&lt;=20,1,0))</formula>
    </cfRule>
    <cfRule type="expression" dxfId="7290" priority="883">
      <formula>AND(IF($Q47=2,1,0),IF($X47&lt;30,1,0))</formula>
    </cfRule>
    <cfRule type="expression" dxfId="7289" priority="884">
      <formula>AND(IF($Q47=3,1,0),IF($X47&lt;30,1,0))</formula>
    </cfRule>
    <cfRule type="expression" dxfId="7288" priority="885">
      <formula>AND(IF($Q47=3,1,IF($Q47=4,1,0)),IF($F47&lt;=85,1,0))</formula>
    </cfRule>
  </conditionalFormatting>
  <conditionalFormatting sqref="X47">
    <cfRule type="expression" dxfId="7287" priority="878">
      <formula>AND(IF(OR($Q47=1,$Q47=2),1,0),IF($X47&lt;=20,1,0))</formula>
    </cfRule>
    <cfRule type="expression" dxfId="7286" priority="879">
      <formula>AND(IF($Q47=2,1,0),IF($X47&lt;30,1,0))</formula>
    </cfRule>
    <cfRule type="expression" dxfId="7285" priority="880">
      <formula>AND(IF($Q47=3,1,0),IF($X47&lt;30,1,0))</formula>
    </cfRule>
    <cfRule type="expression" dxfId="7284" priority="881">
      <formula>AND(IF($Q47=3,1,IF($Q47=4,1,0)),IF($F47&lt;=85,1,0))</formula>
    </cfRule>
  </conditionalFormatting>
  <conditionalFormatting sqref="AI47">
    <cfRule type="expression" dxfId="7283" priority="874">
      <formula>AND(IF(OR($Q47=1,$Q47=2),1,0),IF($X47&lt;=20,1,0))</formula>
    </cfRule>
    <cfRule type="expression" dxfId="7282" priority="875">
      <formula>AND(IF($Q47=2,1,0),IF($X47&lt;30,1,0))</formula>
    </cfRule>
    <cfRule type="expression" dxfId="7281" priority="876">
      <formula>AND(IF($Q47=3,1,0),IF($X47&lt;30,1,0))</formula>
    </cfRule>
    <cfRule type="expression" dxfId="7280" priority="877">
      <formula>AND(IF($Q47=3,1,IF($Q47=4,1,0)),IF($F47&lt;=85,1,0))</formula>
    </cfRule>
  </conditionalFormatting>
  <conditionalFormatting sqref="AV48">
    <cfRule type="expression" dxfId="7279" priority="872">
      <formula>AV48="X"</formula>
    </cfRule>
    <cfRule type="expression" dxfId="7278" priority="873">
      <formula>AV48="후보"</formula>
    </cfRule>
  </conditionalFormatting>
  <conditionalFormatting sqref="AC48 N48">
    <cfRule type="cellIs" dxfId="7277" priority="869" operator="greaterThan">
      <formula>0.9</formula>
    </cfRule>
    <cfRule type="cellIs" dxfId="7276" priority="870" operator="greaterThan">
      <formula>0.85</formula>
    </cfRule>
  </conditionalFormatting>
  <conditionalFormatting sqref="AV49">
    <cfRule type="expression" dxfId="7275" priority="867">
      <formula>AV49="X"</formula>
    </cfRule>
    <cfRule type="expression" dxfId="7274" priority="868">
      <formula>AV49="후보"</formula>
    </cfRule>
  </conditionalFormatting>
  <conditionalFormatting sqref="AC49">
    <cfRule type="cellIs" dxfId="7273" priority="864" operator="greaterThan">
      <formula>0.9</formula>
    </cfRule>
    <cfRule type="cellIs" dxfId="7272" priority="865" operator="greaterThan">
      <formula>0.85</formula>
    </cfRule>
  </conditionalFormatting>
  <conditionalFormatting sqref="N49">
    <cfRule type="cellIs" dxfId="7271" priority="862" operator="greaterThan">
      <formula>0.9</formula>
    </cfRule>
    <cfRule type="cellIs" dxfId="7270" priority="863" operator="greaterThan">
      <formula>0.85</formula>
    </cfRule>
  </conditionalFormatting>
  <conditionalFormatting sqref="E49">
    <cfRule type="expression" dxfId="7269" priority="858">
      <formula>AND(IF(OR($Q49=1,$Q49=2),1,0),IF($X49&lt;=20,1,0))</formula>
    </cfRule>
    <cfRule type="expression" dxfId="7268" priority="859">
      <formula>AND(IF($Q49=2,1,0),IF($X49&lt;30,1,0))</formula>
    </cfRule>
    <cfRule type="expression" dxfId="7267" priority="860">
      <formula>AND(IF($Q49=3,1,0),IF($X49&lt;30,1,0))</formula>
    </cfRule>
    <cfRule type="expression" dxfId="7266" priority="861">
      <formula>AND(IF($Q49=3,1,IF($Q49=4,1,0)),IF($F49&lt;=85,1,0))</formula>
    </cfRule>
  </conditionalFormatting>
  <conditionalFormatting sqref="X49">
    <cfRule type="expression" dxfId="7265" priority="854">
      <formula>AND(IF(OR($Q49=1,$Q49=2),1,0),IF($X49&lt;=20,1,0))</formula>
    </cfRule>
    <cfRule type="expression" dxfId="7264" priority="855">
      <formula>AND(IF($Q49=2,1,0),IF($X49&lt;30,1,0))</formula>
    </cfRule>
    <cfRule type="expression" dxfId="7263" priority="856">
      <formula>AND(IF($Q49=3,1,0),IF($X49&lt;30,1,0))</formula>
    </cfRule>
    <cfRule type="expression" dxfId="7262" priority="857">
      <formula>AND(IF($Q49=3,1,IF($Q49=4,1,0)),IF($F49&lt;=85,1,0))</formula>
    </cfRule>
  </conditionalFormatting>
  <conditionalFormatting sqref="AI49">
    <cfRule type="expression" dxfId="7261" priority="850">
      <formula>AND(IF(OR($Q49=1,$Q49=2),1,0),IF($X49&lt;=20,1,0))</formula>
    </cfRule>
    <cfRule type="expression" dxfId="7260" priority="851">
      <formula>AND(IF($Q49=2,1,0),IF($X49&lt;30,1,0))</formula>
    </cfRule>
    <cfRule type="expression" dxfId="7259" priority="852">
      <formula>AND(IF($Q49=3,1,0),IF($X49&lt;30,1,0))</formula>
    </cfRule>
    <cfRule type="expression" dxfId="7258" priority="853">
      <formula>AND(IF($Q49=3,1,IF($Q49=4,1,0)),IF($F49&lt;=85,1,0))</formula>
    </cfRule>
  </conditionalFormatting>
  <conditionalFormatting sqref="AV50">
    <cfRule type="expression" dxfId="7257" priority="848">
      <formula>AV50="X"</formula>
    </cfRule>
    <cfRule type="expression" dxfId="7256" priority="849">
      <formula>AV50="후보"</formula>
    </cfRule>
  </conditionalFormatting>
  <conditionalFormatting sqref="AC50">
    <cfRule type="cellIs" dxfId="7255" priority="845" operator="greaterThan">
      <formula>0.9</formula>
    </cfRule>
    <cfRule type="cellIs" dxfId="7254" priority="846" operator="greaterThan">
      <formula>0.85</formula>
    </cfRule>
  </conditionalFormatting>
  <conditionalFormatting sqref="N50">
    <cfRule type="cellIs" dxfId="7253" priority="843" operator="greaterThan">
      <formula>0.9</formula>
    </cfRule>
    <cfRule type="cellIs" dxfId="7252" priority="844" operator="greaterThan">
      <formula>0.85</formula>
    </cfRule>
  </conditionalFormatting>
  <conditionalFormatting sqref="E50">
    <cfRule type="expression" dxfId="7251" priority="839">
      <formula>AND(IF(OR($Q50=1,$Q50=2),1,0),IF($X50&lt;=20,1,0))</formula>
    </cfRule>
    <cfRule type="expression" dxfId="7250" priority="840">
      <formula>AND(IF($Q50=2,1,0),IF($X50&lt;30,1,0))</formula>
    </cfRule>
    <cfRule type="expression" dxfId="7249" priority="841">
      <formula>AND(IF($Q50=3,1,0),IF($X50&lt;30,1,0))</formula>
    </cfRule>
    <cfRule type="expression" dxfId="7248" priority="842">
      <formula>AND(IF($Q50=3,1,IF($Q50=4,1,0)),IF($F50&lt;=85,1,0))</formula>
    </cfRule>
  </conditionalFormatting>
  <conditionalFormatting sqref="X50">
    <cfRule type="expression" dxfId="7247" priority="835">
      <formula>AND(IF(OR($Q50=1,$Q50=2),1,0),IF($X50&lt;=20,1,0))</formula>
    </cfRule>
    <cfRule type="expression" dxfId="7246" priority="836">
      <formula>AND(IF($Q50=2,1,0),IF($X50&lt;30,1,0))</formula>
    </cfRule>
    <cfRule type="expression" dxfId="7245" priority="837">
      <formula>AND(IF($Q50=3,1,0),IF($X50&lt;30,1,0))</formula>
    </cfRule>
    <cfRule type="expression" dxfId="7244" priority="838">
      <formula>AND(IF($Q50=3,1,IF($Q50=4,1,0)),IF($F50&lt;=85,1,0))</formula>
    </cfRule>
  </conditionalFormatting>
  <conditionalFormatting sqref="AI50">
    <cfRule type="expression" dxfId="7243" priority="831">
      <formula>AND(IF(OR($Q50=1,$Q50=2),1,0),IF($X50&lt;=20,1,0))</formula>
    </cfRule>
    <cfRule type="expression" dxfId="7242" priority="832">
      <formula>AND(IF($Q50=2,1,0),IF($X50&lt;30,1,0))</formula>
    </cfRule>
    <cfRule type="expression" dxfId="7241" priority="833">
      <formula>AND(IF($Q50=3,1,0),IF($X50&lt;30,1,0))</formula>
    </cfRule>
    <cfRule type="expression" dxfId="7240" priority="834">
      <formula>AND(IF($Q50=3,1,IF($Q50=4,1,0)),IF($F50&lt;=85,1,0))</formula>
    </cfRule>
  </conditionalFormatting>
  <conditionalFormatting sqref="AV51">
    <cfRule type="expression" dxfId="7239" priority="829">
      <formula>AV51="X"</formula>
    </cfRule>
    <cfRule type="expression" dxfId="7238" priority="830">
      <formula>AV51="후보"</formula>
    </cfRule>
  </conditionalFormatting>
  <conditionalFormatting sqref="AC51 N51">
    <cfRule type="cellIs" dxfId="7237" priority="826" operator="greaterThan">
      <formula>0.9</formula>
    </cfRule>
    <cfRule type="cellIs" dxfId="7236" priority="827" operator="greaterThan">
      <formula>0.85</formula>
    </cfRule>
  </conditionalFormatting>
  <conditionalFormatting sqref="AV52">
    <cfRule type="expression" dxfId="7235" priority="824">
      <formula>AV52="X"</formula>
    </cfRule>
    <cfRule type="expression" dxfId="7234" priority="825">
      <formula>AV52="후보"</formula>
    </cfRule>
  </conditionalFormatting>
  <conditionalFormatting sqref="AC52">
    <cfRule type="cellIs" dxfId="7233" priority="821" operator="greaterThan">
      <formula>0.9</formula>
    </cfRule>
    <cfRule type="cellIs" dxfId="7232" priority="822" operator="greaterThan">
      <formula>0.85</formula>
    </cfRule>
  </conditionalFormatting>
  <conditionalFormatting sqref="N52">
    <cfRule type="cellIs" dxfId="7231" priority="819" operator="greaterThan">
      <formula>0.9</formula>
    </cfRule>
    <cfRule type="cellIs" dxfId="7230" priority="820" operator="greaterThan">
      <formula>0.85</formula>
    </cfRule>
  </conditionalFormatting>
  <conditionalFormatting sqref="E52">
    <cfRule type="expression" dxfId="7229" priority="815">
      <formula>AND(IF(OR($Q52=1,$Q52=2),1,0),IF($X52&lt;=20,1,0))</formula>
    </cfRule>
    <cfRule type="expression" dxfId="7228" priority="816">
      <formula>AND(IF($Q52=2,1,0),IF($X52&lt;30,1,0))</formula>
    </cfRule>
    <cfRule type="expression" dxfId="7227" priority="817">
      <formula>AND(IF($Q52=3,1,0),IF($X52&lt;30,1,0))</formula>
    </cfRule>
    <cfRule type="expression" dxfId="7226" priority="818">
      <formula>AND(IF($Q52=3,1,IF($Q52=4,1,0)),IF($F52&lt;=85,1,0))</formula>
    </cfRule>
  </conditionalFormatting>
  <conditionalFormatting sqref="X52">
    <cfRule type="expression" dxfId="7225" priority="811">
      <formula>AND(IF(OR($Q52=1,$Q52=2),1,0),IF($X52&lt;=20,1,0))</formula>
    </cfRule>
    <cfRule type="expression" dxfId="7224" priority="812">
      <formula>AND(IF($Q52=2,1,0),IF($X52&lt;30,1,0))</formula>
    </cfRule>
    <cfRule type="expression" dxfId="7223" priority="813">
      <formula>AND(IF($Q52=3,1,0),IF($X52&lt;30,1,0))</formula>
    </cfRule>
    <cfRule type="expression" dxfId="7222" priority="814">
      <formula>AND(IF($Q52=3,1,IF($Q52=4,1,0)),IF($F52&lt;=85,1,0))</formula>
    </cfRule>
  </conditionalFormatting>
  <conditionalFormatting sqref="AI52">
    <cfRule type="expression" dxfId="7221" priority="807">
      <formula>AND(IF(OR($Q52=1,$Q52=2),1,0),IF($X52&lt;=20,1,0))</formula>
    </cfRule>
    <cfRule type="expression" dxfId="7220" priority="808">
      <formula>AND(IF($Q52=2,1,0),IF($X52&lt;30,1,0))</formula>
    </cfRule>
    <cfRule type="expression" dxfId="7219" priority="809">
      <formula>AND(IF($Q52=3,1,0),IF($X52&lt;30,1,0))</formula>
    </cfRule>
    <cfRule type="expression" dxfId="7218" priority="810">
      <formula>AND(IF($Q52=3,1,IF($Q52=4,1,0)),IF($F52&lt;=85,1,0))</formula>
    </cfRule>
  </conditionalFormatting>
  <conditionalFormatting sqref="AV53">
    <cfRule type="expression" dxfId="7217" priority="805">
      <formula>AV53="X"</formula>
    </cfRule>
    <cfRule type="expression" dxfId="7216" priority="806">
      <formula>AV53="후보"</formula>
    </cfRule>
  </conditionalFormatting>
  <conditionalFormatting sqref="AC53">
    <cfRule type="cellIs" dxfId="7215" priority="802" operator="greaterThan">
      <formula>0.9</formula>
    </cfRule>
    <cfRule type="cellIs" dxfId="7214" priority="803" operator="greaterThan">
      <formula>0.85</formula>
    </cfRule>
  </conditionalFormatting>
  <conditionalFormatting sqref="N53">
    <cfRule type="cellIs" dxfId="7213" priority="800" operator="greaterThan">
      <formula>0.9</formula>
    </cfRule>
    <cfRule type="cellIs" dxfId="7212" priority="801" operator="greaterThan">
      <formula>0.85</formula>
    </cfRule>
  </conditionalFormatting>
  <conditionalFormatting sqref="E53">
    <cfRule type="expression" dxfId="7211" priority="796">
      <formula>AND(IF(OR($Q53=1,$Q53=2),1,0),IF($X53&lt;=20,1,0))</formula>
    </cfRule>
    <cfRule type="expression" dxfId="7210" priority="797">
      <formula>AND(IF($Q53=2,1,0),IF($X53&lt;30,1,0))</formula>
    </cfRule>
    <cfRule type="expression" dxfId="7209" priority="798">
      <formula>AND(IF($Q53=3,1,0),IF($X53&lt;30,1,0))</formula>
    </cfRule>
    <cfRule type="expression" dxfId="7208" priority="799">
      <formula>AND(IF($Q53=3,1,IF($Q53=4,1,0)),IF($F53&lt;=85,1,0))</formula>
    </cfRule>
  </conditionalFormatting>
  <conditionalFormatting sqref="X53">
    <cfRule type="expression" dxfId="7207" priority="792">
      <formula>AND(IF(OR($Q53=1,$Q53=2),1,0),IF($X53&lt;=20,1,0))</formula>
    </cfRule>
    <cfRule type="expression" dxfId="7206" priority="793">
      <formula>AND(IF($Q53=2,1,0),IF($X53&lt;30,1,0))</formula>
    </cfRule>
    <cfRule type="expression" dxfId="7205" priority="794">
      <formula>AND(IF($Q53=3,1,0),IF($X53&lt;30,1,0))</formula>
    </cfRule>
    <cfRule type="expression" dxfId="7204" priority="795">
      <formula>AND(IF($Q53=3,1,IF($Q53=4,1,0)),IF($F53&lt;=85,1,0))</formula>
    </cfRule>
  </conditionalFormatting>
  <conditionalFormatting sqref="AI53">
    <cfRule type="expression" dxfId="7203" priority="788">
      <formula>AND(IF(OR($Q53=1,$Q53=2),1,0),IF($X53&lt;=20,1,0))</formula>
    </cfRule>
    <cfRule type="expression" dxfId="7202" priority="789">
      <formula>AND(IF($Q53=2,1,0),IF($X53&lt;30,1,0))</formula>
    </cfRule>
    <cfRule type="expression" dxfId="7201" priority="790">
      <formula>AND(IF($Q53=3,1,0),IF($X53&lt;30,1,0))</formula>
    </cfRule>
    <cfRule type="expression" dxfId="7200" priority="791">
      <formula>AND(IF($Q53=3,1,IF($Q53=4,1,0)),IF($F53&lt;=85,1,0))</formula>
    </cfRule>
  </conditionalFormatting>
  <conditionalFormatting sqref="AV54">
    <cfRule type="expression" dxfId="7199" priority="786">
      <formula>AV54="X"</formula>
    </cfRule>
    <cfRule type="expression" dxfId="7198" priority="787">
      <formula>AV54="후보"</formula>
    </cfRule>
  </conditionalFormatting>
  <conditionalFormatting sqref="AC54 N54">
    <cfRule type="cellIs" dxfId="7197" priority="783" operator="greaterThan">
      <formula>0.9</formula>
    </cfRule>
    <cfRule type="cellIs" dxfId="7196" priority="784" operator="greaterThan">
      <formula>0.85</formula>
    </cfRule>
  </conditionalFormatting>
  <conditionalFormatting sqref="AV55">
    <cfRule type="expression" dxfId="7195" priority="781">
      <formula>AV55="X"</formula>
    </cfRule>
    <cfRule type="expression" dxfId="7194" priority="782">
      <formula>AV55="후보"</formula>
    </cfRule>
  </conditionalFormatting>
  <conditionalFormatting sqref="AC55">
    <cfRule type="cellIs" dxfId="7193" priority="778" operator="greaterThan">
      <formula>0.9</formula>
    </cfRule>
    <cfRule type="cellIs" dxfId="7192" priority="779" operator="greaterThan">
      <formula>0.85</formula>
    </cfRule>
  </conditionalFormatting>
  <conditionalFormatting sqref="N55">
    <cfRule type="cellIs" dxfId="7191" priority="776" operator="greaterThan">
      <formula>0.9</formula>
    </cfRule>
    <cfRule type="cellIs" dxfId="7190" priority="777" operator="greaterThan">
      <formula>0.85</formula>
    </cfRule>
  </conditionalFormatting>
  <conditionalFormatting sqref="E55">
    <cfRule type="expression" dxfId="7189" priority="772">
      <formula>AND(IF(OR($Q55=1,$Q55=2),1,0),IF($X55&lt;=20,1,0))</formula>
    </cfRule>
    <cfRule type="expression" dxfId="7188" priority="773">
      <formula>AND(IF($Q55=2,1,0),IF($X55&lt;30,1,0))</formula>
    </cfRule>
    <cfRule type="expression" dxfId="7187" priority="774">
      <formula>AND(IF($Q55=3,1,0),IF($X55&lt;30,1,0))</formula>
    </cfRule>
    <cfRule type="expression" dxfId="7186" priority="775">
      <formula>AND(IF($Q55=3,1,IF($Q55=4,1,0)),IF($F55&lt;=85,1,0))</formula>
    </cfRule>
  </conditionalFormatting>
  <conditionalFormatting sqref="X55">
    <cfRule type="expression" dxfId="7185" priority="768">
      <formula>AND(IF(OR($Q55=1,$Q55=2),1,0),IF($X55&lt;=20,1,0))</formula>
    </cfRule>
    <cfRule type="expression" dxfId="7184" priority="769">
      <formula>AND(IF($Q55=2,1,0),IF($X55&lt;30,1,0))</formula>
    </cfRule>
    <cfRule type="expression" dxfId="7183" priority="770">
      <formula>AND(IF($Q55=3,1,0),IF($X55&lt;30,1,0))</formula>
    </cfRule>
    <cfRule type="expression" dxfId="7182" priority="771">
      <formula>AND(IF($Q55=3,1,IF($Q55=4,1,0)),IF($F55&lt;=85,1,0))</formula>
    </cfRule>
  </conditionalFormatting>
  <conditionalFormatting sqref="AI55">
    <cfRule type="expression" dxfId="7181" priority="764">
      <formula>AND(IF(OR($Q55=1,$Q55=2),1,0),IF($X55&lt;=20,1,0))</formula>
    </cfRule>
    <cfRule type="expression" dxfId="7180" priority="765">
      <formula>AND(IF($Q55=2,1,0),IF($X55&lt;30,1,0))</formula>
    </cfRule>
    <cfRule type="expression" dxfId="7179" priority="766">
      <formula>AND(IF($Q55=3,1,0),IF($X55&lt;30,1,0))</formula>
    </cfRule>
    <cfRule type="expression" dxfId="7178" priority="767">
      <formula>AND(IF($Q55=3,1,IF($Q55=4,1,0)),IF($F55&lt;=85,1,0))</formula>
    </cfRule>
  </conditionalFormatting>
  <conditionalFormatting sqref="AV56">
    <cfRule type="expression" dxfId="7177" priority="762">
      <formula>AV56="X"</formula>
    </cfRule>
    <cfRule type="expression" dxfId="7176" priority="763">
      <formula>AV56="후보"</formula>
    </cfRule>
  </conditionalFormatting>
  <conditionalFormatting sqref="AC56">
    <cfRule type="cellIs" dxfId="7175" priority="759" operator="greaterThan">
      <formula>0.9</formula>
    </cfRule>
    <cfRule type="cellIs" dxfId="7174" priority="760" operator="greaterThan">
      <formula>0.85</formula>
    </cfRule>
  </conditionalFormatting>
  <conditionalFormatting sqref="N56">
    <cfRule type="cellIs" dxfId="7173" priority="757" operator="greaterThan">
      <formula>0.9</formula>
    </cfRule>
    <cfRule type="cellIs" dxfId="7172" priority="758" operator="greaterThan">
      <formula>0.85</formula>
    </cfRule>
  </conditionalFormatting>
  <conditionalFormatting sqref="E56">
    <cfRule type="expression" dxfId="7171" priority="753">
      <formula>AND(IF(OR($Q56=1,$Q56=2),1,0),IF($X56&lt;=20,1,0))</formula>
    </cfRule>
    <cfRule type="expression" dxfId="7170" priority="754">
      <formula>AND(IF($Q56=2,1,0),IF($X56&lt;30,1,0))</formula>
    </cfRule>
    <cfRule type="expression" dxfId="7169" priority="755">
      <formula>AND(IF($Q56=3,1,0),IF($X56&lt;30,1,0))</formula>
    </cfRule>
    <cfRule type="expression" dxfId="7168" priority="756">
      <formula>AND(IF($Q56=3,1,IF($Q56=4,1,0)),IF($F56&lt;=85,1,0))</formula>
    </cfRule>
  </conditionalFormatting>
  <conditionalFormatting sqref="X56">
    <cfRule type="expression" dxfId="7167" priority="749">
      <formula>AND(IF(OR($Q56=1,$Q56=2),1,0),IF($X56&lt;=20,1,0))</formula>
    </cfRule>
    <cfRule type="expression" dxfId="7166" priority="750">
      <formula>AND(IF($Q56=2,1,0),IF($X56&lt;30,1,0))</formula>
    </cfRule>
    <cfRule type="expression" dxfId="7165" priority="751">
      <formula>AND(IF($Q56=3,1,0),IF($X56&lt;30,1,0))</formula>
    </cfRule>
    <cfRule type="expression" dxfId="7164" priority="752">
      <formula>AND(IF($Q56=3,1,IF($Q56=4,1,0)),IF($F56&lt;=85,1,0))</formula>
    </cfRule>
  </conditionalFormatting>
  <conditionalFormatting sqref="AI56">
    <cfRule type="expression" dxfId="7163" priority="745">
      <formula>AND(IF(OR($Q56=1,$Q56=2),1,0),IF($X56&lt;=20,1,0))</formula>
    </cfRule>
    <cfRule type="expression" dxfId="7162" priority="746">
      <formula>AND(IF($Q56=2,1,0),IF($X56&lt;30,1,0))</formula>
    </cfRule>
    <cfRule type="expression" dxfId="7161" priority="747">
      <formula>AND(IF($Q56=3,1,0),IF($X56&lt;30,1,0))</formula>
    </cfRule>
    <cfRule type="expression" dxfId="7160" priority="748">
      <formula>AND(IF($Q56=3,1,IF($Q56=4,1,0)),IF($F56&lt;=85,1,0))</formula>
    </cfRule>
  </conditionalFormatting>
  <conditionalFormatting sqref="AV57">
    <cfRule type="expression" dxfId="7159" priority="743">
      <formula>AV57="X"</formula>
    </cfRule>
    <cfRule type="expression" dxfId="7158" priority="744">
      <formula>AV57="후보"</formula>
    </cfRule>
  </conditionalFormatting>
  <conditionalFormatting sqref="AC57 N57">
    <cfRule type="cellIs" dxfId="7157" priority="740" operator="greaterThan">
      <formula>0.9</formula>
    </cfRule>
    <cfRule type="cellIs" dxfId="7156" priority="741" operator="greaterThan">
      <formula>0.85</formula>
    </cfRule>
  </conditionalFormatting>
  <conditionalFormatting sqref="AV58">
    <cfRule type="expression" dxfId="7155" priority="738">
      <formula>AV58="X"</formula>
    </cfRule>
    <cfRule type="expression" dxfId="7154" priority="739">
      <formula>AV58="후보"</formula>
    </cfRule>
  </conditionalFormatting>
  <conditionalFormatting sqref="AC58">
    <cfRule type="cellIs" dxfId="7153" priority="735" operator="greaterThan">
      <formula>0.9</formula>
    </cfRule>
    <cfRule type="cellIs" dxfId="7152" priority="736" operator="greaterThan">
      <formula>0.85</formula>
    </cfRule>
  </conditionalFormatting>
  <conditionalFormatting sqref="N58">
    <cfRule type="cellIs" dxfId="7151" priority="733" operator="greaterThan">
      <formula>0.9</formula>
    </cfRule>
    <cfRule type="cellIs" dxfId="7150" priority="734" operator="greaterThan">
      <formula>0.85</formula>
    </cfRule>
  </conditionalFormatting>
  <conditionalFormatting sqref="E58">
    <cfRule type="expression" dxfId="7149" priority="729">
      <formula>AND(IF(OR($Q58=1,$Q58=2),1,0),IF($X58&lt;=20,1,0))</formula>
    </cfRule>
    <cfRule type="expression" dxfId="7148" priority="730">
      <formula>AND(IF($Q58=2,1,0),IF($X58&lt;30,1,0))</formula>
    </cfRule>
    <cfRule type="expression" dxfId="7147" priority="731">
      <formula>AND(IF($Q58=3,1,0),IF($X58&lt;30,1,0))</formula>
    </cfRule>
    <cfRule type="expression" dxfId="7146" priority="732">
      <formula>AND(IF($Q58=3,1,IF($Q58=4,1,0)),IF($F58&lt;=85,1,0))</formula>
    </cfRule>
  </conditionalFormatting>
  <conditionalFormatting sqref="X58">
    <cfRule type="expression" dxfId="7145" priority="725">
      <formula>AND(IF(OR($Q58=1,$Q58=2),1,0),IF($X58&lt;=20,1,0))</formula>
    </cfRule>
    <cfRule type="expression" dxfId="7144" priority="726">
      <formula>AND(IF($Q58=2,1,0),IF($X58&lt;30,1,0))</formula>
    </cfRule>
    <cfRule type="expression" dxfId="7143" priority="727">
      <formula>AND(IF($Q58=3,1,0),IF($X58&lt;30,1,0))</formula>
    </cfRule>
    <cfRule type="expression" dxfId="7142" priority="728">
      <formula>AND(IF($Q58=3,1,IF($Q58=4,1,0)),IF($F58&lt;=85,1,0))</formula>
    </cfRule>
  </conditionalFormatting>
  <conditionalFormatting sqref="AI58">
    <cfRule type="expression" dxfId="7141" priority="721">
      <formula>AND(IF(OR($Q58=1,$Q58=2),1,0),IF($X58&lt;=20,1,0))</formula>
    </cfRule>
    <cfRule type="expression" dxfId="7140" priority="722">
      <formula>AND(IF($Q58=2,1,0),IF($X58&lt;30,1,0))</formula>
    </cfRule>
    <cfRule type="expression" dxfId="7139" priority="723">
      <formula>AND(IF($Q58=3,1,0),IF($X58&lt;30,1,0))</formula>
    </cfRule>
    <cfRule type="expression" dxfId="7138" priority="724">
      <formula>AND(IF($Q58=3,1,IF($Q58=4,1,0)),IF($F58&lt;=85,1,0))</formula>
    </cfRule>
  </conditionalFormatting>
  <conditionalFormatting sqref="AV59">
    <cfRule type="expression" dxfId="7137" priority="719">
      <formula>AV59="X"</formula>
    </cfRule>
    <cfRule type="expression" dxfId="7136" priority="720">
      <formula>AV59="후보"</formula>
    </cfRule>
  </conditionalFormatting>
  <conditionalFormatting sqref="AC59">
    <cfRule type="cellIs" dxfId="7135" priority="716" operator="greaterThan">
      <formula>0.9</formula>
    </cfRule>
    <cfRule type="cellIs" dxfId="7134" priority="717" operator="greaterThan">
      <formula>0.85</formula>
    </cfRule>
  </conditionalFormatting>
  <conditionalFormatting sqref="N59">
    <cfRule type="cellIs" dxfId="7133" priority="714" operator="greaterThan">
      <formula>0.9</formula>
    </cfRule>
    <cfRule type="cellIs" dxfId="7132" priority="715" operator="greaterThan">
      <formula>0.85</formula>
    </cfRule>
  </conditionalFormatting>
  <conditionalFormatting sqref="E59">
    <cfRule type="expression" dxfId="7131" priority="710">
      <formula>AND(IF(OR($Q59=1,$Q59=2),1,0),IF($X59&lt;=20,1,0))</formula>
    </cfRule>
    <cfRule type="expression" dxfId="7130" priority="711">
      <formula>AND(IF($Q59=2,1,0),IF($X59&lt;30,1,0))</formula>
    </cfRule>
    <cfRule type="expression" dxfId="7129" priority="712">
      <formula>AND(IF($Q59=3,1,0),IF($X59&lt;30,1,0))</formula>
    </cfRule>
    <cfRule type="expression" dxfId="7128" priority="713">
      <formula>AND(IF($Q59=3,1,IF($Q59=4,1,0)),IF($F59&lt;=85,1,0))</formula>
    </cfRule>
  </conditionalFormatting>
  <conditionalFormatting sqref="X59">
    <cfRule type="expression" dxfId="7127" priority="706">
      <formula>AND(IF(OR($Q59=1,$Q59=2),1,0),IF($X59&lt;=20,1,0))</formula>
    </cfRule>
    <cfRule type="expression" dxfId="7126" priority="707">
      <formula>AND(IF($Q59=2,1,0),IF($X59&lt;30,1,0))</formula>
    </cfRule>
    <cfRule type="expression" dxfId="7125" priority="708">
      <formula>AND(IF($Q59=3,1,0),IF($X59&lt;30,1,0))</formula>
    </cfRule>
    <cfRule type="expression" dxfId="7124" priority="709">
      <formula>AND(IF($Q59=3,1,IF($Q59=4,1,0)),IF($F59&lt;=85,1,0))</formula>
    </cfRule>
  </conditionalFormatting>
  <conditionalFormatting sqref="AI59">
    <cfRule type="expression" dxfId="7123" priority="702">
      <formula>AND(IF(OR($Q59=1,$Q59=2),1,0),IF($X59&lt;=20,1,0))</formula>
    </cfRule>
    <cfRule type="expression" dxfId="7122" priority="703">
      <formula>AND(IF($Q59=2,1,0),IF($X59&lt;30,1,0))</formula>
    </cfRule>
    <cfRule type="expression" dxfId="7121" priority="704">
      <formula>AND(IF($Q59=3,1,0),IF($X59&lt;30,1,0))</formula>
    </cfRule>
    <cfRule type="expression" dxfId="7120" priority="705">
      <formula>AND(IF($Q59=3,1,IF($Q59=4,1,0)),IF($F59&lt;=85,1,0))</formula>
    </cfRule>
  </conditionalFormatting>
  <conditionalFormatting sqref="AV60">
    <cfRule type="expression" dxfId="7119" priority="700">
      <formula>AV60="X"</formula>
    </cfRule>
    <cfRule type="expression" dxfId="7118" priority="701">
      <formula>AV60="후보"</formula>
    </cfRule>
  </conditionalFormatting>
  <conditionalFormatting sqref="AC60">
    <cfRule type="cellIs" dxfId="7117" priority="697" operator="greaterThan">
      <formula>0.9</formula>
    </cfRule>
    <cfRule type="cellIs" dxfId="7116" priority="698" operator="greaterThan">
      <formula>0.85</formula>
    </cfRule>
  </conditionalFormatting>
  <conditionalFormatting sqref="N60">
    <cfRule type="cellIs" dxfId="7115" priority="695" operator="greaterThan">
      <formula>0.9</formula>
    </cfRule>
    <cfRule type="cellIs" dxfId="7114" priority="696" operator="greaterThan">
      <formula>0.85</formula>
    </cfRule>
  </conditionalFormatting>
  <conditionalFormatting sqref="E60">
    <cfRule type="expression" dxfId="7113" priority="691">
      <formula>AND(IF(OR($Q60=1,$Q60=2),1,0),IF($X60&lt;=20,1,0))</formula>
    </cfRule>
    <cfRule type="expression" dxfId="7112" priority="692">
      <formula>AND(IF($Q60=2,1,0),IF($X60&lt;30,1,0))</formula>
    </cfRule>
    <cfRule type="expression" dxfId="7111" priority="693">
      <formula>AND(IF($Q60=3,1,0),IF($X60&lt;30,1,0))</formula>
    </cfRule>
    <cfRule type="expression" dxfId="7110" priority="694">
      <formula>AND(IF($Q60=3,1,IF($Q60=4,1,0)),IF($F60&lt;=85,1,0))</formula>
    </cfRule>
  </conditionalFormatting>
  <conditionalFormatting sqref="X60">
    <cfRule type="expression" dxfId="7109" priority="687">
      <formula>AND(IF(OR($Q60=1,$Q60=2),1,0),IF($X60&lt;=20,1,0))</formula>
    </cfRule>
    <cfRule type="expression" dxfId="7108" priority="688">
      <formula>AND(IF($Q60=2,1,0),IF($X60&lt;30,1,0))</formula>
    </cfRule>
    <cfRule type="expression" dxfId="7107" priority="689">
      <formula>AND(IF($Q60=3,1,0),IF($X60&lt;30,1,0))</formula>
    </cfRule>
    <cfRule type="expression" dxfId="7106" priority="690">
      <formula>AND(IF($Q60=3,1,IF($Q60=4,1,0)),IF($F60&lt;=85,1,0))</formula>
    </cfRule>
  </conditionalFormatting>
  <conditionalFormatting sqref="AI60">
    <cfRule type="expression" dxfId="7105" priority="683">
      <formula>AND(IF(OR($Q60=1,$Q60=2),1,0),IF($X60&lt;=20,1,0))</formula>
    </cfRule>
    <cfRule type="expression" dxfId="7104" priority="684">
      <formula>AND(IF($Q60=2,1,0),IF($X60&lt;30,1,0))</formula>
    </cfRule>
    <cfRule type="expression" dxfId="7103" priority="685">
      <formula>AND(IF($Q60=3,1,0),IF($X60&lt;30,1,0))</formula>
    </cfRule>
    <cfRule type="expression" dxfId="7102" priority="686">
      <formula>AND(IF($Q60=3,1,IF($Q60=4,1,0)),IF($F60&lt;=85,1,0))</formula>
    </cfRule>
  </conditionalFormatting>
  <conditionalFormatting sqref="AV61">
    <cfRule type="expression" dxfId="7101" priority="681">
      <formula>AV61="X"</formula>
    </cfRule>
    <cfRule type="expression" dxfId="7100" priority="682">
      <formula>AV61="후보"</formula>
    </cfRule>
  </conditionalFormatting>
  <conditionalFormatting sqref="AC61 N61">
    <cfRule type="cellIs" dxfId="7099" priority="678" operator="greaterThan">
      <formula>0.9</formula>
    </cfRule>
    <cfRule type="cellIs" dxfId="7098" priority="679" operator="greaterThan">
      <formula>0.85</formula>
    </cfRule>
  </conditionalFormatting>
  <conditionalFormatting sqref="AV62">
    <cfRule type="expression" dxfId="7097" priority="676">
      <formula>AV62="X"</formula>
    </cfRule>
    <cfRule type="expression" dxfId="7096" priority="677">
      <formula>AV62="후보"</formula>
    </cfRule>
  </conditionalFormatting>
  <conditionalFormatting sqref="AC62">
    <cfRule type="cellIs" dxfId="7095" priority="673" operator="greaterThan">
      <formula>0.9</formula>
    </cfRule>
    <cfRule type="cellIs" dxfId="7094" priority="674" operator="greaterThan">
      <formula>0.85</formula>
    </cfRule>
  </conditionalFormatting>
  <conditionalFormatting sqref="N62">
    <cfRule type="cellIs" dxfId="7093" priority="671" operator="greaterThan">
      <formula>0.9</formula>
    </cfRule>
    <cfRule type="cellIs" dxfId="7092" priority="672" operator="greaterThan">
      <formula>0.85</formula>
    </cfRule>
  </conditionalFormatting>
  <conditionalFormatting sqref="E62">
    <cfRule type="expression" dxfId="7091" priority="667">
      <formula>AND(IF(OR($Q62=1,$Q62=2),1,0),IF($X62&lt;=20,1,0))</formula>
    </cfRule>
    <cfRule type="expression" dxfId="7090" priority="668">
      <formula>AND(IF($Q62=2,1,0),IF($X62&lt;30,1,0))</formula>
    </cfRule>
    <cfRule type="expression" dxfId="7089" priority="669">
      <formula>AND(IF($Q62=3,1,0),IF($X62&lt;30,1,0))</formula>
    </cfRule>
    <cfRule type="expression" dxfId="7088" priority="670">
      <formula>AND(IF($Q62=3,1,IF($Q62=4,1,0)),IF($F62&lt;=85,1,0))</formula>
    </cfRule>
  </conditionalFormatting>
  <conditionalFormatting sqref="X62">
    <cfRule type="expression" dxfId="7087" priority="663">
      <formula>AND(IF(OR($Q62=1,$Q62=2),1,0),IF($X62&lt;=20,1,0))</formula>
    </cfRule>
    <cfRule type="expression" dxfId="7086" priority="664">
      <formula>AND(IF($Q62=2,1,0),IF($X62&lt;30,1,0))</formula>
    </cfRule>
    <cfRule type="expression" dxfId="7085" priority="665">
      <formula>AND(IF($Q62=3,1,0),IF($X62&lt;30,1,0))</formula>
    </cfRule>
    <cfRule type="expression" dxfId="7084" priority="666">
      <formula>AND(IF($Q62=3,1,IF($Q62=4,1,0)),IF($F62&lt;=85,1,0))</formula>
    </cfRule>
  </conditionalFormatting>
  <conditionalFormatting sqref="AI62">
    <cfRule type="expression" dxfId="7083" priority="659">
      <formula>AND(IF(OR($Q62=1,$Q62=2),1,0),IF($X62&lt;=20,1,0))</formula>
    </cfRule>
    <cfRule type="expression" dxfId="7082" priority="660">
      <formula>AND(IF($Q62=2,1,0),IF($X62&lt;30,1,0))</formula>
    </cfRule>
    <cfRule type="expression" dxfId="7081" priority="661">
      <formula>AND(IF($Q62=3,1,0),IF($X62&lt;30,1,0))</formula>
    </cfRule>
    <cfRule type="expression" dxfId="7080" priority="662">
      <formula>AND(IF($Q62=3,1,IF($Q62=4,1,0)),IF($F62&lt;=85,1,0))</formula>
    </cfRule>
  </conditionalFormatting>
  <conditionalFormatting sqref="AV63">
    <cfRule type="expression" dxfId="7079" priority="657">
      <formula>AV63="X"</formula>
    </cfRule>
    <cfRule type="expression" dxfId="7078" priority="658">
      <formula>AV63="후보"</formula>
    </cfRule>
  </conditionalFormatting>
  <conditionalFormatting sqref="AC63">
    <cfRule type="cellIs" dxfId="7077" priority="654" operator="greaterThan">
      <formula>0.9</formula>
    </cfRule>
    <cfRule type="cellIs" dxfId="7076" priority="655" operator="greaterThan">
      <formula>0.85</formula>
    </cfRule>
  </conditionalFormatting>
  <conditionalFormatting sqref="N63">
    <cfRule type="cellIs" dxfId="7075" priority="652" operator="greaterThan">
      <formula>0.9</formula>
    </cfRule>
    <cfRule type="cellIs" dxfId="7074" priority="653" operator="greaterThan">
      <formula>0.85</formula>
    </cfRule>
  </conditionalFormatting>
  <conditionalFormatting sqref="E63">
    <cfRule type="expression" dxfId="7073" priority="648">
      <formula>AND(IF(OR($Q63=1,$Q63=2),1,0),IF($X63&lt;=20,1,0))</formula>
    </cfRule>
    <cfRule type="expression" dxfId="7072" priority="649">
      <formula>AND(IF($Q63=2,1,0),IF($X63&lt;30,1,0))</formula>
    </cfRule>
    <cfRule type="expression" dxfId="7071" priority="650">
      <formula>AND(IF($Q63=3,1,0),IF($X63&lt;30,1,0))</formula>
    </cfRule>
    <cfRule type="expression" dxfId="7070" priority="651">
      <formula>AND(IF($Q63=3,1,IF($Q63=4,1,0)),IF($F63&lt;=85,1,0))</formula>
    </cfRule>
  </conditionalFormatting>
  <conditionalFormatting sqref="X63">
    <cfRule type="expression" dxfId="7069" priority="644">
      <formula>AND(IF(OR($Q63=1,$Q63=2),1,0),IF($X63&lt;=20,1,0))</formula>
    </cfRule>
    <cfRule type="expression" dxfId="7068" priority="645">
      <formula>AND(IF($Q63=2,1,0),IF($X63&lt;30,1,0))</formula>
    </cfRule>
    <cfRule type="expression" dxfId="7067" priority="646">
      <formula>AND(IF($Q63=3,1,0),IF($X63&lt;30,1,0))</formula>
    </cfRule>
    <cfRule type="expression" dxfId="7066" priority="647">
      <formula>AND(IF($Q63=3,1,IF($Q63=4,1,0)),IF($F63&lt;=85,1,0))</formula>
    </cfRule>
  </conditionalFormatting>
  <conditionalFormatting sqref="AI63">
    <cfRule type="expression" dxfId="7065" priority="640">
      <formula>AND(IF(OR($Q63=1,$Q63=2),1,0),IF($X63&lt;=20,1,0))</formula>
    </cfRule>
    <cfRule type="expression" dxfId="7064" priority="641">
      <formula>AND(IF($Q63=2,1,0),IF($X63&lt;30,1,0))</formula>
    </cfRule>
    <cfRule type="expression" dxfId="7063" priority="642">
      <formula>AND(IF($Q63=3,1,0),IF($X63&lt;30,1,0))</formula>
    </cfRule>
    <cfRule type="expression" dxfId="7062" priority="643">
      <formula>AND(IF($Q63=3,1,IF($Q63=4,1,0)),IF($F63&lt;=85,1,0))</formula>
    </cfRule>
  </conditionalFormatting>
  <conditionalFormatting sqref="AV64">
    <cfRule type="expression" dxfId="7061" priority="638">
      <formula>AV64="X"</formula>
    </cfRule>
    <cfRule type="expression" dxfId="7060" priority="639">
      <formula>AV64="후보"</formula>
    </cfRule>
  </conditionalFormatting>
  <conditionalFormatting sqref="AC64">
    <cfRule type="cellIs" dxfId="7059" priority="635" operator="greaterThan">
      <formula>0.9</formula>
    </cfRule>
    <cfRule type="cellIs" dxfId="7058" priority="636" operator="greaterThan">
      <formula>0.85</formula>
    </cfRule>
  </conditionalFormatting>
  <conditionalFormatting sqref="N64">
    <cfRule type="cellIs" dxfId="7057" priority="633" operator="greaterThan">
      <formula>0.9</formula>
    </cfRule>
    <cfRule type="cellIs" dxfId="7056" priority="634" operator="greaterThan">
      <formula>0.85</formula>
    </cfRule>
  </conditionalFormatting>
  <conditionalFormatting sqref="E64">
    <cfRule type="expression" dxfId="7055" priority="629">
      <formula>AND(IF(OR($Q64=1,$Q64=2),1,0),IF($X64&lt;=20,1,0))</formula>
    </cfRule>
    <cfRule type="expression" dxfId="7054" priority="630">
      <formula>AND(IF($Q64=2,1,0),IF($X64&lt;30,1,0))</formula>
    </cfRule>
    <cfRule type="expression" dxfId="7053" priority="631">
      <formula>AND(IF($Q64=3,1,0),IF($X64&lt;30,1,0))</formula>
    </cfRule>
    <cfRule type="expression" dxfId="7052" priority="632">
      <formula>AND(IF($Q64=3,1,IF($Q64=4,1,0)),IF($F64&lt;=85,1,0))</formula>
    </cfRule>
  </conditionalFormatting>
  <conditionalFormatting sqref="X64">
    <cfRule type="expression" dxfId="7051" priority="625">
      <formula>AND(IF(OR($Q64=1,$Q64=2),1,0),IF($X64&lt;=20,1,0))</formula>
    </cfRule>
    <cfRule type="expression" dxfId="7050" priority="626">
      <formula>AND(IF($Q64=2,1,0),IF($X64&lt;30,1,0))</formula>
    </cfRule>
    <cfRule type="expression" dxfId="7049" priority="627">
      <formula>AND(IF($Q64=3,1,0),IF($X64&lt;30,1,0))</formula>
    </cfRule>
    <cfRule type="expression" dxfId="7048" priority="628">
      <formula>AND(IF($Q64=3,1,IF($Q64=4,1,0)),IF($F64&lt;=85,1,0))</formula>
    </cfRule>
  </conditionalFormatting>
  <conditionalFormatting sqref="AI64">
    <cfRule type="expression" dxfId="7047" priority="621">
      <formula>AND(IF(OR($Q64=1,$Q64=2),1,0),IF($X64&lt;=20,1,0))</formula>
    </cfRule>
    <cfRule type="expression" dxfId="7046" priority="622">
      <formula>AND(IF($Q64=2,1,0),IF($X64&lt;30,1,0))</formula>
    </cfRule>
    <cfRule type="expression" dxfId="7045" priority="623">
      <formula>AND(IF($Q64=3,1,0),IF($X64&lt;30,1,0))</formula>
    </cfRule>
    <cfRule type="expression" dxfId="7044" priority="624">
      <formula>AND(IF($Q64=3,1,IF($Q64=4,1,0)),IF($F64&lt;=85,1,0))</formula>
    </cfRule>
  </conditionalFormatting>
  <conditionalFormatting sqref="AV65">
    <cfRule type="expression" dxfId="7043" priority="619">
      <formula>AV65="X"</formula>
    </cfRule>
    <cfRule type="expression" dxfId="7042" priority="620">
      <formula>AV65="후보"</formula>
    </cfRule>
  </conditionalFormatting>
  <conditionalFormatting sqref="AC65 N65">
    <cfRule type="cellIs" dxfId="7041" priority="616" operator="greaterThan">
      <formula>0.9</formula>
    </cfRule>
    <cfRule type="cellIs" dxfId="7040" priority="617" operator="greaterThan">
      <formula>0.85</formula>
    </cfRule>
  </conditionalFormatting>
  <conditionalFormatting sqref="AV66">
    <cfRule type="expression" dxfId="7039" priority="614">
      <formula>AV66="X"</formula>
    </cfRule>
    <cfRule type="expression" dxfId="7038" priority="615">
      <formula>AV66="후보"</formula>
    </cfRule>
  </conditionalFormatting>
  <conditionalFormatting sqref="AC66">
    <cfRule type="cellIs" dxfId="7037" priority="611" operator="greaterThan">
      <formula>0.9</formula>
    </cfRule>
    <cfRule type="cellIs" dxfId="7036" priority="612" operator="greaterThan">
      <formula>0.85</formula>
    </cfRule>
  </conditionalFormatting>
  <conditionalFormatting sqref="N66">
    <cfRule type="cellIs" dxfId="7035" priority="609" operator="greaterThan">
      <formula>0.9</formula>
    </cfRule>
    <cfRule type="cellIs" dxfId="7034" priority="610" operator="greaterThan">
      <formula>0.85</formula>
    </cfRule>
  </conditionalFormatting>
  <conditionalFormatting sqref="E66">
    <cfRule type="expression" dxfId="7033" priority="605">
      <formula>AND(IF(OR($Q66=1,$Q66=2),1,0),IF($X66&lt;=20,1,0))</formula>
    </cfRule>
    <cfRule type="expression" dxfId="7032" priority="606">
      <formula>AND(IF($Q66=2,1,0),IF($X66&lt;30,1,0))</formula>
    </cfRule>
    <cfRule type="expression" dxfId="7031" priority="607">
      <formula>AND(IF($Q66=3,1,0),IF($X66&lt;30,1,0))</formula>
    </cfRule>
    <cfRule type="expression" dxfId="7030" priority="608">
      <formula>AND(IF($Q66=3,1,IF($Q66=4,1,0)),IF($F66&lt;=85,1,0))</formula>
    </cfRule>
  </conditionalFormatting>
  <conditionalFormatting sqref="X66">
    <cfRule type="expression" dxfId="7029" priority="601">
      <formula>AND(IF(OR($Q66=1,$Q66=2),1,0),IF($X66&lt;=20,1,0))</formula>
    </cfRule>
    <cfRule type="expression" dxfId="7028" priority="602">
      <formula>AND(IF($Q66=2,1,0),IF($X66&lt;30,1,0))</formula>
    </cfRule>
    <cfRule type="expression" dxfId="7027" priority="603">
      <formula>AND(IF($Q66=3,1,0),IF($X66&lt;30,1,0))</formula>
    </cfRule>
    <cfRule type="expression" dxfId="7026" priority="604">
      <formula>AND(IF($Q66=3,1,IF($Q66=4,1,0)),IF($F66&lt;=85,1,0))</formula>
    </cfRule>
  </conditionalFormatting>
  <conditionalFormatting sqref="AI66">
    <cfRule type="expression" dxfId="7025" priority="597">
      <formula>AND(IF(OR($Q66=1,$Q66=2),1,0),IF($X66&lt;=20,1,0))</formula>
    </cfRule>
    <cfRule type="expression" dxfId="7024" priority="598">
      <formula>AND(IF($Q66=2,1,0),IF($X66&lt;30,1,0))</formula>
    </cfRule>
    <cfRule type="expression" dxfId="7023" priority="599">
      <formula>AND(IF($Q66=3,1,0),IF($X66&lt;30,1,0))</formula>
    </cfRule>
    <cfRule type="expression" dxfId="7022" priority="600">
      <formula>AND(IF($Q66=3,1,IF($Q66=4,1,0)),IF($F66&lt;=85,1,0))</formula>
    </cfRule>
  </conditionalFormatting>
  <conditionalFormatting sqref="AV67">
    <cfRule type="expression" dxfId="7021" priority="595">
      <formula>AV67="X"</formula>
    </cfRule>
    <cfRule type="expression" dxfId="7020" priority="596">
      <formula>AV67="후보"</formula>
    </cfRule>
  </conditionalFormatting>
  <conditionalFormatting sqref="AC67">
    <cfRule type="cellIs" dxfId="7019" priority="592" operator="greaterThan">
      <formula>0.9</formula>
    </cfRule>
    <cfRule type="cellIs" dxfId="7018" priority="593" operator="greaterThan">
      <formula>0.85</formula>
    </cfRule>
  </conditionalFormatting>
  <conditionalFormatting sqref="N67">
    <cfRule type="cellIs" dxfId="7017" priority="590" operator="greaterThan">
      <formula>0.9</formula>
    </cfRule>
    <cfRule type="cellIs" dxfId="7016" priority="591" operator="greaterThan">
      <formula>0.85</formula>
    </cfRule>
  </conditionalFormatting>
  <conditionalFormatting sqref="E67">
    <cfRule type="expression" dxfId="7015" priority="586">
      <formula>AND(IF(OR($Q67=1,$Q67=2),1,0),IF($X67&lt;=20,1,0))</formula>
    </cfRule>
    <cfRule type="expression" dxfId="7014" priority="587">
      <formula>AND(IF($Q67=2,1,0),IF($X67&lt;30,1,0))</formula>
    </cfRule>
    <cfRule type="expression" dxfId="7013" priority="588">
      <formula>AND(IF($Q67=3,1,0),IF($X67&lt;30,1,0))</formula>
    </cfRule>
    <cfRule type="expression" dxfId="7012" priority="589">
      <formula>AND(IF($Q67=3,1,IF($Q67=4,1,0)),IF($F67&lt;=85,1,0))</formula>
    </cfRule>
  </conditionalFormatting>
  <conditionalFormatting sqref="X67">
    <cfRule type="expression" dxfId="7011" priority="582">
      <formula>AND(IF(OR($Q67=1,$Q67=2),1,0),IF($X67&lt;=20,1,0))</formula>
    </cfRule>
    <cfRule type="expression" dxfId="7010" priority="583">
      <formula>AND(IF($Q67=2,1,0),IF($X67&lt;30,1,0))</formula>
    </cfRule>
    <cfRule type="expression" dxfId="7009" priority="584">
      <formula>AND(IF($Q67=3,1,0),IF($X67&lt;30,1,0))</formula>
    </cfRule>
    <cfRule type="expression" dxfId="7008" priority="585">
      <formula>AND(IF($Q67=3,1,IF($Q67=4,1,0)),IF($F67&lt;=85,1,0))</formula>
    </cfRule>
  </conditionalFormatting>
  <conditionalFormatting sqref="AI67">
    <cfRule type="expression" dxfId="7007" priority="578">
      <formula>AND(IF(OR($Q67=1,$Q67=2),1,0),IF($X67&lt;=20,1,0))</formula>
    </cfRule>
    <cfRule type="expression" dxfId="7006" priority="579">
      <formula>AND(IF($Q67=2,1,0),IF($X67&lt;30,1,0))</formula>
    </cfRule>
    <cfRule type="expression" dxfId="7005" priority="580">
      <formula>AND(IF($Q67=3,1,0),IF($X67&lt;30,1,0))</formula>
    </cfRule>
    <cfRule type="expression" dxfId="7004" priority="581">
      <formula>AND(IF($Q67=3,1,IF($Q67=4,1,0)),IF($F67&lt;=85,1,0))</formula>
    </cfRule>
  </conditionalFormatting>
  <conditionalFormatting sqref="AV68">
    <cfRule type="expression" dxfId="7003" priority="576">
      <formula>AV68="X"</formula>
    </cfRule>
    <cfRule type="expression" dxfId="7002" priority="577">
      <formula>AV68="후보"</formula>
    </cfRule>
  </conditionalFormatting>
  <conditionalFormatting sqref="AC68 N68">
    <cfRule type="cellIs" dxfId="7001" priority="573" operator="greaterThan">
      <formula>0.9</formula>
    </cfRule>
    <cfRule type="cellIs" dxfId="7000" priority="574" operator="greaterThan">
      <formula>0.85</formula>
    </cfRule>
  </conditionalFormatting>
  <conditionalFormatting sqref="AV69">
    <cfRule type="expression" dxfId="6999" priority="571">
      <formula>AV69="X"</formula>
    </cfRule>
    <cfRule type="expression" dxfId="6998" priority="572">
      <formula>AV69="후보"</formula>
    </cfRule>
  </conditionalFormatting>
  <conditionalFormatting sqref="AC69">
    <cfRule type="cellIs" dxfId="6997" priority="568" operator="greaterThan">
      <formula>0.9</formula>
    </cfRule>
    <cfRule type="cellIs" dxfId="6996" priority="569" operator="greaterThan">
      <formula>0.85</formula>
    </cfRule>
  </conditionalFormatting>
  <conditionalFormatting sqref="N69">
    <cfRule type="cellIs" dxfId="6995" priority="566" operator="greaterThan">
      <formula>0.9</formula>
    </cfRule>
    <cfRule type="cellIs" dxfId="6994" priority="567" operator="greaterThan">
      <formula>0.85</formula>
    </cfRule>
  </conditionalFormatting>
  <conditionalFormatting sqref="E69">
    <cfRule type="expression" dxfId="6993" priority="562">
      <formula>AND(IF(OR($Q69=1,$Q69=2),1,0),IF($X69&lt;=20,1,0))</formula>
    </cfRule>
    <cfRule type="expression" dxfId="6992" priority="563">
      <formula>AND(IF($Q69=2,1,0),IF($X69&lt;30,1,0))</formula>
    </cfRule>
    <cfRule type="expression" dxfId="6991" priority="564">
      <formula>AND(IF($Q69=3,1,0),IF($X69&lt;30,1,0))</formula>
    </cfRule>
    <cfRule type="expression" dxfId="6990" priority="565">
      <formula>AND(IF($Q69=3,1,IF($Q69=4,1,0)),IF($F69&lt;=85,1,0))</formula>
    </cfRule>
  </conditionalFormatting>
  <conditionalFormatting sqref="X69">
    <cfRule type="expression" dxfId="6989" priority="558">
      <formula>AND(IF(OR($Q69=1,$Q69=2),1,0),IF($X69&lt;=20,1,0))</formula>
    </cfRule>
    <cfRule type="expression" dxfId="6988" priority="559">
      <formula>AND(IF($Q69=2,1,0),IF($X69&lt;30,1,0))</formula>
    </cfRule>
    <cfRule type="expression" dxfId="6987" priority="560">
      <formula>AND(IF($Q69=3,1,0),IF($X69&lt;30,1,0))</formula>
    </cfRule>
    <cfRule type="expression" dxfId="6986" priority="561">
      <formula>AND(IF($Q69=3,1,IF($Q69=4,1,0)),IF($F69&lt;=85,1,0))</formula>
    </cfRule>
  </conditionalFormatting>
  <conditionalFormatting sqref="AI69">
    <cfRule type="expression" dxfId="6985" priority="554">
      <formula>AND(IF(OR($Q69=1,$Q69=2),1,0),IF($X69&lt;=20,1,0))</formula>
    </cfRule>
    <cfRule type="expression" dxfId="6984" priority="555">
      <formula>AND(IF($Q69=2,1,0),IF($X69&lt;30,1,0))</formula>
    </cfRule>
    <cfRule type="expression" dxfId="6983" priority="556">
      <formula>AND(IF($Q69=3,1,0),IF($X69&lt;30,1,0))</formula>
    </cfRule>
    <cfRule type="expression" dxfId="6982" priority="557">
      <formula>AND(IF($Q69=3,1,IF($Q69=4,1,0)),IF($F69&lt;=85,1,0))</formula>
    </cfRule>
  </conditionalFormatting>
  <conditionalFormatting sqref="AV70">
    <cfRule type="expression" dxfId="6981" priority="552">
      <formula>AV70="X"</formula>
    </cfRule>
    <cfRule type="expression" dxfId="6980" priority="553">
      <formula>AV70="후보"</formula>
    </cfRule>
  </conditionalFormatting>
  <conditionalFormatting sqref="AC70">
    <cfRule type="cellIs" dxfId="6979" priority="549" operator="greaterThan">
      <formula>0.9</formula>
    </cfRule>
    <cfRule type="cellIs" dxfId="6978" priority="550" operator="greaterThan">
      <formula>0.85</formula>
    </cfRule>
  </conditionalFormatting>
  <conditionalFormatting sqref="N70">
    <cfRule type="cellIs" dxfId="6977" priority="547" operator="greaterThan">
      <formula>0.9</formula>
    </cfRule>
    <cfRule type="cellIs" dxfId="6976" priority="548" operator="greaterThan">
      <formula>0.85</formula>
    </cfRule>
  </conditionalFormatting>
  <conditionalFormatting sqref="E70">
    <cfRule type="expression" dxfId="6975" priority="543">
      <formula>AND(IF(OR($Q70=1,$Q70=2),1,0),IF($X70&lt;=20,1,0))</formula>
    </cfRule>
    <cfRule type="expression" dxfId="6974" priority="544">
      <formula>AND(IF($Q70=2,1,0),IF($X70&lt;30,1,0))</formula>
    </cfRule>
    <cfRule type="expression" dxfId="6973" priority="545">
      <formula>AND(IF($Q70=3,1,0),IF($X70&lt;30,1,0))</formula>
    </cfRule>
    <cfRule type="expression" dxfId="6972" priority="546">
      <formula>AND(IF($Q70=3,1,IF($Q70=4,1,0)),IF($F70&lt;=85,1,0))</formula>
    </cfRule>
  </conditionalFormatting>
  <conditionalFormatting sqref="X70">
    <cfRule type="expression" dxfId="6971" priority="539">
      <formula>AND(IF(OR($Q70=1,$Q70=2),1,0),IF($X70&lt;=20,1,0))</formula>
    </cfRule>
    <cfRule type="expression" dxfId="6970" priority="540">
      <formula>AND(IF($Q70=2,1,0),IF($X70&lt;30,1,0))</formula>
    </cfRule>
    <cfRule type="expression" dxfId="6969" priority="541">
      <formula>AND(IF($Q70=3,1,0),IF($X70&lt;30,1,0))</formula>
    </cfRule>
    <cfRule type="expression" dxfId="6968" priority="542">
      <formula>AND(IF($Q70=3,1,IF($Q70=4,1,0)),IF($F70&lt;=85,1,0))</formula>
    </cfRule>
  </conditionalFormatting>
  <conditionalFormatting sqref="AI70">
    <cfRule type="expression" dxfId="6967" priority="535">
      <formula>AND(IF(OR($Q70=1,$Q70=2),1,0),IF($X70&lt;=20,1,0))</formula>
    </cfRule>
    <cfRule type="expression" dxfId="6966" priority="536">
      <formula>AND(IF($Q70=2,1,0),IF($X70&lt;30,1,0))</formula>
    </cfRule>
    <cfRule type="expression" dxfId="6965" priority="537">
      <formula>AND(IF($Q70=3,1,0),IF($X70&lt;30,1,0))</formula>
    </cfRule>
    <cfRule type="expression" dxfId="6964" priority="538">
      <formula>AND(IF($Q70=3,1,IF($Q70=4,1,0)),IF($F70&lt;=85,1,0))</formula>
    </cfRule>
  </conditionalFormatting>
  <conditionalFormatting sqref="AV71">
    <cfRule type="expression" dxfId="6963" priority="533">
      <formula>AV71="X"</formula>
    </cfRule>
    <cfRule type="expression" dxfId="6962" priority="534">
      <formula>AV71="후보"</formula>
    </cfRule>
  </conditionalFormatting>
  <conditionalFormatting sqref="AC71">
    <cfRule type="cellIs" dxfId="6961" priority="530" operator="greaterThan">
      <formula>0.9</formula>
    </cfRule>
    <cfRule type="cellIs" dxfId="6960" priority="531" operator="greaterThan">
      <formula>0.85</formula>
    </cfRule>
  </conditionalFormatting>
  <conditionalFormatting sqref="N71">
    <cfRule type="cellIs" dxfId="6959" priority="528" operator="greaterThan">
      <formula>0.9</formula>
    </cfRule>
    <cfRule type="cellIs" dxfId="6958" priority="529" operator="greaterThan">
      <formula>0.85</formula>
    </cfRule>
  </conditionalFormatting>
  <conditionalFormatting sqref="E71">
    <cfRule type="expression" dxfId="6957" priority="524">
      <formula>AND(IF(OR($Q71=1,$Q71=2),1,0),IF($X71&lt;=20,1,0))</formula>
    </cfRule>
    <cfRule type="expression" dxfId="6956" priority="525">
      <formula>AND(IF($Q71=2,1,0),IF($X71&lt;30,1,0))</formula>
    </cfRule>
    <cfRule type="expression" dxfId="6955" priority="526">
      <formula>AND(IF($Q71=3,1,0),IF($X71&lt;30,1,0))</formula>
    </cfRule>
    <cfRule type="expression" dxfId="6954" priority="527">
      <formula>AND(IF($Q71=3,1,IF($Q71=4,1,0)),IF($F71&lt;=85,1,0))</formula>
    </cfRule>
  </conditionalFormatting>
  <conditionalFormatting sqref="X71">
    <cfRule type="expression" dxfId="6953" priority="520">
      <formula>AND(IF(OR($Q71=1,$Q71=2),1,0),IF($X71&lt;=20,1,0))</formula>
    </cfRule>
    <cfRule type="expression" dxfId="6952" priority="521">
      <formula>AND(IF($Q71=2,1,0),IF($X71&lt;30,1,0))</formula>
    </cfRule>
    <cfRule type="expression" dxfId="6951" priority="522">
      <formula>AND(IF($Q71=3,1,0),IF($X71&lt;30,1,0))</formula>
    </cfRule>
    <cfRule type="expression" dxfId="6950" priority="523">
      <formula>AND(IF($Q71=3,1,IF($Q71=4,1,0)),IF($F71&lt;=85,1,0))</formula>
    </cfRule>
  </conditionalFormatting>
  <conditionalFormatting sqref="AI71">
    <cfRule type="expression" dxfId="6949" priority="516">
      <formula>AND(IF(OR($Q71=1,$Q71=2),1,0),IF($X71&lt;=20,1,0))</formula>
    </cfRule>
    <cfRule type="expression" dxfId="6948" priority="517">
      <formula>AND(IF($Q71=2,1,0),IF($X71&lt;30,1,0))</formula>
    </cfRule>
    <cfRule type="expression" dxfId="6947" priority="518">
      <formula>AND(IF($Q71=3,1,0),IF($X71&lt;30,1,0))</formula>
    </cfRule>
    <cfRule type="expression" dxfId="6946" priority="519">
      <formula>AND(IF($Q71=3,1,IF($Q71=4,1,0)),IF($F71&lt;=85,1,0))</formula>
    </cfRule>
  </conditionalFormatting>
  <conditionalFormatting sqref="AV72">
    <cfRule type="expression" dxfId="6945" priority="514">
      <formula>AV72="X"</formula>
    </cfRule>
    <cfRule type="expression" dxfId="6944" priority="515">
      <formula>AV72="후보"</formula>
    </cfRule>
  </conditionalFormatting>
  <conditionalFormatting sqref="AC72">
    <cfRule type="cellIs" dxfId="6943" priority="511" operator="greaterThan">
      <formula>0.9</formula>
    </cfRule>
    <cfRule type="cellIs" dxfId="6942" priority="512" operator="greaterThan">
      <formula>0.85</formula>
    </cfRule>
  </conditionalFormatting>
  <conditionalFormatting sqref="N72">
    <cfRule type="cellIs" dxfId="6941" priority="509" operator="greaterThan">
      <formula>0.9</formula>
    </cfRule>
    <cfRule type="cellIs" dxfId="6940" priority="510" operator="greaterThan">
      <formula>0.85</formula>
    </cfRule>
  </conditionalFormatting>
  <conditionalFormatting sqref="E72">
    <cfRule type="expression" dxfId="6939" priority="505">
      <formula>AND(IF(OR($Q72=1,$Q72=2),1,0),IF($X72&lt;=20,1,0))</formula>
    </cfRule>
    <cfRule type="expression" dxfId="6938" priority="506">
      <formula>AND(IF($Q72=2,1,0),IF($X72&lt;30,1,0))</formula>
    </cfRule>
    <cfRule type="expression" dxfId="6937" priority="507">
      <formula>AND(IF($Q72=3,1,0),IF($X72&lt;30,1,0))</formula>
    </cfRule>
    <cfRule type="expression" dxfId="6936" priority="508">
      <formula>AND(IF($Q72=3,1,IF($Q72=4,1,0)),IF($F72&lt;=85,1,0))</formula>
    </cfRule>
  </conditionalFormatting>
  <conditionalFormatting sqref="X72">
    <cfRule type="expression" dxfId="6935" priority="501">
      <formula>AND(IF(OR($Q72=1,$Q72=2),1,0),IF($X72&lt;=20,1,0))</formula>
    </cfRule>
    <cfRule type="expression" dxfId="6934" priority="502">
      <formula>AND(IF($Q72=2,1,0),IF($X72&lt;30,1,0))</formula>
    </cfRule>
    <cfRule type="expression" dxfId="6933" priority="503">
      <formula>AND(IF($Q72=3,1,0),IF($X72&lt;30,1,0))</formula>
    </cfRule>
    <cfRule type="expression" dxfId="6932" priority="504">
      <formula>AND(IF($Q72=3,1,IF($Q72=4,1,0)),IF($F72&lt;=85,1,0))</formula>
    </cfRule>
  </conditionalFormatting>
  <conditionalFormatting sqref="AI72">
    <cfRule type="expression" dxfId="6931" priority="497">
      <formula>AND(IF(OR($Q72=1,$Q72=2),1,0),IF($X72&lt;=20,1,0))</formula>
    </cfRule>
    <cfRule type="expression" dxfId="6930" priority="498">
      <formula>AND(IF($Q72=2,1,0),IF($X72&lt;30,1,0))</formula>
    </cfRule>
    <cfRule type="expression" dxfId="6929" priority="499">
      <formula>AND(IF($Q72=3,1,0),IF($X72&lt;30,1,0))</formula>
    </cfRule>
    <cfRule type="expression" dxfId="6928" priority="500">
      <formula>AND(IF($Q72=3,1,IF($Q72=4,1,0)),IF($F72&lt;=85,1,0))</formula>
    </cfRule>
  </conditionalFormatting>
  <conditionalFormatting sqref="AV73">
    <cfRule type="expression" dxfId="6927" priority="495">
      <formula>AV73="X"</formula>
    </cfRule>
    <cfRule type="expression" dxfId="6926" priority="496">
      <formula>AV73="후보"</formula>
    </cfRule>
  </conditionalFormatting>
  <conditionalFormatting sqref="AC73 N73">
    <cfRule type="cellIs" dxfId="6925" priority="492" operator="greaterThan">
      <formula>0.9</formula>
    </cfRule>
    <cfRule type="cellIs" dxfId="6924" priority="493" operator="greaterThan">
      <formula>0.85</formula>
    </cfRule>
  </conditionalFormatting>
  <conditionalFormatting sqref="AV74">
    <cfRule type="expression" dxfId="6923" priority="490">
      <formula>AV74="X"</formula>
    </cfRule>
    <cfRule type="expression" dxfId="6922" priority="491">
      <formula>AV74="후보"</formula>
    </cfRule>
  </conditionalFormatting>
  <conditionalFormatting sqref="AC74">
    <cfRule type="cellIs" dxfId="6921" priority="487" operator="greaterThan">
      <formula>0.9</formula>
    </cfRule>
    <cfRule type="cellIs" dxfId="6920" priority="488" operator="greaterThan">
      <formula>0.85</formula>
    </cfRule>
  </conditionalFormatting>
  <conditionalFormatting sqref="N74">
    <cfRule type="cellIs" dxfId="6919" priority="485" operator="greaterThan">
      <formula>0.9</formula>
    </cfRule>
    <cfRule type="cellIs" dxfId="6918" priority="486" operator="greaterThan">
      <formula>0.85</formula>
    </cfRule>
  </conditionalFormatting>
  <conditionalFormatting sqref="E74">
    <cfRule type="expression" dxfId="6917" priority="481">
      <formula>AND(IF(OR($Q74=1,$Q74=2),1,0),IF($X74&lt;=20,1,0))</formula>
    </cfRule>
    <cfRule type="expression" dxfId="6916" priority="482">
      <formula>AND(IF($Q74=2,1,0),IF($X74&lt;30,1,0))</formula>
    </cfRule>
    <cfRule type="expression" dxfId="6915" priority="483">
      <formula>AND(IF($Q74=3,1,0),IF($X74&lt;30,1,0))</formula>
    </cfRule>
    <cfRule type="expression" dxfId="6914" priority="484">
      <formula>AND(IF($Q74=3,1,IF($Q74=4,1,0)),IF($F74&lt;=85,1,0))</formula>
    </cfRule>
  </conditionalFormatting>
  <conditionalFormatting sqref="X74">
    <cfRule type="expression" dxfId="6913" priority="477">
      <formula>AND(IF(OR($Q74=1,$Q74=2),1,0),IF($X74&lt;=20,1,0))</formula>
    </cfRule>
    <cfRule type="expression" dxfId="6912" priority="478">
      <formula>AND(IF($Q74=2,1,0),IF($X74&lt;30,1,0))</formula>
    </cfRule>
    <cfRule type="expression" dxfId="6911" priority="479">
      <formula>AND(IF($Q74=3,1,0),IF($X74&lt;30,1,0))</formula>
    </cfRule>
    <cfRule type="expression" dxfId="6910" priority="480">
      <formula>AND(IF($Q74=3,1,IF($Q74=4,1,0)),IF($F74&lt;=85,1,0))</formula>
    </cfRule>
  </conditionalFormatting>
  <conditionalFormatting sqref="AI74">
    <cfRule type="expression" dxfId="6909" priority="473">
      <formula>AND(IF(OR($Q74=1,$Q74=2),1,0),IF($X74&lt;=20,1,0))</formula>
    </cfRule>
    <cfRule type="expression" dxfId="6908" priority="474">
      <formula>AND(IF($Q74=2,1,0),IF($X74&lt;30,1,0))</formula>
    </cfRule>
    <cfRule type="expression" dxfId="6907" priority="475">
      <formula>AND(IF($Q74=3,1,0),IF($X74&lt;30,1,0))</formula>
    </cfRule>
    <cfRule type="expression" dxfId="6906" priority="476">
      <formula>AND(IF($Q74=3,1,IF($Q74=4,1,0)),IF($F74&lt;=85,1,0))</formula>
    </cfRule>
  </conditionalFormatting>
  <conditionalFormatting sqref="AV75">
    <cfRule type="expression" dxfId="6905" priority="471">
      <formula>AV75="X"</formula>
    </cfRule>
    <cfRule type="expression" dxfId="6904" priority="472">
      <formula>AV75="후보"</formula>
    </cfRule>
  </conditionalFormatting>
  <conditionalFormatting sqref="AC75">
    <cfRule type="cellIs" dxfId="6903" priority="468" operator="greaterThan">
      <formula>0.9</formula>
    </cfRule>
    <cfRule type="cellIs" dxfId="6902" priority="469" operator="greaterThan">
      <formula>0.85</formula>
    </cfRule>
  </conditionalFormatting>
  <conditionalFormatting sqref="N75">
    <cfRule type="cellIs" dxfId="6901" priority="466" operator="greaterThan">
      <formula>0.9</formula>
    </cfRule>
    <cfRule type="cellIs" dxfId="6900" priority="467" operator="greaterThan">
      <formula>0.85</formula>
    </cfRule>
  </conditionalFormatting>
  <conditionalFormatting sqref="E75">
    <cfRule type="expression" dxfId="6899" priority="462">
      <formula>AND(IF(OR($Q75=1,$Q75=2),1,0),IF($X75&lt;=20,1,0))</formula>
    </cfRule>
    <cfRule type="expression" dxfId="6898" priority="463">
      <formula>AND(IF($Q75=2,1,0),IF($X75&lt;30,1,0))</formula>
    </cfRule>
    <cfRule type="expression" dxfId="6897" priority="464">
      <formula>AND(IF($Q75=3,1,0),IF($X75&lt;30,1,0))</formula>
    </cfRule>
    <cfRule type="expression" dxfId="6896" priority="465">
      <formula>AND(IF($Q75=3,1,IF($Q75=4,1,0)),IF($F75&lt;=85,1,0))</formula>
    </cfRule>
  </conditionalFormatting>
  <conditionalFormatting sqref="X75">
    <cfRule type="expression" dxfId="6895" priority="458">
      <formula>AND(IF(OR($Q75=1,$Q75=2),1,0),IF($X75&lt;=20,1,0))</formula>
    </cfRule>
    <cfRule type="expression" dxfId="6894" priority="459">
      <formula>AND(IF($Q75=2,1,0),IF($X75&lt;30,1,0))</formula>
    </cfRule>
    <cfRule type="expression" dxfId="6893" priority="460">
      <formula>AND(IF($Q75=3,1,0),IF($X75&lt;30,1,0))</formula>
    </cfRule>
    <cfRule type="expression" dxfId="6892" priority="461">
      <formula>AND(IF($Q75=3,1,IF($Q75=4,1,0)),IF($F75&lt;=85,1,0))</formula>
    </cfRule>
  </conditionalFormatting>
  <conditionalFormatting sqref="AI75">
    <cfRule type="expression" dxfId="6891" priority="454">
      <formula>AND(IF(OR($Q75=1,$Q75=2),1,0),IF($X75&lt;=20,1,0))</formula>
    </cfRule>
    <cfRule type="expression" dxfId="6890" priority="455">
      <formula>AND(IF($Q75=2,1,0),IF($X75&lt;30,1,0))</formula>
    </cfRule>
    <cfRule type="expression" dxfId="6889" priority="456">
      <formula>AND(IF($Q75=3,1,0),IF($X75&lt;30,1,0))</formula>
    </cfRule>
    <cfRule type="expression" dxfId="6888" priority="457">
      <formula>AND(IF($Q75=3,1,IF($Q75=4,1,0)),IF($F75&lt;=85,1,0))</formula>
    </cfRule>
  </conditionalFormatting>
  <conditionalFormatting sqref="AV76">
    <cfRule type="expression" dxfId="6887" priority="452">
      <formula>AV76="X"</formula>
    </cfRule>
    <cfRule type="expression" dxfId="6886" priority="453">
      <formula>AV76="후보"</formula>
    </cfRule>
  </conditionalFormatting>
  <conditionalFormatting sqref="AC76">
    <cfRule type="cellIs" dxfId="6885" priority="449" operator="greaterThan">
      <formula>0.9</formula>
    </cfRule>
    <cfRule type="cellIs" dxfId="6884" priority="450" operator="greaterThan">
      <formula>0.85</formula>
    </cfRule>
  </conditionalFormatting>
  <conditionalFormatting sqref="N76">
    <cfRule type="cellIs" dxfId="6883" priority="447" operator="greaterThan">
      <formula>0.9</formula>
    </cfRule>
    <cfRule type="cellIs" dxfId="6882" priority="448" operator="greaterThan">
      <formula>0.85</formula>
    </cfRule>
  </conditionalFormatting>
  <conditionalFormatting sqref="E76">
    <cfRule type="expression" dxfId="6881" priority="443">
      <formula>AND(IF(OR($Q76=1,$Q76=2),1,0),IF($X76&lt;=20,1,0))</formula>
    </cfRule>
    <cfRule type="expression" dxfId="6880" priority="444">
      <formula>AND(IF($Q76=2,1,0),IF($X76&lt;30,1,0))</formula>
    </cfRule>
    <cfRule type="expression" dxfId="6879" priority="445">
      <formula>AND(IF($Q76=3,1,0),IF($X76&lt;30,1,0))</formula>
    </cfRule>
    <cfRule type="expression" dxfId="6878" priority="446">
      <formula>AND(IF($Q76=3,1,IF($Q76=4,1,0)),IF($F76&lt;=85,1,0))</formula>
    </cfRule>
  </conditionalFormatting>
  <conditionalFormatting sqref="X76">
    <cfRule type="expression" dxfId="6877" priority="439">
      <formula>AND(IF(OR($Q76=1,$Q76=2),1,0),IF($X76&lt;=20,1,0))</formula>
    </cfRule>
    <cfRule type="expression" dxfId="6876" priority="440">
      <formula>AND(IF($Q76=2,1,0),IF($X76&lt;30,1,0))</formula>
    </cfRule>
    <cfRule type="expression" dxfId="6875" priority="441">
      <formula>AND(IF($Q76=3,1,0),IF($X76&lt;30,1,0))</formula>
    </cfRule>
    <cfRule type="expression" dxfId="6874" priority="442">
      <formula>AND(IF($Q76=3,1,IF($Q76=4,1,0)),IF($F76&lt;=85,1,0))</formula>
    </cfRule>
  </conditionalFormatting>
  <conditionalFormatting sqref="AI76">
    <cfRule type="expression" dxfId="6873" priority="435">
      <formula>AND(IF(OR($Q76=1,$Q76=2),1,0),IF($X76&lt;=20,1,0))</formula>
    </cfRule>
    <cfRule type="expression" dxfId="6872" priority="436">
      <formula>AND(IF($Q76=2,1,0),IF($X76&lt;30,1,0))</formula>
    </cfRule>
    <cfRule type="expression" dxfId="6871" priority="437">
      <formula>AND(IF($Q76=3,1,0),IF($X76&lt;30,1,0))</formula>
    </cfRule>
    <cfRule type="expression" dxfId="6870" priority="438">
      <formula>AND(IF($Q76=3,1,IF($Q76=4,1,0)),IF($F76&lt;=85,1,0))</formula>
    </cfRule>
  </conditionalFormatting>
  <conditionalFormatting sqref="AV77">
    <cfRule type="expression" dxfId="6869" priority="433">
      <formula>AV77="X"</formula>
    </cfRule>
    <cfRule type="expression" dxfId="6868" priority="434">
      <formula>AV77="후보"</formula>
    </cfRule>
  </conditionalFormatting>
  <conditionalFormatting sqref="AC77 N77">
    <cfRule type="cellIs" dxfId="6867" priority="430" operator="greaterThan">
      <formula>0.9</formula>
    </cfRule>
    <cfRule type="cellIs" dxfId="6866" priority="431" operator="greaterThan">
      <formula>0.85</formula>
    </cfRule>
  </conditionalFormatting>
  <conditionalFormatting sqref="AV78">
    <cfRule type="expression" dxfId="6865" priority="428">
      <formula>AV78="X"</formula>
    </cfRule>
    <cfRule type="expression" dxfId="6864" priority="429">
      <formula>AV78="후보"</formula>
    </cfRule>
  </conditionalFormatting>
  <conditionalFormatting sqref="AC78">
    <cfRule type="cellIs" dxfId="6863" priority="425" operator="greaterThan">
      <formula>0.9</formula>
    </cfRule>
    <cfRule type="cellIs" dxfId="6862" priority="426" operator="greaterThan">
      <formula>0.85</formula>
    </cfRule>
  </conditionalFormatting>
  <conditionalFormatting sqref="N78">
    <cfRule type="cellIs" dxfId="6861" priority="423" operator="greaterThan">
      <formula>0.9</formula>
    </cfRule>
    <cfRule type="cellIs" dxfId="6860" priority="424" operator="greaterThan">
      <formula>0.85</formula>
    </cfRule>
  </conditionalFormatting>
  <conditionalFormatting sqref="E78">
    <cfRule type="expression" dxfId="6859" priority="419">
      <formula>AND(IF(OR($Q78=1,$Q78=2),1,0),IF($X78&lt;=20,1,0))</formula>
    </cfRule>
    <cfRule type="expression" dxfId="6858" priority="420">
      <formula>AND(IF($Q78=2,1,0),IF($X78&lt;30,1,0))</formula>
    </cfRule>
    <cfRule type="expression" dxfId="6857" priority="421">
      <formula>AND(IF($Q78=3,1,0),IF($X78&lt;30,1,0))</formula>
    </cfRule>
    <cfRule type="expression" dxfId="6856" priority="422">
      <formula>AND(IF($Q78=3,1,IF($Q78=4,1,0)),IF($F78&lt;=85,1,0))</formula>
    </cfRule>
  </conditionalFormatting>
  <conditionalFormatting sqref="X78">
    <cfRule type="expression" dxfId="6855" priority="415">
      <formula>AND(IF(OR($Q78=1,$Q78=2),1,0),IF($X78&lt;=20,1,0))</formula>
    </cfRule>
    <cfRule type="expression" dxfId="6854" priority="416">
      <formula>AND(IF($Q78=2,1,0),IF($X78&lt;30,1,0))</formula>
    </cfRule>
    <cfRule type="expression" dxfId="6853" priority="417">
      <formula>AND(IF($Q78=3,1,0),IF($X78&lt;30,1,0))</formula>
    </cfRule>
    <cfRule type="expression" dxfId="6852" priority="418">
      <formula>AND(IF($Q78=3,1,IF($Q78=4,1,0)),IF($F78&lt;=85,1,0))</formula>
    </cfRule>
  </conditionalFormatting>
  <conditionalFormatting sqref="AI78">
    <cfRule type="expression" dxfId="6851" priority="411">
      <formula>AND(IF(OR($Q78=1,$Q78=2),1,0),IF($X78&lt;=20,1,0))</formula>
    </cfRule>
    <cfRule type="expression" dxfId="6850" priority="412">
      <formula>AND(IF($Q78=2,1,0),IF($X78&lt;30,1,0))</formula>
    </cfRule>
    <cfRule type="expression" dxfId="6849" priority="413">
      <formula>AND(IF($Q78=3,1,0),IF($X78&lt;30,1,0))</formula>
    </cfRule>
    <cfRule type="expression" dxfId="6848" priority="414">
      <formula>AND(IF($Q78=3,1,IF($Q78=4,1,0)),IF($F78&lt;=85,1,0))</formula>
    </cfRule>
  </conditionalFormatting>
  <conditionalFormatting sqref="AV79">
    <cfRule type="expression" dxfId="6847" priority="409">
      <formula>AV79="X"</formula>
    </cfRule>
    <cfRule type="expression" dxfId="6846" priority="410">
      <formula>AV79="후보"</formula>
    </cfRule>
  </conditionalFormatting>
  <conditionalFormatting sqref="AC79">
    <cfRule type="cellIs" dxfId="6845" priority="406" operator="greaterThan">
      <formula>0.9</formula>
    </cfRule>
    <cfRule type="cellIs" dxfId="6844" priority="407" operator="greaterThan">
      <formula>0.85</formula>
    </cfRule>
  </conditionalFormatting>
  <conditionalFormatting sqref="N79">
    <cfRule type="cellIs" dxfId="6843" priority="404" operator="greaterThan">
      <formula>0.9</formula>
    </cfRule>
    <cfRule type="cellIs" dxfId="6842" priority="405" operator="greaterThan">
      <formula>0.85</formula>
    </cfRule>
  </conditionalFormatting>
  <conditionalFormatting sqref="E79">
    <cfRule type="expression" dxfId="6841" priority="400">
      <formula>AND(IF(OR($Q79=1,$Q79=2),1,0),IF($X79&lt;=20,1,0))</formula>
    </cfRule>
    <cfRule type="expression" dxfId="6840" priority="401">
      <formula>AND(IF($Q79=2,1,0),IF($X79&lt;30,1,0))</formula>
    </cfRule>
    <cfRule type="expression" dxfId="6839" priority="402">
      <formula>AND(IF($Q79=3,1,0),IF($X79&lt;30,1,0))</formula>
    </cfRule>
    <cfRule type="expression" dxfId="6838" priority="403">
      <formula>AND(IF($Q79=3,1,IF($Q79=4,1,0)),IF($F79&lt;=85,1,0))</formula>
    </cfRule>
  </conditionalFormatting>
  <conditionalFormatting sqref="X79">
    <cfRule type="expression" dxfId="6837" priority="396">
      <formula>AND(IF(OR($Q79=1,$Q79=2),1,0),IF($X79&lt;=20,1,0))</formula>
    </cfRule>
    <cfRule type="expression" dxfId="6836" priority="397">
      <formula>AND(IF($Q79=2,1,0),IF($X79&lt;30,1,0))</formula>
    </cfRule>
    <cfRule type="expression" dxfId="6835" priority="398">
      <formula>AND(IF($Q79=3,1,0),IF($X79&lt;30,1,0))</formula>
    </cfRule>
    <cfRule type="expression" dxfId="6834" priority="399">
      <formula>AND(IF($Q79=3,1,IF($Q79=4,1,0)),IF($F79&lt;=85,1,0))</formula>
    </cfRule>
  </conditionalFormatting>
  <conditionalFormatting sqref="AI79">
    <cfRule type="expression" dxfId="6833" priority="392">
      <formula>AND(IF(OR($Q79=1,$Q79=2),1,0),IF($X79&lt;=20,1,0))</formula>
    </cfRule>
    <cfRule type="expression" dxfId="6832" priority="393">
      <formula>AND(IF($Q79=2,1,0),IF($X79&lt;30,1,0))</formula>
    </cfRule>
    <cfRule type="expression" dxfId="6831" priority="394">
      <formula>AND(IF($Q79=3,1,0),IF($X79&lt;30,1,0))</formula>
    </cfRule>
    <cfRule type="expression" dxfId="6830" priority="395">
      <formula>AND(IF($Q79=3,1,IF($Q79=4,1,0)),IF($F79&lt;=85,1,0))</formula>
    </cfRule>
  </conditionalFormatting>
  <conditionalFormatting sqref="AV80">
    <cfRule type="expression" dxfId="6829" priority="390">
      <formula>AV80="X"</formula>
    </cfRule>
    <cfRule type="expression" dxfId="6828" priority="391">
      <formula>AV80="후보"</formula>
    </cfRule>
  </conditionalFormatting>
  <conditionalFormatting sqref="AC80">
    <cfRule type="cellIs" dxfId="6827" priority="387" operator="greaterThan">
      <formula>0.9</formula>
    </cfRule>
    <cfRule type="cellIs" dxfId="6826" priority="388" operator="greaterThan">
      <formula>0.85</formula>
    </cfRule>
  </conditionalFormatting>
  <conditionalFormatting sqref="N80">
    <cfRule type="cellIs" dxfId="6825" priority="385" operator="greaterThan">
      <formula>0.9</formula>
    </cfRule>
    <cfRule type="cellIs" dxfId="6824" priority="386" operator="greaterThan">
      <formula>0.85</formula>
    </cfRule>
  </conditionalFormatting>
  <conditionalFormatting sqref="E80">
    <cfRule type="expression" dxfId="6823" priority="381">
      <formula>AND(IF(OR($Q80=1,$Q80=2),1,0),IF($X80&lt;=20,1,0))</formula>
    </cfRule>
    <cfRule type="expression" dxfId="6822" priority="382">
      <formula>AND(IF($Q80=2,1,0),IF($X80&lt;30,1,0))</formula>
    </cfRule>
    <cfRule type="expression" dxfId="6821" priority="383">
      <formula>AND(IF($Q80=3,1,0),IF($X80&lt;30,1,0))</formula>
    </cfRule>
    <cfRule type="expression" dxfId="6820" priority="384">
      <formula>AND(IF($Q80=3,1,IF($Q80=4,1,0)),IF($F80&lt;=85,1,0))</formula>
    </cfRule>
  </conditionalFormatting>
  <conditionalFormatting sqref="X80">
    <cfRule type="expression" dxfId="6819" priority="377">
      <formula>AND(IF(OR($Q80=1,$Q80=2),1,0),IF($X80&lt;=20,1,0))</formula>
    </cfRule>
    <cfRule type="expression" dxfId="6818" priority="378">
      <formula>AND(IF($Q80=2,1,0),IF($X80&lt;30,1,0))</formula>
    </cfRule>
    <cfRule type="expression" dxfId="6817" priority="379">
      <formula>AND(IF($Q80=3,1,0),IF($X80&lt;30,1,0))</formula>
    </cfRule>
    <cfRule type="expression" dxfId="6816" priority="380">
      <formula>AND(IF($Q80=3,1,IF($Q80=4,1,0)),IF($F80&lt;=85,1,0))</formula>
    </cfRule>
  </conditionalFormatting>
  <conditionalFormatting sqref="AI80">
    <cfRule type="expression" dxfId="6815" priority="373">
      <formula>AND(IF(OR($Q80=1,$Q80=2),1,0),IF($X80&lt;=20,1,0))</formula>
    </cfRule>
    <cfRule type="expression" dxfId="6814" priority="374">
      <formula>AND(IF($Q80=2,1,0),IF($X80&lt;30,1,0))</formula>
    </cfRule>
    <cfRule type="expression" dxfId="6813" priority="375">
      <formula>AND(IF($Q80=3,1,0),IF($X80&lt;30,1,0))</formula>
    </cfRule>
    <cfRule type="expression" dxfId="6812" priority="376">
      <formula>AND(IF($Q80=3,1,IF($Q80=4,1,0)),IF($F80&lt;=85,1,0))</formula>
    </cfRule>
  </conditionalFormatting>
  <conditionalFormatting sqref="AV81">
    <cfRule type="expression" dxfId="6811" priority="371">
      <formula>AV81="X"</formula>
    </cfRule>
    <cfRule type="expression" dxfId="6810" priority="372">
      <formula>AV81="후보"</formula>
    </cfRule>
  </conditionalFormatting>
  <conditionalFormatting sqref="AC81 N81">
    <cfRule type="cellIs" dxfId="6809" priority="368" operator="greaterThan">
      <formula>0.9</formula>
    </cfRule>
    <cfRule type="cellIs" dxfId="6808" priority="369" operator="greaterThan">
      <formula>0.85</formula>
    </cfRule>
  </conditionalFormatting>
  <conditionalFormatting sqref="AV82">
    <cfRule type="expression" dxfId="6807" priority="366">
      <formula>AV82="X"</formula>
    </cfRule>
    <cfRule type="expression" dxfId="6806" priority="367">
      <formula>AV82="후보"</formula>
    </cfRule>
  </conditionalFormatting>
  <conditionalFormatting sqref="AC82">
    <cfRule type="cellIs" dxfId="6805" priority="363" operator="greaterThan">
      <formula>0.9</formula>
    </cfRule>
    <cfRule type="cellIs" dxfId="6804" priority="364" operator="greaterThan">
      <formula>0.85</formula>
    </cfRule>
  </conditionalFormatting>
  <conditionalFormatting sqref="N82">
    <cfRule type="cellIs" dxfId="6803" priority="361" operator="greaterThan">
      <formula>0.9</formula>
    </cfRule>
    <cfRule type="cellIs" dxfId="6802" priority="362" operator="greaterThan">
      <formula>0.85</formula>
    </cfRule>
  </conditionalFormatting>
  <conditionalFormatting sqref="E82">
    <cfRule type="expression" dxfId="6801" priority="357">
      <formula>AND(IF(OR($Q82=1,$Q82=2),1,0),IF($X82&lt;=20,1,0))</formula>
    </cfRule>
    <cfRule type="expression" dxfId="6800" priority="358">
      <formula>AND(IF($Q82=2,1,0),IF($X82&lt;30,1,0))</formula>
    </cfRule>
    <cfRule type="expression" dxfId="6799" priority="359">
      <formula>AND(IF($Q82=3,1,0),IF($X82&lt;30,1,0))</formula>
    </cfRule>
    <cfRule type="expression" dxfId="6798" priority="360">
      <formula>AND(IF($Q82=3,1,IF($Q82=4,1,0)),IF($F82&lt;=85,1,0))</formula>
    </cfRule>
  </conditionalFormatting>
  <conditionalFormatting sqref="X82">
    <cfRule type="expression" dxfId="6797" priority="353">
      <formula>AND(IF(OR($Q82=1,$Q82=2),1,0),IF($X82&lt;=20,1,0))</formula>
    </cfRule>
    <cfRule type="expression" dxfId="6796" priority="354">
      <formula>AND(IF($Q82=2,1,0),IF($X82&lt;30,1,0))</formula>
    </cfRule>
    <cfRule type="expression" dxfId="6795" priority="355">
      <formula>AND(IF($Q82=3,1,0),IF($X82&lt;30,1,0))</formula>
    </cfRule>
    <cfRule type="expression" dxfId="6794" priority="356">
      <formula>AND(IF($Q82=3,1,IF($Q82=4,1,0)),IF($F82&lt;=85,1,0))</formula>
    </cfRule>
  </conditionalFormatting>
  <conditionalFormatting sqref="AI82">
    <cfRule type="expression" dxfId="6793" priority="349">
      <formula>AND(IF(OR($Q82=1,$Q82=2),1,0),IF($X82&lt;=20,1,0))</formula>
    </cfRule>
    <cfRule type="expression" dxfId="6792" priority="350">
      <formula>AND(IF($Q82=2,1,0),IF($X82&lt;30,1,0))</formula>
    </cfRule>
    <cfRule type="expression" dxfId="6791" priority="351">
      <formula>AND(IF($Q82=3,1,0),IF($X82&lt;30,1,0))</formula>
    </cfRule>
    <cfRule type="expression" dxfId="6790" priority="352">
      <formula>AND(IF($Q82=3,1,IF($Q82=4,1,0)),IF($F82&lt;=85,1,0))</formula>
    </cfRule>
  </conditionalFormatting>
  <conditionalFormatting sqref="AV83">
    <cfRule type="expression" dxfId="6789" priority="347">
      <formula>AV83="X"</formula>
    </cfRule>
    <cfRule type="expression" dxfId="6788" priority="348">
      <formula>AV83="후보"</formula>
    </cfRule>
  </conditionalFormatting>
  <conditionalFormatting sqref="AC83">
    <cfRule type="cellIs" dxfId="6787" priority="344" operator="greaterThan">
      <formula>0.9</formula>
    </cfRule>
    <cfRule type="cellIs" dxfId="6786" priority="345" operator="greaterThan">
      <formula>0.85</formula>
    </cfRule>
  </conditionalFormatting>
  <conditionalFormatting sqref="N83">
    <cfRule type="cellIs" dxfId="6785" priority="342" operator="greaterThan">
      <formula>0.9</formula>
    </cfRule>
    <cfRule type="cellIs" dxfId="6784" priority="343" operator="greaterThan">
      <formula>0.85</formula>
    </cfRule>
  </conditionalFormatting>
  <conditionalFormatting sqref="E83">
    <cfRule type="expression" dxfId="6783" priority="338">
      <formula>AND(IF(OR($Q83=1,$Q83=2),1,0),IF($X83&lt;=20,1,0))</formula>
    </cfRule>
    <cfRule type="expression" dxfId="6782" priority="339">
      <formula>AND(IF($Q83=2,1,0),IF($X83&lt;30,1,0))</formula>
    </cfRule>
    <cfRule type="expression" dxfId="6781" priority="340">
      <formula>AND(IF($Q83=3,1,0),IF($X83&lt;30,1,0))</formula>
    </cfRule>
    <cfRule type="expression" dxfId="6780" priority="341">
      <formula>AND(IF($Q83=3,1,IF($Q83=4,1,0)),IF($F83&lt;=85,1,0))</formula>
    </cfRule>
  </conditionalFormatting>
  <conditionalFormatting sqref="X83">
    <cfRule type="expression" dxfId="6779" priority="334">
      <formula>AND(IF(OR($Q83=1,$Q83=2),1,0),IF($X83&lt;=20,1,0))</formula>
    </cfRule>
    <cfRule type="expression" dxfId="6778" priority="335">
      <formula>AND(IF($Q83=2,1,0),IF($X83&lt;30,1,0))</formula>
    </cfRule>
    <cfRule type="expression" dxfId="6777" priority="336">
      <formula>AND(IF($Q83=3,1,0),IF($X83&lt;30,1,0))</formula>
    </cfRule>
    <cfRule type="expression" dxfId="6776" priority="337">
      <formula>AND(IF($Q83=3,1,IF($Q83=4,1,0)),IF($F83&lt;=85,1,0))</formula>
    </cfRule>
  </conditionalFormatting>
  <conditionalFormatting sqref="AI83">
    <cfRule type="expression" dxfId="6775" priority="330">
      <formula>AND(IF(OR($Q83=1,$Q83=2),1,0),IF($X83&lt;=20,1,0))</formula>
    </cfRule>
    <cfRule type="expression" dxfId="6774" priority="331">
      <formula>AND(IF($Q83=2,1,0),IF($X83&lt;30,1,0))</formula>
    </cfRule>
    <cfRule type="expression" dxfId="6773" priority="332">
      <formula>AND(IF($Q83=3,1,0),IF($X83&lt;30,1,0))</formula>
    </cfRule>
    <cfRule type="expression" dxfId="6772" priority="333">
      <formula>AND(IF($Q83=3,1,IF($Q83=4,1,0)),IF($F83&lt;=85,1,0))</formula>
    </cfRule>
  </conditionalFormatting>
  <conditionalFormatting sqref="AV84">
    <cfRule type="expression" dxfId="6771" priority="328">
      <formula>AV84="X"</formula>
    </cfRule>
    <cfRule type="expression" dxfId="6770" priority="329">
      <formula>AV84="후보"</formula>
    </cfRule>
  </conditionalFormatting>
  <conditionalFormatting sqref="AC84">
    <cfRule type="cellIs" dxfId="6769" priority="325" operator="greaterThan">
      <formula>0.9</formula>
    </cfRule>
    <cfRule type="cellIs" dxfId="6768" priority="326" operator="greaterThan">
      <formula>0.85</formula>
    </cfRule>
  </conditionalFormatting>
  <conditionalFormatting sqref="N84">
    <cfRule type="cellIs" dxfId="6767" priority="323" operator="greaterThan">
      <formula>0.9</formula>
    </cfRule>
    <cfRule type="cellIs" dxfId="6766" priority="324" operator="greaterThan">
      <formula>0.85</formula>
    </cfRule>
  </conditionalFormatting>
  <conditionalFormatting sqref="E84">
    <cfRule type="expression" dxfId="6765" priority="319">
      <formula>AND(IF(OR($Q84=1,$Q84=2),1,0),IF($X84&lt;=20,1,0))</formula>
    </cfRule>
    <cfRule type="expression" dxfId="6764" priority="320">
      <formula>AND(IF($Q84=2,1,0),IF($X84&lt;30,1,0))</formula>
    </cfRule>
    <cfRule type="expression" dxfId="6763" priority="321">
      <formula>AND(IF($Q84=3,1,0),IF($X84&lt;30,1,0))</formula>
    </cfRule>
    <cfRule type="expression" dxfId="6762" priority="322">
      <formula>AND(IF($Q84=3,1,IF($Q84=4,1,0)),IF($F84&lt;=85,1,0))</formula>
    </cfRule>
  </conditionalFormatting>
  <conditionalFormatting sqref="X84">
    <cfRule type="expression" dxfId="6761" priority="315">
      <formula>AND(IF(OR($Q84=1,$Q84=2),1,0),IF($X84&lt;=20,1,0))</formula>
    </cfRule>
    <cfRule type="expression" dxfId="6760" priority="316">
      <formula>AND(IF($Q84=2,1,0),IF($X84&lt;30,1,0))</formula>
    </cfRule>
    <cfRule type="expression" dxfId="6759" priority="317">
      <formula>AND(IF($Q84=3,1,0),IF($X84&lt;30,1,0))</formula>
    </cfRule>
    <cfRule type="expression" dxfId="6758" priority="318">
      <formula>AND(IF($Q84=3,1,IF($Q84=4,1,0)),IF($F84&lt;=85,1,0))</formula>
    </cfRule>
  </conditionalFormatting>
  <conditionalFormatting sqref="AI84">
    <cfRule type="expression" dxfId="6757" priority="311">
      <formula>AND(IF(OR($Q84=1,$Q84=2),1,0),IF($X84&lt;=20,1,0))</formula>
    </cfRule>
    <cfRule type="expression" dxfId="6756" priority="312">
      <formula>AND(IF($Q84=2,1,0),IF($X84&lt;30,1,0))</formula>
    </cfRule>
    <cfRule type="expression" dxfId="6755" priority="313">
      <formula>AND(IF($Q84=3,1,0),IF($X84&lt;30,1,0))</formula>
    </cfRule>
    <cfRule type="expression" dxfId="6754" priority="314">
      <formula>AND(IF($Q84=3,1,IF($Q84=4,1,0)),IF($F84&lt;=85,1,0))</formula>
    </cfRule>
  </conditionalFormatting>
  <conditionalFormatting sqref="AV85">
    <cfRule type="expression" dxfId="6753" priority="309">
      <formula>AV85="X"</formula>
    </cfRule>
    <cfRule type="expression" dxfId="6752" priority="310">
      <formula>AV85="후보"</formula>
    </cfRule>
  </conditionalFormatting>
  <conditionalFormatting sqref="AC85">
    <cfRule type="cellIs" dxfId="6751" priority="306" operator="greaterThan">
      <formula>0.9</formula>
    </cfRule>
    <cfRule type="cellIs" dxfId="6750" priority="307" operator="greaterThan">
      <formula>0.85</formula>
    </cfRule>
  </conditionalFormatting>
  <conditionalFormatting sqref="N85">
    <cfRule type="cellIs" dxfId="6749" priority="304" operator="greaterThan">
      <formula>0.9</formula>
    </cfRule>
    <cfRule type="cellIs" dxfId="6748" priority="305" operator="greaterThan">
      <formula>0.85</formula>
    </cfRule>
  </conditionalFormatting>
  <conditionalFormatting sqref="E85">
    <cfRule type="expression" dxfId="6747" priority="300">
      <formula>AND(IF(OR($Q85=1,$Q85=2),1,0),IF($X85&lt;=20,1,0))</formula>
    </cfRule>
    <cfRule type="expression" dxfId="6746" priority="301">
      <formula>AND(IF($Q85=2,1,0),IF($X85&lt;30,1,0))</formula>
    </cfRule>
    <cfRule type="expression" dxfId="6745" priority="302">
      <formula>AND(IF($Q85=3,1,0),IF($X85&lt;30,1,0))</formula>
    </cfRule>
    <cfRule type="expression" dxfId="6744" priority="303">
      <formula>AND(IF($Q85=3,1,IF($Q85=4,1,0)),IF($F85&lt;=85,1,0))</formula>
    </cfRule>
  </conditionalFormatting>
  <conditionalFormatting sqref="X85">
    <cfRule type="expression" dxfId="6743" priority="296">
      <formula>AND(IF(OR($Q85=1,$Q85=2),1,0),IF($X85&lt;=20,1,0))</formula>
    </cfRule>
    <cfRule type="expression" dxfId="6742" priority="297">
      <formula>AND(IF($Q85=2,1,0),IF($X85&lt;30,1,0))</formula>
    </cfRule>
    <cfRule type="expression" dxfId="6741" priority="298">
      <formula>AND(IF($Q85=3,1,0),IF($X85&lt;30,1,0))</formula>
    </cfRule>
    <cfRule type="expression" dxfId="6740" priority="299">
      <formula>AND(IF($Q85=3,1,IF($Q85=4,1,0)),IF($F85&lt;=85,1,0))</formula>
    </cfRule>
  </conditionalFormatting>
  <conditionalFormatting sqref="AI85">
    <cfRule type="expression" dxfId="6739" priority="292">
      <formula>AND(IF(OR($Q85=1,$Q85=2),1,0),IF($X85&lt;=20,1,0))</formula>
    </cfRule>
    <cfRule type="expression" dxfId="6738" priority="293">
      <formula>AND(IF($Q85=2,1,0),IF($X85&lt;30,1,0))</formula>
    </cfRule>
    <cfRule type="expression" dxfId="6737" priority="294">
      <formula>AND(IF($Q85=3,1,0),IF($X85&lt;30,1,0))</formula>
    </cfRule>
    <cfRule type="expression" dxfId="6736" priority="295">
      <formula>AND(IF($Q85=3,1,IF($Q85=4,1,0)),IF($F85&lt;=85,1,0))</formula>
    </cfRule>
  </conditionalFormatting>
  <conditionalFormatting sqref="AV86">
    <cfRule type="expression" dxfId="6735" priority="290">
      <formula>AV86="X"</formula>
    </cfRule>
    <cfRule type="expression" dxfId="6734" priority="291">
      <formula>AV86="후보"</formula>
    </cfRule>
  </conditionalFormatting>
  <conditionalFormatting sqref="AC86 N86">
    <cfRule type="cellIs" dxfId="6733" priority="287" operator="greaterThan">
      <formula>0.9</formula>
    </cfRule>
    <cfRule type="cellIs" dxfId="6732" priority="288" operator="greaterThan">
      <formula>0.85</formula>
    </cfRule>
  </conditionalFormatting>
  <conditionalFormatting sqref="AV87">
    <cfRule type="expression" dxfId="6731" priority="285">
      <formula>AV87="X"</formula>
    </cfRule>
    <cfRule type="expression" dxfId="6730" priority="286">
      <formula>AV87="후보"</formula>
    </cfRule>
  </conditionalFormatting>
  <conditionalFormatting sqref="AC87">
    <cfRule type="cellIs" dxfId="6729" priority="282" operator="greaterThan">
      <formula>0.9</formula>
    </cfRule>
    <cfRule type="cellIs" dxfId="6728" priority="283" operator="greaterThan">
      <formula>0.85</formula>
    </cfRule>
  </conditionalFormatting>
  <conditionalFormatting sqref="N87">
    <cfRule type="cellIs" dxfId="6727" priority="280" operator="greaterThan">
      <formula>0.9</formula>
    </cfRule>
    <cfRule type="cellIs" dxfId="6726" priority="281" operator="greaterThan">
      <formula>0.85</formula>
    </cfRule>
  </conditionalFormatting>
  <conditionalFormatting sqref="E87">
    <cfRule type="expression" dxfId="6725" priority="276">
      <formula>AND(IF(OR($Q87=1,$Q87=2),1,0),IF($X87&lt;=20,1,0))</formula>
    </cfRule>
    <cfRule type="expression" dxfId="6724" priority="277">
      <formula>AND(IF($Q87=2,1,0),IF($X87&lt;30,1,0))</formula>
    </cfRule>
    <cfRule type="expression" dxfId="6723" priority="278">
      <formula>AND(IF($Q87=3,1,0),IF($X87&lt;30,1,0))</formula>
    </cfRule>
    <cfRule type="expression" dxfId="6722" priority="279">
      <formula>AND(IF($Q87=3,1,IF($Q87=4,1,0)),IF($F87&lt;=85,1,0))</formula>
    </cfRule>
  </conditionalFormatting>
  <conditionalFormatting sqref="X87">
    <cfRule type="expression" dxfId="6721" priority="272">
      <formula>AND(IF(OR($Q87=1,$Q87=2),1,0),IF($X87&lt;=20,1,0))</formula>
    </cfRule>
    <cfRule type="expression" dxfId="6720" priority="273">
      <formula>AND(IF($Q87=2,1,0),IF($X87&lt;30,1,0))</formula>
    </cfRule>
    <cfRule type="expression" dxfId="6719" priority="274">
      <formula>AND(IF($Q87=3,1,0),IF($X87&lt;30,1,0))</formula>
    </cfRule>
    <cfRule type="expression" dxfId="6718" priority="275">
      <formula>AND(IF($Q87=3,1,IF($Q87=4,1,0)),IF($F87&lt;=85,1,0))</formula>
    </cfRule>
  </conditionalFormatting>
  <conditionalFormatting sqref="AI87">
    <cfRule type="expression" dxfId="6717" priority="268">
      <formula>AND(IF(OR($Q87=1,$Q87=2),1,0),IF($X87&lt;=20,1,0))</formula>
    </cfRule>
    <cfRule type="expression" dxfId="6716" priority="269">
      <formula>AND(IF($Q87=2,1,0),IF($X87&lt;30,1,0))</formula>
    </cfRule>
    <cfRule type="expression" dxfId="6715" priority="270">
      <formula>AND(IF($Q87=3,1,0),IF($X87&lt;30,1,0))</formula>
    </cfRule>
    <cfRule type="expression" dxfId="6714" priority="271">
      <formula>AND(IF($Q87=3,1,IF($Q87=4,1,0)),IF($F87&lt;=85,1,0))</formula>
    </cfRule>
  </conditionalFormatting>
  <conditionalFormatting sqref="AV88">
    <cfRule type="expression" dxfId="6713" priority="266">
      <formula>AV88="X"</formula>
    </cfRule>
    <cfRule type="expression" dxfId="6712" priority="267">
      <formula>AV88="후보"</formula>
    </cfRule>
  </conditionalFormatting>
  <conditionalFormatting sqref="AC88">
    <cfRule type="cellIs" dxfId="6711" priority="263" operator="greaterThan">
      <formula>0.9</formula>
    </cfRule>
    <cfRule type="cellIs" dxfId="6710" priority="264" operator="greaterThan">
      <formula>0.85</formula>
    </cfRule>
  </conditionalFormatting>
  <conditionalFormatting sqref="N88">
    <cfRule type="cellIs" dxfId="6709" priority="261" operator="greaterThan">
      <formula>0.9</formula>
    </cfRule>
    <cfRule type="cellIs" dxfId="6708" priority="262" operator="greaterThan">
      <formula>0.85</formula>
    </cfRule>
  </conditionalFormatting>
  <conditionalFormatting sqref="E88">
    <cfRule type="expression" dxfId="6707" priority="257">
      <formula>AND(IF(OR($Q88=1,$Q88=2),1,0),IF($X88&lt;=20,1,0))</formula>
    </cfRule>
    <cfRule type="expression" dxfId="6706" priority="258">
      <formula>AND(IF($Q88=2,1,0),IF($X88&lt;30,1,0))</formula>
    </cfRule>
    <cfRule type="expression" dxfId="6705" priority="259">
      <formula>AND(IF($Q88=3,1,0),IF($X88&lt;30,1,0))</formula>
    </cfRule>
    <cfRule type="expression" dxfId="6704" priority="260">
      <formula>AND(IF($Q88=3,1,IF($Q88=4,1,0)),IF($F88&lt;=85,1,0))</formula>
    </cfRule>
  </conditionalFormatting>
  <conditionalFormatting sqref="X88">
    <cfRule type="expression" dxfId="6703" priority="253">
      <formula>AND(IF(OR($Q88=1,$Q88=2),1,0),IF($X88&lt;=20,1,0))</formula>
    </cfRule>
    <cfRule type="expression" dxfId="6702" priority="254">
      <formula>AND(IF($Q88=2,1,0),IF($X88&lt;30,1,0))</formula>
    </cfRule>
    <cfRule type="expression" dxfId="6701" priority="255">
      <formula>AND(IF($Q88=3,1,0),IF($X88&lt;30,1,0))</formula>
    </cfRule>
    <cfRule type="expression" dxfId="6700" priority="256">
      <formula>AND(IF($Q88=3,1,IF($Q88=4,1,0)),IF($F88&lt;=85,1,0))</formula>
    </cfRule>
  </conditionalFormatting>
  <conditionalFormatting sqref="AI88">
    <cfRule type="expression" dxfId="6699" priority="249">
      <formula>AND(IF(OR($Q88=1,$Q88=2),1,0),IF($X88&lt;=20,1,0))</formula>
    </cfRule>
    <cfRule type="expression" dxfId="6698" priority="250">
      <formula>AND(IF($Q88=2,1,0),IF($X88&lt;30,1,0))</formula>
    </cfRule>
    <cfRule type="expression" dxfId="6697" priority="251">
      <formula>AND(IF($Q88=3,1,0),IF($X88&lt;30,1,0))</formula>
    </cfRule>
    <cfRule type="expression" dxfId="6696" priority="252">
      <formula>AND(IF($Q88=3,1,IF($Q88=4,1,0)),IF($F88&lt;=85,1,0))</formula>
    </cfRule>
  </conditionalFormatting>
  <conditionalFormatting sqref="AV89">
    <cfRule type="expression" dxfId="6695" priority="247">
      <formula>AV89="X"</formula>
    </cfRule>
    <cfRule type="expression" dxfId="6694" priority="248">
      <formula>AV89="후보"</formula>
    </cfRule>
  </conditionalFormatting>
  <conditionalFormatting sqref="AC89">
    <cfRule type="cellIs" dxfId="6693" priority="244" operator="greaterThan">
      <formula>0.9</formula>
    </cfRule>
    <cfRule type="cellIs" dxfId="6692" priority="245" operator="greaterThan">
      <formula>0.85</formula>
    </cfRule>
  </conditionalFormatting>
  <conditionalFormatting sqref="N89">
    <cfRule type="cellIs" dxfId="6691" priority="242" operator="greaterThan">
      <formula>0.9</formula>
    </cfRule>
    <cfRule type="cellIs" dxfId="6690" priority="243" operator="greaterThan">
      <formula>0.85</formula>
    </cfRule>
  </conditionalFormatting>
  <conditionalFormatting sqref="E89">
    <cfRule type="expression" dxfId="6689" priority="238">
      <formula>AND(IF(OR($Q89=1,$Q89=2),1,0),IF($X89&lt;=20,1,0))</formula>
    </cfRule>
    <cfRule type="expression" dxfId="6688" priority="239">
      <formula>AND(IF($Q89=2,1,0),IF($X89&lt;30,1,0))</formula>
    </cfRule>
    <cfRule type="expression" dxfId="6687" priority="240">
      <formula>AND(IF($Q89=3,1,0),IF($X89&lt;30,1,0))</formula>
    </cfRule>
    <cfRule type="expression" dxfId="6686" priority="241">
      <formula>AND(IF($Q89=3,1,IF($Q89=4,1,0)),IF($F89&lt;=85,1,0))</formula>
    </cfRule>
  </conditionalFormatting>
  <conditionalFormatting sqref="X89">
    <cfRule type="expression" dxfId="6685" priority="234">
      <formula>AND(IF(OR($Q89=1,$Q89=2),1,0),IF($X89&lt;=20,1,0))</formula>
    </cfRule>
    <cfRule type="expression" dxfId="6684" priority="235">
      <formula>AND(IF($Q89=2,1,0),IF($X89&lt;30,1,0))</formula>
    </cfRule>
    <cfRule type="expression" dxfId="6683" priority="236">
      <formula>AND(IF($Q89=3,1,0),IF($X89&lt;30,1,0))</formula>
    </cfRule>
    <cfRule type="expression" dxfId="6682" priority="237">
      <formula>AND(IF($Q89=3,1,IF($Q89=4,1,0)),IF($F89&lt;=85,1,0))</formula>
    </cfRule>
  </conditionalFormatting>
  <conditionalFormatting sqref="AI89">
    <cfRule type="expression" dxfId="6681" priority="230">
      <formula>AND(IF(OR($Q89=1,$Q89=2),1,0),IF($X89&lt;=20,1,0))</formula>
    </cfRule>
    <cfRule type="expression" dxfId="6680" priority="231">
      <formula>AND(IF($Q89=2,1,0),IF($X89&lt;30,1,0))</formula>
    </cfRule>
    <cfRule type="expression" dxfId="6679" priority="232">
      <formula>AND(IF($Q89=3,1,0),IF($X89&lt;30,1,0))</formula>
    </cfRule>
    <cfRule type="expression" dxfId="6678" priority="233">
      <formula>AND(IF($Q89=3,1,IF($Q89=4,1,0)),IF($F89&lt;=85,1,0))</formula>
    </cfRule>
  </conditionalFormatting>
  <conditionalFormatting sqref="AV90">
    <cfRule type="expression" dxfId="6677" priority="228">
      <formula>AV90="X"</formula>
    </cfRule>
    <cfRule type="expression" dxfId="6676" priority="229">
      <formula>AV90="후보"</formula>
    </cfRule>
  </conditionalFormatting>
  <conditionalFormatting sqref="AC90">
    <cfRule type="cellIs" dxfId="6675" priority="225" operator="greaterThan">
      <formula>0.9</formula>
    </cfRule>
    <cfRule type="cellIs" dxfId="6674" priority="226" operator="greaterThan">
      <formula>0.85</formula>
    </cfRule>
  </conditionalFormatting>
  <conditionalFormatting sqref="N90">
    <cfRule type="cellIs" dxfId="6673" priority="223" operator="greaterThan">
      <formula>0.9</formula>
    </cfRule>
    <cfRule type="cellIs" dxfId="6672" priority="224" operator="greaterThan">
      <formula>0.85</formula>
    </cfRule>
  </conditionalFormatting>
  <conditionalFormatting sqref="E90">
    <cfRule type="expression" dxfId="6671" priority="219">
      <formula>AND(IF(OR($Q90=1,$Q90=2),1,0),IF($X90&lt;=20,1,0))</formula>
    </cfRule>
    <cfRule type="expression" dxfId="6670" priority="220">
      <formula>AND(IF($Q90=2,1,0),IF($X90&lt;30,1,0))</formula>
    </cfRule>
    <cfRule type="expression" dxfId="6669" priority="221">
      <formula>AND(IF($Q90=3,1,0),IF($X90&lt;30,1,0))</formula>
    </cfRule>
    <cfRule type="expression" dxfId="6668" priority="222">
      <formula>AND(IF($Q90=3,1,IF($Q90=4,1,0)),IF($F90&lt;=85,1,0))</formula>
    </cfRule>
  </conditionalFormatting>
  <conditionalFormatting sqref="X90">
    <cfRule type="expression" dxfId="6667" priority="215">
      <formula>AND(IF(OR($Q90=1,$Q90=2),1,0),IF($X90&lt;=20,1,0))</formula>
    </cfRule>
    <cfRule type="expression" dxfId="6666" priority="216">
      <formula>AND(IF($Q90=2,1,0),IF($X90&lt;30,1,0))</formula>
    </cfRule>
    <cfRule type="expression" dxfId="6665" priority="217">
      <formula>AND(IF($Q90=3,1,0),IF($X90&lt;30,1,0))</formula>
    </cfRule>
    <cfRule type="expression" dxfId="6664" priority="218">
      <formula>AND(IF($Q90=3,1,IF($Q90=4,1,0)),IF($F90&lt;=85,1,0))</formula>
    </cfRule>
  </conditionalFormatting>
  <conditionalFormatting sqref="AI90">
    <cfRule type="expression" dxfId="6663" priority="211">
      <formula>AND(IF(OR($Q90=1,$Q90=2),1,0),IF($X90&lt;=20,1,0))</formula>
    </cfRule>
    <cfRule type="expression" dxfId="6662" priority="212">
      <formula>AND(IF($Q90=2,1,0),IF($X90&lt;30,1,0))</formula>
    </cfRule>
    <cfRule type="expression" dxfId="6661" priority="213">
      <formula>AND(IF($Q90=3,1,0),IF($X90&lt;30,1,0))</formula>
    </cfRule>
    <cfRule type="expression" dxfId="6660" priority="214">
      <formula>AND(IF($Q90=3,1,IF($Q90=4,1,0)),IF($F90&lt;=85,1,0))</formula>
    </cfRule>
  </conditionalFormatting>
  <conditionalFormatting sqref="AV91">
    <cfRule type="expression" dxfId="6659" priority="209">
      <formula>AV91="X"</formula>
    </cfRule>
    <cfRule type="expression" dxfId="6658" priority="210">
      <formula>AV91="후보"</formula>
    </cfRule>
  </conditionalFormatting>
  <conditionalFormatting sqref="AC91 N91">
    <cfRule type="cellIs" dxfId="6657" priority="206" operator="greaterThan">
      <formula>0.9</formula>
    </cfRule>
    <cfRule type="cellIs" dxfId="6656" priority="207" operator="greaterThan">
      <formula>0.85</formula>
    </cfRule>
  </conditionalFormatting>
  <conditionalFormatting sqref="AV92">
    <cfRule type="expression" dxfId="6655" priority="204">
      <formula>AV92="X"</formula>
    </cfRule>
    <cfRule type="expression" dxfId="6654" priority="205">
      <formula>AV92="후보"</formula>
    </cfRule>
  </conditionalFormatting>
  <conditionalFormatting sqref="AC92">
    <cfRule type="cellIs" dxfId="6653" priority="201" operator="greaterThan">
      <formula>0.9</formula>
    </cfRule>
    <cfRule type="cellIs" dxfId="6652" priority="202" operator="greaterThan">
      <formula>0.85</formula>
    </cfRule>
  </conditionalFormatting>
  <conditionalFormatting sqref="N92">
    <cfRule type="cellIs" dxfId="6651" priority="199" operator="greaterThan">
      <formula>0.9</formula>
    </cfRule>
    <cfRule type="cellIs" dxfId="6650" priority="200" operator="greaterThan">
      <formula>0.85</formula>
    </cfRule>
  </conditionalFormatting>
  <conditionalFormatting sqref="E92">
    <cfRule type="expression" dxfId="6649" priority="195">
      <formula>AND(IF(OR($Q92=1,$Q92=2),1,0),IF($X92&lt;=20,1,0))</formula>
    </cfRule>
    <cfRule type="expression" dxfId="6648" priority="196">
      <formula>AND(IF($Q92=2,1,0),IF($X92&lt;30,1,0))</formula>
    </cfRule>
    <cfRule type="expression" dxfId="6647" priority="197">
      <formula>AND(IF($Q92=3,1,0),IF($X92&lt;30,1,0))</formula>
    </cfRule>
    <cfRule type="expression" dxfId="6646" priority="198">
      <formula>AND(IF($Q92=3,1,IF($Q92=4,1,0)),IF($F92&lt;=85,1,0))</formula>
    </cfRule>
  </conditionalFormatting>
  <conditionalFormatting sqref="X92">
    <cfRule type="expression" dxfId="6645" priority="191">
      <formula>AND(IF(OR($Q92=1,$Q92=2),1,0),IF($X92&lt;=20,1,0))</formula>
    </cfRule>
    <cfRule type="expression" dxfId="6644" priority="192">
      <formula>AND(IF($Q92=2,1,0),IF($X92&lt;30,1,0))</formula>
    </cfRule>
    <cfRule type="expression" dxfId="6643" priority="193">
      <formula>AND(IF($Q92=3,1,0),IF($X92&lt;30,1,0))</formula>
    </cfRule>
    <cfRule type="expression" dxfId="6642" priority="194">
      <formula>AND(IF($Q92=3,1,IF($Q92=4,1,0)),IF($F92&lt;=85,1,0))</formula>
    </cfRule>
  </conditionalFormatting>
  <conditionalFormatting sqref="AI92">
    <cfRule type="expression" dxfId="6641" priority="187">
      <formula>AND(IF(OR($Q92=1,$Q92=2),1,0),IF($X92&lt;=20,1,0))</formula>
    </cfRule>
    <cfRule type="expression" dxfId="6640" priority="188">
      <formula>AND(IF($Q92=2,1,0),IF($X92&lt;30,1,0))</formula>
    </cfRule>
    <cfRule type="expression" dxfId="6639" priority="189">
      <formula>AND(IF($Q92=3,1,0),IF($X92&lt;30,1,0))</formula>
    </cfRule>
    <cfRule type="expression" dxfId="6638" priority="190">
      <formula>AND(IF($Q92=3,1,IF($Q92=4,1,0)),IF($F92&lt;=85,1,0))</formula>
    </cfRule>
  </conditionalFormatting>
  <conditionalFormatting sqref="AV93">
    <cfRule type="expression" dxfId="6637" priority="185">
      <formula>AV93="X"</formula>
    </cfRule>
    <cfRule type="expression" dxfId="6636" priority="186">
      <formula>AV93="후보"</formula>
    </cfRule>
  </conditionalFormatting>
  <conditionalFormatting sqref="AC93">
    <cfRule type="cellIs" dxfId="6635" priority="182" operator="greaterThan">
      <formula>0.9</formula>
    </cfRule>
    <cfRule type="cellIs" dxfId="6634" priority="183" operator="greaterThan">
      <formula>0.85</formula>
    </cfRule>
  </conditionalFormatting>
  <conditionalFormatting sqref="N93">
    <cfRule type="cellIs" dxfId="6633" priority="180" operator="greaterThan">
      <formula>0.9</formula>
    </cfRule>
    <cfRule type="cellIs" dxfId="6632" priority="181" operator="greaterThan">
      <formula>0.85</formula>
    </cfRule>
  </conditionalFormatting>
  <conditionalFormatting sqref="E93">
    <cfRule type="expression" dxfId="6631" priority="176">
      <formula>AND(IF(OR($Q93=1,$Q93=2),1,0),IF($X93&lt;=20,1,0))</formula>
    </cfRule>
    <cfRule type="expression" dxfId="6630" priority="177">
      <formula>AND(IF($Q93=2,1,0),IF($X93&lt;30,1,0))</formula>
    </cfRule>
    <cfRule type="expression" dxfId="6629" priority="178">
      <formula>AND(IF($Q93=3,1,0),IF($X93&lt;30,1,0))</formula>
    </cfRule>
    <cfRule type="expression" dxfId="6628" priority="179">
      <formula>AND(IF($Q93=3,1,IF($Q93=4,1,0)),IF($F93&lt;=85,1,0))</formula>
    </cfRule>
  </conditionalFormatting>
  <conditionalFormatting sqref="X93">
    <cfRule type="expression" dxfId="6627" priority="172">
      <formula>AND(IF(OR($Q93=1,$Q93=2),1,0),IF($X93&lt;=20,1,0))</formula>
    </cfRule>
    <cfRule type="expression" dxfId="6626" priority="173">
      <formula>AND(IF($Q93=2,1,0),IF($X93&lt;30,1,0))</formula>
    </cfRule>
    <cfRule type="expression" dxfId="6625" priority="174">
      <formula>AND(IF($Q93=3,1,0),IF($X93&lt;30,1,0))</formula>
    </cfRule>
    <cfRule type="expression" dxfId="6624" priority="175">
      <formula>AND(IF($Q93=3,1,IF($Q93=4,1,0)),IF($F93&lt;=85,1,0))</formula>
    </cfRule>
  </conditionalFormatting>
  <conditionalFormatting sqref="AI93">
    <cfRule type="expression" dxfId="6623" priority="168">
      <formula>AND(IF(OR($Q93=1,$Q93=2),1,0),IF($X93&lt;=20,1,0))</formula>
    </cfRule>
    <cfRule type="expression" dxfId="6622" priority="169">
      <formula>AND(IF($Q93=2,1,0),IF($X93&lt;30,1,0))</formula>
    </cfRule>
    <cfRule type="expression" dxfId="6621" priority="170">
      <formula>AND(IF($Q93=3,1,0),IF($X93&lt;30,1,0))</formula>
    </cfRule>
    <cfRule type="expression" dxfId="6620" priority="171">
      <formula>AND(IF($Q93=3,1,IF($Q93=4,1,0)),IF($F93&lt;=85,1,0))</formula>
    </cfRule>
  </conditionalFormatting>
  <conditionalFormatting sqref="AV94">
    <cfRule type="expression" dxfId="6619" priority="166">
      <formula>AV94="X"</formula>
    </cfRule>
    <cfRule type="expression" dxfId="6618" priority="167">
      <formula>AV94="후보"</formula>
    </cfRule>
  </conditionalFormatting>
  <conditionalFormatting sqref="AC94 N94">
    <cfRule type="cellIs" dxfId="6617" priority="163" operator="greaterThan">
      <formula>0.9</formula>
    </cfRule>
    <cfRule type="cellIs" dxfId="6616" priority="164" operator="greaterThan">
      <formula>0.85</formula>
    </cfRule>
  </conditionalFormatting>
  <conditionalFormatting sqref="AV95">
    <cfRule type="expression" dxfId="6615" priority="161">
      <formula>AV95="X"</formula>
    </cfRule>
    <cfRule type="expression" dxfId="6614" priority="162">
      <formula>AV95="후보"</formula>
    </cfRule>
  </conditionalFormatting>
  <conditionalFormatting sqref="AC95">
    <cfRule type="cellIs" dxfId="6613" priority="158" operator="greaterThan">
      <formula>0.9</formula>
    </cfRule>
    <cfRule type="cellIs" dxfId="6612" priority="159" operator="greaterThan">
      <formula>0.85</formula>
    </cfRule>
  </conditionalFormatting>
  <conditionalFormatting sqref="N95">
    <cfRule type="cellIs" dxfId="6611" priority="156" operator="greaterThan">
      <formula>0.9</formula>
    </cfRule>
    <cfRule type="cellIs" dxfId="6610" priority="157" operator="greaterThan">
      <formula>0.85</formula>
    </cfRule>
  </conditionalFormatting>
  <conditionalFormatting sqref="E95">
    <cfRule type="expression" dxfId="6609" priority="152">
      <formula>AND(IF(OR($Q95=1,$Q95=2),1,0),IF($X95&lt;=20,1,0))</formula>
    </cfRule>
    <cfRule type="expression" dxfId="6608" priority="153">
      <formula>AND(IF($Q95=2,1,0),IF($X95&lt;30,1,0))</formula>
    </cfRule>
    <cfRule type="expression" dxfId="6607" priority="154">
      <formula>AND(IF($Q95=3,1,0),IF($X95&lt;30,1,0))</formula>
    </cfRule>
    <cfRule type="expression" dxfId="6606" priority="155">
      <formula>AND(IF($Q95=3,1,IF($Q95=4,1,0)),IF($F95&lt;=85,1,0))</formula>
    </cfRule>
  </conditionalFormatting>
  <conditionalFormatting sqref="X95">
    <cfRule type="expression" dxfId="6605" priority="148">
      <formula>AND(IF(OR($Q95=1,$Q95=2),1,0),IF($X95&lt;=20,1,0))</formula>
    </cfRule>
    <cfRule type="expression" dxfId="6604" priority="149">
      <formula>AND(IF($Q95=2,1,0),IF($X95&lt;30,1,0))</formula>
    </cfRule>
    <cfRule type="expression" dxfId="6603" priority="150">
      <formula>AND(IF($Q95=3,1,0),IF($X95&lt;30,1,0))</formula>
    </cfRule>
    <cfRule type="expression" dxfId="6602" priority="151">
      <formula>AND(IF($Q95=3,1,IF($Q95=4,1,0)),IF($F95&lt;=85,1,0))</formula>
    </cfRule>
  </conditionalFormatting>
  <conditionalFormatting sqref="AI95">
    <cfRule type="expression" dxfId="6601" priority="144">
      <formula>AND(IF(OR($Q95=1,$Q95=2),1,0),IF($X95&lt;=20,1,0))</formula>
    </cfRule>
    <cfRule type="expression" dxfId="6600" priority="145">
      <formula>AND(IF($Q95=2,1,0),IF($X95&lt;30,1,0))</formula>
    </cfRule>
    <cfRule type="expression" dxfId="6599" priority="146">
      <formula>AND(IF($Q95=3,1,0),IF($X95&lt;30,1,0))</formula>
    </cfRule>
    <cfRule type="expression" dxfId="6598" priority="147">
      <formula>AND(IF($Q95=3,1,IF($Q95=4,1,0)),IF($F95&lt;=85,1,0))</formula>
    </cfRule>
  </conditionalFormatting>
  <conditionalFormatting sqref="AV96">
    <cfRule type="expression" dxfId="6597" priority="142">
      <formula>AV96="X"</formula>
    </cfRule>
    <cfRule type="expression" dxfId="6596" priority="143">
      <formula>AV96="후보"</formula>
    </cfRule>
  </conditionalFormatting>
  <conditionalFormatting sqref="AC96">
    <cfRule type="cellIs" dxfId="6595" priority="139" operator="greaterThan">
      <formula>0.9</formula>
    </cfRule>
    <cfRule type="cellIs" dxfId="6594" priority="140" operator="greaterThan">
      <formula>0.85</formula>
    </cfRule>
  </conditionalFormatting>
  <conditionalFormatting sqref="N96">
    <cfRule type="cellIs" dxfId="6593" priority="137" operator="greaterThan">
      <formula>0.9</formula>
    </cfRule>
    <cfRule type="cellIs" dxfId="6592" priority="138" operator="greaterThan">
      <formula>0.85</formula>
    </cfRule>
  </conditionalFormatting>
  <conditionalFormatting sqref="E96">
    <cfRule type="expression" dxfId="6591" priority="133">
      <formula>AND(IF(OR($Q96=1,$Q96=2),1,0),IF($X96&lt;=20,1,0))</formula>
    </cfRule>
    <cfRule type="expression" dxfId="6590" priority="134">
      <formula>AND(IF($Q96=2,1,0),IF($X96&lt;30,1,0))</formula>
    </cfRule>
    <cfRule type="expression" dxfId="6589" priority="135">
      <formula>AND(IF($Q96=3,1,0),IF($X96&lt;30,1,0))</formula>
    </cfRule>
    <cfRule type="expression" dxfId="6588" priority="136">
      <formula>AND(IF($Q96=3,1,IF($Q96=4,1,0)),IF($F96&lt;=85,1,0))</formula>
    </cfRule>
  </conditionalFormatting>
  <conditionalFormatting sqref="X96">
    <cfRule type="expression" dxfId="6587" priority="129">
      <formula>AND(IF(OR($Q96=1,$Q96=2),1,0),IF($X96&lt;=20,1,0))</formula>
    </cfRule>
    <cfRule type="expression" dxfId="6586" priority="130">
      <formula>AND(IF($Q96=2,1,0),IF($X96&lt;30,1,0))</formula>
    </cfRule>
    <cfRule type="expression" dxfId="6585" priority="131">
      <formula>AND(IF($Q96=3,1,0),IF($X96&lt;30,1,0))</formula>
    </cfRule>
    <cfRule type="expression" dxfId="6584" priority="132">
      <formula>AND(IF($Q96=3,1,IF($Q96=4,1,0)),IF($F96&lt;=85,1,0))</formula>
    </cfRule>
  </conditionalFormatting>
  <conditionalFormatting sqref="AI96">
    <cfRule type="expression" dxfId="6583" priority="125">
      <formula>AND(IF(OR($Q96=1,$Q96=2),1,0),IF($X96&lt;=20,1,0))</formula>
    </cfRule>
    <cfRule type="expression" dxfId="6582" priority="126">
      <formula>AND(IF($Q96=2,1,0),IF($X96&lt;30,1,0))</formula>
    </cfRule>
    <cfRule type="expression" dxfId="6581" priority="127">
      <formula>AND(IF($Q96=3,1,0),IF($X96&lt;30,1,0))</formula>
    </cfRule>
    <cfRule type="expression" dxfId="6580" priority="128">
      <formula>AND(IF($Q96=3,1,IF($Q96=4,1,0)),IF($F96&lt;=85,1,0))</formula>
    </cfRule>
  </conditionalFormatting>
  <conditionalFormatting sqref="AV97">
    <cfRule type="expression" dxfId="6579" priority="123">
      <formula>AV97="X"</formula>
    </cfRule>
    <cfRule type="expression" dxfId="6578" priority="124">
      <formula>AV97="후보"</formula>
    </cfRule>
  </conditionalFormatting>
  <conditionalFormatting sqref="AC97 N97">
    <cfRule type="cellIs" dxfId="6577" priority="120" operator="greaterThan">
      <formula>0.9</formula>
    </cfRule>
    <cfRule type="cellIs" dxfId="6576" priority="121" operator="greaterThan">
      <formula>0.85</formula>
    </cfRule>
  </conditionalFormatting>
  <conditionalFormatting sqref="AV98">
    <cfRule type="expression" dxfId="6575" priority="118">
      <formula>AV98="X"</formula>
    </cfRule>
    <cfRule type="expression" dxfId="6574" priority="119">
      <formula>AV98="후보"</formula>
    </cfRule>
  </conditionalFormatting>
  <conditionalFormatting sqref="AC98">
    <cfRule type="cellIs" dxfId="6573" priority="115" operator="greaterThan">
      <formula>0.9</formula>
    </cfRule>
    <cfRule type="cellIs" dxfId="6572" priority="116" operator="greaterThan">
      <formula>0.85</formula>
    </cfRule>
  </conditionalFormatting>
  <conditionalFormatting sqref="N98">
    <cfRule type="cellIs" dxfId="6571" priority="113" operator="greaterThan">
      <formula>0.9</formula>
    </cfRule>
    <cfRule type="cellIs" dxfId="6570" priority="114" operator="greaterThan">
      <formula>0.85</formula>
    </cfRule>
  </conditionalFormatting>
  <conditionalFormatting sqref="E98">
    <cfRule type="expression" dxfId="6569" priority="109">
      <formula>AND(IF(OR($Q98=1,$Q98=2),1,0),IF($X98&lt;=20,1,0))</formula>
    </cfRule>
    <cfRule type="expression" dxfId="6568" priority="110">
      <formula>AND(IF($Q98=2,1,0),IF($X98&lt;30,1,0))</formula>
    </cfRule>
    <cfRule type="expression" dxfId="6567" priority="111">
      <formula>AND(IF($Q98=3,1,0),IF($X98&lt;30,1,0))</formula>
    </cfRule>
    <cfRule type="expression" dxfId="6566" priority="112">
      <formula>AND(IF($Q98=3,1,IF($Q98=4,1,0)),IF($F98&lt;=85,1,0))</formula>
    </cfRule>
  </conditionalFormatting>
  <conditionalFormatting sqref="X98">
    <cfRule type="expression" dxfId="6565" priority="105">
      <formula>AND(IF(OR($Q98=1,$Q98=2),1,0),IF($X98&lt;=20,1,0))</formula>
    </cfRule>
    <cfRule type="expression" dxfId="6564" priority="106">
      <formula>AND(IF($Q98=2,1,0),IF($X98&lt;30,1,0))</formula>
    </cfRule>
    <cfRule type="expression" dxfId="6563" priority="107">
      <formula>AND(IF($Q98=3,1,0),IF($X98&lt;30,1,0))</formula>
    </cfRule>
    <cfRule type="expression" dxfId="6562" priority="108">
      <formula>AND(IF($Q98=3,1,IF($Q98=4,1,0)),IF($F98&lt;=85,1,0))</formula>
    </cfRule>
  </conditionalFormatting>
  <conditionalFormatting sqref="AI98">
    <cfRule type="expression" dxfId="6561" priority="101">
      <formula>AND(IF(OR($Q98=1,$Q98=2),1,0),IF($X98&lt;=20,1,0))</formula>
    </cfRule>
    <cfRule type="expression" dxfId="6560" priority="102">
      <formula>AND(IF($Q98=2,1,0),IF($X98&lt;30,1,0))</formula>
    </cfRule>
    <cfRule type="expression" dxfId="6559" priority="103">
      <formula>AND(IF($Q98=3,1,0),IF($X98&lt;30,1,0))</formula>
    </cfRule>
    <cfRule type="expression" dxfId="6558" priority="104">
      <formula>AND(IF($Q98=3,1,IF($Q98=4,1,0)),IF($F98&lt;=85,1,0))</formula>
    </cfRule>
  </conditionalFormatting>
  <conditionalFormatting sqref="AV99">
    <cfRule type="expression" dxfId="6557" priority="99">
      <formula>AV99="X"</formula>
    </cfRule>
    <cfRule type="expression" dxfId="6556" priority="100">
      <formula>AV99="후보"</formula>
    </cfRule>
  </conditionalFormatting>
  <conditionalFormatting sqref="AC99 N99">
    <cfRule type="cellIs" dxfId="6555" priority="96" operator="greaterThan">
      <formula>0.9</formula>
    </cfRule>
    <cfRule type="cellIs" dxfId="6554" priority="97" operator="greaterThan">
      <formula>0.85</formula>
    </cfRule>
  </conditionalFormatting>
  <conditionalFormatting sqref="AV100">
    <cfRule type="expression" dxfId="6553" priority="94">
      <formula>AV100="X"</formula>
    </cfRule>
    <cfRule type="expression" dxfId="6552" priority="95">
      <formula>AV100="후보"</formula>
    </cfRule>
  </conditionalFormatting>
  <conditionalFormatting sqref="AC100">
    <cfRule type="cellIs" dxfId="6551" priority="91" operator="greaterThan">
      <formula>0.9</formula>
    </cfRule>
    <cfRule type="cellIs" dxfId="6550" priority="92" operator="greaterThan">
      <formula>0.85</formula>
    </cfRule>
  </conditionalFormatting>
  <conditionalFormatting sqref="N100">
    <cfRule type="cellIs" dxfId="6549" priority="89" operator="greaterThan">
      <formula>0.9</formula>
    </cfRule>
    <cfRule type="cellIs" dxfId="6548" priority="90" operator="greaterThan">
      <formula>0.85</formula>
    </cfRule>
  </conditionalFormatting>
  <conditionalFormatting sqref="E100">
    <cfRule type="expression" dxfId="6547" priority="85">
      <formula>AND(IF(OR($Q100=1,$Q100=2),1,0),IF($X100&lt;=20,1,0))</formula>
    </cfRule>
    <cfRule type="expression" dxfId="6546" priority="86">
      <formula>AND(IF($Q100=2,1,0),IF($X100&lt;30,1,0))</formula>
    </cfRule>
    <cfRule type="expression" dxfId="6545" priority="87">
      <formula>AND(IF($Q100=3,1,0),IF($X100&lt;30,1,0))</formula>
    </cfRule>
    <cfRule type="expression" dxfId="6544" priority="88">
      <formula>AND(IF($Q100=3,1,IF($Q100=4,1,0)),IF($F100&lt;=85,1,0))</formula>
    </cfRule>
  </conditionalFormatting>
  <conditionalFormatting sqref="X100">
    <cfRule type="expression" dxfId="6543" priority="81">
      <formula>AND(IF(OR($Q100=1,$Q100=2),1,0),IF($X100&lt;=20,1,0))</formula>
    </cfRule>
    <cfRule type="expression" dxfId="6542" priority="82">
      <formula>AND(IF($Q100=2,1,0),IF($X100&lt;30,1,0))</formula>
    </cfRule>
    <cfRule type="expression" dxfId="6541" priority="83">
      <formula>AND(IF($Q100=3,1,0),IF($X100&lt;30,1,0))</formula>
    </cfRule>
    <cfRule type="expression" dxfId="6540" priority="84">
      <formula>AND(IF($Q100=3,1,IF($Q100=4,1,0)),IF($F100&lt;=85,1,0))</formula>
    </cfRule>
  </conditionalFormatting>
  <conditionalFormatting sqref="AI100">
    <cfRule type="expression" dxfId="6539" priority="77">
      <formula>AND(IF(OR($Q100=1,$Q100=2),1,0),IF($X100&lt;=20,1,0))</formula>
    </cfRule>
    <cfRule type="expression" dxfId="6538" priority="78">
      <formula>AND(IF($Q100=2,1,0),IF($X100&lt;30,1,0))</formula>
    </cfRule>
    <cfRule type="expression" dxfId="6537" priority="79">
      <formula>AND(IF($Q100=3,1,0),IF($X100&lt;30,1,0))</formula>
    </cfRule>
    <cfRule type="expression" dxfId="6536" priority="80">
      <formula>AND(IF($Q100=3,1,IF($Q100=4,1,0)),IF($F100&lt;=85,1,0))</formula>
    </cfRule>
  </conditionalFormatting>
  <conditionalFormatting sqref="AV101">
    <cfRule type="expression" dxfId="6535" priority="75">
      <formula>AV101="X"</formula>
    </cfRule>
    <cfRule type="expression" dxfId="6534" priority="76">
      <formula>AV101="후보"</formula>
    </cfRule>
  </conditionalFormatting>
  <conditionalFormatting sqref="AC101">
    <cfRule type="cellIs" dxfId="6533" priority="72" operator="greaterThan">
      <formula>0.9</formula>
    </cfRule>
    <cfRule type="cellIs" dxfId="6532" priority="73" operator="greaterThan">
      <formula>0.85</formula>
    </cfRule>
  </conditionalFormatting>
  <conditionalFormatting sqref="N101">
    <cfRule type="cellIs" dxfId="6531" priority="70" operator="greaterThan">
      <formula>0.9</formula>
    </cfRule>
    <cfRule type="cellIs" dxfId="6530" priority="71" operator="greaterThan">
      <formula>0.85</formula>
    </cfRule>
  </conditionalFormatting>
  <conditionalFormatting sqref="E101">
    <cfRule type="expression" dxfId="6529" priority="66">
      <formula>AND(IF(OR($Q101=1,$Q101=2),1,0),IF($X101&lt;=20,1,0))</formula>
    </cfRule>
    <cfRule type="expression" dxfId="6528" priority="67">
      <formula>AND(IF($Q101=2,1,0),IF($X101&lt;30,1,0))</formula>
    </cfRule>
    <cfRule type="expression" dxfId="6527" priority="68">
      <formula>AND(IF($Q101=3,1,0),IF($X101&lt;30,1,0))</formula>
    </cfRule>
    <cfRule type="expression" dxfId="6526" priority="69">
      <formula>AND(IF($Q101=3,1,IF($Q101=4,1,0)),IF($F101&lt;=85,1,0))</formula>
    </cfRule>
  </conditionalFormatting>
  <conditionalFormatting sqref="X101">
    <cfRule type="expression" dxfId="6525" priority="62">
      <formula>AND(IF(OR($Q101=1,$Q101=2),1,0),IF($X101&lt;=20,1,0))</formula>
    </cfRule>
    <cfRule type="expression" dxfId="6524" priority="63">
      <formula>AND(IF($Q101=2,1,0),IF($X101&lt;30,1,0))</formula>
    </cfRule>
    <cfRule type="expression" dxfId="6523" priority="64">
      <formula>AND(IF($Q101=3,1,0),IF($X101&lt;30,1,0))</formula>
    </cfRule>
    <cfRule type="expression" dxfId="6522" priority="65">
      <formula>AND(IF($Q101=3,1,IF($Q101=4,1,0)),IF($F101&lt;=85,1,0))</formula>
    </cfRule>
  </conditionalFormatting>
  <conditionalFormatting sqref="AI101">
    <cfRule type="expression" dxfId="6521" priority="58">
      <formula>AND(IF(OR($Q101=1,$Q101=2),1,0),IF($X101&lt;=20,1,0))</formula>
    </cfRule>
    <cfRule type="expression" dxfId="6520" priority="59">
      <formula>AND(IF($Q101=2,1,0),IF($X101&lt;30,1,0))</formula>
    </cfRule>
    <cfRule type="expression" dxfId="6519" priority="60">
      <formula>AND(IF($Q101=3,1,0),IF($X101&lt;30,1,0))</formula>
    </cfRule>
    <cfRule type="expression" dxfId="6518" priority="61">
      <formula>AND(IF($Q101=3,1,IF($Q101=4,1,0)),IF($F101&lt;=85,1,0))</formula>
    </cfRule>
  </conditionalFormatting>
  <conditionalFormatting sqref="AV102">
    <cfRule type="expression" dxfId="6517" priority="56">
      <formula>AV102="X"</formula>
    </cfRule>
    <cfRule type="expression" dxfId="6516" priority="57">
      <formula>AV102="후보"</formula>
    </cfRule>
  </conditionalFormatting>
  <conditionalFormatting sqref="AC102">
    <cfRule type="cellIs" dxfId="6515" priority="53" operator="greaterThan">
      <formula>0.9</formula>
    </cfRule>
    <cfRule type="cellIs" dxfId="6514" priority="54" operator="greaterThan">
      <formula>0.85</formula>
    </cfRule>
  </conditionalFormatting>
  <conditionalFormatting sqref="N102">
    <cfRule type="cellIs" dxfId="6513" priority="51" operator="greaterThan">
      <formula>0.9</formula>
    </cfRule>
    <cfRule type="cellIs" dxfId="6512" priority="52" operator="greaterThan">
      <formula>0.85</formula>
    </cfRule>
  </conditionalFormatting>
  <conditionalFormatting sqref="E102">
    <cfRule type="expression" dxfId="6511" priority="47">
      <formula>AND(IF(OR($Q102=1,$Q102=2),1,0),IF($X102&lt;=20,1,0))</formula>
    </cfRule>
    <cfRule type="expression" dxfId="6510" priority="48">
      <formula>AND(IF($Q102=2,1,0),IF($X102&lt;30,1,0))</formula>
    </cfRule>
    <cfRule type="expression" dxfId="6509" priority="49">
      <formula>AND(IF($Q102=3,1,0),IF($X102&lt;30,1,0))</formula>
    </cfRule>
    <cfRule type="expression" dxfId="6508" priority="50">
      <formula>AND(IF($Q102=3,1,IF($Q102=4,1,0)),IF($F102&lt;=85,1,0))</formula>
    </cfRule>
  </conditionalFormatting>
  <conditionalFormatting sqref="X102">
    <cfRule type="expression" dxfId="6507" priority="43">
      <formula>AND(IF(OR($Q102=1,$Q102=2),1,0),IF($X102&lt;=20,1,0))</formula>
    </cfRule>
    <cfRule type="expression" dxfId="6506" priority="44">
      <formula>AND(IF($Q102=2,1,0),IF($X102&lt;30,1,0))</formula>
    </cfRule>
    <cfRule type="expression" dxfId="6505" priority="45">
      <formula>AND(IF($Q102=3,1,0),IF($X102&lt;30,1,0))</formula>
    </cfRule>
    <cfRule type="expression" dxfId="6504" priority="46">
      <formula>AND(IF($Q102=3,1,IF($Q102=4,1,0)),IF($F102&lt;=85,1,0))</formula>
    </cfRule>
  </conditionalFormatting>
  <conditionalFormatting sqref="AI102">
    <cfRule type="expression" dxfId="6503" priority="39">
      <formula>AND(IF(OR($Q102=1,$Q102=2),1,0),IF($X102&lt;=20,1,0))</formula>
    </cfRule>
    <cfRule type="expression" dxfId="6502" priority="40">
      <formula>AND(IF($Q102=2,1,0),IF($X102&lt;30,1,0))</formula>
    </cfRule>
    <cfRule type="expression" dxfId="6501" priority="41">
      <formula>AND(IF($Q102=3,1,0),IF($X102&lt;30,1,0))</formula>
    </cfRule>
    <cfRule type="expression" dxfId="6500" priority="42">
      <formula>AND(IF($Q102=3,1,IF($Q102=4,1,0)),IF($F102&lt;=85,1,0))</formula>
    </cfRule>
  </conditionalFormatting>
  <conditionalFormatting sqref="AV103">
    <cfRule type="expression" dxfId="6499" priority="37">
      <formula>AV103="X"</formula>
    </cfRule>
    <cfRule type="expression" dxfId="6498" priority="38">
      <formula>AV103="후보"</formula>
    </cfRule>
  </conditionalFormatting>
  <conditionalFormatting sqref="AC103">
    <cfRule type="cellIs" dxfId="6497" priority="34" operator="greaterThan">
      <formula>0.9</formula>
    </cfRule>
    <cfRule type="cellIs" dxfId="6496" priority="35" operator="greaterThan">
      <formula>0.85</formula>
    </cfRule>
  </conditionalFormatting>
  <conditionalFormatting sqref="N103">
    <cfRule type="cellIs" dxfId="6495" priority="32" operator="greaterThan">
      <formula>0.9</formula>
    </cfRule>
    <cfRule type="cellIs" dxfId="6494" priority="33" operator="greaterThan">
      <formula>0.85</formula>
    </cfRule>
  </conditionalFormatting>
  <conditionalFormatting sqref="E103">
    <cfRule type="expression" dxfId="6493" priority="28">
      <formula>AND(IF(OR($Q103=1,$Q103=2),1,0),IF($X103&lt;=20,1,0))</formula>
    </cfRule>
    <cfRule type="expression" dxfId="6492" priority="29">
      <formula>AND(IF($Q103=2,1,0),IF($X103&lt;30,1,0))</formula>
    </cfRule>
    <cfRule type="expression" dxfId="6491" priority="30">
      <formula>AND(IF($Q103=3,1,0),IF($X103&lt;30,1,0))</formula>
    </cfRule>
    <cfRule type="expression" dxfId="6490" priority="31">
      <formula>AND(IF($Q103=3,1,IF($Q103=4,1,0)),IF($F103&lt;=85,1,0))</formula>
    </cfRule>
  </conditionalFormatting>
  <conditionalFormatting sqref="X103">
    <cfRule type="expression" dxfId="6489" priority="24">
      <formula>AND(IF(OR($Q103=1,$Q103=2),1,0),IF($X103&lt;=20,1,0))</formula>
    </cfRule>
    <cfRule type="expression" dxfId="6488" priority="25">
      <formula>AND(IF($Q103=2,1,0),IF($X103&lt;30,1,0))</formula>
    </cfRule>
    <cfRule type="expression" dxfId="6487" priority="26">
      <formula>AND(IF($Q103=3,1,0),IF($X103&lt;30,1,0))</formula>
    </cfRule>
    <cfRule type="expression" dxfId="6486" priority="27">
      <formula>AND(IF($Q103=3,1,IF($Q103=4,1,0)),IF($F103&lt;=85,1,0))</formula>
    </cfRule>
  </conditionalFormatting>
  <conditionalFormatting sqref="AI103">
    <cfRule type="expression" dxfId="6485" priority="20">
      <formula>AND(IF(OR($Q103=1,$Q103=2),1,0),IF($X103&lt;=20,1,0))</formula>
    </cfRule>
    <cfRule type="expression" dxfId="6484" priority="21">
      <formula>AND(IF($Q103=2,1,0),IF($X103&lt;30,1,0))</formula>
    </cfRule>
    <cfRule type="expression" dxfId="6483" priority="22">
      <formula>AND(IF($Q103=3,1,0),IF($X103&lt;30,1,0))</formula>
    </cfRule>
    <cfRule type="expression" dxfId="6482" priority="23">
      <formula>AND(IF($Q103=3,1,IF($Q103=4,1,0)),IF($F103&lt;=85,1,0))</formula>
    </cfRule>
  </conditionalFormatting>
  <conditionalFormatting sqref="AV104">
    <cfRule type="expression" dxfId="6481" priority="18">
      <formula>AV104="X"</formula>
    </cfRule>
    <cfRule type="expression" dxfId="6480" priority="19">
      <formula>AV104="후보"</formula>
    </cfRule>
  </conditionalFormatting>
  <conditionalFormatting sqref="AC104">
    <cfRule type="cellIs" dxfId="6479" priority="15" operator="greaterThan">
      <formula>0.9</formula>
    </cfRule>
    <cfRule type="cellIs" dxfId="6478" priority="16" operator="greaterThan">
      <formula>0.85</formula>
    </cfRule>
  </conditionalFormatting>
  <conditionalFormatting sqref="N104">
    <cfRule type="cellIs" dxfId="6477" priority="13" operator="greaterThan">
      <formula>0.9</formula>
    </cfRule>
    <cfRule type="cellIs" dxfId="6476" priority="14" operator="greaterThan">
      <formula>0.85</formula>
    </cfRule>
  </conditionalFormatting>
  <conditionalFormatting sqref="E104">
    <cfRule type="expression" dxfId="6475" priority="9">
      <formula>AND(IF(OR($Q104=1,$Q104=2),1,0),IF($X104&lt;=20,1,0))</formula>
    </cfRule>
    <cfRule type="expression" dxfId="6474" priority="10">
      <formula>AND(IF($Q104=2,1,0),IF($X104&lt;30,1,0))</formula>
    </cfRule>
    <cfRule type="expression" dxfId="6473" priority="11">
      <formula>AND(IF($Q104=3,1,0),IF($X104&lt;30,1,0))</formula>
    </cfRule>
    <cfRule type="expression" dxfId="6472" priority="12">
      <formula>AND(IF($Q104=3,1,IF($Q104=4,1,0)),IF($F104&lt;=85,1,0))</formula>
    </cfRule>
  </conditionalFormatting>
  <conditionalFormatting sqref="X104">
    <cfRule type="expression" dxfId="6471" priority="5">
      <formula>AND(IF(OR($Q104=1,$Q104=2),1,0),IF($X104&lt;=20,1,0))</formula>
    </cfRule>
    <cfRule type="expression" dxfId="6470" priority="6">
      <formula>AND(IF($Q104=2,1,0),IF($X104&lt;30,1,0))</formula>
    </cfRule>
    <cfRule type="expression" dxfId="6469" priority="7">
      <formula>AND(IF($Q104=3,1,0),IF($X104&lt;30,1,0))</formula>
    </cfRule>
    <cfRule type="expression" dxfId="6468" priority="8">
      <formula>AND(IF($Q104=3,1,IF($Q104=4,1,0)),IF($F104&lt;=85,1,0))</formula>
    </cfRule>
  </conditionalFormatting>
  <conditionalFormatting sqref="AI104">
    <cfRule type="expression" dxfId="6467" priority="1">
      <formula>AND(IF(OR($Q104=1,$Q104=2),1,0),IF($X104&lt;=20,1,0))</formula>
    </cfRule>
    <cfRule type="expression" dxfId="6466" priority="2">
      <formula>AND(IF($Q104=2,1,0),IF($X104&lt;30,1,0))</formula>
    </cfRule>
    <cfRule type="expression" dxfId="6465" priority="3">
      <formula>AND(IF($Q104=3,1,0),IF($X104&lt;30,1,0))</formula>
    </cfRule>
    <cfRule type="expression" dxfId="6464" priority="4">
      <formula>AND(IF($Q104=3,1,IF($Q104=4,1,0)),IF($F104&lt;=85,1,0))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8" sqref="A138:XFD1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송천동2가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241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송천동2가 전주3차에코시티휴먼빌('19.02.,402^)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823</v>
      </c>
      <c r="B6" s="10" t="s">
        <v>1572</v>
      </c>
      <c r="C6" s="87">
        <v>402</v>
      </c>
      <c r="D6" s="85">
        <v>82.6</v>
      </c>
      <c r="E6" s="86">
        <v>25</v>
      </c>
      <c r="F6" s="85">
        <v>60</v>
      </c>
      <c r="G6" s="17">
        <v>18</v>
      </c>
      <c r="H6" s="87">
        <v>96</v>
      </c>
      <c r="I6" s="88">
        <v>39000</v>
      </c>
      <c r="J6" s="88" t="s">
        <v>82</v>
      </c>
      <c r="K6" s="88">
        <v>32000</v>
      </c>
      <c r="L6" s="88" t="s">
        <v>68</v>
      </c>
      <c r="M6" s="89">
        <f t="shared" ref="M6:M11" si="2">I6-K6</f>
        <v>7000</v>
      </c>
      <c r="N6" s="4">
        <f t="shared" ref="N6:N11" si="3">IF(ISERROR(K6/I6),"",K6/I6)</f>
        <v>0.82051282051282048</v>
      </c>
      <c r="O6" s="90">
        <f t="shared" ref="O6:O11" si="4">I6/E6</f>
        <v>1560</v>
      </c>
      <c r="P6" s="90">
        <f t="shared" ref="P6:P11" si="5">K6/E6</f>
        <v>1280</v>
      </c>
      <c r="Q6" s="78">
        <v>3</v>
      </c>
      <c r="R6" s="78">
        <v>2</v>
      </c>
      <c r="S6" s="78" t="s">
        <v>59</v>
      </c>
      <c r="T6" s="5" t="s">
        <v>145</v>
      </c>
      <c r="U6" s="9"/>
      <c r="W6" s="85">
        <f t="shared" ref="W6:X11" si="6">D6</f>
        <v>82.6</v>
      </c>
      <c r="X6" s="86">
        <f t="shared" si="6"/>
        <v>25</v>
      </c>
      <c r="Y6" s="91">
        <f t="shared" ref="Y6:Z11" si="7">H6</f>
        <v>96</v>
      </c>
      <c r="Z6" s="89">
        <f t="shared" si="7"/>
        <v>39000</v>
      </c>
      <c r="AA6" s="89">
        <f t="shared" ref="AA6:AA11" si="8">K6</f>
        <v>32000</v>
      </c>
      <c r="AB6" s="89">
        <f t="shared" ref="AB6:AD11" si="9">M6</f>
        <v>7000</v>
      </c>
      <c r="AC6" s="4">
        <f t="shared" si="9"/>
        <v>0.82051282051282048</v>
      </c>
      <c r="AD6" s="90">
        <f t="shared" si="9"/>
        <v>1560</v>
      </c>
      <c r="AE6" s="78" t="str">
        <f t="shared" ref="AE6:AE11" si="10">S6</f>
        <v>계</v>
      </c>
      <c r="AF6" s="78" t="str">
        <f t="shared" ref="AF6:AF11" si="11">Q6&amp;"/"&amp;R6</f>
        <v>3/2</v>
      </c>
      <c r="AH6" s="20" t="str">
        <f t="shared" si="1"/>
        <v>전주3차에코시티휴먼빌</v>
      </c>
      <c r="AI6" s="86">
        <f t="shared" si="0"/>
        <v>25</v>
      </c>
      <c r="AJ6" s="78" t="str">
        <f t="shared" ref="AJ6:AJ11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O</v>
      </c>
      <c r="AP6" s="78" t="str">
        <f t="shared" ref="AP6:AP11" si="15">IF(I6="","",IF(I6&lt;=$AP$1,"O","X"))</f>
        <v>O</v>
      </c>
      <c r="AQ6" s="78" t="str">
        <f t="shared" ref="AQ6:AQ11" si="16">IF(O6="","",IF(O6&lt;=$AQ$1,"O","X"))</f>
        <v>X</v>
      </c>
      <c r="AR6" s="78" t="str">
        <f t="shared" ref="AR6:AR11" si="17">IF(M6="","",IF(M6&lt;=$AR$1,"O","X"))</f>
        <v>X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X</v>
      </c>
    </row>
    <row r="7" spans="1:48" x14ac:dyDescent="0.3">
      <c r="A7" s="9" t="s">
        <v>823</v>
      </c>
      <c r="B7" s="10" t="s">
        <v>1572</v>
      </c>
      <c r="C7" s="87">
        <v>402</v>
      </c>
      <c r="D7" s="85">
        <v>82.4</v>
      </c>
      <c r="E7" s="86">
        <v>25</v>
      </c>
      <c r="F7" s="85">
        <v>60</v>
      </c>
      <c r="G7" s="17">
        <v>18</v>
      </c>
      <c r="H7" s="87">
        <v>22</v>
      </c>
      <c r="I7" s="88">
        <v>41000</v>
      </c>
      <c r="J7" s="88" t="s">
        <v>89</v>
      </c>
      <c r="K7" s="88"/>
      <c r="L7" s="88"/>
      <c r="M7" s="89">
        <f t="shared" si="2"/>
        <v>41000</v>
      </c>
      <c r="N7" s="4">
        <f t="shared" si="3"/>
        <v>0</v>
      </c>
      <c r="O7" s="90">
        <f t="shared" si="4"/>
        <v>1640</v>
      </c>
      <c r="P7" s="90">
        <f t="shared" si="5"/>
        <v>0</v>
      </c>
      <c r="Q7" s="78">
        <v>3</v>
      </c>
      <c r="R7" s="78">
        <v>2</v>
      </c>
      <c r="S7" s="78" t="s">
        <v>59</v>
      </c>
      <c r="T7" s="5" t="s">
        <v>146</v>
      </c>
      <c r="U7" s="9"/>
      <c r="W7" s="85">
        <f t="shared" si="6"/>
        <v>82.4</v>
      </c>
      <c r="X7" s="86">
        <f t="shared" si="6"/>
        <v>25</v>
      </c>
      <c r="Y7" s="91">
        <f t="shared" si="7"/>
        <v>22</v>
      </c>
      <c r="Z7" s="89">
        <f t="shared" si="7"/>
        <v>41000</v>
      </c>
      <c r="AA7" s="89">
        <f t="shared" si="8"/>
        <v>0</v>
      </c>
      <c r="AB7" s="89">
        <f t="shared" si="9"/>
        <v>41000</v>
      </c>
      <c r="AC7" s="4">
        <f t="shared" si="9"/>
        <v>0</v>
      </c>
      <c r="AD7" s="90">
        <f t="shared" si="9"/>
        <v>1640</v>
      </c>
      <c r="AE7" s="78" t="str">
        <f t="shared" si="10"/>
        <v>계</v>
      </c>
      <c r="AF7" s="78" t="str">
        <f t="shared" si="11"/>
        <v>3/2</v>
      </c>
      <c r="AH7" s="20" t="str">
        <f t="shared" si="1"/>
        <v>전주3차에코시티휴먼빌</v>
      </c>
      <c r="AI7" s="86">
        <f t="shared" si="0"/>
        <v>25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>X</v>
      </c>
      <c r="AP7" s="78" t="str">
        <f t="shared" si="15"/>
        <v>O</v>
      </c>
      <c r="AQ7" s="78" t="str">
        <f t="shared" si="16"/>
        <v>X</v>
      </c>
      <c r="AR7" s="78" t="str">
        <f t="shared" si="17"/>
        <v>X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>X</v>
      </c>
    </row>
    <row r="8" spans="1:48" x14ac:dyDescent="0.3">
      <c r="A8" s="9" t="s">
        <v>823</v>
      </c>
      <c r="B8" s="10" t="s">
        <v>1572</v>
      </c>
      <c r="C8" s="87">
        <v>402</v>
      </c>
      <c r="D8" s="85">
        <v>111.9</v>
      </c>
      <c r="E8" s="86">
        <v>34</v>
      </c>
      <c r="F8" s="85">
        <v>84.9</v>
      </c>
      <c r="G8" s="17">
        <v>26</v>
      </c>
      <c r="H8" s="87">
        <v>156</v>
      </c>
      <c r="I8" s="88">
        <v>53500</v>
      </c>
      <c r="J8" s="88" t="s">
        <v>93</v>
      </c>
      <c r="K8" s="88">
        <v>38000</v>
      </c>
      <c r="L8" s="88" t="s">
        <v>147</v>
      </c>
      <c r="M8" s="89">
        <f t="shared" si="2"/>
        <v>15500</v>
      </c>
      <c r="N8" s="4">
        <f t="shared" si="3"/>
        <v>0.71028037383177567</v>
      </c>
      <c r="O8" s="90">
        <f t="shared" si="4"/>
        <v>1573.5294117647059</v>
      </c>
      <c r="P8" s="90">
        <f t="shared" si="5"/>
        <v>1117.6470588235295</v>
      </c>
      <c r="Q8" s="78">
        <v>4</v>
      </c>
      <c r="R8" s="78">
        <v>2</v>
      </c>
      <c r="S8" s="78" t="s">
        <v>59</v>
      </c>
      <c r="T8" s="5" t="s">
        <v>109</v>
      </c>
      <c r="U8" s="9"/>
      <c r="W8" s="85">
        <f t="shared" si="6"/>
        <v>111.9</v>
      </c>
      <c r="X8" s="86">
        <f t="shared" si="6"/>
        <v>34</v>
      </c>
      <c r="Y8" s="91">
        <f t="shared" si="7"/>
        <v>156</v>
      </c>
      <c r="Z8" s="89">
        <f t="shared" si="7"/>
        <v>53500</v>
      </c>
      <c r="AA8" s="89">
        <f t="shared" si="8"/>
        <v>38000</v>
      </c>
      <c r="AB8" s="89">
        <f t="shared" si="9"/>
        <v>15500</v>
      </c>
      <c r="AC8" s="4">
        <f t="shared" si="9"/>
        <v>0.71028037383177567</v>
      </c>
      <c r="AD8" s="90">
        <f t="shared" si="9"/>
        <v>1573.5294117647059</v>
      </c>
      <c r="AE8" s="78" t="str">
        <f t="shared" si="10"/>
        <v>계</v>
      </c>
      <c r="AF8" s="78" t="str">
        <f t="shared" si="11"/>
        <v>4/2</v>
      </c>
      <c r="AH8" s="20" t="str">
        <f t="shared" si="1"/>
        <v>전주3차에코시티휴먼빌</v>
      </c>
      <c r="AI8" s="86">
        <f t="shared" si="0"/>
        <v>34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>X</v>
      </c>
      <c r="AP8" s="78" t="str">
        <f t="shared" si="15"/>
        <v>X</v>
      </c>
      <c r="AQ8" s="78" t="str">
        <f t="shared" si="16"/>
        <v>X</v>
      </c>
      <c r="AR8" s="78" t="str">
        <f t="shared" si="17"/>
        <v>X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>X</v>
      </c>
    </row>
    <row r="9" spans="1:48" x14ac:dyDescent="0.3">
      <c r="A9" s="9" t="s">
        <v>823</v>
      </c>
      <c r="B9" s="10" t="s">
        <v>1572</v>
      </c>
      <c r="C9" s="87">
        <v>402</v>
      </c>
      <c r="D9" s="85">
        <v>111.9</v>
      </c>
      <c r="E9" s="86">
        <v>34</v>
      </c>
      <c r="F9" s="85">
        <v>84.8</v>
      </c>
      <c r="G9" s="17">
        <v>26</v>
      </c>
      <c r="H9" s="87">
        <v>30</v>
      </c>
      <c r="I9" s="88">
        <v>54000</v>
      </c>
      <c r="J9" s="88" t="s">
        <v>72</v>
      </c>
      <c r="K9" s="88">
        <v>40000</v>
      </c>
      <c r="L9" s="88" t="s">
        <v>89</v>
      </c>
      <c r="M9" s="89">
        <f t="shared" si="2"/>
        <v>14000</v>
      </c>
      <c r="N9" s="4">
        <f t="shared" si="3"/>
        <v>0.7407407407407407</v>
      </c>
      <c r="O9" s="90">
        <f t="shared" si="4"/>
        <v>1588.2352941176471</v>
      </c>
      <c r="P9" s="90">
        <f t="shared" si="5"/>
        <v>1176.4705882352941</v>
      </c>
      <c r="Q9" s="78">
        <v>4</v>
      </c>
      <c r="R9" s="78">
        <v>2</v>
      </c>
      <c r="S9" s="78" t="s">
        <v>59</v>
      </c>
      <c r="T9" s="5" t="s">
        <v>110</v>
      </c>
      <c r="U9" s="9"/>
      <c r="W9" s="85">
        <f t="shared" si="6"/>
        <v>111.9</v>
      </c>
      <c r="X9" s="86">
        <f t="shared" si="6"/>
        <v>34</v>
      </c>
      <c r="Y9" s="91">
        <f t="shared" si="7"/>
        <v>30</v>
      </c>
      <c r="Z9" s="89">
        <f t="shared" si="7"/>
        <v>54000</v>
      </c>
      <c r="AA9" s="89">
        <f t="shared" si="8"/>
        <v>40000</v>
      </c>
      <c r="AB9" s="89">
        <f t="shared" si="9"/>
        <v>14000</v>
      </c>
      <c r="AC9" s="4">
        <f t="shared" si="9"/>
        <v>0.7407407407407407</v>
      </c>
      <c r="AD9" s="90">
        <f t="shared" si="9"/>
        <v>1588.2352941176471</v>
      </c>
      <c r="AE9" s="78" t="str">
        <f t="shared" si="10"/>
        <v>계</v>
      </c>
      <c r="AF9" s="78" t="str">
        <f t="shared" si="11"/>
        <v>4/2</v>
      </c>
      <c r="AH9" s="20" t="str">
        <f t="shared" si="1"/>
        <v>전주3차에코시티휴먼빌</v>
      </c>
      <c r="AI9" s="86">
        <f t="shared" si="0"/>
        <v>34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>X</v>
      </c>
      <c r="AP9" s="78" t="str">
        <f t="shared" si="15"/>
        <v>X</v>
      </c>
      <c r="AQ9" s="78" t="str">
        <f t="shared" si="16"/>
        <v>X</v>
      </c>
      <c r="AR9" s="78" t="str">
        <f t="shared" si="17"/>
        <v>X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>X</v>
      </c>
    </row>
    <row r="10" spans="1:48" x14ac:dyDescent="0.3">
      <c r="A10" s="9" t="s">
        <v>823</v>
      </c>
      <c r="B10" s="10" t="s">
        <v>1572</v>
      </c>
      <c r="C10" s="87">
        <v>402</v>
      </c>
      <c r="D10" s="85">
        <v>112</v>
      </c>
      <c r="E10" s="86">
        <v>34</v>
      </c>
      <c r="F10" s="85">
        <v>84.9</v>
      </c>
      <c r="G10" s="17">
        <v>26</v>
      </c>
      <c r="H10" s="87">
        <v>30</v>
      </c>
      <c r="I10" s="88">
        <v>53000</v>
      </c>
      <c r="J10" s="88" t="s">
        <v>82</v>
      </c>
      <c r="K10" s="88"/>
      <c r="L10" s="88"/>
      <c r="M10" s="89">
        <f t="shared" si="2"/>
        <v>53000</v>
      </c>
      <c r="N10" s="4">
        <f t="shared" si="3"/>
        <v>0</v>
      </c>
      <c r="O10" s="90">
        <f t="shared" si="4"/>
        <v>1558.8235294117646</v>
      </c>
      <c r="P10" s="90">
        <f t="shared" si="5"/>
        <v>0</v>
      </c>
      <c r="Q10" s="78">
        <v>4</v>
      </c>
      <c r="R10" s="78">
        <v>2</v>
      </c>
      <c r="S10" s="78" t="s">
        <v>59</v>
      </c>
      <c r="T10" s="5" t="s">
        <v>148</v>
      </c>
      <c r="U10" s="9"/>
      <c r="W10" s="85">
        <f t="shared" si="6"/>
        <v>112</v>
      </c>
      <c r="X10" s="86">
        <f t="shared" si="6"/>
        <v>34</v>
      </c>
      <c r="Y10" s="91">
        <f t="shared" si="7"/>
        <v>30</v>
      </c>
      <c r="Z10" s="89">
        <f t="shared" si="7"/>
        <v>53000</v>
      </c>
      <c r="AA10" s="89">
        <f t="shared" si="8"/>
        <v>0</v>
      </c>
      <c r="AB10" s="89">
        <f t="shared" si="9"/>
        <v>53000</v>
      </c>
      <c r="AC10" s="4">
        <f t="shared" si="9"/>
        <v>0</v>
      </c>
      <c r="AD10" s="90">
        <f t="shared" si="9"/>
        <v>1558.8235294117646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전주3차에코시티휴먼빌</v>
      </c>
      <c r="AI10" s="86">
        <f t="shared" si="0"/>
        <v>34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>X</v>
      </c>
      <c r="AP10" s="78" t="str">
        <f t="shared" si="15"/>
        <v>X</v>
      </c>
      <c r="AQ10" s="78" t="str">
        <f t="shared" si="16"/>
        <v>X</v>
      </c>
      <c r="AR10" s="78" t="str">
        <f t="shared" si="17"/>
        <v>X</v>
      </c>
      <c r="AS10" s="78" t="s">
        <v>2</v>
      </c>
      <c r="AT10" s="78" t="str">
        <f t="shared" si="18"/>
        <v>O</v>
      </c>
      <c r="AU10" s="78" t="str">
        <f t="shared" si="19"/>
        <v>O</v>
      </c>
      <c r="AV10" s="78" t="str">
        <f t="shared" si="20"/>
        <v>X</v>
      </c>
    </row>
    <row r="11" spans="1:48" x14ac:dyDescent="0.3">
      <c r="A11" s="9" t="s">
        <v>823</v>
      </c>
      <c r="B11" s="10" t="s">
        <v>1572</v>
      </c>
      <c r="C11" s="87">
        <v>402</v>
      </c>
      <c r="D11" s="85">
        <v>145.4</v>
      </c>
      <c r="E11" s="86">
        <v>44</v>
      </c>
      <c r="F11" s="85">
        <v>120.2</v>
      </c>
      <c r="G11" s="17">
        <v>36</v>
      </c>
      <c r="H11" s="87">
        <v>68</v>
      </c>
      <c r="I11" s="88">
        <v>83000</v>
      </c>
      <c r="J11" s="88" t="s">
        <v>72</v>
      </c>
      <c r="K11" s="88"/>
      <c r="L11" s="88"/>
      <c r="M11" s="89">
        <f t="shared" si="2"/>
        <v>83000</v>
      </c>
      <c r="N11" s="4">
        <f t="shared" si="3"/>
        <v>0</v>
      </c>
      <c r="O11" s="90">
        <f t="shared" si="4"/>
        <v>1886.3636363636363</v>
      </c>
      <c r="P11" s="90">
        <f t="shared" si="5"/>
        <v>0</v>
      </c>
      <c r="Q11" s="78">
        <v>5</v>
      </c>
      <c r="R11" s="78">
        <v>2</v>
      </c>
      <c r="S11" s="78" t="s">
        <v>59</v>
      </c>
      <c r="T11" s="5">
        <v>145</v>
      </c>
      <c r="U11" s="9"/>
      <c r="W11" s="85">
        <f t="shared" si="6"/>
        <v>145.4</v>
      </c>
      <c r="X11" s="86">
        <f t="shared" si="6"/>
        <v>44</v>
      </c>
      <c r="Y11" s="91">
        <f t="shared" si="7"/>
        <v>68</v>
      </c>
      <c r="Z11" s="89">
        <f t="shared" si="7"/>
        <v>83000</v>
      </c>
      <c r="AA11" s="89">
        <f t="shared" si="8"/>
        <v>0</v>
      </c>
      <c r="AB11" s="89">
        <f t="shared" si="9"/>
        <v>83000</v>
      </c>
      <c r="AC11" s="4">
        <f t="shared" si="9"/>
        <v>0</v>
      </c>
      <c r="AD11" s="90">
        <f t="shared" si="9"/>
        <v>1886.3636363636363</v>
      </c>
      <c r="AE11" s="78" t="str">
        <f t="shared" si="10"/>
        <v>계</v>
      </c>
      <c r="AF11" s="78" t="str">
        <f t="shared" si="11"/>
        <v>5/2</v>
      </c>
      <c r="AH11" s="20" t="str">
        <f t="shared" si="1"/>
        <v>전주3차에코시티휴먼빌</v>
      </c>
      <c r="AI11" s="86">
        <f t="shared" si="0"/>
        <v>44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X</v>
      </c>
      <c r="AQ11" s="78" t="str">
        <f t="shared" si="16"/>
        <v>X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송천동2가 에코시티자이('17.12.,640^)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828</v>
      </c>
      <c r="B13" s="10" t="s">
        <v>1573</v>
      </c>
      <c r="C13" s="87">
        <v>640</v>
      </c>
      <c r="D13" s="85">
        <v>82.3</v>
      </c>
      <c r="E13" s="86">
        <v>25</v>
      </c>
      <c r="F13" s="85">
        <v>60</v>
      </c>
      <c r="G13" s="17">
        <v>18</v>
      </c>
      <c r="H13" s="87">
        <v>130</v>
      </c>
      <c r="I13" s="88">
        <v>41500</v>
      </c>
      <c r="J13" s="88" t="s">
        <v>104</v>
      </c>
      <c r="K13" s="88">
        <v>32000</v>
      </c>
      <c r="L13" s="88" t="s">
        <v>93</v>
      </c>
      <c r="M13" s="89">
        <f>I13-K13</f>
        <v>9500</v>
      </c>
      <c r="N13" s="4">
        <f>IF(ISERROR(K13/I13),"",K13/I13)</f>
        <v>0.77108433734939763</v>
      </c>
      <c r="O13" s="90">
        <f>I13/E13</f>
        <v>1660</v>
      </c>
      <c r="P13" s="90">
        <f>K13/E13</f>
        <v>1280</v>
      </c>
      <c r="Q13" s="78">
        <v>3</v>
      </c>
      <c r="R13" s="78">
        <v>2</v>
      </c>
      <c r="S13" s="78" t="s">
        <v>59</v>
      </c>
      <c r="T13" s="5">
        <v>82</v>
      </c>
      <c r="U13" s="9"/>
      <c r="W13" s="85">
        <f t="shared" ref="W13:X15" si="21">D13</f>
        <v>82.3</v>
      </c>
      <c r="X13" s="86">
        <f t="shared" si="21"/>
        <v>25</v>
      </c>
      <c r="Y13" s="91">
        <f t="shared" ref="Y13:Z15" si="22">H13</f>
        <v>130</v>
      </c>
      <c r="Z13" s="89">
        <f t="shared" si="22"/>
        <v>41500</v>
      </c>
      <c r="AA13" s="89">
        <f>K13</f>
        <v>32000</v>
      </c>
      <c r="AB13" s="89">
        <f t="shared" ref="AB13:AD15" si="23">M13</f>
        <v>9500</v>
      </c>
      <c r="AC13" s="4">
        <f t="shared" si="23"/>
        <v>0.77108433734939763</v>
      </c>
      <c r="AD13" s="90">
        <f t="shared" si="23"/>
        <v>1660</v>
      </c>
      <c r="AE13" s="78" t="str">
        <f>S13</f>
        <v>계</v>
      </c>
      <c r="AF13" s="78" t="str">
        <f>Q13&amp;"/"&amp;R13</f>
        <v>3/2</v>
      </c>
      <c r="AH13" s="20" t="str">
        <f t="shared" si="1"/>
        <v>에코시티자이</v>
      </c>
      <c r="AI13" s="86">
        <f t="shared" si="0"/>
        <v>25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828</v>
      </c>
      <c r="B14" s="10" t="s">
        <v>1573</v>
      </c>
      <c r="C14" s="87">
        <v>640</v>
      </c>
      <c r="D14" s="85">
        <v>115.2</v>
      </c>
      <c r="E14" s="86">
        <v>35</v>
      </c>
      <c r="F14" s="85">
        <v>85</v>
      </c>
      <c r="G14" s="17">
        <v>26</v>
      </c>
      <c r="H14" s="87">
        <v>464</v>
      </c>
      <c r="I14" s="88">
        <v>56500</v>
      </c>
      <c r="J14" s="88" t="s">
        <v>87</v>
      </c>
      <c r="K14" s="88">
        <v>41000</v>
      </c>
      <c r="L14" s="88" t="s">
        <v>83</v>
      </c>
      <c r="M14" s="89">
        <f>I14-K14</f>
        <v>15500</v>
      </c>
      <c r="N14" s="4">
        <f>IF(ISERROR(K14/I14),"",K14/I14)</f>
        <v>0.72566371681415931</v>
      </c>
      <c r="O14" s="90">
        <f>I14/E14</f>
        <v>1614.2857142857142</v>
      </c>
      <c r="P14" s="90">
        <f>K14/E14</f>
        <v>1171.4285714285713</v>
      </c>
      <c r="Q14" s="78">
        <v>3</v>
      </c>
      <c r="R14" s="78">
        <v>2</v>
      </c>
      <c r="S14" s="78" t="s">
        <v>59</v>
      </c>
      <c r="T14" s="5">
        <v>115</v>
      </c>
      <c r="U14" s="9"/>
      <c r="W14" s="85">
        <f t="shared" si="21"/>
        <v>115.2</v>
      </c>
      <c r="X14" s="86">
        <f t="shared" si="21"/>
        <v>35</v>
      </c>
      <c r="Y14" s="91">
        <f t="shared" si="22"/>
        <v>464</v>
      </c>
      <c r="Z14" s="89">
        <f t="shared" si="22"/>
        <v>56500</v>
      </c>
      <c r="AA14" s="89">
        <f>K14</f>
        <v>41000</v>
      </c>
      <c r="AB14" s="89">
        <f t="shared" si="23"/>
        <v>15500</v>
      </c>
      <c r="AC14" s="4">
        <f t="shared" si="23"/>
        <v>0.72566371681415931</v>
      </c>
      <c r="AD14" s="90">
        <f t="shared" si="23"/>
        <v>1614.2857142857142</v>
      </c>
      <c r="AE14" s="78" t="str">
        <f>S14</f>
        <v>계</v>
      </c>
      <c r="AF14" s="78" t="str">
        <f>Q14&amp;"/"&amp;R14</f>
        <v>3/2</v>
      </c>
      <c r="AH14" s="20" t="str">
        <f t="shared" si="1"/>
        <v>에코시티자이</v>
      </c>
      <c r="AI14" s="86">
        <f t="shared" si="0"/>
        <v>35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X</v>
      </c>
      <c r="AQ14" s="78" t="str">
        <f>IF(O14="","",IF(O14&lt;=$AQ$1,"O","X"))</f>
        <v>X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828</v>
      </c>
      <c r="B15" s="10" t="s">
        <v>1573</v>
      </c>
      <c r="C15" s="87">
        <v>640</v>
      </c>
      <c r="D15" s="85">
        <v>156.4</v>
      </c>
      <c r="E15" s="86">
        <v>47</v>
      </c>
      <c r="F15" s="85">
        <v>116.9</v>
      </c>
      <c r="G15" s="17">
        <v>35</v>
      </c>
      <c r="H15" s="87">
        <v>46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4</v>
      </c>
      <c r="R15" s="78">
        <v>2</v>
      </c>
      <c r="S15" s="78" t="s">
        <v>59</v>
      </c>
      <c r="T15" s="5">
        <v>156</v>
      </c>
      <c r="U15" s="9"/>
      <c r="W15" s="85">
        <f t="shared" si="21"/>
        <v>156.4</v>
      </c>
      <c r="X15" s="86">
        <f t="shared" si="21"/>
        <v>47</v>
      </c>
      <c r="Y15" s="91">
        <f t="shared" si="22"/>
        <v>46</v>
      </c>
      <c r="Z15" s="89">
        <f t="shared" si="22"/>
        <v>0</v>
      </c>
      <c r="AA15" s="89">
        <f>K15</f>
        <v>0</v>
      </c>
      <c r="AB15" s="89">
        <f t="shared" si="23"/>
        <v>0</v>
      </c>
      <c r="AC15" s="4" t="str">
        <f t="shared" si="23"/>
        <v/>
      </c>
      <c r="AD15" s="90">
        <f t="shared" si="23"/>
        <v>0</v>
      </c>
      <c r="AE15" s="78" t="str">
        <f>S15</f>
        <v>계</v>
      </c>
      <c r="AF15" s="78" t="str">
        <f>Q15&amp;"/"&amp;R15</f>
        <v>4/2</v>
      </c>
      <c r="AH15" s="20" t="str">
        <f t="shared" si="1"/>
        <v>에코시티자이</v>
      </c>
      <c r="AI15" s="86">
        <f t="shared" si="0"/>
        <v>47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/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송천동2가 전주에코시티데시앙2차(12BL)('19.01.,708^)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833</v>
      </c>
      <c r="B17" s="10" t="s">
        <v>1545</v>
      </c>
      <c r="C17" s="87">
        <v>708</v>
      </c>
      <c r="D17" s="85">
        <v>83.5</v>
      </c>
      <c r="E17" s="86">
        <v>25</v>
      </c>
      <c r="F17" s="85">
        <v>60</v>
      </c>
      <c r="G17" s="17">
        <v>18</v>
      </c>
      <c r="H17" s="87">
        <v>116</v>
      </c>
      <c r="I17" s="88">
        <v>43000</v>
      </c>
      <c r="J17" s="88" t="s">
        <v>156</v>
      </c>
      <c r="K17" s="88">
        <v>32000</v>
      </c>
      <c r="L17" s="88" t="s">
        <v>182</v>
      </c>
      <c r="M17" s="89">
        <f>I17-K17</f>
        <v>11000</v>
      </c>
      <c r="N17" s="4">
        <f>IF(ISERROR(K17/I17),"",K17/I17)</f>
        <v>0.7441860465116279</v>
      </c>
      <c r="O17" s="90">
        <f>I17/E17</f>
        <v>1720</v>
      </c>
      <c r="P17" s="90">
        <f>K17/E17</f>
        <v>1280</v>
      </c>
      <c r="Q17" s="78">
        <v>3</v>
      </c>
      <c r="R17" s="78">
        <v>2</v>
      </c>
      <c r="S17" s="78" t="s">
        <v>59</v>
      </c>
      <c r="T17" s="5" t="s">
        <v>112</v>
      </c>
      <c r="U17" s="9"/>
      <c r="W17" s="85">
        <f t="shared" ref="W17:X19" si="24">D17</f>
        <v>83.5</v>
      </c>
      <c r="X17" s="86">
        <f t="shared" si="24"/>
        <v>25</v>
      </c>
      <c r="Y17" s="91">
        <f t="shared" ref="Y17:Z19" si="25">H17</f>
        <v>116</v>
      </c>
      <c r="Z17" s="89">
        <f t="shared" si="25"/>
        <v>43000</v>
      </c>
      <c r="AA17" s="89">
        <f>K17</f>
        <v>32000</v>
      </c>
      <c r="AB17" s="89">
        <f t="shared" ref="AB17:AD19" si="26">M17</f>
        <v>11000</v>
      </c>
      <c r="AC17" s="4">
        <f t="shared" si="26"/>
        <v>0.7441860465116279</v>
      </c>
      <c r="AD17" s="90">
        <f t="shared" si="26"/>
        <v>1720</v>
      </c>
      <c r="AE17" s="78" t="str">
        <f>S17</f>
        <v>계</v>
      </c>
      <c r="AF17" s="78" t="str">
        <f>Q17&amp;"/"&amp;R17</f>
        <v>3/2</v>
      </c>
      <c r="AH17" s="20" t="str">
        <f t="shared" si="1"/>
        <v>전주에코시티데시앙2차(12BL)</v>
      </c>
      <c r="AI17" s="86">
        <f t="shared" si="0"/>
        <v>25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833</v>
      </c>
      <c r="B18" s="10" t="s">
        <v>1545</v>
      </c>
      <c r="C18" s="87">
        <v>708</v>
      </c>
      <c r="D18" s="85">
        <v>117.4</v>
      </c>
      <c r="E18" s="86">
        <v>36</v>
      </c>
      <c r="F18" s="85">
        <v>85</v>
      </c>
      <c r="G18" s="17">
        <v>26</v>
      </c>
      <c r="H18" s="87">
        <v>505</v>
      </c>
      <c r="I18" s="88">
        <v>59000</v>
      </c>
      <c r="J18" s="88" t="s">
        <v>87</v>
      </c>
      <c r="K18" s="88">
        <v>41000</v>
      </c>
      <c r="L18" s="88" t="s">
        <v>89</v>
      </c>
      <c r="M18" s="89">
        <f>I18-K18</f>
        <v>18000</v>
      </c>
      <c r="N18" s="4">
        <f>IF(ISERROR(K18/I18),"",K18/I18)</f>
        <v>0.69491525423728817</v>
      </c>
      <c r="O18" s="90">
        <f>I18/E18</f>
        <v>1638.8888888888889</v>
      </c>
      <c r="P18" s="90">
        <f>K18/E18</f>
        <v>1138.8888888888889</v>
      </c>
      <c r="Q18" s="78">
        <v>3</v>
      </c>
      <c r="R18" s="78">
        <v>2</v>
      </c>
      <c r="S18" s="78" t="s">
        <v>59</v>
      </c>
      <c r="T18" s="5" t="s">
        <v>149</v>
      </c>
      <c r="U18" s="9"/>
      <c r="W18" s="85">
        <f t="shared" si="24"/>
        <v>117.4</v>
      </c>
      <c r="X18" s="86">
        <f t="shared" si="24"/>
        <v>36</v>
      </c>
      <c r="Y18" s="91">
        <f t="shared" si="25"/>
        <v>505</v>
      </c>
      <c r="Z18" s="89">
        <f t="shared" si="25"/>
        <v>59000</v>
      </c>
      <c r="AA18" s="89">
        <f>K18</f>
        <v>41000</v>
      </c>
      <c r="AB18" s="89">
        <f t="shared" si="26"/>
        <v>18000</v>
      </c>
      <c r="AC18" s="4">
        <f t="shared" si="26"/>
        <v>0.69491525423728817</v>
      </c>
      <c r="AD18" s="90">
        <f t="shared" si="26"/>
        <v>1638.8888888888889</v>
      </c>
      <c r="AE18" s="78" t="str">
        <f>S18</f>
        <v>계</v>
      </c>
      <c r="AF18" s="78" t="str">
        <f>Q18&amp;"/"&amp;R18</f>
        <v>3/2</v>
      </c>
      <c r="AH18" s="20" t="str">
        <f t="shared" si="1"/>
        <v>전주에코시티데시앙2차(12BL)</v>
      </c>
      <c r="AI18" s="86">
        <f t="shared" si="0"/>
        <v>36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833</v>
      </c>
      <c r="B19" s="10" t="s">
        <v>1545</v>
      </c>
      <c r="C19" s="87">
        <v>708</v>
      </c>
      <c r="D19" s="85">
        <v>117.1</v>
      </c>
      <c r="E19" s="86">
        <v>35</v>
      </c>
      <c r="F19" s="85">
        <v>84.9</v>
      </c>
      <c r="G19" s="17">
        <v>26</v>
      </c>
      <c r="H19" s="87">
        <v>87</v>
      </c>
      <c r="I19" s="88">
        <v>60000</v>
      </c>
      <c r="J19" s="88" t="s">
        <v>137</v>
      </c>
      <c r="K19" s="88">
        <v>40000</v>
      </c>
      <c r="L19" s="88" t="s">
        <v>87</v>
      </c>
      <c r="M19" s="89">
        <f>I19-K19</f>
        <v>20000</v>
      </c>
      <c r="N19" s="4">
        <f>IF(ISERROR(K19/I19),"",K19/I19)</f>
        <v>0.66666666666666663</v>
      </c>
      <c r="O19" s="90">
        <f>I19/E19</f>
        <v>1714.2857142857142</v>
      </c>
      <c r="P19" s="90">
        <f>K19/E19</f>
        <v>1142.8571428571429</v>
      </c>
      <c r="Q19" s="78">
        <v>4</v>
      </c>
      <c r="R19" s="78">
        <v>2</v>
      </c>
      <c r="S19" s="78" t="s">
        <v>59</v>
      </c>
      <c r="T19" s="5" t="s">
        <v>150</v>
      </c>
      <c r="U19" s="9"/>
      <c r="W19" s="85">
        <f t="shared" si="24"/>
        <v>117.1</v>
      </c>
      <c r="X19" s="86">
        <f t="shared" si="24"/>
        <v>35</v>
      </c>
      <c r="Y19" s="91">
        <f t="shared" si="25"/>
        <v>87</v>
      </c>
      <c r="Z19" s="89">
        <f t="shared" si="25"/>
        <v>60000</v>
      </c>
      <c r="AA19" s="89">
        <f>K19</f>
        <v>40000</v>
      </c>
      <c r="AB19" s="89">
        <f t="shared" si="26"/>
        <v>20000</v>
      </c>
      <c r="AC19" s="4">
        <f t="shared" si="26"/>
        <v>0.66666666666666663</v>
      </c>
      <c r="AD19" s="90">
        <f t="shared" si="26"/>
        <v>1714.2857142857142</v>
      </c>
      <c r="AE19" s="78" t="str">
        <f>S19</f>
        <v>계</v>
      </c>
      <c r="AF19" s="78" t="str">
        <f>Q19&amp;"/"&amp;R19</f>
        <v>4/2</v>
      </c>
      <c r="AH19" s="20" t="str">
        <f t="shared" si="1"/>
        <v>전주에코시티데시앙2차(12BL)</v>
      </c>
      <c r="AI19" s="86">
        <f t="shared" si="0"/>
        <v>35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/>
      <c r="B20" s="78"/>
      <c r="C20" s="6"/>
      <c r="D20" s="9"/>
      <c r="E20" s="14"/>
      <c r="F20" s="85"/>
      <c r="G20" s="9"/>
      <c r="H20" s="9"/>
      <c r="I20" s="9"/>
      <c r="J20" s="9"/>
      <c r="K20" s="9"/>
      <c r="L20" s="9"/>
      <c r="M20" s="9"/>
      <c r="N20" s="9"/>
      <c r="O20" s="90"/>
      <c r="P20" s="90"/>
      <c r="Q20" s="86"/>
      <c r="R20" s="86"/>
      <c r="S20" s="9"/>
      <c r="T20" s="47"/>
      <c r="U20" s="9"/>
      <c r="W20" s="67" t="str">
        <f>$A$4&amp;" "&amp;A21&amp;"("&amp;B21&amp;","&amp;C21&amp;"^)"</f>
        <v>송천동2가 송천주공('98.12.,1992^)</v>
      </c>
      <c r="X20" s="68"/>
      <c r="Y20" s="68"/>
      <c r="Z20" s="68"/>
      <c r="AA20" s="68"/>
      <c r="AB20" s="68"/>
      <c r="AC20" s="68"/>
      <c r="AD20" s="68"/>
      <c r="AE20" s="68"/>
      <c r="AF20" s="69"/>
      <c r="AH20" s="20" t="str">
        <f t="shared" si="1"/>
        <v/>
      </c>
      <c r="AI20" s="108" t="str">
        <f t="shared" si="0"/>
        <v/>
      </c>
      <c r="AJ20" s="78"/>
      <c r="AK20" s="78"/>
      <c r="AL20" s="78"/>
      <c r="AM20" s="78"/>
      <c r="AN20" s="78"/>
      <c r="AO20" s="78"/>
      <c r="AP20" s="78"/>
      <c r="AQ20" s="78"/>
      <c r="AR20" s="78"/>
      <c r="AS20" s="78"/>
      <c r="AT20" s="78"/>
      <c r="AU20" s="78"/>
      <c r="AV20" s="78"/>
    </row>
    <row r="21" spans="1:48" x14ac:dyDescent="0.3">
      <c r="A21" s="9" t="s">
        <v>842</v>
      </c>
      <c r="B21" s="10" t="s">
        <v>1574</v>
      </c>
      <c r="C21" s="87">
        <v>1992</v>
      </c>
      <c r="D21" s="85">
        <v>62.9</v>
      </c>
      <c r="E21" s="86">
        <v>19</v>
      </c>
      <c r="F21" s="85">
        <v>49.1</v>
      </c>
      <c r="G21" s="17">
        <v>15</v>
      </c>
      <c r="H21" s="87">
        <v>84</v>
      </c>
      <c r="I21" s="88">
        <v>15000</v>
      </c>
      <c r="J21" s="88" t="s">
        <v>127</v>
      </c>
      <c r="K21" s="88"/>
      <c r="L21" s="88"/>
      <c r="M21" s="89">
        <f>I21-K21</f>
        <v>15000</v>
      </c>
      <c r="N21" s="4">
        <f>IF(ISERROR(K21/I21),"",K21/I21)</f>
        <v>0</v>
      </c>
      <c r="O21" s="90">
        <f>I21/E21</f>
        <v>789.47368421052636</v>
      </c>
      <c r="P21" s="90">
        <f>K21/E21</f>
        <v>0</v>
      </c>
      <c r="Q21" s="78">
        <v>2</v>
      </c>
      <c r="R21" s="78">
        <v>1</v>
      </c>
      <c r="S21" s="78" t="s">
        <v>59</v>
      </c>
      <c r="T21" s="5">
        <v>62</v>
      </c>
      <c r="U21" s="9"/>
      <c r="W21" s="85">
        <f t="shared" ref="W21:X25" si="27">D21</f>
        <v>62.9</v>
      </c>
      <c r="X21" s="86">
        <f t="shared" si="27"/>
        <v>19</v>
      </c>
      <c r="Y21" s="91">
        <f t="shared" ref="Y21:Z25" si="28">H21</f>
        <v>84</v>
      </c>
      <c r="Z21" s="89">
        <f t="shared" si="28"/>
        <v>15000</v>
      </c>
      <c r="AA21" s="89">
        <f>K21</f>
        <v>0</v>
      </c>
      <c r="AB21" s="89">
        <f t="shared" ref="AB21:AD25" si="29">M21</f>
        <v>15000</v>
      </c>
      <c r="AC21" s="4">
        <f t="shared" si="29"/>
        <v>0</v>
      </c>
      <c r="AD21" s="90">
        <f t="shared" si="29"/>
        <v>789.47368421052636</v>
      </c>
      <c r="AE21" s="78" t="str">
        <f>S21</f>
        <v>계</v>
      </c>
      <c r="AF21" s="78" t="str">
        <f>Q21&amp;"/"&amp;R21</f>
        <v>2/1</v>
      </c>
      <c r="AH21" s="20" t="str">
        <f t="shared" si="1"/>
        <v>송천주공</v>
      </c>
      <c r="AI21" s="86">
        <f t="shared" si="0"/>
        <v>19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>X</v>
      </c>
      <c r="AP21" s="78" t="str">
        <f>IF(I21="","",IF(I21&lt;=$AP$1,"O","X"))</f>
        <v>O</v>
      </c>
      <c r="AQ21" s="78" t="str">
        <f>IF(O21="","",IF(O21&lt;=$AQ$1,"O","X"))</f>
        <v>O</v>
      </c>
      <c r="AR21" s="78" t="str">
        <f>IF(M21="","",IF(M21&lt;=$AR$1,"O","X"))</f>
        <v>X</v>
      </c>
      <c r="AS21" s="78" t="s">
        <v>2</v>
      </c>
      <c r="AT21" s="78" t="str">
        <f>IF(OR(F21="",AI21=""),"",IF(AND((F21&lt;=85),(AI21&gt;=15)),"O","X"))</f>
        <v>O</v>
      </c>
      <c r="AU21" s="78" t="str">
        <f>IF(C21="","",IF(C21&gt;=$AU$1,"O","X"))</f>
        <v>O</v>
      </c>
      <c r="AV21" s="78" t="str">
        <f>IF(AO21="","",IF(AND(AO21="O",AP21="O",AR21="O",AT21="O",AU21="O"),"후보","X"))</f>
        <v>X</v>
      </c>
    </row>
    <row r="22" spans="1:48" x14ac:dyDescent="0.3">
      <c r="A22" s="9" t="s">
        <v>842</v>
      </c>
      <c r="B22" s="10" t="s">
        <v>1574</v>
      </c>
      <c r="C22" s="87">
        <v>1992</v>
      </c>
      <c r="D22" s="85">
        <v>76.900000000000006</v>
      </c>
      <c r="E22" s="86">
        <v>23</v>
      </c>
      <c r="F22" s="85">
        <v>59.8</v>
      </c>
      <c r="G22" s="17">
        <v>18</v>
      </c>
      <c r="H22" s="87">
        <v>75</v>
      </c>
      <c r="I22" s="88">
        <v>18500</v>
      </c>
      <c r="J22" s="88" t="s">
        <v>69</v>
      </c>
      <c r="K22" s="88"/>
      <c r="L22" s="88"/>
      <c r="M22" s="89">
        <f>I22-K22</f>
        <v>18500</v>
      </c>
      <c r="N22" s="4">
        <f>IF(ISERROR(K22/I22),"",K22/I22)</f>
        <v>0</v>
      </c>
      <c r="O22" s="90">
        <f>I22/E22</f>
        <v>804.3478260869565</v>
      </c>
      <c r="P22" s="90">
        <f>K22/E22</f>
        <v>0</v>
      </c>
      <c r="Q22" s="78">
        <v>3</v>
      </c>
      <c r="R22" s="78">
        <v>1</v>
      </c>
      <c r="S22" s="78" t="s">
        <v>59</v>
      </c>
      <c r="T22" s="5" t="s">
        <v>151</v>
      </c>
      <c r="U22" s="9"/>
      <c r="W22" s="85">
        <f t="shared" si="27"/>
        <v>76.900000000000006</v>
      </c>
      <c r="X22" s="86">
        <f t="shared" si="27"/>
        <v>23</v>
      </c>
      <c r="Y22" s="91">
        <f t="shared" si="28"/>
        <v>75</v>
      </c>
      <c r="Z22" s="89">
        <f t="shared" si="28"/>
        <v>18500</v>
      </c>
      <c r="AA22" s="89">
        <f>K22</f>
        <v>0</v>
      </c>
      <c r="AB22" s="89">
        <f t="shared" si="29"/>
        <v>18500</v>
      </c>
      <c r="AC22" s="4">
        <f t="shared" si="29"/>
        <v>0</v>
      </c>
      <c r="AD22" s="90">
        <f t="shared" si="29"/>
        <v>804.3478260869565</v>
      </c>
      <c r="AE22" s="78" t="str">
        <f>S22</f>
        <v>계</v>
      </c>
      <c r="AF22" s="78" t="str">
        <f>Q22&amp;"/"&amp;R22</f>
        <v>3/1</v>
      </c>
      <c r="AH22" s="20" t="str">
        <f t="shared" si="1"/>
        <v>송천주공</v>
      </c>
      <c r="AI22" s="86">
        <f t="shared" si="0"/>
        <v>23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842</v>
      </c>
      <c r="B23" s="10" t="s">
        <v>1574</v>
      </c>
      <c r="C23" s="87">
        <v>1992</v>
      </c>
      <c r="D23" s="85">
        <v>77.099999999999994</v>
      </c>
      <c r="E23" s="86">
        <v>23</v>
      </c>
      <c r="F23" s="85">
        <v>60</v>
      </c>
      <c r="G23" s="17">
        <v>18</v>
      </c>
      <c r="H23" s="87">
        <v>1593</v>
      </c>
      <c r="I23" s="88">
        <v>17300</v>
      </c>
      <c r="J23" s="88" t="s">
        <v>72</v>
      </c>
      <c r="K23" s="88">
        <v>15500</v>
      </c>
      <c r="L23" s="88" t="s">
        <v>69</v>
      </c>
      <c r="M23" s="89">
        <f>I23-K23</f>
        <v>1800</v>
      </c>
      <c r="N23" s="4">
        <f>IF(ISERROR(K23/I23),"",K23/I23)</f>
        <v>0.89595375722543358</v>
      </c>
      <c r="O23" s="90">
        <f>I23/E23</f>
        <v>752.17391304347825</v>
      </c>
      <c r="P23" s="90">
        <f>K23/E23</f>
        <v>673.91304347826087</v>
      </c>
      <c r="Q23" s="78">
        <v>3</v>
      </c>
      <c r="R23" s="78">
        <v>1</v>
      </c>
      <c r="S23" s="78" t="s">
        <v>59</v>
      </c>
      <c r="T23" s="5" t="s">
        <v>152</v>
      </c>
      <c r="U23" s="9"/>
      <c r="W23" s="85">
        <f t="shared" si="27"/>
        <v>77.099999999999994</v>
      </c>
      <c r="X23" s="86">
        <f t="shared" si="27"/>
        <v>23</v>
      </c>
      <c r="Y23" s="91">
        <f t="shared" si="28"/>
        <v>1593</v>
      </c>
      <c r="Z23" s="89">
        <f t="shared" si="28"/>
        <v>17300</v>
      </c>
      <c r="AA23" s="89">
        <f>K23</f>
        <v>15500</v>
      </c>
      <c r="AB23" s="89">
        <f t="shared" si="29"/>
        <v>1800</v>
      </c>
      <c r="AC23" s="4">
        <f t="shared" si="29"/>
        <v>0.89595375722543358</v>
      </c>
      <c r="AD23" s="90">
        <f t="shared" si="29"/>
        <v>752.17391304347825</v>
      </c>
      <c r="AE23" s="78" t="str">
        <f>S23</f>
        <v>계</v>
      </c>
      <c r="AF23" s="78" t="str">
        <f>Q23&amp;"/"&amp;R23</f>
        <v>3/1</v>
      </c>
      <c r="AH23" s="20" t="str">
        <f t="shared" si="1"/>
        <v>송천주공</v>
      </c>
      <c r="AI23" s="86">
        <f t="shared" si="0"/>
        <v>23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O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O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후보</v>
      </c>
    </row>
    <row r="24" spans="1:48" x14ac:dyDescent="0.3">
      <c r="A24" s="9" t="s">
        <v>842</v>
      </c>
      <c r="B24" s="10" t="s">
        <v>1574</v>
      </c>
      <c r="C24" s="87">
        <v>1992</v>
      </c>
      <c r="D24" s="85">
        <v>108.7</v>
      </c>
      <c r="E24" s="86">
        <v>33</v>
      </c>
      <c r="F24" s="85">
        <v>84.9</v>
      </c>
      <c r="G24" s="17">
        <v>26</v>
      </c>
      <c r="H24" s="87">
        <v>45</v>
      </c>
      <c r="I24" s="88">
        <v>27000</v>
      </c>
      <c r="J24" s="88" t="s">
        <v>83</v>
      </c>
      <c r="K24" s="88"/>
      <c r="L24" s="88"/>
      <c r="M24" s="89">
        <f>I24-K24</f>
        <v>27000</v>
      </c>
      <c r="N24" s="4">
        <f>IF(ISERROR(K24/I24),"",K24/I24)</f>
        <v>0</v>
      </c>
      <c r="O24" s="90">
        <f>I24/E24</f>
        <v>818.18181818181813</v>
      </c>
      <c r="P24" s="90">
        <f>K24/E24</f>
        <v>0</v>
      </c>
      <c r="Q24" s="78">
        <v>3</v>
      </c>
      <c r="R24" s="78">
        <v>2</v>
      </c>
      <c r="S24" s="78" t="s">
        <v>59</v>
      </c>
      <c r="T24" s="5" t="s">
        <v>129</v>
      </c>
      <c r="U24" s="9"/>
      <c r="W24" s="85">
        <f t="shared" si="27"/>
        <v>108.7</v>
      </c>
      <c r="X24" s="86">
        <f t="shared" si="27"/>
        <v>33</v>
      </c>
      <c r="Y24" s="91">
        <f t="shared" si="28"/>
        <v>45</v>
      </c>
      <c r="Z24" s="89">
        <f t="shared" si="28"/>
        <v>27000</v>
      </c>
      <c r="AA24" s="89">
        <f>K24</f>
        <v>0</v>
      </c>
      <c r="AB24" s="89">
        <f t="shared" si="29"/>
        <v>27000</v>
      </c>
      <c r="AC24" s="4">
        <f t="shared" si="29"/>
        <v>0</v>
      </c>
      <c r="AD24" s="90">
        <f t="shared" si="29"/>
        <v>818.18181818181813</v>
      </c>
      <c r="AE24" s="78" t="str">
        <f>S24</f>
        <v>계</v>
      </c>
      <c r="AF24" s="78" t="str">
        <f>Q24&amp;"/"&amp;R24</f>
        <v>3/2</v>
      </c>
      <c r="AH24" s="20" t="str">
        <f t="shared" si="1"/>
        <v>송천주공</v>
      </c>
      <c r="AI24" s="86">
        <f t="shared" si="0"/>
        <v>33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842</v>
      </c>
      <c r="B25" s="10" t="s">
        <v>1574</v>
      </c>
      <c r="C25" s="87">
        <v>1992</v>
      </c>
      <c r="D25" s="85">
        <v>109.1</v>
      </c>
      <c r="E25" s="86">
        <v>33</v>
      </c>
      <c r="F25" s="85">
        <v>84.9</v>
      </c>
      <c r="G25" s="17">
        <v>26</v>
      </c>
      <c r="H25" s="87">
        <v>195</v>
      </c>
      <c r="I25" s="88">
        <v>27000</v>
      </c>
      <c r="J25" s="88" t="s">
        <v>69</v>
      </c>
      <c r="K25" s="88"/>
      <c r="L25" s="88"/>
      <c r="M25" s="89">
        <f>I25-K25</f>
        <v>27000</v>
      </c>
      <c r="N25" s="4">
        <f>IF(ISERROR(K25/I25),"",K25/I25)</f>
        <v>0</v>
      </c>
      <c r="O25" s="90">
        <f>I25/E25</f>
        <v>818.18181818181813</v>
      </c>
      <c r="P25" s="90">
        <f>K25/E25</f>
        <v>0</v>
      </c>
      <c r="Q25" s="78">
        <v>3</v>
      </c>
      <c r="R25" s="78">
        <v>2</v>
      </c>
      <c r="S25" s="78" t="s">
        <v>59</v>
      </c>
      <c r="T25" s="5" t="s">
        <v>71</v>
      </c>
      <c r="U25" s="9"/>
      <c r="W25" s="85">
        <f t="shared" si="27"/>
        <v>109.1</v>
      </c>
      <c r="X25" s="86">
        <f t="shared" si="27"/>
        <v>33</v>
      </c>
      <c r="Y25" s="91">
        <f t="shared" si="28"/>
        <v>195</v>
      </c>
      <c r="Z25" s="89">
        <f t="shared" si="28"/>
        <v>27000</v>
      </c>
      <c r="AA25" s="89">
        <f>K25</f>
        <v>0</v>
      </c>
      <c r="AB25" s="89">
        <f t="shared" si="29"/>
        <v>27000</v>
      </c>
      <c r="AC25" s="4">
        <f t="shared" si="29"/>
        <v>0</v>
      </c>
      <c r="AD25" s="90">
        <f t="shared" si="29"/>
        <v>818.18181818181813</v>
      </c>
      <c r="AE25" s="78" t="str">
        <f>S25</f>
        <v>계</v>
      </c>
      <c r="AF25" s="78" t="str">
        <f>Q25&amp;"/"&amp;R25</f>
        <v>3/2</v>
      </c>
      <c r="AH25" s="20" t="str">
        <f t="shared" si="1"/>
        <v>송천주공</v>
      </c>
      <c r="AI25" s="86">
        <f t="shared" si="0"/>
        <v>33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O</v>
      </c>
      <c r="AQ25" s="78" t="str">
        <f>IF(O25="","",IF(O25&lt;=$AQ$1,"O","X"))</f>
        <v>O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O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송천동2가 에코시티데시앙5블럭('18.01.,662^)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846</v>
      </c>
      <c r="B27" s="10" t="s">
        <v>1537</v>
      </c>
      <c r="C27" s="87">
        <v>662</v>
      </c>
      <c r="D27" s="85">
        <v>81.8</v>
      </c>
      <c r="E27" s="86">
        <v>25</v>
      </c>
      <c r="F27" s="85">
        <v>60</v>
      </c>
      <c r="G27" s="17">
        <v>18</v>
      </c>
      <c r="H27" s="87">
        <v>92</v>
      </c>
      <c r="I27" s="88">
        <v>43000</v>
      </c>
      <c r="J27" s="88" t="s">
        <v>83</v>
      </c>
      <c r="K27" s="88"/>
      <c r="L27" s="88"/>
      <c r="M27" s="89">
        <f t="shared" ref="M27:M33" si="30">I27-K27</f>
        <v>43000</v>
      </c>
      <c r="N27" s="4">
        <f t="shared" ref="N27:N33" si="31">IF(ISERROR(K27/I27),"",K27/I27)</f>
        <v>0</v>
      </c>
      <c r="O27" s="90">
        <f t="shared" ref="O27:O33" si="32">I27/E27</f>
        <v>1720</v>
      </c>
      <c r="P27" s="90">
        <f t="shared" ref="P27:P33" si="33">K27/E27</f>
        <v>0</v>
      </c>
      <c r="Q27" s="78">
        <v>3</v>
      </c>
      <c r="R27" s="78">
        <v>2</v>
      </c>
      <c r="S27" s="78" t="s">
        <v>59</v>
      </c>
      <c r="T27" s="5">
        <v>81</v>
      </c>
      <c r="U27" s="9"/>
      <c r="W27" s="85">
        <f t="shared" ref="W27:X33" si="34">D27</f>
        <v>81.8</v>
      </c>
      <c r="X27" s="86">
        <f t="shared" si="34"/>
        <v>25</v>
      </c>
      <c r="Y27" s="91">
        <f t="shared" ref="Y27:Z33" si="35">H27</f>
        <v>92</v>
      </c>
      <c r="Z27" s="89">
        <f t="shared" si="35"/>
        <v>43000</v>
      </c>
      <c r="AA27" s="89">
        <f t="shared" ref="AA27:AA33" si="36">K27</f>
        <v>0</v>
      </c>
      <c r="AB27" s="89">
        <f t="shared" ref="AB27:AD33" si="37">M27</f>
        <v>43000</v>
      </c>
      <c r="AC27" s="4">
        <f t="shared" si="37"/>
        <v>0</v>
      </c>
      <c r="AD27" s="90">
        <f t="shared" si="37"/>
        <v>1720</v>
      </c>
      <c r="AE27" s="78" t="str">
        <f t="shared" ref="AE27:AE33" si="38">S27</f>
        <v>계</v>
      </c>
      <c r="AF27" s="78" t="str">
        <f t="shared" ref="AF27:AF33" si="39">Q27&amp;"/"&amp;R27</f>
        <v>3/2</v>
      </c>
      <c r="AH27" s="20" t="str">
        <f t="shared" si="1"/>
        <v>에코시티데시앙5블럭</v>
      </c>
      <c r="AI27" s="86">
        <f t="shared" si="0"/>
        <v>25</v>
      </c>
      <c r="AJ27" s="78" t="str">
        <f t="shared" ref="AJ27:AJ33" si="40"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 t="shared" ref="AN27:AN33" si="41">IF(AI27="","",$AN$2)</f>
        <v>C</v>
      </c>
      <c r="AO27" s="78" t="str">
        <f t="shared" ref="AO27:AO33" si="42">IF(N27="","",IF(N27&gt;=$AO$1/100,"O","X"))</f>
        <v>X</v>
      </c>
      <c r="AP27" s="78" t="str">
        <f t="shared" ref="AP27:AP33" si="43">IF(I27="","",IF(I27&lt;=$AP$1,"O","X"))</f>
        <v>O</v>
      </c>
      <c r="AQ27" s="78" t="str">
        <f t="shared" ref="AQ27:AQ33" si="44">IF(O27="","",IF(O27&lt;=$AQ$1,"O","X"))</f>
        <v>X</v>
      </c>
      <c r="AR27" s="78" t="str">
        <f t="shared" ref="AR27:AR33" si="45">IF(M27="","",IF(M27&lt;=$AR$1,"O","X"))</f>
        <v>X</v>
      </c>
      <c r="AS27" s="78" t="s">
        <v>2</v>
      </c>
      <c r="AT27" s="78" t="str">
        <f t="shared" ref="AT27:AT33" si="46">IF(OR(F27="",AI27=""),"",IF(AND((F27&lt;=85),(AI27&gt;=15)),"O","X"))</f>
        <v>O</v>
      </c>
      <c r="AU27" s="78" t="str">
        <f t="shared" ref="AU27:AU33" si="47">IF(C27="","",IF(C27&gt;=$AU$1,"O","X"))</f>
        <v>O</v>
      </c>
      <c r="AV27" s="78" t="str">
        <f t="shared" ref="AV27:AV33" si="48">IF(AO27="","",IF(AND(AO27="O",AP27="O",AR27="O",AT27="O",AU27="O"),"후보","X"))</f>
        <v>X</v>
      </c>
    </row>
    <row r="28" spans="1:48" x14ac:dyDescent="0.3">
      <c r="A28" s="9" t="s">
        <v>846</v>
      </c>
      <c r="B28" s="10" t="s">
        <v>1537</v>
      </c>
      <c r="C28" s="87">
        <v>662</v>
      </c>
      <c r="D28" s="85">
        <v>114.9</v>
      </c>
      <c r="E28" s="86">
        <v>35</v>
      </c>
      <c r="F28" s="85">
        <v>84.9</v>
      </c>
      <c r="G28" s="17">
        <v>26</v>
      </c>
      <c r="H28" s="87">
        <v>86</v>
      </c>
      <c r="I28" s="88">
        <v>59500</v>
      </c>
      <c r="J28" s="88" t="s">
        <v>99</v>
      </c>
      <c r="K28" s="88"/>
      <c r="L28" s="88"/>
      <c r="M28" s="89">
        <f t="shared" si="30"/>
        <v>59500</v>
      </c>
      <c r="N28" s="4">
        <f t="shared" si="31"/>
        <v>0</v>
      </c>
      <c r="O28" s="90">
        <f t="shared" si="32"/>
        <v>1700</v>
      </c>
      <c r="P28" s="90">
        <f t="shared" si="33"/>
        <v>0</v>
      </c>
      <c r="Q28" s="78">
        <v>3</v>
      </c>
      <c r="R28" s="78">
        <v>2</v>
      </c>
      <c r="S28" s="78" t="s">
        <v>59</v>
      </c>
      <c r="T28" s="5" t="s">
        <v>154</v>
      </c>
      <c r="U28" s="9"/>
      <c r="W28" s="85">
        <f t="shared" si="34"/>
        <v>114.9</v>
      </c>
      <c r="X28" s="86">
        <f t="shared" si="34"/>
        <v>35</v>
      </c>
      <c r="Y28" s="91">
        <f t="shared" si="35"/>
        <v>86</v>
      </c>
      <c r="Z28" s="89">
        <f t="shared" si="35"/>
        <v>59500</v>
      </c>
      <c r="AA28" s="89">
        <f t="shared" si="36"/>
        <v>0</v>
      </c>
      <c r="AB28" s="89">
        <f t="shared" si="37"/>
        <v>59500</v>
      </c>
      <c r="AC28" s="4">
        <f t="shared" si="37"/>
        <v>0</v>
      </c>
      <c r="AD28" s="90">
        <f t="shared" si="37"/>
        <v>1700</v>
      </c>
      <c r="AE28" s="78" t="str">
        <f t="shared" si="38"/>
        <v>계</v>
      </c>
      <c r="AF28" s="78" t="str">
        <f t="shared" si="39"/>
        <v>3/2</v>
      </c>
      <c r="AH28" s="20" t="str">
        <f t="shared" si="1"/>
        <v>에코시티데시앙5블럭</v>
      </c>
      <c r="AI28" s="86">
        <f t="shared" si="0"/>
        <v>35</v>
      </c>
      <c r="AJ28" s="78" t="str">
        <f t="shared" si="40"/>
        <v>A-</v>
      </c>
      <c r="AK28" s="78" t="s">
        <v>13</v>
      </c>
      <c r="AL28" s="78" t="s">
        <v>61</v>
      </c>
      <c r="AM28" s="78" t="s">
        <v>62</v>
      </c>
      <c r="AN28" s="78" t="str">
        <f t="shared" si="41"/>
        <v>C</v>
      </c>
      <c r="AO28" s="78" t="str">
        <f t="shared" si="42"/>
        <v>X</v>
      </c>
      <c r="AP28" s="78" t="str">
        <f t="shared" si="43"/>
        <v>X</v>
      </c>
      <c r="AQ28" s="78" t="str">
        <f t="shared" si="44"/>
        <v>X</v>
      </c>
      <c r="AR28" s="78" t="str">
        <f t="shared" si="45"/>
        <v>X</v>
      </c>
      <c r="AS28" s="78" t="s">
        <v>2</v>
      </c>
      <c r="AT28" s="78" t="str">
        <f t="shared" si="46"/>
        <v>O</v>
      </c>
      <c r="AU28" s="78" t="str">
        <f t="shared" si="47"/>
        <v>O</v>
      </c>
      <c r="AV28" s="78" t="str">
        <f t="shared" si="48"/>
        <v>X</v>
      </c>
    </row>
    <row r="29" spans="1:48" x14ac:dyDescent="0.3">
      <c r="A29" s="9" t="s">
        <v>846</v>
      </c>
      <c r="B29" s="10" t="s">
        <v>1537</v>
      </c>
      <c r="C29" s="87">
        <v>662</v>
      </c>
      <c r="D29" s="85">
        <v>114.7</v>
      </c>
      <c r="E29" s="86">
        <v>35</v>
      </c>
      <c r="F29" s="85">
        <v>84.9</v>
      </c>
      <c r="G29" s="17">
        <v>26</v>
      </c>
      <c r="H29" s="87">
        <v>47</v>
      </c>
      <c r="I29" s="88">
        <v>65000</v>
      </c>
      <c r="J29" s="88" t="s">
        <v>155</v>
      </c>
      <c r="K29" s="88"/>
      <c r="L29" s="88"/>
      <c r="M29" s="89">
        <f t="shared" si="30"/>
        <v>65000</v>
      </c>
      <c r="N29" s="4">
        <f t="shared" si="31"/>
        <v>0</v>
      </c>
      <c r="O29" s="90">
        <f t="shared" si="32"/>
        <v>1857.1428571428571</v>
      </c>
      <c r="P29" s="90">
        <f t="shared" si="33"/>
        <v>0</v>
      </c>
      <c r="Q29" s="78">
        <v>3</v>
      </c>
      <c r="R29" s="78">
        <v>2</v>
      </c>
      <c r="S29" s="78" t="s">
        <v>59</v>
      </c>
      <c r="T29" s="5" t="s">
        <v>79</v>
      </c>
      <c r="U29" s="9"/>
      <c r="W29" s="85">
        <f t="shared" si="34"/>
        <v>114.7</v>
      </c>
      <c r="X29" s="86">
        <f t="shared" si="34"/>
        <v>35</v>
      </c>
      <c r="Y29" s="91">
        <f t="shared" si="35"/>
        <v>47</v>
      </c>
      <c r="Z29" s="89">
        <f t="shared" si="35"/>
        <v>65000</v>
      </c>
      <c r="AA29" s="89">
        <f t="shared" si="36"/>
        <v>0</v>
      </c>
      <c r="AB29" s="89">
        <f t="shared" si="37"/>
        <v>65000</v>
      </c>
      <c r="AC29" s="4">
        <f t="shared" si="37"/>
        <v>0</v>
      </c>
      <c r="AD29" s="90">
        <f t="shared" si="37"/>
        <v>1857.1428571428571</v>
      </c>
      <c r="AE29" s="78" t="str">
        <f t="shared" si="38"/>
        <v>계</v>
      </c>
      <c r="AF29" s="78" t="str">
        <f t="shared" si="39"/>
        <v>3/2</v>
      </c>
      <c r="AH29" s="20" t="str">
        <f t="shared" si="1"/>
        <v>에코시티데시앙5블럭</v>
      </c>
      <c r="AI29" s="86">
        <f t="shared" si="0"/>
        <v>35</v>
      </c>
      <c r="AJ29" s="78" t="str">
        <f t="shared" si="40"/>
        <v>A-</v>
      </c>
      <c r="AK29" s="78" t="s">
        <v>13</v>
      </c>
      <c r="AL29" s="78" t="s">
        <v>61</v>
      </c>
      <c r="AM29" s="78" t="s">
        <v>62</v>
      </c>
      <c r="AN29" s="78" t="str">
        <f t="shared" si="41"/>
        <v>C</v>
      </c>
      <c r="AO29" s="78" t="str">
        <f t="shared" si="42"/>
        <v>X</v>
      </c>
      <c r="AP29" s="78" t="str">
        <f t="shared" si="43"/>
        <v>X</v>
      </c>
      <c r="AQ29" s="78" t="str">
        <f t="shared" si="44"/>
        <v>X</v>
      </c>
      <c r="AR29" s="78" t="str">
        <f t="shared" si="45"/>
        <v>X</v>
      </c>
      <c r="AS29" s="78" t="s">
        <v>2</v>
      </c>
      <c r="AT29" s="78" t="str">
        <f t="shared" si="46"/>
        <v>O</v>
      </c>
      <c r="AU29" s="78" t="str">
        <f t="shared" si="47"/>
        <v>O</v>
      </c>
      <c r="AV29" s="78" t="str">
        <f t="shared" si="48"/>
        <v>X</v>
      </c>
    </row>
    <row r="30" spans="1:48" x14ac:dyDescent="0.3">
      <c r="A30" s="9" t="s">
        <v>846</v>
      </c>
      <c r="B30" s="10" t="s">
        <v>1537</v>
      </c>
      <c r="C30" s="87">
        <v>662</v>
      </c>
      <c r="D30" s="85">
        <v>115.2</v>
      </c>
      <c r="E30" s="86">
        <v>35</v>
      </c>
      <c r="F30" s="85">
        <v>84.9</v>
      </c>
      <c r="G30" s="17">
        <v>26</v>
      </c>
      <c r="H30" s="87">
        <v>282</v>
      </c>
      <c r="I30" s="88">
        <v>62000</v>
      </c>
      <c r="J30" s="88" t="s">
        <v>156</v>
      </c>
      <c r="K30" s="88">
        <v>40000</v>
      </c>
      <c r="L30" s="88" t="s">
        <v>82</v>
      </c>
      <c r="M30" s="89">
        <f t="shared" si="30"/>
        <v>22000</v>
      </c>
      <c r="N30" s="4">
        <f t="shared" si="31"/>
        <v>0.64516129032258063</v>
      </c>
      <c r="O30" s="90">
        <f t="shared" si="32"/>
        <v>1771.4285714285713</v>
      </c>
      <c r="P30" s="90">
        <f t="shared" si="33"/>
        <v>1142.8571428571429</v>
      </c>
      <c r="Q30" s="78">
        <v>3</v>
      </c>
      <c r="R30" s="78">
        <v>2</v>
      </c>
      <c r="S30" s="78" t="s">
        <v>59</v>
      </c>
      <c r="T30" s="5" t="s">
        <v>157</v>
      </c>
      <c r="U30" s="9"/>
      <c r="W30" s="85">
        <f t="shared" si="34"/>
        <v>115.2</v>
      </c>
      <c r="X30" s="86">
        <f t="shared" si="34"/>
        <v>35</v>
      </c>
      <c r="Y30" s="91">
        <f t="shared" si="35"/>
        <v>282</v>
      </c>
      <c r="Z30" s="89">
        <f t="shared" si="35"/>
        <v>62000</v>
      </c>
      <c r="AA30" s="89">
        <f t="shared" si="36"/>
        <v>40000</v>
      </c>
      <c r="AB30" s="89">
        <f t="shared" si="37"/>
        <v>22000</v>
      </c>
      <c r="AC30" s="4">
        <f t="shared" si="37"/>
        <v>0.64516129032258063</v>
      </c>
      <c r="AD30" s="90">
        <f t="shared" si="37"/>
        <v>1771.4285714285713</v>
      </c>
      <c r="AE30" s="78" t="str">
        <f t="shared" si="38"/>
        <v>계</v>
      </c>
      <c r="AF30" s="78" t="str">
        <f t="shared" si="39"/>
        <v>3/2</v>
      </c>
      <c r="AH30" s="20" t="str">
        <f t="shared" si="1"/>
        <v>에코시티데시앙5블럭</v>
      </c>
      <c r="AI30" s="86">
        <f t="shared" si="0"/>
        <v>35</v>
      </c>
      <c r="AJ30" s="78" t="str">
        <f t="shared" si="40"/>
        <v>A-</v>
      </c>
      <c r="AK30" s="78" t="s">
        <v>13</v>
      </c>
      <c r="AL30" s="78" t="s">
        <v>61</v>
      </c>
      <c r="AM30" s="78" t="s">
        <v>62</v>
      </c>
      <c r="AN30" s="78" t="str">
        <f t="shared" si="41"/>
        <v>C</v>
      </c>
      <c r="AO30" s="78" t="str">
        <f t="shared" si="42"/>
        <v>X</v>
      </c>
      <c r="AP30" s="78" t="str">
        <f t="shared" si="43"/>
        <v>X</v>
      </c>
      <c r="AQ30" s="78" t="str">
        <f t="shared" si="44"/>
        <v>X</v>
      </c>
      <c r="AR30" s="78" t="str">
        <f t="shared" si="45"/>
        <v>X</v>
      </c>
      <c r="AS30" s="78" t="s">
        <v>2</v>
      </c>
      <c r="AT30" s="78" t="str">
        <f t="shared" si="46"/>
        <v>O</v>
      </c>
      <c r="AU30" s="78" t="str">
        <f t="shared" si="47"/>
        <v>O</v>
      </c>
      <c r="AV30" s="78" t="str">
        <f t="shared" si="48"/>
        <v>X</v>
      </c>
    </row>
    <row r="31" spans="1:48" x14ac:dyDescent="0.3">
      <c r="A31" s="9" t="s">
        <v>846</v>
      </c>
      <c r="B31" s="10" t="s">
        <v>1537</v>
      </c>
      <c r="C31" s="87">
        <v>662</v>
      </c>
      <c r="D31" s="85">
        <v>115.3</v>
      </c>
      <c r="E31" s="86">
        <v>35</v>
      </c>
      <c r="F31" s="85">
        <v>84.9</v>
      </c>
      <c r="G31" s="17">
        <v>26</v>
      </c>
      <c r="H31" s="87">
        <v>83</v>
      </c>
      <c r="I31" s="88"/>
      <c r="J31" s="88"/>
      <c r="K31" s="88"/>
      <c r="L31" s="88"/>
      <c r="M31" s="89">
        <f t="shared" si="30"/>
        <v>0</v>
      </c>
      <c r="N31" s="4" t="str">
        <f t="shared" si="31"/>
        <v/>
      </c>
      <c r="O31" s="90">
        <f t="shared" si="32"/>
        <v>0</v>
      </c>
      <c r="P31" s="90">
        <f t="shared" si="33"/>
        <v>0</v>
      </c>
      <c r="Q31" s="78">
        <v>3</v>
      </c>
      <c r="R31" s="78">
        <v>2</v>
      </c>
      <c r="S31" s="78" t="s">
        <v>59</v>
      </c>
      <c r="T31" s="5" t="s">
        <v>158</v>
      </c>
      <c r="U31" s="9"/>
      <c r="W31" s="85">
        <f t="shared" si="34"/>
        <v>115.3</v>
      </c>
      <c r="X31" s="86">
        <f t="shared" si="34"/>
        <v>35</v>
      </c>
      <c r="Y31" s="91">
        <f t="shared" si="35"/>
        <v>83</v>
      </c>
      <c r="Z31" s="89">
        <f t="shared" si="35"/>
        <v>0</v>
      </c>
      <c r="AA31" s="89">
        <f t="shared" si="36"/>
        <v>0</v>
      </c>
      <c r="AB31" s="89">
        <f t="shared" si="37"/>
        <v>0</v>
      </c>
      <c r="AC31" s="4" t="str">
        <f t="shared" si="37"/>
        <v/>
      </c>
      <c r="AD31" s="90">
        <f t="shared" si="37"/>
        <v>0</v>
      </c>
      <c r="AE31" s="78" t="str">
        <f t="shared" si="38"/>
        <v>계</v>
      </c>
      <c r="AF31" s="78" t="str">
        <f t="shared" si="39"/>
        <v>3/2</v>
      </c>
      <c r="AH31" s="20" t="str">
        <f t="shared" si="1"/>
        <v>에코시티데시앙5블럭</v>
      </c>
      <c r="AI31" s="86">
        <f t="shared" si="0"/>
        <v>35</v>
      </c>
      <c r="AJ31" s="78" t="str">
        <f t="shared" si="40"/>
        <v>A-</v>
      </c>
      <c r="AK31" s="78" t="s">
        <v>13</v>
      </c>
      <c r="AL31" s="78" t="s">
        <v>61</v>
      </c>
      <c r="AM31" s="78" t="s">
        <v>62</v>
      </c>
      <c r="AN31" s="78" t="str">
        <f t="shared" si="41"/>
        <v>C</v>
      </c>
      <c r="AO31" s="78" t="str">
        <f t="shared" si="42"/>
        <v/>
      </c>
      <c r="AP31" s="78" t="str">
        <f t="shared" si="43"/>
        <v/>
      </c>
      <c r="AQ31" s="78" t="str">
        <f t="shared" si="44"/>
        <v>O</v>
      </c>
      <c r="AR31" s="78" t="str">
        <f t="shared" si="45"/>
        <v>O</v>
      </c>
      <c r="AS31" s="78" t="s">
        <v>2</v>
      </c>
      <c r="AT31" s="78" t="str">
        <f t="shared" si="46"/>
        <v>O</v>
      </c>
      <c r="AU31" s="78" t="str">
        <f t="shared" si="47"/>
        <v>O</v>
      </c>
      <c r="AV31" s="78" t="str">
        <f t="shared" si="48"/>
        <v/>
      </c>
    </row>
    <row r="32" spans="1:48" x14ac:dyDescent="0.3">
      <c r="A32" s="9" t="s">
        <v>846</v>
      </c>
      <c r="B32" s="10" t="s">
        <v>1537</v>
      </c>
      <c r="C32" s="87">
        <v>662</v>
      </c>
      <c r="D32" s="85">
        <v>133</v>
      </c>
      <c r="E32" s="86">
        <v>40</v>
      </c>
      <c r="F32" s="85">
        <v>98.7</v>
      </c>
      <c r="G32" s="17">
        <v>30</v>
      </c>
      <c r="H32" s="87">
        <v>60</v>
      </c>
      <c r="I32" s="88">
        <v>84000</v>
      </c>
      <c r="J32" s="88" t="s">
        <v>93</v>
      </c>
      <c r="K32" s="88">
        <v>60000</v>
      </c>
      <c r="L32" s="88" t="s">
        <v>68</v>
      </c>
      <c r="M32" s="89">
        <f t="shared" si="30"/>
        <v>24000</v>
      </c>
      <c r="N32" s="4">
        <f t="shared" si="31"/>
        <v>0.7142857142857143</v>
      </c>
      <c r="O32" s="90">
        <f t="shared" si="32"/>
        <v>2100</v>
      </c>
      <c r="P32" s="90">
        <f t="shared" si="33"/>
        <v>1500</v>
      </c>
      <c r="Q32" s="78">
        <v>4</v>
      </c>
      <c r="R32" s="78">
        <v>2</v>
      </c>
      <c r="S32" s="78" t="s">
        <v>59</v>
      </c>
      <c r="T32" s="5">
        <v>133</v>
      </c>
      <c r="U32" s="9"/>
      <c r="W32" s="85">
        <f t="shared" si="34"/>
        <v>133</v>
      </c>
      <c r="X32" s="86">
        <f t="shared" si="34"/>
        <v>40</v>
      </c>
      <c r="Y32" s="91">
        <f t="shared" si="35"/>
        <v>60</v>
      </c>
      <c r="Z32" s="89">
        <f t="shared" si="35"/>
        <v>84000</v>
      </c>
      <c r="AA32" s="89">
        <f t="shared" si="36"/>
        <v>60000</v>
      </c>
      <c r="AB32" s="89">
        <f t="shared" si="37"/>
        <v>24000</v>
      </c>
      <c r="AC32" s="4">
        <f t="shared" si="37"/>
        <v>0.7142857142857143</v>
      </c>
      <c r="AD32" s="90">
        <f t="shared" si="37"/>
        <v>2100</v>
      </c>
      <c r="AE32" s="78" t="str">
        <f t="shared" si="38"/>
        <v>계</v>
      </c>
      <c r="AF32" s="78" t="str">
        <f t="shared" si="39"/>
        <v>4/2</v>
      </c>
      <c r="AH32" s="20" t="str">
        <f t="shared" si="1"/>
        <v>에코시티데시앙5블럭</v>
      </c>
      <c r="AI32" s="86">
        <f t="shared" si="0"/>
        <v>40</v>
      </c>
      <c r="AJ32" s="78" t="str">
        <f t="shared" si="40"/>
        <v>A-</v>
      </c>
      <c r="AK32" s="78" t="s">
        <v>13</v>
      </c>
      <c r="AL32" s="78" t="s">
        <v>61</v>
      </c>
      <c r="AM32" s="78" t="s">
        <v>62</v>
      </c>
      <c r="AN32" s="78" t="str">
        <f t="shared" si="41"/>
        <v>C</v>
      </c>
      <c r="AO32" s="78" t="str">
        <f t="shared" si="42"/>
        <v>X</v>
      </c>
      <c r="AP32" s="78" t="str">
        <f t="shared" si="43"/>
        <v>X</v>
      </c>
      <c r="AQ32" s="78" t="str">
        <f t="shared" si="44"/>
        <v>X</v>
      </c>
      <c r="AR32" s="78" t="str">
        <f t="shared" si="45"/>
        <v>X</v>
      </c>
      <c r="AS32" s="78" t="s">
        <v>2</v>
      </c>
      <c r="AT32" s="78" t="str">
        <f t="shared" si="46"/>
        <v>X</v>
      </c>
      <c r="AU32" s="78" t="str">
        <f t="shared" si="47"/>
        <v>O</v>
      </c>
      <c r="AV32" s="78" t="str">
        <f t="shared" si="48"/>
        <v>X</v>
      </c>
    </row>
    <row r="33" spans="1:48" x14ac:dyDescent="0.3">
      <c r="A33" s="9" t="s">
        <v>846</v>
      </c>
      <c r="B33" s="10" t="s">
        <v>1537</v>
      </c>
      <c r="C33" s="87">
        <v>662</v>
      </c>
      <c r="D33" s="85">
        <v>143.19999999999999</v>
      </c>
      <c r="E33" s="86">
        <v>43</v>
      </c>
      <c r="F33" s="85">
        <v>104.5</v>
      </c>
      <c r="G33" s="17">
        <v>32</v>
      </c>
      <c r="H33" s="87">
        <v>12</v>
      </c>
      <c r="I33" s="88">
        <v>110000</v>
      </c>
      <c r="J33" s="88" t="s">
        <v>147</v>
      </c>
      <c r="K33" s="88"/>
      <c r="L33" s="88"/>
      <c r="M33" s="89">
        <f t="shared" si="30"/>
        <v>110000</v>
      </c>
      <c r="N33" s="4">
        <f t="shared" si="31"/>
        <v>0</v>
      </c>
      <c r="O33" s="90">
        <f t="shared" si="32"/>
        <v>2558.1395348837209</v>
      </c>
      <c r="P33" s="90">
        <f t="shared" si="33"/>
        <v>0</v>
      </c>
      <c r="Q33" s="78">
        <v>4</v>
      </c>
      <c r="R33" s="78">
        <v>2</v>
      </c>
      <c r="S33" s="78" t="s">
        <v>59</v>
      </c>
      <c r="T33" s="5">
        <v>143</v>
      </c>
      <c r="U33" s="9"/>
      <c r="W33" s="85">
        <f t="shared" si="34"/>
        <v>143.19999999999999</v>
      </c>
      <c r="X33" s="86">
        <f t="shared" si="34"/>
        <v>43</v>
      </c>
      <c r="Y33" s="91">
        <f t="shared" si="35"/>
        <v>12</v>
      </c>
      <c r="Z33" s="89">
        <f t="shared" si="35"/>
        <v>110000</v>
      </c>
      <c r="AA33" s="89">
        <f t="shared" si="36"/>
        <v>0</v>
      </c>
      <c r="AB33" s="89">
        <f t="shared" si="37"/>
        <v>110000</v>
      </c>
      <c r="AC33" s="4">
        <f t="shared" si="37"/>
        <v>0</v>
      </c>
      <c r="AD33" s="90">
        <f t="shared" si="37"/>
        <v>2558.1395348837209</v>
      </c>
      <c r="AE33" s="78" t="str">
        <f t="shared" si="38"/>
        <v>계</v>
      </c>
      <c r="AF33" s="78" t="str">
        <f t="shared" si="39"/>
        <v>4/2</v>
      </c>
      <c r="AH33" s="20" t="str">
        <f t="shared" si="1"/>
        <v>에코시티데시앙5블럭</v>
      </c>
      <c r="AI33" s="86">
        <f t="shared" si="0"/>
        <v>43</v>
      </c>
      <c r="AJ33" s="78" t="str">
        <f t="shared" si="40"/>
        <v>A-</v>
      </c>
      <c r="AK33" s="78" t="s">
        <v>13</v>
      </c>
      <c r="AL33" s="78" t="s">
        <v>61</v>
      </c>
      <c r="AM33" s="78" t="s">
        <v>62</v>
      </c>
      <c r="AN33" s="78" t="str">
        <f t="shared" si="41"/>
        <v>C</v>
      </c>
      <c r="AO33" s="78" t="str">
        <f t="shared" si="42"/>
        <v>X</v>
      </c>
      <c r="AP33" s="78" t="str">
        <f t="shared" si="43"/>
        <v>X</v>
      </c>
      <c r="AQ33" s="78" t="str">
        <f t="shared" si="44"/>
        <v>X</v>
      </c>
      <c r="AR33" s="78" t="str">
        <f t="shared" si="45"/>
        <v>X</v>
      </c>
      <c r="AS33" s="78" t="s">
        <v>2</v>
      </c>
      <c r="AT33" s="78" t="str">
        <f t="shared" si="46"/>
        <v>X</v>
      </c>
      <c r="AU33" s="78" t="str">
        <f t="shared" si="47"/>
        <v>O</v>
      </c>
      <c r="AV33" s="78" t="str">
        <f t="shared" si="48"/>
        <v>X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송천동2가 송천현대3차('98.10.,915^)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8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850</v>
      </c>
      <c r="B35" s="10" t="s">
        <v>1534</v>
      </c>
      <c r="C35" s="87">
        <v>915</v>
      </c>
      <c r="D35" s="85">
        <v>77.900000000000006</v>
      </c>
      <c r="E35" s="86">
        <v>24</v>
      </c>
      <c r="F35" s="85">
        <v>60</v>
      </c>
      <c r="G35" s="17">
        <v>18</v>
      </c>
      <c r="H35" s="87">
        <v>372</v>
      </c>
      <c r="I35" s="88">
        <v>19000</v>
      </c>
      <c r="J35" s="88" t="s">
        <v>89</v>
      </c>
      <c r="K35" s="88">
        <v>16000</v>
      </c>
      <c r="L35" s="88" t="s">
        <v>87</v>
      </c>
      <c r="M35" s="89">
        <f>I35-K35</f>
        <v>3000</v>
      </c>
      <c r="N35" s="4">
        <f>IF(ISERROR(K35/I35),"",K35/I35)</f>
        <v>0.84210526315789469</v>
      </c>
      <c r="O35" s="90">
        <f>I35/E35</f>
        <v>791.66666666666663</v>
      </c>
      <c r="P35" s="90">
        <f>K35/E35</f>
        <v>666.66666666666663</v>
      </c>
      <c r="Q35" s="78">
        <v>3</v>
      </c>
      <c r="R35" s="78">
        <v>1</v>
      </c>
      <c r="S35" s="78" t="s">
        <v>59</v>
      </c>
      <c r="T35" s="5">
        <v>77</v>
      </c>
      <c r="U35" s="9"/>
      <c r="W35" s="85">
        <f t="shared" ref="W35:X37" si="49">D35</f>
        <v>77.900000000000006</v>
      </c>
      <c r="X35" s="86">
        <f t="shared" si="49"/>
        <v>24</v>
      </c>
      <c r="Y35" s="91">
        <f t="shared" ref="Y35:Z37" si="50">H35</f>
        <v>372</v>
      </c>
      <c r="Z35" s="89">
        <f t="shared" si="50"/>
        <v>19000</v>
      </c>
      <c r="AA35" s="89">
        <f>K35</f>
        <v>16000</v>
      </c>
      <c r="AB35" s="89">
        <f t="shared" ref="AB35:AD37" si="51">M35</f>
        <v>3000</v>
      </c>
      <c r="AC35" s="4">
        <f t="shared" si="51"/>
        <v>0.84210526315789469</v>
      </c>
      <c r="AD35" s="90">
        <f t="shared" si="51"/>
        <v>791.66666666666663</v>
      </c>
      <c r="AE35" s="78" t="str">
        <f>S35</f>
        <v>계</v>
      </c>
      <c r="AF35" s="78" t="str">
        <f>Q35&amp;"/"&amp;R35</f>
        <v>3/1</v>
      </c>
      <c r="AH35" s="20" t="str">
        <f t="shared" si="1"/>
        <v>송천현대3차</v>
      </c>
      <c r="AI35" s="86">
        <f t="shared" ref="AI35:AI66" si="52">IF(E35="","",E35)</f>
        <v>24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O</v>
      </c>
      <c r="AP35" s="78" t="str">
        <f>IF(I35="","",IF(I35&lt;=$AP$1,"O","X"))</f>
        <v>O</v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후보</v>
      </c>
    </row>
    <row r="36" spans="1:48" x14ac:dyDescent="0.3">
      <c r="A36" s="9" t="s">
        <v>850</v>
      </c>
      <c r="B36" s="10" t="s">
        <v>1534</v>
      </c>
      <c r="C36" s="87">
        <v>915</v>
      </c>
      <c r="D36" s="85">
        <v>106.5</v>
      </c>
      <c r="E36" s="86">
        <v>32</v>
      </c>
      <c r="F36" s="85">
        <v>85</v>
      </c>
      <c r="G36" s="17">
        <v>26</v>
      </c>
      <c r="H36" s="87">
        <v>438</v>
      </c>
      <c r="I36" s="88">
        <v>29500</v>
      </c>
      <c r="J36" s="88" t="s">
        <v>89</v>
      </c>
      <c r="K36" s="88">
        <v>28000</v>
      </c>
      <c r="L36" s="88" t="s">
        <v>137</v>
      </c>
      <c r="M36" s="89">
        <f>I36-K36</f>
        <v>1500</v>
      </c>
      <c r="N36" s="4">
        <f>IF(ISERROR(K36/I36),"",K36/I36)</f>
        <v>0.94915254237288138</v>
      </c>
      <c r="O36" s="90">
        <f>I36/E36</f>
        <v>921.875</v>
      </c>
      <c r="P36" s="90">
        <f>K36/E36</f>
        <v>875</v>
      </c>
      <c r="Q36" s="78">
        <v>3</v>
      </c>
      <c r="R36" s="78">
        <v>2</v>
      </c>
      <c r="S36" s="78" t="s">
        <v>59</v>
      </c>
      <c r="T36" s="5">
        <v>106</v>
      </c>
      <c r="U36" s="9"/>
      <c r="W36" s="85">
        <f t="shared" si="49"/>
        <v>106.5</v>
      </c>
      <c r="X36" s="86">
        <f t="shared" si="49"/>
        <v>32</v>
      </c>
      <c r="Y36" s="91">
        <f t="shared" si="50"/>
        <v>438</v>
      </c>
      <c r="Z36" s="89">
        <f t="shared" si="50"/>
        <v>29500</v>
      </c>
      <c r="AA36" s="89">
        <f>K36</f>
        <v>28000</v>
      </c>
      <c r="AB36" s="89">
        <f t="shared" si="51"/>
        <v>1500</v>
      </c>
      <c r="AC36" s="4">
        <f t="shared" si="51"/>
        <v>0.94915254237288138</v>
      </c>
      <c r="AD36" s="90">
        <f t="shared" si="51"/>
        <v>921.875</v>
      </c>
      <c r="AE36" s="78" t="str">
        <f>S36</f>
        <v>계</v>
      </c>
      <c r="AF36" s="78" t="str">
        <f>Q36&amp;"/"&amp;R36</f>
        <v>3/2</v>
      </c>
      <c r="AH36" s="20" t="str">
        <f t="shared" si="1"/>
        <v>송천현대3차</v>
      </c>
      <c r="AI36" s="86">
        <f t="shared" si="52"/>
        <v>32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O</v>
      </c>
      <c r="AP36" s="78" t="str">
        <f>IF(I36="","",IF(I36&lt;=$AP$1,"O","X"))</f>
        <v>O</v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후보</v>
      </c>
    </row>
    <row r="37" spans="1:48" x14ac:dyDescent="0.3">
      <c r="A37" s="9" t="s">
        <v>850</v>
      </c>
      <c r="B37" s="10" t="s">
        <v>1534</v>
      </c>
      <c r="C37" s="87">
        <v>915</v>
      </c>
      <c r="D37" s="85">
        <v>157.69999999999999</v>
      </c>
      <c r="E37" s="86">
        <v>48</v>
      </c>
      <c r="F37" s="85">
        <v>134.69999999999999</v>
      </c>
      <c r="G37" s="17">
        <v>41</v>
      </c>
      <c r="H37" s="87">
        <v>105</v>
      </c>
      <c r="I37" s="88">
        <v>38000</v>
      </c>
      <c r="J37" s="88" t="s">
        <v>89</v>
      </c>
      <c r="K37" s="88"/>
      <c r="L37" s="88"/>
      <c r="M37" s="89">
        <f>I37-K37</f>
        <v>38000</v>
      </c>
      <c r="N37" s="4">
        <f>IF(ISERROR(K37/I37),"",K37/I37)</f>
        <v>0</v>
      </c>
      <c r="O37" s="90">
        <f>I37/E37</f>
        <v>791.66666666666663</v>
      </c>
      <c r="P37" s="90">
        <f>K37/E37</f>
        <v>0</v>
      </c>
      <c r="Q37" s="78">
        <v>4</v>
      </c>
      <c r="R37" s="78">
        <v>2</v>
      </c>
      <c r="S37" s="78" t="s">
        <v>59</v>
      </c>
      <c r="T37" s="5">
        <v>157</v>
      </c>
      <c r="U37" s="9"/>
      <c r="W37" s="85">
        <f t="shared" si="49"/>
        <v>157.69999999999999</v>
      </c>
      <c r="X37" s="86">
        <f t="shared" si="49"/>
        <v>48</v>
      </c>
      <c r="Y37" s="91">
        <f t="shared" si="50"/>
        <v>105</v>
      </c>
      <c r="Z37" s="89">
        <f t="shared" si="50"/>
        <v>38000</v>
      </c>
      <c r="AA37" s="89">
        <f>K37</f>
        <v>0</v>
      </c>
      <c r="AB37" s="89">
        <f t="shared" si="51"/>
        <v>38000</v>
      </c>
      <c r="AC37" s="4">
        <f t="shared" si="51"/>
        <v>0</v>
      </c>
      <c r="AD37" s="90">
        <f t="shared" si="51"/>
        <v>791.66666666666663</v>
      </c>
      <c r="AE37" s="78" t="str">
        <f>S37</f>
        <v>계</v>
      </c>
      <c r="AF37" s="78" t="str">
        <f>Q37&amp;"/"&amp;R37</f>
        <v>4/2</v>
      </c>
      <c r="AH37" s="20" t="str">
        <f t="shared" ref="AH37:AH68" si="53">IF(A37="","",A37)</f>
        <v>송천현대3차</v>
      </c>
      <c r="AI37" s="86">
        <f t="shared" si="52"/>
        <v>48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>X</v>
      </c>
      <c r="AP37" s="78" t="str">
        <f>IF(I37="","",IF(I37&lt;=$AP$1,"O","X"))</f>
        <v>O</v>
      </c>
      <c r="AQ37" s="78" t="str">
        <f>IF(O37="","",IF(O37&lt;=$AQ$1,"O","X"))</f>
        <v>O</v>
      </c>
      <c r="AR37" s="78" t="str">
        <f>IF(M37="","",IF(M37&lt;=$AR$1,"O","X"))</f>
        <v>X</v>
      </c>
      <c r="AS37" s="78" t="s">
        <v>2</v>
      </c>
      <c r="AT37" s="78" t="str">
        <f>IF(OR(F37="",AI37=""),"",IF(AND((F37&lt;=85),(AI37&gt;=15)),"O","X"))</f>
        <v>X</v>
      </c>
      <c r="AU37" s="78" t="str">
        <f>IF(C37="","",IF(C37&gt;=$AU$1,"O","X"))</f>
        <v>O</v>
      </c>
      <c r="AV37" s="78" t="str">
        <f>IF(AO37="","",IF(AND(AO37="O",AP37="O",AR37="O",AT37="O",AU37="O"),"후보","X"))</f>
        <v>X</v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송천동2가 신동비사벌(201~207동)('89.05.,370^)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53"/>
        <v/>
      </c>
      <c r="AI38" s="108" t="str">
        <f t="shared" si="52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854</v>
      </c>
      <c r="B39" s="10" t="s">
        <v>1575</v>
      </c>
      <c r="C39" s="87">
        <v>370</v>
      </c>
      <c r="D39" s="85">
        <v>54.4</v>
      </c>
      <c r="E39" s="86">
        <v>16</v>
      </c>
      <c r="F39" s="85">
        <v>40</v>
      </c>
      <c r="G39" s="17">
        <v>12</v>
      </c>
      <c r="H39" s="87">
        <v>195</v>
      </c>
      <c r="I39" s="88">
        <v>8500</v>
      </c>
      <c r="J39" s="88" t="s">
        <v>89</v>
      </c>
      <c r="K39" s="88"/>
      <c r="L39" s="88"/>
      <c r="M39" s="89">
        <f>I39-K39</f>
        <v>8500</v>
      </c>
      <c r="N39" s="4">
        <f>IF(ISERROR(K39/I39),"",K39/I39)</f>
        <v>0</v>
      </c>
      <c r="O39" s="90">
        <f>I39/E39</f>
        <v>531.25</v>
      </c>
      <c r="P39" s="90">
        <f>K39/E39</f>
        <v>0</v>
      </c>
      <c r="Q39" s="78">
        <v>2</v>
      </c>
      <c r="R39" s="78">
        <v>1</v>
      </c>
      <c r="S39" s="78" t="s">
        <v>59</v>
      </c>
      <c r="T39" s="5">
        <v>54</v>
      </c>
      <c r="U39" s="9"/>
      <c r="W39" s="85">
        <f>D39</f>
        <v>54.4</v>
      </c>
      <c r="X39" s="86">
        <f>E39</f>
        <v>16</v>
      </c>
      <c r="Y39" s="91">
        <f>H39</f>
        <v>195</v>
      </c>
      <c r="Z39" s="89">
        <f>I39</f>
        <v>8500</v>
      </c>
      <c r="AA39" s="89">
        <f>K39</f>
        <v>0</v>
      </c>
      <c r="AB39" s="89">
        <f t="shared" ref="AB39:AD40" si="54">M39</f>
        <v>8500</v>
      </c>
      <c r="AC39" s="4">
        <f t="shared" si="54"/>
        <v>0</v>
      </c>
      <c r="AD39" s="90">
        <f t="shared" si="54"/>
        <v>531.25</v>
      </c>
      <c r="AE39" s="78" t="str">
        <f>S39</f>
        <v>계</v>
      </c>
      <c r="AF39" s="78" t="str">
        <f>Q39&amp;"/"&amp;R39</f>
        <v>2/1</v>
      </c>
      <c r="AH39" s="20" t="str">
        <f t="shared" si="53"/>
        <v>신동비사벌(201~207동)</v>
      </c>
      <c r="AI39" s="86">
        <f t="shared" si="52"/>
        <v>16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>X</v>
      </c>
      <c r="AP39" s="78" t="str">
        <f>IF(I39="","",IF(I39&lt;=$AP$1,"O","X"))</f>
        <v>O</v>
      </c>
      <c r="AQ39" s="78" t="str">
        <f>IF(O39="","",IF(O39&lt;=$AQ$1,"O","X"))</f>
        <v>O</v>
      </c>
      <c r="AR39" s="78" t="str">
        <f>IF(M39="","",IF(M39&lt;=$AR$1,"O","X"))</f>
        <v>X</v>
      </c>
      <c r="AS39" s="78" t="s">
        <v>2</v>
      </c>
      <c r="AT39" s="78" t="str">
        <f>IF(OR(F39="",AI39=""),"",IF(AND((F39&lt;=85),(AI39&gt;=15)),"O","X"))</f>
        <v>O</v>
      </c>
      <c r="AU39" s="78" t="str">
        <f>IF(C39="","",IF(C39&gt;=$AU$1,"O","X"))</f>
        <v>O</v>
      </c>
      <c r="AV39" s="78" t="str">
        <f>IF(AO39="","",IF(AND(AO39="O",AP39="O",AR39="O",AT39="O",AU39="O"),"후보","X"))</f>
        <v>X</v>
      </c>
    </row>
    <row r="40" spans="1:48" x14ac:dyDescent="0.3">
      <c r="A40" s="9" t="s">
        <v>854</v>
      </c>
      <c r="B40" s="10" t="s">
        <v>1575</v>
      </c>
      <c r="C40" s="87">
        <v>370</v>
      </c>
      <c r="D40" s="85">
        <v>58.5</v>
      </c>
      <c r="E40" s="86">
        <v>18</v>
      </c>
      <c r="F40" s="85">
        <v>49.3</v>
      </c>
      <c r="G40" s="17">
        <v>15</v>
      </c>
      <c r="H40" s="87">
        <v>175</v>
      </c>
      <c r="I40" s="88">
        <v>9500</v>
      </c>
      <c r="J40" s="88" t="s">
        <v>68</v>
      </c>
      <c r="K40" s="88"/>
      <c r="L40" s="88"/>
      <c r="M40" s="89">
        <f>I40-K40</f>
        <v>9500</v>
      </c>
      <c r="N40" s="4">
        <f>IF(ISERROR(K40/I40),"",K40/I40)</f>
        <v>0</v>
      </c>
      <c r="O40" s="90">
        <f>I40/E40</f>
        <v>527.77777777777783</v>
      </c>
      <c r="P40" s="90">
        <f>K40/E40</f>
        <v>0</v>
      </c>
      <c r="Q40" s="78">
        <v>3</v>
      </c>
      <c r="R40" s="78">
        <v>1</v>
      </c>
      <c r="S40" s="78" t="s">
        <v>59</v>
      </c>
      <c r="T40" s="5">
        <v>58</v>
      </c>
      <c r="U40" s="9"/>
      <c r="W40" s="85">
        <f>D40</f>
        <v>58.5</v>
      </c>
      <c r="X40" s="86">
        <f>E40</f>
        <v>18</v>
      </c>
      <c r="Y40" s="91">
        <f>H40</f>
        <v>175</v>
      </c>
      <c r="Z40" s="89">
        <f>I40</f>
        <v>9500</v>
      </c>
      <c r="AA40" s="89">
        <f>K40</f>
        <v>0</v>
      </c>
      <c r="AB40" s="89">
        <f t="shared" si="54"/>
        <v>9500</v>
      </c>
      <c r="AC40" s="4">
        <f t="shared" si="54"/>
        <v>0</v>
      </c>
      <c r="AD40" s="90">
        <f t="shared" si="54"/>
        <v>527.77777777777783</v>
      </c>
      <c r="AE40" s="78" t="str">
        <f>S40</f>
        <v>계</v>
      </c>
      <c r="AF40" s="78" t="str">
        <f>Q40&amp;"/"&amp;R40</f>
        <v>3/1</v>
      </c>
      <c r="AH40" s="20" t="str">
        <f t="shared" si="53"/>
        <v>신동비사벌(201~207동)</v>
      </c>
      <c r="AI40" s="86">
        <f t="shared" si="52"/>
        <v>18</v>
      </c>
      <c r="AJ40" s="78" t="str">
        <f>IF(AI40="","",$AJ$2)</f>
        <v>A-</v>
      </c>
      <c r="AK40" s="78" t="s">
        <v>13</v>
      </c>
      <c r="AL40" s="78" t="s">
        <v>61</v>
      </c>
      <c r="AM40" s="78" t="s">
        <v>62</v>
      </c>
      <c r="AN40" s="78" t="str">
        <f>IF(AI40="","",$AN$2)</f>
        <v>C</v>
      </c>
      <c r="AO40" s="78" t="str">
        <f>IF(N40="","",IF(N40&gt;=$AO$1/100,"O","X"))</f>
        <v>X</v>
      </c>
      <c r="AP40" s="78" t="str">
        <f>IF(I40="","",IF(I40&lt;=$AP$1,"O","X"))</f>
        <v>O</v>
      </c>
      <c r="AQ40" s="78" t="str">
        <f>IF(O40="","",IF(O40&lt;=$AQ$1,"O","X"))</f>
        <v>O</v>
      </c>
      <c r="AR40" s="78" t="str">
        <f>IF(M40="","",IF(M40&lt;=$AR$1,"O","X"))</f>
        <v>X</v>
      </c>
      <c r="AS40" s="78" t="s">
        <v>2</v>
      </c>
      <c r="AT40" s="78" t="str">
        <f>IF(OR(F40="",AI40=""),"",IF(AND((F40&lt;=85),(AI40&gt;=15)),"O","X"))</f>
        <v>O</v>
      </c>
      <c r="AU40" s="78" t="str">
        <f>IF(C40="","",IF(C40&gt;=$AU$1,"O","X"))</f>
        <v>O</v>
      </c>
      <c r="AV40" s="78" t="str">
        <f>IF(AO40="","",IF(AND(AO40="O",AP40="O",AR40="O",AT40="O",AU40="O"),"후보","X"))</f>
        <v>X</v>
      </c>
    </row>
    <row r="41" spans="1:48" x14ac:dyDescent="0.3">
      <c r="A41" s="9"/>
      <c r="B41" s="78"/>
      <c r="C41" s="6"/>
      <c r="D41" s="9"/>
      <c r="E41" s="14"/>
      <c r="F41" s="85"/>
      <c r="G41" s="9"/>
      <c r="H41" s="9"/>
      <c r="I41" s="9"/>
      <c r="J41" s="9"/>
      <c r="K41" s="9"/>
      <c r="L41" s="9"/>
      <c r="M41" s="9"/>
      <c r="N41" s="9"/>
      <c r="O41" s="90"/>
      <c r="P41" s="90"/>
      <c r="Q41" s="86"/>
      <c r="R41" s="86"/>
      <c r="S41" s="9"/>
      <c r="T41" s="47"/>
      <c r="U41" s="9"/>
      <c r="W41" s="67" t="str">
        <f>$A$4&amp;" "&amp;A42&amp;"("&amp;B42&amp;","&amp;C42&amp;"^)"</f>
        <v>송천동2가 전주송천한라비발디1단지('13.10.,585^)</v>
      </c>
      <c r="X41" s="68"/>
      <c r="Y41" s="68"/>
      <c r="Z41" s="68"/>
      <c r="AA41" s="68"/>
      <c r="AB41" s="68"/>
      <c r="AC41" s="68"/>
      <c r="AD41" s="68"/>
      <c r="AE41" s="68"/>
      <c r="AF41" s="69"/>
      <c r="AH41" s="20" t="str">
        <f t="shared" si="53"/>
        <v/>
      </c>
      <c r="AI41" s="108" t="str">
        <f t="shared" si="52"/>
        <v/>
      </c>
      <c r="AJ41" s="78"/>
      <c r="AK41" s="78"/>
      <c r="AL41" s="78"/>
      <c r="AM41" s="78"/>
      <c r="AN41" s="78"/>
      <c r="AO41" s="78"/>
      <c r="AP41" s="78"/>
      <c r="AQ41" s="78"/>
      <c r="AR41" s="78"/>
      <c r="AS41" s="78"/>
      <c r="AT41" s="78"/>
      <c r="AU41" s="78"/>
      <c r="AV41" s="78"/>
    </row>
    <row r="42" spans="1:48" x14ac:dyDescent="0.3">
      <c r="A42" s="9" t="s">
        <v>858</v>
      </c>
      <c r="B42" s="10" t="s">
        <v>1560</v>
      </c>
      <c r="C42" s="87">
        <v>585</v>
      </c>
      <c r="D42" s="85">
        <v>109.4</v>
      </c>
      <c r="E42" s="86">
        <v>33</v>
      </c>
      <c r="F42" s="85">
        <v>85</v>
      </c>
      <c r="G42" s="17">
        <v>26</v>
      </c>
      <c r="H42" s="87">
        <v>539</v>
      </c>
      <c r="I42" s="88">
        <v>43000</v>
      </c>
      <c r="J42" s="88" t="s">
        <v>89</v>
      </c>
      <c r="K42" s="88">
        <v>38000</v>
      </c>
      <c r="L42" s="88" t="s">
        <v>83</v>
      </c>
      <c r="M42" s="89">
        <f>I42-K42</f>
        <v>5000</v>
      </c>
      <c r="N42" s="4">
        <f>IF(ISERROR(K42/I42),"",K42/I42)</f>
        <v>0.88372093023255816</v>
      </c>
      <c r="O42" s="90">
        <f>I42/E42</f>
        <v>1303.030303030303</v>
      </c>
      <c r="P42" s="90">
        <f>K42/E42</f>
        <v>1151.5151515151515</v>
      </c>
      <c r="Q42" s="78">
        <v>3</v>
      </c>
      <c r="R42" s="78">
        <v>2</v>
      </c>
      <c r="S42" s="78" t="s">
        <v>59</v>
      </c>
      <c r="T42" s="5" t="s">
        <v>70</v>
      </c>
      <c r="U42" s="9"/>
      <c r="W42" s="85">
        <f>D42</f>
        <v>109.4</v>
      </c>
      <c r="X42" s="86">
        <f>E42</f>
        <v>33</v>
      </c>
      <c r="Y42" s="91">
        <f>H42</f>
        <v>539</v>
      </c>
      <c r="Z42" s="89">
        <f>I42</f>
        <v>43000</v>
      </c>
      <c r="AA42" s="89">
        <f>K42</f>
        <v>38000</v>
      </c>
      <c r="AB42" s="89">
        <f t="shared" ref="AB42:AD43" si="55">M42</f>
        <v>5000</v>
      </c>
      <c r="AC42" s="4">
        <f t="shared" si="55"/>
        <v>0.88372093023255816</v>
      </c>
      <c r="AD42" s="90">
        <f t="shared" si="55"/>
        <v>1303.030303030303</v>
      </c>
      <c r="AE42" s="78" t="str">
        <f>S42</f>
        <v>계</v>
      </c>
      <c r="AF42" s="78" t="str">
        <f>Q42&amp;"/"&amp;R42</f>
        <v>3/2</v>
      </c>
      <c r="AH42" s="20" t="str">
        <f t="shared" si="53"/>
        <v>전주송천한라비발디1단지</v>
      </c>
      <c r="AI42" s="86">
        <f t="shared" si="52"/>
        <v>33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O</v>
      </c>
      <c r="AP42" s="78" t="str">
        <f>IF(I42="","",IF(I42&lt;=$AP$1,"O","X"))</f>
        <v>O</v>
      </c>
      <c r="AQ42" s="78" t="str">
        <f>IF(O42="","",IF(O42&lt;=$AQ$1,"O","X"))</f>
        <v>X</v>
      </c>
      <c r="AR42" s="78" t="str">
        <f>IF(M42="","",IF(M42&lt;=$AR$1,"O","X"))</f>
        <v>O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후보</v>
      </c>
    </row>
    <row r="43" spans="1:48" x14ac:dyDescent="0.3">
      <c r="A43" s="9" t="s">
        <v>858</v>
      </c>
      <c r="B43" s="10" t="s">
        <v>1560</v>
      </c>
      <c r="C43" s="87">
        <v>585</v>
      </c>
      <c r="D43" s="85">
        <v>122.1</v>
      </c>
      <c r="E43" s="86">
        <v>37</v>
      </c>
      <c r="F43" s="85">
        <v>85</v>
      </c>
      <c r="G43" s="17">
        <v>26</v>
      </c>
      <c r="H43" s="87">
        <v>46</v>
      </c>
      <c r="I43" s="88"/>
      <c r="J43" s="88"/>
      <c r="K43" s="88"/>
      <c r="L43" s="88"/>
      <c r="M43" s="89">
        <f>I43-K43</f>
        <v>0</v>
      </c>
      <c r="N43" s="4" t="str">
        <f>IF(ISERROR(K43/I43),"",K43/I43)</f>
        <v/>
      </c>
      <c r="O43" s="90">
        <f>I43/E43</f>
        <v>0</v>
      </c>
      <c r="P43" s="90">
        <f>K43/E43</f>
        <v>0</v>
      </c>
      <c r="Q43" s="78">
        <v>3</v>
      </c>
      <c r="R43" s="78">
        <v>2</v>
      </c>
      <c r="S43" s="78" t="s">
        <v>59</v>
      </c>
      <c r="T43" s="5" t="s">
        <v>159</v>
      </c>
      <c r="U43" s="9"/>
      <c r="W43" s="85">
        <f>D43</f>
        <v>122.1</v>
      </c>
      <c r="X43" s="86">
        <f>E43</f>
        <v>37</v>
      </c>
      <c r="Y43" s="91">
        <f>H43</f>
        <v>46</v>
      </c>
      <c r="Z43" s="89">
        <f>I43</f>
        <v>0</v>
      </c>
      <c r="AA43" s="89">
        <f>K43</f>
        <v>0</v>
      </c>
      <c r="AB43" s="89">
        <f t="shared" si="55"/>
        <v>0</v>
      </c>
      <c r="AC43" s="4" t="str">
        <f t="shared" si="55"/>
        <v/>
      </c>
      <c r="AD43" s="90">
        <f t="shared" si="55"/>
        <v>0</v>
      </c>
      <c r="AE43" s="78" t="str">
        <f>S43</f>
        <v>계</v>
      </c>
      <c r="AF43" s="78" t="str">
        <f>Q43&amp;"/"&amp;R43</f>
        <v>3/2</v>
      </c>
      <c r="AH43" s="20" t="str">
        <f t="shared" si="53"/>
        <v>전주송천한라비발디1단지</v>
      </c>
      <c r="AI43" s="86">
        <f t="shared" si="52"/>
        <v>37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/>
      </c>
      <c r="AP43" s="78" t="str">
        <f>IF(I43="","",IF(I43&lt;=$AP$1,"O","X"))</f>
        <v/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/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송천동2가 에코시티더샵(에코시티1BL)('18.01.,724^)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53"/>
        <v/>
      </c>
      <c r="AI44" s="108" t="str">
        <f t="shared" si="52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872</v>
      </c>
      <c r="B45" s="10" t="s">
        <v>1537</v>
      </c>
      <c r="C45" s="87">
        <v>724</v>
      </c>
      <c r="D45" s="85">
        <v>80.3</v>
      </c>
      <c r="E45" s="86">
        <v>24</v>
      </c>
      <c r="F45" s="85">
        <v>59.9</v>
      </c>
      <c r="G45" s="17">
        <v>18</v>
      </c>
      <c r="H45" s="87">
        <v>105</v>
      </c>
      <c r="I45" s="88">
        <v>39000</v>
      </c>
      <c r="J45" s="88" t="s">
        <v>104</v>
      </c>
      <c r="K45" s="88">
        <v>30000</v>
      </c>
      <c r="L45" s="88" t="s">
        <v>127</v>
      </c>
      <c r="M45" s="89">
        <f t="shared" ref="M45:M53" si="56">I45-K45</f>
        <v>9000</v>
      </c>
      <c r="N45" s="4">
        <f t="shared" ref="N45:N53" si="57">IF(ISERROR(K45/I45),"",K45/I45)</f>
        <v>0.76923076923076927</v>
      </c>
      <c r="O45" s="90">
        <f t="shared" ref="O45:O53" si="58">I45/E45</f>
        <v>1625</v>
      </c>
      <c r="P45" s="90">
        <f t="shared" ref="P45:P53" si="59">K45/E45</f>
        <v>1250</v>
      </c>
      <c r="Q45" s="78">
        <v>3</v>
      </c>
      <c r="R45" s="78">
        <v>2</v>
      </c>
      <c r="S45" s="78" t="s">
        <v>59</v>
      </c>
      <c r="T45" s="5" t="s">
        <v>81</v>
      </c>
      <c r="U45" s="9"/>
      <c r="W45" s="85">
        <f t="shared" ref="W45:W53" si="60">D45</f>
        <v>80.3</v>
      </c>
      <c r="X45" s="86">
        <f t="shared" ref="X45:X53" si="61">E45</f>
        <v>24</v>
      </c>
      <c r="Y45" s="91">
        <f t="shared" ref="Y45:Y53" si="62">H45</f>
        <v>105</v>
      </c>
      <c r="Z45" s="89">
        <f t="shared" ref="Z45:Z53" si="63">I45</f>
        <v>39000</v>
      </c>
      <c r="AA45" s="89">
        <f t="shared" ref="AA45:AA53" si="64">K45</f>
        <v>30000</v>
      </c>
      <c r="AB45" s="89">
        <f t="shared" ref="AB45:AB53" si="65">M45</f>
        <v>9000</v>
      </c>
      <c r="AC45" s="4">
        <f t="shared" ref="AC45:AC53" si="66">N45</f>
        <v>0.76923076923076927</v>
      </c>
      <c r="AD45" s="90">
        <f t="shared" ref="AD45:AD53" si="67">O45</f>
        <v>1625</v>
      </c>
      <c r="AE45" s="78" t="str">
        <f t="shared" ref="AE45:AE53" si="68">S45</f>
        <v>계</v>
      </c>
      <c r="AF45" s="78" t="str">
        <f t="shared" ref="AF45:AF53" si="69">Q45&amp;"/"&amp;R45</f>
        <v>3/2</v>
      </c>
      <c r="AH45" s="20" t="str">
        <f t="shared" si="53"/>
        <v>에코시티더샵(에코시티1BL)</v>
      </c>
      <c r="AI45" s="86">
        <f t="shared" si="52"/>
        <v>24</v>
      </c>
      <c r="AJ45" s="78" t="str">
        <f t="shared" ref="AJ45:AJ53" si="70"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 t="shared" ref="AN45:AN53" si="71">IF(AI45="","",$AN$2)</f>
        <v>C</v>
      </c>
      <c r="AO45" s="78" t="str">
        <f t="shared" ref="AO45:AO53" si="72">IF(N45="","",IF(N45&gt;=$AO$1/100,"O","X"))</f>
        <v>X</v>
      </c>
      <c r="AP45" s="78" t="str">
        <f t="shared" ref="AP45:AP53" si="73">IF(I45="","",IF(I45&lt;=$AP$1,"O","X"))</f>
        <v>O</v>
      </c>
      <c r="AQ45" s="78" t="str">
        <f t="shared" ref="AQ45:AQ53" si="74">IF(O45="","",IF(O45&lt;=$AQ$1,"O","X"))</f>
        <v>X</v>
      </c>
      <c r="AR45" s="78" t="str">
        <f t="shared" ref="AR45:AR53" si="75">IF(M45="","",IF(M45&lt;=$AR$1,"O","X"))</f>
        <v>X</v>
      </c>
      <c r="AS45" s="78" t="s">
        <v>2</v>
      </c>
      <c r="AT45" s="78" t="str">
        <f t="shared" ref="AT45:AT53" si="76">IF(OR(F45="",AI45=""),"",IF(AND((F45&lt;=85),(AI45&gt;=15)),"O","X"))</f>
        <v>O</v>
      </c>
      <c r="AU45" s="78" t="str">
        <f t="shared" ref="AU45:AU53" si="77">IF(C45="","",IF(C45&gt;=$AU$1,"O","X"))</f>
        <v>O</v>
      </c>
      <c r="AV45" s="78" t="str">
        <f t="shared" ref="AV45:AV53" si="78">IF(AO45="","",IF(AND(AO45="O",AP45="O",AR45="O",AT45="O",AU45="O"),"후보","X"))</f>
        <v>X</v>
      </c>
    </row>
    <row r="46" spans="1:48" x14ac:dyDescent="0.3">
      <c r="A46" s="9" t="s">
        <v>872</v>
      </c>
      <c r="B46" s="10" t="s">
        <v>1537</v>
      </c>
      <c r="C46" s="87">
        <v>724</v>
      </c>
      <c r="D46" s="85">
        <v>80.5</v>
      </c>
      <c r="E46" s="86">
        <v>24</v>
      </c>
      <c r="F46" s="85">
        <v>60</v>
      </c>
      <c r="G46" s="17">
        <v>18</v>
      </c>
      <c r="H46" s="87">
        <v>60</v>
      </c>
      <c r="I46" s="88">
        <v>44000</v>
      </c>
      <c r="J46" s="88" t="s">
        <v>83</v>
      </c>
      <c r="K46" s="88"/>
      <c r="L46" s="88"/>
      <c r="M46" s="89">
        <f t="shared" si="56"/>
        <v>44000</v>
      </c>
      <c r="N46" s="4">
        <f t="shared" si="57"/>
        <v>0</v>
      </c>
      <c r="O46" s="90">
        <f t="shared" si="58"/>
        <v>1833.3333333333333</v>
      </c>
      <c r="P46" s="90">
        <f t="shared" si="59"/>
        <v>0</v>
      </c>
      <c r="Q46" s="78">
        <v>3</v>
      </c>
      <c r="R46" s="78">
        <v>2</v>
      </c>
      <c r="S46" s="78" t="s">
        <v>59</v>
      </c>
      <c r="T46" s="5" t="s">
        <v>85</v>
      </c>
      <c r="U46" s="9"/>
      <c r="W46" s="85">
        <f t="shared" si="60"/>
        <v>80.5</v>
      </c>
      <c r="X46" s="86">
        <f t="shared" si="61"/>
        <v>24</v>
      </c>
      <c r="Y46" s="91">
        <f t="shared" si="62"/>
        <v>60</v>
      </c>
      <c r="Z46" s="89">
        <f t="shared" si="63"/>
        <v>44000</v>
      </c>
      <c r="AA46" s="89">
        <f t="shared" si="64"/>
        <v>0</v>
      </c>
      <c r="AB46" s="89">
        <f t="shared" si="65"/>
        <v>44000</v>
      </c>
      <c r="AC46" s="4">
        <f t="shared" si="66"/>
        <v>0</v>
      </c>
      <c r="AD46" s="90">
        <f t="shared" si="67"/>
        <v>1833.3333333333333</v>
      </c>
      <c r="AE46" s="78" t="str">
        <f t="shared" si="68"/>
        <v>계</v>
      </c>
      <c r="AF46" s="78" t="str">
        <f t="shared" si="69"/>
        <v>3/2</v>
      </c>
      <c r="AH46" s="20" t="str">
        <f t="shared" si="53"/>
        <v>에코시티더샵(에코시티1BL)</v>
      </c>
      <c r="AI46" s="86">
        <f t="shared" si="52"/>
        <v>24</v>
      </c>
      <c r="AJ46" s="78" t="str">
        <f t="shared" si="70"/>
        <v>A-</v>
      </c>
      <c r="AK46" s="78" t="s">
        <v>13</v>
      </c>
      <c r="AL46" s="78" t="s">
        <v>61</v>
      </c>
      <c r="AM46" s="78" t="s">
        <v>62</v>
      </c>
      <c r="AN46" s="78" t="str">
        <f t="shared" si="71"/>
        <v>C</v>
      </c>
      <c r="AO46" s="78" t="str">
        <f t="shared" si="72"/>
        <v>X</v>
      </c>
      <c r="AP46" s="78" t="str">
        <f t="shared" si="73"/>
        <v>O</v>
      </c>
      <c r="AQ46" s="78" t="str">
        <f t="shared" si="74"/>
        <v>X</v>
      </c>
      <c r="AR46" s="78" t="str">
        <f t="shared" si="75"/>
        <v>X</v>
      </c>
      <c r="AS46" s="78" t="s">
        <v>2</v>
      </c>
      <c r="AT46" s="78" t="str">
        <f t="shared" si="76"/>
        <v>O</v>
      </c>
      <c r="AU46" s="78" t="str">
        <f t="shared" si="77"/>
        <v>O</v>
      </c>
      <c r="AV46" s="78" t="str">
        <f t="shared" si="78"/>
        <v>X</v>
      </c>
    </row>
    <row r="47" spans="1:48" x14ac:dyDescent="0.3">
      <c r="A47" s="9" t="s">
        <v>872</v>
      </c>
      <c r="B47" s="10" t="s">
        <v>1537</v>
      </c>
      <c r="C47" s="87">
        <v>724</v>
      </c>
      <c r="D47" s="85">
        <v>112.8</v>
      </c>
      <c r="E47" s="86">
        <v>34</v>
      </c>
      <c r="F47" s="85">
        <v>84.9</v>
      </c>
      <c r="G47" s="17">
        <v>26</v>
      </c>
      <c r="H47" s="87">
        <v>111</v>
      </c>
      <c r="I47" s="88">
        <v>62500</v>
      </c>
      <c r="J47" s="88" t="s">
        <v>83</v>
      </c>
      <c r="K47" s="88"/>
      <c r="L47" s="88"/>
      <c r="M47" s="89">
        <f t="shared" si="56"/>
        <v>62500</v>
      </c>
      <c r="N47" s="4">
        <f t="shared" si="57"/>
        <v>0</v>
      </c>
      <c r="O47" s="90">
        <f t="shared" si="58"/>
        <v>1838.2352941176471</v>
      </c>
      <c r="P47" s="90">
        <f t="shared" si="59"/>
        <v>0</v>
      </c>
      <c r="Q47" s="78">
        <v>3</v>
      </c>
      <c r="R47" s="78">
        <v>2</v>
      </c>
      <c r="S47" s="78" t="s">
        <v>59</v>
      </c>
      <c r="T47" s="5" t="s">
        <v>160</v>
      </c>
      <c r="U47" s="9"/>
      <c r="W47" s="85">
        <f t="shared" si="60"/>
        <v>112.8</v>
      </c>
      <c r="X47" s="86">
        <f t="shared" si="61"/>
        <v>34</v>
      </c>
      <c r="Y47" s="91">
        <f t="shared" si="62"/>
        <v>111</v>
      </c>
      <c r="Z47" s="89">
        <f t="shared" si="63"/>
        <v>62500</v>
      </c>
      <c r="AA47" s="89">
        <f t="shared" si="64"/>
        <v>0</v>
      </c>
      <c r="AB47" s="89">
        <f t="shared" si="65"/>
        <v>62500</v>
      </c>
      <c r="AC47" s="4">
        <f t="shared" si="66"/>
        <v>0</v>
      </c>
      <c r="AD47" s="90">
        <f t="shared" si="67"/>
        <v>1838.2352941176471</v>
      </c>
      <c r="AE47" s="78" t="str">
        <f t="shared" si="68"/>
        <v>계</v>
      </c>
      <c r="AF47" s="78" t="str">
        <f t="shared" si="69"/>
        <v>3/2</v>
      </c>
      <c r="AH47" s="20" t="str">
        <f t="shared" si="53"/>
        <v>에코시티더샵(에코시티1BL)</v>
      </c>
      <c r="AI47" s="86">
        <f t="shared" si="52"/>
        <v>34</v>
      </c>
      <c r="AJ47" s="78" t="str">
        <f t="shared" si="70"/>
        <v>A-</v>
      </c>
      <c r="AK47" s="78" t="s">
        <v>13</v>
      </c>
      <c r="AL47" s="78" t="s">
        <v>61</v>
      </c>
      <c r="AM47" s="78" t="s">
        <v>62</v>
      </c>
      <c r="AN47" s="78" t="str">
        <f t="shared" si="71"/>
        <v>C</v>
      </c>
      <c r="AO47" s="78" t="str">
        <f t="shared" si="72"/>
        <v>X</v>
      </c>
      <c r="AP47" s="78" t="str">
        <f t="shared" si="73"/>
        <v>X</v>
      </c>
      <c r="AQ47" s="78" t="str">
        <f t="shared" si="74"/>
        <v>X</v>
      </c>
      <c r="AR47" s="78" t="str">
        <f t="shared" si="75"/>
        <v>X</v>
      </c>
      <c r="AS47" s="78" t="s">
        <v>2</v>
      </c>
      <c r="AT47" s="78" t="str">
        <f t="shared" si="76"/>
        <v>O</v>
      </c>
      <c r="AU47" s="78" t="str">
        <f t="shared" si="77"/>
        <v>O</v>
      </c>
      <c r="AV47" s="78" t="str">
        <f t="shared" si="78"/>
        <v>X</v>
      </c>
    </row>
    <row r="48" spans="1:48" x14ac:dyDescent="0.3">
      <c r="A48" s="9" t="s">
        <v>872</v>
      </c>
      <c r="B48" s="10" t="s">
        <v>1537</v>
      </c>
      <c r="C48" s="87">
        <v>724</v>
      </c>
      <c r="D48" s="85">
        <v>112.9</v>
      </c>
      <c r="E48" s="86">
        <v>34</v>
      </c>
      <c r="F48" s="85">
        <v>84.7</v>
      </c>
      <c r="G48" s="17">
        <v>26</v>
      </c>
      <c r="H48" s="87">
        <v>107</v>
      </c>
      <c r="I48" s="88">
        <v>56000</v>
      </c>
      <c r="J48" s="88" t="s">
        <v>104</v>
      </c>
      <c r="K48" s="88"/>
      <c r="L48" s="88"/>
      <c r="M48" s="89">
        <f t="shared" si="56"/>
        <v>56000</v>
      </c>
      <c r="N48" s="4">
        <f t="shared" si="57"/>
        <v>0</v>
      </c>
      <c r="O48" s="90">
        <f t="shared" si="58"/>
        <v>1647.0588235294117</v>
      </c>
      <c r="P48" s="90">
        <f t="shared" si="59"/>
        <v>0</v>
      </c>
      <c r="Q48" s="78">
        <v>3</v>
      </c>
      <c r="R48" s="78">
        <v>2</v>
      </c>
      <c r="S48" s="78" t="s">
        <v>59</v>
      </c>
      <c r="T48" s="5" t="s">
        <v>161</v>
      </c>
      <c r="U48" s="9"/>
      <c r="W48" s="85">
        <f t="shared" si="60"/>
        <v>112.9</v>
      </c>
      <c r="X48" s="86">
        <f t="shared" si="61"/>
        <v>34</v>
      </c>
      <c r="Y48" s="91">
        <f t="shared" si="62"/>
        <v>107</v>
      </c>
      <c r="Z48" s="89">
        <f t="shared" si="63"/>
        <v>56000</v>
      </c>
      <c r="AA48" s="89">
        <f t="shared" si="64"/>
        <v>0</v>
      </c>
      <c r="AB48" s="89">
        <f t="shared" si="65"/>
        <v>56000</v>
      </c>
      <c r="AC48" s="4">
        <f t="shared" si="66"/>
        <v>0</v>
      </c>
      <c r="AD48" s="90">
        <f t="shared" si="67"/>
        <v>1647.0588235294117</v>
      </c>
      <c r="AE48" s="78" t="str">
        <f t="shared" si="68"/>
        <v>계</v>
      </c>
      <c r="AF48" s="78" t="str">
        <f t="shared" si="69"/>
        <v>3/2</v>
      </c>
      <c r="AH48" s="20" t="str">
        <f t="shared" si="53"/>
        <v>에코시티더샵(에코시티1BL)</v>
      </c>
      <c r="AI48" s="86">
        <f t="shared" si="52"/>
        <v>34</v>
      </c>
      <c r="AJ48" s="78" t="str">
        <f t="shared" si="70"/>
        <v>A-</v>
      </c>
      <c r="AK48" s="78" t="s">
        <v>13</v>
      </c>
      <c r="AL48" s="78" t="s">
        <v>61</v>
      </c>
      <c r="AM48" s="78" t="s">
        <v>62</v>
      </c>
      <c r="AN48" s="78" t="str">
        <f t="shared" si="71"/>
        <v>C</v>
      </c>
      <c r="AO48" s="78" t="str">
        <f t="shared" si="72"/>
        <v>X</v>
      </c>
      <c r="AP48" s="78" t="str">
        <f t="shared" si="73"/>
        <v>X</v>
      </c>
      <c r="AQ48" s="78" t="str">
        <f t="shared" si="74"/>
        <v>X</v>
      </c>
      <c r="AR48" s="78" t="str">
        <f t="shared" si="75"/>
        <v>X</v>
      </c>
      <c r="AS48" s="78" t="s">
        <v>2</v>
      </c>
      <c r="AT48" s="78" t="str">
        <f t="shared" si="76"/>
        <v>O</v>
      </c>
      <c r="AU48" s="78" t="str">
        <f t="shared" si="77"/>
        <v>O</v>
      </c>
      <c r="AV48" s="78" t="str">
        <f t="shared" si="78"/>
        <v>X</v>
      </c>
    </row>
    <row r="49" spans="1:48" x14ac:dyDescent="0.3">
      <c r="A49" s="9" t="s">
        <v>872</v>
      </c>
      <c r="B49" s="10" t="s">
        <v>1537</v>
      </c>
      <c r="C49" s="87">
        <v>724</v>
      </c>
      <c r="D49" s="85">
        <v>113</v>
      </c>
      <c r="E49" s="86">
        <v>34</v>
      </c>
      <c r="F49" s="85">
        <v>85</v>
      </c>
      <c r="G49" s="17">
        <v>26</v>
      </c>
      <c r="H49" s="87">
        <v>100</v>
      </c>
      <c r="I49" s="88">
        <v>61500</v>
      </c>
      <c r="J49" s="88" t="s">
        <v>127</v>
      </c>
      <c r="K49" s="88">
        <v>40000</v>
      </c>
      <c r="L49" s="88" t="s">
        <v>99</v>
      </c>
      <c r="M49" s="89">
        <f t="shared" si="56"/>
        <v>21500</v>
      </c>
      <c r="N49" s="4">
        <f t="shared" si="57"/>
        <v>0.65040650406504064</v>
      </c>
      <c r="O49" s="90">
        <f t="shared" si="58"/>
        <v>1808.8235294117646</v>
      </c>
      <c r="P49" s="90">
        <f t="shared" si="59"/>
        <v>1176.4705882352941</v>
      </c>
      <c r="Q49" s="78">
        <v>3</v>
      </c>
      <c r="R49" s="78">
        <v>2</v>
      </c>
      <c r="S49" s="78" t="s">
        <v>59</v>
      </c>
      <c r="T49" s="5" t="s">
        <v>162</v>
      </c>
      <c r="U49" s="9"/>
      <c r="W49" s="85">
        <f t="shared" si="60"/>
        <v>113</v>
      </c>
      <c r="X49" s="86">
        <f t="shared" si="61"/>
        <v>34</v>
      </c>
      <c r="Y49" s="91">
        <f t="shared" si="62"/>
        <v>100</v>
      </c>
      <c r="Z49" s="89">
        <f t="shared" si="63"/>
        <v>61500</v>
      </c>
      <c r="AA49" s="89">
        <f t="shared" si="64"/>
        <v>40000</v>
      </c>
      <c r="AB49" s="89">
        <f t="shared" si="65"/>
        <v>21500</v>
      </c>
      <c r="AC49" s="4">
        <f t="shared" si="66"/>
        <v>0.65040650406504064</v>
      </c>
      <c r="AD49" s="90">
        <f t="shared" si="67"/>
        <v>1808.8235294117646</v>
      </c>
      <c r="AE49" s="78" t="str">
        <f t="shared" si="68"/>
        <v>계</v>
      </c>
      <c r="AF49" s="78" t="str">
        <f t="shared" si="69"/>
        <v>3/2</v>
      </c>
      <c r="AH49" s="20" t="str">
        <f t="shared" si="53"/>
        <v>에코시티더샵(에코시티1BL)</v>
      </c>
      <c r="AI49" s="86">
        <f t="shared" si="52"/>
        <v>34</v>
      </c>
      <c r="AJ49" s="78" t="str">
        <f t="shared" si="70"/>
        <v>A-</v>
      </c>
      <c r="AK49" s="78" t="s">
        <v>13</v>
      </c>
      <c r="AL49" s="78" t="s">
        <v>61</v>
      </c>
      <c r="AM49" s="78" t="s">
        <v>62</v>
      </c>
      <c r="AN49" s="78" t="str">
        <f t="shared" si="71"/>
        <v>C</v>
      </c>
      <c r="AO49" s="78" t="str">
        <f t="shared" si="72"/>
        <v>X</v>
      </c>
      <c r="AP49" s="78" t="str">
        <f t="shared" si="73"/>
        <v>X</v>
      </c>
      <c r="AQ49" s="78" t="str">
        <f t="shared" si="74"/>
        <v>X</v>
      </c>
      <c r="AR49" s="78" t="str">
        <f t="shared" si="75"/>
        <v>X</v>
      </c>
      <c r="AS49" s="78" t="s">
        <v>2</v>
      </c>
      <c r="AT49" s="78" t="str">
        <f t="shared" si="76"/>
        <v>O</v>
      </c>
      <c r="AU49" s="78" t="str">
        <f t="shared" si="77"/>
        <v>O</v>
      </c>
      <c r="AV49" s="78" t="str">
        <f t="shared" si="78"/>
        <v>X</v>
      </c>
    </row>
    <row r="50" spans="1:48" x14ac:dyDescent="0.3">
      <c r="A50" s="9" t="s">
        <v>872</v>
      </c>
      <c r="B50" s="10" t="s">
        <v>1537</v>
      </c>
      <c r="C50" s="87">
        <v>724</v>
      </c>
      <c r="D50" s="85">
        <v>112.7</v>
      </c>
      <c r="E50" s="86">
        <v>34</v>
      </c>
      <c r="F50" s="85">
        <v>84.9</v>
      </c>
      <c r="G50" s="17">
        <v>26</v>
      </c>
      <c r="H50" s="87">
        <v>75</v>
      </c>
      <c r="I50" s="88">
        <v>59500</v>
      </c>
      <c r="J50" s="88" t="s">
        <v>83</v>
      </c>
      <c r="K50" s="88"/>
      <c r="L50" s="88"/>
      <c r="M50" s="89">
        <f t="shared" si="56"/>
        <v>59500</v>
      </c>
      <c r="N50" s="4">
        <f t="shared" si="57"/>
        <v>0</v>
      </c>
      <c r="O50" s="90">
        <f t="shared" si="58"/>
        <v>1750</v>
      </c>
      <c r="P50" s="90">
        <f t="shared" si="59"/>
        <v>0</v>
      </c>
      <c r="Q50" s="78">
        <v>3</v>
      </c>
      <c r="R50" s="78">
        <v>2</v>
      </c>
      <c r="S50" s="78" t="s">
        <v>59</v>
      </c>
      <c r="T50" s="5" t="s">
        <v>101</v>
      </c>
      <c r="U50" s="9"/>
      <c r="W50" s="85">
        <f t="shared" si="60"/>
        <v>112.7</v>
      </c>
      <c r="X50" s="86">
        <f t="shared" si="61"/>
        <v>34</v>
      </c>
      <c r="Y50" s="91">
        <f t="shared" si="62"/>
        <v>75</v>
      </c>
      <c r="Z50" s="89">
        <f t="shared" si="63"/>
        <v>59500</v>
      </c>
      <c r="AA50" s="89">
        <f t="shared" si="64"/>
        <v>0</v>
      </c>
      <c r="AB50" s="89">
        <f t="shared" si="65"/>
        <v>59500</v>
      </c>
      <c r="AC50" s="4">
        <f t="shared" si="66"/>
        <v>0</v>
      </c>
      <c r="AD50" s="90">
        <f t="shared" si="67"/>
        <v>1750</v>
      </c>
      <c r="AE50" s="78" t="str">
        <f t="shared" si="68"/>
        <v>계</v>
      </c>
      <c r="AF50" s="78" t="str">
        <f t="shared" si="69"/>
        <v>3/2</v>
      </c>
      <c r="AH50" s="20" t="str">
        <f t="shared" si="53"/>
        <v>에코시티더샵(에코시티1BL)</v>
      </c>
      <c r="AI50" s="86">
        <f t="shared" si="52"/>
        <v>34</v>
      </c>
      <c r="AJ50" s="78" t="str">
        <f t="shared" si="70"/>
        <v>A-</v>
      </c>
      <c r="AK50" s="78" t="s">
        <v>13</v>
      </c>
      <c r="AL50" s="78" t="s">
        <v>61</v>
      </c>
      <c r="AM50" s="78" t="s">
        <v>62</v>
      </c>
      <c r="AN50" s="78" t="str">
        <f t="shared" si="71"/>
        <v>C</v>
      </c>
      <c r="AO50" s="78" t="str">
        <f t="shared" si="72"/>
        <v>X</v>
      </c>
      <c r="AP50" s="78" t="str">
        <f t="shared" si="73"/>
        <v>X</v>
      </c>
      <c r="AQ50" s="78" t="str">
        <f t="shared" si="74"/>
        <v>X</v>
      </c>
      <c r="AR50" s="78" t="str">
        <f t="shared" si="75"/>
        <v>X</v>
      </c>
      <c r="AS50" s="78" t="s">
        <v>2</v>
      </c>
      <c r="AT50" s="78" t="str">
        <f t="shared" si="76"/>
        <v>O</v>
      </c>
      <c r="AU50" s="78" t="str">
        <f t="shared" si="77"/>
        <v>O</v>
      </c>
      <c r="AV50" s="78" t="str">
        <f t="shared" si="78"/>
        <v>X</v>
      </c>
    </row>
    <row r="51" spans="1:48" x14ac:dyDescent="0.3">
      <c r="A51" s="9" t="s">
        <v>872</v>
      </c>
      <c r="B51" s="10" t="s">
        <v>1537</v>
      </c>
      <c r="C51" s="87">
        <v>724</v>
      </c>
      <c r="D51" s="85">
        <v>112.8</v>
      </c>
      <c r="E51" s="86">
        <v>34</v>
      </c>
      <c r="F51" s="85">
        <v>84.5</v>
      </c>
      <c r="G51" s="17">
        <v>26</v>
      </c>
      <c r="H51" s="87">
        <v>45</v>
      </c>
      <c r="I51" s="88">
        <v>63000</v>
      </c>
      <c r="J51" s="88" t="s">
        <v>111</v>
      </c>
      <c r="K51" s="88"/>
      <c r="L51" s="88"/>
      <c r="M51" s="89">
        <f t="shared" si="56"/>
        <v>63000</v>
      </c>
      <c r="N51" s="4">
        <f t="shared" si="57"/>
        <v>0</v>
      </c>
      <c r="O51" s="90">
        <f t="shared" si="58"/>
        <v>1852.9411764705883</v>
      </c>
      <c r="P51" s="90">
        <f t="shared" si="59"/>
        <v>0</v>
      </c>
      <c r="Q51" s="78">
        <v>3</v>
      </c>
      <c r="R51" s="78">
        <v>2</v>
      </c>
      <c r="S51" s="78" t="s">
        <v>59</v>
      </c>
      <c r="T51" s="5" t="s">
        <v>102</v>
      </c>
      <c r="U51" s="9"/>
      <c r="W51" s="85">
        <f t="shared" si="60"/>
        <v>112.8</v>
      </c>
      <c r="X51" s="86">
        <f t="shared" si="61"/>
        <v>34</v>
      </c>
      <c r="Y51" s="91">
        <f t="shared" si="62"/>
        <v>45</v>
      </c>
      <c r="Z51" s="89">
        <f t="shared" si="63"/>
        <v>63000</v>
      </c>
      <c r="AA51" s="89">
        <f t="shared" si="64"/>
        <v>0</v>
      </c>
      <c r="AB51" s="89">
        <f t="shared" si="65"/>
        <v>63000</v>
      </c>
      <c r="AC51" s="4">
        <f t="shared" si="66"/>
        <v>0</v>
      </c>
      <c r="AD51" s="90">
        <f t="shared" si="67"/>
        <v>1852.9411764705883</v>
      </c>
      <c r="AE51" s="78" t="str">
        <f t="shared" si="68"/>
        <v>계</v>
      </c>
      <c r="AF51" s="78" t="str">
        <f t="shared" si="69"/>
        <v>3/2</v>
      </c>
      <c r="AH51" s="20" t="str">
        <f t="shared" si="53"/>
        <v>에코시티더샵(에코시티1BL)</v>
      </c>
      <c r="AI51" s="86">
        <f t="shared" si="52"/>
        <v>34</v>
      </c>
      <c r="AJ51" s="78" t="str">
        <f t="shared" si="70"/>
        <v>A-</v>
      </c>
      <c r="AK51" s="78" t="s">
        <v>13</v>
      </c>
      <c r="AL51" s="78" t="s">
        <v>61</v>
      </c>
      <c r="AM51" s="78" t="s">
        <v>62</v>
      </c>
      <c r="AN51" s="78" t="str">
        <f t="shared" si="71"/>
        <v>C</v>
      </c>
      <c r="AO51" s="78" t="str">
        <f t="shared" si="72"/>
        <v>X</v>
      </c>
      <c r="AP51" s="78" t="str">
        <f t="shared" si="73"/>
        <v>X</v>
      </c>
      <c r="AQ51" s="78" t="str">
        <f t="shared" si="74"/>
        <v>X</v>
      </c>
      <c r="AR51" s="78" t="str">
        <f t="shared" si="75"/>
        <v>X</v>
      </c>
      <c r="AS51" s="78" t="s">
        <v>2</v>
      </c>
      <c r="AT51" s="78" t="str">
        <f t="shared" si="76"/>
        <v>O</v>
      </c>
      <c r="AU51" s="78" t="str">
        <f t="shared" si="77"/>
        <v>O</v>
      </c>
      <c r="AV51" s="78" t="str">
        <f t="shared" si="78"/>
        <v>X</v>
      </c>
    </row>
    <row r="52" spans="1:48" x14ac:dyDescent="0.3">
      <c r="A52" s="9" t="s">
        <v>872</v>
      </c>
      <c r="B52" s="10" t="s">
        <v>1537</v>
      </c>
      <c r="C52" s="87">
        <v>724</v>
      </c>
      <c r="D52" s="85">
        <v>112.7</v>
      </c>
      <c r="E52" s="86">
        <v>34</v>
      </c>
      <c r="F52" s="85">
        <v>84.9</v>
      </c>
      <c r="G52" s="17">
        <v>26</v>
      </c>
      <c r="H52" s="87">
        <v>15</v>
      </c>
      <c r="I52" s="88">
        <v>59500</v>
      </c>
      <c r="J52" s="88" t="s">
        <v>83</v>
      </c>
      <c r="K52" s="88"/>
      <c r="L52" s="88"/>
      <c r="M52" s="89">
        <f t="shared" si="56"/>
        <v>59500</v>
      </c>
      <c r="N52" s="4">
        <f t="shared" si="57"/>
        <v>0</v>
      </c>
      <c r="O52" s="90">
        <f t="shared" si="58"/>
        <v>1750</v>
      </c>
      <c r="P52" s="90">
        <f t="shared" si="59"/>
        <v>0</v>
      </c>
      <c r="Q52" s="78">
        <v>3</v>
      </c>
      <c r="R52" s="78">
        <v>2</v>
      </c>
      <c r="S52" s="78" t="s">
        <v>59</v>
      </c>
      <c r="T52" s="5" t="s">
        <v>163</v>
      </c>
      <c r="U52" s="9"/>
      <c r="W52" s="85">
        <f t="shared" si="60"/>
        <v>112.7</v>
      </c>
      <c r="X52" s="86">
        <f t="shared" si="61"/>
        <v>34</v>
      </c>
      <c r="Y52" s="91">
        <f t="shared" si="62"/>
        <v>15</v>
      </c>
      <c r="Z52" s="89">
        <f t="shared" si="63"/>
        <v>59500</v>
      </c>
      <c r="AA52" s="89">
        <f t="shared" si="64"/>
        <v>0</v>
      </c>
      <c r="AB52" s="89">
        <f t="shared" si="65"/>
        <v>59500</v>
      </c>
      <c r="AC52" s="4">
        <f t="shared" si="66"/>
        <v>0</v>
      </c>
      <c r="AD52" s="90">
        <f t="shared" si="67"/>
        <v>1750</v>
      </c>
      <c r="AE52" s="78" t="str">
        <f t="shared" si="68"/>
        <v>계</v>
      </c>
      <c r="AF52" s="78" t="str">
        <f t="shared" si="69"/>
        <v>3/2</v>
      </c>
      <c r="AH52" s="20" t="str">
        <f t="shared" si="53"/>
        <v>에코시티더샵(에코시티1BL)</v>
      </c>
      <c r="AI52" s="86">
        <f t="shared" si="52"/>
        <v>34</v>
      </c>
      <c r="AJ52" s="78" t="str">
        <f t="shared" si="70"/>
        <v>A-</v>
      </c>
      <c r="AK52" s="78" t="s">
        <v>13</v>
      </c>
      <c r="AL52" s="78" t="s">
        <v>61</v>
      </c>
      <c r="AM52" s="78" t="s">
        <v>62</v>
      </c>
      <c r="AN52" s="78" t="str">
        <f t="shared" si="71"/>
        <v>C</v>
      </c>
      <c r="AO52" s="78" t="str">
        <f t="shared" si="72"/>
        <v>X</v>
      </c>
      <c r="AP52" s="78" t="str">
        <f t="shared" si="73"/>
        <v>X</v>
      </c>
      <c r="AQ52" s="78" t="str">
        <f t="shared" si="74"/>
        <v>X</v>
      </c>
      <c r="AR52" s="78" t="str">
        <f t="shared" si="75"/>
        <v>X</v>
      </c>
      <c r="AS52" s="78" t="s">
        <v>2</v>
      </c>
      <c r="AT52" s="78" t="str">
        <f t="shared" si="76"/>
        <v>O</v>
      </c>
      <c r="AU52" s="78" t="str">
        <f t="shared" si="77"/>
        <v>O</v>
      </c>
      <c r="AV52" s="78" t="str">
        <f t="shared" si="78"/>
        <v>X</v>
      </c>
    </row>
    <row r="53" spans="1:48" x14ac:dyDescent="0.3">
      <c r="A53" s="9" t="s">
        <v>872</v>
      </c>
      <c r="B53" s="10" t="s">
        <v>1537</v>
      </c>
      <c r="C53" s="87">
        <v>724</v>
      </c>
      <c r="D53" s="85">
        <v>113.5</v>
      </c>
      <c r="E53" s="86">
        <v>34</v>
      </c>
      <c r="F53" s="85">
        <v>85</v>
      </c>
      <c r="G53" s="17">
        <v>26</v>
      </c>
      <c r="H53" s="87">
        <v>106</v>
      </c>
      <c r="I53" s="88">
        <v>58000</v>
      </c>
      <c r="J53" s="88" t="s">
        <v>127</v>
      </c>
      <c r="K53" s="88">
        <v>42000</v>
      </c>
      <c r="L53" s="88" t="s">
        <v>107</v>
      </c>
      <c r="M53" s="89">
        <f t="shared" si="56"/>
        <v>16000</v>
      </c>
      <c r="N53" s="4">
        <f t="shared" si="57"/>
        <v>0.72413793103448276</v>
      </c>
      <c r="O53" s="90">
        <f t="shared" si="58"/>
        <v>1705.8823529411766</v>
      </c>
      <c r="P53" s="90">
        <f t="shared" si="59"/>
        <v>1235.2941176470588</v>
      </c>
      <c r="Q53" s="78">
        <v>3</v>
      </c>
      <c r="R53" s="78">
        <v>2</v>
      </c>
      <c r="S53" s="78" t="s">
        <v>59</v>
      </c>
      <c r="T53" s="5" t="s">
        <v>164</v>
      </c>
      <c r="U53" s="9"/>
      <c r="W53" s="85">
        <f t="shared" si="60"/>
        <v>113.5</v>
      </c>
      <c r="X53" s="86">
        <f t="shared" si="61"/>
        <v>34</v>
      </c>
      <c r="Y53" s="91">
        <f t="shared" si="62"/>
        <v>106</v>
      </c>
      <c r="Z53" s="89">
        <f t="shared" si="63"/>
        <v>58000</v>
      </c>
      <c r="AA53" s="89">
        <f t="shared" si="64"/>
        <v>42000</v>
      </c>
      <c r="AB53" s="89">
        <f t="shared" si="65"/>
        <v>16000</v>
      </c>
      <c r="AC53" s="4">
        <f t="shared" si="66"/>
        <v>0.72413793103448276</v>
      </c>
      <c r="AD53" s="90">
        <f t="shared" si="67"/>
        <v>1705.8823529411766</v>
      </c>
      <c r="AE53" s="78" t="str">
        <f t="shared" si="68"/>
        <v>계</v>
      </c>
      <c r="AF53" s="78" t="str">
        <f t="shared" si="69"/>
        <v>3/2</v>
      </c>
      <c r="AH53" s="20" t="str">
        <f t="shared" si="53"/>
        <v>에코시티더샵(에코시티1BL)</v>
      </c>
      <c r="AI53" s="86">
        <f t="shared" si="52"/>
        <v>34</v>
      </c>
      <c r="AJ53" s="78" t="str">
        <f t="shared" si="70"/>
        <v>A-</v>
      </c>
      <c r="AK53" s="78" t="s">
        <v>13</v>
      </c>
      <c r="AL53" s="78" t="s">
        <v>61</v>
      </c>
      <c r="AM53" s="78" t="s">
        <v>62</v>
      </c>
      <c r="AN53" s="78" t="str">
        <f t="shared" si="71"/>
        <v>C</v>
      </c>
      <c r="AO53" s="78" t="str">
        <f t="shared" si="72"/>
        <v>X</v>
      </c>
      <c r="AP53" s="78" t="str">
        <f t="shared" si="73"/>
        <v>X</v>
      </c>
      <c r="AQ53" s="78" t="str">
        <f t="shared" si="74"/>
        <v>X</v>
      </c>
      <c r="AR53" s="78" t="str">
        <f t="shared" si="75"/>
        <v>X</v>
      </c>
      <c r="AS53" s="78" t="s">
        <v>2</v>
      </c>
      <c r="AT53" s="78" t="str">
        <f t="shared" si="76"/>
        <v>O</v>
      </c>
      <c r="AU53" s="78" t="str">
        <f t="shared" si="77"/>
        <v>O</v>
      </c>
      <c r="AV53" s="78" t="str">
        <f t="shared" si="78"/>
        <v>X</v>
      </c>
    </row>
    <row r="54" spans="1:48" x14ac:dyDescent="0.3">
      <c r="A54" s="9"/>
      <c r="B54" s="78"/>
      <c r="C54" s="6"/>
      <c r="D54" s="9"/>
      <c r="E54" s="14"/>
      <c r="F54" s="85"/>
      <c r="G54" s="9"/>
      <c r="H54" s="9"/>
      <c r="I54" s="9"/>
      <c r="J54" s="9"/>
      <c r="K54" s="9"/>
      <c r="L54" s="9"/>
      <c r="M54" s="9"/>
      <c r="N54" s="9"/>
      <c r="O54" s="90"/>
      <c r="P54" s="90"/>
      <c r="Q54" s="86"/>
      <c r="R54" s="86"/>
      <c r="S54" s="9"/>
      <c r="T54" s="47"/>
      <c r="U54" s="9"/>
      <c r="W54" s="67" t="str">
        <f>$A$4&amp;" "&amp;A55&amp;"("&amp;B55&amp;","&amp;C55&amp;"^)"</f>
        <v>송천동2가 쌍용2단지('98.09.,308^)</v>
      </c>
      <c r="X54" s="68"/>
      <c r="Y54" s="68"/>
      <c r="Z54" s="68"/>
      <c r="AA54" s="68"/>
      <c r="AB54" s="68"/>
      <c r="AC54" s="68"/>
      <c r="AD54" s="68"/>
      <c r="AE54" s="68"/>
      <c r="AF54" s="69"/>
      <c r="AH54" s="20" t="str">
        <f t="shared" si="53"/>
        <v/>
      </c>
      <c r="AI54" s="108" t="str">
        <f t="shared" si="52"/>
        <v/>
      </c>
      <c r="AJ54" s="78"/>
      <c r="AK54" s="78"/>
      <c r="AL54" s="78"/>
      <c r="AM54" s="78"/>
      <c r="AN54" s="78"/>
      <c r="AO54" s="78"/>
      <c r="AP54" s="78"/>
      <c r="AQ54" s="78"/>
      <c r="AR54" s="78"/>
      <c r="AS54" s="78"/>
      <c r="AT54" s="78"/>
      <c r="AU54" s="78"/>
      <c r="AV54" s="78"/>
    </row>
    <row r="55" spans="1:48" x14ac:dyDescent="0.3">
      <c r="A55" s="9" t="s">
        <v>876</v>
      </c>
      <c r="B55" s="10" t="s">
        <v>1576</v>
      </c>
      <c r="C55" s="87">
        <v>308</v>
      </c>
      <c r="D55" s="85">
        <v>95.8</v>
      </c>
      <c r="E55" s="86">
        <v>29</v>
      </c>
      <c r="F55" s="85">
        <v>76.8</v>
      </c>
      <c r="G55" s="17">
        <v>23</v>
      </c>
      <c r="H55" s="87">
        <v>164</v>
      </c>
      <c r="I55" s="88">
        <v>16600</v>
      </c>
      <c r="J55" s="88" t="s">
        <v>99</v>
      </c>
      <c r="K55" s="88">
        <v>17500</v>
      </c>
      <c r="L55" s="88" t="s">
        <v>69</v>
      </c>
      <c r="M55" s="89">
        <f>I55-K55</f>
        <v>-900</v>
      </c>
      <c r="N55" s="4">
        <f>IF(ISERROR(K55/I55),"",K55/I55)</f>
        <v>1.0542168674698795</v>
      </c>
      <c r="O55" s="90">
        <f>I55/E55</f>
        <v>572.41379310344826</v>
      </c>
      <c r="P55" s="90">
        <f>K55/E55</f>
        <v>603.44827586206895</v>
      </c>
      <c r="Q55" s="78">
        <v>3</v>
      </c>
      <c r="R55" s="78">
        <v>2</v>
      </c>
      <c r="S55" s="78" t="s">
        <v>59</v>
      </c>
      <c r="T55" s="5">
        <v>95</v>
      </c>
      <c r="U55" s="9"/>
      <c r="W55" s="85">
        <f>D55</f>
        <v>95.8</v>
      </c>
      <c r="X55" s="86">
        <f>E55</f>
        <v>29</v>
      </c>
      <c r="Y55" s="91">
        <f>H55</f>
        <v>164</v>
      </c>
      <c r="Z55" s="89">
        <f>I55</f>
        <v>16600</v>
      </c>
      <c r="AA55" s="89">
        <f>K55</f>
        <v>17500</v>
      </c>
      <c r="AB55" s="89">
        <f t="shared" ref="AB55:AD56" si="79">M55</f>
        <v>-900</v>
      </c>
      <c r="AC55" s="4">
        <f t="shared" si="79"/>
        <v>1.0542168674698795</v>
      </c>
      <c r="AD55" s="90">
        <f t="shared" si="79"/>
        <v>572.41379310344826</v>
      </c>
      <c r="AE55" s="78" t="str">
        <f>S55</f>
        <v>계</v>
      </c>
      <c r="AF55" s="78" t="str">
        <f>Q55&amp;"/"&amp;R55</f>
        <v>3/2</v>
      </c>
      <c r="AH55" s="20" t="str">
        <f t="shared" si="53"/>
        <v>쌍용2단지</v>
      </c>
      <c r="AI55" s="86">
        <f t="shared" si="52"/>
        <v>29</v>
      </c>
      <c r="AJ55" s="78" t="str">
        <f>IF(AI55="","",$AJ$2)</f>
        <v>A-</v>
      </c>
      <c r="AK55" s="78" t="s">
        <v>13</v>
      </c>
      <c r="AL55" s="78" t="s">
        <v>61</v>
      </c>
      <c r="AM55" s="78" t="s">
        <v>62</v>
      </c>
      <c r="AN55" s="78" t="str">
        <f>IF(AI55="","",$AN$2)</f>
        <v>C</v>
      </c>
      <c r="AO55" s="78" t="str">
        <f>IF(N55="","",IF(N55&gt;=$AO$1/100,"O","X"))</f>
        <v>O</v>
      </c>
      <c r="AP55" s="78" t="str">
        <f>IF(I55="","",IF(I55&lt;=$AP$1,"O","X"))</f>
        <v>O</v>
      </c>
      <c r="AQ55" s="78" t="str">
        <f>IF(O55="","",IF(O55&lt;=$AQ$1,"O","X"))</f>
        <v>O</v>
      </c>
      <c r="AR55" s="78" t="str">
        <f>IF(M55="","",IF(M55&lt;=$AR$1,"O","X"))</f>
        <v>O</v>
      </c>
      <c r="AS55" s="78" t="s">
        <v>2</v>
      </c>
      <c r="AT55" s="78" t="str">
        <f>IF(OR(F55="",AI55=""),"",IF(AND((F55&lt;=85),(AI55&gt;=15)),"O","X"))</f>
        <v>O</v>
      </c>
      <c r="AU55" s="78" t="str">
        <f>IF(C55="","",IF(C55&gt;=$AU$1,"O","X"))</f>
        <v>O</v>
      </c>
      <c r="AV55" s="78" t="str">
        <f>IF(AO55="","",IF(AND(AO55="O",AP55="O",AR55="O",AT55="O",AU55="O"),"후보","X"))</f>
        <v>후보</v>
      </c>
    </row>
    <row r="56" spans="1:48" x14ac:dyDescent="0.3">
      <c r="A56" s="9" t="s">
        <v>876</v>
      </c>
      <c r="B56" s="10" t="s">
        <v>1576</v>
      </c>
      <c r="C56" s="87">
        <v>308</v>
      </c>
      <c r="D56" s="85">
        <v>106.9</v>
      </c>
      <c r="E56" s="86">
        <v>32</v>
      </c>
      <c r="F56" s="85">
        <v>85</v>
      </c>
      <c r="G56" s="17">
        <v>26</v>
      </c>
      <c r="H56" s="87">
        <v>144</v>
      </c>
      <c r="I56" s="88"/>
      <c r="J56" s="88"/>
      <c r="K56" s="88"/>
      <c r="L56" s="88"/>
      <c r="M56" s="89">
        <f>I56-K56</f>
        <v>0</v>
      </c>
      <c r="N56" s="4" t="str">
        <f>IF(ISERROR(K56/I56),"",K56/I56)</f>
        <v/>
      </c>
      <c r="O56" s="90">
        <f>I56/E56</f>
        <v>0</v>
      </c>
      <c r="P56" s="90">
        <f>K56/E56</f>
        <v>0</v>
      </c>
      <c r="Q56" s="78">
        <v>3</v>
      </c>
      <c r="R56" s="78">
        <v>2</v>
      </c>
      <c r="S56" s="78" t="s">
        <v>59</v>
      </c>
      <c r="T56" s="5">
        <v>106</v>
      </c>
      <c r="U56" s="9"/>
      <c r="W56" s="85">
        <f>D56</f>
        <v>106.9</v>
      </c>
      <c r="X56" s="86">
        <f>E56</f>
        <v>32</v>
      </c>
      <c r="Y56" s="91">
        <f>H56</f>
        <v>144</v>
      </c>
      <c r="Z56" s="89">
        <f>I56</f>
        <v>0</v>
      </c>
      <c r="AA56" s="89">
        <f>K56</f>
        <v>0</v>
      </c>
      <c r="AB56" s="89">
        <f t="shared" si="79"/>
        <v>0</v>
      </c>
      <c r="AC56" s="4" t="str">
        <f t="shared" si="79"/>
        <v/>
      </c>
      <c r="AD56" s="90">
        <f t="shared" si="79"/>
        <v>0</v>
      </c>
      <c r="AE56" s="78" t="str">
        <f>S56</f>
        <v>계</v>
      </c>
      <c r="AF56" s="78" t="str">
        <f>Q56&amp;"/"&amp;R56</f>
        <v>3/2</v>
      </c>
      <c r="AH56" s="20" t="str">
        <f t="shared" si="53"/>
        <v>쌍용2단지</v>
      </c>
      <c r="AI56" s="86">
        <f t="shared" si="52"/>
        <v>32</v>
      </c>
      <c r="AJ56" s="78" t="str">
        <f>IF(AI56="","",$AJ$2)</f>
        <v>A-</v>
      </c>
      <c r="AK56" s="78" t="s">
        <v>13</v>
      </c>
      <c r="AL56" s="78" t="s">
        <v>61</v>
      </c>
      <c r="AM56" s="78" t="s">
        <v>62</v>
      </c>
      <c r="AN56" s="78" t="str">
        <f>IF(AI56="","",$AN$2)</f>
        <v>C</v>
      </c>
      <c r="AO56" s="78" t="str">
        <f>IF(N56="","",IF(N56&gt;=$AO$1/100,"O","X"))</f>
        <v/>
      </c>
      <c r="AP56" s="78" t="str">
        <f>IF(I56="","",IF(I56&lt;=$AP$1,"O","X"))</f>
        <v/>
      </c>
      <c r="AQ56" s="78" t="str">
        <f>IF(O56="","",IF(O56&lt;=$AQ$1,"O","X"))</f>
        <v>O</v>
      </c>
      <c r="AR56" s="78" t="str">
        <f>IF(M56="","",IF(M56&lt;=$AR$1,"O","X"))</f>
        <v>O</v>
      </c>
      <c r="AS56" s="78" t="s">
        <v>2</v>
      </c>
      <c r="AT56" s="78" t="str">
        <f>IF(OR(F56="",AI56=""),"",IF(AND((F56&lt;=85),(AI56&gt;=15)),"O","X"))</f>
        <v>O</v>
      </c>
      <c r="AU56" s="78" t="str">
        <f>IF(C56="","",IF(C56&gt;=$AU$1,"O","X"))</f>
        <v>O</v>
      </c>
      <c r="AV56" s="78" t="str">
        <f>IF(AO56="","",IF(AND(AO56="O",AP56="O",AR56="O",AT56="O",AU56="O"),"후보","X"))</f>
        <v/>
      </c>
    </row>
    <row r="57" spans="1:48" x14ac:dyDescent="0.3">
      <c r="A57" s="9"/>
      <c r="B57" s="78"/>
      <c r="C57" s="6"/>
      <c r="D57" s="9"/>
      <c r="E57" s="14"/>
      <c r="F57" s="85"/>
      <c r="G57" s="9"/>
      <c r="H57" s="9"/>
      <c r="I57" s="9"/>
      <c r="J57" s="9"/>
      <c r="K57" s="9"/>
      <c r="L57" s="9"/>
      <c r="M57" s="9"/>
      <c r="N57" s="9"/>
      <c r="O57" s="90"/>
      <c r="P57" s="90"/>
      <c r="Q57" s="86"/>
      <c r="R57" s="86"/>
      <c r="S57" s="9"/>
      <c r="T57" s="47"/>
      <c r="U57" s="9"/>
      <c r="W57" s="67" t="str">
        <f>$A$4&amp;" "&amp;A58&amp;"("&amp;B58&amp;","&amp;C58&amp;"^)"</f>
        <v>송천동2가 롯데2단지('87.06.,290^)</v>
      </c>
      <c r="X57" s="68"/>
      <c r="Y57" s="68"/>
      <c r="Z57" s="68"/>
      <c r="AA57" s="68"/>
      <c r="AB57" s="68"/>
      <c r="AC57" s="68"/>
      <c r="AD57" s="68"/>
      <c r="AE57" s="68"/>
      <c r="AF57" s="69"/>
      <c r="AH57" s="20" t="str">
        <f t="shared" si="53"/>
        <v/>
      </c>
      <c r="AI57" s="108" t="str">
        <f t="shared" si="52"/>
        <v/>
      </c>
      <c r="AJ57" s="78"/>
      <c r="AK57" s="78"/>
      <c r="AL57" s="78"/>
      <c r="AM57" s="78"/>
      <c r="AN57" s="78"/>
      <c r="AO57" s="78"/>
      <c r="AP57" s="78"/>
      <c r="AQ57" s="78"/>
      <c r="AR57" s="78"/>
      <c r="AS57" s="78"/>
      <c r="AT57" s="78"/>
      <c r="AU57" s="78"/>
      <c r="AV57" s="78"/>
    </row>
    <row r="58" spans="1:48" x14ac:dyDescent="0.3">
      <c r="A58" s="9" t="s">
        <v>881</v>
      </c>
      <c r="B58" s="10" t="s">
        <v>1577</v>
      </c>
      <c r="C58" s="87">
        <v>290</v>
      </c>
      <c r="D58" s="85">
        <v>59.9</v>
      </c>
      <c r="E58" s="86">
        <v>18</v>
      </c>
      <c r="F58" s="85">
        <v>54.1</v>
      </c>
      <c r="G58" s="17">
        <v>16</v>
      </c>
      <c r="H58" s="87">
        <v>120</v>
      </c>
      <c r="I58" s="88"/>
      <c r="J58" s="88"/>
      <c r="K58" s="88"/>
      <c r="L58" s="88"/>
      <c r="M58" s="89">
        <f>I58-K58</f>
        <v>0</v>
      </c>
      <c r="N58" s="4" t="str">
        <f>IF(ISERROR(K58/I58),"",K58/I58)</f>
        <v/>
      </c>
      <c r="O58" s="90">
        <f>I58/E58</f>
        <v>0</v>
      </c>
      <c r="P58" s="90">
        <f>K58/E58</f>
        <v>0</v>
      </c>
      <c r="Q58" s="78">
        <v>3</v>
      </c>
      <c r="R58" s="78">
        <v>1</v>
      </c>
      <c r="S58" s="78" t="s">
        <v>59</v>
      </c>
      <c r="T58" s="5">
        <v>59</v>
      </c>
      <c r="U58" s="9"/>
      <c r="W58" s="85">
        <f>D58</f>
        <v>59.9</v>
      </c>
      <c r="X58" s="86">
        <f>E58</f>
        <v>18</v>
      </c>
      <c r="Y58" s="91">
        <f>H58</f>
        <v>120</v>
      </c>
      <c r="Z58" s="89">
        <f>I58</f>
        <v>0</v>
      </c>
      <c r="AA58" s="89">
        <f>K58</f>
        <v>0</v>
      </c>
      <c r="AB58" s="89">
        <f t="shared" ref="AB58:AD59" si="80">M58</f>
        <v>0</v>
      </c>
      <c r="AC58" s="4" t="str">
        <f t="shared" si="80"/>
        <v/>
      </c>
      <c r="AD58" s="90">
        <f t="shared" si="80"/>
        <v>0</v>
      </c>
      <c r="AE58" s="78" t="str">
        <f>S58</f>
        <v>계</v>
      </c>
      <c r="AF58" s="78" t="str">
        <f>Q58&amp;"/"&amp;R58</f>
        <v>3/1</v>
      </c>
      <c r="AH58" s="20" t="str">
        <f t="shared" si="53"/>
        <v>롯데2단지</v>
      </c>
      <c r="AI58" s="86">
        <f t="shared" si="52"/>
        <v>18</v>
      </c>
      <c r="AJ58" s="78" t="str">
        <f>IF(AI58="","",$AJ$2)</f>
        <v>A-</v>
      </c>
      <c r="AK58" s="78" t="s">
        <v>13</v>
      </c>
      <c r="AL58" s="78" t="s">
        <v>61</v>
      </c>
      <c r="AM58" s="78" t="s">
        <v>62</v>
      </c>
      <c r="AN58" s="78" t="str">
        <f>IF(AI58="","",$AN$2)</f>
        <v>C</v>
      </c>
      <c r="AO58" s="78" t="str">
        <f>IF(N58="","",IF(N58&gt;=$AO$1/100,"O","X"))</f>
        <v/>
      </c>
      <c r="AP58" s="78" t="str">
        <f>IF(I58="","",IF(I58&lt;=$AP$1,"O","X"))</f>
        <v/>
      </c>
      <c r="AQ58" s="78" t="str">
        <f>IF(O58="","",IF(O58&lt;=$AQ$1,"O","X"))</f>
        <v>O</v>
      </c>
      <c r="AR58" s="78" t="str">
        <f>IF(M58="","",IF(M58&lt;=$AR$1,"O","X"))</f>
        <v>O</v>
      </c>
      <c r="AS58" s="78" t="s">
        <v>2</v>
      </c>
      <c r="AT58" s="78" t="str">
        <f>IF(OR(F58="",AI58=""),"",IF(AND((F58&lt;=85),(AI58&gt;=15)),"O","X"))</f>
        <v>O</v>
      </c>
      <c r="AU58" s="78" t="str">
        <f>IF(C58="","",IF(C58&gt;=$AU$1,"O","X"))</f>
        <v>X</v>
      </c>
      <c r="AV58" s="78" t="str">
        <f>IF(AO58="","",IF(AND(AO58="O",AP58="O",AR58="O",AT58="O",AU58="O"),"후보","X"))</f>
        <v/>
      </c>
    </row>
    <row r="59" spans="1:48" x14ac:dyDescent="0.3">
      <c r="A59" s="9" t="s">
        <v>881</v>
      </c>
      <c r="B59" s="10" t="s">
        <v>1577</v>
      </c>
      <c r="C59" s="87">
        <v>290</v>
      </c>
      <c r="D59" s="85">
        <v>65.5</v>
      </c>
      <c r="E59" s="86">
        <v>20</v>
      </c>
      <c r="F59" s="85">
        <v>59.4</v>
      </c>
      <c r="G59" s="17">
        <v>18</v>
      </c>
      <c r="H59" s="87">
        <v>170</v>
      </c>
      <c r="I59" s="88"/>
      <c r="J59" s="88"/>
      <c r="K59" s="88"/>
      <c r="L59" s="88"/>
      <c r="M59" s="89">
        <f>I59-K59</f>
        <v>0</v>
      </c>
      <c r="N59" s="4" t="str">
        <f>IF(ISERROR(K59/I59),"",K59/I59)</f>
        <v/>
      </c>
      <c r="O59" s="90">
        <f>I59/E59</f>
        <v>0</v>
      </c>
      <c r="P59" s="90">
        <f>K59/E59</f>
        <v>0</v>
      </c>
      <c r="Q59" s="78">
        <v>3</v>
      </c>
      <c r="R59" s="78">
        <v>1</v>
      </c>
      <c r="S59" s="78" t="s">
        <v>59</v>
      </c>
      <c r="T59" s="5">
        <v>65</v>
      </c>
      <c r="U59" s="9"/>
      <c r="W59" s="85">
        <f>D59</f>
        <v>65.5</v>
      </c>
      <c r="X59" s="86">
        <f>E59</f>
        <v>20</v>
      </c>
      <c r="Y59" s="91">
        <f>H59</f>
        <v>170</v>
      </c>
      <c r="Z59" s="89">
        <f>I59</f>
        <v>0</v>
      </c>
      <c r="AA59" s="89">
        <f>K59</f>
        <v>0</v>
      </c>
      <c r="AB59" s="89">
        <f t="shared" si="80"/>
        <v>0</v>
      </c>
      <c r="AC59" s="4" t="str">
        <f t="shared" si="80"/>
        <v/>
      </c>
      <c r="AD59" s="90">
        <f t="shared" si="80"/>
        <v>0</v>
      </c>
      <c r="AE59" s="78" t="str">
        <f>S59</f>
        <v>계</v>
      </c>
      <c r="AF59" s="78" t="str">
        <f>Q59&amp;"/"&amp;R59</f>
        <v>3/1</v>
      </c>
      <c r="AH59" s="20" t="str">
        <f t="shared" si="53"/>
        <v>롯데2단지</v>
      </c>
      <c r="AI59" s="86">
        <f t="shared" si="52"/>
        <v>20</v>
      </c>
      <c r="AJ59" s="78" t="str">
        <f>IF(AI59="","",$AJ$2)</f>
        <v>A-</v>
      </c>
      <c r="AK59" s="78" t="s">
        <v>13</v>
      </c>
      <c r="AL59" s="78" t="s">
        <v>61</v>
      </c>
      <c r="AM59" s="78" t="s">
        <v>62</v>
      </c>
      <c r="AN59" s="78" t="str">
        <f>IF(AI59="","",$AN$2)</f>
        <v>C</v>
      </c>
      <c r="AO59" s="78" t="str">
        <f>IF(N59="","",IF(N59&gt;=$AO$1/100,"O","X"))</f>
        <v/>
      </c>
      <c r="AP59" s="78" t="str">
        <f>IF(I59="","",IF(I59&lt;=$AP$1,"O","X"))</f>
        <v/>
      </c>
      <c r="AQ59" s="78" t="str">
        <f>IF(O59="","",IF(O59&lt;=$AQ$1,"O","X"))</f>
        <v>O</v>
      </c>
      <c r="AR59" s="78" t="str">
        <f>IF(M59="","",IF(M59&lt;=$AR$1,"O","X"))</f>
        <v>O</v>
      </c>
      <c r="AS59" s="78" t="s">
        <v>2</v>
      </c>
      <c r="AT59" s="78" t="str">
        <f>IF(OR(F59="",AI59=""),"",IF(AND((F59&lt;=85),(AI59&gt;=15)),"O","X"))</f>
        <v>O</v>
      </c>
      <c r="AU59" s="78" t="str">
        <f>IF(C59="","",IF(C59&gt;=$AU$1,"O","X"))</f>
        <v>X</v>
      </c>
      <c r="AV59" s="78" t="str">
        <f>IF(AO59="","",IF(AND(AO59="O",AP59="O",AR59="O",AT59="O",AU59="O"),"후보","X"))</f>
        <v/>
      </c>
    </row>
    <row r="60" spans="1:48" x14ac:dyDescent="0.3">
      <c r="A60" s="9"/>
      <c r="B60" s="78"/>
      <c r="C60" s="6"/>
      <c r="D60" s="9"/>
      <c r="E60" s="14"/>
      <c r="F60" s="85"/>
      <c r="G60" s="9"/>
      <c r="H60" s="9"/>
      <c r="I60" s="9"/>
      <c r="J60" s="9"/>
      <c r="K60" s="9"/>
      <c r="L60" s="9"/>
      <c r="M60" s="9"/>
      <c r="N60" s="9"/>
      <c r="O60" s="90"/>
      <c r="P60" s="90"/>
      <c r="Q60" s="86"/>
      <c r="R60" s="86"/>
      <c r="S60" s="9"/>
      <c r="T60" s="47"/>
      <c r="U60" s="9"/>
      <c r="W60" s="67" t="str">
        <f>$A$4&amp;" "&amp;A61&amp;"("&amp;B61&amp;","&amp;C61&amp;"^)"</f>
        <v>송천동2가 에코시티데시앙(4BL)('18.01.,720^)</v>
      </c>
      <c r="X60" s="68"/>
      <c r="Y60" s="68"/>
      <c r="Z60" s="68"/>
      <c r="AA60" s="68"/>
      <c r="AB60" s="68"/>
      <c r="AC60" s="68"/>
      <c r="AD60" s="68"/>
      <c r="AE60" s="68"/>
      <c r="AF60" s="69"/>
      <c r="AH60" s="20" t="str">
        <f t="shared" si="53"/>
        <v/>
      </c>
      <c r="AI60" s="108" t="str">
        <f t="shared" si="52"/>
        <v/>
      </c>
      <c r="AJ60" s="78"/>
      <c r="AK60" s="78"/>
      <c r="AL60" s="78"/>
      <c r="AM60" s="78"/>
      <c r="AN60" s="78"/>
      <c r="AO60" s="78"/>
      <c r="AP60" s="78"/>
      <c r="AQ60" s="78"/>
      <c r="AR60" s="78"/>
      <c r="AS60" s="78"/>
      <c r="AT60" s="78"/>
      <c r="AU60" s="78"/>
      <c r="AV60" s="78"/>
    </row>
    <row r="61" spans="1:48" x14ac:dyDescent="0.3">
      <c r="A61" s="9" t="s">
        <v>886</v>
      </c>
      <c r="B61" s="10" t="s">
        <v>1537</v>
      </c>
      <c r="C61" s="87">
        <v>720</v>
      </c>
      <c r="D61" s="85">
        <v>80.3</v>
      </c>
      <c r="E61" s="86">
        <v>24</v>
      </c>
      <c r="F61" s="85">
        <v>60</v>
      </c>
      <c r="G61" s="17">
        <v>18</v>
      </c>
      <c r="H61" s="87">
        <v>108</v>
      </c>
      <c r="I61" s="88">
        <v>42500</v>
      </c>
      <c r="J61" s="88" t="s">
        <v>72</v>
      </c>
      <c r="K61" s="88"/>
      <c r="L61" s="88"/>
      <c r="M61" s="89">
        <f>I61-K61</f>
        <v>42500</v>
      </c>
      <c r="N61" s="4">
        <f>IF(ISERROR(K61/I61),"",K61/I61)</f>
        <v>0</v>
      </c>
      <c r="O61" s="90">
        <f>I61/E61</f>
        <v>1770.8333333333333</v>
      </c>
      <c r="P61" s="90">
        <f>K61/E61</f>
        <v>0</v>
      </c>
      <c r="Q61" s="78">
        <v>3</v>
      </c>
      <c r="R61" s="78">
        <v>2</v>
      </c>
      <c r="S61" s="78" t="s">
        <v>59</v>
      </c>
      <c r="T61" s="5">
        <v>80</v>
      </c>
      <c r="U61" s="9"/>
      <c r="W61" s="85">
        <f t="shared" ref="W61:X65" si="81">D61</f>
        <v>80.3</v>
      </c>
      <c r="X61" s="86">
        <f t="shared" si="81"/>
        <v>24</v>
      </c>
      <c r="Y61" s="91">
        <f t="shared" ref="Y61:Z65" si="82">H61</f>
        <v>108</v>
      </c>
      <c r="Z61" s="89">
        <f t="shared" si="82"/>
        <v>42500</v>
      </c>
      <c r="AA61" s="89">
        <f>K61</f>
        <v>0</v>
      </c>
      <c r="AB61" s="89">
        <f t="shared" ref="AB61:AD65" si="83">M61</f>
        <v>42500</v>
      </c>
      <c r="AC61" s="4">
        <f t="shared" si="83"/>
        <v>0</v>
      </c>
      <c r="AD61" s="90">
        <f t="shared" si="83"/>
        <v>1770.8333333333333</v>
      </c>
      <c r="AE61" s="78" t="str">
        <f>S61</f>
        <v>계</v>
      </c>
      <c r="AF61" s="78" t="str">
        <f>Q61&amp;"/"&amp;R61</f>
        <v>3/2</v>
      </c>
      <c r="AH61" s="20" t="str">
        <f t="shared" si="53"/>
        <v>에코시티데시앙(4BL)</v>
      </c>
      <c r="AI61" s="86">
        <f t="shared" si="52"/>
        <v>24</v>
      </c>
      <c r="AJ61" s="78" t="str">
        <f>IF(AI61="","",$AJ$2)</f>
        <v>A-</v>
      </c>
      <c r="AK61" s="78" t="s">
        <v>13</v>
      </c>
      <c r="AL61" s="78" t="s">
        <v>61</v>
      </c>
      <c r="AM61" s="78" t="s">
        <v>62</v>
      </c>
      <c r="AN61" s="78" t="str">
        <f>IF(AI61="","",$AN$2)</f>
        <v>C</v>
      </c>
      <c r="AO61" s="78" t="str">
        <f>IF(N61="","",IF(N61&gt;=$AO$1/100,"O","X"))</f>
        <v>X</v>
      </c>
      <c r="AP61" s="78" t="str">
        <f>IF(I61="","",IF(I61&lt;=$AP$1,"O","X"))</f>
        <v>O</v>
      </c>
      <c r="AQ61" s="78" t="str">
        <f>IF(O61="","",IF(O61&lt;=$AQ$1,"O","X"))</f>
        <v>X</v>
      </c>
      <c r="AR61" s="78" t="str">
        <f>IF(M61="","",IF(M61&lt;=$AR$1,"O","X"))</f>
        <v>X</v>
      </c>
      <c r="AS61" s="78" t="s">
        <v>2</v>
      </c>
      <c r="AT61" s="78" t="str">
        <f>IF(OR(F61="",AI61=""),"",IF(AND((F61&lt;=85),(AI61&gt;=15)),"O","X"))</f>
        <v>O</v>
      </c>
      <c r="AU61" s="78" t="str">
        <f>IF(C61="","",IF(C61&gt;=$AU$1,"O","X"))</f>
        <v>O</v>
      </c>
      <c r="AV61" s="78" t="str">
        <f>IF(AO61="","",IF(AND(AO61="O",AP61="O",AR61="O",AT61="O",AU61="O"),"후보","X"))</f>
        <v>X</v>
      </c>
    </row>
    <row r="62" spans="1:48" x14ac:dyDescent="0.3">
      <c r="A62" s="9" t="s">
        <v>886</v>
      </c>
      <c r="B62" s="10" t="s">
        <v>1537</v>
      </c>
      <c r="C62" s="87">
        <v>720</v>
      </c>
      <c r="D62" s="85">
        <v>112.9</v>
      </c>
      <c r="E62" s="86">
        <v>34</v>
      </c>
      <c r="F62" s="85">
        <v>84.9</v>
      </c>
      <c r="G62" s="17">
        <v>26</v>
      </c>
      <c r="H62" s="87">
        <v>133</v>
      </c>
      <c r="I62" s="88">
        <v>62000</v>
      </c>
      <c r="J62" s="88" t="s">
        <v>68</v>
      </c>
      <c r="K62" s="88"/>
      <c r="L62" s="88"/>
      <c r="M62" s="89">
        <f>I62-K62</f>
        <v>62000</v>
      </c>
      <c r="N62" s="4">
        <f>IF(ISERROR(K62/I62),"",K62/I62)</f>
        <v>0</v>
      </c>
      <c r="O62" s="90">
        <f>I62/E62</f>
        <v>1823.5294117647059</v>
      </c>
      <c r="P62" s="90">
        <f>K62/E62</f>
        <v>0</v>
      </c>
      <c r="Q62" s="78">
        <v>4</v>
      </c>
      <c r="R62" s="78">
        <v>2</v>
      </c>
      <c r="S62" s="78" t="s">
        <v>59</v>
      </c>
      <c r="T62" s="5" t="s">
        <v>102</v>
      </c>
      <c r="U62" s="9"/>
      <c r="W62" s="85">
        <f t="shared" si="81"/>
        <v>112.9</v>
      </c>
      <c r="X62" s="86">
        <f t="shared" si="81"/>
        <v>34</v>
      </c>
      <c r="Y62" s="91">
        <f t="shared" si="82"/>
        <v>133</v>
      </c>
      <c r="Z62" s="89">
        <f t="shared" si="82"/>
        <v>62000</v>
      </c>
      <c r="AA62" s="89">
        <f>K62</f>
        <v>0</v>
      </c>
      <c r="AB62" s="89">
        <f t="shared" si="83"/>
        <v>62000</v>
      </c>
      <c r="AC62" s="4">
        <f t="shared" si="83"/>
        <v>0</v>
      </c>
      <c r="AD62" s="90">
        <f t="shared" si="83"/>
        <v>1823.5294117647059</v>
      </c>
      <c r="AE62" s="78" t="str">
        <f>S62</f>
        <v>계</v>
      </c>
      <c r="AF62" s="78" t="str">
        <f>Q62&amp;"/"&amp;R62</f>
        <v>4/2</v>
      </c>
      <c r="AH62" s="20" t="str">
        <f t="shared" si="53"/>
        <v>에코시티데시앙(4BL)</v>
      </c>
      <c r="AI62" s="86">
        <f t="shared" si="52"/>
        <v>34</v>
      </c>
      <c r="AJ62" s="78" t="str">
        <f>IF(AI62="","",$AJ$2)</f>
        <v>A-</v>
      </c>
      <c r="AK62" s="78" t="s">
        <v>13</v>
      </c>
      <c r="AL62" s="78" t="s">
        <v>61</v>
      </c>
      <c r="AM62" s="78" t="s">
        <v>62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X</v>
      </c>
      <c r="AQ62" s="78" t="str">
        <f>IF(O62="","",IF(O62&lt;=$AQ$1,"O","X"))</f>
        <v>X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x14ac:dyDescent="0.3">
      <c r="A63" s="9" t="s">
        <v>886</v>
      </c>
      <c r="B63" s="10" t="s">
        <v>1537</v>
      </c>
      <c r="C63" s="87">
        <v>720</v>
      </c>
      <c r="D63" s="85">
        <v>112.6</v>
      </c>
      <c r="E63" s="86">
        <v>34</v>
      </c>
      <c r="F63" s="85">
        <v>84.9</v>
      </c>
      <c r="G63" s="17">
        <v>26</v>
      </c>
      <c r="H63" s="87">
        <v>98</v>
      </c>
      <c r="I63" s="88">
        <v>64000</v>
      </c>
      <c r="J63" s="88" t="s">
        <v>127</v>
      </c>
      <c r="K63" s="88">
        <v>42000</v>
      </c>
      <c r="L63" s="88" t="s">
        <v>72</v>
      </c>
      <c r="M63" s="89">
        <f>I63-K63</f>
        <v>22000</v>
      </c>
      <c r="N63" s="4">
        <f>IF(ISERROR(K63/I63),"",K63/I63)</f>
        <v>0.65625</v>
      </c>
      <c r="O63" s="90">
        <f>I63/E63</f>
        <v>1882.3529411764705</v>
      </c>
      <c r="P63" s="90">
        <f>K63/E63</f>
        <v>1235.2941176470588</v>
      </c>
      <c r="Q63" s="78">
        <v>3</v>
      </c>
      <c r="R63" s="78">
        <v>2</v>
      </c>
      <c r="S63" s="78" t="s">
        <v>59</v>
      </c>
      <c r="T63" s="5" t="s">
        <v>160</v>
      </c>
      <c r="U63" s="9"/>
      <c r="W63" s="85">
        <f t="shared" si="81"/>
        <v>112.6</v>
      </c>
      <c r="X63" s="86">
        <f t="shared" si="81"/>
        <v>34</v>
      </c>
      <c r="Y63" s="91">
        <f t="shared" si="82"/>
        <v>98</v>
      </c>
      <c r="Z63" s="89">
        <f t="shared" si="82"/>
        <v>64000</v>
      </c>
      <c r="AA63" s="89">
        <f>K63</f>
        <v>42000</v>
      </c>
      <c r="AB63" s="89">
        <f t="shared" si="83"/>
        <v>22000</v>
      </c>
      <c r="AC63" s="4">
        <f t="shared" si="83"/>
        <v>0.65625</v>
      </c>
      <c r="AD63" s="90">
        <f t="shared" si="83"/>
        <v>1882.3529411764705</v>
      </c>
      <c r="AE63" s="78" t="str">
        <f>S63</f>
        <v>계</v>
      </c>
      <c r="AF63" s="78" t="str">
        <f>Q63&amp;"/"&amp;R63</f>
        <v>3/2</v>
      </c>
      <c r="AH63" s="20" t="str">
        <f t="shared" si="53"/>
        <v>에코시티데시앙(4BL)</v>
      </c>
      <c r="AI63" s="86">
        <f t="shared" si="52"/>
        <v>34</v>
      </c>
      <c r="AJ63" s="78" t="str">
        <f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X</v>
      </c>
      <c r="AQ63" s="78" t="str">
        <f>IF(O63="","",IF(O63&lt;=$AQ$1,"O","X"))</f>
        <v>X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886</v>
      </c>
      <c r="B64" s="10" t="s">
        <v>1537</v>
      </c>
      <c r="C64" s="87">
        <v>720</v>
      </c>
      <c r="D64" s="85">
        <v>113.1</v>
      </c>
      <c r="E64" s="86">
        <v>34</v>
      </c>
      <c r="F64" s="85">
        <v>84.9</v>
      </c>
      <c r="G64" s="17">
        <v>26</v>
      </c>
      <c r="H64" s="87">
        <v>251</v>
      </c>
      <c r="I64" s="88">
        <v>60000</v>
      </c>
      <c r="J64" s="88" t="s">
        <v>89</v>
      </c>
      <c r="K64" s="88">
        <v>42000</v>
      </c>
      <c r="L64" s="88" t="s">
        <v>104</v>
      </c>
      <c r="M64" s="89">
        <f>I64-K64</f>
        <v>18000</v>
      </c>
      <c r="N64" s="4">
        <f>IF(ISERROR(K64/I64),"",K64/I64)</f>
        <v>0.7</v>
      </c>
      <c r="O64" s="90">
        <f>I64/E64</f>
        <v>1764.7058823529412</v>
      </c>
      <c r="P64" s="90">
        <f>K64/E64</f>
        <v>1235.2941176470588</v>
      </c>
      <c r="Q64" s="78">
        <v>4</v>
      </c>
      <c r="R64" s="78">
        <v>2</v>
      </c>
      <c r="S64" s="78" t="s">
        <v>59</v>
      </c>
      <c r="T64" s="5" t="s">
        <v>165</v>
      </c>
      <c r="U64" s="9"/>
      <c r="W64" s="85">
        <f t="shared" si="81"/>
        <v>113.1</v>
      </c>
      <c r="X64" s="86">
        <f t="shared" si="81"/>
        <v>34</v>
      </c>
      <c r="Y64" s="91">
        <f t="shared" si="82"/>
        <v>251</v>
      </c>
      <c r="Z64" s="89">
        <f t="shared" si="82"/>
        <v>60000</v>
      </c>
      <c r="AA64" s="89">
        <f>K64</f>
        <v>42000</v>
      </c>
      <c r="AB64" s="89">
        <f t="shared" si="83"/>
        <v>18000</v>
      </c>
      <c r="AC64" s="4">
        <f t="shared" si="83"/>
        <v>0.7</v>
      </c>
      <c r="AD64" s="90">
        <f t="shared" si="83"/>
        <v>1764.7058823529412</v>
      </c>
      <c r="AE64" s="78" t="str">
        <f>S64</f>
        <v>계</v>
      </c>
      <c r="AF64" s="78" t="str">
        <f>Q64&amp;"/"&amp;R64</f>
        <v>4/2</v>
      </c>
      <c r="AH64" s="20" t="str">
        <f t="shared" si="53"/>
        <v>에코시티데시앙(4BL)</v>
      </c>
      <c r="AI64" s="86">
        <f t="shared" si="52"/>
        <v>34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>X</v>
      </c>
      <c r="AP64" s="78" t="str">
        <f>IF(I64="","",IF(I64&lt;=$AP$1,"O","X"))</f>
        <v>X</v>
      </c>
      <c r="AQ64" s="78" t="str">
        <f>IF(O64="","",IF(O64&lt;=$AQ$1,"O","X"))</f>
        <v>X</v>
      </c>
      <c r="AR64" s="78" t="str">
        <f>IF(M64="","",IF(M64&lt;=$AR$1,"O","X"))</f>
        <v>X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>X</v>
      </c>
    </row>
    <row r="65" spans="1:48" x14ac:dyDescent="0.3">
      <c r="A65" s="9" t="s">
        <v>886</v>
      </c>
      <c r="B65" s="10" t="s">
        <v>1537</v>
      </c>
      <c r="C65" s="87">
        <v>720</v>
      </c>
      <c r="D65" s="85">
        <v>113.2</v>
      </c>
      <c r="E65" s="86">
        <v>34</v>
      </c>
      <c r="F65" s="85">
        <v>84.9</v>
      </c>
      <c r="G65" s="17">
        <v>26</v>
      </c>
      <c r="H65" s="87">
        <v>130</v>
      </c>
      <c r="I65" s="88">
        <v>60000</v>
      </c>
      <c r="J65" s="88" t="s">
        <v>137</v>
      </c>
      <c r="K65" s="88">
        <v>61000</v>
      </c>
      <c r="L65" s="88" t="s">
        <v>68</v>
      </c>
      <c r="M65" s="89">
        <f>I65-K65</f>
        <v>-1000</v>
      </c>
      <c r="N65" s="4">
        <f>IF(ISERROR(K65/I65),"",K65/I65)</f>
        <v>1.0166666666666666</v>
      </c>
      <c r="O65" s="90">
        <f>I65/E65</f>
        <v>1764.7058823529412</v>
      </c>
      <c r="P65" s="90">
        <f>K65/E65</f>
        <v>1794.1176470588234</v>
      </c>
      <c r="Q65" s="78">
        <v>3</v>
      </c>
      <c r="R65" s="78">
        <v>2</v>
      </c>
      <c r="S65" s="78" t="s">
        <v>59</v>
      </c>
      <c r="T65" s="5" t="s">
        <v>167</v>
      </c>
      <c r="U65" s="9"/>
      <c r="W65" s="85">
        <f t="shared" si="81"/>
        <v>113.2</v>
      </c>
      <c r="X65" s="86">
        <f t="shared" si="81"/>
        <v>34</v>
      </c>
      <c r="Y65" s="91">
        <f t="shared" si="82"/>
        <v>130</v>
      </c>
      <c r="Z65" s="89">
        <f t="shared" si="82"/>
        <v>60000</v>
      </c>
      <c r="AA65" s="89">
        <f>K65</f>
        <v>61000</v>
      </c>
      <c r="AB65" s="89">
        <f t="shared" si="83"/>
        <v>-1000</v>
      </c>
      <c r="AC65" s="4">
        <f t="shared" si="83"/>
        <v>1.0166666666666666</v>
      </c>
      <c r="AD65" s="90">
        <f t="shared" si="83"/>
        <v>1764.7058823529412</v>
      </c>
      <c r="AE65" s="78" t="str">
        <f>S65</f>
        <v>계</v>
      </c>
      <c r="AF65" s="78" t="str">
        <f>Q65&amp;"/"&amp;R65</f>
        <v>3/2</v>
      </c>
      <c r="AH65" s="20" t="str">
        <f t="shared" si="53"/>
        <v>에코시티데시앙(4BL)</v>
      </c>
      <c r="AI65" s="86">
        <f t="shared" si="52"/>
        <v>34</v>
      </c>
      <c r="AJ65" s="78" t="str">
        <f>IF(AI65="","",$AJ$2)</f>
        <v>A-</v>
      </c>
      <c r="AK65" s="78" t="s">
        <v>13</v>
      </c>
      <c r="AL65" s="78" t="s">
        <v>61</v>
      </c>
      <c r="AM65" s="78" t="s">
        <v>62</v>
      </c>
      <c r="AN65" s="78" t="str">
        <f>IF(AI65="","",$AN$2)</f>
        <v>C</v>
      </c>
      <c r="AO65" s="78" t="str">
        <f>IF(N65="","",IF(N65&gt;=$AO$1/100,"O","X"))</f>
        <v>O</v>
      </c>
      <c r="AP65" s="78" t="str">
        <f>IF(I65="","",IF(I65&lt;=$AP$1,"O","X"))</f>
        <v>X</v>
      </c>
      <c r="AQ65" s="78" t="str">
        <f>IF(O65="","",IF(O65&lt;=$AQ$1,"O","X"))</f>
        <v>X</v>
      </c>
      <c r="AR65" s="78" t="str">
        <f>IF(M65="","",IF(M65&lt;=$AR$1,"O","X"))</f>
        <v>O</v>
      </c>
      <c r="AS65" s="78" t="s">
        <v>2</v>
      </c>
      <c r="AT65" s="78" t="str">
        <f>IF(OR(F65="",AI65=""),"",IF(AND((F65&lt;=85),(AI65&gt;=15)),"O","X"))</f>
        <v>O</v>
      </c>
      <c r="AU65" s="78" t="str">
        <f>IF(C65="","",IF(C65&gt;=$AU$1,"O","X"))</f>
        <v>O</v>
      </c>
      <c r="AV65" s="78" t="str">
        <f>IF(AO65="","",IF(AND(AO65="O",AP65="O",AR65="O",AT65="O",AU65="O"),"후보","X"))</f>
        <v>X</v>
      </c>
    </row>
    <row r="66" spans="1:48" x14ac:dyDescent="0.3">
      <c r="A66" s="9"/>
      <c r="B66" s="78"/>
      <c r="C66" s="6"/>
      <c r="D66" s="9"/>
      <c r="E66" s="14"/>
      <c r="F66" s="85"/>
      <c r="G66" s="9"/>
      <c r="H66" s="9"/>
      <c r="I66" s="9"/>
      <c r="J66" s="9"/>
      <c r="K66" s="9"/>
      <c r="L66" s="9"/>
      <c r="M66" s="9"/>
      <c r="N66" s="9"/>
      <c r="O66" s="90"/>
      <c r="P66" s="90"/>
      <c r="Q66" s="86"/>
      <c r="R66" s="86"/>
      <c r="S66" s="9"/>
      <c r="T66" s="47"/>
      <c r="U66" s="9"/>
      <c r="W66" s="67" t="str">
        <f>$A$4&amp;" "&amp;A67&amp;"("&amp;B67&amp;","&amp;C67&amp;"^)"</f>
        <v>송천동2가 롯데1단지('85.07.,240^)</v>
      </c>
      <c r="X66" s="68"/>
      <c r="Y66" s="68"/>
      <c r="Z66" s="68"/>
      <c r="AA66" s="68"/>
      <c r="AB66" s="68"/>
      <c r="AC66" s="68"/>
      <c r="AD66" s="68"/>
      <c r="AE66" s="68"/>
      <c r="AF66" s="69"/>
      <c r="AH66" s="20" t="str">
        <f t="shared" si="53"/>
        <v/>
      </c>
      <c r="AI66" s="108" t="str">
        <f t="shared" si="52"/>
        <v/>
      </c>
      <c r="AJ66" s="78"/>
      <c r="AK66" s="78"/>
      <c r="AL66" s="78"/>
      <c r="AM66" s="78"/>
      <c r="AN66" s="78"/>
      <c r="AO66" s="78"/>
      <c r="AP66" s="78"/>
      <c r="AQ66" s="78"/>
      <c r="AR66" s="78"/>
      <c r="AS66" s="78"/>
      <c r="AT66" s="78"/>
      <c r="AU66" s="78"/>
      <c r="AV66" s="78"/>
    </row>
    <row r="67" spans="1:48" x14ac:dyDescent="0.3">
      <c r="A67" s="9" t="s">
        <v>890</v>
      </c>
      <c r="B67" s="10" t="s">
        <v>1578</v>
      </c>
      <c r="C67" s="87">
        <v>240</v>
      </c>
      <c r="D67" s="85">
        <v>54.1</v>
      </c>
      <c r="E67" s="86">
        <v>16</v>
      </c>
      <c r="F67" s="85">
        <v>47.8</v>
      </c>
      <c r="G67" s="17">
        <v>14</v>
      </c>
      <c r="H67" s="87">
        <v>240</v>
      </c>
      <c r="I67" s="88"/>
      <c r="J67" s="88"/>
      <c r="K67" s="88"/>
      <c r="L67" s="88"/>
      <c r="M67" s="89">
        <f>I67-K67</f>
        <v>0</v>
      </c>
      <c r="N67" s="4" t="str">
        <f>IF(ISERROR(K67/I67),"",K67/I67)</f>
        <v/>
      </c>
      <c r="O67" s="90">
        <f>I67/E67</f>
        <v>0</v>
      </c>
      <c r="P67" s="90">
        <f>K67/E67</f>
        <v>0</v>
      </c>
      <c r="Q67" s="78">
        <v>3</v>
      </c>
      <c r="R67" s="78">
        <v>1</v>
      </c>
      <c r="S67" s="78" t="s">
        <v>59</v>
      </c>
      <c r="T67" s="5">
        <v>54</v>
      </c>
      <c r="U67" s="9"/>
      <c r="W67" s="85">
        <f>D67</f>
        <v>54.1</v>
      </c>
      <c r="X67" s="86">
        <f>E67</f>
        <v>16</v>
      </c>
      <c r="Y67" s="91">
        <f>H67</f>
        <v>240</v>
      </c>
      <c r="Z67" s="89">
        <f>I67</f>
        <v>0</v>
      </c>
      <c r="AA67" s="89">
        <f>K67</f>
        <v>0</v>
      </c>
      <c r="AB67" s="89">
        <f>M67</f>
        <v>0</v>
      </c>
      <c r="AC67" s="4" t="str">
        <f>N67</f>
        <v/>
      </c>
      <c r="AD67" s="90">
        <f>O67</f>
        <v>0</v>
      </c>
      <c r="AE67" s="78" t="str">
        <f>S67</f>
        <v>계</v>
      </c>
      <c r="AF67" s="78" t="str">
        <f>Q67&amp;"/"&amp;R67</f>
        <v>3/1</v>
      </c>
      <c r="AH67" s="20" t="str">
        <f t="shared" si="53"/>
        <v>롯데1단지</v>
      </c>
      <c r="AI67" s="86">
        <f t="shared" ref="AI67:AI98" si="84">IF(E67="","",E67)</f>
        <v>16</v>
      </c>
      <c r="AJ67" s="78" t="str">
        <f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>IF(AI67="","",$AN$2)</f>
        <v>C</v>
      </c>
      <c r="AO67" s="78" t="str">
        <f>IF(N67="","",IF(N67&gt;=$AO$1/100,"O","X"))</f>
        <v/>
      </c>
      <c r="AP67" s="78" t="str">
        <f>IF(I67="","",IF(I67&lt;=$AP$1,"O","X"))</f>
        <v/>
      </c>
      <c r="AQ67" s="78" t="str">
        <f>IF(O67="","",IF(O67&lt;=$AQ$1,"O","X"))</f>
        <v>O</v>
      </c>
      <c r="AR67" s="78" t="str">
        <f>IF(M67="","",IF(M67&lt;=$AR$1,"O","X"))</f>
        <v>O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X</v>
      </c>
      <c r="AV67" s="78" t="str">
        <f>IF(AO67="","",IF(AND(AO67="O",AP67="O",AR67="O",AT67="O",AU67="O"),"후보","X"))</f>
        <v/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송천동2가 에코시티더샵3차('19.03.,644^)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53"/>
        <v/>
      </c>
      <c r="AI68" s="108" t="str">
        <f t="shared" si="84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900</v>
      </c>
      <c r="B69" s="10" t="s">
        <v>1579</v>
      </c>
      <c r="C69" s="87">
        <v>644</v>
      </c>
      <c r="D69" s="85">
        <v>80.599999999999994</v>
      </c>
      <c r="E69" s="86">
        <v>24</v>
      </c>
      <c r="F69" s="85">
        <v>59.8</v>
      </c>
      <c r="G69" s="17">
        <v>18</v>
      </c>
      <c r="H69" s="87">
        <v>117</v>
      </c>
      <c r="I69" s="88">
        <v>42500</v>
      </c>
      <c r="J69" s="88" t="s">
        <v>89</v>
      </c>
      <c r="K69" s="88">
        <v>32000</v>
      </c>
      <c r="L69" s="88" t="s">
        <v>166</v>
      </c>
      <c r="M69" s="89">
        <f t="shared" ref="M69:M77" si="85">I69-K69</f>
        <v>10500</v>
      </c>
      <c r="N69" s="4">
        <f t="shared" ref="N69:N77" si="86">IF(ISERROR(K69/I69),"",K69/I69)</f>
        <v>0.75294117647058822</v>
      </c>
      <c r="O69" s="90">
        <f t="shared" ref="O69:O77" si="87">I69/E69</f>
        <v>1770.8333333333333</v>
      </c>
      <c r="P69" s="90">
        <f t="shared" ref="P69:P77" si="88">K69/E69</f>
        <v>1333.3333333333333</v>
      </c>
      <c r="Q69" s="78">
        <v>3</v>
      </c>
      <c r="R69" s="78">
        <v>2</v>
      </c>
      <c r="S69" s="78" t="s">
        <v>59</v>
      </c>
      <c r="T69" s="5" t="s">
        <v>81</v>
      </c>
      <c r="U69" s="9"/>
      <c r="W69" s="85">
        <f t="shared" ref="W69:W77" si="89">D69</f>
        <v>80.599999999999994</v>
      </c>
      <c r="X69" s="86">
        <f t="shared" ref="X69:X77" si="90">E69</f>
        <v>24</v>
      </c>
      <c r="Y69" s="91">
        <f t="shared" ref="Y69:Y77" si="91">H69</f>
        <v>117</v>
      </c>
      <c r="Z69" s="89">
        <f t="shared" ref="Z69:Z77" si="92">I69</f>
        <v>42500</v>
      </c>
      <c r="AA69" s="89">
        <f t="shared" ref="AA69:AA77" si="93">K69</f>
        <v>32000</v>
      </c>
      <c r="AB69" s="89">
        <f t="shared" ref="AB69:AB77" si="94">M69</f>
        <v>10500</v>
      </c>
      <c r="AC69" s="4">
        <f t="shared" ref="AC69:AC77" si="95">N69</f>
        <v>0.75294117647058822</v>
      </c>
      <c r="AD69" s="90">
        <f t="shared" ref="AD69:AD77" si="96">O69</f>
        <v>1770.8333333333333</v>
      </c>
      <c r="AE69" s="78" t="str">
        <f t="shared" ref="AE69:AE77" si="97">S69</f>
        <v>계</v>
      </c>
      <c r="AF69" s="78" t="str">
        <f t="shared" ref="AF69:AF77" si="98">Q69&amp;"/"&amp;R69</f>
        <v>3/2</v>
      </c>
      <c r="AH69" s="20" t="str">
        <f t="shared" ref="AH69:AH100" si="99">IF(A69="","",A69)</f>
        <v>에코시티더샵3차</v>
      </c>
      <c r="AI69" s="86">
        <f t="shared" si="84"/>
        <v>24</v>
      </c>
      <c r="AJ69" s="78" t="str">
        <f t="shared" ref="AJ69:AJ77" si="100"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 t="shared" ref="AN69:AN77" si="101">IF(AI69="","",$AN$2)</f>
        <v>C</v>
      </c>
      <c r="AO69" s="78" t="str">
        <f t="shared" ref="AO69:AO77" si="102">IF(N69="","",IF(N69&gt;=$AO$1/100,"O","X"))</f>
        <v>X</v>
      </c>
      <c r="AP69" s="78" t="str">
        <f t="shared" ref="AP69:AP77" si="103">IF(I69="","",IF(I69&lt;=$AP$1,"O","X"))</f>
        <v>O</v>
      </c>
      <c r="AQ69" s="78" t="str">
        <f t="shared" ref="AQ69:AQ77" si="104">IF(O69="","",IF(O69&lt;=$AQ$1,"O","X"))</f>
        <v>X</v>
      </c>
      <c r="AR69" s="78" t="str">
        <f t="shared" ref="AR69:AR77" si="105">IF(M69="","",IF(M69&lt;=$AR$1,"O","X"))</f>
        <v>X</v>
      </c>
      <c r="AS69" s="78" t="s">
        <v>2</v>
      </c>
      <c r="AT69" s="78" t="str">
        <f t="shared" ref="AT69:AT77" si="106">IF(OR(F69="",AI69=""),"",IF(AND((F69&lt;=85),(AI69&gt;=15)),"O","X"))</f>
        <v>O</v>
      </c>
      <c r="AU69" s="78" t="str">
        <f t="shared" ref="AU69:AU77" si="107">IF(C69="","",IF(C69&gt;=$AU$1,"O","X"))</f>
        <v>O</v>
      </c>
      <c r="AV69" s="78" t="str">
        <f t="shared" ref="AV69:AV77" si="108">IF(AO69="","",IF(AND(AO69="O",AP69="O",AR69="O",AT69="O",AU69="O"),"후보","X"))</f>
        <v>X</v>
      </c>
    </row>
    <row r="70" spans="1:48" x14ac:dyDescent="0.3">
      <c r="A70" s="9" t="s">
        <v>900</v>
      </c>
      <c r="B70" s="10" t="s">
        <v>1579</v>
      </c>
      <c r="C70" s="87">
        <v>644</v>
      </c>
      <c r="D70" s="85">
        <v>81</v>
      </c>
      <c r="E70" s="86">
        <v>24</v>
      </c>
      <c r="F70" s="85">
        <v>60</v>
      </c>
      <c r="G70" s="17">
        <v>18</v>
      </c>
      <c r="H70" s="87">
        <v>29</v>
      </c>
      <c r="I70" s="88">
        <v>42500</v>
      </c>
      <c r="J70" s="88" t="s">
        <v>93</v>
      </c>
      <c r="K70" s="88"/>
      <c r="L70" s="88"/>
      <c r="M70" s="89">
        <f t="shared" si="85"/>
        <v>42500</v>
      </c>
      <c r="N70" s="4">
        <f t="shared" si="86"/>
        <v>0</v>
      </c>
      <c r="O70" s="90">
        <f t="shared" si="87"/>
        <v>1770.8333333333333</v>
      </c>
      <c r="P70" s="90">
        <f t="shared" si="88"/>
        <v>0</v>
      </c>
      <c r="Q70" s="78">
        <v>3</v>
      </c>
      <c r="R70" s="78">
        <v>2</v>
      </c>
      <c r="S70" s="78" t="s">
        <v>59</v>
      </c>
      <c r="T70" s="5" t="s">
        <v>85</v>
      </c>
      <c r="U70" s="9"/>
      <c r="W70" s="85">
        <f t="shared" si="89"/>
        <v>81</v>
      </c>
      <c r="X70" s="86">
        <f t="shared" si="90"/>
        <v>24</v>
      </c>
      <c r="Y70" s="91">
        <f t="shared" si="91"/>
        <v>29</v>
      </c>
      <c r="Z70" s="89">
        <f t="shared" si="92"/>
        <v>42500</v>
      </c>
      <c r="AA70" s="89">
        <f t="shared" si="93"/>
        <v>0</v>
      </c>
      <c r="AB70" s="89">
        <f t="shared" si="94"/>
        <v>42500</v>
      </c>
      <c r="AC70" s="4">
        <f t="shared" si="95"/>
        <v>0</v>
      </c>
      <c r="AD70" s="90">
        <f t="shared" si="96"/>
        <v>1770.8333333333333</v>
      </c>
      <c r="AE70" s="78" t="str">
        <f t="shared" si="97"/>
        <v>계</v>
      </c>
      <c r="AF70" s="78" t="str">
        <f t="shared" si="98"/>
        <v>3/2</v>
      </c>
      <c r="AH70" s="20" t="str">
        <f t="shared" si="99"/>
        <v>에코시티더샵3차</v>
      </c>
      <c r="AI70" s="86">
        <f t="shared" si="84"/>
        <v>24</v>
      </c>
      <c r="AJ70" s="78" t="str">
        <f t="shared" si="100"/>
        <v>A-</v>
      </c>
      <c r="AK70" s="78" t="s">
        <v>13</v>
      </c>
      <c r="AL70" s="78" t="s">
        <v>61</v>
      </c>
      <c r="AM70" s="78" t="s">
        <v>62</v>
      </c>
      <c r="AN70" s="78" t="str">
        <f t="shared" si="101"/>
        <v>C</v>
      </c>
      <c r="AO70" s="78" t="str">
        <f t="shared" si="102"/>
        <v>X</v>
      </c>
      <c r="AP70" s="78" t="str">
        <f t="shared" si="103"/>
        <v>O</v>
      </c>
      <c r="AQ70" s="78" t="str">
        <f t="shared" si="104"/>
        <v>X</v>
      </c>
      <c r="AR70" s="78" t="str">
        <f t="shared" si="105"/>
        <v>X</v>
      </c>
      <c r="AS70" s="78" t="s">
        <v>2</v>
      </c>
      <c r="AT70" s="78" t="str">
        <f t="shared" si="106"/>
        <v>O</v>
      </c>
      <c r="AU70" s="78" t="str">
        <f t="shared" si="107"/>
        <v>O</v>
      </c>
      <c r="AV70" s="78" t="str">
        <f t="shared" si="108"/>
        <v>X</v>
      </c>
    </row>
    <row r="71" spans="1:48" x14ac:dyDescent="0.3">
      <c r="A71" s="9" t="s">
        <v>900</v>
      </c>
      <c r="B71" s="10" t="s">
        <v>1579</v>
      </c>
      <c r="C71" s="87">
        <v>644</v>
      </c>
      <c r="D71" s="85">
        <v>112.7</v>
      </c>
      <c r="E71" s="86">
        <v>34</v>
      </c>
      <c r="F71" s="85">
        <v>85</v>
      </c>
      <c r="G71" s="17">
        <v>26</v>
      </c>
      <c r="H71" s="87">
        <v>133</v>
      </c>
      <c r="I71" s="88">
        <v>65000</v>
      </c>
      <c r="J71" s="88" t="s">
        <v>104</v>
      </c>
      <c r="K71" s="88"/>
      <c r="L71" s="88"/>
      <c r="M71" s="89">
        <f t="shared" si="85"/>
        <v>65000</v>
      </c>
      <c r="N71" s="4">
        <f t="shared" si="86"/>
        <v>0</v>
      </c>
      <c r="O71" s="90">
        <f t="shared" si="87"/>
        <v>1911.7647058823529</v>
      </c>
      <c r="P71" s="90">
        <f t="shared" si="88"/>
        <v>0</v>
      </c>
      <c r="Q71" s="78">
        <v>3</v>
      </c>
      <c r="R71" s="78">
        <v>2</v>
      </c>
      <c r="S71" s="78" t="s">
        <v>59</v>
      </c>
      <c r="T71" s="5" t="s">
        <v>160</v>
      </c>
      <c r="U71" s="9"/>
      <c r="W71" s="85">
        <f t="shared" si="89"/>
        <v>112.7</v>
      </c>
      <c r="X71" s="86">
        <f t="shared" si="90"/>
        <v>34</v>
      </c>
      <c r="Y71" s="91">
        <f t="shared" si="91"/>
        <v>133</v>
      </c>
      <c r="Z71" s="89">
        <f t="shared" si="92"/>
        <v>65000</v>
      </c>
      <c r="AA71" s="89">
        <f t="shared" si="93"/>
        <v>0</v>
      </c>
      <c r="AB71" s="89">
        <f t="shared" si="94"/>
        <v>65000</v>
      </c>
      <c r="AC71" s="4">
        <f t="shared" si="95"/>
        <v>0</v>
      </c>
      <c r="AD71" s="90">
        <f t="shared" si="96"/>
        <v>1911.7647058823529</v>
      </c>
      <c r="AE71" s="78" t="str">
        <f t="shared" si="97"/>
        <v>계</v>
      </c>
      <c r="AF71" s="78" t="str">
        <f t="shared" si="98"/>
        <v>3/2</v>
      </c>
      <c r="AH71" s="20" t="str">
        <f t="shared" si="99"/>
        <v>에코시티더샵3차</v>
      </c>
      <c r="AI71" s="86">
        <f t="shared" si="84"/>
        <v>34</v>
      </c>
      <c r="AJ71" s="78" t="str">
        <f t="shared" si="100"/>
        <v>A-</v>
      </c>
      <c r="AK71" s="78" t="s">
        <v>13</v>
      </c>
      <c r="AL71" s="78" t="s">
        <v>61</v>
      </c>
      <c r="AM71" s="78" t="s">
        <v>62</v>
      </c>
      <c r="AN71" s="78" t="str">
        <f t="shared" si="101"/>
        <v>C</v>
      </c>
      <c r="AO71" s="78" t="str">
        <f t="shared" si="102"/>
        <v>X</v>
      </c>
      <c r="AP71" s="78" t="str">
        <f t="shared" si="103"/>
        <v>X</v>
      </c>
      <c r="AQ71" s="78" t="str">
        <f t="shared" si="104"/>
        <v>X</v>
      </c>
      <c r="AR71" s="78" t="str">
        <f t="shared" si="105"/>
        <v>X</v>
      </c>
      <c r="AS71" s="78" t="s">
        <v>2</v>
      </c>
      <c r="AT71" s="78" t="str">
        <f t="shared" si="106"/>
        <v>O</v>
      </c>
      <c r="AU71" s="78" t="str">
        <f t="shared" si="107"/>
        <v>O</v>
      </c>
      <c r="AV71" s="78" t="str">
        <f t="shared" si="108"/>
        <v>X</v>
      </c>
    </row>
    <row r="72" spans="1:48" x14ac:dyDescent="0.3">
      <c r="A72" s="9" t="s">
        <v>900</v>
      </c>
      <c r="B72" s="10" t="s">
        <v>1579</v>
      </c>
      <c r="C72" s="87">
        <v>644</v>
      </c>
      <c r="D72" s="85">
        <v>113.9</v>
      </c>
      <c r="E72" s="86">
        <v>34</v>
      </c>
      <c r="F72" s="85">
        <v>85</v>
      </c>
      <c r="G72" s="17">
        <v>26</v>
      </c>
      <c r="H72" s="87">
        <v>110</v>
      </c>
      <c r="I72" s="88">
        <v>63000</v>
      </c>
      <c r="J72" s="88" t="s">
        <v>141</v>
      </c>
      <c r="K72" s="88"/>
      <c r="L72" s="88"/>
      <c r="M72" s="89">
        <f t="shared" si="85"/>
        <v>63000</v>
      </c>
      <c r="N72" s="4">
        <f t="shared" si="86"/>
        <v>0</v>
      </c>
      <c r="O72" s="90">
        <f t="shared" si="87"/>
        <v>1852.9411764705883</v>
      </c>
      <c r="P72" s="90">
        <f t="shared" si="88"/>
        <v>0</v>
      </c>
      <c r="Q72" s="78">
        <v>3</v>
      </c>
      <c r="R72" s="78">
        <v>2</v>
      </c>
      <c r="S72" s="78" t="s">
        <v>59</v>
      </c>
      <c r="T72" s="5" t="s">
        <v>168</v>
      </c>
      <c r="U72" s="9"/>
      <c r="W72" s="85">
        <f t="shared" si="89"/>
        <v>113.9</v>
      </c>
      <c r="X72" s="86">
        <f t="shared" si="90"/>
        <v>34</v>
      </c>
      <c r="Y72" s="91">
        <f t="shared" si="91"/>
        <v>110</v>
      </c>
      <c r="Z72" s="89">
        <f t="shared" si="92"/>
        <v>63000</v>
      </c>
      <c r="AA72" s="89">
        <f t="shared" si="93"/>
        <v>0</v>
      </c>
      <c r="AB72" s="89">
        <f t="shared" si="94"/>
        <v>63000</v>
      </c>
      <c r="AC72" s="4">
        <f t="shared" si="95"/>
        <v>0</v>
      </c>
      <c r="AD72" s="90">
        <f t="shared" si="96"/>
        <v>1852.9411764705883</v>
      </c>
      <c r="AE72" s="78" t="str">
        <f t="shared" si="97"/>
        <v>계</v>
      </c>
      <c r="AF72" s="78" t="str">
        <f t="shared" si="98"/>
        <v>3/2</v>
      </c>
      <c r="AH72" s="20" t="str">
        <f t="shared" si="99"/>
        <v>에코시티더샵3차</v>
      </c>
      <c r="AI72" s="86">
        <f t="shared" si="84"/>
        <v>34</v>
      </c>
      <c r="AJ72" s="78" t="str">
        <f t="shared" si="100"/>
        <v>A-</v>
      </c>
      <c r="AK72" s="78" t="s">
        <v>13</v>
      </c>
      <c r="AL72" s="78" t="s">
        <v>61</v>
      </c>
      <c r="AM72" s="78" t="s">
        <v>62</v>
      </c>
      <c r="AN72" s="78" t="str">
        <f t="shared" si="101"/>
        <v>C</v>
      </c>
      <c r="AO72" s="78" t="str">
        <f t="shared" si="102"/>
        <v>X</v>
      </c>
      <c r="AP72" s="78" t="str">
        <f t="shared" si="103"/>
        <v>X</v>
      </c>
      <c r="AQ72" s="78" t="str">
        <f t="shared" si="104"/>
        <v>X</v>
      </c>
      <c r="AR72" s="78" t="str">
        <f t="shared" si="105"/>
        <v>X</v>
      </c>
      <c r="AS72" s="78" t="s">
        <v>2</v>
      </c>
      <c r="AT72" s="78" t="str">
        <f t="shared" si="106"/>
        <v>O</v>
      </c>
      <c r="AU72" s="78" t="str">
        <f t="shared" si="107"/>
        <v>O</v>
      </c>
      <c r="AV72" s="78" t="str">
        <f t="shared" si="108"/>
        <v>X</v>
      </c>
    </row>
    <row r="73" spans="1:48" x14ac:dyDescent="0.3">
      <c r="A73" s="9" t="s">
        <v>900</v>
      </c>
      <c r="B73" s="10" t="s">
        <v>1579</v>
      </c>
      <c r="C73" s="87">
        <v>644</v>
      </c>
      <c r="D73" s="85">
        <v>113.1</v>
      </c>
      <c r="E73" s="86">
        <v>34</v>
      </c>
      <c r="F73" s="85">
        <v>85</v>
      </c>
      <c r="G73" s="17">
        <v>26</v>
      </c>
      <c r="H73" s="87">
        <v>27</v>
      </c>
      <c r="I73" s="88"/>
      <c r="J73" s="88"/>
      <c r="K73" s="88"/>
      <c r="L73" s="88"/>
      <c r="M73" s="89">
        <f t="shared" si="85"/>
        <v>0</v>
      </c>
      <c r="N73" s="4" t="str">
        <f t="shared" si="86"/>
        <v/>
      </c>
      <c r="O73" s="90">
        <f t="shared" si="87"/>
        <v>0</v>
      </c>
      <c r="P73" s="90">
        <f t="shared" si="88"/>
        <v>0</v>
      </c>
      <c r="Q73" s="78">
        <v>3</v>
      </c>
      <c r="R73" s="78">
        <v>2</v>
      </c>
      <c r="S73" s="78" t="s">
        <v>59</v>
      </c>
      <c r="T73" s="5" t="s">
        <v>165</v>
      </c>
      <c r="U73" s="9"/>
      <c r="W73" s="85">
        <f t="shared" si="89"/>
        <v>113.1</v>
      </c>
      <c r="X73" s="86">
        <f t="shared" si="90"/>
        <v>34</v>
      </c>
      <c r="Y73" s="91">
        <f t="shared" si="91"/>
        <v>27</v>
      </c>
      <c r="Z73" s="89">
        <f t="shared" si="92"/>
        <v>0</v>
      </c>
      <c r="AA73" s="89">
        <f t="shared" si="93"/>
        <v>0</v>
      </c>
      <c r="AB73" s="89">
        <f t="shared" si="94"/>
        <v>0</v>
      </c>
      <c r="AC73" s="4" t="str">
        <f t="shared" si="95"/>
        <v/>
      </c>
      <c r="AD73" s="90">
        <f t="shared" si="96"/>
        <v>0</v>
      </c>
      <c r="AE73" s="78" t="str">
        <f t="shared" si="97"/>
        <v>계</v>
      </c>
      <c r="AF73" s="78" t="str">
        <f t="shared" si="98"/>
        <v>3/2</v>
      </c>
      <c r="AH73" s="20" t="str">
        <f t="shared" si="99"/>
        <v>에코시티더샵3차</v>
      </c>
      <c r="AI73" s="86">
        <f t="shared" si="84"/>
        <v>34</v>
      </c>
      <c r="AJ73" s="78" t="str">
        <f t="shared" si="100"/>
        <v>A-</v>
      </c>
      <c r="AK73" s="78" t="s">
        <v>13</v>
      </c>
      <c r="AL73" s="78" t="s">
        <v>61</v>
      </c>
      <c r="AM73" s="78" t="s">
        <v>62</v>
      </c>
      <c r="AN73" s="78" t="str">
        <f t="shared" si="101"/>
        <v>C</v>
      </c>
      <c r="AO73" s="78" t="str">
        <f t="shared" si="102"/>
        <v/>
      </c>
      <c r="AP73" s="78" t="str">
        <f t="shared" si="103"/>
        <v/>
      </c>
      <c r="AQ73" s="78" t="str">
        <f t="shared" si="104"/>
        <v>O</v>
      </c>
      <c r="AR73" s="78" t="str">
        <f t="shared" si="105"/>
        <v>O</v>
      </c>
      <c r="AS73" s="78" t="s">
        <v>2</v>
      </c>
      <c r="AT73" s="78" t="str">
        <f t="shared" si="106"/>
        <v>O</v>
      </c>
      <c r="AU73" s="78" t="str">
        <f t="shared" si="107"/>
        <v>O</v>
      </c>
      <c r="AV73" s="78" t="str">
        <f t="shared" si="108"/>
        <v/>
      </c>
    </row>
    <row r="74" spans="1:48" x14ac:dyDescent="0.3">
      <c r="A74" s="9" t="s">
        <v>900</v>
      </c>
      <c r="B74" s="10" t="s">
        <v>1579</v>
      </c>
      <c r="C74" s="87">
        <v>644</v>
      </c>
      <c r="D74" s="85">
        <v>113.9</v>
      </c>
      <c r="E74" s="86">
        <v>34</v>
      </c>
      <c r="F74" s="85">
        <v>85</v>
      </c>
      <c r="G74" s="17">
        <v>26</v>
      </c>
      <c r="H74" s="87">
        <v>4</v>
      </c>
      <c r="I74" s="88">
        <v>63000</v>
      </c>
      <c r="J74" s="88" t="s">
        <v>141</v>
      </c>
      <c r="K74" s="88"/>
      <c r="L74" s="88"/>
      <c r="M74" s="89">
        <f t="shared" si="85"/>
        <v>63000</v>
      </c>
      <c r="N74" s="4">
        <f t="shared" si="86"/>
        <v>0</v>
      </c>
      <c r="O74" s="90">
        <f t="shared" si="87"/>
        <v>1852.9411764705883</v>
      </c>
      <c r="P74" s="90">
        <f t="shared" si="88"/>
        <v>0</v>
      </c>
      <c r="Q74" s="78">
        <v>3</v>
      </c>
      <c r="R74" s="78">
        <v>2</v>
      </c>
      <c r="S74" s="78" t="s">
        <v>59</v>
      </c>
      <c r="T74" s="5" t="s">
        <v>169</v>
      </c>
      <c r="U74" s="9"/>
      <c r="W74" s="85">
        <f t="shared" si="89"/>
        <v>113.9</v>
      </c>
      <c r="X74" s="86">
        <f t="shared" si="90"/>
        <v>34</v>
      </c>
      <c r="Y74" s="91">
        <f t="shared" si="91"/>
        <v>4</v>
      </c>
      <c r="Z74" s="89">
        <f t="shared" si="92"/>
        <v>63000</v>
      </c>
      <c r="AA74" s="89">
        <f t="shared" si="93"/>
        <v>0</v>
      </c>
      <c r="AB74" s="89">
        <f t="shared" si="94"/>
        <v>63000</v>
      </c>
      <c r="AC74" s="4">
        <f t="shared" si="95"/>
        <v>0</v>
      </c>
      <c r="AD74" s="90">
        <f t="shared" si="96"/>
        <v>1852.9411764705883</v>
      </c>
      <c r="AE74" s="78" t="str">
        <f t="shared" si="97"/>
        <v>계</v>
      </c>
      <c r="AF74" s="78" t="str">
        <f t="shared" si="98"/>
        <v>3/2</v>
      </c>
      <c r="AH74" s="20" t="str">
        <f t="shared" si="99"/>
        <v>에코시티더샵3차</v>
      </c>
      <c r="AI74" s="86">
        <f t="shared" si="84"/>
        <v>34</v>
      </c>
      <c r="AJ74" s="78" t="str">
        <f t="shared" si="100"/>
        <v>A-</v>
      </c>
      <c r="AK74" s="78" t="s">
        <v>13</v>
      </c>
      <c r="AL74" s="78" t="s">
        <v>61</v>
      </c>
      <c r="AM74" s="78" t="s">
        <v>62</v>
      </c>
      <c r="AN74" s="78" t="str">
        <f t="shared" si="101"/>
        <v>C</v>
      </c>
      <c r="AO74" s="78" t="str">
        <f t="shared" si="102"/>
        <v>X</v>
      </c>
      <c r="AP74" s="78" t="str">
        <f t="shared" si="103"/>
        <v>X</v>
      </c>
      <c r="AQ74" s="78" t="str">
        <f t="shared" si="104"/>
        <v>X</v>
      </c>
      <c r="AR74" s="78" t="str">
        <f t="shared" si="105"/>
        <v>X</v>
      </c>
      <c r="AS74" s="78" t="s">
        <v>2</v>
      </c>
      <c r="AT74" s="78" t="str">
        <f t="shared" si="106"/>
        <v>O</v>
      </c>
      <c r="AU74" s="78" t="str">
        <f t="shared" si="107"/>
        <v>O</v>
      </c>
      <c r="AV74" s="78" t="str">
        <f t="shared" si="108"/>
        <v>X</v>
      </c>
    </row>
    <row r="75" spans="1:48" x14ac:dyDescent="0.3">
      <c r="A75" s="9" t="s">
        <v>900</v>
      </c>
      <c r="B75" s="10" t="s">
        <v>1579</v>
      </c>
      <c r="C75" s="87">
        <v>644</v>
      </c>
      <c r="D75" s="85">
        <v>132.19999999999999</v>
      </c>
      <c r="E75" s="86">
        <v>40</v>
      </c>
      <c r="F75" s="85">
        <v>99.5</v>
      </c>
      <c r="G75" s="17">
        <v>30</v>
      </c>
      <c r="H75" s="87">
        <v>110</v>
      </c>
      <c r="I75" s="88">
        <v>88500</v>
      </c>
      <c r="J75" s="88" t="s">
        <v>68</v>
      </c>
      <c r="K75" s="88">
        <v>56000</v>
      </c>
      <c r="L75" s="88" t="s">
        <v>82</v>
      </c>
      <c r="M75" s="89">
        <f t="shared" si="85"/>
        <v>32500</v>
      </c>
      <c r="N75" s="4">
        <f t="shared" si="86"/>
        <v>0.63276836158192096</v>
      </c>
      <c r="O75" s="90">
        <f t="shared" si="87"/>
        <v>2212.5</v>
      </c>
      <c r="P75" s="90">
        <f t="shared" si="88"/>
        <v>1400</v>
      </c>
      <c r="Q75" s="78">
        <v>3</v>
      </c>
      <c r="R75" s="78">
        <v>2</v>
      </c>
      <c r="S75" s="78" t="s">
        <v>59</v>
      </c>
      <c r="T75" s="5">
        <v>132</v>
      </c>
      <c r="U75" s="9"/>
      <c r="W75" s="85">
        <f t="shared" si="89"/>
        <v>132.19999999999999</v>
      </c>
      <c r="X75" s="86">
        <f t="shared" si="90"/>
        <v>40</v>
      </c>
      <c r="Y75" s="91">
        <f t="shared" si="91"/>
        <v>110</v>
      </c>
      <c r="Z75" s="89">
        <f t="shared" si="92"/>
        <v>88500</v>
      </c>
      <c r="AA75" s="89">
        <f t="shared" si="93"/>
        <v>56000</v>
      </c>
      <c r="AB75" s="89">
        <f t="shared" si="94"/>
        <v>32500</v>
      </c>
      <c r="AC75" s="4">
        <f t="shared" si="95"/>
        <v>0.63276836158192096</v>
      </c>
      <c r="AD75" s="90">
        <f t="shared" si="96"/>
        <v>2212.5</v>
      </c>
      <c r="AE75" s="78" t="str">
        <f t="shared" si="97"/>
        <v>계</v>
      </c>
      <c r="AF75" s="78" t="str">
        <f t="shared" si="98"/>
        <v>3/2</v>
      </c>
      <c r="AH75" s="20" t="str">
        <f t="shared" si="99"/>
        <v>에코시티더샵3차</v>
      </c>
      <c r="AI75" s="86">
        <f t="shared" si="84"/>
        <v>40</v>
      </c>
      <c r="AJ75" s="78" t="str">
        <f t="shared" si="100"/>
        <v>A-</v>
      </c>
      <c r="AK75" s="78" t="s">
        <v>13</v>
      </c>
      <c r="AL75" s="78" t="s">
        <v>61</v>
      </c>
      <c r="AM75" s="78" t="s">
        <v>62</v>
      </c>
      <c r="AN75" s="78" t="str">
        <f t="shared" si="101"/>
        <v>C</v>
      </c>
      <c r="AO75" s="78" t="str">
        <f t="shared" si="102"/>
        <v>X</v>
      </c>
      <c r="AP75" s="78" t="str">
        <f t="shared" si="103"/>
        <v>X</v>
      </c>
      <c r="AQ75" s="78" t="str">
        <f t="shared" si="104"/>
        <v>X</v>
      </c>
      <c r="AR75" s="78" t="str">
        <f t="shared" si="105"/>
        <v>X</v>
      </c>
      <c r="AS75" s="78" t="s">
        <v>2</v>
      </c>
      <c r="AT75" s="78" t="str">
        <f t="shared" si="106"/>
        <v>X</v>
      </c>
      <c r="AU75" s="78" t="str">
        <f t="shared" si="107"/>
        <v>O</v>
      </c>
      <c r="AV75" s="78" t="str">
        <f t="shared" si="108"/>
        <v>X</v>
      </c>
    </row>
    <row r="76" spans="1:48" x14ac:dyDescent="0.3">
      <c r="A76" s="9" t="s">
        <v>900</v>
      </c>
      <c r="B76" s="10" t="s">
        <v>1579</v>
      </c>
      <c r="C76" s="87">
        <v>644</v>
      </c>
      <c r="D76" s="85">
        <v>155.19999999999999</v>
      </c>
      <c r="E76" s="86">
        <v>47</v>
      </c>
      <c r="F76" s="85">
        <v>117.7</v>
      </c>
      <c r="G76" s="17">
        <v>36</v>
      </c>
      <c r="H76" s="87">
        <v>110</v>
      </c>
      <c r="I76" s="88">
        <v>110000</v>
      </c>
      <c r="J76" s="88" t="s">
        <v>166</v>
      </c>
      <c r="K76" s="88">
        <v>70000</v>
      </c>
      <c r="L76" s="88" t="s">
        <v>108</v>
      </c>
      <c r="M76" s="89">
        <f t="shared" si="85"/>
        <v>40000</v>
      </c>
      <c r="N76" s="4">
        <f t="shared" si="86"/>
        <v>0.63636363636363635</v>
      </c>
      <c r="O76" s="90">
        <f t="shared" si="87"/>
        <v>2340.4255319148938</v>
      </c>
      <c r="P76" s="90">
        <f t="shared" si="88"/>
        <v>1489.3617021276596</v>
      </c>
      <c r="Q76" s="78">
        <v>4</v>
      </c>
      <c r="R76" s="78">
        <v>2</v>
      </c>
      <c r="S76" s="78" t="s">
        <v>59</v>
      </c>
      <c r="T76" s="5" t="s">
        <v>170</v>
      </c>
      <c r="U76" s="9"/>
      <c r="W76" s="85">
        <f t="shared" si="89"/>
        <v>155.19999999999999</v>
      </c>
      <c r="X76" s="86">
        <f t="shared" si="90"/>
        <v>47</v>
      </c>
      <c r="Y76" s="91">
        <f t="shared" si="91"/>
        <v>110</v>
      </c>
      <c r="Z76" s="89">
        <f t="shared" si="92"/>
        <v>110000</v>
      </c>
      <c r="AA76" s="89">
        <f t="shared" si="93"/>
        <v>70000</v>
      </c>
      <c r="AB76" s="89">
        <f t="shared" si="94"/>
        <v>40000</v>
      </c>
      <c r="AC76" s="4">
        <f t="shared" si="95"/>
        <v>0.63636363636363635</v>
      </c>
      <c r="AD76" s="90">
        <f t="shared" si="96"/>
        <v>2340.4255319148938</v>
      </c>
      <c r="AE76" s="78" t="str">
        <f t="shared" si="97"/>
        <v>계</v>
      </c>
      <c r="AF76" s="78" t="str">
        <f t="shared" si="98"/>
        <v>4/2</v>
      </c>
      <c r="AH76" s="20" t="str">
        <f t="shared" si="99"/>
        <v>에코시티더샵3차</v>
      </c>
      <c r="AI76" s="86">
        <f t="shared" si="84"/>
        <v>47</v>
      </c>
      <c r="AJ76" s="78" t="str">
        <f t="shared" si="100"/>
        <v>A-</v>
      </c>
      <c r="AK76" s="78" t="s">
        <v>13</v>
      </c>
      <c r="AL76" s="78" t="s">
        <v>61</v>
      </c>
      <c r="AM76" s="78" t="s">
        <v>62</v>
      </c>
      <c r="AN76" s="78" t="str">
        <f t="shared" si="101"/>
        <v>C</v>
      </c>
      <c r="AO76" s="78" t="str">
        <f t="shared" si="102"/>
        <v>X</v>
      </c>
      <c r="AP76" s="78" t="str">
        <f t="shared" si="103"/>
        <v>X</v>
      </c>
      <c r="AQ76" s="78" t="str">
        <f t="shared" si="104"/>
        <v>X</v>
      </c>
      <c r="AR76" s="78" t="str">
        <f t="shared" si="105"/>
        <v>X</v>
      </c>
      <c r="AS76" s="78" t="s">
        <v>2</v>
      </c>
      <c r="AT76" s="78" t="str">
        <f t="shared" si="106"/>
        <v>X</v>
      </c>
      <c r="AU76" s="78" t="str">
        <f t="shared" si="107"/>
        <v>O</v>
      </c>
      <c r="AV76" s="78" t="str">
        <f t="shared" si="108"/>
        <v>X</v>
      </c>
    </row>
    <row r="77" spans="1:48" x14ac:dyDescent="0.3">
      <c r="A77" s="9" t="s">
        <v>900</v>
      </c>
      <c r="B77" s="10" t="s">
        <v>1579</v>
      </c>
      <c r="C77" s="87">
        <v>644</v>
      </c>
      <c r="D77" s="85">
        <v>155.19999999999999</v>
      </c>
      <c r="E77" s="86">
        <v>47</v>
      </c>
      <c r="F77" s="85">
        <v>117.7</v>
      </c>
      <c r="G77" s="17">
        <v>36</v>
      </c>
      <c r="H77" s="87">
        <v>4</v>
      </c>
      <c r="I77" s="88">
        <v>110000</v>
      </c>
      <c r="J77" s="88" t="s">
        <v>166</v>
      </c>
      <c r="K77" s="88">
        <v>70000</v>
      </c>
      <c r="L77" s="88" t="s">
        <v>108</v>
      </c>
      <c r="M77" s="89">
        <f t="shared" si="85"/>
        <v>40000</v>
      </c>
      <c r="N77" s="4">
        <f t="shared" si="86"/>
        <v>0.63636363636363635</v>
      </c>
      <c r="O77" s="90">
        <f t="shared" si="87"/>
        <v>2340.4255319148938</v>
      </c>
      <c r="P77" s="90">
        <f t="shared" si="88"/>
        <v>1489.3617021276596</v>
      </c>
      <c r="Q77" s="78">
        <v>4</v>
      </c>
      <c r="R77" s="78">
        <v>2</v>
      </c>
      <c r="S77" s="78" t="s">
        <v>59</v>
      </c>
      <c r="T77" s="5" t="s">
        <v>171</v>
      </c>
      <c r="U77" s="9"/>
      <c r="W77" s="85">
        <f t="shared" si="89"/>
        <v>155.19999999999999</v>
      </c>
      <c r="X77" s="86">
        <f t="shared" si="90"/>
        <v>47</v>
      </c>
      <c r="Y77" s="91">
        <f t="shared" si="91"/>
        <v>4</v>
      </c>
      <c r="Z77" s="89">
        <f t="shared" si="92"/>
        <v>110000</v>
      </c>
      <c r="AA77" s="89">
        <f t="shared" si="93"/>
        <v>70000</v>
      </c>
      <c r="AB77" s="89">
        <f t="shared" si="94"/>
        <v>40000</v>
      </c>
      <c r="AC77" s="4">
        <f t="shared" si="95"/>
        <v>0.63636363636363635</v>
      </c>
      <c r="AD77" s="90">
        <f t="shared" si="96"/>
        <v>2340.4255319148938</v>
      </c>
      <c r="AE77" s="78" t="str">
        <f t="shared" si="97"/>
        <v>계</v>
      </c>
      <c r="AF77" s="78" t="str">
        <f t="shared" si="98"/>
        <v>4/2</v>
      </c>
      <c r="AH77" s="20" t="str">
        <f t="shared" si="99"/>
        <v>에코시티더샵3차</v>
      </c>
      <c r="AI77" s="86">
        <f t="shared" si="84"/>
        <v>47</v>
      </c>
      <c r="AJ77" s="78" t="str">
        <f t="shared" si="100"/>
        <v>A-</v>
      </c>
      <c r="AK77" s="78" t="s">
        <v>13</v>
      </c>
      <c r="AL77" s="78" t="s">
        <v>61</v>
      </c>
      <c r="AM77" s="78" t="s">
        <v>62</v>
      </c>
      <c r="AN77" s="78" t="str">
        <f t="shared" si="101"/>
        <v>C</v>
      </c>
      <c r="AO77" s="78" t="str">
        <f t="shared" si="102"/>
        <v>X</v>
      </c>
      <c r="AP77" s="78" t="str">
        <f t="shared" si="103"/>
        <v>X</v>
      </c>
      <c r="AQ77" s="78" t="str">
        <f t="shared" si="104"/>
        <v>X</v>
      </c>
      <c r="AR77" s="78" t="str">
        <f t="shared" si="105"/>
        <v>X</v>
      </c>
      <c r="AS77" s="78" t="s">
        <v>2</v>
      </c>
      <c r="AT77" s="78" t="str">
        <f t="shared" si="106"/>
        <v>X</v>
      </c>
      <c r="AU77" s="78" t="str">
        <f t="shared" si="107"/>
        <v>O</v>
      </c>
      <c r="AV77" s="78" t="str">
        <f t="shared" si="108"/>
        <v>X</v>
      </c>
    </row>
    <row r="78" spans="1:48" x14ac:dyDescent="0.3">
      <c r="A78" s="9"/>
      <c r="B78" s="78"/>
      <c r="C78" s="6"/>
      <c r="D78" s="9"/>
      <c r="E78" s="14"/>
      <c r="F78" s="85"/>
      <c r="G78" s="9"/>
      <c r="H78" s="9"/>
      <c r="I78" s="9"/>
      <c r="J78" s="9"/>
      <c r="K78" s="9"/>
      <c r="L78" s="9"/>
      <c r="M78" s="9"/>
      <c r="N78" s="9"/>
      <c r="O78" s="90"/>
      <c r="P78" s="90"/>
      <c r="Q78" s="86"/>
      <c r="R78" s="86"/>
      <c r="S78" s="9"/>
      <c r="T78" s="47"/>
      <c r="U78" s="9"/>
      <c r="W78" s="67" t="str">
        <f>$A$4&amp;" "&amp;A79&amp;"("&amp;B79&amp;","&amp;C79&amp;"^)"</f>
        <v>송천동2가 현대1차('95.05.,248^)</v>
      </c>
      <c r="X78" s="68"/>
      <c r="Y78" s="68"/>
      <c r="Z78" s="68"/>
      <c r="AA78" s="68"/>
      <c r="AB78" s="68"/>
      <c r="AC78" s="68"/>
      <c r="AD78" s="68"/>
      <c r="AE78" s="68"/>
      <c r="AF78" s="69"/>
      <c r="AH78" s="20" t="str">
        <f t="shared" si="99"/>
        <v/>
      </c>
      <c r="AI78" s="108" t="str">
        <f t="shared" si="84"/>
        <v/>
      </c>
      <c r="AJ78" s="78"/>
      <c r="AK78" s="78"/>
      <c r="AL78" s="78"/>
      <c r="AM78" s="78"/>
      <c r="AN78" s="78"/>
      <c r="AO78" s="78"/>
      <c r="AP78" s="78"/>
      <c r="AQ78" s="78"/>
      <c r="AR78" s="78"/>
      <c r="AS78" s="78"/>
      <c r="AT78" s="78"/>
      <c r="AU78" s="78"/>
      <c r="AV78" s="78"/>
    </row>
    <row r="79" spans="1:48" x14ac:dyDescent="0.3">
      <c r="A79" s="9" t="s">
        <v>905</v>
      </c>
      <c r="B79" s="10" t="s">
        <v>1580</v>
      </c>
      <c r="C79" s="87">
        <v>248</v>
      </c>
      <c r="D79" s="85">
        <v>80.099999999999994</v>
      </c>
      <c r="E79" s="86">
        <v>24</v>
      </c>
      <c r="F79" s="85">
        <v>59.3</v>
      </c>
      <c r="G79" s="17">
        <v>18</v>
      </c>
      <c r="H79" s="87">
        <v>132</v>
      </c>
      <c r="I79" s="88"/>
      <c r="J79" s="88"/>
      <c r="K79" s="88"/>
      <c r="L79" s="88"/>
      <c r="M79" s="89">
        <f>I79-K79</f>
        <v>0</v>
      </c>
      <c r="N79" s="4" t="str">
        <f>IF(ISERROR(K79/I79),"",K79/I79)</f>
        <v/>
      </c>
      <c r="O79" s="90">
        <f>I79/E79</f>
        <v>0</v>
      </c>
      <c r="P79" s="90">
        <f>K79/E79</f>
        <v>0</v>
      </c>
      <c r="Q79" s="78">
        <v>3</v>
      </c>
      <c r="R79" s="78">
        <v>1</v>
      </c>
      <c r="S79" s="78" t="s">
        <v>59</v>
      </c>
      <c r="T79" s="5">
        <v>80</v>
      </c>
      <c r="U79" s="9"/>
      <c r="W79" s="85">
        <f>D79</f>
        <v>80.099999999999994</v>
      </c>
      <c r="X79" s="86">
        <f>E79</f>
        <v>24</v>
      </c>
      <c r="Y79" s="91">
        <f>H79</f>
        <v>132</v>
      </c>
      <c r="Z79" s="89">
        <f>I79</f>
        <v>0</v>
      </c>
      <c r="AA79" s="89">
        <f>K79</f>
        <v>0</v>
      </c>
      <c r="AB79" s="89">
        <f t="shared" ref="AB79:AD80" si="109">M79</f>
        <v>0</v>
      </c>
      <c r="AC79" s="4" t="str">
        <f t="shared" si="109"/>
        <v/>
      </c>
      <c r="AD79" s="90">
        <f t="shared" si="109"/>
        <v>0</v>
      </c>
      <c r="AE79" s="78" t="str">
        <f>S79</f>
        <v>계</v>
      </c>
      <c r="AF79" s="78" t="str">
        <f>Q79&amp;"/"&amp;R79</f>
        <v>3/1</v>
      </c>
      <c r="AH79" s="20" t="str">
        <f t="shared" si="99"/>
        <v>현대1차</v>
      </c>
      <c r="AI79" s="86">
        <f t="shared" si="84"/>
        <v>24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/>
      </c>
      <c r="AP79" s="78" t="str">
        <f>IF(I79="","",IF(I79&lt;=$AP$1,"O","X"))</f>
        <v/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X</v>
      </c>
      <c r="AV79" s="78" t="str">
        <f>IF(AO79="","",IF(AND(AO79="O",AP79="O",AR79="O",AT79="O",AU79="O"),"후보","X"))</f>
        <v/>
      </c>
    </row>
    <row r="80" spans="1:48" x14ac:dyDescent="0.3">
      <c r="A80" s="9" t="s">
        <v>905</v>
      </c>
      <c r="B80" s="10" t="s">
        <v>1580</v>
      </c>
      <c r="C80" s="87">
        <v>248</v>
      </c>
      <c r="D80" s="85">
        <v>104.3</v>
      </c>
      <c r="E80" s="86">
        <v>32</v>
      </c>
      <c r="F80" s="85">
        <v>85</v>
      </c>
      <c r="G80" s="17">
        <v>26</v>
      </c>
      <c r="H80" s="87">
        <v>116</v>
      </c>
      <c r="I80" s="88"/>
      <c r="J80" s="88"/>
      <c r="K80" s="88"/>
      <c r="L80" s="88"/>
      <c r="M80" s="89">
        <f>I80-K80</f>
        <v>0</v>
      </c>
      <c r="N80" s="4" t="str">
        <f>IF(ISERROR(K80/I80),"",K80/I80)</f>
        <v/>
      </c>
      <c r="O80" s="90">
        <f>I80/E80</f>
        <v>0</v>
      </c>
      <c r="P80" s="90">
        <f>K80/E80</f>
        <v>0</v>
      </c>
      <c r="Q80" s="78">
        <v>3</v>
      </c>
      <c r="R80" s="78">
        <v>2</v>
      </c>
      <c r="S80" s="78" t="s">
        <v>59</v>
      </c>
      <c r="T80" s="5">
        <v>104</v>
      </c>
      <c r="U80" s="9"/>
      <c r="W80" s="85">
        <f>D80</f>
        <v>104.3</v>
      </c>
      <c r="X80" s="86">
        <f>E80</f>
        <v>32</v>
      </c>
      <c r="Y80" s="91">
        <f>H80</f>
        <v>116</v>
      </c>
      <c r="Z80" s="89">
        <f>I80</f>
        <v>0</v>
      </c>
      <c r="AA80" s="89">
        <f>K80</f>
        <v>0</v>
      </c>
      <c r="AB80" s="89">
        <f t="shared" si="109"/>
        <v>0</v>
      </c>
      <c r="AC80" s="4" t="str">
        <f t="shared" si="109"/>
        <v/>
      </c>
      <c r="AD80" s="90">
        <f t="shared" si="109"/>
        <v>0</v>
      </c>
      <c r="AE80" s="78" t="str">
        <f>S80</f>
        <v>계</v>
      </c>
      <c r="AF80" s="78" t="str">
        <f>Q80&amp;"/"&amp;R80</f>
        <v>3/2</v>
      </c>
      <c r="AH80" s="20" t="str">
        <f t="shared" si="99"/>
        <v>현대1차</v>
      </c>
      <c r="AI80" s="86">
        <f t="shared" si="84"/>
        <v>32</v>
      </c>
      <c r="AJ80" s="78" t="str">
        <f>IF(AI80="","",$AJ$2)</f>
        <v>A-</v>
      </c>
      <c r="AK80" s="78" t="s">
        <v>13</v>
      </c>
      <c r="AL80" s="78" t="s">
        <v>61</v>
      </c>
      <c r="AM80" s="78" t="s">
        <v>62</v>
      </c>
      <c r="AN80" s="78" t="str">
        <f>IF(AI80="","",$AN$2)</f>
        <v>C</v>
      </c>
      <c r="AO80" s="78" t="str">
        <f>IF(N80="","",IF(N80&gt;=$AO$1/100,"O","X"))</f>
        <v/>
      </c>
      <c r="AP80" s="78" t="str">
        <f>IF(I80="","",IF(I80&lt;=$AP$1,"O","X"))</f>
        <v/>
      </c>
      <c r="AQ80" s="78" t="str">
        <f>IF(O80="","",IF(O80&lt;=$AQ$1,"O","X"))</f>
        <v>O</v>
      </c>
      <c r="AR80" s="78" t="str">
        <f>IF(M80="","",IF(M80&lt;=$AR$1,"O","X"))</f>
        <v>O</v>
      </c>
      <c r="AS80" s="78" t="s">
        <v>2</v>
      </c>
      <c r="AT80" s="78" t="str">
        <f>IF(OR(F80="",AI80=""),"",IF(AND((F80&lt;=85),(AI80&gt;=15)),"O","X"))</f>
        <v>O</v>
      </c>
      <c r="AU80" s="78" t="str">
        <f>IF(C80="","",IF(C80&gt;=$AU$1,"O","X"))</f>
        <v>X</v>
      </c>
      <c r="AV80" s="78" t="str">
        <f>IF(AO80="","",IF(AND(AO80="O",AP80="O",AR80="O",AT80="O",AU80="O"),"후보","X"))</f>
        <v/>
      </c>
    </row>
    <row r="81" spans="1:48" x14ac:dyDescent="0.3">
      <c r="A81" s="9"/>
      <c r="B81" s="78"/>
      <c r="C81" s="6"/>
      <c r="D81" s="9"/>
      <c r="E81" s="14"/>
      <c r="F81" s="85"/>
      <c r="G81" s="9"/>
      <c r="H81" s="9"/>
      <c r="I81" s="9"/>
      <c r="J81" s="9"/>
      <c r="K81" s="9"/>
      <c r="L81" s="9"/>
      <c r="M81" s="9"/>
      <c r="N81" s="9"/>
      <c r="O81" s="90"/>
      <c r="P81" s="90"/>
      <c r="Q81" s="86"/>
      <c r="R81" s="86"/>
      <c r="S81" s="9"/>
      <c r="T81" s="47"/>
      <c r="U81" s="9"/>
      <c r="W81" s="67" t="str">
        <f>$A$4&amp;" "&amp;A82&amp;"("&amp;B82&amp;","&amp;C82&amp;"^)"</f>
        <v>송천동2가 전주에코시티데시앙(14BL)('21.10.,878^)</v>
      </c>
      <c r="X81" s="68"/>
      <c r="Y81" s="68"/>
      <c r="Z81" s="68"/>
      <c r="AA81" s="68"/>
      <c r="AB81" s="68"/>
      <c r="AC81" s="68"/>
      <c r="AD81" s="68"/>
      <c r="AE81" s="68"/>
      <c r="AF81" s="69"/>
      <c r="AH81" s="20" t="str">
        <f t="shared" si="99"/>
        <v/>
      </c>
      <c r="AI81" s="108" t="str">
        <f t="shared" si="84"/>
        <v/>
      </c>
      <c r="AJ81" s="78"/>
      <c r="AK81" s="78"/>
      <c r="AL81" s="78"/>
      <c r="AM81" s="78"/>
      <c r="AN81" s="78"/>
      <c r="AO81" s="78"/>
      <c r="AP81" s="78"/>
      <c r="AQ81" s="78"/>
      <c r="AR81" s="78"/>
      <c r="AS81" s="78"/>
      <c r="AT81" s="78"/>
      <c r="AU81" s="78"/>
      <c r="AV81" s="78"/>
    </row>
    <row r="82" spans="1:48" x14ac:dyDescent="0.3">
      <c r="A82" s="9" t="s">
        <v>910</v>
      </c>
      <c r="B82" s="10" t="s">
        <v>1581</v>
      </c>
      <c r="C82" s="87">
        <v>878</v>
      </c>
      <c r="D82" s="85">
        <v>102.1</v>
      </c>
      <c r="E82" s="86">
        <v>31</v>
      </c>
      <c r="F82" s="85">
        <v>75.900000000000006</v>
      </c>
      <c r="G82" s="17">
        <v>23</v>
      </c>
      <c r="H82" s="87">
        <v>150</v>
      </c>
      <c r="I82" s="88"/>
      <c r="J82" s="88"/>
      <c r="K82" s="88">
        <v>38000</v>
      </c>
      <c r="L82" s="88" t="s">
        <v>69</v>
      </c>
      <c r="M82" s="89">
        <f t="shared" ref="M82:M87" si="110">I82-K82</f>
        <v>-38000</v>
      </c>
      <c r="N82" s="4" t="str">
        <f t="shared" ref="N82:N87" si="111">IF(ISERROR(K82/I82),"",K82/I82)</f>
        <v/>
      </c>
      <c r="O82" s="90">
        <f t="shared" ref="O82:O87" si="112">I82/E82</f>
        <v>0</v>
      </c>
      <c r="P82" s="90">
        <f t="shared" ref="P82:P87" si="113">K82/E82</f>
        <v>1225.8064516129032</v>
      </c>
      <c r="Q82" s="78">
        <v>3</v>
      </c>
      <c r="R82" s="78">
        <v>2</v>
      </c>
      <c r="S82" s="78" t="s">
        <v>59</v>
      </c>
      <c r="T82" s="5" t="s">
        <v>136</v>
      </c>
      <c r="U82" s="9"/>
      <c r="W82" s="85">
        <f t="shared" ref="W82:X87" si="114">D82</f>
        <v>102.1</v>
      </c>
      <c r="X82" s="86">
        <f t="shared" si="114"/>
        <v>31</v>
      </c>
      <c r="Y82" s="91">
        <f t="shared" ref="Y82:Z87" si="115">H82</f>
        <v>150</v>
      </c>
      <c r="Z82" s="89">
        <f t="shared" si="115"/>
        <v>0</v>
      </c>
      <c r="AA82" s="89">
        <f t="shared" ref="AA82:AA87" si="116">K82</f>
        <v>38000</v>
      </c>
      <c r="AB82" s="89">
        <f t="shared" ref="AB82:AD87" si="117">M82</f>
        <v>-38000</v>
      </c>
      <c r="AC82" s="4" t="str">
        <f t="shared" si="117"/>
        <v/>
      </c>
      <c r="AD82" s="90">
        <f t="shared" si="117"/>
        <v>0</v>
      </c>
      <c r="AE82" s="78" t="str">
        <f t="shared" ref="AE82:AE87" si="118">S82</f>
        <v>계</v>
      </c>
      <c r="AF82" s="78" t="str">
        <f t="shared" ref="AF82:AF87" si="119">Q82&amp;"/"&amp;R82</f>
        <v>3/2</v>
      </c>
      <c r="AH82" s="20" t="str">
        <f t="shared" si="99"/>
        <v>전주에코시티데시앙(14BL)</v>
      </c>
      <c r="AI82" s="86">
        <f t="shared" si="84"/>
        <v>31</v>
      </c>
      <c r="AJ82" s="78" t="str">
        <f t="shared" ref="AJ82:AJ87" si="120">IF(AI82="","",$AJ$2)</f>
        <v>A-</v>
      </c>
      <c r="AK82" s="78" t="s">
        <v>13</v>
      </c>
      <c r="AL82" s="78" t="s">
        <v>61</v>
      </c>
      <c r="AM82" s="78" t="s">
        <v>62</v>
      </c>
      <c r="AN82" s="78" t="str">
        <f t="shared" ref="AN82:AN87" si="121">IF(AI82="","",$AN$2)</f>
        <v>C</v>
      </c>
      <c r="AO82" s="78" t="str">
        <f t="shared" ref="AO82:AO87" si="122">IF(N82="","",IF(N82&gt;=$AO$1/100,"O","X"))</f>
        <v/>
      </c>
      <c r="AP82" s="78" t="str">
        <f t="shared" ref="AP82:AP87" si="123">IF(I82="","",IF(I82&lt;=$AP$1,"O","X"))</f>
        <v/>
      </c>
      <c r="AQ82" s="78" t="str">
        <f t="shared" ref="AQ82:AQ87" si="124">IF(O82="","",IF(O82&lt;=$AQ$1,"O","X"))</f>
        <v>O</v>
      </c>
      <c r="AR82" s="78" t="str">
        <f t="shared" ref="AR82:AR87" si="125">IF(M82="","",IF(M82&lt;=$AR$1,"O","X"))</f>
        <v>O</v>
      </c>
      <c r="AS82" s="78" t="s">
        <v>2</v>
      </c>
      <c r="AT82" s="78" t="str">
        <f t="shared" ref="AT82:AT87" si="126">IF(OR(F82="",AI82=""),"",IF(AND((F82&lt;=85),(AI82&gt;=15)),"O","X"))</f>
        <v>O</v>
      </c>
      <c r="AU82" s="78" t="str">
        <f t="shared" ref="AU82:AU87" si="127">IF(C82="","",IF(C82&gt;=$AU$1,"O","X"))</f>
        <v>O</v>
      </c>
      <c r="AV82" s="78" t="str">
        <f t="shared" ref="AV82:AV87" si="128">IF(AO82="","",IF(AND(AO82="O",AP82="O",AR82="O",AT82="O",AU82="O"),"후보","X"))</f>
        <v/>
      </c>
    </row>
    <row r="83" spans="1:48" x14ac:dyDescent="0.3">
      <c r="A83" s="9" t="s">
        <v>910</v>
      </c>
      <c r="B83" s="10" t="s">
        <v>1581</v>
      </c>
      <c r="C83" s="87">
        <v>878</v>
      </c>
      <c r="D83" s="85">
        <v>102.3</v>
      </c>
      <c r="E83" s="86">
        <v>31</v>
      </c>
      <c r="F83" s="85">
        <v>76</v>
      </c>
      <c r="G83" s="17">
        <v>23</v>
      </c>
      <c r="H83" s="87">
        <v>60</v>
      </c>
      <c r="I83" s="88"/>
      <c r="J83" s="88"/>
      <c r="K83" s="88">
        <v>37000</v>
      </c>
      <c r="L83" s="88" t="s">
        <v>107</v>
      </c>
      <c r="M83" s="89">
        <f t="shared" si="110"/>
        <v>-37000</v>
      </c>
      <c r="N83" s="4" t="str">
        <f t="shared" si="111"/>
        <v/>
      </c>
      <c r="O83" s="90">
        <f t="shared" si="112"/>
        <v>0</v>
      </c>
      <c r="P83" s="90">
        <f t="shared" si="113"/>
        <v>1193.5483870967741</v>
      </c>
      <c r="Q83" s="78">
        <v>3</v>
      </c>
      <c r="R83" s="78">
        <v>2</v>
      </c>
      <c r="S83" s="78" t="s">
        <v>59</v>
      </c>
      <c r="T83" s="5" t="s">
        <v>135</v>
      </c>
      <c r="U83" s="9"/>
      <c r="W83" s="85">
        <f t="shared" si="114"/>
        <v>102.3</v>
      </c>
      <c r="X83" s="86">
        <f t="shared" si="114"/>
        <v>31</v>
      </c>
      <c r="Y83" s="91">
        <f t="shared" si="115"/>
        <v>60</v>
      </c>
      <c r="Z83" s="89">
        <f t="shared" si="115"/>
        <v>0</v>
      </c>
      <c r="AA83" s="89">
        <f t="shared" si="116"/>
        <v>37000</v>
      </c>
      <c r="AB83" s="89">
        <f t="shared" si="117"/>
        <v>-37000</v>
      </c>
      <c r="AC83" s="4" t="str">
        <f t="shared" si="117"/>
        <v/>
      </c>
      <c r="AD83" s="90">
        <f t="shared" si="117"/>
        <v>0</v>
      </c>
      <c r="AE83" s="78" t="str">
        <f t="shared" si="118"/>
        <v>계</v>
      </c>
      <c r="AF83" s="78" t="str">
        <f t="shared" si="119"/>
        <v>3/2</v>
      </c>
      <c r="AH83" s="20" t="str">
        <f t="shared" si="99"/>
        <v>전주에코시티데시앙(14BL)</v>
      </c>
      <c r="AI83" s="86">
        <f t="shared" si="84"/>
        <v>31</v>
      </c>
      <c r="AJ83" s="78" t="str">
        <f t="shared" si="120"/>
        <v>A-</v>
      </c>
      <c r="AK83" s="78" t="s">
        <v>13</v>
      </c>
      <c r="AL83" s="78" t="s">
        <v>61</v>
      </c>
      <c r="AM83" s="78" t="s">
        <v>62</v>
      </c>
      <c r="AN83" s="78" t="str">
        <f t="shared" si="121"/>
        <v>C</v>
      </c>
      <c r="AO83" s="78" t="str">
        <f t="shared" si="122"/>
        <v/>
      </c>
      <c r="AP83" s="78" t="str">
        <f t="shared" si="123"/>
        <v/>
      </c>
      <c r="AQ83" s="78" t="str">
        <f t="shared" si="124"/>
        <v>O</v>
      </c>
      <c r="AR83" s="78" t="str">
        <f t="shared" si="125"/>
        <v>O</v>
      </c>
      <c r="AS83" s="78" t="s">
        <v>2</v>
      </c>
      <c r="AT83" s="78" t="str">
        <f t="shared" si="126"/>
        <v>O</v>
      </c>
      <c r="AU83" s="78" t="str">
        <f t="shared" si="127"/>
        <v>O</v>
      </c>
      <c r="AV83" s="78" t="str">
        <f t="shared" si="128"/>
        <v/>
      </c>
    </row>
    <row r="84" spans="1:48" x14ac:dyDescent="0.3">
      <c r="A84" s="9" t="s">
        <v>910</v>
      </c>
      <c r="B84" s="10" t="s">
        <v>1581</v>
      </c>
      <c r="C84" s="87">
        <v>878</v>
      </c>
      <c r="D84" s="85">
        <v>113.9</v>
      </c>
      <c r="E84" s="86">
        <v>34</v>
      </c>
      <c r="F84" s="85">
        <v>84.9</v>
      </c>
      <c r="G84" s="17">
        <v>26</v>
      </c>
      <c r="H84" s="87">
        <v>237</v>
      </c>
      <c r="I84" s="88"/>
      <c r="J84" s="88"/>
      <c r="K84" s="88">
        <v>43000</v>
      </c>
      <c r="L84" s="88" t="s">
        <v>126</v>
      </c>
      <c r="M84" s="89">
        <f t="shared" si="110"/>
        <v>-43000</v>
      </c>
      <c r="N84" s="4" t="str">
        <f t="shared" si="111"/>
        <v/>
      </c>
      <c r="O84" s="90">
        <f t="shared" si="112"/>
        <v>0</v>
      </c>
      <c r="P84" s="90">
        <f t="shared" si="113"/>
        <v>1264.7058823529412</v>
      </c>
      <c r="Q84" s="78">
        <v>3</v>
      </c>
      <c r="R84" s="78">
        <v>2</v>
      </c>
      <c r="S84" s="78" t="s">
        <v>59</v>
      </c>
      <c r="T84" s="5" t="s">
        <v>165</v>
      </c>
      <c r="U84" s="9"/>
      <c r="W84" s="85">
        <f t="shared" si="114"/>
        <v>113.9</v>
      </c>
      <c r="X84" s="86">
        <f t="shared" si="114"/>
        <v>34</v>
      </c>
      <c r="Y84" s="91">
        <f t="shared" si="115"/>
        <v>237</v>
      </c>
      <c r="Z84" s="89">
        <f t="shared" si="115"/>
        <v>0</v>
      </c>
      <c r="AA84" s="89">
        <f t="shared" si="116"/>
        <v>43000</v>
      </c>
      <c r="AB84" s="89">
        <f t="shared" si="117"/>
        <v>-43000</v>
      </c>
      <c r="AC84" s="4" t="str">
        <f t="shared" si="117"/>
        <v/>
      </c>
      <c r="AD84" s="90">
        <f t="shared" si="117"/>
        <v>0</v>
      </c>
      <c r="AE84" s="78" t="str">
        <f t="shared" si="118"/>
        <v>계</v>
      </c>
      <c r="AF84" s="78" t="str">
        <f t="shared" si="119"/>
        <v>3/2</v>
      </c>
      <c r="AH84" s="20" t="str">
        <f t="shared" si="99"/>
        <v>전주에코시티데시앙(14BL)</v>
      </c>
      <c r="AI84" s="86">
        <f t="shared" si="84"/>
        <v>34</v>
      </c>
      <c r="AJ84" s="78" t="str">
        <f t="shared" si="120"/>
        <v>A-</v>
      </c>
      <c r="AK84" s="78" t="s">
        <v>13</v>
      </c>
      <c r="AL84" s="78" t="s">
        <v>61</v>
      </c>
      <c r="AM84" s="78" t="s">
        <v>62</v>
      </c>
      <c r="AN84" s="78" t="str">
        <f t="shared" si="121"/>
        <v>C</v>
      </c>
      <c r="AO84" s="78" t="str">
        <f t="shared" si="122"/>
        <v/>
      </c>
      <c r="AP84" s="78" t="str">
        <f t="shared" si="123"/>
        <v/>
      </c>
      <c r="AQ84" s="78" t="str">
        <f t="shared" si="124"/>
        <v>O</v>
      </c>
      <c r="AR84" s="78" t="str">
        <f t="shared" si="125"/>
        <v>O</v>
      </c>
      <c r="AS84" s="78" t="s">
        <v>2</v>
      </c>
      <c r="AT84" s="78" t="str">
        <f t="shared" si="126"/>
        <v>O</v>
      </c>
      <c r="AU84" s="78" t="str">
        <f t="shared" si="127"/>
        <v>O</v>
      </c>
      <c r="AV84" s="78" t="str">
        <f t="shared" si="128"/>
        <v/>
      </c>
    </row>
    <row r="85" spans="1:48" x14ac:dyDescent="0.3">
      <c r="A85" s="9" t="s">
        <v>910</v>
      </c>
      <c r="B85" s="10" t="s">
        <v>1581</v>
      </c>
      <c r="C85" s="87">
        <v>878</v>
      </c>
      <c r="D85" s="85">
        <v>114.5</v>
      </c>
      <c r="E85" s="86">
        <v>35</v>
      </c>
      <c r="F85" s="85">
        <v>84.9</v>
      </c>
      <c r="G85" s="17">
        <v>26</v>
      </c>
      <c r="H85" s="87">
        <v>179</v>
      </c>
      <c r="I85" s="88"/>
      <c r="J85" s="88"/>
      <c r="K85" s="88">
        <v>42000</v>
      </c>
      <c r="L85" s="88" t="s">
        <v>155</v>
      </c>
      <c r="M85" s="89">
        <f t="shared" si="110"/>
        <v>-42000</v>
      </c>
      <c r="N85" s="4" t="str">
        <f t="shared" si="111"/>
        <v/>
      </c>
      <c r="O85" s="90">
        <f t="shared" si="112"/>
        <v>0</v>
      </c>
      <c r="P85" s="90">
        <f t="shared" si="113"/>
        <v>1200</v>
      </c>
      <c r="Q85" s="78">
        <v>3</v>
      </c>
      <c r="R85" s="78">
        <v>2</v>
      </c>
      <c r="S85" s="78" t="s">
        <v>59</v>
      </c>
      <c r="T85" s="5" t="s">
        <v>79</v>
      </c>
      <c r="U85" s="9"/>
      <c r="W85" s="85">
        <f t="shared" si="114"/>
        <v>114.5</v>
      </c>
      <c r="X85" s="86">
        <f t="shared" si="114"/>
        <v>35</v>
      </c>
      <c r="Y85" s="91">
        <f t="shared" si="115"/>
        <v>179</v>
      </c>
      <c r="Z85" s="89">
        <f t="shared" si="115"/>
        <v>0</v>
      </c>
      <c r="AA85" s="89">
        <f t="shared" si="116"/>
        <v>42000</v>
      </c>
      <c r="AB85" s="89">
        <f t="shared" si="117"/>
        <v>-42000</v>
      </c>
      <c r="AC85" s="4" t="str">
        <f t="shared" si="117"/>
        <v/>
      </c>
      <c r="AD85" s="90">
        <f t="shared" si="117"/>
        <v>0</v>
      </c>
      <c r="AE85" s="78" t="str">
        <f t="shared" si="118"/>
        <v>계</v>
      </c>
      <c r="AF85" s="78" t="str">
        <f t="shared" si="119"/>
        <v>3/2</v>
      </c>
      <c r="AH85" s="20" t="str">
        <f t="shared" si="99"/>
        <v>전주에코시티데시앙(14BL)</v>
      </c>
      <c r="AI85" s="86">
        <f t="shared" si="84"/>
        <v>35</v>
      </c>
      <c r="AJ85" s="78" t="str">
        <f t="shared" si="120"/>
        <v>A-</v>
      </c>
      <c r="AK85" s="78" t="s">
        <v>13</v>
      </c>
      <c r="AL85" s="78" t="s">
        <v>61</v>
      </c>
      <c r="AM85" s="78" t="s">
        <v>62</v>
      </c>
      <c r="AN85" s="78" t="str">
        <f t="shared" si="121"/>
        <v>C</v>
      </c>
      <c r="AO85" s="78" t="str">
        <f t="shared" si="122"/>
        <v/>
      </c>
      <c r="AP85" s="78" t="str">
        <f t="shared" si="123"/>
        <v/>
      </c>
      <c r="AQ85" s="78" t="str">
        <f t="shared" si="124"/>
        <v>O</v>
      </c>
      <c r="AR85" s="78" t="str">
        <f t="shared" si="125"/>
        <v>O</v>
      </c>
      <c r="AS85" s="78" t="s">
        <v>2</v>
      </c>
      <c r="AT85" s="78" t="str">
        <f t="shared" si="126"/>
        <v>O</v>
      </c>
      <c r="AU85" s="78" t="str">
        <f t="shared" si="127"/>
        <v>O</v>
      </c>
      <c r="AV85" s="78" t="str">
        <f t="shared" si="128"/>
        <v/>
      </c>
    </row>
    <row r="86" spans="1:48" x14ac:dyDescent="0.3">
      <c r="A86" s="9" t="s">
        <v>910</v>
      </c>
      <c r="B86" s="10" t="s">
        <v>1581</v>
      </c>
      <c r="C86" s="87">
        <v>878</v>
      </c>
      <c r="D86" s="85">
        <v>132.9</v>
      </c>
      <c r="E86" s="86">
        <v>40</v>
      </c>
      <c r="F86" s="85">
        <v>99</v>
      </c>
      <c r="G86" s="17">
        <v>30</v>
      </c>
      <c r="H86" s="87">
        <v>140</v>
      </c>
      <c r="I86" s="88"/>
      <c r="J86" s="88"/>
      <c r="K86" s="88">
        <v>50000</v>
      </c>
      <c r="L86" s="88" t="s">
        <v>104</v>
      </c>
      <c r="M86" s="89">
        <f t="shared" si="110"/>
        <v>-50000</v>
      </c>
      <c r="N86" s="4" t="str">
        <f t="shared" si="111"/>
        <v/>
      </c>
      <c r="O86" s="90">
        <f t="shared" si="112"/>
        <v>0</v>
      </c>
      <c r="P86" s="90">
        <f t="shared" si="113"/>
        <v>1250</v>
      </c>
      <c r="Q86" s="78">
        <v>4</v>
      </c>
      <c r="R86" s="78">
        <v>2</v>
      </c>
      <c r="S86" s="78" t="s">
        <v>59</v>
      </c>
      <c r="T86" s="5" t="s">
        <v>172</v>
      </c>
      <c r="U86" s="9"/>
      <c r="W86" s="85">
        <f t="shared" si="114"/>
        <v>132.9</v>
      </c>
      <c r="X86" s="86">
        <f t="shared" si="114"/>
        <v>40</v>
      </c>
      <c r="Y86" s="91">
        <f t="shared" si="115"/>
        <v>140</v>
      </c>
      <c r="Z86" s="89">
        <f t="shared" si="115"/>
        <v>0</v>
      </c>
      <c r="AA86" s="89">
        <f t="shared" si="116"/>
        <v>50000</v>
      </c>
      <c r="AB86" s="89">
        <f t="shared" si="117"/>
        <v>-50000</v>
      </c>
      <c r="AC86" s="4" t="str">
        <f t="shared" si="117"/>
        <v/>
      </c>
      <c r="AD86" s="90">
        <f t="shared" si="117"/>
        <v>0</v>
      </c>
      <c r="AE86" s="78" t="str">
        <f t="shared" si="118"/>
        <v>계</v>
      </c>
      <c r="AF86" s="78" t="str">
        <f t="shared" si="119"/>
        <v>4/2</v>
      </c>
      <c r="AH86" s="20" t="str">
        <f t="shared" si="99"/>
        <v>전주에코시티데시앙(14BL)</v>
      </c>
      <c r="AI86" s="86">
        <f t="shared" si="84"/>
        <v>40</v>
      </c>
      <c r="AJ86" s="78" t="str">
        <f t="shared" si="120"/>
        <v>A-</v>
      </c>
      <c r="AK86" s="78" t="s">
        <v>13</v>
      </c>
      <c r="AL86" s="78" t="s">
        <v>61</v>
      </c>
      <c r="AM86" s="78" t="s">
        <v>62</v>
      </c>
      <c r="AN86" s="78" t="str">
        <f t="shared" si="121"/>
        <v>C</v>
      </c>
      <c r="AO86" s="78" t="str">
        <f t="shared" si="122"/>
        <v/>
      </c>
      <c r="AP86" s="78" t="str">
        <f t="shared" si="123"/>
        <v/>
      </c>
      <c r="AQ86" s="78" t="str">
        <f t="shared" si="124"/>
        <v>O</v>
      </c>
      <c r="AR86" s="78" t="str">
        <f t="shared" si="125"/>
        <v>O</v>
      </c>
      <c r="AS86" s="78" t="s">
        <v>2</v>
      </c>
      <c r="AT86" s="78" t="str">
        <f t="shared" si="126"/>
        <v>X</v>
      </c>
      <c r="AU86" s="78" t="str">
        <f t="shared" si="127"/>
        <v>O</v>
      </c>
      <c r="AV86" s="78" t="str">
        <f t="shared" si="128"/>
        <v/>
      </c>
    </row>
    <row r="87" spans="1:48" x14ac:dyDescent="0.3">
      <c r="A87" s="9" t="s">
        <v>910</v>
      </c>
      <c r="B87" s="10" t="s">
        <v>1581</v>
      </c>
      <c r="C87" s="87">
        <v>878</v>
      </c>
      <c r="D87" s="85">
        <v>167</v>
      </c>
      <c r="E87" s="86">
        <v>51</v>
      </c>
      <c r="F87" s="85">
        <v>125.7</v>
      </c>
      <c r="G87" s="17">
        <v>38</v>
      </c>
      <c r="H87" s="87">
        <v>112</v>
      </c>
      <c r="I87" s="88">
        <v>115000</v>
      </c>
      <c r="J87" s="88" t="s">
        <v>137</v>
      </c>
      <c r="K87" s="88">
        <v>52000</v>
      </c>
      <c r="L87" s="88" t="s">
        <v>93</v>
      </c>
      <c r="M87" s="89">
        <f t="shared" si="110"/>
        <v>63000</v>
      </c>
      <c r="N87" s="4">
        <f t="shared" si="111"/>
        <v>0.45217391304347826</v>
      </c>
      <c r="O87" s="90">
        <f t="shared" si="112"/>
        <v>2254.9019607843138</v>
      </c>
      <c r="P87" s="90">
        <f t="shared" si="113"/>
        <v>1019.6078431372549</v>
      </c>
      <c r="Q87" s="78">
        <v>4</v>
      </c>
      <c r="R87" s="78">
        <v>2</v>
      </c>
      <c r="S87" s="78" t="s">
        <v>59</v>
      </c>
      <c r="T87" s="5" t="s">
        <v>173</v>
      </c>
      <c r="U87" s="9"/>
      <c r="W87" s="85">
        <f t="shared" si="114"/>
        <v>167</v>
      </c>
      <c r="X87" s="86">
        <f t="shared" si="114"/>
        <v>51</v>
      </c>
      <c r="Y87" s="91">
        <f t="shared" si="115"/>
        <v>112</v>
      </c>
      <c r="Z87" s="89">
        <f t="shared" si="115"/>
        <v>115000</v>
      </c>
      <c r="AA87" s="89">
        <f t="shared" si="116"/>
        <v>52000</v>
      </c>
      <c r="AB87" s="89">
        <f t="shared" si="117"/>
        <v>63000</v>
      </c>
      <c r="AC87" s="4">
        <f t="shared" si="117"/>
        <v>0.45217391304347826</v>
      </c>
      <c r="AD87" s="90">
        <f t="shared" si="117"/>
        <v>2254.9019607843138</v>
      </c>
      <c r="AE87" s="78" t="str">
        <f t="shared" si="118"/>
        <v>계</v>
      </c>
      <c r="AF87" s="78" t="str">
        <f t="shared" si="119"/>
        <v>4/2</v>
      </c>
      <c r="AH87" s="20" t="str">
        <f t="shared" si="99"/>
        <v>전주에코시티데시앙(14BL)</v>
      </c>
      <c r="AI87" s="86">
        <f t="shared" si="84"/>
        <v>51</v>
      </c>
      <c r="AJ87" s="78" t="str">
        <f t="shared" si="120"/>
        <v>A-</v>
      </c>
      <c r="AK87" s="78" t="s">
        <v>13</v>
      </c>
      <c r="AL87" s="78" t="s">
        <v>61</v>
      </c>
      <c r="AM87" s="78" t="s">
        <v>62</v>
      </c>
      <c r="AN87" s="78" t="str">
        <f t="shared" si="121"/>
        <v>C</v>
      </c>
      <c r="AO87" s="78" t="str">
        <f t="shared" si="122"/>
        <v>X</v>
      </c>
      <c r="AP87" s="78" t="str">
        <f t="shared" si="123"/>
        <v>X</v>
      </c>
      <c r="AQ87" s="78" t="str">
        <f t="shared" si="124"/>
        <v>X</v>
      </c>
      <c r="AR87" s="78" t="str">
        <f t="shared" si="125"/>
        <v>X</v>
      </c>
      <c r="AS87" s="78" t="s">
        <v>2</v>
      </c>
      <c r="AT87" s="78" t="str">
        <f t="shared" si="126"/>
        <v>X</v>
      </c>
      <c r="AU87" s="78" t="str">
        <f t="shared" si="127"/>
        <v>O</v>
      </c>
      <c r="AV87" s="78" t="str">
        <f t="shared" si="128"/>
        <v>X</v>
      </c>
    </row>
    <row r="88" spans="1:48" x14ac:dyDescent="0.3">
      <c r="A88" s="9"/>
      <c r="B88" s="78"/>
      <c r="C88" s="6"/>
      <c r="D88" s="9"/>
      <c r="E88" s="14"/>
      <c r="F88" s="85"/>
      <c r="G88" s="9"/>
      <c r="H88" s="9"/>
      <c r="I88" s="9"/>
      <c r="J88" s="9"/>
      <c r="K88" s="9"/>
      <c r="L88" s="9"/>
      <c r="M88" s="9"/>
      <c r="N88" s="9"/>
      <c r="O88" s="90"/>
      <c r="P88" s="90"/>
      <c r="Q88" s="86"/>
      <c r="R88" s="86"/>
      <c r="S88" s="9"/>
      <c r="T88" s="47"/>
      <c r="U88" s="9"/>
      <c r="W88" s="67" t="str">
        <f>$A$4&amp;" "&amp;A89&amp;"("&amp;B89&amp;","&amp;C89&amp;"^)"</f>
        <v>송천동2가 솔내마을동아('99.10.,505^)</v>
      </c>
      <c r="X88" s="68"/>
      <c r="Y88" s="68"/>
      <c r="Z88" s="68"/>
      <c r="AA88" s="68"/>
      <c r="AB88" s="68"/>
      <c r="AC88" s="68"/>
      <c r="AD88" s="68"/>
      <c r="AE88" s="68"/>
      <c r="AF88" s="69"/>
      <c r="AH88" s="20" t="str">
        <f t="shared" si="99"/>
        <v/>
      </c>
      <c r="AI88" s="108" t="str">
        <f t="shared" si="84"/>
        <v/>
      </c>
      <c r="AJ88" s="78"/>
      <c r="AK88" s="78"/>
      <c r="AL88" s="78"/>
      <c r="AM88" s="78"/>
      <c r="AN88" s="78"/>
      <c r="AO88" s="78"/>
      <c r="AP88" s="78"/>
      <c r="AQ88" s="78"/>
      <c r="AR88" s="78"/>
      <c r="AS88" s="78"/>
      <c r="AT88" s="78"/>
      <c r="AU88" s="78"/>
      <c r="AV88" s="78"/>
    </row>
    <row r="89" spans="1:48" x14ac:dyDescent="0.3">
      <c r="A89" s="9" t="s">
        <v>915</v>
      </c>
      <c r="B89" s="10" t="s">
        <v>1563</v>
      </c>
      <c r="C89" s="87">
        <v>505</v>
      </c>
      <c r="D89" s="85">
        <v>105.1</v>
      </c>
      <c r="E89" s="86">
        <v>32</v>
      </c>
      <c r="F89" s="85">
        <v>84.9</v>
      </c>
      <c r="G89" s="17">
        <v>26</v>
      </c>
      <c r="H89" s="87">
        <v>68</v>
      </c>
      <c r="I89" s="88">
        <v>19000</v>
      </c>
      <c r="J89" s="88" t="s">
        <v>127</v>
      </c>
      <c r="K89" s="88"/>
      <c r="L89" s="88"/>
      <c r="M89" s="89">
        <f>I89-K89</f>
        <v>19000</v>
      </c>
      <c r="N89" s="4">
        <f>IF(ISERROR(K89/I89),"",K89/I89)</f>
        <v>0</v>
      </c>
      <c r="O89" s="90">
        <f>I89/E89</f>
        <v>593.75</v>
      </c>
      <c r="P89" s="90">
        <f>K89/E89</f>
        <v>0</v>
      </c>
      <c r="Q89" s="78">
        <v>3</v>
      </c>
      <c r="R89" s="78">
        <v>2</v>
      </c>
      <c r="S89" s="78" t="s">
        <v>59</v>
      </c>
      <c r="T89" s="5">
        <v>105</v>
      </c>
      <c r="U89" s="9"/>
      <c r="W89" s="85">
        <f t="shared" ref="W89:X92" si="129">D89</f>
        <v>105.1</v>
      </c>
      <c r="X89" s="86">
        <f t="shared" si="129"/>
        <v>32</v>
      </c>
      <c r="Y89" s="91">
        <f t="shared" ref="Y89:Z92" si="130">H89</f>
        <v>68</v>
      </c>
      <c r="Z89" s="89">
        <f t="shared" si="130"/>
        <v>19000</v>
      </c>
      <c r="AA89" s="89">
        <f>K89</f>
        <v>0</v>
      </c>
      <c r="AB89" s="89">
        <f t="shared" ref="AB89:AD92" si="131">M89</f>
        <v>19000</v>
      </c>
      <c r="AC89" s="4">
        <f t="shared" si="131"/>
        <v>0</v>
      </c>
      <c r="AD89" s="90">
        <f t="shared" si="131"/>
        <v>593.75</v>
      </c>
      <c r="AE89" s="78" t="str">
        <f>S89</f>
        <v>계</v>
      </c>
      <c r="AF89" s="78" t="str">
        <f>Q89&amp;"/"&amp;R89</f>
        <v>3/2</v>
      </c>
      <c r="AH89" s="20" t="str">
        <f t="shared" si="99"/>
        <v>솔내마을동아</v>
      </c>
      <c r="AI89" s="86">
        <f t="shared" si="84"/>
        <v>32</v>
      </c>
      <c r="AJ89" s="78" t="str">
        <f>IF(AI89="","",$AJ$2)</f>
        <v>A-</v>
      </c>
      <c r="AK89" s="78" t="s">
        <v>13</v>
      </c>
      <c r="AL89" s="78" t="s">
        <v>61</v>
      </c>
      <c r="AM89" s="78" t="s">
        <v>62</v>
      </c>
      <c r="AN89" s="78" t="str">
        <f>IF(AI89="","",$AN$2)</f>
        <v>C</v>
      </c>
      <c r="AO89" s="78" t="str">
        <f>IF(N89="","",IF(N89&gt;=$AO$1/100,"O","X"))</f>
        <v>X</v>
      </c>
      <c r="AP89" s="78" t="str">
        <f>IF(I89="","",IF(I89&lt;=$AP$1,"O","X"))</f>
        <v>O</v>
      </c>
      <c r="AQ89" s="78" t="str">
        <f>IF(O89="","",IF(O89&lt;=$AQ$1,"O","X"))</f>
        <v>O</v>
      </c>
      <c r="AR89" s="78" t="str">
        <f>IF(M89="","",IF(M89&lt;=$AR$1,"O","X"))</f>
        <v>X</v>
      </c>
      <c r="AS89" s="78" t="s">
        <v>2</v>
      </c>
      <c r="AT89" s="78" t="str">
        <f>IF(OR(F89="",AI89=""),"",IF(AND((F89&lt;=85),(AI89&gt;=15)),"O","X"))</f>
        <v>O</v>
      </c>
      <c r="AU89" s="78" t="str">
        <f>IF(C89="","",IF(C89&gt;=$AU$1,"O","X"))</f>
        <v>O</v>
      </c>
      <c r="AV89" s="78" t="str">
        <f>IF(AO89="","",IF(AND(AO89="O",AP89="O",AR89="O",AT89="O",AU89="O"),"후보","X"))</f>
        <v>X</v>
      </c>
    </row>
    <row r="90" spans="1:48" x14ac:dyDescent="0.3">
      <c r="A90" s="9" t="s">
        <v>915</v>
      </c>
      <c r="B90" s="10" t="s">
        <v>1563</v>
      </c>
      <c r="C90" s="87">
        <v>505</v>
      </c>
      <c r="D90" s="85">
        <v>107.1</v>
      </c>
      <c r="E90" s="86">
        <v>32</v>
      </c>
      <c r="F90" s="85">
        <v>85</v>
      </c>
      <c r="G90" s="17">
        <v>26</v>
      </c>
      <c r="H90" s="87">
        <v>261</v>
      </c>
      <c r="I90" s="88">
        <v>18300</v>
      </c>
      <c r="J90" s="88" t="s">
        <v>131</v>
      </c>
      <c r="K90" s="88"/>
      <c r="L90" s="88"/>
      <c r="M90" s="89">
        <f>I90-K90</f>
        <v>18300</v>
      </c>
      <c r="N90" s="4">
        <f>IF(ISERROR(K90/I90),"",K90/I90)</f>
        <v>0</v>
      </c>
      <c r="O90" s="90">
        <f>I90/E90</f>
        <v>571.875</v>
      </c>
      <c r="P90" s="90">
        <f>K90/E90</f>
        <v>0</v>
      </c>
      <c r="Q90" s="78">
        <v>3</v>
      </c>
      <c r="R90" s="78">
        <v>2</v>
      </c>
      <c r="S90" s="78" t="s">
        <v>59</v>
      </c>
      <c r="T90" s="5">
        <v>107</v>
      </c>
      <c r="U90" s="9"/>
      <c r="W90" s="85">
        <f t="shared" si="129"/>
        <v>107.1</v>
      </c>
      <c r="X90" s="86">
        <f t="shared" si="129"/>
        <v>32</v>
      </c>
      <c r="Y90" s="91">
        <f t="shared" si="130"/>
        <v>261</v>
      </c>
      <c r="Z90" s="89">
        <f t="shared" si="130"/>
        <v>18300</v>
      </c>
      <c r="AA90" s="89">
        <f>K90</f>
        <v>0</v>
      </c>
      <c r="AB90" s="89">
        <f t="shared" si="131"/>
        <v>18300</v>
      </c>
      <c r="AC90" s="4">
        <f t="shared" si="131"/>
        <v>0</v>
      </c>
      <c r="AD90" s="90">
        <f t="shared" si="131"/>
        <v>571.875</v>
      </c>
      <c r="AE90" s="78" t="str">
        <f>S90</f>
        <v>계</v>
      </c>
      <c r="AF90" s="78" t="str">
        <f>Q90&amp;"/"&amp;R90</f>
        <v>3/2</v>
      </c>
      <c r="AH90" s="20" t="str">
        <f t="shared" si="99"/>
        <v>솔내마을동아</v>
      </c>
      <c r="AI90" s="86">
        <f t="shared" si="84"/>
        <v>32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>X</v>
      </c>
      <c r="AP90" s="78" t="str">
        <f>IF(I90="","",IF(I90&lt;=$AP$1,"O","X"))</f>
        <v>O</v>
      </c>
      <c r="AQ90" s="78" t="str">
        <f>IF(O90="","",IF(O90&lt;=$AQ$1,"O","X"))</f>
        <v>O</v>
      </c>
      <c r="AR90" s="78" t="str">
        <f>IF(M90="","",IF(M90&lt;=$AR$1,"O","X"))</f>
        <v>X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X</v>
      </c>
    </row>
    <row r="91" spans="1:48" x14ac:dyDescent="0.3">
      <c r="A91" s="9" t="s">
        <v>915</v>
      </c>
      <c r="B91" s="10" t="s">
        <v>1563</v>
      </c>
      <c r="C91" s="87">
        <v>505</v>
      </c>
      <c r="D91" s="85">
        <v>123.1</v>
      </c>
      <c r="E91" s="86">
        <v>37</v>
      </c>
      <c r="F91" s="85">
        <v>99.9</v>
      </c>
      <c r="G91" s="17">
        <v>30</v>
      </c>
      <c r="H91" s="87">
        <v>108</v>
      </c>
      <c r="I91" s="88"/>
      <c r="J91" s="88"/>
      <c r="K91" s="88"/>
      <c r="L91" s="88"/>
      <c r="M91" s="89">
        <f>I91-K91</f>
        <v>0</v>
      </c>
      <c r="N91" s="4" t="str">
        <f>IF(ISERROR(K91/I91),"",K91/I91)</f>
        <v/>
      </c>
      <c r="O91" s="90">
        <f>I91/E91</f>
        <v>0</v>
      </c>
      <c r="P91" s="90">
        <f>K91/E91</f>
        <v>0</v>
      </c>
      <c r="Q91" s="78">
        <v>4</v>
      </c>
      <c r="R91" s="78">
        <v>2</v>
      </c>
      <c r="S91" s="78" t="s">
        <v>59</v>
      </c>
      <c r="T91" s="5">
        <v>123</v>
      </c>
      <c r="U91" s="9"/>
      <c r="W91" s="85">
        <f t="shared" si="129"/>
        <v>123.1</v>
      </c>
      <c r="X91" s="86">
        <f t="shared" si="129"/>
        <v>37</v>
      </c>
      <c r="Y91" s="91">
        <f t="shared" si="130"/>
        <v>108</v>
      </c>
      <c r="Z91" s="89">
        <f t="shared" si="130"/>
        <v>0</v>
      </c>
      <c r="AA91" s="89">
        <f>K91</f>
        <v>0</v>
      </c>
      <c r="AB91" s="89">
        <f t="shared" si="131"/>
        <v>0</v>
      </c>
      <c r="AC91" s="4" t="str">
        <f t="shared" si="131"/>
        <v/>
      </c>
      <c r="AD91" s="90">
        <f t="shared" si="131"/>
        <v>0</v>
      </c>
      <c r="AE91" s="78" t="str">
        <f>S91</f>
        <v>계</v>
      </c>
      <c r="AF91" s="78" t="str">
        <f>Q91&amp;"/"&amp;R91</f>
        <v>4/2</v>
      </c>
      <c r="AH91" s="20" t="str">
        <f t="shared" si="99"/>
        <v>솔내마을동아</v>
      </c>
      <c r="AI91" s="86">
        <f t="shared" si="84"/>
        <v>37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/>
      </c>
      <c r="AP91" s="78" t="str">
        <f>IF(I91="","",IF(I91&lt;=$AP$1,"O","X"))</f>
        <v/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X</v>
      </c>
      <c r="AU91" s="78" t="str">
        <f>IF(C91="","",IF(C91&gt;=$AU$1,"O","X"))</f>
        <v>O</v>
      </c>
      <c r="AV91" s="78" t="str">
        <f>IF(AO91="","",IF(AND(AO91="O",AP91="O",AR91="O",AT91="O",AU91="O"),"후보","X"))</f>
        <v/>
      </c>
    </row>
    <row r="92" spans="1:48" x14ac:dyDescent="0.3">
      <c r="A92" s="9" t="s">
        <v>915</v>
      </c>
      <c r="B92" s="10" t="s">
        <v>1563</v>
      </c>
      <c r="C92" s="87">
        <v>505</v>
      </c>
      <c r="D92" s="85">
        <v>151.30000000000001</v>
      </c>
      <c r="E92" s="86">
        <v>46</v>
      </c>
      <c r="F92" s="85">
        <v>124.3</v>
      </c>
      <c r="G92" s="17">
        <v>38</v>
      </c>
      <c r="H92" s="87">
        <v>68</v>
      </c>
      <c r="I92" s="88"/>
      <c r="J92" s="88"/>
      <c r="K92" s="88"/>
      <c r="L92" s="88"/>
      <c r="M92" s="89">
        <f>I92-K92</f>
        <v>0</v>
      </c>
      <c r="N92" s="4" t="str">
        <f>IF(ISERROR(K92/I92),"",K92/I92)</f>
        <v/>
      </c>
      <c r="O92" s="90">
        <f>I92/E92</f>
        <v>0</v>
      </c>
      <c r="P92" s="90">
        <f>K92/E92</f>
        <v>0</v>
      </c>
      <c r="Q92" s="78">
        <v>4</v>
      </c>
      <c r="R92" s="78">
        <v>2</v>
      </c>
      <c r="S92" s="78" t="s">
        <v>59</v>
      </c>
      <c r="T92" s="5">
        <v>151</v>
      </c>
      <c r="U92" s="9"/>
      <c r="W92" s="85">
        <f t="shared" si="129"/>
        <v>151.30000000000001</v>
      </c>
      <c r="X92" s="86">
        <f t="shared" si="129"/>
        <v>46</v>
      </c>
      <c r="Y92" s="91">
        <f t="shared" si="130"/>
        <v>68</v>
      </c>
      <c r="Z92" s="89">
        <f t="shared" si="130"/>
        <v>0</v>
      </c>
      <c r="AA92" s="89">
        <f>K92</f>
        <v>0</v>
      </c>
      <c r="AB92" s="89">
        <f t="shared" si="131"/>
        <v>0</v>
      </c>
      <c r="AC92" s="4" t="str">
        <f t="shared" si="131"/>
        <v/>
      </c>
      <c r="AD92" s="90">
        <f t="shared" si="131"/>
        <v>0</v>
      </c>
      <c r="AE92" s="78" t="str">
        <f>S92</f>
        <v>계</v>
      </c>
      <c r="AF92" s="78" t="str">
        <f>Q92&amp;"/"&amp;R92</f>
        <v>4/2</v>
      </c>
      <c r="AH92" s="20" t="str">
        <f t="shared" si="99"/>
        <v>솔내마을동아</v>
      </c>
      <c r="AI92" s="86">
        <f t="shared" si="84"/>
        <v>46</v>
      </c>
      <c r="AJ92" s="78" t="str">
        <f>IF(AI92="","",$AJ$2)</f>
        <v>A-</v>
      </c>
      <c r="AK92" s="78" t="s">
        <v>13</v>
      </c>
      <c r="AL92" s="78" t="s">
        <v>61</v>
      </c>
      <c r="AM92" s="78" t="s">
        <v>62</v>
      </c>
      <c r="AN92" s="78" t="str">
        <f>IF(AI92="","",$AN$2)</f>
        <v>C</v>
      </c>
      <c r="AO92" s="78" t="str">
        <f>IF(N92="","",IF(N92&gt;=$AO$1/100,"O","X"))</f>
        <v/>
      </c>
      <c r="AP92" s="78" t="str">
        <f>IF(I92="","",IF(I92&lt;=$AP$1,"O","X"))</f>
        <v/>
      </c>
      <c r="AQ92" s="78" t="str">
        <f>IF(O92="","",IF(O92&lt;=$AQ$1,"O","X"))</f>
        <v>O</v>
      </c>
      <c r="AR92" s="78" t="str">
        <f>IF(M92="","",IF(M92&lt;=$AR$1,"O","X"))</f>
        <v>O</v>
      </c>
      <c r="AS92" s="78" t="s">
        <v>2</v>
      </c>
      <c r="AT92" s="78" t="str">
        <f>IF(OR(F92="",AI92=""),"",IF(AND((F92&lt;=85),(AI92&gt;=15)),"O","X"))</f>
        <v>X</v>
      </c>
      <c r="AU92" s="78" t="str">
        <f>IF(C92="","",IF(C92&gt;=$AU$1,"O","X"))</f>
        <v>O</v>
      </c>
      <c r="AV92" s="78" t="str">
        <f>IF(AO92="","",IF(AND(AO92="O",AP92="O",AR92="O",AT92="O",AU92="O"),"후보","X"))</f>
        <v/>
      </c>
    </row>
    <row r="93" spans="1:48" x14ac:dyDescent="0.3">
      <c r="A93" s="9"/>
      <c r="B93" s="78"/>
      <c r="C93" s="6"/>
      <c r="D93" s="9"/>
      <c r="E93" s="14"/>
      <c r="F93" s="85"/>
      <c r="G93" s="9"/>
      <c r="H93" s="9"/>
      <c r="I93" s="9"/>
      <c r="J93" s="9"/>
      <c r="K93" s="9"/>
      <c r="L93" s="9"/>
      <c r="M93" s="9"/>
      <c r="N93" s="9"/>
      <c r="O93" s="90"/>
      <c r="P93" s="90"/>
      <c r="Q93" s="86"/>
      <c r="R93" s="86"/>
      <c r="S93" s="9"/>
      <c r="T93" s="47"/>
      <c r="U93" s="9"/>
      <c r="W93" s="67" t="str">
        <f>$A$4&amp;" "&amp;A94&amp;"("&amp;B94&amp;","&amp;C94&amp;"^)"</f>
        <v>송천동2가 포레나전주에코시티('23.04.,614^)</v>
      </c>
      <c r="X93" s="68"/>
      <c r="Y93" s="68"/>
      <c r="Z93" s="68"/>
      <c r="AA93" s="68"/>
      <c r="AB93" s="68"/>
      <c r="AC93" s="68"/>
      <c r="AD93" s="68"/>
      <c r="AE93" s="68"/>
      <c r="AF93" s="69"/>
      <c r="AH93" s="20" t="str">
        <f t="shared" si="99"/>
        <v/>
      </c>
      <c r="AI93" s="108" t="str">
        <f t="shared" si="84"/>
        <v/>
      </c>
      <c r="AJ93" s="78"/>
      <c r="AK93" s="78"/>
      <c r="AL93" s="78"/>
      <c r="AM93" s="78"/>
      <c r="AN93" s="78"/>
      <c r="AO93" s="78"/>
      <c r="AP93" s="78"/>
      <c r="AQ93" s="78"/>
      <c r="AR93" s="78"/>
      <c r="AS93" s="78"/>
      <c r="AT93" s="78"/>
      <c r="AU93" s="78"/>
      <c r="AV93" s="78"/>
    </row>
    <row r="94" spans="1:48" x14ac:dyDescent="0.3">
      <c r="A94" s="9" t="s">
        <v>919</v>
      </c>
      <c r="B94" s="10" t="s">
        <v>1582</v>
      </c>
      <c r="C94" s="87">
        <v>614</v>
      </c>
      <c r="D94" s="85">
        <v>115.7</v>
      </c>
      <c r="E94" s="86">
        <v>35</v>
      </c>
      <c r="F94" s="85">
        <v>85</v>
      </c>
      <c r="G94" s="17">
        <v>26</v>
      </c>
      <c r="H94" s="87">
        <v>210</v>
      </c>
      <c r="I94" s="88"/>
      <c r="J94" s="88"/>
      <c r="K94" s="88"/>
      <c r="L94" s="88"/>
      <c r="M94" s="89">
        <f t="shared" ref="M94:M101" si="132">I94-K94</f>
        <v>0</v>
      </c>
      <c r="N94" s="4" t="str">
        <f t="shared" ref="N94:N101" si="133">IF(ISERROR(K94/I94),"",K94/I94)</f>
        <v/>
      </c>
      <c r="O94" s="90">
        <f t="shared" ref="O94:O101" si="134">I94/E94</f>
        <v>0</v>
      </c>
      <c r="P94" s="90">
        <f t="shared" ref="P94:P101" si="135">K94/E94</f>
        <v>0</v>
      </c>
      <c r="Q94" s="78">
        <v>3</v>
      </c>
      <c r="R94" s="78">
        <v>2</v>
      </c>
      <c r="S94" s="78" t="s">
        <v>59</v>
      </c>
      <c r="T94" s="5">
        <v>115</v>
      </c>
      <c r="U94" s="9"/>
      <c r="W94" s="85">
        <f t="shared" ref="W94:X101" si="136">D94</f>
        <v>115.7</v>
      </c>
      <c r="X94" s="86">
        <f t="shared" si="136"/>
        <v>35</v>
      </c>
      <c r="Y94" s="91">
        <f t="shared" ref="Y94:Z101" si="137">H94</f>
        <v>210</v>
      </c>
      <c r="Z94" s="89">
        <f t="shared" si="137"/>
        <v>0</v>
      </c>
      <c r="AA94" s="89">
        <f t="shared" ref="AA94:AA101" si="138">K94</f>
        <v>0</v>
      </c>
      <c r="AB94" s="89">
        <f t="shared" ref="AB94:AD101" si="139">M94</f>
        <v>0</v>
      </c>
      <c r="AC94" s="4" t="str">
        <f t="shared" si="139"/>
        <v/>
      </c>
      <c r="AD94" s="90">
        <f t="shared" si="139"/>
        <v>0</v>
      </c>
      <c r="AE94" s="78" t="str">
        <f t="shared" ref="AE94:AE101" si="140">S94</f>
        <v>계</v>
      </c>
      <c r="AF94" s="78" t="str">
        <f t="shared" ref="AF94:AF101" si="141">Q94&amp;"/"&amp;R94</f>
        <v>3/2</v>
      </c>
      <c r="AH94" s="20" t="str">
        <f t="shared" si="99"/>
        <v>포레나전주에코시티</v>
      </c>
      <c r="AI94" s="86">
        <f t="shared" si="84"/>
        <v>35</v>
      </c>
      <c r="AJ94" s="78" t="str">
        <f t="shared" ref="AJ94:AJ101" si="142">IF(AI94="","",$AJ$2)</f>
        <v>A-</v>
      </c>
      <c r="AK94" s="78" t="s">
        <v>13</v>
      </c>
      <c r="AL94" s="78" t="s">
        <v>61</v>
      </c>
      <c r="AM94" s="78" t="s">
        <v>62</v>
      </c>
      <c r="AN94" s="78" t="str">
        <f t="shared" ref="AN94:AN101" si="143">IF(AI94="","",$AN$2)</f>
        <v>C</v>
      </c>
      <c r="AO94" s="78" t="str">
        <f t="shared" ref="AO94:AO101" si="144">IF(N94="","",IF(N94&gt;=$AO$1/100,"O","X"))</f>
        <v/>
      </c>
      <c r="AP94" s="78" t="str">
        <f t="shared" ref="AP94:AP101" si="145">IF(I94="","",IF(I94&lt;=$AP$1,"O","X"))</f>
        <v/>
      </c>
      <c r="AQ94" s="78" t="str">
        <f t="shared" ref="AQ94:AQ101" si="146">IF(O94="","",IF(O94&lt;=$AQ$1,"O","X"))</f>
        <v>O</v>
      </c>
      <c r="AR94" s="78" t="str">
        <f t="shared" ref="AR94:AR101" si="147">IF(M94="","",IF(M94&lt;=$AR$1,"O","X"))</f>
        <v>O</v>
      </c>
      <c r="AS94" s="78" t="s">
        <v>2</v>
      </c>
      <c r="AT94" s="78" t="str">
        <f t="shared" ref="AT94:AT101" si="148">IF(OR(F94="",AI94=""),"",IF(AND((F94&lt;=85),(AI94&gt;=15)),"O","X"))</f>
        <v>O</v>
      </c>
      <c r="AU94" s="78" t="str">
        <f t="shared" ref="AU94:AU101" si="149">IF(C94="","",IF(C94&gt;=$AU$1,"O","X"))</f>
        <v>O</v>
      </c>
      <c r="AV94" s="78" t="str">
        <f t="shared" ref="AV94:AV101" si="150">IF(AO94="","",IF(AND(AO94="O",AP94="O",AR94="O",AT94="O",AU94="O"),"후보","X"))</f>
        <v/>
      </c>
    </row>
    <row r="95" spans="1:48" x14ac:dyDescent="0.3">
      <c r="A95" s="9" t="s">
        <v>919</v>
      </c>
      <c r="B95" s="10" t="s">
        <v>1582</v>
      </c>
      <c r="C95" s="87">
        <v>614</v>
      </c>
      <c r="D95" s="85">
        <v>156</v>
      </c>
      <c r="E95" s="86">
        <v>47</v>
      </c>
      <c r="F95" s="85">
        <v>116.8</v>
      </c>
      <c r="G95" s="17">
        <v>35</v>
      </c>
      <c r="H95" s="87">
        <v>119</v>
      </c>
      <c r="I95" s="88"/>
      <c r="J95" s="88"/>
      <c r="K95" s="88"/>
      <c r="L95" s="88"/>
      <c r="M95" s="89">
        <f t="shared" si="132"/>
        <v>0</v>
      </c>
      <c r="N95" s="4" t="str">
        <f t="shared" si="133"/>
        <v/>
      </c>
      <c r="O95" s="90">
        <f t="shared" si="134"/>
        <v>0</v>
      </c>
      <c r="P95" s="90">
        <f t="shared" si="135"/>
        <v>0</v>
      </c>
      <c r="Q95" s="78">
        <v>4</v>
      </c>
      <c r="R95" s="78">
        <v>2</v>
      </c>
      <c r="S95" s="78" t="s">
        <v>59</v>
      </c>
      <c r="T95" s="5" t="s">
        <v>174</v>
      </c>
      <c r="U95" s="9"/>
      <c r="W95" s="85">
        <f t="shared" si="136"/>
        <v>156</v>
      </c>
      <c r="X95" s="86">
        <f t="shared" si="136"/>
        <v>47</v>
      </c>
      <c r="Y95" s="91">
        <f t="shared" si="137"/>
        <v>119</v>
      </c>
      <c r="Z95" s="89">
        <f t="shared" si="137"/>
        <v>0</v>
      </c>
      <c r="AA95" s="89">
        <f t="shared" si="138"/>
        <v>0</v>
      </c>
      <c r="AB95" s="89">
        <f t="shared" si="139"/>
        <v>0</v>
      </c>
      <c r="AC95" s="4" t="str">
        <f t="shared" si="139"/>
        <v/>
      </c>
      <c r="AD95" s="90">
        <f t="shared" si="139"/>
        <v>0</v>
      </c>
      <c r="AE95" s="78" t="str">
        <f t="shared" si="140"/>
        <v>계</v>
      </c>
      <c r="AF95" s="78" t="str">
        <f t="shared" si="141"/>
        <v>4/2</v>
      </c>
      <c r="AH95" s="20" t="str">
        <f t="shared" si="99"/>
        <v>포레나전주에코시티</v>
      </c>
      <c r="AI95" s="86">
        <f t="shared" si="84"/>
        <v>47</v>
      </c>
      <c r="AJ95" s="78" t="str">
        <f t="shared" si="142"/>
        <v>A-</v>
      </c>
      <c r="AK95" s="78" t="s">
        <v>13</v>
      </c>
      <c r="AL95" s="78" t="s">
        <v>61</v>
      </c>
      <c r="AM95" s="78" t="s">
        <v>62</v>
      </c>
      <c r="AN95" s="78" t="str">
        <f t="shared" si="143"/>
        <v>C</v>
      </c>
      <c r="AO95" s="78" t="str">
        <f t="shared" si="144"/>
        <v/>
      </c>
      <c r="AP95" s="78" t="str">
        <f t="shared" si="145"/>
        <v/>
      </c>
      <c r="AQ95" s="78" t="str">
        <f t="shared" si="146"/>
        <v>O</v>
      </c>
      <c r="AR95" s="78" t="str">
        <f t="shared" si="147"/>
        <v>O</v>
      </c>
      <c r="AS95" s="78" t="s">
        <v>2</v>
      </c>
      <c r="AT95" s="78" t="str">
        <f t="shared" si="148"/>
        <v>X</v>
      </c>
      <c r="AU95" s="78" t="str">
        <f t="shared" si="149"/>
        <v>O</v>
      </c>
      <c r="AV95" s="78" t="str">
        <f t="shared" si="150"/>
        <v/>
      </c>
    </row>
    <row r="96" spans="1:48" x14ac:dyDescent="0.3">
      <c r="A96" s="9" t="s">
        <v>919</v>
      </c>
      <c r="B96" s="10" t="s">
        <v>1582</v>
      </c>
      <c r="C96" s="87">
        <v>614</v>
      </c>
      <c r="D96" s="85">
        <v>156.30000000000001</v>
      </c>
      <c r="E96" s="86">
        <v>47</v>
      </c>
      <c r="F96" s="85">
        <v>116.9</v>
      </c>
      <c r="G96" s="17">
        <v>35</v>
      </c>
      <c r="H96" s="87">
        <v>38</v>
      </c>
      <c r="I96" s="88"/>
      <c r="J96" s="88"/>
      <c r="K96" s="88"/>
      <c r="L96" s="88"/>
      <c r="M96" s="89">
        <f t="shared" si="132"/>
        <v>0</v>
      </c>
      <c r="N96" s="4" t="str">
        <f t="shared" si="133"/>
        <v/>
      </c>
      <c r="O96" s="90">
        <f t="shared" si="134"/>
        <v>0</v>
      </c>
      <c r="P96" s="90">
        <f t="shared" si="135"/>
        <v>0</v>
      </c>
      <c r="Q96" s="78">
        <v>4</v>
      </c>
      <c r="R96" s="78">
        <v>2</v>
      </c>
      <c r="S96" s="78" t="s">
        <v>59</v>
      </c>
      <c r="T96" s="5" t="s">
        <v>175</v>
      </c>
      <c r="U96" s="9"/>
      <c r="W96" s="85">
        <f t="shared" si="136"/>
        <v>156.30000000000001</v>
      </c>
      <c r="X96" s="86">
        <f t="shared" si="136"/>
        <v>47</v>
      </c>
      <c r="Y96" s="91">
        <f t="shared" si="137"/>
        <v>38</v>
      </c>
      <c r="Z96" s="89">
        <f t="shared" si="137"/>
        <v>0</v>
      </c>
      <c r="AA96" s="89">
        <f t="shared" si="138"/>
        <v>0</v>
      </c>
      <c r="AB96" s="89">
        <f t="shared" si="139"/>
        <v>0</v>
      </c>
      <c r="AC96" s="4" t="str">
        <f t="shared" si="139"/>
        <v/>
      </c>
      <c r="AD96" s="90">
        <f t="shared" si="139"/>
        <v>0</v>
      </c>
      <c r="AE96" s="78" t="str">
        <f t="shared" si="140"/>
        <v>계</v>
      </c>
      <c r="AF96" s="78" t="str">
        <f t="shared" si="141"/>
        <v>4/2</v>
      </c>
      <c r="AH96" s="20" t="str">
        <f t="shared" si="99"/>
        <v>포레나전주에코시티</v>
      </c>
      <c r="AI96" s="86">
        <f t="shared" si="84"/>
        <v>47</v>
      </c>
      <c r="AJ96" s="78" t="str">
        <f t="shared" si="142"/>
        <v>A-</v>
      </c>
      <c r="AK96" s="78" t="s">
        <v>13</v>
      </c>
      <c r="AL96" s="78" t="s">
        <v>61</v>
      </c>
      <c r="AM96" s="78" t="s">
        <v>62</v>
      </c>
      <c r="AN96" s="78" t="str">
        <f t="shared" si="143"/>
        <v>C</v>
      </c>
      <c r="AO96" s="78" t="str">
        <f t="shared" si="144"/>
        <v/>
      </c>
      <c r="AP96" s="78" t="str">
        <f t="shared" si="145"/>
        <v/>
      </c>
      <c r="AQ96" s="78" t="str">
        <f t="shared" si="146"/>
        <v>O</v>
      </c>
      <c r="AR96" s="78" t="str">
        <f t="shared" si="147"/>
        <v>O</v>
      </c>
      <c r="AS96" s="78" t="s">
        <v>2</v>
      </c>
      <c r="AT96" s="78" t="str">
        <f t="shared" si="148"/>
        <v>X</v>
      </c>
      <c r="AU96" s="78" t="str">
        <f t="shared" si="149"/>
        <v>O</v>
      </c>
      <c r="AV96" s="78" t="str">
        <f t="shared" si="150"/>
        <v/>
      </c>
    </row>
    <row r="97" spans="1:48" x14ac:dyDescent="0.3">
      <c r="A97" s="9" t="s">
        <v>919</v>
      </c>
      <c r="B97" s="10" t="s">
        <v>1582</v>
      </c>
      <c r="C97" s="87">
        <v>614</v>
      </c>
      <c r="D97" s="85">
        <v>160.69999999999999</v>
      </c>
      <c r="E97" s="86">
        <v>49</v>
      </c>
      <c r="F97" s="85">
        <v>120.6</v>
      </c>
      <c r="G97" s="17">
        <v>36</v>
      </c>
      <c r="H97" s="87">
        <v>122</v>
      </c>
      <c r="I97" s="88"/>
      <c r="J97" s="88"/>
      <c r="K97" s="88"/>
      <c r="L97" s="88"/>
      <c r="M97" s="89">
        <f t="shared" si="132"/>
        <v>0</v>
      </c>
      <c r="N97" s="4" t="str">
        <f t="shared" si="133"/>
        <v/>
      </c>
      <c r="O97" s="90">
        <f t="shared" si="134"/>
        <v>0</v>
      </c>
      <c r="P97" s="90">
        <f t="shared" si="135"/>
        <v>0</v>
      </c>
      <c r="Q97" s="78">
        <v>4</v>
      </c>
      <c r="R97" s="78">
        <v>2</v>
      </c>
      <c r="S97" s="78" t="s">
        <v>59</v>
      </c>
      <c r="T97" s="5">
        <v>160</v>
      </c>
      <c r="U97" s="9"/>
      <c r="W97" s="85">
        <f t="shared" si="136"/>
        <v>160.69999999999999</v>
      </c>
      <c r="X97" s="86">
        <f t="shared" si="136"/>
        <v>49</v>
      </c>
      <c r="Y97" s="91">
        <f t="shared" si="137"/>
        <v>122</v>
      </c>
      <c r="Z97" s="89">
        <f t="shared" si="137"/>
        <v>0</v>
      </c>
      <c r="AA97" s="89">
        <f t="shared" si="138"/>
        <v>0</v>
      </c>
      <c r="AB97" s="89">
        <f t="shared" si="139"/>
        <v>0</v>
      </c>
      <c r="AC97" s="4" t="str">
        <f t="shared" si="139"/>
        <v/>
      </c>
      <c r="AD97" s="90">
        <f t="shared" si="139"/>
        <v>0</v>
      </c>
      <c r="AE97" s="78" t="str">
        <f t="shared" si="140"/>
        <v>계</v>
      </c>
      <c r="AF97" s="78" t="str">
        <f t="shared" si="141"/>
        <v>4/2</v>
      </c>
      <c r="AH97" s="20" t="str">
        <f t="shared" si="99"/>
        <v>포레나전주에코시티</v>
      </c>
      <c r="AI97" s="86">
        <f t="shared" si="84"/>
        <v>49</v>
      </c>
      <c r="AJ97" s="78" t="str">
        <f t="shared" si="142"/>
        <v>A-</v>
      </c>
      <c r="AK97" s="78" t="s">
        <v>13</v>
      </c>
      <c r="AL97" s="78" t="s">
        <v>61</v>
      </c>
      <c r="AM97" s="78" t="s">
        <v>62</v>
      </c>
      <c r="AN97" s="78" t="str">
        <f t="shared" si="143"/>
        <v>C</v>
      </c>
      <c r="AO97" s="78" t="str">
        <f t="shared" si="144"/>
        <v/>
      </c>
      <c r="AP97" s="78" t="str">
        <f t="shared" si="145"/>
        <v/>
      </c>
      <c r="AQ97" s="78" t="str">
        <f t="shared" si="146"/>
        <v>O</v>
      </c>
      <c r="AR97" s="78" t="str">
        <f t="shared" si="147"/>
        <v>O</v>
      </c>
      <c r="AS97" s="78" t="s">
        <v>2</v>
      </c>
      <c r="AT97" s="78" t="str">
        <f t="shared" si="148"/>
        <v>X</v>
      </c>
      <c r="AU97" s="78" t="str">
        <f t="shared" si="149"/>
        <v>O</v>
      </c>
      <c r="AV97" s="78" t="str">
        <f t="shared" si="150"/>
        <v/>
      </c>
    </row>
    <row r="98" spans="1:48" x14ac:dyDescent="0.3">
      <c r="A98" s="9" t="s">
        <v>919</v>
      </c>
      <c r="B98" s="10" t="s">
        <v>1582</v>
      </c>
      <c r="C98" s="87">
        <v>614</v>
      </c>
      <c r="D98" s="85">
        <v>175.7</v>
      </c>
      <c r="E98" s="86">
        <v>53</v>
      </c>
      <c r="F98" s="85">
        <v>130.9</v>
      </c>
      <c r="G98" s="17">
        <v>40</v>
      </c>
      <c r="H98" s="87">
        <v>121</v>
      </c>
      <c r="I98" s="88"/>
      <c r="J98" s="88"/>
      <c r="K98" s="88"/>
      <c r="L98" s="88"/>
      <c r="M98" s="89">
        <f t="shared" si="132"/>
        <v>0</v>
      </c>
      <c r="N98" s="4" t="str">
        <f t="shared" si="133"/>
        <v/>
      </c>
      <c r="O98" s="90">
        <f t="shared" si="134"/>
        <v>0</v>
      </c>
      <c r="P98" s="90">
        <f t="shared" si="135"/>
        <v>0</v>
      </c>
      <c r="Q98" s="78">
        <v>4</v>
      </c>
      <c r="R98" s="78">
        <v>2</v>
      </c>
      <c r="S98" s="78" t="s">
        <v>59</v>
      </c>
      <c r="T98" s="5">
        <v>175</v>
      </c>
      <c r="U98" s="9"/>
      <c r="W98" s="85">
        <f t="shared" si="136"/>
        <v>175.7</v>
      </c>
      <c r="X98" s="86">
        <f t="shared" si="136"/>
        <v>53</v>
      </c>
      <c r="Y98" s="91">
        <f t="shared" si="137"/>
        <v>121</v>
      </c>
      <c r="Z98" s="89">
        <f t="shared" si="137"/>
        <v>0</v>
      </c>
      <c r="AA98" s="89">
        <f t="shared" si="138"/>
        <v>0</v>
      </c>
      <c r="AB98" s="89">
        <f t="shared" si="139"/>
        <v>0</v>
      </c>
      <c r="AC98" s="4" t="str">
        <f t="shared" si="139"/>
        <v/>
      </c>
      <c r="AD98" s="90">
        <f t="shared" si="139"/>
        <v>0</v>
      </c>
      <c r="AE98" s="78" t="str">
        <f t="shared" si="140"/>
        <v>계</v>
      </c>
      <c r="AF98" s="78" t="str">
        <f t="shared" si="141"/>
        <v>4/2</v>
      </c>
      <c r="AH98" s="20" t="str">
        <f t="shared" si="99"/>
        <v>포레나전주에코시티</v>
      </c>
      <c r="AI98" s="86">
        <f t="shared" si="84"/>
        <v>53</v>
      </c>
      <c r="AJ98" s="78" t="str">
        <f t="shared" si="142"/>
        <v>A-</v>
      </c>
      <c r="AK98" s="78" t="s">
        <v>13</v>
      </c>
      <c r="AL98" s="78" t="s">
        <v>61</v>
      </c>
      <c r="AM98" s="78" t="s">
        <v>62</v>
      </c>
      <c r="AN98" s="78" t="str">
        <f t="shared" si="143"/>
        <v>C</v>
      </c>
      <c r="AO98" s="78" t="str">
        <f t="shared" si="144"/>
        <v/>
      </c>
      <c r="AP98" s="78" t="str">
        <f t="shared" si="145"/>
        <v/>
      </c>
      <c r="AQ98" s="78" t="str">
        <f t="shared" si="146"/>
        <v>O</v>
      </c>
      <c r="AR98" s="78" t="str">
        <f t="shared" si="147"/>
        <v>O</v>
      </c>
      <c r="AS98" s="78" t="s">
        <v>2</v>
      </c>
      <c r="AT98" s="78" t="str">
        <f t="shared" si="148"/>
        <v>X</v>
      </c>
      <c r="AU98" s="78" t="str">
        <f t="shared" si="149"/>
        <v>O</v>
      </c>
      <c r="AV98" s="78" t="str">
        <f t="shared" si="150"/>
        <v/>
      </c>
    </row>
    <row r="99" spans="1:48" x14ac:dyDescent="0.3">
      <c r="A99" s="9" t="s">
        <v>919</v>
      </c>
      <c r="B99" s="10" t="s">
        <v>1582</v>
      </c>
      <c r="C99" s="87">
        <v>614</v>
      </c>
      <c r="D99" s="85">
        <v>222.7</v>
      </c>
      <c r="E99" s="86">
        <v>67</v>
      </c>
      <c r="F99" s="85">
        <v>163.69999999999999</v>
      </c>
      <c r="G99" s="17">
        <v>50</v>
      </c>
      <c r="H99" s="87">
        <v>2</v>
      </c>
      <c r="I99" s="88"/>
      <c r="J99" s="88"/>
      <c r="K99" s="88"/>
      <c r="L99" s="88"/>
      <c r="M99" s="89">
        <f t="shared" si="132"/>
        <v>0</v>
      </c>
      <c r="N99" s="4" t="str">
        <f t="shared" si="133"/>
        <v/>
      </c>
      <c r="O99" s="90">
        <f t="shared" si="134"/>
        <v>0</v>
      </c>
      <c r="P99" s="90">
        <f t="shared" si="135"/>
        <v>0</v>
      </c>
      <c r="Q99" s="78">
        <v>4</v>
      </c>
      <c r="R99" s="78">
        <v>3</v>
      </c>
      <c r="S99" s="78" t="s">
        <v>59</v>
      </c>
      <c r="T99" s="5">
        <v>222</v>
      </c>
      <c r="U99" s="9"/>
      <c r="W99" s="85">
        <f t="shared" si="136"/>
        <v>222.7</v>
      </c>
      <c r="X99" s="86">
        <f t="shared" si="136"/>
        <v>67</v>
      </c>
      <c r="Y99" s="91">
        <f t="shared" si="137"/>
        <v>2</v>
      </c>
      <c r="Z99" s="89">
        <f t="shared" si="137"/>
        <v>0</v>
      </c>
      <c r="AA99" s="89">
        <f t="shared" si="138"/>
        <v>0</v>
      </c>
      <c r="AB99" s="89">
        <f t="shared" si="139"/>
        <v>0</v>
      </c>
      <c r="AC99" s="4" t="str">
        <f t="shared" si="139"/>
        <v/>
      </c>
      <c r="AD99" s="90">
        <f t="shared" si="139"/>
        <v>0</v>
      </c>
      <c r="AE99" s="78" t="str">
        <f t="shared" si="140"/>
        <v>계</v>
      </c>
      <c r="AF99" s="78" t="str">
        <f t="shared" si="141"/>
        <v>4/3</v>
      </c>
      <c r="AH99" s="20" t="str">
        <f t="shared" si="99"/>
        <v>포레나전주에코시티</v>
      </c>
      <c r="AI99" s="86">
        <f t="shared" ref="AI99:AI130" si="151">IF(E99="","",E99)</f>
        <v>67</v>
      </c>
      <c r="AJ99" s="78" t="str">
        <f t="shared" si="142"/>
        <v>A-</v>
      </c>
      <c r="AK99" s="78" t="s">
        <v>13</v>
      </c>
      <c r="AL99" s="78" t="s">
        <v>61</v>
      </c>
      <c r="AM99" s="78" t="s">
        <v>62</v>
      </c>
      <c r="AN99" s="78" t="str">
        <f t="shared" si="143"/>
        <v>C</v>
      </c>
      <c r="AO99" s="78" t="str">
        <f t="shared" si="144"/>
        <v/>
      </c>
      <c r="AP99" s="78" t="str">
        <f t="shared" si="145"/>
        <v/>
      </c>
      <c r="AQ99" s="78" t="str">
        <f t="shared" si="146"/>
        <v>O</v>
      </c>
      <c r="AR99" s="78" t="str">
        <f t="shared" si="147"/>
        <v>O</v>
      </c>
      <c r="AS99" s="78" t="s">
        <v>2</v>
      </c>
      <c r="AT99" s="78" t="str">
        <f t="shared" si="148"/>
        <v>X</v>
      </c>
      <c r="AU99" s="78" t="str">
        <f t="shared" si="149"/>
        <v>O</v>
      </c>
      <c r="AV99" s="78" t="str">
        <f t="shared" si="150"/>
        <v/>
      </c>
    </row>
    <row r="100" spans="1:48" x14ac:dyDescent="0.3">
      <c r="A100" s="9" t="s">
        <v>919</v>
      </c>
      <c r="B100" s="10" t="s">
        <v>1582</v>
      </c>
      <c r="C100" s="87">
        <v>614</v>
      </c>
      <c r="D100" s="85">
        <v>228</v>
      </c>
      <c r="E100" s="86">
        <v>69</v>
      </c>
      <c r="F100" s="85">
        <v>167.4</v>
      </c>
      <c r="G100" s="17">
        <v>51</v>
      </c>
      <c r="H100" s="87">
        <v>1</v>
      </c>
      <c r="I100" s="88"/>
      <c r="J100" s="88"/>
      <c r="K100" s="88"/>
      <c r="L100" s="88"/>
      <c r="M100" s="89">
        <f t="shared" si="132"/>
        <v>0</v>
      </c>
      <c r="N100" s="4" t="str">
        <f t="shared" si="133"/>
        <v/>
      </c>
      <c r="O100" s="90">
        <f t="shared" si="134"/>
        <v>0</v>
      </c>
      <c r="P100" s="90">
        <f t="shared" si="135"/>
        <v>0</v>
      </c>
      <c r="Q100" s="78">
        <v>4</v>
      </c>
      <c r="R100" s="78">
        <v>3</v>
      </c>
      <c r="S100" s="78" t="s">
        <v>59</v>
      </c>
      <c r="T100" s="5">
        <v>228</v>
      </c>
      <c r="U100" s="9"/>
      <c r="W100" s="85">
        <f t="shared" si="136"/>
        <v>228</v>
      </c>
      <c r="X100" s="86">
        <f t="shared" si="136"/>
        <v>69</v>
      </c>
      <c r="Y100" s="91">
        <f t="shared" si="137"/>
        <v>1</v>
      </c>
      <c r="Z100" s="89">
        <f t="shared" si="137"/>
        <v>0</v>
      </c>
      <c r="AA100" s="89">
        <f t="shared" si="138"/>
        <v>0</v>
      </c>
      <c r="AB100" s="89">
        <f t="shared" si="139"/>
        <v>0</v>
      </c>
      <c r="AC100" s="4" t="str">
        <f t="shared" si="139"/>
        <v/>
      </c>
      <c r="AD100" s="90">
        <f t="shared" si="139"/>
        <v>0</v>
      </c>
      <c r="AE100" s="78" t="str">
        <f t="shared" si="140"/>
        <v>계</v>
      </c>
      <c r="AF100" s="78" t="str">
        <f t="shared" si="141"/>
        <v>4/3</v>
      </c>
      <c r="AH100" s="20" t="str">
        <f t="shared" si="99"/>
        <v>포레나전주에코시티</v>
      </c>
      <c r="AI100" s="86">
        <f t="shared" si="151"/>
        <v>69</v>
      </c>
      <c r="AJ100" s="78" t="str">
        <f t="shared" si="142"/>
        <v>A-</v>
      </c>
      <c r="AK100" s="78" t="s">
        <v>13</v>
      </c>
      <c r="AL100" s="78" t="s">
        <v>61</v>
      </c>
      <c r="AM100" s="78" t="s">
        <v>62</v>
      </c>
      <c r="AN100" s="78" t="str">
        <f t="shared" si="143"/>
        <v>C</v>
      </c>
      <c r="AO100" s="78" t="str">
        <f t="shared" si="144"/>
        <v/>
      </c>
      <c r="AP100" s="78" t="str">
        <f t="shared" si="145"/>
        <v/>
      </c>
      <c r="AQ100" s="78" t="str">
        <f t="shared" si="146"/>
        <v>O</v>
      </c>
      <c r="AR100" s="78" t="str">
        <f t="shared" si="147"/>
        <v>O</v>
      </c>
      <c r="AS100" s="78" t="s">
        <v>2</v>
      </c>
      <c r="AT100" s="78" t="str">
        <f t="shared" si="148"/>
        <v>X</v>
      </c>
      <c r="AU100" s="78" t="str">
        <f t="shared" si="149"/>
        <v>O</v>
      </c>
      <c r="AV100" s="78" t="str">
        <f t="shared" si="150"/>
        <v/>
      </c>
    </row>
    <row r="101" spans="1:48" x14ac:dyDescent="0.3">
      <c r="A101" s="9" t="s">
        <v>919</v>
      </c>
      <c r="B101" s="10" t="s">
        <v>1582</v>
      </c>
      <c r="C101" s="87">
        <v>614</v>
      </c>
      <c r="D101" s="85">
        <v>235.2</v>
      </c>
      <c r="E101" s="86">
        <v>71</v>
      </c>
      <c r="F101" s="85">
        <v>173</v>
      </c>
      <c r="G101" s="17">
        <v>52</v>
      </c>
      <c r="H101" s="87">
        <v>1</v>
      </c>
      <c r="I101" s="88"/>
      <c r="J101" s="88"/>
      <c r="K101" s="88"/>
      <c r="L101" s="88"/>
      <c r="M101" s="89">
        <f t="shared" si="132"/>
        <v>0</v>
      </c>
      <c r="N101" s="4" t="str">
        <f t="shared" si="133"/>
        <v/>
      </c>
      <c r="O101" s="90">
        <f t="shared" si="134"/>
        <v>0</v>
      </c>
      <c r="P101" s="90">
        <f t="shared" si="135"/>
        <v>0</v>
      </c>
      <c r="Q101" s="78">
        <v>4</v>
      </c>
      <c r="R101" s="78">
        <v>3</v>
      </c>
      <c r="S101" s="78" t="s">
        <v>59</v>
      </c>
      <c r="T101" s="5">
        <v>235</v>
      </c>
      <c r="U101" s="9"/>
      <c r="W101" s="85">
        <f t="shared" si="136"/>
        <v>235.2</v>
      </c>
      <c r="X101" s="86">
        <f t="shared" si="136"/>
        <v>71</v>
      </c>
      <c r="Y101" s="91">
        <f t="shared" si="137"/>
        <v>1</v>
      </c>
      <c r="Z101" s="89">
        <f t="shared" si="137"/>
        <v>0</v>
      </c>
      <c r="AA101" s="89">
        <f t="shared" si="138"/>
        <v>0</v>
      </c>
      <c r="AB101" s="89">
        <f t="shared" si="139"/>
        <v>0</v>
      </c>
      <c r="AC101" s="4" t="str">
        <f t="shared" si="139"/>
        <v/>
      </c>
      <c r="AD101" s="90">
        <f t="shared" si="139"/>
        <v>0</v>
      </c>
      <c r="AE101" s="78" t="str">
        <f t="shared" si="140"/>
        <v>계</v>
      </c>
      <c r="AF101" s="78" t="str">
        <f t="shared" si="141"/>
        <v>4/3</v>
      </c>
      <c r="AH101" s="20" t="str">
        <f t="shared" ref="AH101:AH132" si="152">IF(A101="","",A101)</f>
        <v>포레나전주에코시티</v>
      </c>
      <c r="AI101" s="86">
        <f t="shared" si="151"/>
        <v>71</v>
      </c>
      <c r="AJ101" s="78" t="str">
        <f t="shared" si="142"/>
        <v>A-</v>
      </c>
      <c r="AK101" s="78" t="s">
        <v>13</v>
      </c>
      <c r="AL101" s="78" t="s">
        <v>61</v>
      </c>
      <c r="AM101" s="78" t="s">
        <v>62</v>
      </c>
      <c r="AN101" s="78" t="str">
        <f t="shared" si="143"/>
        <v>C</v>
      </c>
      <c r="AO101" s="78" t="str">
        <f t="shared" si="144"/>
        <v/>
      </c>
      <c r="AP101" s="78" t="str">
        <f t="shared" si="145"/>
        <v/>
      </c>
      <c r="AQ101" s="78" t="str">
        <f t="shared" si="146"/>
        <v>O</v>
      </c>
      <c r="AR101" s="78" t="str">
        <f t="shared" si="147"/>
        <v>O</v>
      </c>
      <c r="AS101" s="78" t="s">
        <v>2</v>
      </c>
      <c r="AT101" s="78" t="str">
        <f t="shared" si="148"/>
        <v>X</v>
      </c>
      <c r="AU101" s="78" t="str">
        <f t="shared" si="149"/>
        <v>O</v>
      </c>
      <c r="AV101" s="78" t="str">
        <f t="shared" si="150"/>
        <v/>
      </c>
    </row>
    <row r="102" spans="1:48" x14ac:dyDescent="0.3">
      <c r="A102" s="9"/>
      <c r="B102" s="78"/>
      <c r="C102" s="6"/>
      <c r="D102" s="9"/>
      <c r="E102" s="14"/>
      <c r="F102" s="85"/>
      <c r="G102" s="9"/>
      <c r="H102" s="9"/>
      <c r="I102" s="9"/>
      <c r="J102" s="9"/>
      <c r="K102" s="9"/>
      <c r="L102" s="9"/>
      <c r="M102" s="9"/>
      <c r="N102" s="9"/>
      <c r="O102" s="90"/>
      <c r="P102" s="90"/>
      <c r="Q102" s="86"/>
      <c r="R102" s="86"/>
      <c r="S102" s="9"/>
      <c r="T102" s="47"/>
      <c r="U102" s="9"/>
      <c r="W102" s="67" t="str">
        <f>$A$4&amp;" "&amp;A103&amp;"("&amp;B103&amp;","&amp;C103&amp;"^)"</f>
        <v>송천동2가 송천주공2차('04.07.,710^)</v>
      </c>
      <c r="X102" s="68"/>
      <c r="Y102" s="68"/>
      <c r="Z102" s="68"/>
      <c r="AA102" s="68"/>
      <c r="AB102" s="68"/>
      <c r="AC102" s="68"/>
      <c r="AD102" s="68"/>
      <c r="AE102" s="68"/>
      <c r="AF102" s="69"/>
      <c r="AH102" s="20" t="str">
        <f t="shared" si="152"/>
        <v/>
      </c>
      <c r="AI102" s="108" t="str">
        <f t="shared" si="151"/>
        <v/>
      </c>
      <c r="AJ102" s="78"/>
      <c r="AK102" s="78"/>
      <c r="AL102" s="78"/>
      <c r="AM102" s="78"/>
      <c r="AN102" s="78"/>
      <c r="AO102" s="78"/>
      <c r="AP102" s="78"/>
      <c r="AQ102" s="78"/>
      <c r="AR102" s="78"/>
      <c r="AS102" s="78"/>
      <c r="AT102" s="78"/>
      <c r="AU102" s="78"/>
      <c r="AV102" s="78"/>
    </row>
    <row r="103" spans="1:48" x14ac:dyDescent="0.3">
      <c r="A103" s="9" t="s">
        <v>924</v>
      </c>
      <c r="B103" s="10" t="s">
        <v>1583</v>
      </c>
      <c r="C103" s="87">
        <v>710</v>
      </c>
      <c r="D103" s="85">
        <v>67.5</v>
      </c>
      <c r="E103" s="86">
        <v>20</v>
      </c>
      <c r="F103" s="85">
        <v>51.9</v>
      </c>
      <c r="G103" s="17">
        <v>16</v>
      </c>
      <c r="H103" s="87">
        <v>258</v>
      </c>
      <c r="I103" s="88">
        <v>16300</v>
      </c>
      <c r="J103" s="88" t="s">
        <v>111</v>
      </c>
      <c r="K103" s="88">
        <v>15000</v>
      </c>
      <c r="L103" s="88" t="s">
        <v>87</v>
      </c>
      <c r="M103" s="89">
        <f>I103-K103</f>
        <v>1300</v>
      </c>
      <c r="N103" s="4">
        <f>IF(ISERROR(K103/I103),"",K103/I103)</f>
        <v>0.92024539877300615</v>
      </c>
      <c r="O103" s="90">
        <f>I103/E103</f>
        <v>815</v>
      </c>
      <c r="P103" s="90">
        <f>K103/E103</f>
        <v>750</v>
      </c>
      <c r="Q103" s="78">
        <v>2</v>
      </c>
      <c r="R103" s="78">
        <v>1</v>
      </c>
      <c r="S103" s="78" t="s">
        <v>59</v>
      </c>
      <c r="T103" s="5">
        <v>67</v>
      </c>
      <c r="U103" s="9"/>
      <c r="W103" s="85">
        <f>D103</f>
        <v>67.5</v>
      </c>
      <c r="X103" s="86">
        <f>E103</f>
        <v>20</v>
      </c>
      <c r="Y103" s="91">
        <f>H103</f>
        <v>258</v>
      </c>
      <c r="Z103" s="89">
        <f>I103</f>
        <v>16300</v>
      </c>
      <c r="AA103" s="89">
        <f>K103</f>
        <v>15000</v>
      </c>
      <c r="AB103" s="89">
        <f t="shared" ref="AB103:AD104" si="153">M103</f>
        <v>1300</v>
      </c>
      <c r="AC103" s="4">
        <f t="shared" si="153"/>
        <v>0.92024539877300615</v>
      </c>
      <c r="AD103" s="90">
        <f t="shared" si="153"/>
        <v>815</v>
      </c>
      <c r="AE103" s="78" t="str">
        <f>S103</f>
        <v>계</v>
      </c>
      <c r="AF103" s="78" t="str">
        <f>Q103&amp;"/"&amp;R103</f>
        <v>2/1</v>
      </c>
      <c r="AH103" s="20" t="str">
        <f t="shared" si="152"/>
        <v>송천주공2차</v>
      </c>
      <c r="AI103" s="86">
        <f t="shared" si="151"/>
        <v>20</v>
      </c>
      <c r="AJ103" s="78" t="str">
        <f>IF(AI103="","",$AJ$2)</f>
        <v>A-</v>
      </c>
      <c r="AK103" s="78" t="s">
        <v>13</v>
      </c>
      <c r="AL103" s="78" t="s">
        <v>61</v>
      </c>
      <c r="AM103" s="78" t="s">
        <v>62</v>
      </c>
      <c r="AN103" s="78" t="str">
        <f>IF(AI103="","",$AN$2)</f>
        <v>C</v>
      </c>
      <c r="AO103" s="78" t="str">
        <f>IF(N103="","",IF(N103&gt;=$AO$1/100,"O","X"))</f>
        <v>O</v>
      </c>
      <c r="AP103" s="78" t="str">
        <f>IF(I103="","",IF(I103&lt;=$AP$1,"O","X"))</f>
        <v>O</v>
      </c>
      <c r="AQ103" s="78" t="str">
        <f>IF(O103="","",IF(O103&lt;=$AQ$1,"O","X"))</f>
        <v>O</v>
      </c>
      <c r="AR103" s="78" t="str">
        <f>IF(M103="","",IF(M103&lt;=$AR$1,"O","X"))</f>
        <v>O</v>
      </c>
      <c r="AS103" s="78" t="s">
        <v>2</v>
      </c>
      <c r="AT103" s="78" t="str">
        <f>IF(OR(F103="",AI103=""),"",IF(AND((F103&lt;=85),(AI103&gt;=15)),"O","X"))</f>
        <v>O</v>
      </c>
      <c r="AU103" s="78" t="str">
        <f>IF(C103="","",IF(C103&gt;=$AU$1,"O","X"))</f>
        <v>O</v>
      </c>
      <c r="AV103" s="78" t="str">
        <f>IF(AO103="","",IF(AND(AO103="O",AP103="O",AR103="O",AT103="O",AU103="O"),"후보","X"))</f>
        <v>후보</v>
      </c>
    </row>
    <row r="104" spans="1:48" x14ac:dyDescent="0.3">
      <c r="A104" s="9" t="s">
        <v>924</v>
      </c>
      <c r="B104" s="10" t="s">
        <v>1583</v>
      </c>
      <c r="C104" s="87">
        <v>710</v>
      </c>
      <c r="D104" s="85">
        <v>77.5</v>
      </c>
      <c r="E104" s="86">
        <v>23</v>
      </c>
      <c r="F104" s="85">
        <v>59.6</v>
      </c>
      <c r="G104" s="17">
        <v>18</v>
      </c>
      <c r="H104" s="87">
        <v>452</v>
      </c>
      <c r="I104" s="88">
        <v>19000</v>
      </c>
      <c r="J104" s="88" t="s">
        <v>127</v>
      </c>
      <c r="K104" s="88"/>
      <c r="L104" s="88"/>
      <c r="M104" s="89">
        <f>I104-K104</f>
        <v>19000</v>
      </c>
      <c r="N104" s="4">
        <f>IF(ISERROR(K104/I104),"",K104/I104)</f>
        <v>0</v>
      </c>
      <c r="O104" s="90">
        <f>I104/E104</f>
        <v>826.08695652173913</v>
      </c>
      <c r="P104" s="90">
        <f>K104/E104</f>
        <v>0</v>
      </c>
      <c r="Q104" s="78">
        <v>3</v>
      </c>
      <c r="R104" s="78">
        <v>1</v>
      </c>
      <c r="S104" s="78" t="s">
        <v>59</v>
      </c>
      <c r="T104" s="5">
        <v>77</v>
      </c>
      <c r="U104" s="9"/>
      <c r="W104" s="85">
        <f>D104</f>
        <v>77.5</v>
      </c>
      <c r="X104" s="86">
        <f>E104</f>
        <v>23</v>
      </c>
      <c r="Y104" s="91">
        <f>H104</f>
        <v>452</v>
      </c>
      <c r="Z104" s="89">
        <f>I104</f>
        <v>19000</v>
      </c>
      <c r="AA104" s="89">
        <f>K104</f>
        <v>0</v>
      </c>
      <c r="AB104" s="89">
        <f t="shared" si="153"/>
        <v>19000</v>
      </c>
      <c r="AC104" s="4">
        <f t="shared" si="153"/>
        <v>0</v>
      </c>
      <c r="AD104" s="90">
        <f t="shared" si="153"/>
        <v>826.08695652173913</v>
      </c>
      <c r="AE104" s="78" t="str">
        <f>S104</f>
        <v>계</v>
      </c>
      <c r="AF104" s="78" t="str">
        <f>Q104&amp;"/"&amp;R104</f>
        <v>3/1</v>
      </c>
      <c r="AH104" s="20" t="str">
        <f t="shared" si="152"/>
        <v>송천주공2차</v>
      </c>
      <c r="AI104" s="86">
        <f t="shared" si="151"/>
        <v>23</v>
      </c>
      <c r="AJ104" s="78" t="str">
        <f>IF(AI104="","",$AJ$2)</f>
        <v>A-</v>
      </c>
      <c r="AK104" s="78" t="s">
        <v>13</v>
      </c>
      <c r="AL104" s="78" t="s">
        <v>61</v>
      </c>
      <c r="AM104" s="78" t="s">
        <v>62</v>
      </c>
      <c r="AN104" s="78" t="str">
        <f>IF(AI104="","",$AN$2)</f>
        <v>C</v>
      </c>
      <c r="AO104" s="78" t="str">
        <f>IF(N104="","",IF(N104&gt;=$AO$1/100,"O","X"))</f>
        <v>X</v>
      </c>
      <c r="AP104" s="78" t="str">
        <f>IF(I104="","",IF(I104&lt;=$AP$1,"O","X"))</f>
        <v>O</v>
      </c>
      <c r="AQ104" s="78" t="str">
        <f>IF(O104="","",IF(O104&lt;=$AQ$1,"O","X"))</f>
        <v>O</v>
      </c>
      <c r="AR104" s="78" t="str">
        <f>IF(M104="","",IF(M104&lt;=$AR$1,"O","X"))</f>
        <v>X</v>
      </c>
      <c r="AS104" s="78" t="s">
        <v>2</v>
      </c>
      <c r="AT104" s="78" t="str">
        <f>IF(OR(F104="",AI104=""),"",IF(AND((F104&lt;=85),(AI104&gt;=15)),"O","X"))</f>
        <v>O</v>
      </c>
      <c r="AU104" s="78" t="str">
        <f>IF(C104="","",IF(C104&gt;=$AU$1,"O","X"))</f>
        <v>O</v>
      </c>
      <c r="AV104" s="78" t="str">
        <f>IF(AO104="","",IF(AND(AO104="O",AP104="O",AR104="O",AT104="O",AU104="O"),"후보","X"))</f>
        <v>X</v>
      </c>
    </row>
    <row r="105" spans="1:48" x14ac:dyDescent="0.3">
      <c r="A105" s="9"/>
      <c r="B105" s="78"/>
      <c r="C105" s="6"/>
      <c r="D105" s="9"/>
      <c r="E105" s="14"/>
      <c r="F105" s="85"/>
      <c r="G105" s="9"/>
      <c r="H105" s="9"/>
      <c r="I105" s="9"/>
      <c r="J105" s="9"/>
      <c r="K105" s="9"/>
      <c r="L105" s="9"/>
      <c r="M105" s="9"/>
      <c r="N105" s="9"/>
      <c r="O105" s="90"/>
      <c r="P105" s="90"/>
      <c r="Q105" s="86"/>
      <c r="R105" s="86"/>
      <c r="S105" s="9"/>
      <c r="T105" s="47"/>
      <c r="U105" s="9"/>
      <c r="W105" s="67" t="str">
        <f>$A$4&amp;" "&amp;A106&amp;"("&amp;B106&amp;","&amp;C106&amp;"^)"</f>
        <v>송천동2가 전주에코시티KCC스위첸('19.02.,948^)</v>
      </c>
      <c r="X105" s="68"/>
      <c r="Y105" s="68"/>
      <c r="Z105" s="68"/>
      <c r="AA105" s="68"/>
      <c r="AB105" s="68"/>
      <c r="AC105" s="68"/>
      <c r="AD105" s="68"/>
      <c r="AE105" s="68"/>
      <c r="AF105" s="69"/>
      <c r="AH105" s="20" t="str">
        <f t="shared" si="152"/>
        <v/>
      </c>
      <c r="AI105" s="108" t="str">
        <f t="shared" si="151"/>
        <v/>
      </c>
      <c r="AJ105" s="78"/>
      <c r="AK105" s="78"/>
      <c r="AL105" s="78"/>
      <c r="AM105" s="78"/>
      <c r="AN105" s="78"/>
      <c r="AO105" s="78"/>
      <c r="AP105" s="78"/>
      <c r="AQ105" s="78"/>
      <c r="AR105" s="78"/>
      <c r="AS105" s="78"/>
      <c r="AT105" s="78"/>
      <c r="AU105" s="78"/>
      <c r="AV105" s="78"/>
    </row>
    <row r="106" spans="1:48" x14ac:dyDescent="0.3">
      <c r="A106" s="9" t="s">
        <v>929</v>
      </c>
      <c r="B106" s="10" t="s">
        <v>1572</v>
      </c>
      <c r="C106" s="87">
        <v>948</v>
      </c>
      <c r="D106" s="85">
        <v>82.3</v>
      </c>
      <c r="E106" s="86">
        <v>25</v>
      </c>
      <c r="F106" s="85">
        <v>60</v>
      </c>
      <c r="G106" s="17">
        <v>18</v>
      </c>
      <c r="H106" s="87">
        <v>250</v>
      </c>
      <c r="I106" s="88">
        <v>41500</v>
      </c>
      <c r="J106" s="88" t="s">
        <v>108</v>
      </c>
      <c r="K106" s="88">
        <v>32000</v>
      </c>
      <c r="L106" s="88" t="s">
        <v>108</v>
      </c>
      <c r="M106" s="89">
        <f t="shared" ref="M106:M111" si="154">I106-K106</f>
        <v>9500</v>
      </c>
      <c r="N106" s="4">
        <f t="shared" ref="N106:N111" si="155">IF(ISERROR(K106/I106),"",K106/I106)</f>
        <v>0.77108433734939763</v>
      </c>
      <c r="O106" s="90">
        <f t="shared" ref="O106:O111" si="156">I106/E106</f>
        <v>1660</v>
      </c>
      <c r="P106" s="90">
        <f t="shared" ref="P106:P111" si="157">K106/E106</f>
        <v>1280</v>
      </c>
      <c r="Q106" s="78">
        <v>3</v>
      </c>
      <c r="R106" s="78">
        <v>2</v>
      </c>
      <c r="S106" s="78" t="s">
        <v>59</v>
      </c>
      <c r="T106" s="5">
        <v>82</v>
      </c>
      <c r="U106" s="9"/>
      <c r="W106" s="85">
        <f t="shared" ref="W106:X111" si="158">D106</f>
        <v>82.3</v>
      </c>
      <c r="X106" s="86">
        <f t="shared" si="158"/>
        <v>25</v>
      </c>
      <c r="Y106" s="91">
        <f t="shared" ref="Y106:Z111" si="159">H106</f>
        <v>250</v>
      </c>
      <c r="Z106" s="89">
        <f t="shared" si="159"/>
        <v>41500</v>
      </c>
      <c r="AA106" s="89">
        <f t="shared" ref="AA106:AA111" si="160">K106</f>
        <v>32000</v>
      </c>
      <c r="AB106" s="89">
        <f t="shared" ref="AB106:AD111" si="161">M106</f>
        <v>9500</v>
      </c>
      <c r="AC106" s="4">
        <f t="shared" si="161"/>
        <v>0.77108433734939763</v>
      </c>
      <c r="AD106" s="90">
        <f t="shared" si="161"/>
        <v>1660</v>
      </c>
      <c r="AE106" s="78" t="str">
        <f t="shared" ref="AE106:AE111" si="162">S106</f>
        <v>계</v>
      </c>
      <c r="AF106" s="78" t="str">
        <f t="shared" ref="AF106:AF111" si="163">Q106&amp;"/"&amp;R106</f>
        <v>3/2</v>
      </c>
      <c r="AH106" s="20" t="str">
        <f t="shared" si="152"/>
        <v>전주에코시티KCC스위첸</v>
      </c>
      <c r="AI106" s="86">
        <f t="shared" si="151"/>
        <v>25</v>
      </c>
      <c r="AJ106" s="78" t="str">
        <f t="shared" ref="AJ106:AJ111" si="164">IF(AI106="","",$AJ$2)</f>
        <v>A-</v>
      </c>
      <c r="AK106" s="78" t="s">
        <v>13</v>
      </c>
      <c r="AL106" s="78" t="s">
        <v>61</v>
      </c>
      <c r="AM106" s="78" t="s">
        <v>62</v>
      </c>
      <c r="AN106" s="78" t="str">
        <f t="shared" ref="AN106:AN111" si="165">IF(AI106="","",$AN$2)</f>
        <v>C</v>
      </c>
      <c r="AO106" s="78" t="str">
        <f t="shared" ref="AO106:AO111" si="166">IF(N106="","",IF(N106&gt;=$AO$1/100,"O","X"))</f>
        <v>X</v>
      </c>
      <c r="AP106" s="78" t="str">
        <f t="shared" ref="AP106:AP111" si="167">IF(I106="","",IF(I106&lt;=$AP$1,"O","X"))</f>
        <v>O</v>
      </c>
      <c r="AQ106" s="78" t="str">
        <f t="shared" ref="AQ106:AQ111" si="168">IF(O106="","",IF(O106&lt;=$AQ$1,"O","X"))</f>
        <v>X</v>
      </c>
      <c r="AR106" s="78" t="str">
        <f t="shared" ref="AR106:AR111" si="169">IF(M106="","",IF(M106&lt;=$AR$1,"O","X"))</f>
        <v>X</v>
      </c>
      <c r="AS106" s="78" t="s">
        <v>2</v>
      </c>
      <c r="AT106" s="78" t="str">
        <f t="shared" ref="AT106:AT111" si="170">IF(OR(F106="",AI106=""),"",IF(AND((F106&lt;=85),(AI106&gt;=15)),"O","X"))</f>
        <v>O</v>
      </c>
      <c r="AU106" s="78" t="str">
        <f t="shared" ref="AU106:AU111" si="171">IF(C106="","",IF(C106&gt;=$AU$1,"O","X"))</f>
        <v>O</v>
      </c>
      <c r="AV106" s="78" t="str">
        <f t="shared" ref="AV106:AV111" si="172">IF(AO106="","",IF(AND(AO106="O",AP106="O",AR106="O",AT106="O",AU106="O"),"후보","X"))</f>
        <v>X</v>
      </c>
    </row>
    <row r="107" spans="1:48" x14ac:dyDescent="0.3">
      <c r="A107" s="9" t="s">
        <v>929</v>
      </c>
      <c r="B107" s="10" t="s">
        <v>1572</v>
      </c>
      <c r="C107" s="87">
        <v>948</v>
      </c>
      <c r="D107" s="85">
        <v>114.8</v>
      </c>
      <c r="E107" s="86">
        <v>35</v>
      </c>
      <c r="F107" s="85">
        <v>85</v>
      </c>
      <c r="G107" s="17">
        <v>26</v>
      </c>
      <c r="H107" s="87">
        <v>492</v>
      </c>
      <c r="I107" s="88">
        <v>58000</v>
      </c>
      <c r="J107" s="88" t="s">
        <v>72</v>
      </c>
      <c r="K107" s="88"/>
      <c r="L107" s="88"/>
      <c r="M107" s="89">
        <f t="shared" si="154"/>
        <v>58000</v>
      </c>
      <c r="N107" s="4">
        <f t="shared" si="155"/>
        <v>0</v>
      </c>
      <c r="O107" s="90">
        <f t="shared" si="156"/>
        <v>1657.1428571428571</v>
      </c>
      <c r="P107" s="90">
        <f t="shared" si="157"/>
        <v>0</v>
      </c>
      <c r="Q107" s="78">
        <v>3</v>
      </c>
      <c r="R107" s="78">
        <v>2</v>
      </c>
      <c r="S107" s="78" t="s">
        <v>59</v>
      </c>
      <c r="T107" s="5" t="s">
        <v>78</v>
      </c>
      <c r="U107" s="9"/>
      <c r="W107" s="85">
        <f t="shared" si="158"/>
        <v>114.8</v>
      </c>
      <c r="X107" s="86">
        <f t="shared" si="158"/>
        <v>35</v>
      </c>
      <c r="Y107" s="91">
        <f t="shared" si="159"/>
        <v>492</v>
      </c>
      <c r="Z107" s="89">
        <f t="shared" si="159"/>
        <v>58000</v>
      </c>
      <c r="AA107" s="89">
        <f t="shared" si="160"/>
        <v>0</v>
      </c>
      <c r="AB107" s="89">
        <f t="shared" si="161"/>
        <v>58000</v>
      </c>
      <c r="AC107" s="4">
        <f t="shared" si="161"/>
        <v>0</v>
      </c>
      <c r="AD107" s="90">
        <f t="shared" si="161"/>
        <v>1657.1428571428571</v>
      </c>
      <c r="AE107" s="78" t="str">
        <f t="shared" si="162"/>
        <v>계</v>
      </c>
      <c r="AF107" s="78" t="str">
        <f t="shared" si="163"/>
        <v>3/2</v>
      </c>
      <c r="AH107" s="20" t="str">
        <f t="shared" si="152"/>
        <v>전주에코시티KCC스위첸</v>
      </c>
      <c r="AI107" s="86">
        <f t="shared" si="151"/>
        <v>35</v>
      </c>
      <c r="AJ107" s="78" t="str">
        <f t="shared" si="164"/>
        <v>A-</v>
      </c>
      <c r="AK107" s="78" t="s">
        <v>13</v>
      </c>
      <c r="AL107" s="78" t="s">
        <v>61</v>
      </c>
      <c r="AM107" s="78" t="s">
        <v>62</v>
      </c>
      <c r="AN107" s="78" t="str">
        <f t="shared" si="165"/>
        <v>C</v>
      </c>
      <c r="AO107" s="78" t="str">
        <f t="shared" si="166"/>
        <v>X</v>
      </c>
      <c r="AP107" s="78" t="str">
        <f t="shared" si="167"/>
        <v>X</v>
      </c>
      <c r="AQ107" s="78" t="str">
        <f t="shared" si="168"/>
        <v>X</v>
      </c>
      <c r="AR107" s="78" t="str">
        <f t="shared" si="169"/>
        <v>X</v>
      </c>
      <c r="AS107" s="78" t="s">
        <v>2</v>
      </c>
      <c r="AT107" s="78" t="str">
        <f t="shared" si="170"/>
        <v>O</v>
      </c>
      <c r="AU107" s="78" t="str">
        <f t="shared" si="171"/>
        <v>O</v>
      </c>
      <c r="AV107" s="78" t="str">
        <f t="shared" si="172"/>
        <v>X</v>
      </c>
    </row>
    <row r="108" spans="1:48" x14ac:dyDescent="0.3">
      <c r="A108" s="9" t="s">
        <v>929</v>
      </c>
      <c r="B108" s="10" t="s">
        <v>1572</v>
      </c>
      <c r="C108" s="87">
        <v>948</v>
      </c>
      <c r="D108" s="85">
        <v>114.8</v>
      </c>
      <c r="E108" s="86">
        <v>35</v>
      </c>
      <c r="F108" s="85">
        <v>84.9</v>
      </c>
      <c r="G108" s="17">
        <v>26</v>
      </c>
      <c r="H108" s="87">
        <v>103</v>
      </c>
      <c r="I108" s="88">
        <v>60000</v>
      </c>
      <c r="J108" s="88" t="s">
        <v>107</v>
      </c>
      <c r="K108" s="88"/>
      <c r="L108" s="88"/>
      <c r="M108" s="89">
        <f t="shared" si="154"/>
        <v>60000</v>
      </c>
      <c r="N108" s="4">
        <f t="shared" si="155"/>
        <v>0</v>
      </c>
      <c r="O108" s="90">
        <f t="shared" si="156"/>
        <v>1714.2857142857142</v>
      </c>
      <c r="P108" s="90">
        <f t="shared" si="157"/>
        <v>0</v>
      </c>
      <c r="Q108" s="78">
        <v>3</v>
      </c>
      <c r="R108" s="78">
        <v>2</v>
      </c>
      <c r="S108" s="78" t="s">
        <v>59</v>
      </c>
      <c r="T108" s="5" t="s">
        <v>79</v>
      </c>
      <c r="U108" s="9"/>
      <c r="W108" s="85">
        <f t="shared" si="158"/>
        <v>114.8</v>
      </c>
      <c r="X108" s="86">
        <f t="shared" si="158"/>
        <v>35</v>
      </c>
      <c r="Y108" s="91">
        <f t="shared" si="159"/>
        <v>103</v>
      </c>
      <c r="Z108" s="89">
        <f t="shared" si="159"/>
        <v>60000</v>
      </c>
      <c r="AA108" s="89">
        <f t="shared" si="160"/>
        <v>0</v>
      </c>
      <c r="AB108" s="89">
        <f t="shared" si="161"/>
        <v>60000</v>
      </c>
      <c r="AC108" s="4">
        <f t="shared" si="161"/>
        <v>0</v>
      </c>
      <c r="AD108" s="90">
        <f t="shared" si="161"/>
        <v>1714.2857142857142</v>
      </c>
      <c r="AE108" s="78" t="str">
        <f t="shared" si="162"/>
        <v>계</v>
      </c>
      <c r="AF108" s="78" t="str">
        <f t="shared" si="163"/>
        <v>3/2</v>
      </c>
      <c r="AH108" s="20" t="str">
        <f t="shared" si="152"/>
        <v>전주에코시티KCC스위첸</v>
      </c>
      <c r="AI108" s="86">
        <f t="shared" si="151"/>
        <v>35</v>
      </c>
      <c r="AJ108" s="78" t="str">
        <f t="shared" si="164"/>
        <v>A-</v>
      </c>
      <c r="AK108" s="78" t="s">
        <v>13</v>
      </c>
      <c r="AL108" s="78" t="s">
        <v>61</v>
      </c>
      <c r="AM108" s="78" t="s">
        <v>62</v>
      </c>
      <c r="AN108" s="78" t="str">
        <f t="shared" si="165"/>
        <v>C</v>
      </c>
      <c r="AO108" s="78" t="str">
        <f t="shared" si="166"/>
        <v>X</v>
      </c>
      <c r="AP108" s="78" t="str">
        <f t="shared" si="167"/>
        <v>X</v>
      </c>
      <c r="AQ108" s="78" t="str">
        <f t="shared" si="168"/>
        <v>X</v>
      </c>
      <c r="AR108" s="78" t="str">
        <f t="shared" si="169"/>
        <v>X</v>
      </c>
      <c r="AS108" s="78" t="s">
        <v>2</v>
      </c>
      <c r="AT108" s="78" t="str">
        <f t="shared" si="170"/>
        <v>O</v>
      </c>
      <c r="AU108" s="78" t="str">
        <f t="shared" si="171"/>
        <v>O</v>
      </c>
      <c r="AV108" s="78" t="str">
        <f t="shared" si="172"/>
        <v>X</v>
      </c>
    </row>
    <row r="109" spans="1:48" x14ac:dyDescent="0.3">
      <c r="A109" s="9" t="s">
        <v>929</v>
      </c>
      <c r="B109" s="10" t="s">
        <v>1572</v>
      </c>
      <c r="C109" s="87">
        <v>948</v>
      </c>
      <c r="D109" s="85">
        <v>114.5</v>
      </c>
      <c r="E109" s="86">
        <v>35</v>
      </c>
      <c r="F109" s="85">
        <v>85</v>
      </c>
      <c r="G109" s="17">
        <v>26</v>
      </c>
      <c r="H109" s="87">
        <v>87</v>
      </c>
      <c r="I109" s="88">
        <v>63000</v>
      </c>
      <c r="J109" s="88" t="s">
        <v>87</v>
      </c>
      <c r="K109" s="88"/>
      <c r="L109" s="88"/>
      <c r="M109" s="89">
        <f t="shared" si="154"/>
        <v>63000</v>
      </c>
      <c r="N109" s="4">
        <f t="shared" si="155"/>
        <v>0</v>
      </c>
      <c r="O109" s="90">
        <f t="shared" si="156"/>
        <v>1800</v>
      </c>
      <c r="P109" s="90">
        <f t="shared" si="157"/>
        <v>0</v>
      </c>
      <c r="Q109" s="78">
        <v>3</v>
      </c>
      <c r="R109" s="78">
        <v>2</v>
      </c>
      <c r="S109" s="78" t="s">
        <v>59</v>
      </c>
      <c r="T109" s="5" t="s">
        <v>154</v>
      </c>
      <c r="U109" s="9"/>
      <c r="W109" s="85">
        <f t="shared" si="158"/>
        <v>114.5</v>
      </c>
      <c r="X109" s="86">
        <f t="shared" si="158"/>
        <v>35</v>
      </c>
      <c r="Y109" s="91">
        <f t="shared" si="159"/>
        <v>87</v>
      </c>
      <c r="Z109" s="89">
        <f t="shared" si="159"/>
        <v>63000</v>
      </c>
      <c r="AA109" s="89">
        <f t="shared" si="160"/>
        <v>0</v>
      </c>
      <c r="AB109" s="89">
        <f t="shared" si="161"/>
        <v>63000</v>
      </c>
      <c r="AC109" s="4">
        <f t="shared" si="161"/>
        <v>0</v>
      </c>
      <c r="AD109" s="90">
        <f t="shared" si="161"/>
        <v>1800</v>
      </c>
      <c r="AE109" s="78" t="str">
        <f t="shared" si="162"/>
        <v>계</v>
      </c>
      <c r="AF109" s="78" t="str">
        <f t="shared" si="163"/>
        <v>3/2</v>
      </c>
      <c r="AH109" s="20" t="str">
        <f t="shared" si="152"/>
        <v>전주에코시티KCC스위첸</v>
      </c>
      <c r="AI109" s="86">
        <f t="shared" si="151"/>
        <v>35</v>
      </c>
      <c r="AJ109" s="78" t="str">
        <f t="shared" si="164"/>
        <v>A-</v>
      </c>
      <c r="AK109" s="78" t="s">
        <v>13</v>
      </c>
      <c r="AL109" s="78" t="s">
        <v>61</v>
      </c>
      <c r="AM109" s="78" t="s">
        <v>62</v>
      </c>
      <c r="AN109" s="78" t="str">
        <f t="shared" si="165"/>
        <v>C</v>
      </c>
      <c r="AO109" s="78" t="str">
        <f t="shared" si="166"/>
        <v>X</v>
      </c>
      <c r="AP109" s="78" t="str">
        <f t="shared" si="167"/>
        <v>X</v>
      </c>
      <c r="AQ109" s="78" t="str">
        <f t="shared" si="168"/>
        <v>X</v>
      </c>
      <c r="AR109" s="78" t="str">
        <f t="shared" si="169"/>
        <v>X</v>
      </c>
      <c r="AS109" s="78" t="s">
        <v>2</v>
      </c>
      <c r="AT109" s="78" t="str">
        <f t="shared" si="170"/>
        <v>O</v>
      </c>
      <c r="AU109" s="78" t="str">
        <f t="shared" si="171"/>
        <v>O</v>
      </c>
      <c r="AV109" s="78" t="str">
        <f t="shared" si="172"/>
        <v>X</v>
      </c>
    </row>
    <row r="110" spans="1:48" x14ac:dyDescent="0.3">
      <c r="A110" s="9" t="s">
        <v>929</v>
      </c>
      <c r="B110" s="10" t="s">
        <v>1572</v>
      </c>
      <c r="C110" s="87">
        <v>948</v>
      </c>
      <c r="D110" s="85">
        <v>114.8</v>
      </c>
      <c r="E110" s="86">
        <v>35</v>
      </c>
      <c r="F110" s="85">
        <v>85</v>
      </c>
      <c r="G110" s="17">
        <v>26</v>
      </c>
      <c r="H110" s="87">
        <v>8</v>
      </c>
      <c r="I110" s="88">
        <v>58000</v>
      </c>
      <c r="J110" s="88" t="s">
        <v>72</v>
      </c>
      <c r="K110" s="88"/>
      <c r="L110" s="88"/>
      <c r="M110" s="89">
        <f t="shared" si="154"/>
        <v>58000</v>
      </c>
      <c r="N110" s="4">
        <f t="shared" si="155"/>
        <v>0</v>
      </c>
      <c r="O110" s="90">
        <f t="shared" si="156"/>
        <v>1657.1428571428571</v>
      </c>
      <c r="P110" s="90">
        <f t="shared" si="157"/>
        <v>0</v>
      </c>
      <c r="Q110" s="78">
        <v>3</v>
      </c>
      <c r="R110" s="78">
        <v>2</v>
      </c>
      <c r="S110" s="78" t="s">
        <v>59</v>
      </c>
      <c r="T110" s="5" t="s">
        <v>176</v>
      </c>
      <c r="U110" s="9"/>
      <c r="W110" s="85">
        <f t="shared" si="158"/>
        <v>114.8</v>
      </c>
      <c r="X110" s="86">
        <f t="shared" si="158"/>
        <v>35</v>
      </c>
      <c r="Y110" s="91">
        <f t="shared" si="159"/>
        <v>8</v>
      </c>
      <c r="Z110" s="89">
        <f t="shared" si="159"/>
        <v>58000</v>
      </c>
      <c r="AA110" s="89">
        <f t="shared" si="160"/>
        <v>0</v>
      </c>
      <c r="AB110" s="89">
        <f t="shared" si="161"/>
        <v>58000</v>
      </c>
      <c r="AC110" s="4">
        <f t="shared" si="161"/>
        <v>0</v>
      </c>
      <c r="AD110" s="90">
        <f t="shared" si="161"/>
        <v>1657.1428571428571</v>
      </c>
      <c r="AE110" s="78" t="str">
        <f t="shared" si="162"/>
        <v>계</v>
      </c>
      <c r="AF110" s="78" t="str">
        <f t="shared" si="163"/>
        <v>3/2</v>
      </c>
      <c r="AH110" s="20" t="str">
        <f t="shared" si="152"/>
        <v>전주에코시티KCC스위첸</v>
      </c>
      <c r="AI110" s="86">
        <f t="shared" si="151"/>
        <v>35</v>
      </c>
      <c r="AJ110" s="78" t="str">
        <f t="shared" si="164"/>
        <v>A-</v>
      </c>
      <c r="AK110" s="78" t="s">
        <v>13</v>
      </c>
      <c r="AL110" s="78" t="s">
        <v>61</v>
      </c>
      <c r="AM110" s="78" t="s">
        <v>62</v>
      </c>
      <c r="AN110" s="78" t="str">
        <f t="shared" si="165"/>
        <v>C</v>
      </c>
      <c r="AO110" s="78" t="str">
        <f t="shared" si="166"/>
        <v>X</v>
      </c>
      <c r="AP110" s="78" t="str">
        <f t="shared" si="167"/>
        <v>X</v>
      </c>
      <c r="AQ110" s="78" t="str">
        <f t="shared" si="168"/>
        <v>X</v>
      </c>
      <c r="AR110" s="78" t="str">
        <f t="shared" si="169"/>
        <v>X</v>
      </c>
      <c r="AS110" s="78" t="s">
        <v>2</v>
      </c>
      <c r="AT110" s="78" t="str">
        <f t="shared" si="170"/>
        <v>O</v>
      </c>
      <c r="AU110" s="78" t="str">
        <f t="shared" si="171"/>
        <v>O</v>
      </c>
      <c r="AV110" s="78" t="str">
        <f t="shared" si="172"/>
        <v>X</v>
      </c>
    </row>
    <row r="111" spans="1:48" x14ac:dyDescent="0.3">
      <c r="A111" s="9" t="s">
        <v>929</v>
      </c>
      <c r="B111" s="10" t="s">
        <v>1572</v>
      </c>
      <c r="C111" s="87">
        <v>948</v>
      </c>
      <c r="D111" s="85">
        <v>115.4</v>
      </c>
      <c r="E111" s="86">
        <v>35</v>
      </c>
      <c r="F111" s="85">
        <v>85</v>
      </c>
      <c r="G111" s="17">
        <v>26</v>
      </c>
      <c r="H111" s="87">
        <v>8</v>
      </c>
      <c r="I111" s="88"/>
      <c r="J111" s="88"/>
      <c r="K111" s="88"/>
      <c r="L111" s="88"/>
      <c r="M111" s="89">
        <f t="shared" si="154"/>
        <v>0</v>
      </c>
      <c r="N111" s="4" t="str">
        <f t="shared" si="155"/>
        <v/>
      </c>
      <c r="O111" s="90">
        <f t="shared" si="156"/>
        <v>0</v>
      </c>
      <c r="P111" s="90">
        <f t="shared" si="157"/>
        <v>0</v>
      </c>
      <c r="Q111" s="78">
        <v>3</v>
      </c>
      <c r="R111" s="78">
        <v>2</v>
      </c>
      <c r="S111" s="78" t="s">
        <v>59</v>
      </c>
      <c r="T111" s="5" t="s">
        <v>177</v>
      </c>
      <c r="U111" s="9"/>
      <c r="W111" s="85">
        <f t="shared" si="158"/>
        <v>115.4</v>
      </c>
      <c r="X111" s="86">
        <f t="shared" si="158"/>
        <v>35</v>
      </c>
      <c r="Y111" s="91">
        <f t="shared" si="159"/>
        <v>8</v>
      </c>
      <c r="Z111" s="89">
        <f t="shared" si="159"/>
        <v>0</v>
      </c>
      <c r="AA111" s="89">
        <f t="shared" si="160"/>
        <v>0</v>
      </c>
      <c r="AB111" s="89">
        <f t="shared" si="161"/>
        <v>0</v>
      </c>
      <c r="AC111" s="4" t="str">
        <f t="shared" si="161"/>
        <v/>
      </c>
      <c r="AD111" s="90">
        <f t="shared" si="161"/>
        <v>0</v>
      </c>
      <c r="AE111" s="78" t="str">
        <f t="shared" si="162"/>
        <v>계</v>
      </c>
      <c r="AF111" s="78" t="str">
        <f t="shared" si="163"/>
        <v>3/2</v>
      </c>
      <c r="AH111" s="20" t="str">
        <f t="shared" si="152"/>
        <v>전주에코시티KCC스위첸</v>
      </c>
      <c r="AI111" s="86">
        <f t="shared" si="151"/>
        <v>35</v>
      </c>
      <c r="AJ111" s="78" t="str">
        <f t="shared" si="164"/>
        <v>A-</v>
      </c>
      <c r="AK111" s="78" t="s">
        <v>13</v>
      </c>
      <c r="AL111" s="78" t="s">
        <v>61</v>
      </c>
      <c r="AM111" s="78" t="s">
        <v>62</v>
      </c>
      <c r="AN111" s="78" t="str">
        <f t="shared" si="165"/>
        <v>C</v>
      </c>
      <c r="AO111" s="78" t="str">
        <f t="shared" si="166"/>
        <v/>
      </c>
      <c r="AP111" s="78" t="str">
        <f t="shared" si="167"/>
        <v/>
      </c>
      <c r="AQ111" s="78" t="str">
        <f t="shared" si="168"/>
        <v>O</v>
      </c>
      <c r="AR111" s="78" t="str">
        <f t="shared" si="169"/>
        <v>O</v>
      </c>
      <c r="AS111" s="78" t="s">
        <v>2</v>
      </c>
      <c r="AT111" s="78" t="str">
        <f t="shared" si="170"/>
        <v>O</v>
      </c>
      <c r="AU111" s="78" t="str">
        <f t="shared" si="171"/>
        <v>O</v>
      </c>
      <c r="AV111" s="78" t="str">
        <f t="shared" si="172"/>
        <v/>
      </c>
    </row>
    <row r="112" spans="1:48" x14ac:dyDescent="0.3">
      <c r="A112" s="9"/>
      <c r="B112" s="78"/>
      <c r="C112" s="6"/>
      <c r="D112" s="9"/>
      <c r="E112" s="14"/>
      <c r="F112" s="85"/>
      <c r="G112" s="9"/>
      <c r="H112" s="9"/>
      <c r="I112" s="9"/>
      <c r="J112" s="9"/>
      <c r="K112" s="9"/>
      <c r="L112" s="9"/>
      <c r="M112" s="9"/>
      <c r="N112" s="9"/>
      <c r="O112" s="90"/>
      <c r="P112" s="90"/>
      <c r="Q112" s="86"/>
      <c r="R112" s="86"/>
      <c r="S112" s="9"/>
      <c r="T112" s="47"/>
      <c r="U112" s="9"/>
      <c r="W112" s="67" t="str">
        <f>$A$4&amp;" "&amp;A113&amp;"("&amp;B113&amp;","&amp;C113&amp;"^)"</f>
        <v>송천동2가 에코시티데시앙2차(7BL)('19.01.,643^)</v>
      </c>
      <c r="X112" s="68"/>
      <c r="Y112" s="68"/>
      <c r="Z112" s="68"/>
      <c r="AA112" s="68"/>
      <c r="AB112" s="68"/>
      <c r="AC112" s="68"/>
      <c r="AD112" s="68"/>
      <c r="AE112" s="68"/>
      <c r="AF112" s="69"/>
      <c r="AH112" s="20" t="str">
        <f t="shared" si="152"/>
        <v/>
      </c>
      <c r="AI112" s="108" t="str">
        <f t="shared" si="151"/>
        <v/>
      </c>
      <c r="AJ112" s="78"/>
      <c r="AK112" s="78"/>
      <c r="AL112" s="78"/>
      <c r="AM112" s="78"/>
      <c r="AN112" s="78"/>
      <c r="AO112" s="78"/>
      <c r="AP112" s="78"/>
      <c r="AQ112" s="78"/>
      <c r="AR112" s="78"/>
      <c r="AS112" s="78"/>
      <c r="AT112" s="78"/>
      <c r="AU112" s="78"/>
      <c r="AV112" s="78"/>
    </row>
    <row r="113" spans="1:48" x14ac:dyDescent="0.3">
      <c r="A113" s="9" t="s">
        <v>933</v>
      </c>
      <c r="B113" s="10" t="s">
        <v>1545</v>
      </c>
      <c r="C113" s="87">
        <v>643</v>
      </c>
      <c r="D113" s="85">
        <v>82.4</v>
      </c>
      <c r="E113" s="86">
        <v>25</v>
      </c>
      <c r="F113" s="85">
        <v>60</v>
      </c>
      <c r="G113" s="17">
        <v>18</v>
      </c>
      <c r="H113" s="87">
        <v>116</v>
      </c>
      <c r="I113" s="88">
        <v>42000</v>
      </c>
      <c r="J113" s="88" t="s">
        <v>69</v>
      </c>
      <c r="K113" s="88"/>
      <c r="L113" s="88"/>
      <c r="M113" s="89">
        <f>I113-K113</f>
        <v>42000</v>
      </c>
      <c r="N113" s="4">
        <f>IF(ISERROR(K113/I113),"",K113/I113)</f>
        <v>0</v>
      </c>
      <c r="O113" s="90">
        <f>I113/E113</f>
        <v>1680</v>
      </c>
      <c r="P113" s="90">
        <f>K113/E113</f>
        <v>0</v>
      </c>
      <c r="Q113" s="78">
        <v>3</v>
      </c>
      <c r="R113" s="78">
        <v>2</v>
      </c>
      <c r="S113" s="78" t="s">
        <v>59</v>
      </c>
      <c r="T113" s="5" t="s">
        <v>145</v>
      </c>
      <c r="U113" s="9"/>
      <c r="W113" s="85">
        <f t="shared" ref="W113:X116" si="173">D113</f>
        <v>82.4</v>
      </c>
      <c r="X113" s="86">
        <f t="shared" si="173"/>
        <v>25</v>
      </c>
      <c r="Y113" s="91">
        <f t="shared" ref="Y113:Z116" si="174">H113</f>
        <v>116</v>
      </c>
      <c r="Z113" s="89">
        <f t="shared" si="174"/>
        <v>42000</v>
      </c>
      <c r="AA113" s="89">
        <f>K113</f>
        <v>0</v>
      </c>
      <c r="AB113" s="89">
        <f t="shared" ref="AB113:AD116" si="175">M113</f>
        <v>42000</v>
      </c>
      <c r="AC113" s="4">
        <f t="shared" si="175"/>
        <v>0</v>
      </c>
      <c r="AD113" s="90">
        <f t="shared" si="175"/>
        <v>1680</v>
      </c>
      <c r="AE113" s="78" t="str">
        <f>S113</f>
        <v>계</v>
      </c>
      <c r="AF113" s="78" t="str">
        <f>Q113&amp;"/"&amp;R113</f>
        <v>3/2</v>
      </c>
      <c r="AH113" s="20" t="str">
        <f t="shared" si="152"/>
        <v>에코시티데시앙2차(7BL)</v>
      </c>
      <c r="AI113" s="86">
        <f t="shared" si="151"/>
        <v>25</v>
      </c>
      <c r="AJ113" s="78" t="str">
        <f>IF(AI113="","",$AJ$2)</f>
        <v>A-</v>
      </c>
      <c r="AK113" s="78" t="s">
        <v>13</v>
      </c>
      <c r="AL113" s="78" t="s">
        <v>61</v>
      </c>
      <c r="AM113" s="78" t="s">
        <v>62</v>
      </c>
      <c r="AN113" s="78" t="str">
        <f>IF(AI113="","",$AN$2)</f>
        <v>C</v>
      </c>
      <c r="AO113" s="78" t="str">
        <f>IF(N113="","",IF(N113&gt;=$AO$1/100,"O","X"))</f>
        <v>X</v>
      </c>
      <c r="AP113" s="78" t="str">
        <f>IF(I113="","",IF(I113&lt;=$AP$1,"O","X"))</f>
        <v>O</v>
      </c>
      <c r="AQ113" s="78" t="str">
        <f>IF(O113="","",IF(O113&lt;=$AQ$1,"O","X"))</f>
        <v>X</v>
      </c>
      <c r="AR113" s="78" t="str">
        <f>IF(M113="","",IF(M113&lt;=$AR$1,"O","X"))</f>
        <v>X</v>
      </c>
      <c r="AS113" s="78" t="s">
        <v>2</v>
      </c>
      <c r="AT113" s="78" t="str">
        <f>IF(OR(F113="",AI113=""),"",IF(AND((F113&lt;=85),(AI113&gt;=15)),"O","X"))</f>
        <v>O</v>
      </c>
      <c r="AU113" s="78" t="str">
        <f>IF(C113="","",IF(C113&gt;=$AU$1,"O","X"))</f>
        <v>O</v>
      </c>
      <c r="AV113" s="78" t="str">
        <f>IF(AO113="","",IF(AND(AO113="O",AP113="O",AR113="O",AT113="O",AU113="O"),"후보","X"))</f>
        <v>X</v>
      </c>
    </row>
    <row r="114" spans="1:48" x14ac:dyDescent="0.3">
      <c r="A114" s="9" t="s">
        <v>933</v>
      </c>
      <c r="B114" s="10" t="s">
        <v>1545</v>
      </c>
      <c r="C114" s="87">
        <v>643</v>
      </c>
      <c r="D114" s="85">
        <v>82.3</v>
      </c>
      <c r="E114" s="86">
        <v>25</v>
      </c>
      <c r="F114" s="85">
        <v>59.9</v>
      </c>
      <c r="G114" s="17">
        <v>18</v>
      </c>
      <c r="H114" s="87">
        <v>29</v>
      </c>
      <c r="I114" s="88">
        <v>41000</v>
      </c>
      <c r="J114" s="88" t="s">
        <v>1584</v>
      </c>
      <c r="K114" s="88"/>
      <c r="L114" s="88"/>
      <c r="M114" s="89">
        <f>I114-K114</f>
        <v>41000</v>
      </c>
      <c r="N114" s="4">
        <f>IF(ISERROR(K114/I114),"",K114/I114)</f>
        <v>0</v>
      </c>
      <c r="O114" s="90">
        <f>I114/E114</f>
        <v>1640</v>
      </c>
      <c r="P114" s="90">
        <f>K114/E114</f>
        <v>0</v>
      </c>
      <c r="Q114" s="78">
        <v>3</v>
      </c>
      <c r="R114" s="78">
        <v>2</v>
      </c>
      <c r="S114" s="78" t="s">
        <v>59</v>
      </c>
      <c r="T114" s="5" t="s">
        <v>146</v>
      </c>
      <c r="U114" s="9"/>
      <c r="W114" s="85">
        <f t="shared" si="173"/>
        <v>82.3</v>
      </c>
      <c r="X114" s="86">
        <f t="shared" si="173"/>
        <v>25</v>
      </c>
      <c r="Y114" s="91">
        <f t="shared" si="174"/>
        <v>29</v>
      </c>
      <c r="Z114" s="89">
        <f t="shared" si="174"/>
        <v>41000</v>
      </c>
      <c r="AA114" s="89">
        <f>K114</f>
        <v>0</v>
      </c>
      <c r="AB114" s="89">
        <f t="shared" si="175"/>
        <v>41000</v>
      </c>
      <c r="AC114" s="4">
        <f t="shared" si="175"/>
        <v>0</v>
      </c>
      <c r="AD114" s="90">
        <f t="shared" si="175"/>
        <v>1640</v>
      </c>
      <c r="AE114" s="78" t="str">
        <f>S114</f>
        <v>계</v>
      </c>
      <c r="AF114" s="78" t="str">
        <f>Q114&amp;"/"&amp;R114</f>
        <v>3/2</v>
      </c>
      <c r="AH114" s="20" t="str">
        <f t="shared" si="152"/>
        <v>에코시티데시앙2차(7BL)</v>
      </c>
      <c r="AI114" s="86">
        <f t="shared" si="151"/>
        <v>25</v>
      </c>
      <c r="AJ114" s="78" t="str">
        <f>IF(AI114="","",$AJ$2)</f>
        <v>A-</v>
      </c>
      <c r="AK114" s="78" t="s">
        <v>13</v>
      </c>
      <c r="AL114" s="78" t="s">
        <v>61</v>
      </c>
      <c r="AM114" s="78" t="s">
        <v>62</v>
      </c>
      <c r="AN114" s="78" t="str">
        <f>IF(AI114="","",$AN$2)</f>
        <v>C</v>
      </c>
      <c r="AO114" s="78" t="str">
        <f>IF(N114="","",IF(N114&gt;=$AO$1/100,"O","X"))</f>
        <v>X</v>
      </c>
      <c r="AP114" s="78" t="str">
        <f>IF(I114="","",IF(I114&lt;=$AP$1,"O","X"))</f>
        <v>O</v>
      </c>
      <c r="AQ114" s="78" t="str">
        <f>IF(O114="","",IF(O114&lt;=$AQ$1,"O","X"))</f>
        <v>X</v>
      </c>
      <c r="AR114" s="78" t="str">
        <f>IF(M114="","",IF(M114&lt;=$AR$1,"O","X"))</f>
        <v>X</v>
      </c>
      <c r="AS114" s="78" t="s">
        <v>2</v>
      </c>
      <c r="AT114" s="78" t="str">
        <f>IF(OR(F114="",AI114=""),"",IF(AND((F114&lt;=85),(AI114&gt;=15)),"O","X"))</f>
        <v>O</v>
      </c>
      <c r="AU114" s="78" t="str">
        <f>IF(C114="","",IF(C114&gt;=$AU$1,"O","X"))</f>
        <v>O</v>
      </c>
      <c r="AV114" s="78" t="str">
        <f>IF(AO114="","",IF(AND(AO114="O",AP114="O",AR114="O",AT114="O",AU114="O"),"후보","X"))</f>
        <v>X</v>
      </c>
    </row>
    <row r="115" spans="1:48" x14ac:dyDescent="0.3">
      <c r="A115" s="9" t="s">
        <v>933</v>
      </c>
      <c r="B115" s="10" t="s">
        <v>1545</v>
      </c>
      <c r="C115" s="87">
        <v>643</v>
      </c>
      <c r="D115" s="85">
        <v>115.9</v>
      </c>
      <c r="E115" s="86">
        <v>35</v>
      </c>
      <c r="F115" s="85">
        <v>85</v>
      </c>
      <c r="G115" s="17">
        <v>26</v>
      </c>
      <c r="H115" s="87">
        <v>274</v>
      </c>
      <c r="I115" s="88">
        <v>59000</v>
      </c>
      <c r="J115" s="88" t="s">
        <v>93</v>
      </c>
      <c r="K115" s="88"/>
      <c r="L115" s="88"/>
      <c r="M115" s="89">
        <f>I115-K115</f>
        <v>59000</v>
      </c>
      <c r="N115" s="4">
        <f>IF(ISERROR(K115/I115),"",K115/I115)</f>
        <v>0</v>
      </c>
      <c r="O115" s="90">
        <f>I115/E115</f>
        <v>1685.7142857142858</v>
      </c>
      <c r="P115" s="90">
        <f>K115/E115</f>
        <v>0</v>
      </c>
      <c r="Q115" s="78">
        <v>3</v>
      </c>
      <c r="R115" s="78">
        <v>2</v>
      </c>
      <c r="S115" s="78" t="s">
        <v>59</v>
      </c>
      <c r="T115" s="5" t="s">
        <v>157</v>
      </c>
      <c r="U115" s="9"/>
      <c r="W115" s="85">
        <f t="shared" si="173"/>
        <v>115.9</v>
      </c>
      <c r="X115" s="86">
        <f t="shared" si="173"/>
        <v>35</v>
      </c>
      <c r="Y115" s="91">
        <f t="shared" si="174"/>
        <v>274</v>
      </c>
      <c r="Z115" s="89">
        <f t="shared" si="174"/>
        <v>59000</v>
      </c>
      <c r="AA115" s="89">
        <f>K115</f>
        <v>0</v>
      </c>
      <c r="AB115" s="89">
        <f t="shared" si="175"/>
        <v>59000</v>
      </c>
      <c r="AC115" s="4">
        <f t="shared" si="175"/>
        <v>0</v>
      </c>
      <c r="AD115" s="90">
        <f t="shared" si="175"/>
        <v>1685.7142857142858</v>
      </c>
      <c r="AE115" s="78" t="str">
        <f>S115</f>
        <v>계</v>
      </c>
      <c r="AF115" s="78" t="str">
        <f>Q115&amp;"/"&amp;R115</f>
        <v>3/2</v>
      </c>
      <c r="AH115" s="20" t="str">
        <f t="shared" si="152"/>
        <v>에코시티데시앙2차(7BL)</v>
      </c>
      <c r="AI115" s="86">
        <f t="shared" si="151"/>
        <v>35</v>
      </c>
      <c r="AJ115" s="78" t="str">
        <f>IF(AI115="","",$AJ$2)</f>
        <v>A-</v>
      </c>
      <c r="AK115" s="78" t="s">
        <v>13</v>
      </c>
      <c r="AL115" s="78" t="s">
        <v>61</v>
      </c>
      <c r="AM115" s="78" t="s">
        <v>62</v>
      </c>
      <c r="AN115" s="78" t="str">
        <f>IF(AI115="","",$AN$2)</f>
        <v>C</v>
      </c>
      <c r="AO115" s="78" t="str">
        <f>IF(N115="","",IF(N115&gt;=$AO$1/100,"O","X"))</f>
        <v>X</v>
      </c>
      <c r="AP115" s="78" t="str">
        <f>IF(I115="","",IF(I115&lt;=$AP$1,"O","X"))</f>
        <v>X</v>
      </c>
      <c r="AQ115" s="78" t="str">
        <f>IF(O115="","",IF(O115&lt;=$AQ$1,"O","X"))</f>
        <v>X</v>
      </c>
      <c r="AR115" s="78" t="str">
        <f>IF(M115="","",IF(M115&lt;=$AR$1,"O","X"))</f>
        <v>X</v>
      </c>
      <c r="AS115" s="78" t="s">
        <v>2</v>
      </c>
      <c r="AT115" s="78" t="str">
        <f>IF(OR(F115="",AI115=""),"",IF(AND((F115&lt;=85),(AI115&gt;=15)),"O","X"))</f>
        <v>O</v>
      </c>
      <c r="AU115" s="78" t="str">
        <f>IF(C115="","",IF(C115&gt;=$AU$1,"O","X"))</f>
        <v>O</v>
      </c>
      <c r="AV115" s="78" t="str">
        <f>IF(AO115="","",IF(AND(AO115="O",AP115="O",AR115="O",AT115="O",AU115="O"),"후보","X"))</f>
        <v>X</v>
      </c>
    </row>
    <row r="116" spans="1:48" x14ac:dyDescent="0.3">
      <c r="A116" s="9" t="s">
        <v>933</v>
      </c>
      <c r="B116" s="10" t="s">
        <v>1545</v>
      </c>
      <c r="C116" s="87">
        <v>643</v>
      </c>
      <c r="D116" s="85">
        <v>133.5</v>
      </c>
      <c r="E116" s="86">
        <v>40</v>
      </c>
      <c r="F116" s="85">
        <v>98.5</v>
      </c>
      <c r="G116" s="17">
        <v>30</v>
      </c>
      <c r="H116" s="87">
        <v>224</v>
      </c>
      <c r="I116" s="88">
        <v>80000</v>
      </c>
      <c r="J116" s="88" t="s">
        <v>72</v>
      </c>
      <c r="K116" s="88"/>
      <c r="L116" s="88"/>
      <c r="M116" s="89">
        <f>I116-K116</f>
        <v>80000</v>
      </c>
      <c r="N116" s="4">
        <f>IF(ISERROR(K116/I116),"",K116/I116)</f>
        <v>0</v>
      </c>
      <c r="O116" s="90">
        <f>I116/E116</f>
        <v>2000</v>
      </c>
      <c r="P116" s="90">
        <f>K116/E116</f>
        <v>0</v>
      </c>
      <c r="Q116" s="78">
        <v>4</v>
      </c>
      <c r="R116" s="78">
        <v>2</v>
      </c>
      <c r="S116" s="78" t="s">
        <v>59</v>
      </c>
      <c r="T116" s="5" t="s">
        <v>178</v>
      </c>
      <c r="U116" s="9"/>
      <c r="W116" s="85">
        <f t="shared" si="173"/>
        <v>133.5</v>
      </c>
      <c r="X116" s="86">
        <f t="shared" si="173"/>
        <v>40</v>
      </c>
      <c r="Y116" s="91">
        <f t="shared" si="174"/>
        <v>224</v>
      </c>
      <c r="Z116" s="89">
        <f t="shared" si="174"/>
        <v>80000</v>
      </c>
      <c r="AA116" s="89">
        <f>K116</f>
        <v>0</v>
      </c>
      <c r="AB116" s="89">
        <f t="shared" si="175"/>
        <v>80000</v>
      </c>
      <c r="AC116" s="4">
        <f t="shared" si="175"/>
        <v>0</v>
      </c>
      <c r="AD116" s="90">
        <f t="shared" si="175"/>
        <v>2000</v>
      </c>
      <c r="AE116" s="78" t="str">
        <f>S116</f>
        <v>계</v>
      </c>
      <c r="AF116" s="78" t="str">
        <f>Q116&amp;"/"&amp;R116</f>
        <v>4/2</v>
      </c>
      <c r="AH116" s="20" t="str">
        <f t="shared" si="152"/>
        <v>에코시티데시앙2차(7BL)</v>
      </c>
      <c r="AI116" s="86">
        <f t="shared" si="151"/>
        <v>40</v>
      </c>
      <c r="AJ116" s="78" t="str">
        <f>IF(AI116="","",$AJ$2)</f>
        <v>A-</v>
      </c>
      <c r="AK116" s="78" t="s">
        <v>13</v>
      </c>
      <c r="AL116" s="78" t="s">
        <v>61</v>
      </c>
      <c r="AM116" s="78" t="s">
        <v>62</v>
      </c>
      <c r="AN116" s="78" t="str">
        <f>IF(AI116="","",$AN$2)</f>
        <v>C</v>
      </c>
      <c r="AO116" s="78" t="str">
        <f>IF(N116="","",IF(N116&gt;=$AO$1/100,"O","X"))</f>
        <v>X</v>
      </c>
      <c r="AP116" s="78" t="str">
        <f>IF(I116="","",IF(I116&lt;=$AP$1,"O","X"))</f>
        <v>X</v>
      </c>
      <c r="AQ116" s="78" t="str">
        <f>IF(O116="","",IF(O116&lt;=$AQ$1,"O","X"))</f>
        <v>X</v>
      </c>
      <c r="AR116" s="78" t="str">
        <f>IF(M116="","",IF(M116&lt;=$AR$1,"O","X"))</f>
        <v>X</v>
      </c>
      <c r="AS116" s="78" t="s">
        <v>2</v>
      </c>
      <c r="AT116" s="78" t="str">
        <f>IF(OR(F116="",AI116=""),"",IF(AND((F116&lt;=85),(AI116&gt;=15)),"O","X"))</f>
        <v>X</v>
      </c>
      <c r="AU116" s="78" t="str">
        <f>IF(C116="","",IF(C116&gt;=$AU$1,"O","X"))</f>
        <v>O</v>
      </c>
      <c r="AV116" s="78" t="str">
        <f>IF(AO116="","",IF(AND(AO116="O",AP116="O",AR116="O",AT116="O",AU116="O"),"후보","X"))</f>
        <v>X</v>
      </c>
    </row>
    <row r="117" spans="1:48" x14ac:dyDescent="0.3">
      <c r="A117" s="9"/>
      <c r="B117" s="78"/>
      <c r="C117" s="6"/>
      <c r="D117" s="9"/>
      <c r="E117" s="14"/>
      <c r="F117" s="85"/>
      <c r="G117" s="9"/>
      <c r="H117" s="9"/>
      <c r="I117" s="9"/>
      <c r="J117" s="9"/>
      <c r="K117" s="9"/>
      <c r="L117" s="9"/>
      <c r="M117" s="9"/>
      <c r="N117" s="9"/>
      <c r="O117" s="90"/>
      <c r="P117" s="90"/>
      <c r="Q117" s="86"/>
      <c r="R117" s="86"/>
      <c r="S117" s="9"/>
      <c r="T117" s="47"/>
      <c r="U117" s="9"/>
      <c r="W117" s="67" t="str">
        <f>$A$4&amp;" "&amp;A118&amp;"("&amp;B118&amp;","&amp;C118&amp;"^)"</f>
        <v>송천동2가 에코시티자이2차('18.10.,490^)</v>
      </c>
      <c r="X117" s="68"/>
      <c r="Y117" s="68"/>
      <c r="Z117" s="68"/>
      <c r="AA117" s="68"/>
      <c r="AB117" s="68"/>
      <c r="AC117" s="68"/>
      <c r="AD117" s="68"/>
      <c r="AE117" s="68"/>
      <c r="AF117" s="69"/>
      <c r="AH117" s="20" t="str">
        <f t="shared" si="152"/>
        <v/>
      </c>
      <c r="AI117" s="108" t="str">
        <f t="shared" si="151"/>
        <v/>
      </c>
      <c r="AJ117" s="78"/>
      <c r="AK117" s="78"/>
      <c r="AL117" s="78"/>
      <c r="AM117" s="78"/>
      <c r="AN117" s="78"/>
      <c r="AO117" s="78"/>
      <c r="AP117" s="78"/>
      <c r="AQ117" s="78"/>
      <c r="AR117" s="78"/>
      <c r="AS117" s="78"/>
      <c r="AT117" s="78"/>
      <c r="AU117" s="78"/>
      <c r="AV117" s="78"/>
    </row>
    <row r="118" spans="1:48" x14ac:dyDescent="0.3">
      <c r="A118" s="9" t="s">
        <v>937</v>
      </c>
      <c r="B118" s="10" t="s">
        <v>1585</v>
      </c>
      <c r="C118" s="87">
        <v>490</v>
      </c>
      <c r="D118" s="85">
        <v>110.9</v>
      </c>
      <c r="E118" s="86">
        <v>34</v>
      </c>
      <c r="F118" s="85">
        <v>84.8</v>
      </c>
      <c r="G118" s="17">
        <v>26</v>
      </c>
      <c r="H118" s="87">
        <v>260</v>
      </c>
      <c r="I118" s="88">
        <v>59000</v>
      </c>
      <c r="J118" s="88" t="s">
        <v>89</v>
      </c>
      <c r="K118" s="88"/>
      <c r="L118" s="88"/>
      <c r="M118" s="89">
        <f>I118-K118</f>
        <v>59000</v>
      </c>
      <c r="N118" s="4">
        <f>IF(ISERROR(K118/I118),"",K118/I118)</f>
        <v>0</v>
      </c>
      <c r="O118" s="90">
        <f>I118/E118</f>
        <v>1735.2941176470588</v>
      </c>
      <c r="P118" s="90">
        <f>K118/E118</f>
        <v>0</v>
      </c>
      <c r="Q118" s="78">
        <v>3</v>
      </c>
      <c r="R118" s="78">
        <v>2</v>
      </c>
      <c r="S118" s="78" t="s">
        <v>59</v>
      </c>
      <c r="T118" s="5" t="s">
        <v>91</v>
      </c>
      <c r="U118" s="9"/>
      <c r="W118" s="85">
        <f t="shared" ref="W118:X121" si="176">D118</f>
        <v>110.9</v>
      </c>
      <c r="X118" s="86">
        <f t="shared" si="176"/>
        <v>34</v>
      </c>
      <c r="Y118" s="91">
        <f t="shared" ref="Y118:Z121" si="177">H118</f>
        <v>260</v>
      </c>
      <c r="Z118" s="89">
        <f t="shared" si="177"/>
        <v>59000</v>
      </c>
      <c r="AA118" s="89">
        <f>K118</f>
        <v>0</v>
      </c>
      <c r="AB118" s="89">
        <f t="shared" ref="AB118:AD121" si="178">M118</f>
        <v>59000</v>
      </c>
      <c r="AC118" s="4">
        <f t="shared" si="178"/>
        <v>0</v>
      </c>
      <c r="AD118" s="90">
        <f t="shared" si="178"/>
        <v>1735.2941176470588</v>
      </c>
      <c r="AE118" s="78" t="str">
        <f>S118</f>
        <v>계</v>
      </c>
      <c r="AF118" s="78" t="str">
        <f>Q118&amp;"/"&amp;R118</f>
        <v>3/2</v>
      </c>
      <c r="AH118" s="20" t="str">
        <f t="shared" si="152"/>
        <v>에코시티자이2차</v>
      </c>
      <c r="AI118" s="86">
        <f t="shared" si="151"/>
        <v>34</v>
      </c>
      <c r="AJ118" s="78" t="str">
        <f>IF(AI118="","",$AJ$2)</f>
        <v>A-</v>
      </c>
      <c r="AK118" s="78" t="s">
        <v>13</v>
      </c>
      <c r="AL118" s="78" t="s">
        <v>61</v>
      </c>
      <c r="AM118" s="78" t="s">
        <v>62</v>
      </c>
      <c r="AN118" s="78" t="str">
        <f>IF(AI118="","",$AN$2)</f>
        <v>C</v>
      </c>
      <c r="AO118" s="78" t="str">
        <f>IF(N118="","",IF(N118&gt;=$AO$1/100,"O","X"))</f>
        <v>X</v>
      </c>
      <c r="AP118" s="78" t="str">
        <f>IF(I118="","",IF(I118&lt;=$AP$1,"O","X"))</f>
        <v>X</v>
      </c>
      <c r="AQ118" s="78" t="str">
        <f>IF(O118="","",IF(O118&lt;=$AQ$1,"O","X"))</f>
        <v>X</v>
      </c>
      <c r="AR118" s="78" t="str">
        <f>IF(M118="","",IF(M118&lt;=$AR$1,"O","X"))</f>
        <v>X</v>
      </c>
      <c r="AS118" s="78" t="s">
        <v>2</v>
      </c>
      <c r="AT118" s="78" t="str">
        <f>IF(OR(F118="",AI118=""),"",IF(AND((F118&lt;=85),(AI118&gt;=15)),"O","X"))</f>
        <v>O</v>
      </c>
      <c r="AU118" s="78" t="str">
        <f>IF(C118="","",IF(C118&gt;=$AU$1,"O","X"))</f>
        <v>O</v>
      </c>
      <c r="AV118" s="78" t="str">
        <f>IF(AO118="","",IF(AND(AO118="O",AP118="O",AR118="O",AT118="O",AU118="O"),"후보","X"))</f>
        <v>X</v>
      </c>
    </row>
    <row r="119" spans="1:48" x14ac:dyDescent="0.3">
      <c r="A119" s="9" t="s">
        <v>937</v>
      </c>
      <c r="B119" s="10" t="s">
        <v>1585</v>
      </c>
      <c r="C119" s="87">
        <v>490</v>
      </c>
      <c r="D119" s="85">
        <v>110.9</v>
      </c>
      <c r="E119" s="86">
        <v>34</v>
      </c>
      <c r="F119" s="85">
        <v>84.8</v>
      </c>
      <c r="G119" s="17">
        <v>26</v>
      </c>
      <c r="H119" s="87">
        <v>60</v>
      </c>
      <c r="I119" s="88">
        <v>59000</v>
      </c>
      <c r="J119" s="88" t="s">
        <v>89</v>
      </c>
      <c r="K119" s="88"/>
      <c r="L119" s="88"/>
      <c r="M119" s="89">
        <f>I119-K119</f>
        <v>59000</v>
      </c>
      <c r="N119" s="4">
        <f>IF(ISERROR(K119/I119),"",K119/I119)</f>
        <v>0</v>
      </c>
      <c r="O119" s="90">
        <f>I119/E119</f>
        <v>1735.2941176470588</v>
      </c>
      <c r="P119" s="90">
        <f>K119/E119</f>
        <v>0</v>
      </c>
      <c r="Q119" s="78">
        <v>3</v>
      </c>
      <c r="R119" s="78">
        <v>2</v>
      </c>
      <c r="S119" s="78" t="s">
        <v>59</v>
      </c>
      <c r="T119" s="5" t="s">
        <v>132</v>
      </c>
      <c r="U119" s="9"/>
      <c r="W119" s="85">
        <f t="shared" si="176"/>
        <v>110.9</v>
      </c>
      <c r="X119" s="86">
        <f t="shared" si="176"/>
        <v>34</v>
      </c>
      <c r="Y119" s="91">
        <f t="shared" si="177"/>
        <v>60</v>
      </c>
      <c r="Z119" s="89">
        <f t="shared" si="177"/>
        <v>59000</v>
      </c>
      <c r="AA119" s="89">
        <f>K119</f>
        <v>0</v>
      </c>
      <c r="AB119" s="89">
        <f t="shared" si="178"/>
        <v>59000</v>
      </c>
      <c r="AC119" s="4">
        <f t="shared" si="178"/>
        <v>0</v>
      </c>
      <c r="AD119" s="90">
        <f t="shared" si="178"/>
        <v>1735.2941176470588</v>
      </c>
      <c r="AE119" s="78" t="str">
        <f>S119</f>
        <v>계</v>
      </c>
      <c r="AF119" s="78" t="str">
        <f>Q119&amp;"/"&amp;R119</f>
        <v>3/2</v>
      </c>
      <c r="AH119" s="20" t="str">
        <f t="shared" si="152"/>
        <v>에코시티자이2차</v>
      </c>
      <c r="AI119" s="86">
        <f t="shared" si="151"/>
        <v>34</v>
      </c>
      <c r="AJ119" s="78" t="str">
        <f>IF(AI119="","",$AJ$2)</f>
        <v>A-</v>
      </c>
      <c r="AK119" s="78" t="s">
        <v>13</v>
      </c>
      <c r="AL119" s="78" t="s">
        <v>61</v>
      </c>
      <c r="AM119" s="78" t="s">
        <v>62</v>
      </c>
      <c r="AN119" s="78" t="str">
        <f>IF(AI119="","",$AN$2)</f>
        <v>C</v>
      </c>
      <c r="AO119" s="78" t="str">
        <f>IF(N119="","",IF(N119&gt;=$AO$1/100,"O","X"))</f>
        <v>X</v>
      </c>
      <c r="AP119" s="78" t="str">
        <f>IF(I119="","",IF(I119&lt;=$AP$1,"O","X"))</f>
        <v>X</v>
      </c>
      <c r="AQ119" s="78" t="str">
        <f>IF(O119="","",IF(O119&lt;=$AQ$1,"O","X"))</f>
        <v>X</v>
      </c>
      <c r="AR119" s="78" t="str">
        <f>IF(M119="","",IF(M119&lt;=$AR$1,"O","X"))</f>
        <v>X</v>
      </c>
      <c r="AS119" s="78" t="s">
        <v>2</v>
      </c>
      <c r="AT119" s="78" t="str">
        <f>IF(OR(F119="",AI119=""),"",IF(AND((F119&lt;=85),(AI119&gt;=15)),"O","X"))</f>
        <v>O</v>
      </c>
      <c r="AU119" s="78" t="str">
        <f>IF(C119="","",IF(C119&gt;=$AU$1,"O","X"))</f>
        <v>O</v>
      </c>
      <c r="AV119" s="78" t="str">
        <f>IF(AO119="","",IF(AND(AO119="O",AP119="O",AR119="O",AT119="O",AU119="O"),"후보","X"))</f>
        <v>X</v>
      </c>
    </row>
    <row r="120" spans="1:48" x14ac:dyDescent="0.3">
      <c r="A120" s="9" t="s">
        <v>937</v>
      </c>
      <c r="B120" s="10" t="s">
        <v>1585</v>
      </c>
      <c r="C120" s="87">
        <v>490</v>
      </c>
      <c r="D120" s="85">
        <v>111.7</v>
      </c>
      <c r="E120" s="86">
        <v>34</v>
      </c>
      <c r="F120" s="85">
        <v>85</v>
      </c>
      <c r="G120" s="17">
        <v>26</v>
      </c>
      <c r="H120" s="87">
        <v>114</v>
      </c>
      <c r="I120" s="88">
        <v>59000</v>
      </c>
      <c r="J120" s="88" t="s">
        <v>137</v>
      </c>
      <c r="K120" s="88">
        <v>40000</v>
      </c>
      <c r="L120" s="88" t="s">
        <v>137</v>
      </c>
      <c r="M120" s="89">
        <f>I120-K120</f>
        <v>19000</v>
      </c>
      <c r="N120" s="4">
        <f>IF(ISERROR(K120/I120),"",K120/I120)</f>
        <v>0.67796610169491522</v>
      </c>
      <c r="O120" s="90">
        <f>I120/E120</f>
        <v>1735.2941176470588</v>
      </c>
      <c r="P120" s="90">
        <f>K120/E120</f>
        <v>1176.4705882352941</v>
      </c>
      <c r="Q120" s="78">
        <v>3</v>
      </c>
      <c r="R120" s="78">
        <v>2</v>
      </c>
      <c r="S120" s="78" t="s">
        <v>59</v>
      </c>
      <c r="T120" s="5" t="s">
        <v>148</v>
      </c>
      <c r="U120" s="9"/>
      <c r="W120" s="85">
        <f t="shared" si="176"/>
        <v>111.7</v>
      </c>
      <c r="X120" s="86">
        <f t="shared" si="176"/>
        <v>34</v>
      </c>
      <c r="Y120" s="91">
        <f t="shared" si="177"/>
        <v>114</v>
      </c>
      <c r="Z120" s="89">
        <f t="shared" si="177"/>
        <v>59000</v>
      </c>
      <c r="AA120" s="89">
        <f>K120</f>
        <v>40000</v>
      </c>
      <c r="AB120" s="89">
        <f t="shared" si="178"/>
        <v>19000</v>
      </c>
      <c r="AC120" s="4">
        <f t="shared" si="178"/>
        <v>0.67796610169491522</v>
      </c>
      <c r="AD120" s="90">
        <f t="shared" si="178"/>
        <v>1735.2941176470588</v>
      </c>
      <c r="AE120" s="78" t="str">
        <f>S120</f>
        <v>계</v>
      </c>
      <c r="AF120" s="78" t="str">
        <f>Q120&amp;"/"&amp;R120</f>
        <v>3/2</v>
      </c>
      <c r="AH120" s="20" t="str">
        <f t="shared" si="152"/>
        <v>에코시티자이2차</v>
      </c>
      <c r="AI120" s="86">
        <f t="shared" si="151"/>
        <v>34</v>
      </c>
      <c r="AJ120" s="78" t="str">
        <f>IF(AI120="","",$AJ$2)</f>
        <v>A-</v>
      </c>
      <c r="AK120" s="78" t="s">
        <v>13</v>
      </c>
      <c r="AL120" s="78" t="s">
        <v>61</v>
      </c>
      <c r="AM120" s="78" t="s">
        <v>62</v>
      </c>
      <c r="AN120" s="78" t="str">
        <f>IF(AI120="","",$AN$2)</f>
        <v>C</v>
      </c>
      <c r="AO120" s="78" t="str">
        <f>IF(N120="","",IF(N120&gt;=$AO$1/100,"O","X"))</f>
        <v>X</v>
      </c>
      <c r="AP120" s="78" t="str">
        <f>IF(I120="","",IF(I120&lt;=$AP$1,"O","X"))</f>
        <v>X</v>
      </c>
      <c r="AQ120" s="78" t="str">
        <f>IF(O120="","",IF(O120&lt;=$AQ$1,"O","X"))</f>
        <v>X</v>
      </c>
      <c r="AR120" s="78" t="str">
        <f>IF(M120="","",IF(M120&lt;=$AR$1,"O","X"))</f>
        <v>X</v>
      </c>
      <c r="AS120" s="78" t="s">
        <v>2</v>
      </c>
      <c r="AT120" s="78" t="str">
        <f>IF(OR(F120="",AI120=""),"",IF(AND((F120&lt;=85),(AI120&gt;=15)),"O","X"))</f>
        <v>O</v>
      </c>
      <c r="AU120" s="78" t="str">
        <f>IF(C120="","",IF(C120&gt;=$AU$1,"O","X"))</f>
        <v>O</v>
      </c>
      <c r="AV120" s="78" t="str">
        <f>IF(AO120="","",IF(AND(AO120="O",AP120="O",AR120="O",AT120="O",AU120="O"),"후보","X"))</f>
        <v>X</v>
      </c>
    </row>
    <row r="121" spans="1:48" x14ac:dyDescent="0.3">
      <c r="A121" s="9" t="s">
        <v>937</v>
      </c>
      <c r="B121" s="10" t="s">
        <v>1585</v>
      </c>
      <c r="C121" s="87">
        <v>490</v>
      </c>
      <c r="D121" s="85">
        <v>155</v>
      </c>
      <c r="E121" s="86">
        <v>47</v>
      </c>
      <c r="F121" s="85">
        <v>118.9</v>
      </c>
      <c r="G121" s="17">
        <v>36</v>
      </c>
      <c r="H121" s="87">
        <v>56</v>
      </c>
      <c r="I121" s="88">
        <v>100000</v>
      </c>
      <c r="J121" s="88" t="s">
        <v>69</v>
      </c>
      <c r="K121" s="88"/>
      <c r="L121" s="88"/>
      <c r="M121" s="89">
        <f>I121-K121</f>
        <v>100000</v>
      </c>
      <c r="N121" s="4">
        <f>IF(ISERROR(K121/I121),"",K121/I121)</f>
        <v>0</v>
      </c>
      <c r="O121" s="90">
        <f>I121/E121</f>
        <v>2127.6595744680849</v>
      </c>
      <c r="P121" s="90">
        <f>K121/E121</f>
        <v>0</v>
      </c>
      <c r="Q121" s="78">
        <v>4</v>
      </c>
      <c r="R121" s="78">
        <v>2</v>
      </c>
      <c r="S121" s="78" t="s">
        <v>59</v>
      </c>
      <c r="T121" s="5">
        <v>154</v>
      </c>
      <c r="U121" s="9"/>
      <c r="W121" s="85">
        <f t="shared" si="176"/>
        <v>155</v>
      </c>
      <c r="X121" s="86">
        <f t="shared" si="176"/>
        <v>47</v>
      </c>
      <c r="Y121" s="91">
        <f t="shared" si="177"/>
        <v>56</v>
      </c>
      <c r="Z121" s="89">
        <f t="shared" si="177"/>
        <v>100000</v>
      </c>
      <c r="AA121" s="89">
        <f>K121</f>
        <v>0</v>
      </c>
      <c r="AB121" s="89">
        <f t="shared" si="178"/>
        <v>100000</v>
      </c>
      <c r="AC121" s="4">
        <f t="shared" si="178"/>
        <v>0</v>
      </c>
      <c r="AD121" s="90">
        <f t="shared" si="178"/>
        <v>2127.6595744680849</v>
      </c>
      <c r="AE121" s="78" t="str">
        <f>S121</f>
        <v>계</v>
      </c>
      <c r="AF121" s="78" t="str">
        <f>Q121&amp;"/"&amp;R121</f>
        <v>4/2</v>
      </c>
      <c r="AH121" s="20" t="str">
        <f t="shared" si="152"/>
        <v>에코시티자이2차</v>
      </c>
      <c r="AI121" s="86">
        <f t="shared" si="151"/>
        <v>47</v>
      </c>
      <c r="AJ121" s="78" t="str">
        <f>IF(AI121="","",$AJ$2)</f>
        <v>A-</v>
      </c>
      <c r="AK121" s="78" t="s">
        <v>13</v>
      </c>
      <c r="AL121" s="78" t="s">
        <v>61</v>
      </c>
      <c r="AM121" s="78" t="s">
        <v>62</v>
      </c>
      <c r="AN121" s="78" t="str">
        <f>IF(AI121="","",$AN$2)</f>
        <v>C</v>
      </c>
      <c r="AO121" s="78" t="str">
        <f>IF(N121="","",IF(N121&gt;=$AO$1/100,"O","X"))</f>
        <v>X</v>
      </c>
      <c r="AP121" s="78" t="str">
        <f>IF(I121="","",IF(I121&lt;=$AP$1,"O","X"))</f>
        <v>X</v>
      </c>
      <c r="AQ121" s="78" t="str">
        <f>IF(O121="","",IF(O121&lt;=$AQ$1,"O","X"))</f>
        <v>X</v>
      </c>
      <c r="AR121" s="78" t="str">
        <f>IF(M121="","",IF(M121&lt;=$AR$1,"O","X"))</f>
        <v>X</v>
      </c>
      <c r="AS121" s="78" t="s">
        <v>2</v>
      </c>
      <c r="AT121" s="78" t="str">
        <f>IF(OR(F121="",AI121=""),"",IF(AND((F121&lt;=85),(AI121&gt;=15)),"O","X"))</f>
        <v>X</v>
      </c>
      <c r="AU121" s="78" t="str">
        <f>IF(C121="","",IF(C121&gt;=$AU$1,"O","X"))</f>
        <v>O</v>
      </c>
      <c r="AV121" s="78" t="str">
        <f>IF(AO121="","",IF(AND(AO121="O",AP121="O",AR121="O",AT121="O",AU121="O"),"후보","X"))</f>
        <v>X</v>
      </c>
    </row>
    <row r="122" spans="1:48" x14ac:dyDescent="0.3">
      <c r="A122" s="9"/>
      <c r="B122" s="78"/>
      <c r="C122" s="6"/>
      <c r="D122" s="9"/>
      <c r="E122" s="14"/>
      <c r="F122" s="85"/>
      <c r="G122" s="9"/>
      <c r="H122" s="9"/>
      <c r="I122" s="9"/>
      <c r="J122" s="9"/>
      <c r="K122" s="9"/>
      <c r="L122" s="9"/>
      <c r="M122" s="9"/>
      <c r="N122" s="9"/>
      <c r="O122" s="90"/>
      <c r="P122" s="90"/>
      <c r="Q122" s="86"/>
      <c r="R122" s="86"/>
      <c r="S122" s="9"/>
      <c r="T122" s="47"/>
      <c r="U122" s="9"/>
      <c r="W122" s="67" t="str">
        <f>$A$4&amp;" "&amp;A123&amp;"("&amp;B123&amp;","&amp;C123&amp;"^)"</f>
        <v>송천동2가 송천시영('94.10.,360^)</v>
      </c>
      <c r="X122" s="68"/>
      <c r="Y122" s="68"/>
      <c r="Z122" s="68"/>
      <c r="AA122" s="68"/>
      <c r="AB122" s="68"/>
      <c r="AC122" s="68"/>
      <c r="AD122" s="68"/>
      <c r="AE122" s="68"/>
      <c r="AF122" s="69"/>
      <c r="AH122" s="20" t="str">
        <f t="shared" si="152"/>
        <v/>
      </c>
      <c r="AI122" s="108" t="str">
        <f t="shared" si="151"/>
        <v/>
      </c>
      <c r="AJ122" s="78"/>
      <c r="AK122" s="78"/>
      <c r="AL122" s="78"/>
      <c r="AM122" s="78"/>
      <c r="AN122" s="78"/>
      <c r="AO122" s="78"/>
      <c r="AP122" s="78"/>
      <c r="AQ122" s="78"/>
      <c r="AR122" s="78"/>
      <c r="AS122" s="78"/>
      <c r="AT122" s="78"/>
      <c r="AU122" s="78"/>
      <c r="AV122" s="78"/>
    </row>
    <row r="123" spans="1:48" x14ac:dyDescent="0.3">
      <c r="A123" s="9" t="s">
        <v>941</v>
      </c>
      <c r="B123" s="10" t="s">
        <v>1586</v>
      </c>
      <c r="C123" s="87">
        <v>360</v>
      </c>
      <c r="D123" s="85">
        <v>67.099999999999994</v>
      </c>
      <c r="E123" s="86">
        <v>20</v>
      </c>
      <c r="F123" s="85">
        <v>49.9</v>
      </c>
      <c r="G123" s="17">
        <v>15</v>
      </c>
      <c r="H123" s="87">
        <v>360</v>
      </c>
      <c r="I123" s="88">
        <v>8500</v>
      </c>
      <c r="J123" s="88" t="s">
        <v>83</v>
      </c>
      <c r="K123" s="88"/>
      <c r="L123" s="88"/>
      <c r="M123" s="89">
        <f>I123-K123</f>
        <v>8500</v>
      </c>
      <c r="N123" s="4">
        <f>IF(ISERROR(K123/I123),"",K123/I123)</f>
        <v>0</v>
      </c>
      <c r="O123" s="90">
        <f>I123/E123</f>
        <v>425</v>
      </c>
      <c r="P123" s="90">
        <f>K123/E123</f>
        <v>0</v>
      </c>
      <c r="Q123" s="78">
        <v>2</v>
      </c>
      <c r="R123" s="78">
        <v>1</v>
      </c>
      <c r="S123" s="78" t="s">
        <v>65</v>
      </c>
      <c r="T123" s="5">
        <v>67</v>
      </c>
      <c r="U123" s="9"/>
      <c r="W123" s="85">
        <f>D123</f>
        <v>67.099999999999994</v>
      </c>
      <c r="X123" s="86">
        <f>E123</f>
        <v>20</v>
      </c>
      <c r="Y123" s="91">
        <f>H123</f>
        <v>360</v>
      </c>
      <c r="Z123" s="89">
        <f>I123</f>
        <v>8500</v>
      </c>
      <c r="AA123" s="89">
        <f>K123</f>
        <v>0</v>
      </c>
      <c r="AB123" s="89">
        <f>M123</f>
        <v>8500</v>
      </c>
      <c r="AC123" s="4">
        <f>N123</f>
        <v>0</v>
      </c>
      <c r="AD123" s="90">
        <f>O123</f>
        <v>425</v>
      </c>
      <c r="AE123" s="78" t="str">
        <f>S123</f>
        <v>복</v>
      </c>
      <c r="AF123" s="78" t="str">
        <f>Q123&amp;"/"&amp;R123</f>
        <v>2/1</v>
      </c>
      <c r="AH123" s="20" t="str">
        <f t="shared" si="152"/>
        <v>송천시영</v>
      </c>
      <c r="AI123" s="86">
        <f t="shared" si="151"/>
        <v>20</v>
      </c>
      <c r="AJ123" s="78" t="str">
        <f>IF(AI123="","",$AJ$2)</f>
        <v>A-</v>
      </c>
      <c r="AK123" s="78" t="s">
        <v>13</v>
      </c>
      <c r="AL123" s="78" t="s">
        <v>61</v>
      </c>
      <c r="AM123" s="78" t="s">
        <v>62</v>
      </c>
      <c r="AN123" s="78" t="str">
        <f>IF(AI123="","",$AN$2)</f>
        <v>C</v>
      </c>
      <c r="AO123" s="78" t="str">
        <f>IF(N123="","",IF(N123&gt;=$AO$1/100,"O","X"))</f>
        <v>X</v>
      </c>
      <c r="AP123" s="78" t="str">
        <f>IF(I123="","",IF(I123&lt;=$AP$1,"O","X"))</f>
        <v>O</v>
      </c>
      <c r="AQ123" s="78" t="str">
        <f>IF(O123="","",IF(O123&lt;=$AQ$1,"O","X"))</f>
        <v>O</v>
      </c>
      <c r="AR123" s="78" t="str">
        <f>IF(M123="","",IF(M123&lt;=$AR$1,"O","X"))</f>
        <v>X</v>
      </c>
      <c r="AS123" s="78" t="s">
        <v>2</v>
      </c>
      <c r="AT123" s="78" t="str">
        <f>IF(OR(F123="",AI123=""),"",IF(AND((F123&lt;=85),(AI123&gt;=15)),"O","X"))</f>
        <v>O</v>
      </c>
      <c r="AU123" s="78" t="str">
        <f>IF(C123="","",IF(C123&gt;=$AU$1,"O","X"))</f>
        <v>O</v>
      </c>
      <c r="AV123" s="78" t="str">
        <f>IF(AO123="","",IF(AND(AO123="O",AP123="O",AR123="O",AT123="O",AU123="O"),"후보","X"))</f>
        <v>X</v>
      </c>
    </row>
    <row r="124" spans="1:48" x14ac:dyDescent="0.3">
      <c r="A124" s="9"/>
      <c r="B124" s="78"/>
      <c r="C124" s="6"/>
      <c r="D124" s="9"/>
      <c r="E124" s="14"/>
      <c r="F124" s="85"/>
      <c r="G124" s="9"/>
      <c r="H124" s="9"/>
      <c r="I124" s="9"/>
      <c r="J124" s="9"/>
      <c r="K124" s="9"/>
      <c r="L124" s="9"/>
      <c r="M124" s="9"/>
      <c r="N124" s="9"/>
      <c r="O124" s="90"/>
      <c r="P124" s="90"/>
      <c r="Q124" s="86"/>
      <c r="R124" s="86"/>
      <c r="S124" s="9"/>
      <c r="T124" s="47"/>
      <c r="U124" s="9"/>
      <c r="W124" s="67" t="str">
        <f>$A$4&amp;" "&amp;A125&amp;"("&amp;B125&amp;","&amp;C125&amp;"^)"</f>
        <v>송천동2가 에코시티더샵2차('18.01.,702^)</v>
      </c>
      <c r="X124" s="68"/>
      <c r="Y124" s="68"/>
      <c r="Z124" s="68"/>
      <c r="AA124" s="68"/>
      <c r="AB124" s="68"/>
      <c r="AC124" s="68"/>
      <c r="AD124" s="68"/>
      <c r="AE124" s="68"/>
      <c r="AF124" s="69"/>
      <c r="AH124" s="20" t="str">
        <f t="shared" si="152"/>
        <v/>
      </c>
      <c r="AI124" s="108" t="str">
        <f t="shared" si="151"/>
        <v/>
      </c>
      <c r="AJ124" s="78"/>
      <c r="AK124" s="78"/>
      <c r="AL124" s="78"/>
      <c r="AM124" s="78"/>
      <c r="AN124" s="78"/>
      <c r="AO124" s="78"/>
      <c r="AP124" s="78"/>
      <c r="AQ124" s="78"/>
      <c r="AR124" s="78"/>
      <c r="AS124" s="78"/>
      <c r="AT124" s="78"/>
      <c r="AU124" s="78"/>
      <c r="AV124" s="78"/>
    </row>
    <row r="125" spans="1:48" x14ac:dyDescent="0.3">
      <c r="A125" s="9" t="s">
        <v>955</v>
      </c>
      <c r="B125" s="10" t="s">
        <v>1537</v>
      </c>
      <c r="C125" s="87">
        <v>702</v>
      </c>
      <c r="D125" s="85">
        <v>110.1</v>
      </c>
      <c r="E125" s="86">
        <v>33</v>
      </c>
      <c r="F125" s="85">
        <v>84.9</v>
      </c>
      <c r="G125" s="17">
        <v>26</v>
      </c>
      <c r="H125" s="87">
        <v>214</v>
      </c>
      <c r="I125" s="88">
        <v>66000</v>
      </c>
      <c r="J125" s="88" t="s">
        <v>111</v>
      </c>
      <c r="K125" s="88"/>
      <c r="L125" s="88"/>
      <c r="M125" s="89">
        <f t="shared" ref="M125:M133" si="179">I125-K125</f>
        <v>66000</v>
      </c>
      <c r="N125" s="4">
        <f t="shared" ref="N125:N133" si="180">IF(ISERROR(K125/I125),"",K125/I125)</f>
        <v>0</v>
      </c>
      <c r="O125" s="90">
        <f t="shared" ref="O125:O133" si="181">I125/E125</f>
        <v>2000</v>
      </c>
      <c r="P125" s="90">
        <f t="shared" ref="P125:P133" si="182">K125/E125</f>
        <v>0</v>
      </c>
      <c r="Q125" s="78">
        <v>3</v>
      </c>
      <c r="R125" s="78">
        <v>2</v>
      </c>
      <c r="S125" s="78" t="s">
        <v>59</v>
      </c>
      <c r="T125" s="5" t="s">
        <v>91</v>
      </c>
      <c r="U125" s="9"/>
      <c r="W125" s="85">
        <f t="shared" ref="W125:W133" si="183">D125</f>
        <v>110.1</v>
      </c>
      <c r="X125" s="86">
        <f t="shared" ref="X125:X133" si="184">E125</f>
        <v>33</v>
      </c>
      <c r="Y125" s="91">
        <f t="shared" ref="Y125:Y133" si="185">H125</f>
        <v>214</v>
      </c>
      <c r="Z125" s="89">
        <f t="shared" ref="Z125:Z133" si="186">I125</f>
        <v>66000</v>
      </c>
      <c r="AA125" s="89">
        <f t="shared" ref="AA125:AA133" si="187">K125</f>
        <v>0</v>
      </c>
      <c r="AB125" s="89">
        <f t="shared" ref="AB125:AB133" si="188">M125</f>
        <v>66000</v>
      </c>
      <c r="AC125" s="4">
        <f t="shared" ref="AC125:AC133" si="189">N125</f>
        <v>0</v>
      </c>
      <c r="AD125" s="90">
        <f t="shared" ref="AD125:AD133" si="190">O125</f>
        <v>2000</v>
      </c>
      <c r="AE125" s="78" t="str">
        <f t="shared" ref="AE125:AE133" si="191">S125</f>
        <v>계</v>
      </c>
      <c r="AF125" s="78" t="str">
        <f t="shared" ref="AF125:AF133" si="192">Q125&amp;"/"&amp;R125</f>
        <v>3/2</v>
      </c>
      <c r="AH125" s="20" t="str">
        <f t="shared" si="152"/>
        <v>에코시티더샵2차</v>
      </c>
      <c r="AI125" s="86">
        <f t="shared" si="151"/>
        <v>33</v>
      </c>
      <c r="AJ125" s="78" t="str">
        <f t="shared" ref="AJ125:AJ133" si="193">IF(AI125="","",$AJ$2)</f>
        <v>A-</v>
      </c>
      <c r="AK125" s="78" t="s">
        <v>13</v>
      </c>
      <c r="AL125" s="78" t="s">
        <v>61</v>
      </c>
      <c r="AM125" s="78" t="s">
        <v>62</v>
      </c>
      <c r="AN125" s="78" t="str">
        <f t="shared" ref="AN125:AN133" si="194">IF(AI125="","",$AN$2)</f>
        <v>C</v>
      </c>
      <c r="AO125" s="78" t="str">
        <f t="shared" ref="AO125:AO133" si="195">IF(N125="","",IF(N125&gt;=$AO$1/100,"O","X"))</f>
        <v>X</v>
      </c>
      <c r="AP125" s="78" t="str">
        <f t="shared" ref="AP125:AP133" si="196">IF(I125="","",IF(I125&lt;=$AP$1,"O","X"))</f>
        <v>X</v>
      </c>
      <c r="AQ125" s="78" t="str">
        <f t="shared" ref="AQ125:AQ133" si="197">IF(O125="","",IF(O125&lt;=$AQ$1,"O","X"))</f>
        <v>X</v>
      </c>
      <c r="AR125" s="78" t="str">
        <f t="shared" ref="AR125:AR133" si="198">IF(M125="","",IF(M125&lt;=$AR$1,"O","X"))</f>
        <v>X</v>
      </c>
      <c r="AS125" s="78" t="s">
        <v>2</v>
      </c>
      <c r="AT125" s="78" t="str">
        <f t="shared" ref="AT125:AT133" si="199">IF(OR(F125="",AI125=""),"",IF(AND((F125&lt;=85),(AI125&gt;=15)),"O","X"))</f>
        <v>O</v>
      </c>
      <c r="AU125" s="78" t="str">
        <f t="shared" ref="AU125:AU133" si="200">IF(C125="","",IF(C125&gt;=$AU$1,"O","X"))</f>
        <v>O</v>
      </c>
      <c r="AV125" s="78" t="str">
        <f t="shared" ref="AV125:AV133" si="201">IF(AO125="","",IF(AND(AO125="O",AP125="O",AR125="O",AT125="O",AU125="O"),"후보","X"))</f>
        <v>X</v>
      </c>
    </row>
    <row r="126" spans="1:48" x14ac:dyDescent="0.3">
      <c r="A126" s="9" t="s">
        <v>955</v>
      </c>
      <c r="B126" s="10" t="s">
        <v>1537</v>
      </c>
      <c r="C126" s="87">
        <v>702</v>
      </c>
      <c r="D126" s="85">
        <v>110.2</v>
      </c>
      <c r="E126" s="86">
        <v>33</v>
      </c>
      <c r="F126" s="85">
        <v>85</v>
      </c>
      <c r="G126" s="17">
        <v>26</v>
      </c>
      <c r="H126" s="87">
        <v>52</v>
      </c>
      <c r="I126" s="88">
        <v>64000</v>
      </c>
      <c r="J126" s="88" t="s">
        <v>156</v>
      </c>
      <c r="K126" s="88"/>
      <c r="L126" s="88"/>
      <c r="M126" s="89">
        <f t="shared" si="179"/>
        <v>64000</v>
      </c>
      <c r="N126" s="4">
        <f t="shared" si="180"/>
        <v>0</v>
      </c>
      <c r="O126" s="90">
        <f t="shared" si="181"/>
        <v>1939.3939393939395</v>
      </c>
      <c r="P126" s="90">
        <f t="shared" si="182"/>
        <v>0</v>
      </c>
      <c r="Q126" s="78">
        <v>3</v>
      </c>
      <c r="R126" s="78">
        <v>2</v>
      </c>
      <c r="S126" s="78" t="s">
        <v>59</v>
      </c>
      <c r="T126" s="5" t="s">
        <v>132</v>
      </c>
      <c r="U126" s="9"/>
      <c r="W126" s="85">
        <f t="shared" si="183"/>
        <v>110.2</v>
      </c>
      <c r="X126" s="86">
        <f t="shared" si="184"/>
        <v>33</v>
      </c>
      <c r="Y126" s="91">
        <f t="shared" si="185"/>
        <v>52</v>
      </c>
      <c r="Z126" s="89">
        <f t="shared" si="186"/>
        <v>64000</v>
      </c>
      <c r="AA126" s="89">
        <f t="shared" si="187"/>
        <v>0</v>
      </c>
      <c r="AB126" s="89">
        <f t="shared" si="188"/>
        <v>64000</v>
      </c>
      <c r="AC126" s="4">
        <f t="shared" si="189"/>
        <v>0</v>
      </c>
      <c r="AD126" s="90">
        <f t="shared" si="190"/>
        <v>1939.3939393939395</v>
      </c>
      <c r="AE126" s="78" t="str">
        <f t="shared" si="191"/>
        <v>계</v>
      </c>
      <c r="AF126" s="78" t="str">
        <f t="shared" si="192"/>
        <v>3/2</v>
      </c>
      <c r="AH126" s="20" t="str">
        <f t="shared" si="152"/>
        <v>에코시티더샵2차</v>
      </c>
      <c r="AI126" s="86">
        <f t="shared" si="151"/>
        <v>33</v>
      </c>
      <c r="AJ126" s="78" t="str">
        <f t="shared" si="193"/>
        <v>A-</v>
      </c>
      <c r="AK126" s="78" t="s">
        <v>13</v>
      </c>
      <c r="AL126" s="78" t="s">
        <v>61</v>
      </c>
      <c r="AM126" s="78" t="s">
        <v>62</v>
      </c>
      <c r="AN126" s="78" t="str">
        <f t="shared" si="194"/>
        <v>C</v>
      </c>
      <c r="AO126" s="78" t="str">
        <f t="shared" si="195"/>
        <v>X</v>
      </c>
      <c r="AP126" s="78" t="str">
        <f t="shared" si="196"/>
        <v>X</v>
      </c>
      <c r="AQ126" s="78" t="str">
        <f t="shared" si="197"/>
        <v>X</v>
      </c>
      <c r="AR126" s="78" t="str">
        <f t="shared" si="198"/>
        <v>X</v>
      </c>
      <c r="AS126" s="78" t="s">
        <v>2</v>
      </c>
      <c r="AT126" s="78" t="str">
        <f t="shared" si="199"/>
        <v>O</v>
      </c>
      <c r="AU126" s="78" t="str">
        <f t="shared" si="200"/>
        <v>O</v>
      </c>
      <c r="AV126" s="78" t="str">
        <f t="shared" si="201"/>
        <v>X</v>
      </c>
    </row>
    <row r="127" spans="1:48" x14ac:dyDescent="0.3">
      <c r="A127" s="9" t="s">
        <v>955</v>
      </c>
      <c r="B127" s="10" t="s">
        <v>1537</v>
      </c>
      <c r="C127" s="87">
        <v>702</v>
      </c>
      <c r="D127" s="85">
        <v>111.3</v>
      </c>
      <c r="E127" s="86">
        <v>34</v>
      </c>
      <c r="F127" s="85">
        <v>85</v>
      </c>
      <c r="G127" s="17">
        <v>26</v>
      </c>
      <c r="H127" s="87">
        <v>116</v>
      </c>
      <c r="I127" s="88">
        <v>65000</v>
      </c>
      <c r="J127" s="88" t="s">
        <v>68</v>
      </c>
      <c r="K127" s="88"/>
      <c r="L127" s="88"/>
      <c r="M127" s="89">
        <f t="shared" si="179"/>
        <v>65000</v>
      </c>
      <c r="N127" s="4">
        <f t="shared" si="180"/>
        <v>0</v>
      </c>
      <c r="O127" s="90">
        <f t="shared" si="181"/>
        <v>1911.7647058823529</v>
      </c>
      <c r="P127" s="90">
        <f t="shared" si="182"/>
        <v>0</v>
      </c>
      <c r="Q127" s="78">
        <v>3</v>
      </c>
      <c r="R127" s="78">
        <v>2</v>
      </c>
      <c r="S127" s="78" t="s">
        <v>59</v>
      </c>
      <c r="T127" s="5" t="s">
        <v>148</v>
      </c>
      <c r="U127" s="9"/>
      <c r="W127" s="85">
        <f t="shared" si="183"/>
        <v>111.3</v>
      </c>
      <c r="X127" s="86">
        <f t="shared" si="184"/>
        <v>34</v>
      </c>
      <c r="Y127" s="91">
        <f t="shared" si="185"/>
        <v>116</v>
      </c>
      <c r="Z127" s="89">
        <f t="shared" si="186"/>
        <v>65000</v>
      </c>
      <c r="AA127" s="89">
        <f t="shared" si="187"/>
        <v>0</v>
      </c>
      <c r="AB127" s="89">
        <f t="shared" si="188"/>
        <v>65000</v>
      </c>
      <c r="AC127" s="4">
        <f t="shared" si="189"/>
        <v>0</v>
      </c>
      <c r="AD127" s="90">
        <f t="shared" si="190"/>
        <v>1911.7647058823529</v>
      </c>
      <c r="AE127" s="78" t="str">
        <f t="shared" si="191"/>
        <v>계</v>
      </c>
      <c r="AF127" s="78" t="str">
        <f t="shared" si="192"/>
        <v>3/2</v>
      </c>
      <c r="AH127" s="20" t="str">
        <f t="shared" si="152"/>
        <v>에코시티더샵2차</v>
      </c>
      <c r="AI127" s="86">
        <f t="shared" si="151"/>
        <v>34</v>
      </c>
      <c r="AJ127" s="78" t="str">
        <f t="shared" si="193"/>
        <v>A-</v>
      </c>
      <c r="AK127" s="78" t="s">
        <v>13</v>
      </c>
      <c r="AL127" s="78" t="s">
        <v>61</v>
      </c>
      <c r="AM127" s="78" t="s">
        <v>62</v>
      </c>
      <c r="AN127" s="78" t="str">
        <f t="shared" si="194"/>
        <v>C</v>
      </c>
      <c r="AO127" s="78" t="str">
        <f t="shared" si="195"/>
        <v>X</v>
      </c>
      <c r="AP127" s="78" t="str">
        <f t="shared" si="196"/>
        <v>X</v>
      </c>
      <c r="AQ127" s="78" t="str">
        <f t="shared" si="197"/>
        <v>X</v>
      </c>
      <c r="AR127" s="78" t="str">
        <f t="shared" si="198"/>
        <v>X</v>
      </c>
      <c r="AS127" s="78" t="s">
        <v>2</v>
      </c>
      <c r="AT127" s="78" t="str">
        <f t="shared" si="199"/>
        <v>O</v>
      </c>
      <c r="AU127" s="78" t="str">
        <f t="shared" si="200"/>
        <v>O</v>
      </c>
      <c r="AV127" s="78" t="str">
        <f t="shared" si="201"/>
        <v>X</v>
      </c>
    </row>
    <row r="128" spans="1:48" x14ac:dyDescent="0.3">
      <c r="A128" s="9" t="s">
        <v>955</v>
      </c>
      <c r="B128" s="10" t="s">
        <v>1537</v>
      </c>
      <c r="C128" s="87">
        <v>702</v>
      </c>
      <c r="D128" s="85">
        <v>130.4</v>
      </c>
      <c r="E128" s="86">
        <v>39</v>
      </c>
      <c r="F128" s="85">
        <v>101</v>
      </c>
      <c r="G128" s="17">
        <v>31</v>
      </c>
      <c r="H128" s="87">
        <v>52</v>
      </c>
      <c r="I128" s="88">
        <v>95000</v>
      </c>
      <c r="J128" s="88" t="s">
        <v>69</v>
      </c>
      <c r="K128" s="88"/>
      <c r="L128" s="88"/>
      <c r="M128" s="89">
        <f t="shared" si="179"/>
        <v>95000</v>
      </c>
      <c r="N128" s="4">
        <f t="shared" si="180"/>
        <v>0</v>
      </c>
      <c r="O128" s="90">
        <f t="shared" si="181"/>
        <v>2435.897435897436</v>
      </c>
      <c r="P128" s="90">
        <f t="shared" si="182"/>
        <v>0</v>
      </c>
      <c r="Q128" s="78">
        <v>3</v>
      </c>
      <c r="R128" s="78">
        <v>2</v>
      </c>
      <c r="S128" s="78" t="s">
        <v>59</v>
      </c>
      <c r="T128" s="5" t="s">
        <v>180</v>
      </c>
      <c r="U128" s="9"/>
      <c r="W128" s="85">
        <f t="shared" si="183"/>
        <v>130.4</v>
      </c>
      <c r="X128" s="86">
        <f t="shared" si="184"/>
        <v>39</v>
      </c>
      <c r="Y128" s="91">
        <f t="shared" si="185"/>
        <v>52</v>
      </c>
      <c r="Z128" s="89">
        <f t="shared" si="186"/>
        <v>95000</v>
      </c>
      <c r="AA128" s="89">
        <f t="shared" si="187"/>
        <v>0</v>
      </c>
      <c r="AB128" s="89">
        <f t="shared" si="188"/>
        <v>95000</v>
      </c>
      <c r="AC128" s="4">
        <f t="shared" si="189"/>
        <v>0</v>
      </c>
      <c r="AD128" s="90">
        <f t="shared" si="190"/>
        <v>2435.897435897436</v>
      </c>
      <c r="AE128" s="78" t="str">
        <f t="shared" si="191"/>
        <v>계</v>
      </c>
      <c r="AF128" s="78" t="str">
        <f t="shared" si="192"/>
        <v>3/2</v>
      </c>
      <c r="AH128" s="20" t="str">
        <f t="shared" si="152"/>
        <v>에코시티더샵2차</v>
      </c>
      <c r="AI128" s="86">
        <f t="shared" si="151"/>
        <v>39</v>
      </c>
      <c r="AJ128" s="78" t="str">
        <f t="shared" si="193"/>
        <v>A-</v>
      </c>
      <c r="AK128" s="78" t="s">
        <v>13</v>
      </c>
      <c r="AL128" s="78" t="s">
        <v>61</v>
      </c>
      <c r="AM128" s="78" t="s">
        <v>62</v>
      </c>
      <c r="AN128" s="78" t="str">
        <f t="shared" si="194"/>
        <v>C</v>
      </c>
      <c r="AO128" s="78" t="str">
        <f t="shared" si="195"/>
        <v>X</v>
      </c>
      <c r="AP128" s="78" t="str">
        <f t="shared" si="196"/>
        <v>X</v>
      </c>
      <c r="AQ128" s="78" t="str">
        <f t="shared" si="197"/>
        <v>X</v>
      </c>
      <c r="AR128" s="78" t="str">
        <f t="shared" si="198"/>
        <v>X</v>
      </c>
      <c r="AS128" s="78" t="s">
        <v>2</v>
      </c>
      <c r="AT128" s="78" t="str">
        <f t="shared" si="199"/>
        <v>X</v>
      </c>
      <c r="AU128" s="78" t="str">
        <f t="shared" si="200"/>
        <v>O</v>
      </c>
      <c r="AV128" s="78" t="str">
        <f t="shared" si="201"/>
        <v>X</v>
      </c>
    </row>
    <row r="129" spans="1:48" x14ac:dyDescent="0.3">
      <c r="A129" s="9" t="s">
        <v>955</v>
      </c>
      <c r="B129" s="10" t="s">
        <v>1537</v>
      </c>
      <c r="C129" s="87">
        <v>702</v>
      </c>
      <c r="D129" s="85">
        <v>131.1</v>
      </c>
      <c r="E129" s="86">
        <v>40</v>
      </c>
      <c r="F129" s="85">
        <v>101</v>
      </c>
      <c r="G129" s="17">
        <v>31</v>
      </c>
      <c r="H129" s="87">
        <v>114</v>
      </c>
      <c r="I129" s="88">
        <v>88000</v>
      </c>
      <c r="J129" s="88" t="s">
        <v>83</v>
      </c>
      <c r="K129" s="88">
        <v>50000</v>
      </c>
      <c r="L129" s="88" t="s">
        <v>153</v>
      </c>
      <c r="M129" s="89">
        <f t="shared" si="179"/>
        <v>38000</v>
      </c>
      <c r="N129" s="4">
        <f t="shared" si="180"/>
        <v>0.56818181818181823</v>
      </c>
      <c r="O129" s="90">
        <f t="shared" si="181"/>
        <v>2200</v>
      </c>
      <c r="P129" s="90">
        <f t="shared" si="182"/>
        <v>1250</v>
      </c>
      <c r="Q129" s="78">
        <v>3</v>
      </c>
      <c r="R129" s="78">
        <v>2</v>
      </c>
      <c r="S129" s="78" t="s">
        <v>59</v>
      </c>
      <c r="T129" s="5" t="s">
        <v>181</v>
      </c>
      <c r="U129" s="9"/>
      <c r="W129" s="85">
        <f t="shared" si="183"/>
        <v>131.1</v>
      </c>
      <c r="X129" s="86">
        <f t="shared" si="184"/>
        <v>40</v>
      </c>
      <c r="Y129" s="91">
        <f t="shared" si="185"/>
        <v>114</v>
      </c>
      <c r="Z129" s="89">
        <f t="shared" si="186"/>
        <v>88000</v>
      </c>
      <c r="AA129" s="89">
        <f t="shared" si="187"/>
        <v>50000</v>
      </c>
      <c r="AB129" s="89">
        <f t="shared" si="188"/>
        <v>38000</v>
      </c>
      <c r="AC129" s="4">
        <f t="shared" si="189"/>
        <v>0.56818181818181823</v>
      </c>
      <c r="AD129" s="90">
        <f t="shared" si="190"/>
        <v>2200</v>
      </c>
      <c r="AE129" s="78" t="str">
        <f t="shared" si="191"/>
        <v>계</v>
      </c>
      <c r="AF129" s="78" t="str">
        <f t="shared" si="192"/>
        <v>3/2</v>
      </c>
      <c r="AH129" s="20" t="str">
        <f t="shared" si="152"/>
        <v>에코시티더샵2차</v>
      </c>
      <c r="AI129" s="86">
        <f t="shared" si="151"/>
        <v>40</v>
      </c>
      <c r="AJ129" s="78" t="str">
        <f t="shared" si="193"/>
        <v>A-</v>
      </c>
      <c r="AK129" s="78" t="s">
        <v>13</v>
      </c>
      <c r="AL129" s="78" t="s">
        <v>61</v>
      </c>
      <c r="AM129" s="78" t="s">
        <v>62</v>
      </c>
      <c r="AN129" s="78" t="str">
        <f t="shared" si="194"/>
        <v>C</v>
      </c>
      <c r="AO129" s="78" t="str">
        <f t="shared" si="195"/>
        <v>X</v>
      </c>
      <c r="AP129" s="78" t="str">
        <f t="shared" si="196"/>
        <v>X</v>
      </c>
      <c r="AQ129" s="78" t="str">
        <f t="shared" si="197"/>
        <v>X</v>
      </c>
      <c r="AR129" s="78" t="str">
        <f t="shared" si="198"/>
        <v>X</v>
      </c>
      <c r="AS129" s="78" t="s">
        <v>2</v>
      </c>
      <c r="AT129" s="78" t="str">
        <f t="shared" si="199"/>
        <v>X</v>
      </c>
      <c r="AU129" s="78" t="str">
        <f t="shared" si="200"/>
        <v>O</v>
      </c>
      <c r="AV129" s="78" t="str">
        <f t="shared" si="201"/>
        <v>X</v>
      </c>
    </row>
    <row r="130" spans="1:48" x14ac:dyDescent="0.3">
      <c r="A130" s="9" t="s">
        <v>955</v>
      </c>
      <c r="B130" s="10" t="s">
        <v>1537</v>
      </c>
      <c r="C130" s="87">
        <v>702</v>
      </c>
      <c r="D130" s="85">
        <v>151.69999999999999</v>
      </c>
      <c r="E130" s="86">
        <v>46</v>
      </c>
      <c r="F130" s="85">
        <v>117.9</v>
      </c>
      <c r="G130" s="17">
        <v>36</v>
      </c>
      <c r="H130" s="87">
        <v>54</v>
      </c>
      <c r="I130" s="88">
        <v>105000</v>
      </c>
      <c r="J130" s="88" t="s">
        <v>93</v>
      </c>
      <c r="K130" s="88"/>
      <c r="L130" s="88"/>
      <c r="M130" s="89">
        <f t="shared" si="179"/>
        <v>105000</v>
      </c>
      <c r="N130" s="4">
        <f t="shared" si="180"/>
        <v>0</v>
      </c>
      <c r="O130" s="90">
        <f t="shared" si="181"/>
        <v>2282.608695652174</v>
      </c>
      <c r="P130" s="90">
        <f t="shared" si="182"/>
        <v>0</v>
      </c>
      <c r="Q130" s="78">
        <v>4</v>
      </c>
      <c r="R130" s="78">
        <v>2</v>
      </c>
      <c r="S130" s="78" t="s">
        <v>59</v>
      </c>
      <c r="T130" s="5" t="s">
        <v>183</v>
      </c>
      <c r="U130" s="9"/>
      <c r="W130" s="85">
        <f t="shared" si="183"/>
        <v>151.69999999999999</v>
      </c>
      <c r="X130" s="86">
        <f t="shared" si="184"/>
        <v>46</v>
      </c>
      <c r="Y130" s="91">
        <f t="shared" si="185"/>
        <v>54</v>
      </c>
      <c r="Z130" s="89">
        <f t="shared" si="186"/>
        <v>105000</v>
      </c>
      <c r="AA130" s="89">
        <f t="shared" si="187"/>
        <v>0</v>
      </c>
      <c r="AB130" s="89">
        <f t="shared" si="188"/>
        <v>105000</v>
      </c>
      <c r="AC130" s="4">
        <f t="shared" si="189"/>
        <v>0</v>
      </c>
      <c r="AD130" s="90">
        <f t="shared" si="190"/>
        <v>2282.608695652174</v>
      </c>
      <c r="AE130" s="78" t="str">
        <f t="shared" si="191"/>
        <v>계</v>
      </c>
      <c r="AF130" s="78" t="str">
        <f t="shared" si="192"/>
        <v>4/2</v>
      </c>
      <c r="AH130" s="20" t="str">
        <f t="shared" si="152"/>
        <v>에코시티더샵2차</v>
      </c>
      <c r="AI130" s="86">
        <f t="shared" si="151"/>
        <v>46</v>
      </c>
      <c r="AJ130" s="78" t="str">
        <f t="shared" si="193"/>
        <v>A-</v>
      </c>
      <c r="AK130" s="78" t="s">
        <v>13</v>
      </c>
      <c r="AL130" s="78" t="s">
        <v>61</v>
      </c>
      <c r="AM130" s="78" t="s">
        <v>62</v>
      </c>
      <c r="AN130" s="78" t="str">
        <f t="shared" si="194"/>
        <v>C</v>
      </c>
      <c r="AO130" s="78" t="str">
        <f t="shared" si="195"/>
        <v>X</v>
      </c>
      <c r="AP130" s="78" t="str">
        <f t="shared" si="196"/>
        <v>X</v>
      </c>
      <c r="AQ130" s="78" t="str">
        <f t="shared" si="197"/>
        <v>X</v>
      </c>
      <c r="AR130" s="78" t="str">
        <f t="shared" si="198"/>
        <v>X</v>
      </c>
      <c r="AS130" s="78" t="s">
        <v>2</v>
      </c>
      <c r="AT130" s="78" t="str">
        <f t="shared" si="199"/>
        <v>X</v>
      </c>
      <c r="AU130" s="78" t="str">
        <f t="shared" si="200"/>
        <v>O</v>
      </c>
      <c r="AV130" s="78" t="str">
        <f t="shared" si="201"/>
        <v>X</v>
      </c>
    </row>
    <row r="131" spans="1:48" x14ac:dyDescent="0.3">
      <c r="A131" s="9" t="s">
        <v>955</v>
      </c>
      <c r="B131" s="10" t="s">
        <v>1537</v>
      </c>
      <c r="C131" s="87">
        <v>702</v>
      </c>
      <c r="D131" s="85">
        <v>152</v>
      </c>
      <c r="E131" s="86">
        <v>46</v>
      </c>
      <c r="F131" s="85">
        <v>117.9</v>
      </c>
      <c r="G131" s="17">
        <v>36</v>
      </c>
      <c r="H131" s="87">
        <v>48</v>
      </c>
      <c r="I131" s="88">
        <v>115000</v>
      </c>
      <c r="J131" s="88" t="s">
        <v>69</v>
      </c>
      <c r="K131" s="88"/>
      <c r="L131" s="88"/>
      <c r="M131" s="89">
        <f t="shared" si="179"/>
        <v>115000</v>
      </c>
      <c r="N131" s="4">
        <f t="shared" si="180"/>
        <v>0</v>
      </c>
      <c r="O131" s="90">
        <f t="shared" si="181"/>
        <v>2500</v>
      </c>
      <c r="P131" s="90">
        <f t="shared" si="182"/>
        <v>0</v>
      </c>
      <c r="Q131" s="78">
        <v>4</v>
      </c>
      <c r="R131" s="78">
        <v>2</v>
      </c>
      <c r="S131" s="78" t="s">
        <v>59</v>
      </c>
      <c r="T131" s="5" t="s">
        <v>184</v>
      </c>
      <c r="U131" s="9"/>
      <c r="W131" s="85">
        <f t="shared" si="183"/>
        <v>152</v>
      </c>
      <c r="X131" s="86">
        <f t="shared" si="184"/>
        <v>46</v>
      </c>
      <c r="Y131" s="91">
        <f t="shared" si="185"/>
        <v>48</v>
      </c>
      <c r="Z131" s="89">
        <f t="shared" si="186"/>
        <v>115000</v>
      </c>
      <c r="AA131" s="89">
        <f t="shared" si="187"/>
        <v>0</v>
      </c>
      <c r="AB131" s="89">
        <f t="shared" si="188"/>
        <v>115000</v>
      </c>
      <c r="AC131" s="4">
        <f t="shared" si="189"/>
        <v>0</v>
      </c>
      <c r="AD131" s="90">
        <f t="shared" si="190"/>
        <v>2500</v>
      </c>
      <c r="AE131" s="78" t="str">
        <f t="shared" si="191"/>
        <v>계</v>
      </c>
      <c r="AF131" s="78" t="str">
        <f t="shared" si="192"/>
        <v>4/2</v>
      </c>
      <c r="AH131" s="20" t="str">
        <f t="shared" si="152"/>
        <v>에코시티더샵2차</v>
      </c>
      <c r="AI131" s="86">
        <f t="shared" ref="AI131:AI138" si="202">IF(E131="","",E131)</f>
        <v>46</v>
      </c>
      <c r="AJ131" s="78" t="str">
        <f t="shared" si="193"/>
        <v>A-</v>
      </c>
      <c r="AK131" s="78" t="s">
        <v>13</v>
      </c>
      <c r="AL131" s="78" t="s">
        <v>61</v>
      </c>
      <c r="AM131" s="78" t="s">
        <v>62</v>
      </c>
      <c r="AN131" s="78" t="str">
        <f t="shared" si="194"/>
        <v>C</v>
      </c>
      <c r="AO131" s="78" t="str">
        <f t="shared" si="195"/>
        <v>X</v>
      </c>
      <c r="AP131" s="78" t="str">
        <f t="shared" si="196"/>
        <v>X</v>
      </c>
      <c r="AQ131" s="78" t="str">
        <f t="shared" si="197"/>
        <v>X</v>
      </c>
      <c r="AR131" s="78" t="str">
        <f t="shared" si="198"/>
        <v>X</v>
      </c>
      <c r="AS131" s="78" t="s">
        <v>2</v>
      </c>
      <c r="AT131" s="78" t="str">
        <f t="shared" si="199"/>
        <v>X</v>
      </c>
      <c r="AU131" s="78" t="str">
        <f t="shared" si="200"/>
        <v>O</v>
      </c>
      <c r="AV131" s="78" t="str">
        <f t="shared" si="201"/>
        <v>X</v>
      </c>
    </row>
    <row r="132" spans="1:48" x14ac:dyDescent="0.3">
      <c r="A132" s="9" t="s">
        <v>955</v>
      </c>
      <c r="B132" s="10" t="s">
        <v>1537</v>
      </c>
      <c r="C132" s="87">
        <v>702</v>
      </c>
      <c r="D132" s="85">
        <v>151.80000000000001</v>
      </c>
      <c r="E132" s="86">
        <v>46</v>
      </c>
      <c r="F132" s="85">
        <v>117.8</v>
      </c>
      <c r="G132" s="17">
        <v>36</v>
      </c>
      <c r="H132" s="87">
        <v>26</v>
      </c>
      <c r="I132" s="88">
        <v>125000</v>
      </c>
      <c r="J132" s="88" t="s">
        <v>68</v>
      </c>
      <c r="K132" s="88"/>
      <c r="L132" s="88"/>
      <c r="M132" s="89">
        <f t="shared" si="179"/>
        <v>125000</v>
      </c>
      <c r="N132" s="4">
        <f t="shared" si="180"/>
        <v>0</v>
      </c>
      <c r="O132" s="90">
        <f t="shared" si="181"/>
        <v>2717.391304347826</v>
      </c>
      <c r="P132" s="90">
        <f t="shared" si="182"/>
        <v>0</v>
      </c>
      <c r="Q132" s="78">
        <v>4</v>
      </c>
      <c r="R132" s="78">
        <v>2</v>
      </c>
      <c r="S132" s="78" t="s">
        <v>59</v>
      </c>
      <c r="T132" s="5" t="s">
        <v>74</v>
      </c>
      <c r="U132" s="9"/>
      <c r="W132" s="85">
        <f t="shared" si="183"/>
        <v>151.80000000000001</v>
      </c>
      <c r="X132" s="86">
        <f t="shared" si="184"/>
        <v>46</v>
      </c>
      <c r="Y132" s="91">
        <f t="shared" si="185"/>
        <v>26</v>
      </c>
      <c r="Z132" s="89">
        <f t="shared" si="186"/>
        <v>125000</v>
      </c>
      <c r="AA132" s="89">
        <f t="shared" si="187"/>
        <v>0</v>
      </c>
      <c r="AB132" s="89">
        <f t="shared" si="188"/>
        <v>125000</v>
      </c>
      <c r="AC132" s="4">
        <f t="shared" si="189"/>
        <v>0</v>
      </c>
      <c r="AD132" s="90">
        <f t="shared" si="190"/>
        <v>2717.391304347826</v>
      </c>
      <c r="AE132" s="78" t="str">
        <f t="shared" si="191"/>
        <v>계</v>
      </c>
      <c r="AF132" s="78" t="str">
        <f t="shared" si="192"/>
        <v>4/2</v>
      </c>
      <c r="AH132" s="20" t="str">
        <f t="shared" si="152"/>
        <v>에코시티더샵2차</v>
      </c>
      <c r="AI132" s="86">
        <f t="shared" si="202"/>
        <v>46</v>
      </c>
      <c r="AJ132" s="78" t="str">
        <f t="shared" si="193"/>
        <v>A-</v>
      </c>
      <c r="AK132" s="78" t="s">
        <v>13</v>
      </c>
      <c r="AL132" s="78" t="s">
        <v>61</v>
      </c>
      <c r="AM132" s="78" t="s">
        <v>62</v>
      </c>
      <c r="AN132" s="78" t="str">
        <f t="shared" si="194"/>
        <v>C</v>
      </c>
      <c r="AO132" s="78" t="str">
        <f t="shared" si="195"/>
        <v>X</v>
      </c>
      <c r="AP132" s="78" t="str">
        <f t="shared" si="196"/>
        <v>X</v>
      </c>
      <c r="AQ132" s="78" t="str">
        <f t="shared" si="197"/>
        <v>X</v>
      </c>
      <c r="AR132" s="78" t="str">
        <f t="shared" si="198"/>
        <v>X</v>
      </c>
      <c r="AS132" s="78" t="s">
        <v>2</v>
      </c>
      <c r="AT132" s="78" t="str">
        <f t="shared" si="199"/>
        <v>X</v>
      </c>
      <c r="AU132" s="78" t="str">
        <f t="shared" si="200"/>
        <v>O</v>
      </c>
      <c r="AV132" s="78" t="str">
        <f t="shared" si="201"/>
        <v>X</v>
      </c>
    </row>
    <row r="133" spans="1:48" x14ac:dyDescent="0.3">
      <c r="A133" s="9" t="s">
        <v>955</v>
      </c>
      <c r="B133" s="10" t="s">
        <v>1537</v>
      </c>
      <c r="C133" s="87">
        <v>702</v>
      </c>
      <c r="D133" s="85">
        <v>151.9</v>
      </c>
      <c r="E133" s="86">
        <v>46</v>
      </c>
      <c r="F133" s="85">
        <v>117.1</v>
      </c>
      <c r="G133" s="17">
        <v>35</v>
      </c>
      <c r="H133" s="87">
        <v>26</v>
      </c>
      <c r="I133" s="88"/>
      <c r="J133" s="88"/>
      <c r="K133" s="88"/>
      <c r="L133" s="88"/>
      <c r="M133" s="89">
        <f t="shared" si="179"/>
        <v>0</v>
      </c>
      <c r="N133" s="4" t="str">
        <f t="shared" si="180"/>
        <v/>
      </c>
      <c r="O133" s="90">
        <f t="shared" si="181"/>
        <v>0</v>
      </c>
      <c r="P133" s="90">
        <f t="shared" si="182"/>
        <v>0</v>
      </c>
      <c r="Q133" s="78">
        <v>4</v>
      </c>
      <c r="R133" s="78">
        <v>2</v>
      </c>
      <c r="S133" s="78" t="s">
        <v>59</v>
      </c>
      <c r="T133" s="5" t="s">
        <v>185</v>
      </c>
      <c r="U133" s="9"/>
      <c r="W133" s="85">
        <f t="shared" si="183"/>
        <v>151.9</v>
      </c>
      <c r="X133" s="86">
        <f t="shared" si="184"/>
        <v>46</v>
      </c>
      <c r="Y133" s="91">
        <f t="shared" si="185"/>
        <v>26</v>
      </c>
      <c r="Z133" s="89">
        <f t="shared" si="186"/>
        <v>0</v>
      </c>
      <c r="AA133" s="89">
        <f t="shared" si="187"/>
        <v>0</v>
      </c>
      <c r="AB133" s="89">
        <f t="shared" si="188"/>
        <v>0</v>
      </c>
      <c r="AC133" s="4" t="str">
        <f t="shared" si="189"/>
        <v/>
      </c>
      <c r="AD133" s="90">
        <f t="shared" si="190"/>
        <v>0</v>
      </c>
      <c r="AE133" s="78" t="str">
        <f t="shared" si="191"/>
        <v>계</v>
      </c>
      <c r="AF133" s="78" t="str">
        <f t="shared" si="192"/>
        <v>4/2</v>
      </c>
      <c r="AH133" s="20" t="str">
        <f t="shared" ref="AH133:AH138" si="203">IF(A133="","",A133)</f>
        <v>에코시티더샵2차</v>
      </c>
      <c r="AI133" s="86">
        <f t="shared" si="202"/>
        <v>46</v>
      </c>
      <c r="AJ133" s="78" t="str">
        <f t="shared" si="193"/>
        <v>A-</v>
      </c>
      <c r="AK133" s="78" t="s">
        <v>13</v>
      </c>
      <c r="AL133" s="78" t="s">
        <v>61</v>
      </c>
      <c r="AM133" s="78" t="s">
        <v>62</v>
      </c>
      <c r="AN133" s="78" t="str">
        <f t="shared" si="194"/>
        <v>C</v>
      </c>
      <c r="AO133" s="78" t="str">
        <f t="shared" si="195"/>
        <v/>
      </c>
      <c r="AP133" s="78" t="str">
        <f t="shared" si="196"/>
        <v/>
      </c>
      <c r="AQ133" s="78" t="str">
        <f t="shared" si="197"/>
        <v>O</v>
      </c>
      <c r="AR133" s="78" t="str">
        <f t="shared" si="198"/>
        <v>O</v>
      </c>
      <c r="AS133" s="78" t="s">
        <v>2</v>
      </c>
      <c r="AT133" s="78" t="str">
        <f t="shared" si="199"/>
        <v>X</v>
      </c>
      <c r="AU133" s="78" t="str">
        <f t="shared" si="200"/>
        <v>O</v>
      </c>
      <c r="AV133" s="78" t="str">
        <f t="shared" si="201"/>
        <v/>
      </c>
    </row>
    <row r="134" spans="1:48" x14ac:dyDescent="0.3">
      <c r="A134" s="9"/>
      <c r="B134" s="78"/>
      <c r="C134" s="6"/>
      <c r="D134" s="9"/>
      <c r="E134" s="14"/>
      <c r="F134" s="85"/>
      <c r="G134" s="9"/>
      <c r="H134" s="9"/>
      <c r="I134" s="9"/>
      <c r="J134" s="9"/>
      <c r="K134" s="9"/>
      <c r="L134" s="9"/>
      <c r="M134" s="9"/>
      <c r="N134" s="9"/>
      <c r="O134" s="90"/>
      <c r="P134" s="90"/>
      <c r="Q134" s="86"/>
      <c r="R134" s="86"/>
      <c r="S134" s="9"/>
      <c r="T134" s="47"/>
      <c r="U134" s="9"/>
      <c r="W134" s="67" t="str">
        <f>$A$4&amp;" "&amp;A135&amp;"("&amp;B135&amp;","&amp;C135&amp;"^)"</f>
        <v>송천동2가 전주송천한라비발디2단지('13.10.,381^)</v>
      </c>
      <c r="X134" s="68"/>
      <c r="Y134" s="68"/>
      <c r="Z134" s="68"/>
      <c r="AA134" s="68"/>
      <c r="AB134" s="68"/>
      <c r="AC134" s="68"/>
      <c r="AD134" s="68"/>
      <c r="AE134" s="68"/>
      <c r="AF134" s="69"/>
      <c r="AH134" s="20" t="str">
        <f t="shared" si="203"/>
        <v/>
      </c>
      <c r="AI134" s="108" t="str">
        <f t="shared" si="202"/>
        <v/>
      </c>
      <c r="AJ134" s="78"/>
      <c r="AK134" s="78"/>
      <c r="AL134" s="78"/>
      <c r="AM134" s="78"/>
      <c r="AN134" s="78"/>
      <c r="AO134" s="78"/>
      <c r="AP134" s="78"/>
      <c r="AQ134" s="78"/>
      <c r="AR134" s="78"/>
      <c r="AS134" s="78"/>
      <c r="AT134" s="78"/>
      <c r="AU134" s="78"/>
      <c r="AV134" s="78"/>
    </row>
    <row r="135" spans="1:48" x14ac:dyDescent="0.3">
      <c r="A135" s="9" t="s">
        <v>959</v>
      </c>
      <c r="B135" s="10" t="s">
        <v>1560</v>
      </c>
      <c r="C135" s="87">
        <v>381</v>
      </c>
      <c r="D135" s="85">
        <v>109.3</v>
      </c>
      <c r="E135" s="86">
        <v>33</v>
      </c>
      <c r="F135" s="85">
        <v>85</v>
      </c>
      <c r="G135" s="17">
        <v>26</v>
      </c>
      <c r="H135" s="87">
        <v>346</v>
      </c>
      <c r="I135" s="88">
        <v>43100</v>
      </c>
      <c r="J135" s="88" t="s">
        <v>82</v>
      </c>
      <c r="K135" s="88">
        <v>35000</v>
      </c>
      <c r="L135" s="88" t="s">
        <v>83</v>
      </c>
      <c r="M135" s="89">
        <f>I135-K135</f>
        <v>8100</v>
      </c>
      <c r="N135" s="4">
        <f>IF(ISERROR(K135/I135),"",K135/I135)</f>
        <v>0.81206496519721583</v>
      </c>
      <c r="O135" s="90">
        <f>I135/E135</f>
        <v>1306.060606060606</v>
      </c>
      <c r="P135" s="90">
        <f>K135/E135</f>
        <v>1060.6060606060605</v>
      </c>
      <c r="Q135" s="78">
        <v>3</v>
      </c>
      <c r="R135" s="78">
        <v>2</v>
      </c>
      <c r="S135" s="78" t="s">
        <v>59</v>
      </c>
      <c r="T135" s="5" t="s">
        <v>70</v>
      </c>
      <c r="U135" s="9"/>
      <c r="W135" s="85">
        <f>D135</f>
        <v>109.3</v>
      </c>
      <c r="X135" s="86">
        <f>E135</f>
        <v>33</v>
      </c>
      <c r="Y135" s="91">
        <f>H135</f>
        <v>346</v>
      </c>
      <c r="Z135" s="89">
        <f>I135</f>
        <v>43100</v>
      </c>
      <c r="AA135" s="89">
        <f>K135</f>
        <v>35000</v>
      </c>
      <c r="AB135" s="89">
        <f t="shared" ref="AB135:AD136" si="204">M135</f>
        <v>8100</v>
      </c>
      <c r="AC135" s="4">
        <f t="shared" si="204"/>
        <v>0.81206496519721583</v>
      </c>
      <c r="AD135" s="90">
        <f t="shared" si="204"/>
        <v>1306.060606060606</v>
      </c>
      <c r="AE135" s="78" t="str">
        <f>S135</f>
        <v>계</v>
      </c>
      <c r="AF135" s="78" t="str">
        <f>Q135&amp;"/"&amp;R135</f>
        <v>3/2</v>
      </c>
      <c r="AH135" s="20" t="str">
        <f t="shared" si="203"/>
        <v>전주송천한라비발디2단지</v>
      </c>
      <c r="AI135" s="86">
        <f t="shared" si="202"/>
        <v>33</v>
      </c>
      <c r="AJ135" s="78" t="str">
        <f>IF(AI135="","",$AJ$2)</f>
        <v>A-</v>
      </c>
      <c r="AK135" s="78" t="s">
        <v>13</v>
      </c>
      <c r="AL135" s="78" t="s">
        <v>61</v>
      </c>
      <c r="AM135" s="78" t="s">
        <v>62</v>
      </c>
      <c r="AN135" s="78" t="str">
        <f>IF(AI135="","",$AN$2)</f>
        <v>C</v>
      </c>
      <c r="AO135" s="78" t="str">
        <f>IF(N135="","",IF(N135&gt;=$AO$1/100,"O","X"))</f>
        <v>O</v>
      </c>
      <c r="AP135" s="78" t="str">
        <f>IF(I135="","",IF(I135&lt;=$AP$1,"O","X"))</f>
        <v>O</v>
      </c>
      <c r="AQ135" s="78" t="str">
        <f>IF(O135="","",IF(O135&lt;=$AQ$1,"O","X"))</f>
        <v>X</v>
      </c>
      <c r="AR135" s="78" t="str">
        <f>IF(M135="","",IF(M135&lt;=$AR$1,"O","X"))</f>
        <v>X</v>
      </c>
      <c r="AS135" s="78" t="s">
        <v>2</v>
      </c>
      <c r="AT135" s="78" t="str">
        <f>IF(OR(F135="",AI135=""),"",IF(AND((F135&lt;=85),(AI135&gt;=15)),"O","X"))</f>
        <v>O</v>
      </c>
      <c r="AU135" s="78" t="str">
        <f>IF(C135="","",IF(C135&gt;=$AU$1,"O","X"))</f>
        <v>O</v>
      </c>
      <c r="AV135" s="78" t="str">
        <f>IF(AO135="","",IF(AND(AO135="O",AP135="O",AR135="O",AT135="O",AU135="O"),"후보","X"))</f>
        <v>X</v>
      </c>
    </row>
    <row r="136" spans="1:48" x14ac:dyDescent="0.3">
      <c r="A136" s="9" t="s">
        <v>959</v>
      </c>
      <c r="B136" s="10" t="s">
        <v>1560</v>
      </c>
      <c r="C136" s="87">
        <v>381</v>
      </c>
      <c r="D136" s="85">
        <v>120.3</v>
      </c>
      <c r="E136" s="86">
        <v>36</v>
      </c>
      <c r="F136" s="85">
        <v>85</v>
      </c>
      <c r="G136" s="17">
        <v>26</v>
      </c>
      <c r="H136" s="87">
        <v>35</v>
      </c>
      <c r="I136" s="88">
        <v>46000</v>
      </c>
      <c r="J136" s="88" t="s">
        <v>68</v>
      </c>
      <c r="K136" s="88"/>
      <c r="L136" s="88"/>
      <c r="M136" s="89">
        <f>I136-K136</f>
        <v>46000</v>
      </c>
      <c r="N136" s="4">
        <f>IF(ISERROR(K136/I136),"",K136/I136)</f>
        <v>0</v>
      </c>
      <c r="O136" s="90">
        <f>I136/E136</f>
        <v>1277.7777777777778</v>
      </c>
      <c r="P136" s="90">
        <f>K136/E136</f>
        <v>0</v>
      </c>
      <c r="Q136" s="78">
        <v>3</v>
      </c>
      <c r="R136" s="78">
        <v>2</v>
      </c>
      <c r="S136" s="78" t="s">
        <v>59</v>
      </c>
      <c r="T136" s="5" t="s">
        <v>186</v>
      </c>
      <c r="U136" s="9"/>
      <c r="W136" s="85">
        <f>D136</f>
        <v>120.3</v>
      </c>
      <c r="X136" s="86">
        <f>E136</f>
        <v>36</v>
      </c>
      <c r="Y136" s="91">
        <f>H136</f>
        <v>35</v>
      </c>
      <c r="Z136" s="89">
        <f>I136</f>
        <v>46000</v>
      </c>
      <c r="AA136" s="89">
        <f>K136</f>
        <v>0</v>
      </c>
      <c r="AB136" s="89">
        <f t="shared" si="204"/>
        <v>46000</v>
      </c>
      <c r="AC136" s="4">
        <f t="shared" si="204"/>
        <v>0</v>
      </c>
      <c r="AD136" s="90">
        <f t="shared" si="204"/>
        <v>1277.7777777777778</v>
      </c>
      <c r="AE136" s="78" t="str">
        <f>S136</f>
        <v>계</v>
      </c>
      <c r="AF136" s="78" t="str">
        <f>Q136&amp;"/"&amp;R136</f>
        <v>3/2</v>
      </c>
      <c r="AH136" s="20" t="str">
        <f t="shared" si="203"/>
        <v>전주송천한라비발디2단지</v>
      </c>
      <c r="AI136" s="86">
        <f t="shared" si="202"/>
        <v>36</v>
      </c>
      <c r="AJ136" s="78" t="str">
        <f>IF(AI136="","",$AJ$2)</f>
        <v>A-</v>
      </c>
      <c r="AK136" s="78" t="s">
        <v>13</v>
      </c>
      <c r="AL136" s="78" t="s">
        <v>61</v>
      </c>
      <c r="AM136" s="78" t="s">
        <v>62</v>
      </c>
      <c r="AN136" s="78" t="str">
        <f>IF(AI136="","",$AN$2)</f>
        <v>C</v>
      </c>
      <c r="AO136" s="78" t="str">
        <f>IF(N136="","",IF(N136&gt;=$AO$1/100,"O","X"))</f>
        <v>X</v>
      </c>
      <c r="AP136" s="78" t="str">
        <f>IF(I136="","",IF(I136&lt;=$AP$1,"O","X"))</f>
        <v>X</v>
      </c>
      <c r="AQ136" s="78" t="str">
        <f>IF(O136="","",IF(O136&lt;=$AQ$1,"O","X"))</f>
        <v>X</v>
      </c>
      <c r="AR136" s="78" t="str">
        <f>IF(M136="","",IF(M136&lt;=$AR$1,"O","X"))</f>
        <v>X</v>
      </c>
      <c r="AS136" s="78" t="s">
        <v>2</v>
      </c>
      <c r="AT136" s="78" t="str">
        <f>IF(OR(F136="",AI136=""),"",IF(AND((F136&lt;=85),(AI136&gt;=15)),"O","X"))</f>
        <v>O</v>
      </c>
      <c r="AU136" s="78" t="str">
        <f>IF(C136="","",IF(C136&gt;=$AU$1,"O","X"))</f>
        <v>O</v>
      </c>
      <c r="AV136" s="78" t="str">
        <f>IF(AO136="","",IF(AND(AO136="O",AP136="O",AR136="O",AT136="O",AU136="O"),"후보","X"))</f>
        <v>X</v>
      </c>
    </row>
    <row r="137" spans="1:48" x14ac:dyDescent="0.3">
      <c r="A137" s="9"/>
      <c r="B137" s="78"/>
      <c r="C137" s="6"/>
      <c r="D137" s="9"/>
      <c r="E137" s="14"/>
      <c r="F137" s="85"/>
      <c r="G137" s="9"/>
      <c r="H137" s="9"/>
      <c r="I137" s="9"/>
      <c r="J137" s="9"/>
      <c r="K137" s="9"/>
      <c r="L137" s="9"/>
      <c r="M137" s="9"/>
      <c r="N137" s="9"/>
      <c r="O137" s="90"/>
      <c r="P137" s="90"/>
      <c r="Q137" s="86"/>
      <c r="R137" s="86"/>
      <c r="S137" s="9"/>
      <c r="T137" s="47"/>
      <c r="U137" s="9"/>
      <c r="W137" s="67" t="str">
        <f>$A$4&amp;" "&amp;A138&amp;"("&amp;B138&amp;","&amp;C138&amp;"^)"</f>
        <v>송천동2가 대명궁궐('92.02.,525^)</v>
      </c>
      <c r="X137" s="68"/>
      <c r="Y137" s="68"/>
      <c r="Z137" s="68"/>
      <c r="AA137" s="68"/>
      <c r="AB137" s="68"/>
      <c r="AC137" s="68"/>
      <c r="AD137" s="68"/>
      <c r="AE137" s="68"/>
      <c r="AF137" s="69"/>
      <c r="AH137" s="20" t="str">
        <f t="shared" si="203"/>
        <v/>
      </c>
      <c r="AI137" s="108" t="str">
        <f t="shared" si="202"/>
        <v/>
      </c>
      <c r="AJ137" s="78"/>
      <c r="AK137" s="78"/>
      <c r="AL137" s="78"/>
      <c r="AM137" s="78"/>
      <c r="AN137" s="78"/>
      <c r="AO137" s="78"/>
      <c r="AP137" s="78"/>
      <c r="AQ137" s="78"/>
      <c r="AR137" s="78"/>
      <c r="AS137" s="78"/>
      <c r="AT137" s="78"/>
      <c r="AU137" s="78"/>
      <c r="AV137" s="78"/>
    </row>
    <row r="138" spans="1:48" x14ac:dyDescent="0.3">
      <c r="A138" s="9" t="s">
        <v>963</v>
      </c>
      <c r="B138" s="10" t="s">
        <v>1587</v>
      </c>
      <c r="C138" s="87">
        <v>525</v>
      </c>
      <c r="D138" s="85">
        <v>80.099999999999994</v>
      </c>
      <c r="E138" s="86">
        <v>24</v>
      </c>
      <c r="F138" s="85">
        <v>59.5</v>
      </c>
      <c r="G138" s="17">
        <v>18</v>
      </c>
      <c r="H138" s="87">
        <v>525</v>
      </c>
      <c r="I138" s="88">
        <v>8300</v>
      </c>
      <c r="J138" s="88" t="s">
        <v>83</v>
      </c>
      <c r="K138" s="88">
        <v>8000</v>
      </c>
      <c r="L138" s="88" t="s">
        <v>83</v>
      </c>
      <c r="M138" s="89">
        <f>I138-K138</f>
        <v>300</v>
      </c>
      <c r="N138" s="4">
        <f>IF(ISERROR(K138/I138),"",K138/I138)</f>
        <v>0.96385542168674698</v>
      </c>
      <c r="O138" s="90">
        <f>I138/E138</f>
        <v>345.83333333333331</v>
      </c>
      <c r="P138" s="90">
        <f>K138/E138</f>
        <v>333.33333333333331</v>
      </c>
      <c r="Q138" s="78">
        <v>3</v>
      </c>
      <c r="R138" s="78">
        <v>1</v>
      </c>
      <c r="S138" s="78" t="s">
        <v>65</v>
      </c>
      <c r="T138" s="5">
        <v>80</v>
      </c>
      <c r="U138" s="9"/>
      <c r="W138" s="85">
        <f>D138</f>
        <v>80.099999999999994</v>
      </c>
      <c r="X138" s="86">
        <f>E138</f>
        <v>24</v>
      </c>
      <c r="Y138" s="91">
        <f>H138</f>
        <v>525</v>
      </c>
      <c r="Z138" s="89">
        <f>I138</f>
        <v>8300</v>
      </c>
      <c r="AA138" s="89">
        <f>K138</f>
        <v>8000</v>
      </c>
      <c r="AB138" s="89">
        <f>M138</f>
        <v>300</v>
      </c>
      <c r="AC138" s="4">
        <f>N138</f>
        <v>0.96385542168674698</v>
      </c>
      <c r="AD138" s="90">
        <f>O138</f>
        <v>345.83333333333331</v>
      </c>
      <c r="AE138" s="78" t="str">
        <f>S138</f>
        <v>복</v>
      </c>
      <c r="AF138" s="78" t="str">
        <f>Q138&amp;"/"&amp;R138</f>
        <v>3/1</v>
      </c>
      <c r="AH138" s="20" t="str">
        <f t="shared" si="203"/>
        <v>대명궁궐</v>
      </c>
      <c r="AI138" s="86">
        <f t="shared" si="202"/>
        <v>24</v>
      </c>
      <c r="AJ138" s="78" t="str">
        <f>IF(AI138="","",$AJ$2)</f>
        <v>A-</v>
      </c>
      <c r="AK138" s="78" t="s">
        <v>13</v>
      </c>
      <c r="AL138" s="78" t="s">
        <v>61</v>
      </c>
      <c r="AM138" s="78" t="s">
        <v>62</v>
      </c>
      <c r="AN138" s="78" t="str">
        <f>IF(AI138="","",$AN$2)</f>
        <v>C</v>
      </c>
      <c r="AO138" s="78" t="str">
        <f>IF(N138="","",IF(N138&gt;=$AO$1/100,"O","X"))</f>
        <v>O</v>
      </c>
      <c r="AP138" s="78" t="str">
        <f>IF(I138="","",IF(I138&lt;=$AP$1,"O","X"))</f>
        <v>O</v>
      </c>
      <c r="AQ138" s="78" t="str">
        <f>IF(O138="","",IF(O138&lt;=$AQ$1,"O","X"))</f>
        <v>O</v>
      </c>
      <c r="AR138" s="78" t="str">
        <f>IF(M138="","",IF(M138&lt;=$AR$1,"O","X"))</f>
        <v>O</v>
      </c>
      <c r="AS138" s="78" t="s">
        <v>2</v>
      </c>
      <c r="AT138" s="78" t="str">
        <f>IF(OR(F138="",AI138=""),"",IF(AND((F138&lt;=85),(AI138&gt;=15)),"O","X"))</f>
        <v>O</v>
      </c>
      <c r="AU138" s="78" t="str">
        <f>IF(C138="","",IF(C138&gt;=$AU$1,"O","X"))</f>
        <v>O</v>
      </c>
      <c r="AV138" s="78" t="str">
        <f>IF(AO138="","",IF(AND(AO138="O",AP138="O",AR138="O",AT138="O",AU138="O"),"후보","X"))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6463" priority="2178">
      <formula>AV4="X"</formula>
    </cfRule>
    <cfRule type="expression" dxfId="6462" priority="2179">
      <formula>AV4="후보"</formula>
    </cfRule>
  </conditionalFormatting>
  <conditionalFormatting sqref="AC1:AC2 AC4:AC6 N4:N5">
    <cfRule type="cellIs" dxfId="6461" priority="2175" operator="greaterThan">
      <formula>0.9</formula>
    </cfRule>
    <cfRule type="cellIs" dxfId="6460" priority="2176" operator="greaterThan">
      <formula>0.85</formula>
    </cfRule>
  </conditionalFormatting>
  <conditionalFormatting sqref="N1:N2">
    <cfRule type="cellIs" dxfId="6459" priority="2173" operator="greaterThan">
      <formula>0.9</formula>
    </cfRule>
    <cfRule type="cellIs" dxfId="6458" priority="2174" operator="greaterThan">
      <formula>0.85</formula>
    </cfRule>
  </conditionalFormatting>
  <conditionalFormatting sqref="N6">
    <cfRule type="cellIs" dxfId="6457" priority="2171" operator="greaterThan">
      <formula>0.9</formula>
    </cfRule>
    <cfRule type="cellIs" dxfId="6456" priority="2172" operator="greaterThan">
      <formula>0.85</formula>
    </cfRule>
  </conditionalFormatting>
  <conditionalFormatting sqref="E6">
    <cfRule type="expression" dxfId="6455" priority="2167">
      <formula>AND(IF(OR($Q6=1,$Q6=2),1,0),IF($X6&lt;=20,1,0))</formula>
    </cfRule>
    <cfRule type="expression" dxfId="6454" priority="2168">
      <formula>AND(IF($Q6=2,1,0),IF($X6&lt;30,1,0))</formula>
    </cfRule>
    <cfRule type="expression" dxfId="6453" priority="2169">
      <formula>AND(IF($Q6=3,1,0),IF($X6&lt;30,1,0))</formula>
    </cfRule>
    <cfRule type="expression" dxfId="6452" priority="2170">
      <formula>AND(IF($Q6=3,1,IF($Q6=4,1,0)),IF($F6&lt;=85,1,0))</formula>
    </cfRule>
  </conditionalFormatting>
  <conditionalFormatting sqref="X6">
    <cfRule type="expression" dxfId="6451" priority="2163">
      <formula>AND(IF(OR($Q6=1,$Q6=2),1,0),IF($X6&lt;=20,1,0))</formula>
    </cfRule>
    <cfRule type="expression" dxfId="6450" priority="2164">
      <formula>AND(IF($Q6=2,1,0),IF($X6&lt;30,1,0))</formula>
    </cfRule>
    <cfRule type="expression" dxfId="6449" priority="2165">
      <formula>AND(IF($Q6=3,1,0),IF($X6&lt;30,1,0))</formula>
    </cfRule>
    <cfRule type="expression" dxfId="6448" priority="2166">
      <formula>AND(IF($Q6=3,1,IF($Q6=4,1,0)),IF($F6&lt;=85,1,0))</formula>
    </cfRule>
  </conditionalFormatting>
  <conditionalFormatting sqref="AI6">
    <cfRule type="expression" dxfId="6447" priority="2159">
      <formula>AND(IF(OR($Q6=1,$Q6=2),1,0),IF($X6&lt;=20,1,0))</formula>
    </cfRule>
    <cfRule type="expression" dxfId="6446" priority="2160">
      <formula>AND(IF($Q6=2,1,0),IF($X6&lt;30,1,0))</formula>
    </cfRule>
    <cfRule type="expression" dxfId="6445" priority="2161">
      <formula>AND(IF($Q6=3,1,0),IF($X6&lt;30,1,0))</formula>
    </cfRule>
    <cfRule type="expression" dxfId="6444" priority="2162">
      <formula>AND(IF($Q6=3,1,IF($Q6=4,1,0)),IF($F6&lt;=85,1,0))</formula>
    </cfRule>
  </conditionalFormatting>
  <conditionalFormatting sqref="AV7">
    <cfRule type="expression" dxfId="6443" priority="2157">
      <formula>AV7="X"</formula>
    </cfRule>
    <cfRule type="expression" dxfId="6442" priority="2158">
      <formula>AV7="후보"</formula>
    </cfRule>
  </conditionalFormatting>
  <conditionalFormatting sqref="AC7">
    <cfRule type="cellIs" dxfId="6441" priority="2154" operator="greaterThan">
      <formula>0.9</formula>
    </cfRule>
    <cfRule type="cellIs" dxfId="6440" priority="2155" operator="greaterThan">
      <formula>0.85</formula>
    </cfRule>
  </conditionalFormatting>
  <conditionalFormatting sqref="N7">
    <cfRule type="cellIs" dxfId="6439" priority="2152" operator="greaterThan">
      <formula>0.9</formula>
    </cfRule>
    <cfRule type="cellIs" dxfId="6438" priority="2153" operator="greaterThan">
      <formula>0.85</formula>
    </cfRule>
  </conditionalFormatting>
  <conditionalFormatting sqref="E7">
    <cfRule type="expression" dxfId="6437" priority="2148">
      <formula>AND(IF(OR($Q7=1,$Q7=2),1,0),IF($X7&lt;=20,1,0))</formula>
    </cfRule>
    <cfRule type="expression" dxfId="6436" priority="2149">
      <formula>AND(IF($Q7=2,1,0),IF($X7&lt;30,1,0))</formula>
    </cfRule>
    <cfRule type="expression" dxfId="6435" priority="2150">
      <formula>AND(IF($Q7=3,1,0),IF($X7&lt;30,1,0))</formula>
    </cfRule>
    <cfRule type="expression" dxfId="6434" priority="2151">
      <formula>AND(IF($Q7=3,1,IF($Q7=4,1,0)),IF($F7&lt;=85,1,0))</formula>
    </cfRule>
  </conditionalFormatting>
  <conditionalFormatting sqref="X7">
    <cfRule type="expression" dxfId="6433" priority="2144">
      <formula>AND(IF(OR($Q7=1,$Q7=2),1,0),IF($X7&lt;=20,1,0))</formula>
    </cfRule>
    <cfRule type="expression" dxfId="6432" priority="2145">
      <formula>AND(IF($Q7=2,1,0),IF($X7&lt;30,1,0))</formula>
    </cfRule>
    <cfRule type="expression" dxfId="6431" priority="2146">
      <formula>AND(IF($Q7=3,1,0),IF($X7&lt;30,1,0))</formula>
    </cfRule>
    <cfRule type="expression" dxfId="6430" priority="2147">
      <formula>AND(IF($Q7=3,1,IF($Q7=4,1,0)),IF($F7&lt;=85,1,0))</formula>
    </cfRule>
  </conditionalFormatting>
  <conditionalFormatting sqref="AI7">
    <cfRule type="expression" dxfId="6429" priority="2140">
      <formula>AND(IF(OR($Q7=1,$Q7=2),1,0),IF($X7&lt;=20,1,0))</formula>
    </cfRule>
    <cfRule type="expression" dxfId="6428" priority="2141">
      <formula>AND(IF($Q7=2,1,0),IF($X7&lt;30,1,0))</formula>
    </cfRule>
    <cfRule type="expression" dxfId="6427" priority="2142">
      <formula>AND(IF($Q7=3,1,0),IF($X7&lt;30,1,0))</formula>
    </cfRule>
    <cfRule type="expression" dxfId="6426" priority="2143">
      <formula>AND(IF($Q7=3,1,IF($Q7=4,1,0)),IF($F7&lt;=85,1,0))</formula>
    </cfRule>
  </conditionalFormatting>
  <conditionalFormatting sqref="AV8">
    <cfRule type="expression" dxfId="6425" priority="2138">
      <formula>AV8="X"</formula>
    </cfRule>
    <cfRule type="expression" dxfId="6424" priority="2139">
      <formula>AV8="후보"</formula>
    </cfRule>
  </conditionalFormatting>
  <conditionalFormatting sqref="AC8">
    <cfRule type="cellIs" dxfId="6423" priority="2135" operator="greaterThan">
      <formula>0.9</formula>
    </cfRule>
    <cfRule type="cellIs" dxfId="6422" priority="2136" operator="greaterThan">
      <formula>0.85</formula>
    </cfRule>
  </conditionalFormatting>
  <conditionalFormatting sqref="N8">
    <cfRule type="cellIs" dxfId="6421" priority="2133" operator="greaterThan">
      <formula>0.9</formula>
    </cfRule>
    <cfRule type="cellIs" dxfId="6420" priority="2134" operator="greaterThan">
      <formula>0.85</formula>
    </cfRule>
  </conditionalFormatting>
  <conditionalFormatting sqref="E8">
    <cfRule type="expression" dxfId="6419" priority="2129">
      <formula>AND(IF(OR($Q8=1,$Q8=2),1,0),IF($X8&lt;=20,1,0))</formula>
    </cfRule>
    <cfRule type="expression" dxfId="6418" priority="2130">
      <formula>AND(IF($Q8=2,1,0),IF($X8&lt;30,1,0))</formula>
    </cfRule>
    <cfRule type="expression" dxfId="6417" priority="2131">
      <formula>AND(IF($Q8=3,1,0),IF($X8&lt;30,1,0))</formula>
    </cfRule>
    <cfRule type="expression" dxfId="6416" priority="2132">
      <formula>AND(IF($Q8=3,1,IF($Q8=4,1,0)),IF($F8&lt;=85,1,0))</formula>
    </cfRule>
  </conditionalFormatting>
  <conditionalFormatting sqref="X8">
    <cfRule type="expression" dxfId="6415" priority="2125">
      <formula>AND(IF(OR($Q8=1,$Q8=2),1,0),IF($X8&lt;=20,1,0))</formula>
    </cfRule>
    <cfRule type="expression" dxfId="6414" priority="2126">
      <formula>AND(IF($Q8=2,1,0),IF($X8&lt;30,1,0))</formula>
    </cfRule>
    <cfRule type="expression" dxfId="6413" priority="2127">
      <formula>AND(IF($Q8=3,1,0),IF($X8&lt;30,1,0))</formula>
    </cfRule>
    <cfRule type="expression" dxfId="6412" priority="2128">
      <formula>AND(IF($Q8=3,1,IF($Q8=4,1,0)),IF($F8&lt;=85,1,0))</formula>
    </cfRule>
  </conditionalFormatting>
  <conditionalFormatting sqref="AI8">
    <cfRule type="expression" dxfId="6411" priority="2121">
      <formula>AND(IF(OR($Q8=1,$Q8=2),1,0),IF($X8&lt;=20,1,0))</formula>
    </cfRule>
    <cfRule type="expression" dxfId="6410" priority="2122">
      <formula>AND(IF($Q8=2,1,0),IF($X8&lt;30,1,0))</formula>
    </cfRule>
    <cfRule type="expression" dxfId="6409" priority="2123">
      <formula>AND(IF($Q8=3,1,0),IF($X8&lt;30,1,0))</formula>
    </cfRule>
    <cfRule type="expression" dxfId="6408" priority="2124">
      <formula>AND(IF($Q8=3,1,IF($Q8=4,1,0)),IF($F8&lt;=85,1,0))</formula>
    </cfRule>
  </conditionalFormatting>
  <conditionalFormatting sqref="AV9">
    <cfRule type="expression" dxfId="6407" priority="2119">
      <formula>AV9="X"</formula>
    </cfRule>
    <cfRule type="expression" dxfId="6406" priority="2120">
      <formula>AV9="후보"</formula>
    </cfRule>
  </conditionalFormatting>
  <conditionalFormatting sqref="AC9">
    <cfRule type="cellIs" dxfId="6405" priority="2116" operator="greaterThan">
      <formula>0.9</formula>
    </cfRule>
    <cfRule type="cellIs" dxfId="6404" priority="2117" operator="greaterThan">
      <formula>0.85</formula>
    </cfRule>
  </conditionalFormatting>
  <conditionalFormatting sqref="N9">
    <cfRule type="cellIs" dxfId="6403" priority="2114" operator="greaterThan">
      <formula>0.9</formula>
    </cfRule>
    <cfRule type="cellIs" dxfId="6402" priority="2115" operator="greaterThan">
      <formula>0.85</formula>
    </cfRule>
  </conditionalFormatting>
  <conditionalFormatting sqref="E9">
    <cfRule type="expression" dxfId="6401" priority="2110">
      <formula>AND(IF(OR($Q9=1,$Q9=2),1,0),IF($X9&lt;=20,1,0))</formula>
    </cfRule>
    <cfRule type="expression" dxfId="6400" priority="2111">
      <formula>AND(IF($Q9=2,1,0),IF($X9&lt;30,1,0))</formula>
    </cfRule>
    <cfRule type="expression" dxfId="6399" priority="2112">
      <formula>AND(IF($Q9=3,1,0),IF($X9&lt;30,1,0))</formula>
    </cfRule>
    <cfRule type="expression" dxfId="6398" priority="2113">
      <formula>AND(IF($Q9=3,1,IF($Q9=4,1,0)),IF($F9&lt;=85,1,0))</formula>
    </cfRule>
  </conditionalFormatting>
  <conditionalFormatting sqref="X9">
    <cfRule type="expression" dxfId="6397" priority="2106">
      <formula>AND(IF(OR($Q9=1,$Q9=2),1,0),IF($X9&lt;=20,1,0))</formula>
    </cfRule>
    <cfRule type="expression" dxfId="6396" priority="2107">
      <formula>AND(IF($Q9=2,1,0),IF($X9&lt;30,1,0))</formula>
    </cfRule>
    <cfRule type="expression" dxfId="6395" priority="2108">
      <formula>AND(IF($Q9=3,1,0),IF($X9&lt;30,1,0))</formula>
    </cfRule>
    <cfRule type="expression" dxfId="6394" priority="2109">
      <formula>AND(IF($Q9=3,1,IF($Q9=4,1,0)),IF($F9&lt;=85,1,0))</formula>
    </cfRule>
  </conditionalFormatting>
  <conditionalFormatting sqref="AI9">
    <cfRule type="expression" dxfId="6393" priority="2102">
      <formula>AND(IF(OR($Q9=1,$Q9=2),1,0),IF($X9&lt;=20,1,0))</formula>
    </cfRule>
    <cfRule type="expression" dxfId="6392" priority="2103">
      <formula>AND(IF($Q9=2,1,0),IF($X9&lt;30,1,0))</formula>
    </cfRule>
    <cfRule type="expression" dxfId="6391" priority="2104">
      <formula>AND(IF($Q9=3,1,0),IF($X9&lt;30,1,0))</formula>
    </cfRule>
    <cfRule type="expression" dxfId="6390" priority="2105">
      <formula>AND(IF($Q9=3,1,IF($Q9=4,1,0)),IF($F9&lt;=85,1,0))</formula>
    </cfRule>
  </conditionalFormatting>
  <conditionalFormatting sqref="AV10">
    <cfRule type="expression" dxfId="6389" priority="2100">
      <formula>AV10="X"</formula>
    </cfRule>
    <cfRule type="expression" dxfId="6388" priority="2101">
      <formula>AV10="후보"</formula>
    </cfRule>
  </conditionalFormatting>
  <conditionalFormatting sqref="AC10">
    <cfRule type="cellIs" dxfId="6387" priority="2097" operator="greaterThan">
      <formula>0.9</formula>
    </cfRule>
    <cfRule type="cellIs" dxfId="6386" priority="2098" operator="greaterThan">
      <formula>0.85</formula>
    </cfRule>
  </conditionalFormatting>
  <conditionalFormatting sqref="N10">
    <cfRule type="cellIs" dxfId="6385" priority="2095" operator="greaterThan">
      <formula>0.9</formula>
    </cfRule>
    <cfRule type="cellIs" dxfId="6384" priority="2096" operator="greaterThan">
      <formula>0.85</formula>
    </cfRule>
  </conditionalFormatting>
  <conditionalFormatting sqref="E10">
    <cfRule type="expression" dxfId="6383" priority="2091">
      <formula>AND(IF(OR($Q10=1,$Q10=2),1,0),IF($X10&lt;=20,1,0))</formula>
    </cfRule>
    <cfRule type="expression" dxfId="6382" priority="2092">
      <formula>AND(IF($Q10=2,1,0),IF($X10&lt;30,1,0))</formula>
    </cfRule>
    <cfRule type="expression" dxfId="6381" priority="2093">
      <formula>AND(IF($Q10=3,1,0),IF($X10&lt;30,1,0))</formula>
    </cfRule>
    <cfRule type="expression" dxfId="6380" priority="2094">
      <formula>AND(IF($Q10=3,1,IF($Q10=4,1,0)),IF($F10&lt;=85,1,0))</formula>
    </cfRule>
  </conditionalFormatting>
  <conditionalFormatting sqref="X10">
    <cfRule type="expression" dxfId="6379" priority="2087">
      <formula>AND(IF(OR($Q10=1,$Q10=2),1,0),IF($X10&lt;=20,1,0))</formula>
    </cfRule>
    <cfRule type="expression" dxfId="6378" priority="2088">
      <formula>AND(IF($Q10=2,1,0),IF($X10&lt;30,1,0))</formula>
    </cfRule>
    <cfRule type="expression" dxfId="6377" priority="2089">
      <formula>AND(IF($Q10=3,1,0),IF($X10&lt;30,1,0))</formula>
    </cfRule>
    <cfRule type="expression" dxfId="6376" priority="2090">
      <formula>AND(IF($Q10=3,1,IF($Q10=4,1,0)),IF($F10&lt;=85,1,0))</formula>
    </cfRule>
  </conditionalFormatting>
  <conditionalFormatting sqref="AI10">
    <cfRule type="expression" dxfId="6375" priority="2083">
      <formula>AND(IF(OR($Q10=1,$Q10=2),1,0),IF($X10&lt;=20,1,0))</formula>
    </cfRule>
    <cfRule type="expression" dxfId="6374" priority="2084">
      <formula>AND(IF($Q10=2,1,0),IF($X10&lt;30,1,0))</formula>
    </cfRule>
    <cfRule type="expression" dxfId="6373" priority="2085">
      <formula>AND(IF($Q10=3,1,0),IF($X10&lt;30,1,0))</formula>
    </cfRule>
    <cfRule type="expression" dxfId="6372" priority="2086">
      <formula>AND(IF($Q10=3,1,IF($Q10=4,1,0)),IF($F10&lt;=85,1,0))</formula>
    </cfRule>
  </conditionalFormatting>
  <conditionalFormatting sqref="AV11">
    <cfRule type="expression" dxfId="6371" priority="2081">
      <formula>AV11="X"</formula>
    </cfRule>
    <cfRule type="expression" dxfId="6370" priority="2082">
      <formula>AV11="후보"</formula>
    </cfRule>
  </conditionalFormatting>
  <conditionalFormatting sqref="AC11">
    <cfRule type="cellIs" dxfId="6369" priority="2078" operator="greaterThan">
      <formula>0.9</formula>
    </cfRule>
    <cfRule type="cellIs" dxfId="6368" priority="2079" operator="greaterThan">
      <formula>0.85</formula>
    </cfRule>
  </conditionalFormatting>
  <conditionalFormatting sqref="N11">
    <cfRule type="cellIs" dxfId="6367" priority="2076" operator="greaterThan">
      <formula>0.9</formula>
    </cfRule>
    <cfRule type="cellIs" dxfId="6366" priority="2077" operator="greaterThan">
      <formula>0.85</formula>
    </cfRule>
  </conditionalFormatting>
  <conditionalFormatting sqref="E11">
    <cfRule type="expression" dxfId="6365" priority="2072">
      <formula>AND(IF(OR($Q11=1,$Q11=2),1,0),IF($X11&lt;=20,1,0))</formula>
    </cfRule>
    <cfRule type="expression" dxfId="6364" priority="2073">
      <formula>AND(IF($Q11=2,1,0),IF($X11&lt;30,1,0))</formula>
    </cfRule>
    <cfRule type="expression" dxfId="6363" priority="2074">
      <formula>AND(IF($Q11=3,1,0),IF($X11&lt;30,1,0))</formula>
    </cfRule>
    <cfRule type="expression" dxfId="6362" priority="2075">
      <formula>AND(IF($Q11=3,1,IF($Q11=4,1,0)),IF($F11&lt;=85,1,0))</formula>
    </cfRule>
  </conditionalFormatting>
  <conditionalFormatting sqref="X11">
    <cfRule type="expression" dxfId="6361" priority="2068">
      <formula>AND(IF(OR($Q11=1,$Q11=2),1,0),IF($X11&lt;=20,1,0))</formula>
    </cfRule>
    <cfRule type="expression" dxfId="6360" priority="2069">
      <formula>AND(IF($Q11=2,1,0),IF($X11&lt;30,1,0))</formula>
    </cfRule>
    <cfRule type="expression" dxfId="6359" priority="2070">
      <formula>AND(IF($Q11=3,1,0),IF($X11&lt;30,1,0))</formula>
    </cfRule>
    <cfRule type="expression" dxfId="6358" priority="2071">
      <formula>AND(IF($Q11=3,1,IF($Q11=4,1,0)),IF($F11&lt;=85,1,0))</formula>
    </cfRule>
  </conditionalFormatting>
  <conditionalFormatting sqref="AI11">
    <cfRule type="expression" dxfId="6357" priority="2064">
      <formula>AND(IF(OR($Q11=1,$Q11=2),1,0),IF($X11&lt;=20,1,0))</formula>
    </cfRule>
    <cfRule type="expression" dxfId="6356" priority="2065">
      <formula>AND(IF($Q11=2,1,0),IF($X11&lt;30,1,0))</formula>
    </cfRule>
    <cfRule type="expression" dxfId="6355" priority="2066">
      <formula>AND(IF($Q11=3,1,0),IF($X11&lt;30,1,0))</formula>
    </cfRule>
    <cfRule type="expression" dxfId="6354" priority="2067">
      <formula>AND(IF($Q11=3,1,IF($Q11=4,1,0)),IF($F11&lt;=85,1,0))</formula>
    </cfRule>
  </conditionalFormatting>
  <conditionalFormatting sqref="AV12">
    <cfRule type="expression" dxfId="6353" priority="2062">
      <formula>AV12="X"</formula>
    </cfRule>
    <cfRule type="expression" dxfId="6352" priority="2063">
      <formula>AV12="후보"</formula>
    </cfRule>
  </conditionalFormatting>
  <conditionalFormatting sqref="AC12 N12">
    <cfRule type="cellIs" dxfId="6351" priority="2059" operator="greaterThan">
      <formula>0.9</formula>
    </cfRule>
    <cfRule type="cellIs" dxfId="6350" priority="2060" operator="greaterThan">
      <formula>0.85</formula>
    </cfRule>
  </conditionalFormatting>
  <conditionalFormatting sqref="AV13">
    <cfRule type="expression" dxfId="6349" priority="2057">
      <formula>AV13="X"</formula>
    </cfRule>
    <cfRule type="expression" dxfId="6348" priority="2058">
      <formula>AV13="후보"</formula>
    </cfRule>
  </conditionalFormatting>
  <conditionalFormatting sqref="AC13">
    <cfRule type="cellIs" dxfId="6347" priority="2054" operator="greaterThan">
      <formula>0.9</formula>
    </cfRule>
    <cfRule type="cellIs" dxfId="6346" priority="2055" operator="greaterThan">
      <formula>0.85</formula>
    </cfRule>
  </conditionalFormatting>
  <conditionalFormatting sqref="N13">
    <cfRule type="cellIs" dxfId="6345" priority="2052" operator="greaterThan">
      <formula>0.9</formula>
    </cfRule>
    <cfRule type="cellIs" dxfId="6344" priority="2053" operator="greaterThan">
      <formula>0.85</formula>
    </cfRule>
  </conditionalFormatting>
  <conditionalFormatting sqref="E13">
    <cfRule type="expression" dxfId="6343" priority="2048">
      <formula>AND(IF(OR($Q13=1,$Q13=2),1,0),IF($X13&lt;=20,1,0))</formula>
    </cfRule>
    <cfRule type="expression" dxfId="6342" priority="2049">
      <formula>AND(IF($Q13=2,1,0),IF($X13&lt;30,1,0))</formula>
    </cfRule>
    <cfRule type="expression" dxfId="6341" priority="2050">
      <formula>AND(IF($Q13=3,1,0),IF($X13&lt;30,1,0))</formula>
    </cfRule>
    <cfRule type="expression" dxfId="6340" priority="2051">
      <formula>AND(IF($Q13=3,1,IF($Q13=4,1,0)),IF($F13&lt;=85,1,0))</formula>
    </cfRule>
  </conditionalFormatting>
  <conditionalFormatting sqref="X13">
    <cfRule type="expression" dxfId="6339" priority="2044">
      <formula>AND(IF(OR($Q13=1,$Q13=2),1,0),IF($X13&lt;=20,1,0))</formula>
    </cfRule>
    <cfRule type="expression" dxfId="6338" priority="2045">
      <formula>AND(IF($Q13=2,1,0),IF($X13&lt;30,1,0))</formula>
    </cfRule>
    <cfRule type="expression" dxfId="6337" priority="2046">
      <formula>AND(IF($Q13=3,1,0),IF($X13&lt;30,1,0))</formula>
    </cfRule>
    <cfRule type="expression" dxfId="6336" priority="2047">
      <formula>AND(IF($Q13=3,1,IF($Q13=4,1,0)),IF($F13&lt;=85,1,0))</formula>
    </cfRule>
  </conditionalFormatting>
  <conditionalFormatting sqref="AI13">
    <cfRule type="expression" dxfId="6335" priority="2040">
      <formula>AND(IF(OR($Q13=1,$Q13=2),1,0),IF($X13&lt;=20,1,0))</formula>
    </cfRule>
    <cfRule type="expression" dxfId="6334" priority="2041">
      <formula>AND(IF($Q13=2,1,0),IF($X13&lt;30,1,0))</formula>
    </cfRule>
    <cfRule type="expression" dxfId="6333" priority="2042">
      <formula>AND(IF($Q13=3,1,0),IF($X13&lt;30,1,0))</formula>
    </cfRule>
    <cfRule type="expression" dxfId="6332" priority="2043">
      <formula>AND(IF($Q13=3,1,IF($Q13=4,1,0)),IF($F13&lt;=85,1,0))</formula>
    </cfRule>
  </conditionalFormatting>
  <conditionalFormatting sqref="AV14">
    <cfRule type="expression" dxfId="6331" priority="2038">
      <formula>AV14="X"</formula>
    </cfRule>
    <cfRule type="expression" dxfId="6330" priority="2039">
      <formula>AV14="후보"</formula>
    </cfRule>
  </conditionalFormatting>
  <conditionalFormatting sqref="AC14">
    <cfRule type="cellIs" dxfId="6329" priority="2035" operator="greaterThan">
      <formula>0.9</formula>
    </cfRule>
    <cfRule type="cellIs" dxfId="6328" priority="2036" operator="greaterThan">
      <formula>0.85</formula>
    </cfRule>
  </conditionalFormatting>
  <conditionalFormatting sqref="N14">
    <cfRule type="cellIs" dxfId="6327" priority="2033" operator="greaterThan">
      <formula>0.9</formula>
    </cfRule>
    <cfRule type="cellIs" dxfId="6326" priority="2034" operator="greaterThan">
      <formula>0.85</formula>
    </cfRule>
  </conditionalFormatting>
  <conditionalFormatting sqref="E14">
    <cfRule type="expression" dxfId="6325" priority="2029">
      <formula>AND(IF(OR($Q14=1,$Q14=2),1,0),IF($X14&lt;=20,1,0))</formula>
    </cfRule>
    <cfRule type="expression" dxfId="6324" priority="2030">
      <formula>AND(IF($Q14=2,1,0),IF($X14&lt;30,1,0))</formula>
    </cfRule>
    <cfRule type="expression" dxfId="6323" priority="2031">
      <formula>AND(IF($Q14=3,1,0),IF($X14&lt;30,1,0))</formula>
    </cfRule>
    <cfRule type="expression" dxfId="6322" priority="2032">
      <formula>AND(IF($Q14=3,1,IF($Q14=4,1,0)),IF($F14&lt;=85,1,0))</formula>
    </cfRule>
  </conditionalFormatting>
  <conditionalFormatting sqref="X14">
    <cfRule type="expression" dxfId="6321" priority="2025">
      <formula>AND(IF(OR($Q14=1,$Q14=2),1,0),IF($X14&lt;=20,1,0))</formula>
    </cfRule>
    <cfRule type="expression" dxfId="6320" priority="2026">
      <formula>AND(IF($Q14=2,1,0),IF($X14&lt;30,1,0))</formula>
    </cfRule>
    <cfRule type="expression" dxfId="6319" priority="2027">
      <formula>AND(IF($Q14=3,1,0),IF($X14&lt;30,1,0))</formula>
    </cfRule>
    <cfRule type="expression" dxfId="6318" priority="2028">
      <formula>AND(IF($Q14=3,1,IF($Q14=4,1,0)),IF($F14&lt;=85,1,0))</formula>
    </cfRule>
  </conditionalFormatting>
  <conditionalFormatting sqref="AI14">
    <cfRule type="expression" dxfId="6317" priority="2021">
      <formula>AND(IF(OR($Q14=1,$Q14=2),1,0),IF($X14&lt;=20,1,0))</formula>
    </cfRule>
    <cfRule type="expression" dxfId="6316" priority="2022">
      <formula>AND(IF($Q14=2,1,0),IF($X14&lt;30,1,0))</formula>
    </cfRule>
    <cfRule type="expression" dxfId="6315" priority="2023">
      <formula>AND(IF($Q14=3,1,0),IF($X14&lt;30,1,0))</formula>
    </cfRule>
    <cfRule type="expression" dxfId="6314" priority="2024">
      <formula>AND(IF($Q14=3,1,IF($Q14=4,1,0)),IF($F14&lt;=85,1,0))</formula>
    </cfRule>
  </conditionalFormatting>
  <conditionalFormatting sqref="AV15">
    <cfRule type="expression" dxfId="6313" priority="2019">
      <formula>AV15="X"</formula>
    </cfRule>
    <cfRule type="expression" dxfId="6312" priority="2020">
      <formula>AV15="후보"</formula>
    </cfRule>
  </conditionalFormatting>
  <conditionalFormatting sqref="AC15">
    <cfRule type="cellIs" dxfId="6311" priority="2016" operator="greaterThan">
      <formula>0.9</formula>
    </cfRule>
    <cfRule type="cellIs" dxfId="6310" priority="2017" operator="greaterThan">
      <formula>0.85</formula>
    </cfRule>
  </conditionalFormatting>
  <conditionalFormatting sqref="N15">
    <cfRule type="cellIs" dxfId="6309" priority="2014" operator="greaterThan">
      <formula>0.9</formula>
    </cfRule>
    <cfRule type="cellIs" dxfId="6308" priority="2015" operator="greaterThan">
      <formula>0.85</formula>
    </cfRule>
  </conditionalFormatting>
  <conditionalFormatting sqref="E15">
    <cfRule type="expression" dxfId="6307" priority="2010">
      <formula>AND(IF(OR($Q15=1,$Q15=2),1,0),IF($X15&lt;=20,1,0))</formula>
    </cfRule>
    <cfRule type="expression" dxfId="6306" priority="2011">
      <formula>AND(IF($Q15=2,1,0),IF($X15&lt;30,1,0))</formula>
    </cfRule>
    <cfRule type="expression" dxfId="6305" priority="2012">
      <formula>AND(IF($Q15=3,1,0),IF($X15&lt;30,1,0))</formula>
    </cfRule>
    <cfRule type="expression" dxfId="6304" priority="2013">
      <formula>AND(IF($Q15=3,1,IF($Q15=4,1,0)),IF($F15&lt;=85,1,0))</formula>
    </cfRule>
  </conditionalFormatting>
  <conditionalFormatting sqref="X15">
    <cfRule type="expression" dxfId="6303" priority="2006">
      <formula>AND(IF(OR($Q15=1,$Q15=2),1,0),IF($X15&lt;=20,1,0))</formula>
    </cfRule>
    <cfRule type="expression" dxfId="6302" priority="2007">
      <formula>AND(IF($Q15=2,1,0),IF($X15&lt;30,1,0))</formula>
    </cfRule>
    <cfRule type="expression" dxfId="6301" priority="2008">
      <formula>AND(IF($Q15=3,1,0),IF($X15&lt;30,1,0))</formula>
    </cfRule>
    <cfRule type="expression" dxfId="6300" priority="2009">
      <formula>AND(IF($Q15=3,1,IF($Q15=4,1,0)),IF($F15&lt;=85,1,0))</formula>
    </cfRule>
  </conditionalFormatting>
  <conditionalFormatting sqref="AI15">
    <cfRule type="expression" dxfId="6299" priority="2002">
      <formula>AND(IF(OR($Q15=1,$Q15=2),1,0),IF($X15&lt;=20,1,0))</formula>
    </cfRule>
    <cfRule type="expression" dxfId="6298" priority="2003">
      <formula>AND(IF($Q15=2,1,0),IF($X15&lt;30,1,0))</formula>
    </cfRule>
    <cfRule type="expression" dxfId="6297" priority="2004">
      <formula>AND(IF($Q15=3,1,0),IF($X15&lt;30,1,0))</formula>
    </cfRule>
    <cfRule type="expression" dxfId="6296" priority="2005">
      <formula>AND(IF($Q15=3,1,IF($Q15=4,1,0)),IF($F15&lt;=85,1,0))</formula>
    </cfRule>
  </conditionalFormatting>
  <conditionalFormatting sqref="AV16">
    <cfRule type="expression" dxfId="6295" priority="2000">
      <formula>AV16="X"</formula>
    </cfRule>
    <cfRule type="expression" dxfId="6294" priority="2001">
      <formula>AV16="후보"</formula>
    </cfRule>
  </conditionalFormatting>
  <conditionalFormatting sqref="AC16 N16">
    <cfRule type="cellIs" dxfId="6293" priority="1997" operator="greaterThan">
      <formula>0.9</formula>
    </cfRule>
    <cfRule type="cellIs" dxfId="6292" priority="1998" operator="greaterThan">
      <formula>0.85</formula>
    </cfRule>
  </conditionalFormatting>
  <conditionalFormatting sqref="AV17">
    <cfRule type="expression" dxfId="6291" priority="1995">
      <formula>AV17="X"</formula>
    </cfRule>
    <cfRule type="expression" dxfId="6290" priority="1996">
      <formula>AV17="후보"</formula>
    </cfRule>
  </conditionalFormatting>
  <conditionalFormatting sqref="AC17">
    <cfRule type="cellIs" dxfId="6289" priority="1992" operator="greaterThan">
      <formula>0.9</formula>
    </cfRule>
    <cfRule type="cellIs" dxfId="6288" priority="1993" operator="greaterThan">
      <formula>0.85</formula>
    </cfRule>
  </conditionalFormatting>
  <conditionalFormatting sqref="N17">
    <cfRule type="cellIs" dxfId="6287" priority="1990" operator="greaterThan">
      <formula>0.9</formula>
    </cfRule>
    <cfRule type="cellIs" dxfId="6286" priority="1991" operator="greaterThan">
      <formula>0.85</formula>
    </cfRule>
  </conditionalFormatting>
  <conditionalFormatting sqref="E17">
    <cfRule type="expression" dxfId="6285" priority="1986">
      <formula>AND(IF(OR($Q17=1,$Q17=2),1,0),IF($X17&lt;=20,1,0))</formula>
    </cfRule>
    <cfRule type="expression" dxfId="6284" priority="1987">
      <formula>AND(IF($Q17=2,1,0),IF($X17&lt;30,1,0))</formula>
    </cfRule>
    <cfRule type="expression" dxfId="6283" priority="1988">
      <formula>AND(IF($Q17=3,1,0),IF($X17&lt;30,1,0))</formula>
    </cfRule>
    <cfRule type="expression" dxfId="6282" priority="1989">
      <formula>AND(IF($Q17=3,1,IF($Q17=4,1,0)),IF($F17&lt;=85,1,0))</formula>
    </cfRule>
  </conditionalFormatting>
  <conditionalFormatting sqref="X17">
    <cfRule type="expression" dxfId="6281" priority="1982">
      <formula>AND(IF(OR($Q17=1,$Q17=2),1,0),IF($X17&lt;=20,1,0))</formula>
    </cfRule>
    <cfRule type="expression" dxfId="6280" priority="1983">
      <formula>AND(IF($Q17=2,1,0),IF($X17&lt;30,1,0))</formula>
    </cfRule>
    <cfRule type="expression" dxfId="6279" priority="1984">
      <formula>AND(IF($Q17=3,1,0),IF($X17&lt;30,1,0))</formula>
    </cfRule>
    <cfRule type="expression" dxfId="6278" priority="1985">
      <formula>AND(IF($Q17=3,1,IF($Q17=4,1,0)),IF($F17&lt;=85,1,0))</formula>
    </cfRule>
  </conditionalFormatting>
  <conditionalFormatting sqref="AI17">
    <cfRule type="expression" dxfId="6277" priority="1978">
      <formula>AND(IF(OR($Q17=1,$Q17=2),1,0),IF($X17&lt;=20,1,0))</formula>
    </cfRule>
    <cfRule type="expression" dxfId="6276" priority="1979">
      <formula>AND(IF($Q17=2,1,0),IF($X17&lt;30,1,0))</formula>
    </cfRule>
    <cfRule type="expression" dxfId="6275" priority="1980">
      <formula>AND(IF($Q17=3,1,0),IF($X17&lt;30,1,0))</formula>
    </cfRule>
    <cfRule type="expression" dxfId="6274" priority="1981">
      <formula>AND(IF($Q17=3,1,IF($Q17=4,1,0)),IF($F17&lt;=85,1,0))</formula>
    </cfRule>
  </conditionalFormatting>
  <conditionalFormatting sqref="AV18">
    <cfRule type="expression" dxfId="6273" priority="1976">
      <formula>AV18="X"</formula>
    </cfRule>
    <cfRule type="expression" dxfId="6272" priority="1977">
      <formula>AV18="후보"</formula>
    </cfRule>
  </conditionalFormatting>
  <conditionalFormatting sqref="AC18">
    <cfRule type="cellIs" dxfId="6271" priority="1973" operator="greaterThan">
      <formula>0.9</formula>
    </cfRule>
    <cfRule type="cellIs" dxfId="6270" priority="1974" operator="greaterThan">
      <formula>0.85</formula>
    </cfRule>
  </conditionalFormatting>
  <conditionalFormatting sqref="N18">
    <cfRule type="cellIs" dxfId="6269" priority="1971" operator="greaterThan">
      <formula>0.9</formula>
    </cfRule>
    <cfRule type="cellIs" dxfId="6268" priority="1972" operator="greaterThan">
      <formula>0.85</formula>
    </cfRule>
  </conditionalFormatting>
  <conditionalFormatting sqref="E18">
    <cfRule type="expression" dxfId="6267" priority="1967">
      <formula>AND(IF(OR($Q18=1,$Q18=2),1,0),IF($X18&lt;=20,1,0))</formula>
    </cfRule>
    <cfRule type="expression" dxfId="6266" priority="1968">
      <formula>AND(IF($Q18=2,1,0),IF($X18&lt;30,1,0))</formula>
    </cfRule>
    <cfRule type="expression" dxfId="6265" priority="1969">
      <formula>AND(IF($Q18=3,1,0),IF($X18&lt;30,1,0))</formula>
    </cfRule>
    <cfRule type="expression" dxfId="6264" priority="1970">
      <formula>AND(IF($Q18=3,1,IF($Q18=4,1,0)),IF($F18&lt;=85,1,0))</formula>
    </cfRule>
  </conditionalFormatting>
  <conditionalFormatting sqref="X18">
    <cfRule type="expression" dxfId="6263" priority="1963">
      <formula>AND(IF(OR($Q18=1,$Q18=2),1,0),IF($X18&lt;=20,1,0))</formula>
    </cfRule>
    <cfRule type="expression" dxfId="6262" priority="1964">
      <formula>AND(IF($Q18=2,1,0),IF($X18&lt;30,1,0))</formula>
    </cfRule>
    <cfRule type="expression" dxfId="6261" priority="1965">
      <formula>AND(IF($Q18=3,1,0),IF($X18&lt;30,1,0))</formula>
    </cfRule>
    <cfRule type="expression" dxfId="6260" priority="1966">
      <formula>AND(IF($Q18=3,1,IF($Q18=4,1,0)),IF($F18&lt;=85,1,0))</formula>
    </cfRule>
  </conditionalFormatting>
  <conditionalFormatting sqref="AI18">
    <cfRule type="expression" dxfId="6259" priority="1959">
      <formula>AND(IF(OR($Q18=1,$Q18=2),1,0),IF($X18&lt;=20,1,0))</formula>
    </cfRule>
    <cfRule type="expression" dxfId="6258" priority="1960">
      <formula>AND(IF($Q18=2,1,0),IF($X18&lt;30,1,0))</formula>
    </cfRule>
    <cfRule type="expression" dxfId="6257" priority="1961">
      <formula>AND(IF($Q18=3,1,0),IF($X18&lt;30,1,0))</formula>
    </cfRule>
    <cfRule type="expression" dxfId="6256" priority="1962">
      <formula>AND(IF($Q18=3,1,IF($Q18=4,1,0)),IF($F18&lt;=85,1,0))</formula>
    </cfRule>
  </conditionalFormatting>
  <conditionalFormatting sqref="AV19">
    <cfRule type="expression" dxfId="6255" priority="1957">
      <formula>AV19="X"</formula>
    </cfRule>
    <cfRule type="expression" dxfId="6254" priority="1958">
      <formula>AV19="후보"</formula>
    </cfRule>
  </conditionalFormatting>
  <conditionalFormatting sqref="AC19">
    <cfRule type="cellIs" dxfId="6253" priority="1954" operator="greaterThan">
      <formula>0.9</formula>
    </cfRule>
    <cfRule type="cellIs" dxfId="6252" priority="1955" operator="greaterThan">
      <formula>0.85</formula>
    </cfRule>
  </conditionalFormatting>
  <conditionalFormatting sqref="N19">
    <cfRule type="cellIs" dxfId="6251" priority="1952" operator="greaterThan">
      <formula>0.9</formula>
    </cfRule>
    <cfRule type="cellIs" dxfId="6250" priority="1953" operator="greaterThan">
      <formula>0.85</formula>
    </cfRule>
  </conditionalFormatting>
  <conditionalFormatting sqref="E19">
    <cfRule type="expression" dxfId="6249" priority="1948">
      <formula>AND(IF(OR($Q19=1,$Q19=2),1,0),IF($X19&lt;=20,1,0))</formula>
    </cfRule>
    <cfRule type="expression" dxfId="6248" priority="1949">
      <formula>AND(IF($Q19=2,1,0),IF($X19&lt;30,1,0))</formula>
    </cfRule>
    <cfRule type="expression" dxfId="6247" priority="1950">
      <formula>AND(IF($Q19=3,1,0),IF($X19&lt;30,1,0))</formula>
    </cfRule>
    <cfRule type="expression" dxfId="6246" priority="1951">
      <formula>AND(IF($Q19=3,1,IF($Q19=4,1,0)),IF($F19&lt;=85,1,0))</formula>
    </cfRule>
  </conditionalFormatting>
  <conditionalFormatting sqref="X19">
    <cfRule type="expression" dxfId="6245" priority="1944">
      <formula>AND(IF(OR($Q19=1,$Q19=2),1,0),IF($X19&lt;=20,1,0))</formula>
    </cfRule>
    <cfRule type="expression" dxfId="6244" priority="1945">
      <formula>AND(IF($Q19=2,1,0),IF($X19&lt;30,1,0))</formula>
    </cfRule>
    <cfRule type="expression" dxfId="6243" priority="1946">
      <formula>AND(IF($Q19=3,1,0),IF($X19&lt;30,1,0))</formula>
    </cfRule>
    <cfRule type="expression" dxfId="6242" priority="1947">
      <formula>AND(IF($Q19=3,1,IF($Q19=4,1,0)),IF($F19&lt;=85,1,0))</formula>
    </cfRule>
  </conditionalFormatting>
  <conditionalFormatting sqref="AI19">
    <cfRule type="expression" dxfId="6241" priority="1940">
      <formula>AND(IF(OR($Q19=1,$Q19=2),1,0),IF($X19&lt;=20,1,0))</formula>
    </cfRule>
    <cfRule type="expression" dxfId="6240" priority="1941">
      <formula>AND(IF($Q19=2,1,0),IF($X19&lt;30,1,0))</formula>
    </cfRule>
    <cfRule type="expression" dxfId="6239" priority="1942">
      <formula>AND(IF($Q19=3,1,0),IF($X19&lt;30,1,0))</formula>
    </cfRule>
    <cfRule type="expression" dxfId="6238" priority="1943">
      <formula>AND(IF($Q19=3,1,IF($Q19=4,1,0)),IF($F19&lt;=85,1,0))</formula>
    </cfRule>
  </conditionalFormatting>
  <conditionalFormatting sqref="AV20">
    <cfRule type="expression" dxfId="6237" priority="1938">
      <formula>AV20="X"</formula>
    </cfRule>
    <cfRule type="expression" dxfId="6236" priority="1939">
      <formula>AV20="후보"</formula>
    </cfRule>
  </conditionalFormatting>
  <conditionalFormatting sqref="AC20 N20">
    <cfRule type="cellIs" dxfId="6235" priority="1935" operator="greaterThan">
      <formula>0.9</formula>
    </cfRule>
    <cfRule type="cellIs" dxfId="6234" priority="1936" operator="greaterThan">
      <formula>0.85</formula>
    </cfRule>
  </conditionalFormatting>
  <conditionalFormatting sqref="AV21">
    <cfRule type="expression" dxfId="6233" priority="1933">
      <formula>AV21="X"</formula>
    </cfRule>
    <cfRule type="expression" dxfId="6232" priority="1934">
      <formula>AV21="후보"</formula>
    </cfRule>
  </conditionalFormatting>
  <conditionalFormatting sqref="AC21">
    <cfRule type="cellIs" dxfId="6231" priority="1930" operator="greaterThan">
      <formula>0.9</formula>
    </cfRule>
    <cfRule type="cellIs" dxfId="6230" priority="1931" operator="greaterThan">
      <formula>0.85</formula>
    </cfRule>
  </conditionalFormatting>
  <conditionalFormatting sqref="N21">
    <cfRule type="cellIs" dxfId="6229" priority="1928" operator="greaterThan">
      <formula>0.9</formula>
    </cfRule>
    <cfRule type="cellIs" dxfId="6228" priority="1929" operator="greaterThan">
      <formula>0.85</formula>
    </cfRule>
  </conditionalFormatting>
  <conditionalFormatting sqref="E21">
    <cfRule type="expression" dxfId="6227" priority="1924">
      <formula>AND(IF(OR($Q21=1,$Q21=2),1,0),IF($X21&lt;=20,1,0))</formula>
    </cfRule>
    <cfRule type="expression" dxfId="6226" priority="1925">
      <formula>AND(IF($Q21=2,1,0),IF($X21&lt;30,1,0))</formula>
    </cfRule>
    <cfRule type="expression" dxfId="6225" priority="1926">
      <formula>AND(IF($Q21=3,1,0),IF($X21&lt;30,1,0))</formula>
    </cfRule>
    <cfRule type="expression" dxfId="6224" priority="1927">
      <formula>AND(IF($Q21=3,1,IF($Q21=4,1,0)),IF($F21&lt;=85,1,0))</formula>
    </cfRule>
  </conditionalFormatting>
  <conditionalFormatting sqref="X21">
    <cfRule type="expression" dxfId="6223" priority="1920">
      <formula>AND(IF(OR($Q21=1,$Q21=2),1,0),IF($X21&lt;=20,1,0))</formula>
    </cfRule>
    <cfRule type="expression" dxfId="6222" priority="1921">
      <formula>AND(IF($Q21=2,1,0),IF($X21&lt;30,1,0))</formula>
    </cfRule>
    <cfRule type="expression" dxfId="6221" priority="1922">
      <formula>AND(IF($Q21=3,1,0),IF($X21&lt;30,1,0))</formula>
    </cfRule>
    <cfRule type="expression" dxfId="6220" priority="1923">
      <formula>AND(IF($Q21=3,1,IF($Q21=4,1,0)),IF($F21&lt;=85,1,0))</formula>
    </cfRule>
  </conditionalFormatting>
  <conditionalFormatting sqref="AI21">
    <cfRule type="expression" dxfId="6219" priority="1916">
      <formula>AND(IF(OR($Q21=1,$Q21=2),1,0),IF($X21&lt;=20,1,0))</formula>
    </cfRule>
    <cfRule type="expression" dxfId="6218" priority="1917">
      <formula>AND(IF($Q21=2,1,0),IF($X21&lt;30,1,0))</formula>
    </cfRule>
    <cfRule type="expression" dxfId="6217" priority="1918">
      <formula>AND(IF($Q21=3,1,0),IF($X21&lt;30,1,0))</formula>
    </cfRule>
    <cfRule type="expression" dxfId="6216" priority="1919">
      <formula>AND(IF($Q21=3,1,IF($Q21=4,1,0)),IF($F21&lt;=85,1,0))</formula>
    </cfRule>
  </conditionalFormatting>
  <conditionalFormatting sqref="AV22">
    <cfRule type="expression" dxfId="6215" priority="1914">
      <formula>AV22="X"</formula>
    </cfRule>
    <cfRule type="expression" dxfId="6214" priority="1915">
      <formula>AV22="후보"</formula>
    </cfRule>
  </conditionalFormatting>
  <conditionalFormatting sqref="AC22">
    <cfRule type="cellIs" dxfId="6213" priority="1911" operator="greaterThan">
      <formula>0.9</formula>
    </cfRule>
    <cfRule type="cellIs" dxfId="6212" priority="1912" operator="greaterThan">
      <formula>0.85</formula>
    </cfRule>
  </conditionalFormatting>
  <conditionalFormatting sqref="N22">
    <cfRule type="cellIs" dxfId="6211" priority="1909" operator="greaterThan">
      <formula>0.9</formula>
    </cfRule>
    <cfRule type="cellIs" dxfId="6210" priority="1910" operator="greaterThan">
      <formula>0.85</formula>
    </cfRule>
  </conditionalFormatting>
  <conditionalFormatting sqref="E22">
    <cfRule type="expression" dxfId="6209" priority="1905">
      <formula>AND(IF(OR($Q22=1,$Q22=2),1,0),IF($X22&lt;=20,1,0))</formula>
    </cfRule>
    <cfRule type="expression" dxfId="6208" priority="1906">
      <formula>AND(IF($Q22=2,1,0),IF($X22&lt;30,1,0))</formula>
    </cfRule>
    <cfRule type="expression" dxfId="6207" priority="1907">
      <formula>AND(IF($Q22=3,1,0),IF($X22&lt;30,1,0))</formula>
    </cfRule>
    <cfRule type="expression" dxfId="6206" priority="1908">
      <formula>AND(IF($Q22=3,1,IF($Q22=4,1,0)),IF($F22&lt;=85,1,0))</formula>
    </cfRule>
  </conditionalFormatting>
  <conditionalFormatting sqref="X22">
    <cfRule type="expression" dxfId="6205" priority="1901">
      <formula>AND(IF(OR($Q22=1,$Q22=2),1,0),IF($X22&lt;=20,1,0))</formula>
    </cfRule>
    <cfRule type="expression" dxfId="6204" priority="1902">
      <formula>AND(IF($Q22=2,1,0),IF($X22&lt;30,1,0))</formula>
    </cfRule>
    <cfRule type="expression" dxfId="6203" priority="1903">
      <formula>AND(IF($Q22=3,1,0),IF($X22&lt;30,1,0))</formula>
    </cfRule>
    <cfRule type="expression" dxfId="6202" priority="1904">
      <formula>AND(IF($Q22=3,1,IF($Q22=4,1,0)),IF($F22&lt;=85,1,0))</formula>
    </cfRule>
  </conditionalFormatting>
  <conditionalFormatting sqref="AI22">
    <cfRule type="expression" dxfId="6201" priority="1897">
      <formula>AND(IF(OR($Q22=1,$Q22=2),1,0),IF($X22&lt;=20,1,0))</formula>
    </cfRule>
    <cfRule type="expression" dxfId="6200" priority="1898">
      <formula>AND(IF($Q22=2,1,0),IF($X22&lt;30,1,0))</formula>
    </cfRule>
    <cfRule type="expression" dxfId="6199" priority="1899">
      <formula>AND(IF($Q22=3,1,0),IF($X22&lt;30,1,0))</formula>
    </cfRule>
    <cfRule type="expression" dxfId="6198" priority="1900">
      <formula>AND(IF($Q22=3,1,IF($Q22=4,1,0)),IF($F22&lt;=85,1,0))</formula>
    </cfRule>
  </conditionalFormatting>
  <conditionalFormatting sqref="AV23">
    <cfRule type="expression" dxfId="6197" priority="1895">
      <formula>AV23="X"</formula>
    </cfRule>
    <cfRule type="expression" dxfId="6196" priority="1896">
      <formula>AV23="후보"</formula>
    </cfRule>
  </conditionalFormatting>
  <conditionalFormatting sqref="AC23">
    <cfRule type="cellIs" dxfId="6195" priority="1892" operator="greaterThan">
      <formula>0.9</formula>
    </cfRule>
    <cfRule type="cellIs" dxfId="6194" priority="1893" operator="greaterThan">
      <formula>0.85</formula>
    </cfRule>
  </conditionalFormatting>
  <conditionalFormatting sqref="N23">
    <cfRule type="cellIs" dxfId="6193" priority="1890" operator="greaterThan">
      <formula>0.9</formula>
    </cfRule>
    <cfRule type="cellIs" dxfId="6192" priority="1891" operator="greaterThan">
      <formula>0.85</formula>
    </cfRule>
  </conditionalFormatting>
  <conditionalFormatting sqref="E23">
    <cfRule type="expression" dxfId="6191" priority="1886">
      <formula>AND(IF(OR($Q23=1,$Q23=2),1,0),IF($X23&lt;=20,1,0))</formula>
    </cfRule>
    <cfRule type="expression" dxfId="6190" priority="1887">
      <formula>AND(IF($Q23=2,1,0),IF($X23&lt;30,1,0))</formula>
    </cfRule>
    <cfRule type="expression" dxfId="6189" priority="1888">
      <formula>AND(IF($Q23=3,1,0),IF($X23&lt;30,1,0))</formula>
    </cfRule>
    <cfRule type="expression" dxfId="6188" priority="1889">
      <formula>AND(IF($Q23=3,1,IF($Q23=4,1,0)),IF($F23&lt;=85,1,0))</formula>
    </cfRule>
  </conditionalFormatting>
  <conditionalFormatting sqref="X23">
    <cfRule type="expression" dxfId="6187" priority="1882">
      <formula>AND(IF(OR($Q23=1,$Q23=2),1,0),IF($X23&lt;=20,1,0))</formula>
    </cfRule>
    <cfRule type="expression" dxfId="6186" priority="1883">
      <formula>AND(IF($Q23=2,1,0),IF($X23&lt;30,1,0))</formula>
    </cfRule>
    <cfRule type="expression" dxfId="6185" priority="1884">
      <formula>AND(IF($Q23=3,1,0),IF($X23&lt;30,1,0))</formula>
    </cfRule>
    <cfRule type="expression" dxfId="6184" priority="1885">
      <formula>AND(IF($Q23=3,1,IF($Q23=4,1,0)),IF($F23&lt;=85,1,0))</formula>
    </cfRule>
  </conditionalFormatting>
  <conditionalFormatting sqref="AI23">
    <cfRule type="expression" dxfId="6183" priority="1878">
      <formula>AND(IF(OR($Q23=1,$Q23=2),1,0),IF($X23&lt;=20,1,0))</formula>
    </cfRule>
    <cfRule type="expression" dxfId="6182" priority="1879">
      <formula>AND(IF($Q23=2,1,0),IF($X23&lt;30,1,0))</formula>
    </cfRule>
    <cfRule type="expression" dxfId="6181" priority="1880">
      <formula>AND(IF($Q23=3,1,0),IF($X23&lt;30,1,0))</formula>
    </cfRule>
    <cfRule type="expression" dxfId="6180" priority="1881">
      <formula>AND(IF($Q23=3,1,IF($Q23=4,1,0)),IF($F23&lt;=85,1,0))</formula>
    </cfRule>
  </conditionalFormatting>
  <conditionalFormatting sqref="AV24">
    <cfRule type="expression" dxfId="6179" priority="1876">
      <formula>AV24="X"</formula>
    </cfRule>
    <cfRule type="expression" dxfId="6178" priority="1877">
      <formula>AV24="후보"</formula>
    </cfRule>
  </conditionalFormatting>
  <conditionalFormatting sqref="AC24">
    <cfRule type="cellIs" dxfId="6177" priority="1873" operator="greaterThan">
      <formula>0.9</formula>
    </cfRule>
    <cfRule type="cellIs" dxfId="6176" priority="1874" operator="greaterThan">
      <formula>0.85</formula>
    </cfRule>
  </conditionalFormatting>
  <conditionalFormatting sqref="N24">
    <cfRule type="cellIs" dxfId="6175" priority="1871" operator="greaterThan">
      <formula>0.9</formula>
    </cfRule>
    <cfRule type="cellIs" dxfId="6174" priority="1872" operator="greaterThan">
      <formula>0.85</formula>
    </cfRule>
  </conditionalFormatting>
  <conditionalFormatting sqref="E24">
    <cfRule type="expression" dxfId="6173" priority="1867">
      <formula>AND(IF(OR($Q24=1,$Q24=2),1,0),IF($X24&lt;=20,1,0))</formula>
    </cfRule>
    <cfRule type="expression" dxfId="6172" priority="1868">
      <formula>AND(IF($Q24=2,1,0),IF($X24&lt;30,1,0))</formula>
    </cfRule>
    <cfRule type="expression" dxfId="6171" priority="1869">
      <formula>AND(IF($Q24=3,1,0),IF($X24&lt;30,1,0))</formula>
    </cfRule>
    <cfRule type="expression" dxfId="6170" priority="1870">
      <formula>AND(IF($Q24=3,1,IF($Q24=4,1,0)),IF($F24&lt;=85,1,0))</formula>
    </cfRule>
  </conditionalFormatting>
  <conditionalFormatting sqref="X24">
    <cfRule type="expression" dxfId="6169" priority="1863">
      <formula>AND(IF(OR($Q24=1,$Q24=2),1,0),IF($X24&lt;=20,1,0))</formula>
    </cfRule>
    <cfRule type="expression" dxfId="6168" priority="1864">
      <formula>AND(IF($Q24=2,1,0),IF($X24&lt;30,1,0))</formula>
    </cfRule>
    <cfRule type="expression" dxfId="6167" priority="1865">
      <formula>AND(IF($Q24=3,1,0),IF($X24&lt;30,1,0))</formula>
    </cfRule>
    <cfRule type="expression" dxfId="6166" priority="1866">
      <formula>AND(IF($Q24=3,1,IF($Q24=4,1,0)),IF($F24&lt;=85,1,0))</formula>
    </cfRule>
  </conditionalFormatting>
  <conditionalFormatting sqref="AI24">
    <cfRule type="expression" dxfId="6165" priority="1859">
      <formula>AND(IF(OR($Q24=1,$Q24=2),1,0),IF($X24&lt;=20,1,0))</formula>
    </cfRule>
    <cfRule type="expression" dxfId="6164" priority="1860">
      <formula>AND(IF($Q24=2,1,0),IF($X24&lt;30,1,0))</formula>
    </cfRule>
    <cfRule type="expression" dxfId="6163" priority="1861">
      <formula>AND(IF($Q24=3,1,0),IF($X24&lt;30,1,0))</formula>
    </cfRule>
    <cfRule type="expression" dxfId="6162" priority="1862">
      <formula>AND(IF($Q24=3,1,IF($Q24=4,1,0)),IF($F24&lt;=85,1,0))</formula>
    </cfRule>
  </conditionalFormatting>
  <conditionalFormatting sqref="AV25">
    <cfRule type="expression" dxfId="6161" priority="1857">
      <formula>AV25="X"</formula>
    </cfRule>
    <cfRule type="expression" dxfId="6160" priority="1858">
      <formula>AV25="후보"</formula>
    </cfRule>
  </conditionalFormatting>
  <conditionalFormatting sqref="AC25">
    <cfRule type="cellIs" dxfId="6159" priority="1854" operator="greaterThan">
      <formula>0.9</formula>
    </cfRule>
    <cfRule type="cellIs" dxfId="6158" priority="1855" operator="greaterThan">
      <formula>0.85</formula>
    </cfRule>
  </conditionalFormatting>
  <conditionalFormatting sqref="N25">
    <cfRule type="cellIs" dxfId="6157" priority="1852" operator="greaterThan">
      <formula>0.9</formula>
    </cfRule>
    <cfRule type="cellIs" dxfId="6156" priority="1853" operator="greaterThan">
      <formula>0.85</formula>
    </cfRule>
  </conditionalFormatting>
  <conditionalFormatting sqref="E25">
    <cfRule type="expression" dxfId="6155" priority="1848">
      <formula>AND(IF(OR($Q25=1,$Q25=2),1,0),IF($X25&lt;=20,1,0))</formula>
    </cfRule>
    <cfRule type="expression" dxfId="6154" priority="1849">
      <formula>AND(IF($Q25=2,1,0),IF($X25&lt;30,1,0))</formula>
    </cfRule>
    <cfRule type="expression" dxfId="6153" priority="1850">
      <formula>AND(IF($Q25=3,1,0),IF($X25&lt;30,1,0))</formula>
    </cfRule>
    <cfRule type="expression" dxfId="6152" priority="1851">
      <formula>AND(IF($Q25=3,1,IF($Q25=4,1,0)),IF($F25&lt;=85,1,0))</formula>
    </cfRule>
  </conditionalFormatting>
  <conditionalFormatting sqref="X25">
    <cfRule type="expression" dxfId="6151" priority="1844">
      <formula>AND(IF(OR($Q25=1,$Q25=2),1,0),IF($X25&lt;=20,1,0))</formula>
    </cfRule>
    <cfRule type="expression" dxfId="6150" priority="1845">
      <formula>AND(IF($Q25=2,1,0),IF($X25&lt;30,1,0))</formula>
    </cfRule>
    <cfRule type="expression" dxfId="6149" priority="1846">
      <formula>AND(IF($Q25=3,1,0),IF($X25&lt;30,1,0))</formula>
    </cfRule>
    <cfRule type="expression" dxfId="6148" priority="1847">
      <formula>AND(IF($Q25=3,1,IF($Q25=4,1,0)),IF($F25&lt;=85,1,0))</formula>
    </cfRule>
  </conditionalFormatting>
  <conditionalFormatting sqref="AI25">
    <cfRule type="expression" dxfId="6147" priority="1840">
      <formula>AND(IF(OR($Q25=1,$Q25=2),1,0),IF($X25&lt;=20,1,0))</formula>
    </cfRule>
    <cfRule type="expression" dxfId="6146" priority="1841">
      <formula>AND(IF($Q25=2,1,0),IF($X25&lt;30,1,0))</formula>
    </cfRule>
    <cfRule type="expression" dxfId="6145" priority="1842">
      <formula>AND(IF($Q25=3,1,0),IF($X25&lt;30,1,0))</formula>
    </cfRule>
    <cfRule type="expression" dxfId="6144" priority="1843">
      <formula>AND(IF($Q25=3,1,IF($Q25=4,1,0)),IF($F25&lt;=85,1,0))</formula>
    </cfRule>
  </conditionalFormatting>
  <conditionalFormatting sqref="AV26">
    <cfRule type="expression" dxfId="6143" priority="1838">
      <formula>AV26="X"</formula>
    </cfRule>
    <cfRule type="expression" dxfId="6142" priority="1839">
      <formula>AV26="후보"</formula>
    </cfRule>
  </conditionalFormatting>
  <conditionalFormatting sqref="AC26 N26">
    <cfRule type="cellIs" dxfId="6141" priority="1835" operator="greaterThan">
      <formula>0.9</formula>
    </cfRule>
    <cfRule type="cellIs" dxfId="6140" priority="1836" operator="greaterThan">
      <formula>0.85</formula>
    </cfRule>
  </conditionalFormatting>
  <conditionalFormatting sqref="AV27">
    <cfRule type="expression" dxfId="6139" priority="1833">
      <formula>AV27="X"</formula>
    </cfRule>
    <cfRule type="expression" dxfId="6138" priority="1834">
      <formula>AV27="후보"</formula>
    </cfRule>
  </conditionalFormatting>
  <conditionalFormatting sqref="AC27">
    <cfRule type="cellIs" dxfId="6137" priority="1830" operator="greaterThan">
      <formula>0.9</formula>
    </cfRule>
    <cfRule type="cellIs" dxfId="6136" priority="1831" operator="greaterThan">
      <formula>0.85</formula>
    </cfRule>
  </conditionalFormatting>
  <conditionalFormatting sqref="N27">
    <cfRule type="cellIs" dxfId="6135" priority="1828" operator="greaterThan">
      <formula>0.9</formula>
    </cfRule>
    <cfRule type="cellIs" dxfId="6134" priority="1829" operator="greaterThan">
      <formula>0.85</formula>
    </cfRule>
  </conditionalFormatting>
  <conditionalFormatting sqref="E27">
    <cfRule type="expression" dxfId="6133" priority="1824">
      <formula>AND(IF(OR($Q27=1,$Q27=2),1,0),IF($X27&lt;=20,1,0))</formula>
    </cfRule>
    <cfRule type="expression" dxfId="6132" priority="1825">
      <formula>AND(IF($Q27=2,1,0),IF($X27&lt;30,1,0))</formula>
    </cfRule>
    <cfRule type="expression" dxfId="6131" priority="1826">
      <formula>AND(IF($Q27=3,1,0),IF($X27&lt;30,1,0))</formula>
    </cfRule>
    <cfRule type="expression" dxfId="6130" priority="1827">
      <formula>AND(IF($Q27=3,1,IF($Q27=4,1,0)),IF($F27&lt;=85,1,0))</formula>
    </cfRule>
  </conditionalFormatting>
  <conditionalFormatting sqref="X27">
    <cfRule type="expression" dxfId="6129" priority="1820">
      <formula>AND(IF(OR($Q27=1,$Q27=2),1,0),IF($X27&lt;=20,1,0))</formula>
    </cfRule>
    <cfRule type="expression" dxfId="6128" priority="1821">
      <formula>AND(IF($Q27=2,1,0),IF($X27&lt;30,1,0))</formula>
    </cfRule>
    <cfRule type="expression" dxfId="6127" priority="1822">
      <formula>AND(IF($Q27=3,1,0),IF($X27&lt;30,1,0))</formula>
    </cfRule>
    <cfRule type="expression" dxfId="6126" priority="1823">
      <formula>AND(IF($Q27=3,1,IF($Q27=4,1,0)),IF($F27&lt;=85,1,0))</formula>
    </cfRule>
  </conditionalFormatting>
  <conditionalFormatting sqref="AI27">
    <cfRule type="expression" dxfId="6125" priority="1816">
      <formula>AND(IF(OR($Q27=1,$Q27=2),1,0),IF($X27&lt;=20,1,0))</formula>
    </cfRule>
    <cfRule type="expression" dxfId="6124" priority="1817">
      <formula>AND(IF($Q27=2,1,0),IF($X27&lt;30,1,0))</formula>
    </cfRule>
    <cfRule type="expression" dxfId="6123" priority="1818">
      <formula>AND(IF($Q27=3,1,0),IF($X27&lt;30,1,0))</formula>
    </cfRule>
    <cfRule type="expression" dxfId="6122" priority="1819">
      <formula>AND(IF($Q27=3,1,IF($Q27=4,1,0)),IF($F27&lt;=85,1,0))</formula>
    </cfRule>
  </conditionalFormatting>
  <conditionalFormatting sqref="AV28">
    <cfRule type="expression" dxfId="6121" priority="1814">
      <formula>AV28="X"</formula>
    </cfRule>
    <cfRule type="expression" dxfId="6120" priority="1815">
      <formula>AV28="후보"</formula>
    </cfRule>
  </conditionalFormatting>
  <conditionalFormatting sqref="AC28">
    <cfRule type="cellIs" dxfId="6119" priority="1811" operator="greaterThan">
      <formula>0.9</formula>
    </cfRule>
    <cfRule type="cellIs" dxfId="6118" priority="1812" operator="greaterThan">
      <formula>0.85</formula>
    </cfRule>
  </conditionalFormatting>
  <conditionalFormatting sqref="N28">
    <cfRule type="cellIs" dxfId="6117" priority="1809" operator="greaterThan">
      <formula>0.9</formula>
    </cfRule>
    <cfRule type="cellIs" dxfId="6116" priority="1810" operator="greaterThan">
      <formula>0.85</formula>
    </cfRule>
  </conditionalFormatting>
  <conditionalFormatting sqref="E28">
    <cfRule type="expression" dxfId="6115" priority="1805">
      <formula>AND(IF(OR($Q28=1,$Q28=2),1,0),IF($X28&lt;=20,1,0))</formula>
    </cfRule>
    <cfRule type="expression" dxfId="6114" priority="1806">
      <formula>AND(IF($Q28=2,1,0),IF($X28&lt;30,1,0))</formula>
    </cfRule>
    <cfRule type="expression" dxfId="6113" priority="1807">
      <formula>AND(IF($Q28=3,1,0),IF($X28&lt;30,1,0))</formula>
    </cfRule>
    <cfRule type="expression" dxfId="6112" priority="1808">
      <formula>AND(IF($Q28=3,1,IF($Q28=4,1,0)),IF($F28&lt;=85,1,0))</formula>
    </cfRule>
  </conditionalFormatting>
  <conditionalFormatting sqref="X28">
    <cfRule type="expression" dxfId="6111" priority="1801">
      <formula>AND(IF(OR($Q28=1,$Q28=2),1,0),IF($X28&lt;=20,1,0))</formula>
    </cfRule>
    <cfRule type="expression" dxfId="6110" priority="1802">
      <formula>AND(IF($Q28=2,1,0),IF($X28&lt;30,1,0))</formula>
    </cfRule>
    <cfRule type="expression" dxfId="6109" priority="1803">
      <formula>AND(IF($Q28=3,1,0),IF($X28&lt;30,1,0))</formula>
    </cfRule>
    <cfRule type="expression" dxfId="6108" priority="1804">
      <formula>AND(IF($Q28=3,1,IF($Q28=4,1,0)),IF($F28&lt;=85,1,0))</formula>
    </cfRule>
  </conditionalFormatting>
  <conditionalFormatting sqref="AI28">
    <cfRule type="expression" dxfId="6107" priority="1797">
      <formula>AND(IF(OR($Q28=1,$Q28=2),1,0),IF($X28&lt;=20,1,0))</formula>
    </cfRule>
    <cfRule type="expression" dxfId="6106" priority="1798">
      <formula>AND(IF($Q28=2,1,0),IF($X28&lt;30,1,0))</formula>
    </cfRule>
    <cfRule type="expression" dxfId="6105" priority="1799">
      <formula>AND(IF($Q28=3,1,0),IF($X28&lt;30,1,0))</formula>
    </cfRule>
    <cfRule type="expression" dxfId="6104" priority="1800">
      <formula>AND(IF($Q28=3,1,IF($Q28=4,1,0)),IF($F28&lt;=85,1,0))</formula>
    </cfRule>
  </conditionalFormatting>
  <conditionalFormatting sqref="AV29">
    <cfRule type="expression" dxfId="6103" priority="1795">
      <formula>AV29="X"</formula>
    </cfRule>
    <cfRule type="expression" dxfId="6102" priority="1796">
      <formula>AV29="후보"</formula>
    </cfRule>
  </conditionalFormatting>
  <conditionalFormatting sqref="AC29">
    <cfRule type="cellIs" dxfId="6101" priority="1792" operator="greaterThan">
      <formula>0.9</formula>
    </cfRule>
    <cfRule type="cellIs" dxfId="6100" priority="1793" operator="greaterThan">
      <formula>0.85</formula>
    </cfRule>
  </conditionalFormatting>
  <conditionalFormatting sqref="N29">
    <cfRule type="cellIs" dxfId="6099" priority="1790" operator="greaterThan">
      <formula>0.9</formula>
    </cfRule>
    <cfRule type="cellIs" dxfId="6098" priority="1791" operator="greaterThan">
      <formula>0.85</formula>
    </cfRule>
  </conditionalFormatting>
  <conditionalFormatting sqref="E29">
    <cfRule type="expression" dxfId="6097" priority="1786">
      <formula>AND(IF(OR($Q29=1,$Q29=2),1,0),IF($X29&lt;=20,1,0))</formula>
    </cfRule>
    <cfRule type="expression" dxfId="6096" priority="1787">
      <formula>AND(IF($Q29=2,1,0),IF($X29&lt;30,1,0))</formula>
    </cfRule>
    <cfRule type="expression" dxfId="6095" priority="1788">
      <formula>AND(IF($Q29=3,1,0),IF($X29&lt;30,1,0))</formula>
    </cfRule>
    <cfRule type="expression" dxfId="6094" priority="1789">
      <formula>AND(IF($Q29=3,1,IF($Q29=4,1,0)),IF($F29&lt;=85,1,0))</formula>
    </cfRule>
  </conditionalFormatting>
  <conditionalFormatting sqref="X29">
    <cfRule type="expression" dxfId="6093" priority="1782">
      <formula>AND(IF(OR($Q29=1,$Q29=2),1,0),IF($X29&lt;=20,1,0))</formula>
    </cfRule>
    <cfRule type="expression" dxfId="6092" priority="1783">
      <formula>AND(IF($Q29=2,1,0),IF($X29&lt;30,1,0))</formula>
    </cfRule>
    <cfRule type="expression" dxfId="6091" priority="1784">
      <formula>AND(IF($Q29=3,1,0),IF($X29&lt;30,1,0))</formula>
    </cfRule>
    <cfRule type="expression" dxfId="6090" priority="1785">
      <formula>AND(IF($Q29=3,1,IF($Q29=4,1,0)),IF($F29&lt;=85,1,0))</formula>
    </cfRule>
  </conditionalFormatting>
  <conditionalFormatting sqref="AI29">
    <cfRule type="expression" dxfId="6089" priority="1778">
      <formula>AND(IF(OR($Q29=1,$Q29=2),1,0),IF($X29&lt;=20,1,0))</formula>
    </cfRule>
    <cfRule type="expression" dxfId="6088" priority="1779">
      <formula>AND(IF($Q29=2,1,0),IF($X29&lt;30,1,0))</formula>
    </cfRule>
    <cfRule type="expression" dxfId="6087" priority="1780">
      <formula>AND(IF($Q29=3,1,0),IF($X29&lt;30,1,0))</formula>
    </cfRule>
    <cfRule type="expression" dxfId="6086" priority="1781">
      <formula>AND(IF($Q29=3,1,IF($Q29=4,1,0)),IF($F29&lt;=85,1,0))</formula>
    </cfRule>
  </conditionalFormatting>
  <conditionalFormatting sqref="AV30">
    <cfRule type="expression" dxfId="6085" priority="1776">
      <formula>AV30="X"</formula>
    </cfRule>
    <cfRule type="expression" dxfId="6084" priority="1777">
      <formula>AV30="후보"</formula>
    </cfRule>
  </conditionalFormatting>
  <conditionalFormatting sqref="AC30">
    <cfRule type="cellIs" dxfId="6083" priority="1773" operator="greaterThan">
      <formula>0.9</formula>
    </cfRule>
    <cfRule type="cellIs" dxfId="6082" priority="1774" operator="greaterThan">
      <formula>0.85</formula>
    </cfRule>
  </conditionalFormatting>
  <conditionalFormatting sqref="N30">
    <cfRule type="cellIs" dxfId="6081" priority="1771" operator="greaterThan">
      <formula>0.9</formula>
    </cfRule>
    <cfRule type="cellIs" dxfId="6080" priority="1772" operator="greaterThan">
      <formula>0.85</formula>
    </cfRule>
  </conditionalFormatting>
  <conditionalFormatting sqref="E30">
    <cfRule type="expression" dxfId="6079" priority="1767">
      <formula>AND(IF(OR($Q30=1,$Q30=2),1,0),IF($X30&lt;=20,1,0))</formula>
    </cfRule>
    <cfRule type="expression" dxfId="6078" priority="1768">
      <formula>AND(IF($Q30=2,1,0),IF($X30&lt;30,1,0))</formula>
    </cfRule>
    <cfRule type="expression" dxfId="6077" priority="1769">
      <formula>AND(IF($Q30=3,1,0),IF($X30&lt;30,1,0))</formula>
    </cfRule>
    <cfRule type="expression" dxfId="6076" priority="1770">
      <formula>AND(IF($Q30=3,1,IF($Q30=4,1,0)),IF($F30&lt;=85,1,0))</formula>
    </cfRule>
  </conditionalFormatting>
  <conditionalFormatting sqref="X30">
    <cfRule type="expression" dxfId="6075" priority="1763">
      <formula>AND(IF(OR($Q30=1,$Q30=2),1,0),IF($X30&lt;=20,1,0))</formula>
    </cfRule>
    <cfRule type="expression" dxfId="6074" priority="1764">
      <formula>AND(IF($Q30=2,1,0),IF($X30&lt;30,1,0))</formula>
    </cfRule>
    <cfRule type="expression" dxfId="6073" priority="1765">
      <formula>AND(IF($Q30=3,1,0),IF($X30&lt;30,1,0))</formula>
    </cfRule>
    <cfRule type="expression" dxfId="6072" priority="1766">
      <formula>AND(IF($Q30=3,1,IF($Q30=4,1,0)),IF($F30&lt;=85,1,0))</formula>
    </cfRule>
  </conditionalFormatting>
  <conditionalFormatting sqref="AI30">
    <cfRule type="expression" dxfId="6071" priority="1759">
      <formula>AND(IF(OR($Q30=1,$Q30=2),1,0),IF($X30&lt;=20,1,0))</formula>
    </cfRule>
    <cfRule type="expression" dxfId="6070" priority="1760">
      <formula>AND(IF($Q30=2,1,0),IF($X30&lt;30,1,0))</formula>
    </cfRule>
    <cfRule type="expression" dxfId="6069" priority="1761">
      <formula>AND(IF($Q30=3,1,0),IF($X30&lt;30,1,0))</formula>
    </cfRule>
    <cfRule type="expression" dxfId="6068" priority="1762">
      <formula>AND(IF($Q30=3,1,IF($Q30=4,1,0)),IF($F30&lt;=85,1,0))</formula>
    </cfRule>
  </conditionalFormatting>
  <conditionalFormatting sqref="AV31">
    <cfRule type="expression" dxfId="6067" priority="1757">
      <formula>AV31="X"</formula>
    </cfRule>
    <cfRule type="expression" dxfId="6066" priority="1758">
      <formula>AV31="후보"</formula>
    </cfRule>
  </conditionalFormatting>
  <conditionalFormatting sqref="AC31">
    <cfRule type="cellIs" dxfId="6065" priority="1754" operator="greaterThan">
      <formula>0.9</formula>
    </cfRule>
    <cfRule type="cellIs" dxfId="6064" priority="1755" operator="greaterThan">
      <formula>0.85</formula>
    </cfRule>
  </conditionalFormatting>
  <conditionalFormatting sqref="N31">
    <cfRule type="cellIs" dxfId="6063" priority="1752" operator="greaterThan">
      <formula>0.9</formula>
    </cfRule>
    <cfRule type="cellIs" dxfId="6062" priority="1753" operator="greaterThan">
      <formula>0.85</formula>
    </cfRule>
  </conditionalFormatting>
  <conditionalFormatting sqref="E31">
    <cfRule type="expression" dxfId="6061" priority="1748">
      <formula>AND(IF(OR($Q31=1,$Q31=2),1,0),IF($X31&lt;=20,1,0))</formula>
    </cfRule>
    <cfRule type="expression" dxfId="6060" priority="1749">
      <formula>AND(IF($Q31=2,1,0),IF($X31&lt;30,1,0))</formula>
    </cfRule>
    <cfRule type="expression" dxfId="6059" priority="1750">
      <formula>AND(IF($Q31=3,1,0),IF($X31&lt;30,1,0))</formula>
    </cfRule>
    <cfRule type="expression" dxfId="6058" priority="1751">
      <formula>AND(IF($Q31=3,1,IF($Q31=4,1,0)),IF($F31&lt;=85,1,0))</formula>
    </cfRule>
  </conditionalFormatting>
  <conditionalFormatting sqref="X31">
    <cfRule type="expression" dxfId="6057" priority="1744">
      <formula>AND(IF(OR($Q31=1,$Q31=2),1,0),IF($X31&lt;=20,1,0))</formula>
    </cfRule>
    <cfRule type="expression" dxfId="6056" priority="1745">
      <formula>AND(IF($Q31=2,1,0),IF($X31&lt;30,1,0))</formula>
    </cfRule>
    <cfRule type="expression" dxfId="6055" priority="1746">
      <formula>AND(IF($Q31=3,1,0),IF($X31&lt;30,1,0))</formula>
    </cfRule>
    <cfRule type="expression" dxfId="6054" priority="1747">
      <formula>AND(IF($Q31=3,1,IF($Q31=4,1,0)),IF($F31&lt;=85,1,0))</formula>
    </cfRule>
  </conditionalFormatting>
  <conditionalFormatting sqref="AI31">
    <cfRule type="expression" dxfId="6053" priority="1740">
      <formula>AND(IF(OR($Q31=1,$Q31=2),1,0),IF($X31&lt;=20,1,0))</formula>
    </cfRule>
    <cfRule type="expression" dxfId="6052" priority="1741">
      <formula>AND(IF($Q31=2,1,0),IF($X31&lt;30,1,0))</formula>
    </cfRule>
    <cfRule type="expression" dxfId="6051" priority="1742">
      <formula>AND(IF($Q31=3,1,0),IF($X31&lt;30,1,0))</formula>
    </cfRule>
    <cfRule type="expression" dxfId="6050" priority="1743">
      <formula>AND(IF($Q31=3,1,IF($Q31=4,1,0)),IF($F31&lt;=85,1,0))</formula>
    </cfRule>
  </conditionalFormatting>
  <conditionalFormatting sqref="AV32">
    <cfRule type="expression" dxfId="6049" priority="1738">
      <formula>AV32="X"</formula>
    </cfRule>
    <cfRule type="expression" dxfId="6048" priority="1739">
      <formula>AV32="후보"</formula>
    </cfRule>
  </conditionalFormatting>
  <conditionalFormatting sqref="AC32">
    <cfRule type="cellIs" dxfId="6047" priority="1735" operator="greaterThan">
      <formula>0.9</formula>
    </cfRule>
    <cfRule type="cellIs" dxfId="6046" priority="1736" operator="greaterThan">
      <formula>0.85</formula>
    </cfRule>
  </conditionalFormatting>
  <conditionalFormatting sqref="N32">
    <cfRule type="cellIs" dxfId="6045" priority="1733" operator="greaterThan">
      <formula>0.9</formula>
    </cfRule>
    <cfRule type="cellIs" dxfId="6044" priority="1734" operator="greaterThan">
      <formula>0.85</formula>
    </cfRule>
  </conditionalFormatting>
  <conditionalFormatting sqref="E32">
    <cfRule type="expression" dxfId="6043" priority="1729">
      <formula>AND(IF(OR($Q32=1,$Q32=2),1,0),IF($X32&lt;=20,1,0))</formula>
    </cfRule>
    <cfRule type="expression" dxfId="6042" priority="1730">
      <formula>AND(IF($Q32=2,1,0),IF($X32&lt;30,1,0))</formula>
    </cfRule>
    <cfRule type="expression" dxfId="6041" priority="1731">
      <formula>AND(IF($Q32=3,1,0),IF($X32&lt;30,1,0))</formula>
    </cfRule>
    <cfRule type="expression" dxfId="6040" priority="1732">
      <formula>AND(IF($Q32=3,1,IF($Q32=4,1,0)),IF($F32&lt;=85,1,0))</formula>
    </cfRule>
  </conditionalFormatting>
  <conditionalFormatting sqref="X32">
    <cfRule type="expression" dxfId="6039" priority="1725">
      <formula>AND(IF(OR($Q32=1,$Q32=2),1,0),IF($X32&lt;=20,1,0))</formula>
    </cfRule>
    <cfRule type="expression" dxfId="6038" priority="1726">
      <formula>AND(IF($Q32=2,1,0),IF($X32&lt;30,1,0))</formula>
    </cfRule>
    <cfRule type="expression" dxfId="6037" priority="1727">
      <formula>AND(IF($Q32=3,1,0),IF($X32&lt;30,1,0))</formula>
    </cfRule>
    <cfRule type="expression" dxfId="6036" priority="1728">
      <formula>AND(IF($Q32=3,1,IF($Q32=4,1,0)),IF($F32&lt;=85,1,0))</formula>
    </cfRule>
  </conditionalFormatting>
  <conditionalFormatting sqref="AI32">
    <cfRule type="expression" dxfId="6035" priority="1721">
      <formula>AND(IF(OR($Q32=1,$Q32=2),1,0),IF($X32&lt;=20,1,0))</formula>
    </cfRule>
    <cfRule type="expression" dxfId="6034" priority="1722">
      <formula>AND(IF($Q32=2,1,0),IF($X32&lt;30,1,0))</formula>
    </cfRule>
    <cfRule type="expression" dxfId="6033" priority="1723">
      <formula>AND(IF($Q32=3,1,0),IF($X32&lt;30,1,0))</formula>
    </cfRule>
    <cfRule type="expression" dxfId="6032" priority="1724">
      <formula>AND(IF($Q32=3,1,IF($Q32=4,1,0)),IF($F32&lt;=85,1,0))</formula>
    </cfRule>
  </conditionalFormatting>
  <conditionalFormatting sqref="AV33">
    <cfRule type="expression" dxfId="6031" priority="1719">
      <formula>AV33="X"</formula>
    </cfRule>
    <cfRule type="expression" dxfId="6030" priority="1720">
      <formula>AV33="후보"</formula>
    </cfRule>
  </conditionalFormatting>
  <conditionalFormatting sqref="AC33">
    <cfRule type="cellIs" dxfId="6029" priority="1716" operator="greaterThan">
      <formula>0.9</formula>
    </cfRule>
    <cfRule type="cellIs" dxfId="6028" priority="1717" operator="greaterThan">
      <formula>0.85</formula>
    </cfRule>
  </conditionalFormatting>
  <conditionalFormatting sqref="N33">
    <cfRule type="cellIs" dxfId="6027" priority="1714" operator="greaterThan">
      <formula>0.9</formula>
    </cfRule>
    <cfRule type="cellIs" dxfId="6026" priority="1715" operator="greaterThan">
      <formula>0.85</formula>
    </cfRule>
  </conditionalFormatting>
  <conditionalFormatting sqref="E33">
    <cfRule type="expression" dxfId="6025" priority="1710">
      <formula>AND(IF(OR($Q33=1,$Q33=2),1,0),IF($X33&lt;=20,1,0))</formula>
    </cfRule>
    <cfRule type="expression" dxfId="6024" priority="1711">
      <formula>AND(IF($Q33=2,1,0),IF($X33&lt;30,1,0))</formula>
    </cfRule>
    <cfRule type="expression" dxfId="6023" priority="1712">
      <formula>AND(IF($Q33=3,1,0),IF($X33&lt;30,1,0))</formula>
    </cfRule>
    <cfRule type="expression" dxfId="6022" priority="1713">
      <formula>AND(IF($Q33=3,1,IF($Q33=4,1,0)),IF($F33&lt;=85,1,0))</formula>
    </cfRule>
  </conditionalFormatting>
  <conditionalFormatting sqref="X33">
    <cfRule type="expression" dxfId="6021" priority="1706">
      <formula>AND(IF(OR($Q33=1,$Q33=2),1,0),IF($X33&lt;=20,1,0))</formula>
    </cfRule>
    <cfRule type="expression" dxfId="6020" priority="1707">
      <formula>AND(IF($Q33=2,1,0),IF($X33&lt;30,1,0))</formula>
    </cfRule>
    <cfRule type="expression" dxfId="6019" priority="1708">
      <formula>AND(IF($Q33=3,1,0),IF($X33&lt;30,1,0))</formula>
    </cfRule>
    <cfRule type="expression" dxfId="6018" priority="1709">
      <formula>AND(IF($Q33=3,1,IF($Q33=4,1,0)),IF($F33&lt;=85,1,0))</formula>
    </cfRule>
  </conditionalFormatting>
  <conditionalFormatting sqref="AI33">
    <cfRule type="expression" dxfId="6017" priority="1702">
      <formula>AND(IF(OR($Q33=1,$Q33=2),1,0),IF($X33&lt;=20,1,0))</formula>
    </cfRule>
    <cfRule type="expression" dxfId="6016" priority="1703">
      <formula>AND(IF($Q33=2,1,0),IF($X33&lt;30,1,0))</formula>
    </cfRule>
    <cfRule type="expression" dxfId="6015" priority="1704">
      <formula>AND(IF($Q33=3,1,0),IF($X33&lt;30,1,0))</formula>
    </cfRule>
    <cfRule type="expression" dxfId="6014" priority="1705">
      <formula>AND(IF($Q33=3,1,IF($Q33=4,1,0)),IF($F33&lt;=85,1,0))</formula>
    </cfRule>
  </conditionalFormatting>
  <conditionalFormatting sqref="AV34">
    <cfRule type="expression" dxfId="6013" priority="1700">
      <formula>AV34="X"</formula>
    </cfRule>
    <cfRule type="expression" dxfId="6012" priority="1701">
      <formula>AV34="후보"</formula>
    </cfRule>
  </conditionalFormatting>
  <conditionalFormatting sqref="AC34 N34">
    <cfRule type="cellIs" dxfId="6011" priority="1697" operator="greaterThan">
      <formula>0.9</formula>
    </cfRule>
    <cfRule type="cellIs" dxfId="6010" priority="1698" operator="greaterThan">
      <formula>0.85</formula>
    </cfRule>
  </conditionalFormatting>
  <conditionalFormatting sqref="AV35">
    <cfRule type="expression" dxfId="6009" priority="1695">
      <formula>AV35="X"</formula>
    </cfRule>
    <cfRule type="expression" dxfId="6008" priority="1696">
      <formula>AV35="후보"</formula>
    </cfRule>
  </conditionalFormatting>
  <conditionalFormatting sqref="AC35">
    <cfRule type="cellIs" dxfId="6007" priority="1692" operator="greaterThan">
      <formula>0.9</formula>
    </cfRule>
    <cfRule type="cellIs" dxfId="6006" priority="1693" operator="greaterThan">
      <formula>0.85</formula>
    </cfRule>
  </conditionalFormatting>
  <conditionalFormatting sqref="N35">
    <cfRule type="cellIs" dxfId="6005" priority="1690" operator="greaterThan">
      <formula>0.9</formula>
    </cfRule>
    <cfRule type="cellIs" dxfId="6004" priority="1691" operator="greaterThan">
      <formula>0.85</formula>
    </cfRule>
  </conditionalFormatting>
  <conditionalFormatting sqref="E35">
    <cfRule type="expression" dxfId="6003" priority="1686">
      <formula>AND(IF(OR($Q35=1,$Q35=2),1,0),IF($X35&lt;=20,1,0))</formula>
    </cfRule>
    <cfRule type="expression" dxfId="6002" priority="1687">
      <formula>AND(IF($Q35=2,1,0),IF($X35&lt;30,1,0))</formula>
    </cfRule>
    <cfRule type="expression" dxfId="6001" priority="1688">
      <formula>AND(IF($Q35=3,1,0),IF($X35&lt;30,1,0))</formula>
    </cfRule>
    <cfRule type="expression" dxfId="6000" priority="1689">
      <formula>AND(IF($Q35=3,1,IF($Q35=4,1,0)),IF($F35&lt;=85,1,0))</formula>
    </cfRule>
  </conditionalFormatting>
  <conditionalFormatting sqref="X35">
    <cfRule type="expression" dxfId="5999" priority="1682">
      <formula>AND(IF(OR($Q35=1,$Q35=2),1,0),IF($X35&lt;=20,1,0))</formula>
    </cfRule>
    <cfRule type="expression" dxfId="5998" priority="1683">
      <formula>AND(IF($Q35=2,1,0),IF($X35&lt;30,1,0))</formula>
    </cfRule>
    <cfRule type="expression" dxfId="5997" priority="1684">
      <formula>AND(IF($Q35=3,1,0),IF($X35&lt;30,1,0))</formula>
    </cfRule>
    <cfRule type="expression" dxfId="5996" priority="1685">
      <formula>AND(IF($Q35=3,1,IF($Q35=4,1,0)),IF($F35&lt;=85,1,0))</formula>
    </cfRule>
  </conditionalFormatting>
  <conditionalFormatting sqref="AI35">
    <cfRule type="expression" dxfId="5995" priority="1678">
      <formula>AND(IF(OR($Q35=1,$Q35=2),1,0),IF($X35&lt;=20,1,0))</formula>
    </cfRule>
    <cfRule type="expression" dxfId="5994" priority="1679">
      <formula>AND(IF($Q35=2,1,0),IF($X35&lt;30,1,0))</formula>
    </cfRule>
    <cfRule type="expression" dxfId="5993" priority="1680">
      <formula>AND(IF($Q35=3,1,0),IF($X35&lt;30,1,0))</formula>
    </cfRule>
    <cfRule type="expression" dxfId="5992" priority="1681">
      <formula>AND(IF($Q35=3,1,IF($Q35=4,1,0)),IF($F35&lt;=85,1,0))</formula>
    </cfRule>
  </conditionalFormatting>
  <conditionalFormatting sqref="AV36">
    <cfRule type="expression" dxfId="5991" priority="1676">
      <formula>AV36="X"</formula>
    </cfRule>
    <cfRule type="expression" dxfId="5990" priority="1677">
      <formula>AV36="후보"</formula>
    </cfRule>
  </conditionalFormatting>
  <conditionalFormatting sqref="AC36">
    <cfRule type="cellIs" dxfId="5989" priority="1673" operator="greaterThan">
      <formula>0.9</formula>
    </cfRule>
    <cfRule type="cellIs" dxfId="5988" priority="1674" operator="greaterThan">
      <formula>0.85</formula>
    </cfRule>
  </conditionalFormatting>
  <conditionalFormatting sqref="N36">
    <cfRule type="cellIs" dxfId="5987" priority="1671" operator="greaterThan">
      <formula>0.9</formula>
    </cfRule>
    <cfRule type="cellIs" dxfId="5986" priority="1672" operator="greaterThan">
      <formula>0.85</formula>
    </cfRule>
  </conditionalFormatting>
  <conditionalFormatting sqref="E36">
    <cfRule type="expression" dxfId="5985" priority="1667">
      <formula>AND(IF(OR($Q36=1,$Q36=2),1,0),IF($X36&lt;=20,1,0))</formula>
    </cfRule>
    <cfRule type="expression" dxfId="5984" priority="1668">
      <formula>AND(IF($Q36=2,1,0),IF($X36&lt;30,1,0))</formula>
    </cfRule>
    <cfRule type="expression" dxfId="5983" priority="1669">
      <formula>AND(IF($Q36=3,1,0),IF($X36&lt;30,1,0))</formula>
    </cfRule>
    <cfRule type="expression" dxfId="5982" priority="1670">
      <formula>AND(IF($Q36=3,1,IF($Q36=4,1,0)),IF($F36&lt;=85,1,0))</formula>
    </cfRule>
  </conditionalFormatting>
  <conditionalFormatting sqref="X36">
    <cfRule type="expression" dxfId="5981" priority="1663">
      <formula>AND(IF(OR($Q36=1,$Q36=2),1,0),IF($X36&lt;=20,1,0))</formula>
    </cfRule>
    <cfRule type="expression" dxfId="5980" priority="1664">
      <formula>AND(IF($Q36=2,1,0),IF($X36&lt;30,1,0))</formula>
    </cfRule>
    <cfRule type="expression" dxfId="5979" priority="1665">
      <formula>AND(IF($Q36=3,1,0),IF($X36&lt;30,1,0))</formula>
    </cfRule>
    <cfRule type="expression" dxfId="5978" priority="1666">
      <formula>AND(IF($Q36=3,1,IF($Q36=4,1,0)),IF($F36&lt;=85,1,0))</formula>
    </cfRule>
  </conditionalFormatting>
  <conditionalFormatting sqref="AI36">
    <cfRule type="expression" dxfId="5977" priority="1659">
      <formula>AND(IF(OR($Q36=1,$Q36=2),1,0),IF($X36&lt;=20,1,0))</formula>
    </cfRule>
    <cfRule type="expression" dxfId="5976" priority="1660">
      <formula>AND(IF($Q36=2,1,0),IF($X36&lt;30,1,0))</formula>
    </cfRule>
    <cfRule type="expression" dxfId="5975" priority="1661">
      <formula>AND(IF($Q36=3,1,0),IF($X36&lt;30,1,0))</formula>
    </cfRule>
    <cfRule type="expression" dxfId="5974" priority="1662">
      <formula>AND(IF($Q36=3,1,IF($Q36=4,1,0)),IF($F36&lt;=85,1,0))</formula>
    </cfRule>
  </conditionalFormatting>
  <conditionalFormatting sqref="AV37">
    <cfRule type="expression" dxfId="5973" priority="1657">
      <formula>AV37="X"</formula>
    </cfRule>
    <cfRule type="expression" dxfId="5972" priority="1658">
      <formula>AV37="후보"</formula>
    </cfRule>
  </conditionalFormatting>
  <conditionalFormatting sqref="AC37">
    <cfRule type="cellIs" dxfId="5971" priority="1654" operator="greaterThan">
      <formula>0.9</formula>
    </cfRule>
    <cfRule type="cellIs" dxfId="5970" priority="1655" operator="greaterThan">
      <formula>0.85</formula>
    </cfRule>
  </conditionalFormatting>
  <conditionalFormatting sqref="N37">
    <cfRule type="cellIs" dxfId="5969" priority="1652" operator="greaterThan">
      <formula>0.9</formula>
    </cfRule>
    <cfRule type="cellIs" dxfId="5968" priority="1653" operator="greaterThan">
      <formula>0.85</formula>
    </cfRule>
  </conditionalFormatting>
  <conditionalFormatting sqref="E37">
    <cfRule type="expression" dxfId="5967" priority="1648">
      <formula>AND(IF(OR($Q37=1,$Q37=2),1,0),IF($X37&lt;=20,1,0))</formula>
    </cfRule>
    <cfRule type="expression" dxfId="5966" priority="1649">
      <formula>AND(IF($Q37=2,1,0),IF($X37&lt;30,1,0))</formula>
    </cfRule>
    <cfRule type="expression" dxfId="5965" priority="1650">
      <formula>AND(IF($Q37=3,1,0),IF($X37&lt;30,1,0))</formula>
    </cfRule>
    <cfRule type="expression" dxfId="5964" priority="1651">
      <formula>AND(IF($Q37=3,1,IF($Q37=4,1,0)),IF($F37&lt;=85,1,0))</formula>
    </cfRule>
  </conditionalFormatting>
  <conditionalFormatting sqref="X37">
    <cfRule type="expression" dxfId="5963" priority="1644">
      <formula>AND(IF(OR($Q37=1,$Q37=2),1,0),IF($X37&lt;=20,1,0))</formula>
    </cfRule>
    <cfRule type="expression" dxfId="5962" priority="1645">
      <formula>AND(IF($Q37=2,1,0),IF($X37&lt;30,1,0))</formula>
    </cfRule>
    <cfRule type="expression" dxfId="5961" priority="1646">
      <formula>AND(IF($Q37=3,1,0),IF($X37&lt;30,1,0))</formula>
    </cfRule>
    <cfRule type="expression" dxfId="5960" priority="1647">
      <formula>AND(IF($Q37=3,1,IF($Q37=4,1,0)),IF($F37&lt;=85,1,0))</formula>
    </cfRule>
  </conditionalFormatting>
  <conditionalFormatting sqref="AI37">
    <cfRule type="expression" dxfId="5959" priority="1640">
      <formula>AND(IF(OR($Q37=1,$Q37=2),1,0),IF($X37&lt;=20,1,0))</formula>
    </cfRule>
    <cfRule type="expression" dxfId="5958" priority="1641">
      <formula>AND(IF($Q37=2,1,0),IF($X37&lt;30,1,0))</formula>
    </cfRule>
    <cfRule type="expression" dxfId="5957" priority="1642">
      <formula>AND(IF($Q37=3,1,0),IF($X37&lt;30,1,0))</formula>
    </cfRule>
    <cfRule type="expression" dxfId="5956" priority="1643">
      <formula>AND(IF($Q37=3,1,IF($Q37=4,1,0)),IF($F37&lt;=85,1,0))</formula>
    </cfRule>
  </conditionalFormatting>
  <conditionalFormatting sqref="AV38">
    <cfRule type="expression" dxfId="5955" priority="1638">
      <formula>AV38="X"</formula>
    </cfRule>
    <cfRule type="expression" dxfId="5954" priority="1639">
      <formula>AV38="후보"</formula>
    </cfRule>
  </conditionalFormatting>
  <conditionalFormatting sqref="AC38 N38">
    <cfRule type="cellIs" dxfId="5953" priority="1635" operator="greaterThan">
      <formula>0.9</formula>
    </cfRule>
    <cfRule type="cellIs" dxfId="5952" priority="1636" operator="greaterThan">
      <formula>0.85</formula>
    </cfRule>
  </conditionalFormatting>
  <conditionalFormatting sqref="AV39">
    <cfRule type="expression" dxfId="5951" priority="1633">
      <formula>AV39="X"</formula>
    </cfRule>
    <cfRule type="expression" dxfId="5950" priority="1634">
      <formula>AV39="후보"</formula>
    </cfRule>
  </conditionalFormatting>
  <conditionalFormatting sqref="AC39">
    <cfRule type="cellIs" dxfId="5949" priority="1630" operator="greaterThan">
      <formula>0.9</formula>
    </cfRule>
    <cfRule type="cellIs" dxfId="5948" priority="1631" operator="greaterThan">
      <formula>0.85</formula>
    </cfRule>
  </conditionalFormatting>
  <conditionalFormatting sqref="N39">
    <cfRule type="cellIs" dxfId="5947" priority="1628" operator="greaterThan">
      <formula>0.9</formula>
    </cfRule>
    <cfRule type="cellIs" dxfId="5946" priority="1629" operator="greaterThan">
      <formula>0.85</formula>
    </cfRule>
  </conditionalFormatting>
  <conditionalFormatting sqref="E39">
    <cfRule type="expression" dxfId="5945" priority="1624">
      <formula>AND(IF(OR($Q39=1,$Q39=2),1,0),IF($X39&lt;=20,1,0))</formula>
    </cfRule>
    <cfRule type="expression" dxfId="5944" priority="1625">
      <formula>AND(IF($Q39=2,1,0),IF($X39&lt;30,1,0))</formula>
    </cfRule>
    <cfRule type="expression" dxfId="5943" priority="1626">
      <formula>AND(IF($Q39=3,1,0),IF($X39&lt;30,1,0))</formula>
    </cfRule>
    <cfRule type="expression" dxfId="5942" priority="1627">
      <formula>AND(IF($Q39=3,1,IF($Q39=4,1,0)),IF($F39&lt;=85,1,0))</formula>
    </cfRule>
  </conditionalFormatting>
  <conditionalFormatting sqref="X39">
    <cfRule type="expression" dxfId="5941" priority="1620">
      <formula>AND(IF(OR($Q39=1,$Q39=2),1,0),IF($X39&lt;=20,1,0))</formula>
    </cfRule>
    <cfRule type="expression" dxfId="5940" priority="1621">
      <formula>AND(IF($Q39=2,1,0),IF($X39&lt;30,1,0))</formula>
    </cfRule>
    <cfRule type="expression" dxfId="5939" priority="1622">
      <formula>AND(IF($Q39=3,1,0),IF($X39&lt;30,1,0))</formula>
    </cfRule>
    <cfRule type="expression" dxfId="5938" priority="1623">
      <formula>AND(IF($Q39=3,1,IF($Q39=4,1,0)),IF($F39&lt;=85,1,0))</formula>
    </cfRule>
  </conditionalFormatting>
  <conditionalFormatting sqref="AI39">
    <cfRule type="expression" dxfId="5937" priority="1616">
      <formula>AND(IF(OR($Q39=1,$Q39=2),1,0),IF($X39&lt;=20,1,0))</formula>
    </cfRule>
    <cfRule type="expression" dxfId="5936" priority="1617">
      <formula>AND(IF($Q39=2,1,0),IF($X39&lt;30,1,0))</formula>
    </cfRule>
    <cfRule type="expression" dxfId="5935" priority="1618">
      <formula>AND(IF($Q39=3,1,0),IF($X39&lt;30,1,0))</formula>
    </cfRule>
    <cfRule type="expression" dxfId="5934" priority="1619">
      <formula>AND(IF($Q39=3,1,IF($Q39=4,1,0)),IF($F39&lt;=85,1,0))</formula>
    </cfRule>
  </conditionalFormatting>
  <conditionalFormatting sqref="AV40">
    <cfRule type="expression" dxfId="5933" priority="1614">
      <formula>AV40="X"</formula>
    </cfRule>
    <cfRule type="expression" dxfId="5932" priority="1615">
      <formula>AV40="후보"</formula>
    </cfRule>
  </conditionalFormatting>
  <conditionalFormatting sqref="AC40">
    <cfRule type="cellIs" dxfId="5931" priority="1611" operator="greaterThan">
      <formula>0.9</formula>
    </cfRule>
    <cfRule type="cellIs" dxfId="5930" priority="1612" operator="greaterThan">
      <formula>0.85</formula>
    </cfRule>
  </conditionalFormatting>
  <conditionalFormatting sqref="N40">
    <cfRule type="cellIs" dxfId="5929" priority="1609" operator="greaterThan">
      <formula>0.9</formula>
    </cfRule>
    <cfRule type="cellIs" dxfId="5928" priority="1610" operator="greaterThan">
      <formula>0.85</formula>
    </cfRule>
  </conditionalFormatting>
  <conditionalFormatting sqref="E40">
    <cfRule type="expression" dxfId="5927" priority="1605">
      <formula>AND(IF(OR($Q40=1,$Q40=2),1,0),IF($X40&lt;=20,1,0))</formula>
    </cfRule>
    <cfRule type="expression" dxfId="5926" priority="1606">
      <formula>AND(IF($Q40=2,1,0),IF($X40&lt;30,1,0))</formula>
    </cfRule>
    <cfRule type="expression" dxfId="5925" priority="1607">
      <formula>AND(IF($Q40=3,1,0),IF($X40&lt;30,1,0))</formula>
    </cfRule>
    <cfRule type="expression" dxfId="5924" priority="1608">
      <formula>AND(IF($Q40=3,1,IF($Q40=4,1,0)),IF($F40&lt;=85,1,0))</formula>
    </cfRule>
  </conditionalFormatting>
  <conditionalFormatting sqref="X40">
    <cfRule type="expression" dxfId="5923" priority="1601">
      <formula>AND(IF(OR($Q40=1,$Q40=2),1,0),IF($X40&lt;=20,1,0))</formula>
    </cfRule>
    <cfRule type="expression" dxfId="5922" priority="1602">
      <formula>AND(IF($Q40=2,1,0),IF($X40&lt;30,1,0))</formula>
    </cfRule>
    <cfRule type="expression" dxfId="5921" priority="1603">
      <formula>AND(IF($Q40=3,1,0),IF($X40&lt;30,1,0))</formula>
    </cfRule>
    <cfRule type="expression" dxfId="5920" priority="1604">
      <formula>AND(IF($Q40=3,1,IF($Q40=4,1,0)),IF($F40&lt;=85,1,0))</formula>
    </cfRule>
  </conditionalFormatting>
  <conditionalFormatting sqref="AI40">
    <cfRule type="expression" dxfId="5919" priority="1597">
      <formula>AND(IF(OR($Q40=1,$Q40=2),1,0),IF($X40&lt;=20,1,0))</formula>
    </cfRule>
    <cfRule type="expression" dxfId="5918" priority="1598">
      <formula>AND(IF($Q40=2,1,0),IF($X40&lt;30,1,0))</formula>
    </cfRule>
    <cfRule type="expression" dxfId="5917" priority="1599">
      <formula>AND(IF($Q40=3,1,0),IF($X40&lt;30,1,0))</formula>
    </cfRule>
    <cfRule type="expression" dxfId="5916" priority="1600">
      <formula>AND(IF($Q40=3,1,IF($Q40=4,1,0)),IF($F40&lt;=85,1,0))</formula>
    </cfRule>
  </conditionalFormatting>
  <conditionalFormatting sqref="AV41">
    <cfRule type="expression" dxfId="5915" priority="1595">
      <formula>AV41="X"</formula>
    </cfRule>
    <cfRule type="expression" dxfId="5914" priority="1596">
      <formula>AV41="후보"</formula>
    </cfRule>
  </conditionalFormatting>
  <conditionalFormatting sqref="AC41 N41">
    <cfRule type="cellIs" dxfId="5913" priority="1592" operator="greaterThan">
      <formula>0.9</formula>
    </cfRule>
    <cfRule type="cellIs" dxfId="5912" priority="1593" operator="greaterThan">
      <formula>0.85</formula>
    </cfRule>
  </conditionalFormatting>
  <conditionalFormatting sqref="AV42">
    <cfRule type="expression" dxfId="5911" priority="1590">
      <formula>AV42="X"</formula>
    </cfRule>
    <cfRule type="expression" dxfId="5910" priority="1591">
      <formula>AV42="후보"</formula>
    </cfRule>
  </conditionalFormatting>
  <conditionalFormatting sqref="AC42">
    <cfRule type="cellIs" dxfId="5909" priority="1587" operator="greaterThan">
      <formula>0.9</formula>
    </cfRule>
    <cfRule type="cellIs" dxfId="5908" priority="1588" operator="greaterThan">
      <formula>0.85</formula>
    </cfRule>
  </conditionalFormatting>
  <conditionalFormatting sqref="N42">
    <cfRule type="cellIs" dxfId="5907" priority="1585" operator="greaterThan">
      <formula>0.9</formula>
    </cfRule>
    <cfRule type="cellIs" dxfId="5906" priority="1586" operator="greaterThan">
      <formula>0.85</formula>
    </cfRule>
  </conditionalFormatting>
  <conditionalFormatting sqref="E42">
    <cfRule type="expression" dxfId="5905" priority="1581">
      <formula>AND(IF(OR($Q42=1,$Q42=2),1,0),IF($X42&lt;=20,1,0))</formula>
    </cfRule>
    <cfRule type="expression" dxfId="5904" priority="1582">
      <formula>AND(IF($Q42=2,1,0),IF($X42&lt;30,1,0))</formula>
    </cfRule>
    <cfRule type="expression" dxfId="5903" priority="1583">
      <formula>AND(IF($Q42=3,1,0),IF($X42&lt;30,1,0))</formula>
    </cfRule>
    <cfRule type="expression" dxfId="5902" priority="1584">
      <formula>AND(IF($Q42=3,1,IF($Q42=4,1,0)),IF($F42&lt;=85,1,0))</formula>
    </cfRule>
  </conditionalFormatting>
  <conditionalFormatting sqref="X42">
    <cfRule type="expression" dxfId="5901" priority="1577">
      <formula>AND(IF(OR($Q42=1,$Q42=2),1,0),IF($X42&lt;=20,1,0))</formula>
    </cfRule>
    <cfRule type="expression" dxfId="5900" priority="1578">
      <formula>AND(IF($Q42=2,1,0),IF($X42&lt;30,1,0))</formula>
    </cfRule>
    <cfRule type="expression" dxfId="5899" priority="1579">
      <formula>AND(IF($Q42=3,1,0),IF($X42&lt;30,1,0))</formula>
    </cfRule>
    <cfRule type="expression" dxfId="5898" priority="1580">
      <formula>AND(IF($Q42=3,1,IF($Q42=4,1,0)),IF($F42&lt;=85,1,0))</formula>
    </cfRule>
  </conditionalFormatting>
  <conditionalFormatting sqref="AI42">
    <cfRule type="expression" dxfId="5897" priority="1573">
      <formula>AND(IF(OR($Q42=1,$Q42=2),1,0),IF($X42&lt;=20,1,0))</formula>
    </cfRule>
    <cfRule type="expression" dxfId="5896" priority="1574">
      <formula>AND(IF($Q42=2,1,0),IF($X42&lt;30,1,0))</formula>
    </cfRule>
    <cfRule type="expression" dxfId="5895" priority="1575">
      <formula>AND(IF($Q42=3,1,0),IF($X42&lt;30,1,0))</formula>
    </cfRule>
    <cfRule type="expression" dxfId="5894" priority="1576">
      <formula>AND(IF($Q42=3,1,IF($Q42=4,1,0)),IF($F42&lt;=85,1,0))</formula>
    </cfRule>
  </conditionalFormatting>
  <conditionalFormatting sqref="AV43">
    <cfRule type="expression" dxfId="5893" priority="1571">
      <formula>AV43="X"</formula>
    </cfRule>
    <cfRule type="expression" dxfId="5892" priority="1572">
      <formula>AV43="후보"</formula>
    </cfRule>
  </conditionalFormatting>
  <conditionalFormatting sqref="AC43">
    <cfRule type="cellIs" dxfId="5891" priority="1568" operator="greaterThan">
      <formula>0.9</formula>
    </cfRule>
    <cfRule type="cellIs" dxfId="5890" priority="1569" operator="greaterThan">
      <formula>0.85</formula>
    </cfRule>
  </conditionalFormatting>
  <conditionalFormatting sqref="N43">
    <cfRule type="cellIs" dxfId="5889" priority="1566" operator="greaterThan">
      <formula>0.9</formula>
    </cfRule>
    <cfRule type="cellIs" dxfId="5888" priority="1567" operator="greaterThan">
      <formula>0.85</formula>
    </cfRule>
  </conditionalFormatting>
  <conditionalFormatting sqref="E43">
    <cfRule type="expression" dxfId="5887" priority="1562">
      <formula>AND(IF(OR($Q43=1,$Q43=2),1,0),IF($X43&lt;=20,1,0))</formula>
    </cfRule>
    <cfRule type="expression" dxfId="5886" priority="1563">
      <formula>AND(IF($Q43=2,1,0),IF($X43&lt;30,1,0))</formula>
    </cfRule>
    <cfRule type="expression" dxfId="5885" priority="1564">
      <formula>AND(IF($Q43=3,1,0),IF($X43&lt;30,1,0))</formula>
    </cfRule>
    <cfRule type="expression" dxfId="5884" priority="1565">
      <formula>AND(IF($Q43=3,1,IF($Q43=4,1,0)),IF($F43&lt;=85,1,0))</formula>
    </cfRule>
  </conditionalFormatting>
  <conditionalFormatting sqref="X43">
    <cfRule type="expression" dxfId="5883" priority="1558">
      <formula>AND(IF(OR($Q43=1,$Q43=2),1,0),IF($X43&lt;=20,1,0))</formula>
    </cfRule>
    <cfRule type="expression" dxfId="5882" priority="1559">
      <formula>AND(IF($Q43=2,1,0),IF($X43&lt;30,1,0))</formula>
    </cfRule>
    <cfRule type="expression" dxfId="5881" priority="1560">
      <formula>AND(IF($Q43=3,1,0),IF($X43&lt;30,1,0))</formula>
    </cfRule>
    <cfRule type="expression" dxfId="5880" priority="1561">
      <formula>AND(IF($Q43=3,1,IF($Q43=4,1,0)),IF($F43&lt;=85,1,0))</formula>
    </cfRule>
  </conditionalFormatting>
  <conditionalFormatting sqref="AI43">
    <cfRule type="expression" dxfId="5879" priority="1554">
      <formula>AND(IF(OR($Q43=1,$Q43=2),1,0),IF($X43&lt;=20,1,0))</formula>
    </cfRule>
    <cfRule type="expression" dxfId="5878" priority="1555">
      <formula>AND(IF($Q43=2,1,0),IF($X43&lt;30,1,0))</formula>
    </cfRule>
    <cfRule type="expression" dxfId="5877" priority="1556">
      <formula>AND(IF($Q43=3,1,0),IF($X43&lt;30,1,0))</formula>
    </cfRule>
    <cfRule type="expression" dxfId="5876" priority="1557">
      <formula>AND(IF($Q43=3,1,IF($Q43=4,1,0)),IF($F43&lt;=85,1,0))</formula>
    </cfRule>
  </conditionalFormatting>
  <conditionalFormatting sqref="AV44">
    <cfRule type="expression" dxfId="5875" priority="1552">
      <formula>AV44="X"</formula>
    </cfRule>
    <cfRule type="expression" dxfId="5874" priority="1553">
      <formula>AV44="후보"</formula>
    </cfRule>
  </conditionalFormatting>
  <conditionalFormatting sqref="AC44 N44">
    <cfRule type="cellIs" dxfId="5873" priority="1549" operator="greaterThan">
      <formula>0.9</formula>
    </cfRule>
    <cfRule type="cellIs" dxfId="5872" priority="1550" operator="greaterThan">
      <formula>0.85</formula>
    </cfRule>
  </conditionalFormatting>
  <conditionalFormatting sqref="AV45">
    <cfRule type="expression" dxfId="5871" priority="1547">
      <formula>AV45="X"</formula>
    </cfRule>
    <cfRule type="expression" dxfId="5870" priority="1548">
      <formula>AV45="후보"</formula>
    </cfRule>
  </conditionalFormatting>
  <conditionalFormatting sqref="AC45">
    <cfRule type="cellIs" dxfId="5869" priority="1544" operator="greaterThan">
      <formula>0.9</formula>
    </cfRule>
    <cfRule type="cellIs" dxfId="5868" priority="1545" operator="greaterThan">
      <formula>0.85</formula>
    </cfRule>
  </conditionalFormatting>
  <conditionalFormatting sqref="N45">
    <cfRule type="cellIs" dxfId="5867" priority="1542" operator="greaterThan">
      <formula>0.9</formula>
    </cfRule>
    <cfRule type="cellIs" dxfId="5866" priority="1543" operator="greaterThan">
      <formula>0.85</formula>
    </cfRule>
  </conditionalFormatting>
  <conditionalFormatting sqref="E45">
    <cfRule type="expression" dxfId="5865" priority="1538">
      <formula>AND(IF(OR($Q45=1,$Q45=2),1,0),IF($X45&lt;=20,1,0))</formula>
    </cfRule>
    <cfRule type="expression" dxfId="5864" priority="1539">
      <formula>AND(IF($Q45=2,1,0),IF($X45&lt;30,1,0))</formula>
    </cfRule>
    <cfRule type="expression" dxfId="5863" priority="1540">
      <formula>AND(IF($Q45=3,1,0),IF($X45&lt;30,1,0))</formula>
    </cfRule>
    <cfRule type="expression" dxfId="5862" priority="1541">
      <formula>AND(IF($Q45=3,1,IF($Q45=4,1,0)),IF($F45&lt;=85,1,0))</formula>
    </cfRule>
  </conditionalFormatting>
  <conditionalFormatting sqref="X45">
    <cfRule type="expression" dxfId="5861" priority="1534">
      <formula>AND(IF(OR($Q45=1,$Q45=2),1,0),IF($X45&lt;=20,1,0))</formula>
    </cfRule>
    <cfRule type="expression" dxfId="5860" priority="1535">
      <formula>AND(IF($Q45=2,1,0),IF($X45&lt;30,1,0))</formula>
    </cfRule>
    <cfRule type="expression" dxfId="5859" priority="1536">
      <formula>AND(IF($Q45=3,1,0),IF($X45&lt;30,1,0))</formula>
    </cfRule>
    <cfRule type="expression" dxfId="5858" priority="1537">
      <formula>AND(IF($Q45=3,1,IF($Q45=4,1,0)),IF($F45&lt;=85,1,0))</formula>
    </cfRule>
  </conditionalFormatting>
  <conditionalFormatting sqref="AI45">
    <cfRule type="expression" dxfId="5857" priority="1530">
      <formula>AND(IF(OR($Q45=1,$Q45=2),1,0),IF($X45&lt;=20,1,0))</formula>
    </cfRule>
    <cfRule type="expression" dxfId="5856" priority="1531">
      <formula>AND(IF($Q45=2,1,0),IF($X45&lt;30,1,0))</formula>
    </cfRule>
    <cfRule type="expression" dxfId="5855" priority="1532">
      <formula>AND(IF($Q45=3,1,0),IF($X45&lt;30,1,0))</formula>
    </cfRule>
    <cfRule type="expression" dxfId="5854" priority="1533">
      <formula>AND(IF($Q45=3,1,IF($Q45=4,1,0)),IF($F45&lt;=85,1,0))</formula>
    </cfRule>
  </conditionalFormatting>
  <conditionalFormatting sqref="AV46">
    <cfRule type="expression" dxfId="5853" priority="1528">
      <formula>AV46="X"</formula>
    </cfRule>
    <cfRule type="expression" dxfId="5852" priority="1529">
      <formula>AV46="후보"</formula>
    </cfRule>
  </conditionalFormatting>
  <conditionalFormatting sqref="AC46">
    <cfRule type="cellIs" dxfId="5851" priority="1525" operator="greaterThan">
      <formula>0.9</formula>
    </cfRule>
    <cfRule type="cellIs" dxfId="5850" priority="1526" operator="greaterThan">
      <formula>0.85</formula>
    </cfRule>
  </conditionalFormatting>
  <conditionalFormatting sqref="N46">
    <cfRule type="cellIs" dxfId="5849" priority="1523" operator="greaterThan">
      <formula>0.9</formula>
    </cfRule>
    <cfRule type="cellIs" dxfId="5848" priority="1524" operator="greaterThan">
      <formula>0.85</formula>
    </cfRule>
  </conditionalFormatting>
  <conditionalFormatting sqref="E46">
    <cfRule type="expression" dxfId="5847" priority="1519">
      <formula>AND(IF(OR($Q46=1,$Q46=2),1,0),IF($X46&lt;=20,1,0))</formula>
    </cfRule>
    <cfRule type="expression" dxfId="5846" priority="1520">
      <formula>AND(IF($Q46=2,1,0),IF($X46&lt;30,1,0))</formula>
    </cfRule>
    <cfRule type="expression" dxfId="5845" priority="1521">
      <formula>AND(IF($Q46=3,1,0),IF($X46&lt;30,1,0))</formula>
    </cfRule>
    <cfRule type="expression" dxfId="5844" priority="1522">
      <formula>AND(IF($Q46=3,1,IF($Q46=4,1,0)),IF($F46&lt;=85,1,0))</formula>
    </cfRule>
  </conditionalFormatting>
  <conditionalFormatting sqref="X46">
    <cfRule type="expression" dxfId="5843" priority="1515">
      <formula>AND(IF(OR($Q46=1,$Q46=2),1,0),IF($X46&lt;=20,1,0))</formula>
    </cfRule>
    <cfRule type="expression" dxfId="5842" priority="1516">
      <formula>AND(IF($Q46=2,1,0),IF($X46&lt;30,1,0))</formula>
    </cfRule>
    <cfRule type="expression" dxfId="5841" priority="1517">
      <formula>AND(IF($Q46=3,1,0),IF($X46&lt;30,1,0))</formula>
    </cfRule>
    <cfRule type="expression" dxfId="5840" priority="1518">
      <formula>AND(IF($Q46=3,1,IF($Q46=4,1,0)),IF($F46&lt;=85,1,0))</formula>
    </cfRule>
  </conditionalFormatting>
  <conditionalFormatting sqref="AI46">
    <cfRule type="expression" dxfId="5839" priority="1511">
      <formula>AND(IF(OR($Q46=1,$Q46=2),1,0),IF($X46&lt;=20,1,0))</formula>
    </cfRule>
    <cfRule type="expression" dxfId="5838" priority="1512">
      <formula>AND(IF($Q46=2,1,0),IF($X46&lt;30,1,0))</formula>
    </cfRule>
    <cfRule type="expression" dxfId="5837" priority="1513">
      <formula>AND(IF($Q46=3,1,0),IF($X46&lt;30,1,0))</formula>
    </cfRule>
    <cfRule type="expression" dxfId="5836" priority="1514">
      <formula>AND(IF($Q46=3,1,IF($Q46=4,1,0)),IF($F46&lt;=85,1,0))</formula>
    </cfRule>
  </conditionalFormatting>
  <conditionalFormatting sqref="AV47">
    <cfRule type="expression" dxfId="5835" priority="1509">
      <formula>AV47="X"</formula>
    </cfRule>
    <cfRule type="expression" dxfId="5834" priority="1510">
      <formula>AV47="후보"</formula>
    </cfRule>
  </conditionalFormatting>
  <conditionalFormatting sqref="AC47">
    <cfRule type="cellIs" dxfId="5833" priority="1506" operator="greaterThan">
      <formula>0.9</formula>
    </cfRule>
    <cfRule type="cellIs" dxfId="5832" priority="1507" operator="greaterThan">
      <formula>0.85</formula>
    </cfRule>
  </conditionalFormatting>
  <conditionalFormatting sqref="N47">
    <cfRule type="cellIs" dxfId="5831" priority="1504" operator="greaterThan">
      <formula>0.9</formula>
    </cfRule>
    <cfRule type="cellIs" dxfId="5830" priority="1505" operator="greaterThan">
      <formula>0.85</formula>
    </cfRule>
  </conditionalFormatting>
  <conditionalFormatting sqref="E47">
    <cfRule type="expression" dxfId="5829" priority="1500">
      <formula>AND(IF(OR($Q47=1,$Q47=2),1,0),IF($X47&lt;=20,1,0))</formula>
    </cfRule>
    <cfRule type="expression" dxfId="5828" priority="1501">
      <formula>AND(IF($Q47=2,1,0),IF($X47&lt;30,1,0))</formula>
    </cfRule>
    <cfRule type="expression" dxfId="5827" priority="1502">
      <formula>AND(IF($Q47=3,1,0),IF($X47&lt;30,1,0))</formula>
    </cfRule>
    <cfRule type="expression" dxfId="5826" priority="1503">
      <formula>AND(IF($Q47=3,1,IF($Q47=4,1,0)),IF($F47&lt;=85,1,0))</formula>
    </cfRule>
  </conditionalFormatting>
  <conditionalFormatting sqref="X47">
    <cfRule type="expression" dxfId="5825" priority="1496">
      <formula>AND(IF(OR($Q47=1,$Q47=2),1,0),IF($X47&lt;=20,1,0))</formula>
    </cfRule>
    <cfRule type="expression" dxfId="5824" priority="1497">
      <formula>AND(IF($Q47=2,1,0),IF($X47&lt;30,1,0))</formula>
    </cfRule>
    <cfRule type="expression" dxfId="5823" priority="1498">
      <formula>AND(IF($Q47=3,1,0),IF($X47&lt;30,1,0))</formula>
    </cfRule>
    <cfRule type="expression" dxfId="5822" priority="1499">
      <formula>AND(IF($Q47=3,1,IF($Q47=4,1,0)),IF($F47&lt;=85,1,0))</formula>
    </cfRule>
  </conditionalFormatting>
  <conditionalFormatting sqref="AI47">
    <cfRule type="expression" dxfId="5821" priority="1492">
      <formula>AND(IF(OR($Q47=1,$Q47=2),1,0),IF($X47&lt;=20,1,0))</formula>
    </cfRule>
    <cfRule type="expression" dxfId="5820" priority="1493">
      <formula>AND(IF($Q47=2,1,0),IF($X47&lt;30,1,0))</formula>
    </cfRule>
    <cfRule type="expression" dxfId="5819" priority="1494">
      <formula>AND(IF($Q47=3,1,0),IF($X47&lt;30,1,0))</formula>
    </cfRule>
    <cfRule type="expression" dxfId="5818" priority="1495">
      <formula>AND(IF($Q47=3,1,IF($Q47=4,1,0)),IF($F47&lt;=85,1,0))</formula>
    </cfRule>
  </conditionalFormatting>
  <conditionalFormatting sqref="AV48">
    <cfRule type="expression" dxfId="5817" priority="1490">
      <formula>AV48="X"</formula>
    </cfRule>
    <cfRule type="expression" dxfId="5816" priority="1491">
      <formula>AV48="후보"</formula>
    </cfRule>
  </conditionalFormatting>
  <conditionalFormatting sqref="AC48">
    <cfRule type="cellIs" dxfId="5815" priority="1487" operator="greaterThan">
      <formula>0.9</formula>
    </cfRule>
    <cfRule type="cellIs" dxfId="5814" priority="1488" operator="greaterThan">
      <formula>0.85</formula>
    </cfRule>
  </conditionalFormatting>
  <conditionalFormatting sqref="N48">
    <cfRule type="cellIs" dxfId="5813" priority="1485" operator="greaterThan">
      <formula>0.9</formula>
    </cfRule>
    <cfRule type="cellIs" dxfId="5812" priority="1486" operator="greaterThan">
      <formula>0.85</formula>
    </cfRule>
  </conditionalFormatting>
  <conditionalFormatting sqref="E48">
    <cfRule type="expression" dxfId="5811" priority="1481">
      <formula>AND(IF(OR($Q48=1,$Q48=2),1,0),IF($X48&lt;=20,1,0))</formula>
    </cfRule>
    <cfRule type="expression" dxfId="5810" priority="1482">
      <formula>AND(IF($Q48=2,1,0),IF($X48&lt;30,1,0))</formula>
    </cfRule>
    <cfRule type="expression" dxfId="5809" priority="1483">
      <formula>AND(IF($Q48=3,1,0),IF($X48&lt;30,1,0))</formula>
    </cfRule>
    <cfRule type="expression" dxfId="5808" priority="1484">
      <formula>AND(IF($Q48=3,1,IF($Q48=4,1,0)),IF($F48&lt;=85,1,0))</formula>
    </cfRule>
  </conditionalFormatting>
  <conditionalFormatting sqref="X48">
    <cfRule type="expression" dxfId="5807" priority="1477">
      <formula>AND(IF(OR($Q48=1,$Q48=2),1,0),IF($X48&lt;=20,1,0))</formula>
    </cfRule>
    <cfRule type="expression" dxfId="5806" priority="1478">
      <formula>AND(IF($Q48=2,1,0),IF($X48&lt;30,1,0))</formula>
    </cfRule>
    <cfRule type="expression" dxfId="5805" priority="1479">
      <formula>AND(IF($Q48=3,1,0),IF($X48&lt;30,1,0))</formula>
    </cfRule>
    <cfRule type="expression" dxfId="5804" priority="1480">
      <formula>AND(IF($Q48=3,1,IF($Q48=4,1,0)),IF($F48&lt;=85,1,0))</formula>
    </cfRule>
  </conditionalFormatting>
  <conditionalFormatting sqref="AI48">
    <cfRule type="expression" dxfId="5803" priority="1473">
      <formula>AND(IF(OR($Q48=1,$Q48=2),1,0),IF($X48&lt;=20,1,0))</formula>
    </cfRule>
    <cfRule type="expression" dxfId="5802" priority="1474">
      <formula>AND(IF($Q48=2,1,0),IF($X48&lt;30,1,0))</formula>
    </cfRule>
    <cfRule type="expression" dxfId="5801" priority="1475">
      <formula>AND(IF($Q48=3,1,0),IF($X48&lt;30,1,0))</formula>
    </cfRule>
    <cfRule type="expression" dxfId="5800" priority="1476">
      <formula>AND(IF($Q48=3,1,IF($Q48=4,1,0)),IF($F48&lt;=85,1,0))</formula>
    </cfRule>
  </conditionalFormatting>
  <conditionalFormatting sqref="AV49">
    <cfRule type="expression" dxfId="5799" priority="1471">
      <formula>AV49="X"</formula>
    </cfRule>
    <cfRule type="expression" dxfId="5798" priority="1472">
      <formula>AV49="후보"</formula>
    </cfRule>
  </conditionalFormatting>
  <conditionalFormatting sqref="AC49">
    <cfRule type="cellIs" dxfId="5797" priority="1468" operator="greaterThan">
      <formula>0.9</formula>
    </cfRule>
    <cfRule type="cellIs" dxfId="5796" priority="1469" operator="greaterThan">
      <formula>0.85</formula>
    </cfRule>
  </conditionalFormatting>
  <conditionalFormatting sqref="N49">
    <cfRule type="cellIs" dxfId="5795" priority="1466" operator="greaterThan">
      <formula>0.9</formula>
    </cfRule>
    <cfRule type="cellIs" dxfId="5794" priority="1467" operator="greaterThan">
      <formula>0.85</formula>
    </cfRule>
  </conditionalFormatting>
  <conditionalFormatting sqref="E49">
    <cfRule type="expression" dxfId="5793" priority="1462">
      <formula>AND(IF(OR($Q49=1,$Q49=2),1,0),IF($X49&lt;=20,1,0))</formula>
    </cfRule>
    <cfRule type="expression" dxfId="5792" priority="1463">
      <formula>AND(IF($Q49=2,1,0),IF($X49&lt;30,1,0))</formula>
    </cfRule>
    <cfRule type="expression" dxfId="5791" priority="1464">
      <formula>AND(IF($Q49=3,1,0),IF($X49&lt;30,1,0))</formula>
    </cfRule>
    <cfRule type="expression" dxfId="5790" priority="1465">
      <formula>AND(IF($Q49=3,1,IF($Q49=4,1,0)),IF($F49&lt;=85,1,0))</formula>
    </cfRule>
  </conditionalFormatting>
  <conditionalFormatting sqref="X49">
    <cfRule type="expression" dxfId="5789" priority="1458">
      <formula>AND(IF(OR($Q49=1,$Q49=2),1,0),IF($X49&lt;=20,1,0))</formula>
    </cfRule>
    <cfRule type="expression" dxfId="5788" priority="1459">
      <formula>AND(IF($Q49=2,1,0),IF($X49&lt;30,1,0))</formula>
    </cfRule>
    <cfRule type="expression" dxfId="5787" priority="1460">
      <formula>AND(IF($Q49=3,1,0),IF($X49&lt;30,1,0))</formula>
    </cfRule>
    <cfRule type="expression" dxfId="5786" priority="1461">
      <formula>AND(IF($Q49=3,1,IF($Q49=4,1,0)),IF($F49&lt;=85,1,0))</formula>
    </cfRule>
  </conditionalFormatting>
  <conditionalFormatting sqref="AI49">
    <cfRule type="expression" dxfId="5785" priority="1454">
      <formula>AND(IF(OR($Q49=1,$Q49=2),1,0),IF($X49&lt;=20,1,0))</formula>
    </cfRule>
    <cfRule type="expression" dxfId="5784" priority="1455">
      <formula>AND(IF($Q49=2,1,0),IF($X49&lt;30,1,0))</formula>
    </cfRule>
    <cfRule type="expression" dxfId="5783" priority="1456">
      <formula>AND(IF($Q49=3,1,0),IF($X49&lt;30,1,0))</formula>
    </cfRule>
    <cfRule type="expression" dxfId="5782" priority="1457">
      <formula>AND(IF($Q49=3,1,IF($Q49=4,1,0)),IF($F49&lt;=85,1,0))</formula>
    </cfRule>
  </conditionalFormatting>
  <conditionalFormatting sqref="AV50">
    <cfRule type="expression" dxfId="5781" priority="1452">
      <formula>AV50="X"</formula>
    </cfRule>
    <cfRule type="expression" dxfId="5780" priority="1453">
      <formula>AV50="후보"</formula>
    </cfRule>
  </conditionalFormatting>
  <conditionalFormatting sqref="AC50">
    <cfRule type="cellIs" dxfId="5779" priority="1449" operator="greaterThan">
      <formula>0.9</formula>
    </cfRule>
    <cfRule type="cellIs" dxfId="5778" priority="1450" operator="greaterThan">
      <formula>0.85</formula>
    </cfRule>
  </conditionalFormatting>
  <conditionalFormatting sqref="N50">
    <cfRule type="cellIs" dxfId="5777" priority="1447" operator="greaterThan">
      <formula>0.9</formula>
    </cfRule>
    <cfRule type="cellIs" dxfId="5776" priority="1448" operator="greaterThan">
      <formula>0.85</formula>
    </cfRule>
  </conditionalFormatting>
  <conditionalFormatting sqref="E50">
    <cfRule type="expression" dxfId="5775" priority="1443">
      <formula>AND(IF(OR($Q50=1,$Q50=2),1,0),IF($X50&lt;=20,1,0))</formula>
    </cfRule>
    <cfRule type="expression" dxfId="5774" priority="1444">
      <formula>AND(IF($Q50=2,1,0),IF($X50&lt;30,1,0))</formula>
    </cfRule>
    <cfRule type="expression" dxfId="5773" priority="1445">
      <formula>AND(IF($Q50=3,1,0),IF($X50&lt;30,1,0))</formula>
    </cfRule>
    <cfRule type="expression" dxfId="5772" priority="1446">
      <formula>AND(IF($Q50=3,1,IF($Q50=4,1,0)),IF($F50&lt;=85,1,0))</formula>
    </cfRule>
  </conditionalFormatting>
  <conditionalFormatting sqref="X50">
    <cfRule type="expression" dxfId="5771" priority="1439">
      <formula>AND(IF(OR($Q50=1,$Q50=2),1,0),IF($X50&lt;=20,1,0))</formula>
    </cfRule>
    <cfRule type="expression" dxfId="5770" priority="1440">
      <formula>AND(IF($Q50=2,1,0),IF($X50&lt;30,1,0))</formula>
    </cfRule>
    <cfRule type="expression" dxfId="5769" priority="1441">
      <formula>AND(IF($Q50=3,1,0),IF($X50&lt;30,1,0))</formula>
    </cfRule>
    <cfRule type="expression" dxfId="5768" priority="1442">
      <formula>AND(IF($Q50=3,1,IF($Q50=4,1,0)),IF($F50&lt;=85,1,0))</formula>
    </cfRule>
  </conditionalFormatting>
  <conditionalFormatting sqref="AI50">
    <cfRule type="expression" dxfId="5767" priority="1435">
      <formula>AND(IF(OR($Q50=1,$Q50=2),1,0),IF($X50&lt;=20,1,0))</formula>
    </cfRule>
    <cfRule type="expression" dxfId="5766" priority="1436">
      <formula>AND(IF($Q50=2,1,0),IF($X50&lt;30,1,0))</formula>
    </cfRule>
    <cfRule type="expression" dxfId="5765" priority="1437">
      <formula>AND(IF($Q50=3,1,0),IF($X50&lt;30,1,0))</formula>
    </cfRule>
    <cfRule type="expression" dxfId="5764" priority="1438">
      <formula>AND(IF($Q50=3,1,IF($Q50=4,1,0)),IF($F50&lt;=85,1,0))</formula>
    </cfRule>
  </conditionalFormatting>
  <conditionalFormatting sqref="AV51">
    <cfRule type="expression" dxfId="5763" priority="1433">
      <formula>AV51="X"</formula>
    </cfRule>
    <cfRule type="expression" dxfId="5762" priority="1434">
      <formula>AV51="후보"</formula>
    </cfRule>
  </conditionalFormatting>
  <conditionalFormatting sqref="AC51">
    <cfRule type="cellIs" dxfId="5761" priority="1430" operator="greaterThan">
      <formula>0.9</formula>
    </cfRule>
    <cfRule type="cellIs" dxfId="5760" priority="1431" operator="greaterThan">
      <formula>0.85</formula>
    </cfRule>
  </conditionalFormatting>
  <conditionalFormatting sqref="N51">
    <cfRule type="cellIs" dxfId="5759" priority="1428" operator="greaterThan">
      <formula>0.9</formula>
    </cfRule>
    <cfRule type="cellIs" dxfId="5758" priority="1429" operator="greaterThan">
      <formula>0.85</formula>
    </cfRule>
  </conditionalFormatting>
  <conditionalFormatting sqref="E51">
    <cfRule type="expression" dxfId="5757" priority="1424">
      <formula>AND(IF(OR($Q51=1,$Q51=2),1,0),IF($X51&lt;=20,1,0))</formula>
    </cfRule>
    <cfRule type="expression" dxfId="5756" priority="1425">
      <formula>AND(IF($Q51=2,1,0),IF($X51&lt;30,1,0))</formula>
    </cfRule>
    <cfRule type="expression" dxfId="5755" priority="1426">
      <formula>AND(IF($Q51=3,1,0),IF($X51&lt;30,1,0))</formula>
    </cfRule>
    <cfRule type="expression" dxfId="5754" priority="1427">
      <formula>AND(IF($Q51=3,1,IF($Q51=4,1,0)),IF($F51&lt;=85,1,0))</formula>
    </cfRule>
  </conditionalFormatting>
  <conditionalFormatting sqref="X51">
    <cfRule type="expression" dxfId="5753" priority="1420">
      <formula>AND(IF(OR($Q51=1,$Q51=2),1,0),IF($X51&lt;=20,1,0))</formula>
    </cfRule>
    <cfRule type="expression" dxfId="5752" priority="1421">
      <formula>AND(IF($Q51=2,1,0),IF($X51&lt;30,1,0))</formula>
    </cfRule>
    <cfRule type="expression" dxfId="5751" priority="1422">
      <formula>AND(IF($Q51=3,1,0),IF($X51&lt;30,1,0))</formula>
    </cfRule>
    <cfRule type="expression" dxfId="5750" priority="1423">
      <formula>AND(IF($Q51=3,1,IF($Q51=4,1,0)),IF($F51&lt;=85,1,0))</formula>
    </cfRule>
  </conditionalFormatting>
  <conditionalFormatting sqref="AI51">
    <cfRule type="expression" dxfId="5749" priority="1416">
      <formula>AND(IF(OR($Q51=1,$Q51=2),1,0),IF($X51&lt;=20,1,0))</formula>
    </cfRule>
    <cfRule type="expression" dxfId="5748" priority="1417">
      <formula>AND(IF($Q51=2,1,0),IF($X51&lt;30,1,0))</formula>
    </cfRule>
    <cfRule type="expression" dxfId="5747" priority="1418">
      <formula>AND(IF($Q51=3,1,0),IF($X51&lt;30,1,0))</formula>
    </cfRule>
    <cfRule type="expression" dxfId="5746" priority="1419">
      <formula>AND(IF($Q51=3,1,IF($Q51=4,1,0)),IF($F51&lt;=85,1,0))</formula>
    </cfRule>
  </conditionalFormatting>
  <conditionalFormatting sqref="AV52">
    <cfRule type="expression" dxfId="5745" priority="1414">
      <formula>AV52="X"</formula>
    </cfRule>
    <cfRule type="expression" dxfId="5744" priority="1415">
      <formula>AV52="후보"</formula>
    </cfRule>
  </conditionalFormatting>
  <conditionalFormatting sqref="AC52">
    <cfRule type="cellIs" dxfId="5743" priority="1411" operator="greaterThan">
      <formula>0.9</formula>
    </cfRule>
    <cfRule type="cellIs" dxfId="5742" priority="1412" operator="greaterThan">
      <formula>0.85</formula>
    </cfRule>
  </conditionalFormatting>
  <conditionalFormatting sqref="N52">
    <cfRule type="cellIs" dxfId="5741" priority="1409" operator="greaterThan">
      <formula>0.9</formula>
    </cfRule>
    <cfRule type="cellIs" dxfId="5740" priority="1410" operator="greaterThan">
      <formula>0.85</formula>
    </cfRule>
  </conditionalFormatting>
  <conditionalFormatting sqref="E52">
    <cfRule type="expression" dxfId="5739" priority="1405">
      <formula>AND(IF(OR($Q52=1,$Q52=2),1,0),IF($X52&lt;=20,1,0))</formula>
    </cfRule>
    <cfRule type="expression" dxfId="5738" priority="1406">
      <formula>AND(IF($Q52=2,1,0),IF($X52&lt;30,1,0))</formula>
    </cfRule>
    <cfRule type="expression" dxfId="5737" priority="1407">
      <formula>AND(IF($Q52=3,1,0),IF($X52&lt;30,1,0))</formula>
    </cfRule>
    <cfRule type="expression" dxfId="5736" priority="1408">
      <formula>AND(IF($Q52=3,1,IF($Q52=4,1,0)),IF($F52&lt;=85,1,0))</formula>
    </cfRule>
  </conditionalFormatting>
  <conditionalFormatting sqref="X52">
    <cfRule type="expression" dxfId="5735" priority="1401">
      <formula>AND(IF(OR($Q52=1,$Q52=2),1,0),IF($X52&lt;=20,1,0))</formula>
    </cfRule>
    <cfRule type="expression" dxfId="5734" priority="1402">
      <formula>AND(IF($Q52=2,1,0),IF($X52&lt;30,1,0))</formula>
    </cfRule>
    <cfRule type="expression" dxfId="5733" priority="1403">
      <formula>AND(IF($Q52=3,1,0),IF($X52&lt;30,1,0))</formula>
    </cfRule>
    <cfRule type="expression" dxfId="5732" priority="1404">
      <formula>AND(IF($Q52=3,1,IF($Q52=4,1,0)),IF($F52&lt;=85,1,0))</formula>
    </cfRule>
  </conditionalFormatting>
  <conditionalFormatting sqref="AI52">
    <cfRule type="expression" dxfId="5731" priority="1397">
      <formula>AND(IF(OR($Q52=1,$Q52=2),1,0),IF($X52&lt;=20,1,0))</formula>
    </cfRule>
    <cfRule type="expression" dxfId="5730" priority="1398">
      <formula>AND(IF($Q52=2,1,0),IF($X52&lt;30,1,0))</formula>
    </cfRule>
    <cfRule type="expression" dxfId="5729" priority="1399">
      <formula>AND(IF($Q52=3,1,0),IF($X52&lt;30,1,0))</formula>
    </cfRule>
    <cfRule type="expression" dxfId="5728" priority="1400">
      <formula>AND(IF($Q52=3,1,IF($Q52=4,1,0)),IF($F52&lt;=85,1,0))</formula>
    </cfRule>
  </conditionalFormatting>
  <conditionalFormatting sqref="AV53">
    <cfRule type="expression" dxfId="5727" priority="1395">
      <formula>AV53="X"</formula>
    </cfRule>
    <cfRule type="expression" dxfId="5726" priority="1396">
      <formula>AV53="후보"</formula>
    </cfRule>
  </conditionalFormatting>
  <conditionalFormatting sqref="AC53">
    <cfRule type="cellIs" dxfId="5725" priority="1392" operator="greaterThan">
      <formula>0.9</formula>
    </cfRule>
    <cfRule type="cellIs" dxfId="5724" priority="1393" operator="greaterThan">
      <formula>0.85</formula>
    </cfRule>
  </conditionalFormatting>
  <conditionalFormatting sqref="N53">
    <cfRule type="cellIs" dxfId="5723" priority="1390" operator="greaterThan">
      <formula>0.9</formula>
    </cfRule>
    <cfRule type="cellIs" dxfId="5722" priority="1391" operator="greaterThan">
      <formula>0.85</formula>
    </cfRule>
  </conditionalFormatting>
  <conditionalFormatting sqref="E53">
    <cfRule type="expression" dxfId="5721" priority="1386">
      <formula>AND(IF(OR($Q53=1,$Q53=2),1,0),IF($X53&lt;=20,1,0))</formula>
    </cfRule>
    <cfRule type="expression" dxfId="5720" priority="1387">
      <formula>AND(IF($Q53=2,1,0),IF($X53&lt;30,1,0))</formula>
    </cfRule>
    <cfRule type="expression" dxfId="5719" priority="1388">
      <formula>AND(IF($Q53=3,1,0),IF($X53&lt;30,1,0))</formula>
    </cfRule>
    <cfRule type="expression" dxfId="5718" priority="1389">
      <formula>AND(IF($Q53=3,1,IF($Q53=4,1,0)),IF($F53&lt;=85,1,0))</formula>
    </cfRule>
  </conditionalFormatting>
  <conditionalFormatting sqref="X53">
    <cfRule type="expression" dxfId="5717" priority="1382">
      <formula>AND(IF(OR($Q53=1,$Q53=2),1,0),IF($X53&lt;=20,1,0))</formula>
    </cfRule>
    <cfRule type="expression" dxfId="5716" priority="1383">
      <formula>AND(IF($Q53=2,1,0),IF($X53&lt;30,1,0))</formula>
    </cfRule>
    <cfRule type="expression" dxfId="5715" priority="1384">
      <formula>AND(IF($Q53=3,1,0),IF($X53&lt;30,1,0))</formula>
    </cfRule>
    <cfRule type="expression" dxfId="5714" priority="1385">
      <formula>AND(IF($Q53=3,1,IF($Q53=4,1,0)),IF($F53&lt;=85,1,0))</formula>
    </cfRule>
  </conditionalFormatting>
  <conditionalFormatting sqref="AI53">
    <cfRule type="expression" dxfId="5713" priority="1378">
      <formula>AND(IF(OR($Q53=1,$Q53=2),1,0),IF($X53&lt;=20,1,0))</formula>
    </cfRule>
    <cfRule type="expression" dxfId="5712" priority="1379">
      <formula>AND(IF($Q53=2,1,0),IF($X53&lt;30,1,0))</formula>
    </cfRule>
    <cfRule type="expression" dxfId="5711" priority="1380">
      <formula>AND(IF($Q53=3,1,0),IF($X53&lt;30,1,0))</formula>
    </cfRule>
    <cfRule type="expression" dxfId="5710" priority="1381">
      <formula>AND(IF($Q53=3,1,IF($Q53=4,1,0)),IF($F53&lt;=85,1,0))</formula>
    </cfRule>
  </conditionalFormatting>
  <conditionalFormatting sqref="AV54">
    <cfRule type="expression" dxfId="5709" priority="1376">
      <formula>AV54="X"</formula>
    </cfRule>
    <cfRule type="expression" dxfId="5708" priority="1377">
      <formula>AV54="후보"</formula>
    </cfRule>
  </conditionalFormatting>
  <conditionalFormatting sqref="AC54 N54">
    <cfRule type="cellIs" dxfId="5707" priority="1373" operator="greaterThan">
      <formula>0.9</formula>
    </cfRule>
    <cfRule type="cellIs" dxfId="5706" priority="1374" operator="greaterThan">
      <formula>0.85</formula>
    </cfRule>
  </conditionalFormatting>
  <conditionalFormatting sqref="AV55">
    <cfRule type="expression" dxfId="5705" priority="1371">
      <formula>AV55="X"</formula>
    </cfRule>
    <cfRule type="expression" dxfId="5704" priority="1372">
      <formula>AV55="후보"</formula>
    </cfRule>
  </conditionalFormatting>
  <conditionalFormatting sqref="AC55">
    <cfRule type="cellIs" dxfId="5703" priority="1368" operator="greaterThan">
      <formula>0.9</formula>
    </cfRule>
    <cfRule type="cellIs" dxfId="5702" priority="1369" operator="greaterThan">
      <formula>0.85</formula>
    </cfRule>
  </conditionalFormatting>
  <conditionalFormatting sqref="N55">
    <cfRule type="cellIs" dxfId="5701" priority="1366" operator="greaterThan">
      <formula>0.9</formula>
    </cfRule>
    <cfRule type="cellIs" dxfId="5700" priority="1367" operator="greaterThan">
      <formula>0.85</formula>
    </cfRule>
  </conditionalFormatting>
  <conditionalFormatting sqref="E55">
    <cfRule type="expression" dxfId="5699" priority="1362">
      <formula>AND(IF(OR($Q55=1,$Q55=2),1,0),IF($X55&lt;=20,1,0))</formula>
    </cfRule>
    <cfRule type="expression" dxfId="5698" priority="1363">
      <formula>AND(IF($Q55=2,1,0),IF($X55&lt;30,1,0))</formula>
    </cfRule>
    <cfRule type="expression" dxfId="5697" priority="1364">
      <formula>AND(IF($Q55=3,1,0),IF($X55&lt;30,1,0))</formula>
    </cfRule>
    <cfRule type="expression" dxfId="5696" priority="1365">
      <formula>AND(IF($Q55=3,1,IF($Q55=4,1,0)),IF($F55&lt;=85,1,0))</formula>
    </cfRule>
  </conditionalFormatting>
  <conditionalFormatting sqref="X55">
    <cfRule type="expression" dxfId="5695" priority="1358">
      <formula>AND(IF(OR($Q55=1,$Q55=2),1,0),IF($X55&lt;=20,1,0))</formula>
    </cfRule>
    <cfRule type="expression" dxfId="5694" priority="1359">
      <formula>AND(IF($Q55=2,1,0),IF($X55&lt;30,1,0))</formula>
    </cfRule>
    <cfRule type="expression" dxfId="5693" priority="1360">
      <formula>AND(IF($Q55=3,1,0),IF($X55&lt;30,1,0))</formula>
    </cfRule>
    <cfRule type="expression" dxfId="5692" priority="1361">
      <formula>AND(IF($Q55=3,1,IF($Q55=4,1,0)),IF($F55&lt;=85,1,0))</formula>
    </cfRule>
  </conditionalFormatting>
  <conditionalFormatting sqref="AI55">
    <cfRule type="expression" dxfId="5691" priority="1354">
      <formula>AND(IF(OR($Q55=1,$Q55=2),1,0),IF($X55&lt;=20,1,0))</formula>
    </cfRule>
    <cfRule type="expression" dxfId="5690" priority="1355">
      <formula>AND(IF($Q55=2,1,0),IF($X55&lt;30,1,0))</formula>
    </cfRule>
    <cfRule type="expression" dxfId="5689" priority="1356">
      <formula>AND(IF($Q55=3,1,0),IF($X55&lt;30,1,0))</formula>
    </cfRule>
    <cfRule type="expression" dxfId="5688" priority="1357">
      <formula>AND(IF($Q55=3,1,IF($Q55=4,1,0)),IF($F55&lt;=85,1,0))</formula>
    </cfRule>
  </conditionalFormatting>
  <conditionalFormatting sqref="AV56">
    <cfRule type="expression" dxfId="5687" priority="1352">
      <formula>AV56="X"</formula>
    </cfRule>
    <cfRule type="expression" dxfId="5686" priority="1353">
      <formula>AV56="후보"</formula>
    </cfRule>
  </conditionalFormatting>
  <conditionalFormatting sqref="AC56">
    <cfRule type="cellIs" dxfId="5685" priority="1349" operator="greaterThan">
      <formula>0.9</formula>
    </cfRule>
    <cfRule type="cellIs" dxfId="5684" priority="1350" operator="greaterThan">
      <formula>0.85</formula>
    </cfRule>
  </conditionalFormatting>
  <conditionalFormatting sqref="N56">
    <cfRule type="cellIs" dxfId="5683" priority="1347" operator="greaterThan">
      <formula>0.9</formula>
    </cfRule>
    <cfRule type="cellIs" dxfId="5682" priority="1348" operator="greaterThan">
      <formula>0.85</formula>
    </cfRule>
  </conditionalFormatting>
  <conditionalFormatting sqref="E56">
    <cfRule type="expression" dxfId="5681" priority="1343">
      <formula>AND(IF(OR($Q56=1,$Q56=2),1,0),IF($X56&lt;=20,1,0))</formula>
    </cfRule>
    <cfRule type="expression" dxfId="5680" priority="1344">
      <formula>AND(IF($Q56=2,1,0),IF($X56&lt;30,1,0))</formula>
    </cfRule>
    <cfRule type="expression" dxfId="5679" priority="1345">
      <formula>AND(IF($Q56=3,1,0),IF($X56&lt;30,1,0))</formula>
    </cfRule>
    <cfRule type="expression" dxfId="5678" priority="1346">
      <formula>AND(IF($Q56=3,1,IF($Q56=4,1,0)),IF($F56&lt;=85,1,0))</formula>
    </cfRule>
  </conditionalFormatting>
  <conditionalFormatting sqref="X56">
    <cfRule type="expression" dxfId="5677" priority="1339">
      <formula>AND(IF(OR($Q56=1,$Q56=2),1,0),IF($X56&lt;=20,1,0))</formula>
    </cfRule>
    <cfRule type="expression" dxfId="5676" priority="1340">
      <formula>AND(IF($Q56=2,1,0),IF($X56&lt;30,1,0))</formula>
    </cfRule>
    <cfRule type="expression" dxfId="5675" priority="1341">
      <formula>AND(IF($Q56=3,1,0),IF($X56&lt;30,1,0))</formula>
    </cfRule>
    <cfRule type="expression" dxfId="5674" priority="1342">
      <formula>AND(IF($Q56=3,1,IF($Q56=4,1,0)),IF($F56&lt;=85,1,0))</formula>
    </cfRule>
  </conditionalFormatting>
  <conditionalFormatting sqref="AI56">
    <cfRule type="expression" dxfId="5673" priority="1335">
      <formula>AND(IF(OR($Q56=1,$Q56=2),1,0),IF($X56&lt;=20,1,0))</formula>
    </cfRule>
    <cfRule type="expression" dxfId="5672" priority="1336">
      <formula>AND(IF($Q56=2,1,0),IF($X56&lt;30,1,0))</formula>
    </cfRule>
    <cfRule type="expression" dxfId="5671" priority="1337">
      <formula>AND(IF($Q56=3,1,0),IF($X56&lt;30,1,0))</formula>
    </cfRule>
    <cfRule type="expression" dxfId="5670" priority="1338">
      <formula>AND(IF($Q56=3,1,IF($Q56=4,1,0)),IF($F56&lt;=85,1,0))</formula>
    </cfRule>
  </conditionalFormatting>
  <conditionalFormatting sqref="AV57">
    <cfRule type="expression" dxfId="5669" priority="1333">
      <formula>AV57="X"</formula>
    </cfRule>
    <cfRule type="expression" dxfId="5668" priority="1334">
      <formula>AV57="후보"</formula>
    </cfRule>
  </conditionalFormatting>
  <conditionalFormatting sqref="AC57 N57">
    <cfRule type="cellIs" dxfId="5667" priority="1330" operator="greaterThan">
      <formula>0.9</formula>
    </cfRule>
    <cfRule type="cellIs" dxfId="5666" priority="1331" operator="greaterThan">
      <formula>0.85</formula>
    </cfRule>
  </conditionalFormatting>
  <conditionalFormatting sqref="AV58">
    <cfRule type="expression" dxfId="5665" priority="1328">
      <formula>AV58="X"</formula>
    </cfRule>
    <cfRule type="expression" dxfId="5664" priority="1329">
      <formula>AV58="후보"</formula>
    </cfRule>
  </conditionalFormatting>
  <conditionalFormatting sqref="AC58">
    <cfRule type="cellIs" dxfId="5663" priority="1325" operator="greaterThan">
      <formula>0.9</formula>
    </cfRule>
    <cfRule type="cellIs" dxfId="5662" priority="1326" operator="greaterThan">
      <formula>0.85</formula>
    </cfRule>
  </conditionalFormatting>
  <conditionalFormatting sqref="N58">
    <cfRule type="cellIs" dxfId="5661" priority="1323" operator="greaterThan">
      <formula>0.9</formula>
    </cfRule>
    <cfRule type="cellIs" dxfId="5660" priority="1324" operator="greaterThan">
      <formula>0.85</formula>
    </cfRule>
  </conditionalFormatting>
  <conditionalFormatting sqref="E58">
    <cfRule type="expression" dxfId="5659" priority="1319">
      <formula>AND(IF(OR($Q58=1,$Q58=2),1,0),IF($X58&lt;=20,1,0))</formula>
    </cfRule>
    <cfRule type="expression" dxfId="5658" priority="1320">
      <formula>AND(IF($Q58=2,1,0),IF($X58&lt;30,1,0))</formula>
    </cfRule>
    <cfRule type="expression" dxfId="5657" priority="1321">
      <formula>AND(IF($Q58=3,1,0),IF($X58&lt;30,1,0))</formula>
    </cfRule>
    <cfRule type="expression" dxfId="5656" priority="1322">
      <formula>AND(IF($Q58=3,1,IF($Q58=4,1,0)),IF($F58&lt;=85,1,0))</formula>
    </cfRule>
  </conditionalFormatting>
  <conditionalFormatting sqref="X58">
    <cfRule type="expression" dxfId="5655" priority="1315">
      <formula>AND(IF(OR($Q58=1,$Q58=2),1,0),IF($X58&lt;=20,1,0))</formula>
    </cfRule>
    <cfRule type="expression" dxfId="5654" priority="1316">
      <formula>AND(IF($Q58=2,1,0),IF($X58&lt;30,1,0))</formula>
    </cfRule>
    <cfRule type="expression" dxfId="5653" priority="1317">
      <formula>AND(IF($Q58=3,1,0),IF($X58&lt;30,1,0))</formula>
    </cfRule>
    <cfRule type="expression" dxfId="5652" priority="1318">
      <formula>AND(IF($Q58=3,1,IF($Q58=4,1,0)),IF($F58&lt;=85,1,0))</formula>
    </cfRule>
  </conditionalFormatting>
  <conditionalFormatting sqref="AI58">
    <cfRule type="expression" dxfId="5651" priority="1311">
      <formula>AND(IF(OR($Q58=1,$Q58=2),1,0),IF($X58&lt;=20,1,0))</formula>
    </cfRule>
    <cfRule type="expression" dxfId="5650" priority="1312">
      <formula>AND(IF($Q58=2,1,0),IF($X58&lt;30,1,0))</formula>
    </cfRule>
    <cfRule type="expression" dxfId="5649" priority="1313">
      <formula>AND(IF($Q58=3,1,0),IF($X58&lt;30,1,0))</formula>
    </cfRule>
    <cfRule type="expression" dxfId="5648" priority="1314">
      <formula>AND(IF($Q58=3,1,IF($Q58=4,1,0)),IF($F58&lt;=85,1,0))</formula>
    </cfRule>
  </conditionalFormatting>
  <conditionalFormatting sqref="AV59">
    <cfRule type="expression" dxfId="5647" priority="1309">
      <formula>AV59="X"</formula>
    </cfRule>
    <cfRule type="expression" dxfId="5646" priority="1310">
      <formula>AV59="후보"</formula>
    </cfRule>
  </conditionalFormatting>
  <conditionalFormatting sqref="AC59">
    <cfRule type="cellIs" dxfId="5645" priority="1306" operator="greaterThan">
      <formula>0.9</formula>
    </cfRule>
    <cfRule type="cellIs" dxfId="5644" priority="1307" operator="greaterThan">
      <formula>0.85</formula>
    </cfRule>
  </conditionalFormatting>
  <conditionalFormatting sqref="N59">
    <cfRule type="cellIs" dxfId="5643" priority="1304" operator="greaterThan">
      <formula>0.9</formula>
    </cfRule>
    <cfRule type="cellIs" dxfId="5642" priority="1305" operator="greaterThan">
      <formula>0.85</formula>
    </cfRule>
  </conditionalFormatting>
  <conditionalFormatting sqref="E59">
    <cfRule type="expression" dxfId="5641" priority="1300">
      <formula>AND(IF(OR($Q59=1,$Q59=2),1,0),IF($X59&lt;=20,1,0))</formula>
    </cfRule>
    <cfRule type="expression" dxfId="5640" priority="1301">
      <formula>AND(IF($Q59=2,1,0),IF($X59&lt;30,1,0))</formula>
    </cfRule>
    <cfRule type="expression" dxfId="5639" priority="1302">
      <formula>AND(IF($Q59=3,1,0),IF($X59&lt;30,1,0))</formula>
    </cfRule>
    <cfRule type="expression" dxfId="5638" priority="1303">
      <formula>AND(IF($Q59=3,1,IF($Q59=4,1,0)),IF($F59&lt;=85,1,0))</formula>
    </cfRule>
  </conditionalFormatting>
  <conditionalFormatting sqref="X59">
    <cfRule type="expression" dxfId="5637" priority="1296">
      <formula>AND(IF(OR($Q59=1,$Q59=2),1,0),IF($X59&lt;=20,1,0))</formula>
    </cfRule>
    <cfRule type="expression" dxfId="5636" priority="1297">
      <formula>AND(IF($Q59=2,1,0),IF($X59&lt;30,1,0))</formula>
    </cfRule>
    <cfRule type="expression" dxfId="5635" priority="1298">
      <formula>AND(IF($Q59=3,1,0),IF($X59&lt;30,1,0))</formula>
    </cfRule>
    <cfRule type="expression" dxfId="5634" priority="1299">
      <formula>AND(IF($Q59=3,1,IF($Q59=4,1,0)),IF($F59&lt;=85,1,0))</formula>
    </cfRule>
  </conditionalFormatting>
  <conditionalFormatting sqref="AI59">
    <cfRule type="expression" dxfId="5633" priority="1292">
      <formula>AND(IF(OR($Q59=1,$Q59=2),1,0),IF($X59&lt;=20,1,0))</formula>
    </cfRule>
    <cfRule type="expression" dxfId="5632" priority="1293">
      <formula>AND(IF($Q59=2,1,0),IF($X59&lt;30,1,0))</formula>
    </cfRule>
    <cfRule type="expression" dxfId="5631" priority="1294">
      <formula>AND(IF($Q59=3,1,0),IF($X59&lt;30,1,0))</formula>
    </cfRule>
    <cfRule type="expression" dxfId="5630" priority="1295">
      <formula>AND(IF($Q59=3,1,IF($Q59=4,1,0)),IF($F59&lt;=85,1,0))</formula>
    </cfRule>
  </conditionalFormatting>
  <conditionalFormatting sqref="AV60">
    <cfRule type="expression" dxfId="5629" priority="1290">
      <formula>AV60="X"</formula>
    </cfRule>
    <cfRule type="expression" dxfId="5628" priority="1291">
      <formula>AV60="후보"</formula>
    </cfRule>
  </conditionalFormatting>
  <conditionalFormatting sqref="AC60 N60">
    <cfRule type="cellIs" dxfId="5627" priority="1287" operator="greaterThan">
      <formula>0.9</formula>
    </cfRule>
    <cfRule type="cellIs" dxfId="5626" priority="1288" operator="greaterThan">
      <formula>0.85</formula>
    </cfRule>
  </conditionalFormatting>
  <conditionalFormatting sqref="AV61">
    <cfRule type="expression" dxfId="5625" priority="1285">
      <formula>AV61="X"</formula>
    </cfRule>
    <cfRule type="expression" dxfId="5624" priority="1286">
      <formula>AV61="후보"</formula>
    </cfRule>
  </conditionalFormatting>
  <conditionalFormatting sqref="AC61">
    <cfRule type="cellIs" dxfId="5623" priority="1282" operator="greaterThan">
      <formula>0.9</formula>
    </cfRule>
    <cfRule type="cellIs" dxfId="5622" priority="1283" operator="greaterThan">
      <formula>0.85</formula>
    </cfRule>
  </conditionalFormatting>
  <conditionalFormatting sqref="N61">
    <cfRule type="cellIs" dxfId="5621" priority="1280" operator="greaterThan">
      <formula>0.9</formula>
    </cfRule>
    <cfRule type="cellIs" dxfId="5620" priority="1281" operator="greaterThan">
      <formula>0.85</formula>
    </cfRule>
  </conditionalFormatting>
  <conditionalFormatting sqref="E61">
    <cfRule type="expression" dxfId="5619" priority="1276">
      <formula>AND(IF(OR($Q61=1,$Q61=2),1,0),IF($X61&lt;=20,1,0))</formula>
    </cfRule>
    <cfRule type="expression" dxfId="5618" priority="1277">
      <formula>AND(IF($Q61=2,1,0),IF($X61&lt;30,1,0))</formula>
    </cfRule>
    <cfRule type="expression" dxfId="5617" priority="1278">
      <formula>AND(IF($Q61=3,1,0),IF($X61&lt;30,1,0))</formula>
    </cfRule>
    <cfRule type="expression" dxfId="5616" priority="1279">
      <formula>AND(IF($Q61=3,1,IF($Q61=4,1,0)),IF($F61&lt;=85,1,0))</formula>
    </cfRule>
  </conditionalFormatting>
  <conditionalFormatting sqref="X61">
    <cfRule type="expression" dxfId="5615" priority="1272">
      <formula>AND(IF(OR($Q61=1,$Q61=2),1,0),IF($X61&lt;=20,1,0))</formula>
    </cfRule>
    <cfRule type="expression" dxfId="5614" priority="1273">
      <formula>AND(IF($Q61=2,1,0),IF($X61&lt;30,1,0))</formula>
    </cfRule>
    <cfRule type="expression" dxfId="5613" priority="1274">
      <formula>AND(IF($Q61=3,1,0),IF($X61&lt;30,1,0))</formula>
    </cfRule>
    <cfRule type="expression" dxfId="5612" priority="1275">
      <formula>AND(IF($Q61=3,1,IF($Q61=4,1,0)),IF($F61&lt;=85,1,0))</formula>
    </cfRule>
  </conditionalFormatting>
  <conditionalFormatting sqref="AI61">
    <cfRule type="expression" dxfId="5611" priority="1268">
      <formula>AND(IF(OR($Q61=1,$Q61=2),1,0),IF($X61&lt;=20,1,0))</formula>
    </cfRule>
    <cfRule type="expression" dxfId="5610" priority="1269">
      <formula>AND(IF($Q61=2,1,0),IF($X61&lt;30,1,0))</formula>
    </cfRule>
    <cfRule type="expression" dxfId="5609" priority="1270">
      <formula>AND(IF($Q61=3,1,0),IF($X61&lt;30,1,0))</formula>
    </cfRule>
    <cfRule type="expression" dxfId="5608" priority="1271">
      <formula>AND(IF($Q61=3,1,IF($Q61=4,1,0)),IF($F61&lt;=85,1,0))</formula>
    </cfRule>
  </conditionalFormatting>
  <conditionalFormatting sqref="AV62">
    <cfRule type="expression" dxfId="5607" priority="1266">
      <formula>AV62="X"</formula>
    </cfRule>
    <cfRule type="expression" dxfId="5606" priority="1267">
      <formula>AV62="후보"</formula>
    </cfRule>
  </conditionalFormatting>
  <conditionalFormatting sqref="AC62">
    <cfRule type="cellIs" dxfId="5605" priority="1263" operator="greaterThan">
      <formula>0.9</formula>
    </cfRule>
    <cfRule type="cellIs" dxfId="5604" priority="1264" operator="greaterThan">
      <formula>0.85</formula>
    </cfRule>
  </conditionalFormatting>
  <conditionalFormatting sqref="N62">
    <cfRule type="cellIs" dxfId="5603" priority="1261" operator="greaterThan">
      <formula>0.9</formula>
    </cfRule>
    <cfRule type="cellIs" dxfId="5602" priority="1262" operator="greaterThan">
      <formula>0.85</formula>
    </cfRule>
  </conditionalFormatting>
  <conditionalFormatting sqref="E62">
    <cfRule type="expression" dxfId="5601" priority="1257">
      <formula>AND(IF(OR($Q62=1,$Q62=2),1,0),IF($X62&lt;=20,1,0))</formula>
    </cfRule>
    <cfRule type="expression" dxfId="5600" priority="1258">
      <formula>AND(IF($Q62=2,1,0),IF($X62&lt;30,1,0))</formula>
    </cfRule>
    <cfRule type="expression" dxfId="5599" priority="1259">
      <formula>AND(IF($Q62=3,1,0),IF($X62&lt;30,1,0))</formula>
    </cfRule>
    <cfRule type="expression" dxfId="5598" priority="1260">
      <formula>AND(IF($Q62=3,1,IF($Q62=4,1,0)),IF($F62&lt;=85,1,0))</formula>
    </cfRule>
  </conditionalFormatting>
  <conditionalFormatting sqref="X62">
    <cfRule type="expression" dxfId="5597" priority="1253">
      <formula>AND(IF(OR($Q62=1,$Q62=2),1,0),IF($X62&lt;=20,1,0))</formula>
    </cfRule>
    <cfRule type="expression" dxfId="5596" priority="1254">
      <formula>AND(IF($Q62=2,1,0),IF($X62&lt;30,1,0))</formula>
    </cfRule>
    <cfRule type="expression" dxfId="5595" priority="1255">
      <formula>AND(IF($Q62=3,1,0),IF($X62&lt;30,1,0))</formula>
    </cfRule>
    <cfRule type="expression" dxfId="5594" priority="1256">
      <formula>AND(IF($Q62=3,1,IF($Q62=4,1,0)),IF($F62&lt;=85,1,0))</formula>
    </cfRule>
  </conditionalFormatting>
  <conditionalFormatting sqref="AI62">
    <cfRule type="expression" dxfId="5593" priority="1249">
      <formula>AND(IF(OR($Q62=1,$Q62=2),1,0),IF($X62&lt;=20,1,0))</formula>
    </cfRule>
    <cfRule type="expression" dxfId="5592" priority="1250">
      <formula>AND(IF($Q62=2,1,0),IF($X62&lt;30,1,0))</formula>
    </cfRule>
    <cfRule type="expression" dxfId="5591" priority="1251">
      <formula>AND(IF($Q62=3,1,0),IF($X62&lt;30,1,0))</formula>
    </cfRule>
    <cfRule type="expression" dxfId="5590" priority="1252">
      <formula>AND(IF($Q62=3,1,IF($Q62=4,1,0)),IF($F62&lt;=85,1,0))</formula>
    </cfRule>
  </conditionalFormatting>
  <conditionalFormatting sqref="AV63">
    <cfRule type="expression" dxfId="5589" priority="1247">
      <formula>AV63="X"</formula>
    </cfRule>
    <cfRule type="expression" dxfId="5588" priority="1248">
      <formula>AV63="후보"</formula>
    </cfRule>
  </conditionalFormatting>
  <conditionalFormatting sqref="AC63">
    <cfRule type="cellIs" dxfId="5587" priority="1244" operator="greaterThan">
      <formula>0.9</formula>
    </cfRule>
    <cfRule type="cellIs" dxfId="5586" priority="1245" operator="greaterThan">
      <formula>0.85</formula>
    </cfRule>
  </conditionalFormatting>
  <conditionalFormatting sqref="N63">
    <cfRule type="cellIs" dxfId="5585" priority="1242" operator="greaterThan">
      <formula>0.9</formula>
    </cfRule>
    <cfRule type="cellIs" dxfId="5584" priority="1243" operator="greaterThan">
      <formula>0.85</formula>
    </cfRule>
  </conditionalFormatting>
  <conditionalFormatting sqref="E63">
    <cfRule type="expression" dxfId="5583" priority="1238">
      <formula>AND(IF(OR($Q63=1,$Q63=2),1,0),IF($X63&lt;=20,1,0))</formula>
    </cfRule>
    <cfRule type="expression" dxfId="5582" priority="1239">
      <formula>AND(IF($Q63=2,1,0),IF($X63&lt;30,1,0))</formula>
    </cfRule>
    <cfRule type="expression" dxfId="5581" priority="1240">
      <formula>AND(IF($Q63=3,1,0),IF($X63&lt;30,1,0))</formula>
    </cfRule>
    <cfRule type="expression" dxfId="5580" priority="1241">
      <formula>AND(IF($Q63=3,1,IF($Q63=4,1,0)),IF($F63&lt;=85,1,0))</formula>
    </cfRule>
  </conditionalFormatting>
  <conditionalFormatting sqref="X63">
    <cfRule type="expression" dxfId="5579" priority="1234">
      <formula>AND(IF(OR($Q63=1,$Q63=2),1,0),IF($X63&lt;=20,1,0))</formula>
    </cfRule>
    <cfRule type="expression" dxfId="5578" priority="1235">
      <formula>AND(IF($Q63=2,1,0),IF($X63&lt;30,1,0))</formula>
    </cfRule>
    <cfRule type="expression" dxfId="5577" priority="1236">
      <formula>AND(IF($Q63=3,1,0),IF($X63&lt;30,1,0))</formula>
    </cfRule>
    <cfRule type="expression" dxfId="5576" priority="1237">
      <formula>AND(IF($Q63=3,1,IF($Q63=4,1,0)),IF($F63&lt;=85,1,0))</formula>
    </cfRule>
  </conditionalFormatting>
  <conditionalFormatting sqref="AI63">
    <cfRule type="expression" dxfId="5575" priority="1230">
      <formula>AND(IF(OR($Q63=1,$Q63=2),1,0),IF($X63&lt;=20,1,0))</formula>
    </cfRule>
    <cfRule type="expression" dxfId="5574" priority="1231">
      <formula>AND(IF($Q63=2,1,0),IF($X63&lt;30,1,0))</formula>
    </cfRule>
    <cfRule type="expression" dxfId="5573" priority="1232">
      <formula>AND(IF($Q63=3,1,0),IF($X63&lt;30,1,0))</formula>
    </cfRule>
    <cfRule type="expression" dxfId="5572" priority="1233">
      <formula>AND(IF($Q63=3,1,IF($Q63=4,1,0)),IF($F63&lt;=85,1,0))</formula>
    </cfRule>
  </conditionalFormatting>
  <conditionalFormatting sqref="AV64">
    <cfRule type="expression" dxfId="5571" priority="1228">
      <formula>AV64="X"</formula>
    </cfRule>
    <cfRule type="expression" dxfId="5570" priority="1229">
      <formula>AV64="후보"</formula>
    </cfRule>
  </conditionalFormatting>
  <conditionalFormatting sqref="AC64">
    <cfRule type="cellIs" dxfId="5569" priority="1225" operator="greaterThan">
      <formula>0.9</formula>
    </cfRule>
    <cfRule type="cellIs" dxfId="5568" priority="1226" operator="greaterThan">
      <formula>0.85</formula>
    </cfRule>
  </conditionalFormatting>
  <conditionalFormatting sqref="N64">
    <cfRule type="cellIs" dxfId="5567" priority="1223" operator="greaterThan">
      <formula>0.9</formula>
    </cfRule>
    <cfRule type="cellIs" dxfId="5566" priority="1224" operator="greaterThan">
      <formula>0.85</formula>
    </cfRule>
  </conditionalFormatting>
  <conditionalFormatting sqref="E64">
    <cfRule type="expression" dxfId="5565" priority="1219">
      <formula>AND(IF(OR($Q64=1,$Q64=2),1,0),IF($X64&lt;=20,1,0))</formula>
    </cfRule>
    <cfRule type="expression" dxfId="5564" priority="1220">
      <formula>AND(IF($Q64=2,1,0),IF($X64&lt;30,1,0))</formula>
    </cfRule>
    <cfRule type="expression" dxfId="5563" priority="1221">
      <formula>AND(IF($Q64=3,1,0),IF($X64&lt;30,1,0))</formula>
    </cfRule>
    <cfRule type="expression" dxfId="5562" priority="1222">
      <formula>AND(IF($Q64=3,1,IF($Q64=4,1,0)),IF($F64&lt;=85,1,0))</formula>
    </cfRule>
  </conditionalFormatting>
  <conditionalFormatting sqref="X64">
    <cfRule type="expression" dxfId="5561" priority="1215">
      <formula>AND(IF(OR($Q64=1,$Q64=2),1,0),IF($X64&lt;=20,1,0))</formula>
    </cfRule>
    <cfRule type="expression" dxfId="5560" priority="1216">
      <formula>AND(IF($Q64=2,1,0),IF($X64&lt;30,1,0))</formula>
    </cfRule>
    <cfRule type="expression" dxfId="5559" priority="1217">
      <formula>AND(IF($Q64=3,1,0),IF($X64&lt;30,1,0))</formula>
    </cfRule>
    <cfRule type="expression" dxfId="5558" priority="1218">
      <formula>AND(IF($Q64=3,1,IF($Q64=4,1,0)),IF($F64&lt;=85,1,0))</formula>
    </cfRule>
  </conditionalFormatting>
  <conditionalFormatting sqref="AI64">
    <cfRule type="expression" dxfId="5557" priority="1211">
      <formula>AND(IF(OR($Q64=1,$Q64=2),1,0),IF($X64&lt;=20,1,0))</formula>
    </cfRule>
    <cfRule type="expression" dxfId="5556" priority="1212">
      <formula>AND(IF($Q64=2,1,0),IF($X64&lt;30,1,0))</formula>
    </cfRule>
    <cfRule type="expression" dxfId="5555" priority="1213">
      <formula>AND(IF($Q64=3,1,0),IF($X64&lt;30,1,0))</formula>
    </cfRule>
    <cfRule type="expression" dxfId="5554" priority="1214">
      <formula>AND(IF($Q64=3,1,IF($Q64=4,1,0)),IF($F64&lt;=85,1,0))</formula>
    </cfRule>
  </conditionalFormatting>
  <conditionalFormatting sqref="AV65">
    <cfRule type="expression" dxfId="5553" priority="1209">
      <formula>AV65="X"</formula>
    </cfRule>
    <cfRule type="expression" dxfId="5552" priority="1210">
      <formula>AV65="후보"</formula>
    </cfRule>
  </conditionalFormatting>
  <conditionalFormatting sqref="AC65">
    <cfRule type="cellIs" dxfId="5551" priority="1206" operator="greaterThan">
      <formula>0.9</formula>
    </cfRule>
    <cfRule type="cellIs" dxfId="5550" priority="1207" operator="greaterThan">
      <formula>0.85</formula>
    </cfRule>
  </conditionalFormatting>
  <conditionalFormatting sqref="N65">
    <cfRule type="cellIs" dxfId="5549" priority="1204" operator="greaterThan">
      <formula>0.9</formula>
    </cfRule>
    <cfRule type="cellIs" dxfId="5548" priority="1205" operator="greaterThan">
      <formula>0.85</formula>
    </cfRule>
  </conditionalFormatting>
  <conditionalFormatting sqref="E65">
    <cfRule type="expression" dxfId="5547" priority="1200">
      <formula>AND(IF(OR($Q65=1,$Q65=2),1,0),IF($X65&lt;=20,1,0))</formula>
    </cfRule>
    <cfRule type="expression" dxfId="5546" priority="1201">
      <formula>AND(IF($Q65=2,1,0),IF($X65&lt;30,1,0))</formula>
    </cfRule>
    <cfRule type="expression" dxfId="5545" priority="1202">
      <formula>AND(IF($Q65=3,1,0),IF($X65&lt;30,1,0))</formula>
    </cfRule>
    <cfRule type="expression" dxfId="5544" priority="1203">
      <formula>AND(IF($Q65=3,1,IF($Q65=4,1,0)),IF($F65&lt;=85,1,0))</formula>
    </cfRule>
  </conditionalFormatting>
  <conditionalFormatting sqref="X65">
    <cfRule type="expression" dxfId="5543" priority="1196">
      <formula>AND(IF(OR($Q65=1,$Q65=2),1,0),IF($X65&lt;=20,1,0))</formula>
    </cfRule>
    <cfRule type="expression" dxfId="5542" priority="1197">
      <formula>AND(IF($Q65=2,1,0),IF($X65&lt;30,1,0))</formula>
    </cfRule>
    <cfRule type="expression" dxfId="5541" priority="1198">
      <formula>AND(IF($Q65=3,1,0),IF($X65&lt;30,1,0))</formula>
    </cfRule>
    <cfRule type="expression" dxfId="5540" priority="1199">
      <formula>AND(IF($Q65=3,1,IF($Q65=4,1,0)),IF($F65&lt;=85,1,0))</formula>
    </cfRule>
  </conditionalFormatting>
  <conditionalFormatting sqref="AI65">
    <cfRule type="expression" dxfId="5539" priority="1192">
      <formula>AND(IF(OR($Q65=1,$Q65=2),1,0),IF($X65&lt;=20,1,0))</formula>
    </cfRule>
    <cfRule type="expression" dxfId="5538" priority="1193">
      <formula>AND(IF($Q65=2,1,0),IF($X65&lt;30,1,0))</formula>
    </cfRule>
    <cfRule type="expression" dxfId="5537" priority="1194">
      <formula>AND(IF($Q65=3,1,0),IF($X65&lt;30,1,0))</formula>
    </cfRule>
    <cfRule type="expression" dxfId="5536" priority="1195">
      <formula>AND(IF($Q65=3,1,IF($Q65=4,1,0)),IF($F65&lt;=85,1,0))</formula>
    </cfRule>
  </conditionalFormatting>
  <conditionalFormatting sqref="AV66">
    <cfRule type="expression" dxfId="5535" priority="1190">
      <formula>AV66="X"</formula>
    </cfRule>
    <cfRule type="expression" dxfId="5534" priority="1191">
      <formula>AV66="후보"</formula>
    </cfRule>
  </conditionalFormatting>
  <conditionalFormatting sqref="AC66 N66">
    <cfRule type="cellIs" dxfId="5533" priority="1187" operator="greaterThan">
      <formula>0.9</formula>
    </cfRule>
    <cfRule type="cellIs" dxfId="5532" priority="1188" operator="greaterThan">
      <formula>0.85</formula>
    </cfRule>
  </conditionalFormatting>
  <conditionalFormatting sqref="AV67">
    <cfRule type="expression" dxfId="5531" priority="1185">
      <formula>AV67="X"</formula>
    </cfRule>
    <cfRule type="expression" dxfId="5530" priority="1186">
      <formula>AV67="후보"</formula>
    </cfRule>
  </conditionalFormatting>
  <conditionalFormatting sqref="AC67">
    <cfRule type="cellIs" dxfId="5529" priority="1182" operator="greaterThan">
      <formula>0.9</formula>
    </cfRule>
    <cfRule type="cellIs" dxfId="5528" priority="1183" operator="greaterThan">
      <formula>0.85</formula>
    </cfRule>
  </conditionalFormatting>
  <conditionalFormatting sqref="N67">
    <cfRule type="cellIs" dxfId="5527" priority="1180" operator="greaterThan">
      <formula>0.9</formula>
    </cfRule>
    <cfRule type="cellIs" dxfId="5526" priority="1181" operator="greaterThan">
      <formula>0.85</formula>
    </cfRule>
  </conditionalFormatting>
  <conditionalFormatting sqref="E67">
    <cfRule type="expression" dxfId="5525" priority="1176">
      <formula>AND(IF(OR($Q67=1,$Q67=2),1,0),IF($X67&lt;=20,1,0))</formula>
    </cfRule>
    <cfRule type="expression" dxfId="5524" priority="1177">
      <formula>AND(IF($Q67=2,1,0),IF($X67&lt;30,1,0))</formula>
    </cfRule>
    <cfRule type="expression" dxfId="5523" priority="1178">
      <formula>AND(IF($Q67=3,1,0),IF($X67&lt;30,1,0))</formula>
    </cfRule>
    <cfRule type="expression" dxfId="5522" priority="1179">
      <formula>AND(IF($Q67=3,1,IF($Q67=4,1,0)),IF($F67&lt;=85,1,0))</formula>
    </cfRule>
  </conditionalFormatting>
  <conditionalFormatting sqref="X67">
    <cfRule type="expression" dxfId="5521" priority="1172">
      <formula>AND(IF(OR($Q67=1,$Q67=2),1,0),IF($X67&lt;=20,1,0))</formula>
    </cfRule>
    <cfRule type="expression" dxfId="5520" priority="1173">
      <formula>AND(IF($Q67=2,1,0),IF($X67&lt;30,1,0))</formula>
    </cfRule>
    <cfRule type="expression" dxfId="5519" priority="1174">
      <formula>AND(IF($Q67=3,1,0),IF($X67&lt;30,1,0))</formula>
    </cfRule>
    <cfRule type="expression" dxfId="5518" priority="1175">
      <formula>AND(IF($Q67=3,1,IF($Q67=4,1,0)),IF($F67&lt;=85,1,0))</formula>
    </cfRule>
  </conditionalFormatting>
  <conditionalFormatting sqref="AI67">
    <cfRule type="expression" dxfId="5517" priority="1168">
      <formula>AND(IF(OR($Q67=1,$Q67=2),1,0),IF($X67&lt;=20,1,0))</formula>
    </cfRule>
    <cfRule type="expression" dxfId="5516" priority="1169">
      <formula>AND(IF($Q67=2,1,0),IF($X67&lt;30,1,0))</formula>
    </cfRule>
    <cfRule type="expression" dxfId="5515" priority="1170">
      <formula>AND(IF($Q67=3,1,0),IF($X67&lt;30,1,0))</formula>
    </cfRule>
    <cfRule type="expression" dxfId="5514" priority="1171">
      <formula>AND(IF($Q67=3,1,IF($Q67=4,1,0)),IF($F67&lt;=85,1,0))</formula>
    </cfRule>
  </conditionalFormatting>
  <conditionalFormatting sqref="AV68">
    <cfRule type="expression" dxfId="5513" priority="1166">
      <formula>AV68="X"</formula>
    </cfRule>
    <cfRule type="expression" dxfId="5512" priority="1167">
      <formula>AV68="후보"</formula>
    </cfRule>
  </conditionalFormatting>
  <conditionalFormatting sqref="AC68 N68">
    <cfRule type="cellIs" dxfId="5511" priority="1163" operator="greaterThan">
      <formula>0.9</formula>
    </cfRule>
    <cfRule type="cellIs" dxfId="5510" priority="1164" operator="greaterThan">
      <formula>0.85</formula>
    </cfRule>
  </conditionalFormatting>
  <conditionalFormatting sqref="AV69">
    <cfRule type="expression" dxfId="5509" priority="1161">
      <formula>AV69="X"</formula>
    </cfRule>
    <cfRule type="expression" dxfId="5508" priority="1162">
      <formula>AV69="후보"</formula>
    </cfRule>
  </conditionalFormatting>
  <conditionalFormatting sqref="AC69">
    <cfRule type="cellIs" dxfId="5507" priority="1158" operator="greaterThan">
      <formula>0.9</formula>
    </cfRule>
    <cfRule type="cellIs" dxfId="5506" priority="1159" operator="greaterThan">
      <formula>0.85</formula>
    </cfRule>
  </conditionalFormatting>
  <conditionalFormatting sqref="N69">
    <cfRule type="cellIs" dxfId="5505" priority="1156" operator="greaterThan">
      <formula>0.9</formula>
    </cfRule>
    <cfRule type="cellIs" dxfId="5504" priority="1157" operator="greaterThan">
      <formula>0.85</formula>
    </cfRule>
  </conditionalFormatting>
  <conditionalFormatting sqref="E69">
    <cfRule type="expression" dxfId="5503" priority="1152">
      <formula>AND(IF(OR($Q69=1,$Q69=2),1,0),IF($X69&lt;=20,1,0))</formula>
    </cfRule>
    <cfRule type="expression" dxfId="5502" priority="1153">
      <formula>AND(IF($Q69=2,1,0),IF($X69&lt;30,1,0))</formula>
    </cfRule>
    <cfRule type="expression" dxfId="5501" priority="1154">
      <formula>AND(IF($Q69=3,1,0),IF($X69&lt;30,1,0))</formula>
    </cfRule>
    <cfRule type="expression" dxfId="5500" priority="1155">
      <formula>AND(IF($Q69=3,1,IF($Q69=4,1,0)),IF($F69&lt;=85,1,0))</formula>
    </cfRule>
  </conditionalFormatting>
  <conditionalFormatting sqref="X69">
    <cfRule type="expression" dxfId="5499" priority="1148">
      <formula>AND(IF(OR($Q69=1,$Q69=2),1,0),IF($X69&lt;=20,1,0))</formula>
    </cfRule>
    <cfRule type="expression" dxfId="5498" priority="1149">
      <formula>AND(IF($Q69=2,1,0),IF($X69&lt;30,1,0))</formula>
    </cfRule>
    <cfRule type="expression" dxfId="5497" priority="1150">
      <formula>AND(IF($Q69=3,1,0),IF($X69&lt;30,1,0))</formula>
    </cfRule>
    <cfRule type="expression" dxfId="5496" priority="1151">
      <formula>AND(IF($Q69=3,1,IF($Q69=4,1,0)),IF($F69&lt;=85,1,0))</formula>
    </cfRule>
  </conditionalFormatting>
  <conditionalFormatting sqref="AI69">
    <cfRule type="expression" dxfId="5495" priority="1144">
      <formula>AND(IF(OR($Q69=1,$Q69=2),1,0),IF($X69&lt;=20,1,0))</formula>
    </cfRule>
    <cfRule type="expression" dxfId="5494" priority="1145">
      <formula>AND(IF($Q69=2,1,0),IF($X69&lt;30,1,0))</formula>
    </cfRule>
    <cfRule type="expression" dxfId="5493" priority="1146">
      <formula>AND(IF($Q69=3,1,0),IF($X69&lt;30,1,0))</formula>
    </cfRule>
    <cfRule type="expression" dxfId="5492" priority="1147">
      <formula>AND(IF($Q69=3,1,IF($Q69=4,1,0)),IF($F69&lt;=85,1,0))</formula>
    </cfRule>
  </conditionalFormatting>
  <conditionalFormatting sqref="AV70">
    <cfRule type="expression" dxfId="5491" priority="1142">
      <formula>AV70="X"</formula>
    </cfRule>
    <cfRule type="expression" dxfId="5490" priority="1143">
      <formula>AV70="후보"</formula>
    </cfRule>
  </conditionalFormatting>
  <conditionalFormatting sqref="AC70">
    <cfRule type="cellIs" dxfId="5489" priority="1139" operator="greaterThan">
      <formula>0.9</formula>
    </cfRule>
    <cfRule type="cellIs" dxfId="5488" priority="1140" operator="greaterThan">
      <formula>0.85</formula>
    </cfRule>
  </conditionalFormatting>
  <conditionalFormatting sqref="N70">
    <cfRule type="cellIs" dxfId="5487" priority="1137" operator="greaterThan">
      <formula>0.9</formula>
    </cfRule>
    <cfRule type="cellIs" dxfId="5486" priority="1138" operator="greaterThan">
      <formula>0.85</formula>
    </cfRule>
  </conditionalFormatting>
  <conditionalFormatting sqref="E70">
    <cfRule type="expression" dxfId="5485" priority="1133">
      <formula>AND(IF(OR($Q70=1,$Q70=2),1,0),IF($X70&lt;=20,1,0))</formula>
    </cfRule>
    <cfRule type="expression" dxfId="5484" priority="1134">
      <formula>AND(IF($Q70=2,1,0),IF($X70&lt;30,1,0))</formula>
    </cfRule>
    <cfRule type="expression" dxfId="5483" priority="1135">
      <formula>AND(IF($Q70=3,1,0),IF($X70&lt;30,1,0))</formula>
    </cfRule>
    <cfRule type="expression" dxfId="5482" priority="1136">
      <formula>AND(IF($Q70=3,1,IF($Q70=4,1,0)),IF($F70&lt;=85,1,0))</formula>
    </cfRule>
  </conditionalFormatting>
  <conditionalFormatting sqref="X70">
    <cfRule type="expression" dxfId="5481" priority="1129">
      <formula>AND(IF(OR($Q70=1,$Q70=2),1,0),IF($X70&lt;=20,1,0))</formula>
    </cfRule>
    <cfRule type="expression" dxfId="5480" priority="1130">
      <formula>AND(IF($Q70=2,1,0),IF($X70&lt;30,1,0))</formula>
    </cfRule>
    <cfRule type="expression" dxfId="5479" priority="1131">
      <formula>AND(IF($Q70=3,1,0),IF($X70&lt;30,1,0))</formula>
    </cfRule>
    <cfRule type="expression" dxfId="5478" priority="1132">
      <formula>AND(IF($Q70=3,1,IF($Q70=4,1,0)),IF($F70&lt;=85,1,0))</formula>
    </cfRule>
  </conditionalFormatting>
  <conditionalFormatting sqref="AI70">
    <cfRule type="expression" dxfId="5477" priority="1125">
      <formula>AND(IF(OR($Q70=1,$Q70=2),1,0),IF($X70&lt;=20,1,0))</formula>
    </cfRule>
    <cfRule type="expression" dxfId="5476" priority="1126">
      <formula>AND(IF($Q70=2,1,0),IF($X70&lt;30,1,0))</formula>
    </cfRule>
    <cfRule type="expression" dxfId="5475" priority="1127">
      <formula>AND(IF($Q70=3,1,0),IF($X70&lt;30,1,0))</formula>
    </cfRule>
    <cfRule type="expression" dxfId="5474" priority="1128">
      <formula>AND(IF($Q70=3,1,IF($Q70=4,1,0)),IF($F70&lt;=85,1,0))</formula>
    </cfRule>
  </conditionalFormatting>
  <conditionalFormatting sqref="AV71">
    <cfRule type="expression" dxfId="5473" priority="1123">
      <formula>AV71="X"</formula>
    </cfRule>
    <cfRule type="expression" dxfId="5472" priority="1124">
      <formula>AV71="후보"</formula>
    </cfRule>
  </conditionalFormatting>
  <conditionalFormatting sqref="AC71">
    <cfRule type="cellIs" dxfId="5471" priority="1120" operator="greaterThan">
      <formula>0.9</formula>
    </cfRule>
    <cfRule type="cellIs" dxfId="5470" priority="1121" operator="greaterThan">
      <formula>0.85</formula>
    </cfRule>
  </conditionalFormatting>
  <conditionalFormatting sqref="N71">
    <cfRule type="cellIs" dxfId="5469" priority="1118" operator="greaterThan">
      <formula>0.9</formula>
    </cfRule>
    <cfRule type="cellIs" dxfId="5468" priority="1119" operator="greaterThan">
      <formula>0.85</formula>
    </cfRule>
  </conditionalFormatting>
  <conditionalFormatting sqref="E71">
    <cfRule type="expression" dxfId="5467" priority="1114">
      <formula>AND(IF(OR($Q71=1,$Q71=2),1,0),IF($X71&lt;=20,1,0))</formula>
    </cfRule>
    <cfRule type="expression" dxfId="5466" priority="1115">
      <formula>AND(IF($Q71=2,1,0),IF($X71&lt;30,1,0))</formula>
    </cfRule>
    <cfRule type="expression" dxfId="5465" priority="1116">
      <formula>AND(IF($Q71=3,1,0),IF($X71&lt;30,1,0))</formula>
    </cfRule>
    <cfRule type="expression" dxfId="5464" priority="1117">
      <formula>AND(IF($Q71=3,1,IF($Q71=4,1,0)),IF($F71&lt;=85,1,0))</formula>
    </cfRule>
  </conditionalFormatting>
  <conditionalFormatting sqref="X71">
    <cfRule type="expression" dxfId="5463" priority="1110">
      <formula>AND(IF(OR($Q71=1,$Q71=2),1,0),IF($X71&lt;=20,1,0))</formula>
    </cfRule>
    <cfRule type="expression" dxfId="5462" priority="1111">
      <formula>AND(IF($Q71=2,1,0),IF($X71&lt;30,1,0))</formula>
    </cfRule>
    <cfRule type="expression" dxfId="5461" priority="1112">
      <formula>AND(IF($Q71=3,1,0),IF($X71&lt;30,1,0))</formula>
    </cfRule>
    <cfRule type="expression" dxfId="5460" priority="1113">
      <formula>AND(IF($Q71=3,1,IF($Q71=4,1,0)),IF($F71&lt;=85,1,0))</formula>
    </cfRule>
  </conditionalFormatting>
  <conditionalFormatting sqref="AI71">
    <cfRule type="expression" dxfId="5459" priority="1106">
      <formula>AND(IF(OR($Q71=1,$Q71=2),1,0),IF($X71&lt;=20,1,0))</formula>
    </cfRule>
    <cfRule type="expression" dxfId="5458" priority="1107">
      <formula>AND(IF($Q71=2,1,0),IF($X71&lt;30,1,0))</formula>
    </cfRule>
    <cfRule type="expression" dxfId="5457" priority="1108">
      <formula>AND(IF($Q71=3,1,0),IF($X71&lt;30,1,0))</formula>
    </cfRule>
    <cfRule type="expression" dxfId="5456" priority="1109">
      <formula>AND(IF($Q71=3,1,IF($Q71=4,1,0)),IF($F71&lt;=85,1,0))</formula>
    </cfRule>
  </conditionalFormatting>
  <conditionalFormatting sqref="AV72">
    <cfRule type="expression" dxfId="5455" priority="1104">
      <formula>AV72="X"</formula>
    </cfRule>
    <cfRule type="expression" dxfId="5454" priority="1105">
      <formula>AV72="후보"</formula>
    </cfRule>
  </conditionalFormatting>
  <conditionalFormatting sqref="AC72">
    <cfRule type="cellIs" dxfId="5453" priority="1101" operator="greaterThan">
      <formula>0.9</formula>
    </cfRule>
    <cfRule type="cellIs" dxfId="5452" priority="1102" operator="greaterThan">
      <formula>0.85</formula>
    </cfRule>
  </conditionalFormatting>
  <conditionalFormatting sqref="N72">
    <cfRule type="cellIs" dxfId="5451" priority="1099" operator="greaterThan">
      <formula>0.9</formula>
    </cfRule>
    <cfRule type="cellIs" dxfId="5450" priority="1100" operator="greaterThan">
      <formula>0.85</formula>
    </cfRule>
  </conditionalFormatting>
  <conditionalFormatting sqref="E72">
    <cfRule type="expression" dxfId="5449" priority="1095">
      <formula>AND(IF(OR($Q72=1,$Q72=2),1,0),IF($X72&lt;=20,1,0))</formula>
    </cfRule>
    <cfRule type="expression" dxfId="5448" priority="1096">
      <formula>AND(IF($Q72=2,1,0),IF($X72&lt;30,1,0))</formula>
    </cfRule>
    <cfRule type="expression" dxfId="5447" priority="1097">
      <formula>AND(IF($Q72=3,1,0),IF($X72&lt;30,1,0))</formula>
    </cfRule>
    <cfRule type="expression" dxfId="5446" priority="1098">
      <formula>AND(IF($Q72=3,1,IF($Q72=4,1,0)),IF($F72&lt;=85,1,0))</formula>
    </cfRule>
  </conditionalFormatting>
  <conditionalFormatting sqref="X72">
    <cfRule type="expression" dxfId="5445" priority="1091">
      <formula>AND(IF(OR($Q72=1,$Q72=2),1,0),IF($X72&lt;=20,1,0))</formula>
    </cfRule>
    <cfRule type="expression" dxfId="5444" priority="1092">
      <formula>AND(IF($Q72=2,1,0),IF($X72&lt;30,1,0))</formula>
    </cfRule>
    <cfRule type="expression" dxfId="5443" priority="1093">
      <formula>AND(IF($Q72=3,1,0),IF($X72&lt;30,1,0))</formula>
    </cfRule>
    <cfRule type="expression" dxfId="5442" priority="1094">
      <formula>AND(IF($Q72=3,1,IF($Q72=4,1,0)),IF($F72&lt;=85,1,0))</formula>
    </cfRule>
  </conditionalFormatting>
  <conditionalFormatting sqref="AI72">
    <cfRule type="expression" dxfId="5441" priority="1087">
      <formula>AND(IF(OR($Q72=1,$Q72=2),1,0),IF($X72&lt;=20,1,0))</formula>
    </cfRule>
    <cfRule type="expression" dxfId="5440" priority="1088">
      <formula>AND(IF($Q72=2,1,0),IF($X72&lt;30,1,0))</formula>
    </cfRule>
    <cfRule type="expression" dxfId="5439" priority="1089">
      <formula>AND(IF($Q72=3,1,0),IF($X72&lt;30,1,0))</formula>
    </cfRule>
    <cfRule type="expression" dxfId="5438" priority="1090">
      <formula>AND(IF($Q72=3,1,IF($Q72=4,1,0)),IF($F72&lt;=85,1,0))</formula>
    </cfRule>
  </conditionalFormatting>
  <conditionalFormatting sqref="AV73">
    <cfRule type="expression" dxfId="5437" priority="1085">
      <formula>AV73="X"</formula>
    </cfRule>
    <cfRule type="expression" dxfId="5436" priority="1086">
      <formula>AV73="후보"</formula>
    </cfRule>
  </conditionalFormatting>
  <conditionalFormatting sqref="AC73">
    <cfRule type="cellIs" dxfId="5435" priority="1082" operator="greaterThan">
      <formula>0.9</formula>
    </cfRule>
    <cfRule type="cellIs" dxfId="5434" priority="1083" operator="greaterThan">
      <formula>0.85</formula>
    </cfRule>
  </conditionalFormatting>
  <conditionalFormatting sqref="N73">
    <cfRule type="cellIs" dxfId="5433" priority="1080" operator="greaterThan">
      <formula>0.9</formula>
    </cfRule>
    <cfRule type="cellIs" dxfId="5432" priority="1081" operator="greaterThan">
      <formula>0.85</formula>
    </cfRule>
  </conditionalFormatting>
  <conditionalFormatting sqref="E73">
    <cfRule type="expression" dxfId="5431" priority="1076">
      <formula>AND(IF(OR($Q73=1,$Q73=2),1,0),IF($X73&lt;=20,1,0))</formula>
    </cfRule>
    <cfRule type="expression" dxfId="5430" priority="1077">
      <formula>AND(IF($Q73=2,1,0),IF($X73&lt;30,1,0))</formula>
    </cfRule>
    <cfRule type="expression" dxfId="5429" priority="1078">
      <formula>AND(IF($Q73=3,1,0),IF($X73&lt;30,1,0))</formula>
    </cfRule>
    <cfRule type="expression" dxfId="5428" priority="1079">
      <formula>AND(IF($Q73=3,1,IF($Q73=4,1,0)),IF($F73&lt;=85,1,0))</formula>
    </cfRule>
  </conditionalFormatting>
  <conditionalFormatting sqref="X73">
    <cfRule type="expression" dxfId="5427" priority="1072">
      <formula>AND(IF(OR($Q73=1,$Q73=2),1,0),IF($X73&lt;=20,1,0))</formula>
    </cfRule>
    <cfRule type="expression" dxfId="5426" priority="1073">
      <formula>AND(IF($Q73=2,1,0),IF($X73&lt;30,1,0))</formula>
    </cfRule>
    <cfRule type="expression" dxfId="5425" priority="1074">
      <formula>AND(IF($Q73=3,1,0),IF($X73&lt;30,1,0))</formula>
    </cfRule>
    <cfRule type="expression" dxfId="5424" priority="1075">
      <formula>AND(IF($Q73=3,1,IF($Q73=4,1,0)),IF($F73&lt;=85,1,0))</formula>
    </cfRule>
  </conditionalFormatting>
  <conditionalFormatting sqref="AI73">
    <cfRule type="expression" dxfId="5423" priority="1068">
      <formula>AND(IF(OR($Q73=1,$Q73=2),1,0),IF($X73&lt;=20,1,0))</formula>
    </cfRule>
    <cfRule type="expression" dxfId="5422" priority="1069">
      <formula>AND(IF($Q73=2,1,0),IF($X73&lt;30,1,0))</formula>
    </cfRule>
    <cfRule type="expression" dxfId="5421" priority="1070">
      <formula>AND(IF($Q73=3,1,0),IF($X73&lt;30,1,0))</formula>
    </cfRule>
    <cfRule type="expression" dxfId="5420" priority="1071">
      <formula>AND(IF($Q73=3,1,IF($Q73=4,1,0)),IF($F73&lt;=85,1,0))</formula>
    </cfRule>
  </conditionalFormatting>
  <conditionalFormatting sqref="AV74">
    <cfRule type="expression" dxfId="5419" priority="1066">
      <formula>AV74="X"</formula>
    </cfRule>
    <cfRule type="expression" dxfId="5418" priority="1067">
      <formula>AV74="후보"</formula>
    </cfRule>
  </conditionalFormatting>
  <conditionalFormatting sqref="AC74">
    <cfRule type="cellIs" dxfId="5417" priority="1063" operator="greaterThan">
      <formula>0.9</formula>
    </cfRule>
    <cfRule type="cellIs" dxfId="5416" priority="1064" operator="greaterThan">
      <formula>0.85</formula>
    </cfRule>
  </conditionalFormatting>
  <conditionalFormatting sqref="N74">
    <cfRule type="cellIs" dxfId="5415" priority="1061" operator="greaterThan">
      <formula>0.9</formula>
    </cfRule>
    <cfRule type="cellIs" dxfId="5414" priority="1062" operator="greaterThan">
      <formula>0.85</formula>
    </cfRule>
  </conditionalFormatting>
  <conditionalFormatting sqref="E74">
    <cfRule type="expression" dxfId="5413" priority="1057">
      <formula>AND(IF(OR($Q74=1,$Q74=2),1,0),IF($X74&lt;=20,1,0))</formula>
    </cfRule>
    <cfRule type="expression" dxfId="5412" priority="1058">
      <formula>AND(IF($Q74=2,1,0),IF($X74&lt;30,1,0))</formula>
    </cfRule>
    <cfRule type="expression" dxfId="5411" priority="1059">
      <formula>AND(IF($Q74=3,1,0),IF($X74&lt;30,1,0))</formula>
    </cfRule>
    <cfRule type="expression" dxfId="5410" priority="1060">
      <formula>AND(IF($Q74=3,1,IF($Q74=4,1,0)),IF($F74&lt;=85,1,0))</formula>
    </cfRule>
  </conditionalFormatting>
  <conditionalFormatting sqref="X74">
    <cfRule type="expression" dxfId="5409" priority="1053">
      <formula>AND(IF(OR($Q74=1,$Q74=2),1,0),IF($X74&lt;=20,1,0))</formula>
    </cfRule>
    <cfRule type="expression" dxfId="5408" priority="1054">
      <formula>AND(IF($Q74=2,1,0),IF($X74&lt;30,1,0))</formula>
    </cfRule>
    <cfRule type="expression" dxfId="5407" priority="1055">
      <formula>AND(IF($Q74=3,1,0),IF($X74&lt;30,1,0))</formula>
    </cfRule>
    <cfRule type="expression" dxfId="5406" priority="1056">
      <formula>AND(IF($Q74=3,1,IF($Q74=4,1,0)),IF($F74&lt;=85,1,0))</formula>
    </cfRule>
  </conditionalFormatting>
  <conditionalFormatting sqref="AI74">
    <cfRule type="expression" dxfId="5405" priority="1049">
      <formula>AND(IF(OR($Q74=1,$Q74=2),1,0),IF($X74&lt;=20,1,0))</formula>
    </cfRule>
    <cfRule type="expression" dxfId="5404" priority="1050">
      <formula>AND(IF($Q74=2,1,0),IF($X74&lt;30,1,0))</formula>
    </cfRule>
    <cfRule type="expression" dxfId="5403" priority="1051">
      <formula>AND(IF($Q74=3,1,0),IF($X74&lt;30,1,0))</formula>
    </cfRule>
    <cfRule type="expression" dxfId="5402" priority="1052">
      <formula>AND(IF($Q74=3,1,IF($Q74=4,1,0)),IF($F74&lt;=85,1,0))</formula>
    </cfRule>
  </conditionalFormatting>
  <conditionalFormatting sqref="AV75">
    <cfRule type="expression" dxfId="5401" priority="1047">
      <formula>AV75="X"</formula>
    </cfRule>
    <cfRule type="expression" dxfId="5400" priority="1048">
      <formula>AV75="후보"</formula>
    </cfRule>
  </conditionalFormatting>
  <conditionalFormatting sqref="AC75">
    <cfRule type="cellIs" dxfId="5399" priority="1044" operator="greaterThan">
      <formula>0.9</formula>
    </cfRule>
    <cfRule type="cellIs" dxfId="5398" priority="1045" operator="greaterThan">
      <formula>0.85</formula>
    </cfRule>
  </conditionalFormatting>
  <conditionalFormatting sqref="N75">
    <cfRule type="cellIs" dxfId="5397" priority="1042" operator="greaterThan">
      <formula>0.9</formula>
    </cfRule>
    <cfRule type="cellIs" dxfId="5396" priority="1043" operator="greaterThan">
      <formula>0.85</formula>
    </cfRule>
  </conditionalFormatting>
  <conditionalFormatting sqref="E75">
    <cfRule type="expression" dxfId="5395" priority="1038">
      <formula>AND(IF(OR($Q75=1,$Q75=2),1,0),IF($X75&lt;=20,1,0))</formula>
    </cfRule>
    <cfRule type="expression" dxfId="5394" priority="1039">
      <formula>AND(IF($Q75=2,1,0),IF($X75&lt;30,1,0))</formula>
    </cfRule>
    <cfRule type="expression" dxfId="5393" priority="1040">
      <formula>AND(IF($Q75=3,1,0),IF($X75&lt;30,1,0))</formula>
    </cfRule>
    <cfRule type="expression" dxfId="5392" priority="1041">
      <formula>AND(IF($Q75=3,1,IF($Q75=4,1,0)),IF($F75&lt;=85,1,0))</formula>
    </cfRule>
  </conditionalFormatting>
  <conditionalFormatting sqref="X75">
    <cfRule type="expression" dxfId="5391" priority="1034">
      <formula>AND(IF(OR($Q75=1,$Q75=2),1,0),IF($X75&lt;=20,1,0))</formula>
    </cfRule>
    <cfRule type="expression" dxfId="5390" priority="1035">
      <formula>AND(IF($Q75=2,1,0),IF($X75&lt;30,1,0))</formula>
    </cfRule>
    <cfRule type="expression" dxfId="5389" priority="1036">
      <formula>AND(IF($Q75=3,1,0),IF($X75&lt;30,1,0))</formula>
    </cfRule>
    <cfRule type="expression" dxfId="5388" priority="1037">
      <formula>AND(IF($Q75=3,1,IF($Q75=4,1,0)),IF($F75&lt;=85,1,0))</formula>
    </cfRule>
  </conditionalFormatting>
  <conditionalFormatting sqref="AI75">
    <cfRule type="expression" dxfId="5387" priority="1030">
      <formula>AND(IF(OR($Q75=1,$Q75=2),1,0),IF($X75&lt;=20,1,0))</formula>
    </cfRule>
    <cfRule type="expression" dxfId="5386" priority="1031">
      <formula>AND(IF($Q75=2,1,0),IF($X75&lt;30,1,0))</formula>
    </cfRule>
    <cfRule type="expression" dxfId="5385" priority="1032">
      <formula>AND(IF($Q75=3,1,0),IF($X75&lt;30,1,0))</formula>
    </cfRule>
    <cfRule type="expression" dxfId="5384" priority="1033">
      <formula>AND(IF($Q75=3,1,IF($Q75=4,1,0)),IF($F75&lt;=85,1,0))</formula>
    </cfRule>
  </conditionalFormatting>
  <conditionalFormatting sqref="AV76">
    <cfRule type="expression" dxfId="5383" priority="1028">
      <formula>AV76="X"</formula>
    </cfRule>
    <cfRule type="expression" dxfId="5382" priority="1029">
      <formula>AV76="후보"</formula>
    </cfRule>
  </conditionalFormatting>
  <conditionalFormatting sqref="AC76">
    <cfRule type="cellIs" dxfId="5381" priority="1025" operator="greaterThan">
      <formula>0.9</formula>
    </cfRule>
    <cfRule type="cellIs" dxfId="5380" priority="1026" operator="greaterThan">
      <formula>0.85</formula>
    </cfRule>
  </conditionalFormatting>
  <conditionalFormatting sqref="N76">
    <cfRule type="cellIs" dxfId="5379" priority="1023" operator="greaterThan">
      <formula>0.9</formula>
    </cfRule>
    <cfRule type="cellIs" dxfId="5378" priority="1024" operator="greaterThan">
      <formula>0.85</formula>
    </cfRule>
  </conditionalFormatting>
  <conditionalFormatting sqref="E76">
    <cfRule type="expression" dxfId="5377" priority="1019">
      <formula>AND(IF(OR($Q76=1,$Q76=2),1,0),IF($X76&lt;=20,1,0))</formula>
    </cfRule>
    <cfRule type="expression" dxfId="5376" priority="1020">
      <formula>AND(IF($Q76=2,1,0),IF($X76&lt;30,1,0))</formula>
    </cfRule>
    <cfRule type="expression" dxfId="5375" priority="1021">
      <formula>AND(IF($Q76=3,1,0),IF($X76&lt;30,1,0))</formula>
    </cfRule>
    <cfRule type="expression" dxfId="5374" priority="1022">
      <formula>AND(IF($Q76=3,1,IF($Q76=4,1,0)),IF($F76&lt;=85,1,0))</formula>
    </cfRule>
  </conditionalFormatting>
  <conditionalFormatting sqref="X76">
    <cfRule type="expression" dxfId="5373" priority="1015">
      <formula>AND(IF(OR($Q76=1,$Q76=2),1,0),IF($X76&lt;=20,1,0))</formula>
    </cfRule>
    <cfRule type="expression" dxfId="5372" priority="1016">
      <formula>AND(IF($Q76=2,1,0),IF($X76&lt;30,1,0))</formula>
    </cfRule>
    <cfRule type="expression" dxfId="5371" priority="1017">
      <formula>AND(IF($Q76=3,1,0),IF($X76&lt;30,1,0))</formula>
    </cfRule>
    <cfRule type="expression" dxfId="5370" priority="1018">
      <formula>AND(IF($Q76=3,1,IF($Q76=4,1,0)),IF($F76&lt;=85,1,0))</formula>
    </cfRule>
  </conditionalFormatting>
  <conditionalFormatting sqref="AI76">
    <cfRule type="expression" dxfId="5369" priority="1011">
      <formula>AND(IF(OR($Q76=1,$Q76=2),1,0),IF($X76&lt;=20,1,0))</formula>
    </cfRule>
    <cfRule type="expression" dxfId="5368" priority="1012">
      <formula>AND(IF($Q76=2,1,0),IF($X76&lt;30,1,0))</formula>
    </cfRule>
    <cfRule type="expression" dxfId="5367" priority="1013">
      <formula>AND(IF($Q76=3,1,0),IF($X76&lt;30,1,0))</formula>
    </cfRule>
    <cfRule type="expression" dxfId="5366" priority="1014">
      <formula>AND(IF($Q76=3,1,IF($Q76=4,1,0)),IF($F76&lt;=85,1,0))</formula>
    </cfRule>
  </conditionalFormatting>
  <conditionalFormatting sqref="AV77">
    <cfRule type="expression" dxfId="5365" priority="1009">
      <formula>AV77="X"</formula>
    </cfRule>
    <cfRule type="expression" dxfId="5364" priority="1010">
      <formula>AV77="후보"</formula>
    </cfRule>
  </conditionalFormatting>
  <conditionalFormatting sqref="AC77">
    <cfRule type="cellIs" dxfId="5363" priority="1006" operator="greaterThan">
      <formula>0.9</formula>
    </cfRule>
    <cfRule type="cellIs" dxfId="5362" priority="1007" operator="greaterThan">
      <formula>0.85</formula>
    </cfRule>
  </conditionalFormatting>
  <conditionalFormatting sqref="N77">
    <cfRule type="cellIs" dxfId="5361" priority="1004" operator="greaterThan">
      <formula>0.9</formula>
    </cfRule>
    <cfRule type="cellIs" dxfId="5360" priority="1005" operator="greaterThan">
      <formula>0.85</formula>
    </cfRule>
  </conditionalFormatting>
  <conditionalFormatting sqref="E77">
    <cfRule type="expression" dxfId="5359" priority="1000">
      <formula>AND(IF(OR($Q77=1,$Q77=2),1,0),IF($X77&lt;=20,1,0))</formula>
    </cfRule>
    <cfRule type="expression" dxfId="5358" priority="1001">
      <formula>AND(IF($Q77=2,1,0),IF($X77&lt;30,1,0))</formula>
    </cfRule>
    <cfRule type="expression" dxfId="5357" priority="1002">
      <formula>AND(IF($Q77=3,1,0),IF($X77&lt;30,1,0))</formula>
    </cfRule>
    <cfRule type="expression" dxfId="5356" priority="1003">
      <formula>AND(IF($Q77=3,1,IF($Q77=4,1,0)),IF($F77&lt;=85,1,0))</formula>
    </cfRule>
  </conditionalFormatting>
  <conditionalFormatting sqref="X77">
    <cfRule type="expression" dxfId="5355" priority="996">
      <formula>AND(IF(OR($Q77=1,$Q77=2),1,0),IF($X77&lt;=20,1,0))</formula>
    </cfRule>
    <cfRule type="expression" dxfId="5354" priority="997">
      <formula>AND(IF($Q77=2,1,0),IF($X77&lt;30,1,0))</formula>
    </cfRule>
    <cfRule type="expression" dxfId="5353" priority="998">
      <formula>AND(IF($Q77=3,1,0),IF($X77&lt;30,1,0))</formula>
    </cfRule>
    <cfRule type="expression" dxfId="5352" priority="999">
      <formula>AND(IF($Q77=3,1,IF($Q77=4,1,0)),IF($F77&lt;=85,1,0))</formula>
    </cfRule>
  </conditionalFormatting>
  <conditionalFormatting sqref="AI77">
    <cfRule type="expression" dxfId="5351" priority="992">
      <formula>AND(IF(OR($Q77=1,$Q77=2),1,0),IF($X77&lt;=20,1,0))</formula>
    </cfRule>
    <cfRule type="expression" dxfId="5350" priority="993">
      <formula>AND(IF($Q77=2,1,0),IF($X77&lt;30,1,0))</formula>
    </cfRule>
    <cfRule type="expression" dxfId="5349" priority="994">
      <formula>AND(IF($Q77=3,1,0),IF($X77&lt;30,1,0))</formula>
    </cfRule>
    <cfRule type="expression" dxfId="5348" priority="995">
      <formula>AND(IF($Q77=3,1,IF($Q77=4,1,0)),IF($F77&lt;=85,1,0))</formula>
    </cfRule>
  </conditionalFormatting>
  <conditionalFormatting sqref="AV78">
    <cfRule type="expression" dxfId="5347" priority="990">
      <formula>AV78="X"</formula>
    </cfRule>
    <cfRule type="expression" dxfId="5346" priority="991">
      <formula>AV78="후보"</formula>
    </cfRule>
  </conditionalFormatting>
  <conditionalFormatting sqref="AC78 N78">
    <cfRule type="cellIs" dxfId="5345" priority="987" operator="greaterThan">
      <formula>0.9</formula>
    </cfRule>
    <cfRule type="cellIs" dxfId="5344" priority="988" operator="greaterThan">
      <formula>0.85</formula>
    </cfRule>
  </conditionalFormatting>
  <conditionalFormatting sqref="AV79">
    <cfRule type="expression" dxfId="5343" priority="985">
      <formula>AV79="X"</formula>
    </cfRule>
    <cfRule type="expression" dxfId="5342" priority="986">
      <formula>AV79="후보"</formula>
    </cfRule>
  </conditionalFormatting>
  <conditionalFormatting sqref="AC79">
    <cfRule type="cellIs" dxfId="5341" priority="982" operator="greaterThan">
      <formula>0.9</formula>
    </cfRule>
    <cfRule type="cellIs" dxfId="5340" priority="983" operator="greaterThan">
      <formula>0.85</formula>
    </cfRule>
  </conditionalFormatting>
  <conditionalFormatting sqref="N79">
    <cfRule type="cellIs" dxfId="5339" priority="980" operator="greaterThan">
      <formula>0.9</formula>
    </cfRule>
    <cfRule type="cellIs" dxfId="5338" priority="981" operator="greaterThan">
      <formula>0.85</formula>
    </cfRule>
  </conditionalFormatting>
  <conditionalFormatting sqref="E79">
    <cfRule type="expression" dxfId="5337" priority="976">
      <formula>AND(IF(OR($Q79=1,$Q79=2),1,0),IF($X79&lt;=20,1,0))</formula>
    </cfRule>
    <cfRule type="expression" dxfId="5336" priority="977">
      <formula>AND(IF($Q79=2,1,0),IF($X79&lt;30,1,0))</formula>
    </cfRule>
    <cfRule type="expression" dxfId="5335" priority="978">
      <formula>AND(IF($Q79=3,1,0),IF($X79&lt;30,1,0))</formula>
    </cfRule>
    <cfRule type="expression" dxfId="5334" priority="979">
      <formula>AND(IF($Q79=3,1,IF($Q79=4,1,0)),IF($F79&lt;=85,1,0))</formula>
    </cfRule>
  </conditionalFormatting>
  <conditionalFormatting sqref="X79">
    <cfRule type="expression" dxfId="5333" priority="972">
      <formula>AND(IF(OR($Q79=1,$Q79=2),1,0),IF($X79&lt;=20,1,0))</formula>
    </cfRule>
    <cfRule type="expression" dxfId="5332" priority="973">
      <formula>AND(IF($Q79=2,1,0),IF($X79&lt;30,1,0))</formula>
    </cfRule>
    <cfRule type="expression" dxfId="5331" priority="974">
      <formula>AND(IF($Q79=3,1,0),IF($X79&lt;30,1,0))</formula>
    </cfRule>
    <cfRule type="expression" dxfId="5330" priority="975">
      <formula>AND(IF($Q79=3,1,IF($Q79=4,1,0)),IF($F79&lt;=85,1,0))</formula>
    </cfRule>
  </conditionalFormatting>
  <conditionalFormatting sqref="AI79">
    <cfRule type="expression" dxfId="5329" priority="968">
      <formula>AND(IF(OR($Q79=1,$Q79=2),1,0),IF($X79&lt;=20,1,0))</formula>
    </cfRule>
    <cfRule type="expression" dxfId="5328" priority="969">
      <formula>AND(IF($Q79=2,1,0),IF($X79&lt;30,1,0))</formula>
    </cfRule>
    <cfRule type="expression" dxfId="5327" priority="970">
      <formula>AND(IF($Q79=3,1,0),IF($X79&lt;30,1,0))</formula>
    </cfRule>
    <cfRule type="expression" dxfId="5326" priority="971">
      <formula>AND(IF($Q79=3,1,IF($Q79=4,1,0)),IF($F79&lt;=85,1,0))</formula>
    </cfRule>
  </conditionalFormatting>
  <conditionalFormatting sqref="AV80">
    <cfRule type="expression" dxfId="5325" priority="966">
      <formula>AV80="X"</formula>
    </cfRule>
    <cfRule type="expression" dxfId="5324" priority="967">
      <formula>AV80="후보"</formula>
    </cfRule>
  </conditionalFormatting>
  <conditionalFormatting sqref="AC80">
    <cfRule type="cellIs" dxfId="5323" priority="963" operator="greaterThan">
      <formula>0.9</formula>
    </cfRule>
    <cfRule type="cellIs" dxfId="5322" priority="964" operator="greaterThan">
      <formula>0.85</formula>
    </cfRule>
  </conditionalFormatting>
  <conditionalFormatting sqref="N80">
    <cfRule type="cellIs" dxfId="5321" priority="961" operator="greaterThan">
      <formula>0.9</formula>
    </cfRule>
    <cfRule type="cellIs" dxfId="5320" priority="962" operator="greaterThan">
      <formula>0.85</formula>
    </cfRule>
  </conditionalFormatting>
  <conditionalFormatting sqref="E80">
    <cfRule type="expression" dxfId="5319" priority="957">
      <formula>AND(IF(OR($Q80=1,$Q80=2),1,0),IF($X80&lt;=20,1,0))</formula>
    </cfRule>
    <cfRule type="expression" dxfId="5318" priority="958">
      <formula>AND(IF($Q80=2,1,0),IF($X80&lt;30,1,0))</formula>
    </cfRule>
    <cfRule type="expression" dxfId="5317" priority="959">
      <formula>AND(IF($Q80=3,1,0),IF($X80&lt;30,1,0))</formula>
    </cfRule>
    <cfRule type="expression" dxfId="5316" priority="960">
      <formula>AND(IF($Q80=3,1,IF($Q80=4,1,0)),IF($F80&lt;=85,1,0))</formula>
    </cfRule>
  </conditionalFormatting>
  <conditionalFormatting sqref="X80">
    <cfRule type="expression" dxfId="5315" priority="953">
      <formula>AND(IF(OR($Q80=1,$Q80=2),1,0),IF($X80&lt;=20,1,0))</formula>
    </cfRule>
    <cfRule type="expression" dxfId="5314" priority="954">
      <formula>AND(IF($Q80=2,1,0),IF($X80&lt;30,1,0))</formula>
    </cfRule>
    <cfRule type="expression" dxfId="5313" priority="955">
      <formula>AND(IF($Q80=3,1,0),IF($X80&lt;30,1,0))</formula>
    </cfRule>
    <cfRule type="expression" dxfId="5312" priority="956">
      <formula>AND(IF($Q80=3,1,IF($Q80=4,1,0)),IF($F80&lt;=85,1,0))</formula>
    </cfRule>
  </conditionalFormatting>
  <conditionalFormatting sqref="AI80">
    <cfRule type="expression" dxfId="5311" priority="949">
      <formula>AND(IF(OR($Q80=1,$Q80=2),1,0),IF($X80&lt;=20,1,0))</formula>
    </cfRule>
    <cfRule type="expression" dxfId="5310" priority="950">
      <formula>AND(IF($Q80=2,1,0),IF($X80&lt;30,1,0))</formula>
    </cfRule>
    <cfRule type="expression" dxfId="5309" priority="951">
      <formula>AND(IF($Q80=3,1,0),IF($X80&lt;30,1,0))</formula>
    </cfRule>
    <cfRule type="expression" dxfId="5308" priority="952">
      <formula>AND(IF($Q80=3,1,IF($Q80=4,1,0)),IF($F80&lt;=85,1,0))</formula>
    </cfRule>
  </conditionalFormatting>
  <conditionalFormatting sqref="AV81">
    <cfRule type="expression" dxfId="5307" priority="947">
      <formula>AV81="X"</formula>
    </cfRule>
    <cfRule type="expression" dxfId="5306" priority="948">
      <formula>AV81="후보"</formula>
    </cfRule>
  </conditionalFormatting>
  <conditionalFormatting sqref="AC81 N81">
    <cfRule type="cellIs" dxfId="5305" priority="944" operator="greaterThan">
      <formula>0.9</formula>
    </cfRule>
    <cfRule type="cellIs" dxfId="5304" priority="945" operator="greaterThan">
      <formula>0.85</formula>
    </cfRule>
  </conditionalFormatting>
  <conditionalFormatting sqref="AV82">
    <cfRule type="expression" dxfId="5303" priority="942">
      <formula>AV82="X"</formula>
    </cfRule>
    <cfRule type="expression" dxfId="5302" priority="943">
      <formula>AV82="후보"</formula>
    </cfRule>
  </conditionalFormatting>
  <conditionalFormatting sqref="AC82">
    <cfRule type="cellIs" dxfId="5301" priority="939" operator="greaterThan">
      <formula>0.9</formula>
    </cfRule>
    <cfRule type="cellIs" dxfId="5300" priority="940" operator="greaterThan">
      <formula>0.85</formula>
    </cfRule>
  </conditionalFormatting>
  <conditionalFormatting sqref="N82">
    <cfRule type="cellIs" dxfId="5299" priority="937" operator="greaterThan">
      <formula>0.9</formula>
    </cfRule>
    <cfRule type="cellIs" dxfId="5298" priority="938" operator="greaterThan">
      <formula>0.85</formula>
    </cfRule>
  </conditionalFormatting>
  <conditionalFormatting sqref="E82">
    <cfRule type="expression" dxfId="5297" priority="933">
      <formula>AND(IF(OR($Q82=1,$Q82=2),1,0),IF($X82&lt;=20,1,0))</formula>
    </cfRule>
    <cfRule type="expression" dxfId="5296" priority="934">
      <formula>AND(IF($Q82=2,1,0),IF($X82&lt;30,1,0))</formula>
    </cfRule>
    <cfRule type="expression" dxfId="5295" priority="935">
      <formula>AND(IF($Q82=3,1,0),IF($X82&lt;30,1,0))</formula>
    </cfRule>
    <cfRule type="expression" dxfId="5294" priority="936">
      <formula>AND(IF($Q82=3,1,IF($Q82=4,1,0)),IF($F82&lt;=85,1,0))</formula>
    </cfRule>
  </conditionalFormatting>
  <conditionalFormatting sqref="X82">
    <cfRule type="expression" dxfId="5293" priority="929">
      <formula>AND(IF(OR($Q82=1,$Q82=2),1,0),IF($X82&lt;=20,1,0))</formula>
    </cfRule>
    <cfRule type="expression" dxfId="5292" priority="930">
      <formula>AND(IF($Q82=2,1,0),IF($X82&lt;30,1,0))</formula>
    </cfRule>
    <cfRule type="expression" dxfId="5291" priority="931">
      <formula>AND(IF($Q82=3,1,0),IF($X82&lt;30,1,0))</formula>
    </cfRule>
    <cfRule type="expression" dxfId="5290" priority="932">
      <formula>AND(IF($Q82=3,1,IF($Q82=4,1,0)),IF($F82&lt;=85,1,0))</formula>
    </cfRule>
  </conditionalFormatting>
  <conditionalFormatting sqref="AI82">
    <cfRule type="expression" dxfId="5289" priority="925">
      <formula>AND(IF(OR($Q82=1,$Q82=2),1,0),IF($X82&lt;=20,1,0))</formula>
    </cfRule>
    <cfRule type="expression" dxfId="5288" priority="926">
      <formula>AND(IF($Q82=2,1,0),IF($X82&lt;30,1,0))</formula>
    </cfRule>
    <cfRule type="expression" dxfId="5287" priority="927">
      <formula>AND(IF($Q82=3,1,0),IF($X82&lt;30,1,0))</formula>
    </cfRule>
    <cfRule type="expression" dxfId="5286" priority="928">
      <formula>AND(IF($Q82=3,1,IF($Q82=4,1,0)),IF($F82&lt;=85,1,0))</formula>
    </cfRule>
  </conditionalFormatting>
  <conditionalFormatting sqref="AV83">
    <cfRule type="expression" dxfId="5285" priority="923">
      <formula>AV83="X"</formula>
    </cfRule>
    <cfRule type="expression" dxfId="5284" priority="924">
      <formula>AV83="후보"</formula>
    </cfRule>
  </conditionalFormatting>
  <conditionalFormatting sqref="AC83">
    <cfRule type="cellIs" dxfId="5283" priority="920" operator="greaterThan">
      <formula>0.9</formula>
    </cfRule>
    <cfRule type="cellIs" dxfId="5282" priority="921" operator="greaterThan">
      <formula>0.85</formula>
    </cfRule>
  </conditionalFormatting>
  <conditionalFormatting sqref="N83">
    <cfRule type="cellIs" dxfId="5281" priority="918" operator="greaterThan">
      <formula>0.9</formula>
    </cfRule>
    <cfRule type="cellIs" dxfId="5280" priority="919" operator="greaterThan">
      <formula>0.85</formula>
    </cfRule>
  </conditionalFormatting>
  <conditionalFormatting sqref="E83">
    <cfRule type="expression" dxfId="5279" priority="914">
      <formula>AND(IF(OR($Q83=1,$Q83=2),1,0),IF($X83&lt;=20,1,0))</formula>
    </cfRule>
    <cfRule type="expression" dxfId="5278" priority="915">
      <formula>AND(IF($Q83=2,1,0),IF($X83&lt;30,1,0))</formula>
    </cfRule>
    <cfRule type="expression" dxfId="5277" priority="916">
      <formula>AND(IF($Q83=3,1,0),IF($X83&lt;30,1,0))</formula>
    </cfRule>
    <cfRule type="expression" dxfId="5276" priority="917">
      <formula>AND(IF($Q83=3,1,IF($Q83=4,1,0)),IF($F83&lt;=85,1,0))</formula>
    </cfRule>
  </conditionalFormatting>
  <conditionalFormatting sqref="X83">
    <cfRule type="expression" dxfId="5275" priority="910">
      <formula>AND(IF(OR($Q83=1,$Q83=2),1,0),IF($X83&lt;=20,1,0))</formula>
    </cfRule>
    <cfRule type="expression" dxfId="5274" priority="911">
      <formula>AND(IF($Q83=2,1,0),IF($X83&lt;30,1,0))</formula>
    </cfRule>
    <cfRule type="expression" dxfId="5273" priority="912">
      <formula>AND(IF($Q83=3,1,0),IF($X83&lt;30,1,0))</formula>
    </cfRule>
    <cfRule type="expression" dxfId="5272" priority="913">
      <formula>AND(IF($Q83=3,1,IF($Q83=4,1,0)),IF($F83&lt;=85,1,0))</formula>
    </cfRule>
  </conditionalFormatting>
  <conditionalFormatting sqref="AI83">
    <cfRule type="expression" dxfId="5271" priority="906">
      <formula>AND(IF(OR($Q83=1,$Q83=2),1,0),IF($X83&lt;=20,1,0))</formula>
    </cfRule>
    <cfRule type="expression" dxfId="5270" priority="907">
      <formula>AND(IF($Q83=2,1,0),IF($X83&lt;30,1,0))</formula>
    </cfRule>
    <cfRule type="expression" dxfId="5269" priority="908">
      <formula>AND(IF($Q83=3,1,0),IF($X83&lt;30,1,0))</formula>
    </cfRule>
    <cfRule type="expression" dxfId="5268" priority="909">
      <formula>AND(IF($Q83=3,1,IF($Q83=4,1,0)),IF($F83&lt;=85,1,0))</formula>
    </cfRule>
  </conditionalFormatting>
  <conditionalFormatting sqref="AV84">
    <cfRule type="expression" dxfId="5267" priority="904">
      <formula>AV84="X"</formula>
    </cfRule>
    <cfRule type="expression" dxfId="5266" priority="905">
      <formula>AV84="후보"</formula>
    </cfRule>
  </conditionalFormatting>
  <conditionalFormatting sqref="AC84">
    <cfRule type="cellIs" dxfId="5265" priority="901" operator="greaterThan">
      <formula>0.9</formula>
    </cfRule>
    <cfRule type="cellIs" dxfId="5264" priority="902" operator="greaterThan">
      <formula>0.85</formula>
    </cfRule>
  </conditionalFormatting>
  <conditionalFormatting sqref="N84">
    <cfRule type="cellIs" dxfId="5263" priority="899" operator="greaterThan">
      <formula>0.9</formula>
    </cfRule>
    <cfRule type="cellIs" dxfId="5262" priority="900" operator="greaterThan">
      <formula>0.85</formula>
    </cfRule>
  </conditionalFormatting>
  <conditionalFormatting sqref="E84">
    <cfRule type="expression" dxfId="5261" priority="895">
      <formula>AND(IF(OR($Q84=1,$Q84=2),1,0),IF($X84&lt;=20,1,0))</formula>
    </cfRule>
    <cfRule type="expression" dxfId="5260" priority="896">
      <formula>AND(IF($Q84=2,1,0),IF($X84&lt;30,1,0))</formula>
    </cfRule>
    <cfRule type="expression" dxfId="5259" priority="897">
      <formula>AND(IF($Q84=3,1,0),IF($X84&lt;30,1,0))</formula>
    </cfRule>
    <cfRule type="expression" dxfId="5258" priority="898">
      <formula>AND(IF($Q84=3,1,IF($Q84=4,1,0)),IF($F84&lt;=85,1,0))</formula>
    </cfRule>
  </conditionalFormatting>
  <conditionalFormatting sqref="X84">
    <cfRule type="expression" dxfId="5257" priority="891">
      <formula>AND(IF(OR($Q84=1,$Q84=2),1,0),IF($X84&lt;=20,1,0))</formula>
    </cfRule>
    <cfRule type="expression" dxfId="5256" priority="892">
      <formula>AND(IF($Q84=2,1,0),IF($X84&lt;30,1,0))</formula>
    </cfRule>
    <cfRule type="expression" dxfId="5255" priority="893">
      <formula>AND(IF($Q84=3,1,0),IF($X84&lt;30,1,0))</formula>
    </cfRule>
    <cfRule type="expression" dxfId="5254" priority="894">
      <formula>AND(IF($Q84=3,1,IF($Q84=4,1,0)),IF($F84&lt;=85,1,0))</formula>
    </cfRule>
  </conditionalFormatting>
  <conditionalFormatting sqref="AI84">
    <cfRule type="expression" dxfId="5253" priority="887">
      <formula>AND(IF(OR($Q84=1,$Q84=2),1,0),IF($X84&lt;=20,1,0))</formula>
    </cfRule>
    <cfRule type="expression" dxfId="5252" priority="888">
      <formula>AND(IF($Q84=2,1,0),IF($X84&lt;30,1,0))</formula>
    </cfRule>
    <cfRule type="expression" dxfId="5251" priority="889">
      <formula>AND(IF($Q84=3,1,0),IF($X84&lt;30,1,0))</formula>
    </cfRule>
    <cfRule type="expression" dxfId="5250" priority="890">
      <formula>AND(IF($Q84=3,1,IF($Q84=4,1,0)),IF($F84&lt;=85,1,0))</formula>
    </cfRule>
  </conditionalFormatting>
  <conditionalFormatting sqref="AV85">
    <cfRule type="expression" dxfId="5249" priority="885">
      <formula>AV85="X"</formula>
    </cfRule>
    <cfRule type="expression" dxfId="5248" priority="886">
      <formula>AV85="후보"</formula>
    </cfRule>
  </conditionalFormatting>
  <conditionalFormatting sqref="AC85">
    <cfRule type="cellIs" dxfId="5247" priority="882" operator="greaterThan">
      <formula>0.9</formula>
    </cfRule>
    <cfRule type="cellIs" dxfId="5246" priority="883" operator="greaterThan">
      <formula>0.85</formula>
    </cfRule>
  </conditionalFormatting>
  <conditionalFormatting sqref="N85">
    <cfRule type="cellIs" dxfId="5245" priority="880" operator="greaterThan">
      <formula>0.9</formula>
    </cfRule>
    <cfRule type="cellIs" dxfId="5244" priority="881" operator="greaterThan">
      <formula>0.85</formula>
    </cfRule>
  </conditionalFormatting>
  <conditionalFormatting sqref="E85">
    <cfRule type="expression" dxfId="5243" priority="876">
      <formula>AND(IF(OR($Q85=1,$Q85=2),1,0),IF($X85&lt;=20,1,0))</formula>
    </cfRule>
    <cfRule type="expression" dxfId="5242" priority="877">
      <formula>AND(IF($Q85=2,1,0),IF($X85&lt;30,1,0))</formula>
    </cfRule>
    <cfRule type="expression" dxfId="5241" priority="878">
      <formula>AND(IF($Q85=3,1,0),IF($X85&lt;30,1,0))</formula>
    </cfRule>
    <cfRule type="expression" dxfId="5240" priority="879">
      <formula>AND(IF($Q85=3,1,IF($Q85=4,1,0)),IF($F85&lt;=85,1,0))</formula>
    </cfRule>
  </conditionalFormatting>
  <conditionalFormatting sqref="X85">
    <cfRule type="expression" dxfId="5239" priority="872">
      <formula>AND(IF(OR($Q85=1,$Q85=2),1,0),IF($X85&lt;=20,1,0))</formula>
    </cfRule>
    <cfRule type="expression" dxfId="5238" priority="873">
      <formula>AND(IF($Q85=2,1,0),IF($X85&lt;30,1,0))</formula>
    </cfRule>
    <cfRule type="expression" dxfId="5237" priority="874">
      <formula>AND(IF($Q85=3,1,0),IF($X85&lt;30,1,0))</formula>
    </cfRule>
    <cfRule type="expression" dxfId="5236" priority="875">
      <formula>AND(IF($Q85=3,1,IF($Q85=4,1,0)),IF($F85&lt;=85,1,0))</formula>
    </cfRule>
  </conditionalFormatting>
  <conditionalFormatting sqref="AI85">
    <cfRule type="expression" dxfId="5235" priority="868">
      <formula>AND(IF(OR($Q85=1,$Q85=2),1,0),IF($X85&lt;=20,1,0))</formula>
    </cfRule>
    <cfRule type="expression" dxfId="5234" priority="869">
      <formula>AND(IF($Q85=2,1,0),IF($X85&lt;30,1,0))</formula>
    </cfRule>
    <cfRule type="expression" dxfId="5233" priority="870">
      <formula>AND(IF($Q85=3,1,0),IF($X85&lt;30,1,0))</formula>
    </cfRule>
    <cfRule type="expression" dxfId="5232" priority="871">
      <formula>AND(IF($Q85=3,1,IF($Q85=4,1,0)),IF($F85&lt;=85,1,0))</formula>
    </cfRule>
  </conditionalFormatting>
  <conditionalFormatting sqref="AV86">
    <cfRule type="expression" dxfId="5231" priority="866">
      <formula>AV86="X"</formula>
    </cfRule>
    <cfRule type="expression" dxfId="5230" priority="867">
      <formula>AV86="후보"</formula>
    </cfRule>
  </conditionalFormatting>
  <conditionalFormatting sqref="AC86">
    <cfRule type="cellIs" dxfId="5229" priority="863" operator="greaterThan">
      <formula>0.9</formula>
    </cfRule>
    <cfRule type="cellIs" dxfId="5228" priority="864" operator="greaterThan">
      <formula>0.85</formula>
    </cfRule>
  </conditionalFormatting>
  <conditionalFormatting sqref="N86">
    <cfRule type="cellIs" dxfId="5227" priority="861" operator="greaterThan">
      <formula>0.9</formula>
    </cfRule>
    <cfRule type="cellIs" dxfId="5226" priority="862" operator="greaterThan">
      <formula>0.85</formula>
    </cfRule>
  </conditionalFormatting>
  <conditionalFormatting sqref="E86">
    <cfRule type="expression" dxfId="5225" priority="857">
      <formula>AND(IF(OR($Q86=1,$Q86=2),1,0),IF($X86&lt;=20,1,0))</formula>
    </cfRule>
    <cfRule type="expression" dxfId="5224" priority="858">
      <formula>AND(IF($Q86=2,1,0),IF($X86&lt;30,1,0))</formula>
    </cfRule>
    <cfRule type="expression" dxfId="5223" priority="859">
      <formula>AND(IF($Q86=3,1,0),IF($X86&lt;30,1,0))</formula>
    </cfRule>
    <cfRule type="expression" dxfId="5222" priority="860">
      <formula>AND(IF($Q86=3,1,IF($Q86=4,1,0)),IF($F86&lt;=85,1,0))</formula>
    </cfRule>
  </conditionalFormatting>
  <conditionalFormatting sqref="X86">
    <cfRule type="expression" dxfId="5221" priority="853">
      <formula>AND(IF(OR($Q86=1,$Q86=2),1,0),IF($X86&lt;=20,1,0))</formula>
    </cfRule>
    <cfRule type="expression" dxfId="5220" priority="854">
      <formula>AND(IF($Q86=2,1,0),IF($X86&lt;30,1,0))</formula>
    </cfRule>
    <cfRule type="expression" dxfId="5219" priority="855">
      <formula>AND(IF($Q86=3,1,0),IF($X86&lt;30,1,0))</formula>
    </cfRule>
    <cfRule type="expression" dxfId="5218" priority="856">
      <formula>AND(IF($Q86=3,1,IF($Q86=4,1,0)),IF($F86&lt;=85,1,0))</formula>
    </cfRule>
  </conditionalFormatting>
  <conditionalFormatting sqref="AI86">
    <cfRule type="expression" dxfId="5217" priority="849">
      <formula>AND(IF(OR($Q86=1,$Q86=2),1,0),IF($X86&lt;=20,1,0))</formula>
    </cfRule>
    <cfRule type="expression" dxfId="5216" priority="850">
      <formula>AND(IF($Q86=2,1,0),IF($X86&lt;30,1,0))</formula>
    </cfRule>
    <cfRule type="expression" dxfId="5215" priority="851">
      <formula>AND(IF($Q86=3,1,0),IF($X86&lt;30,1,0))</formula>
    </cfRule>
    <cfRule type="expression" dxfId="5214" priority="852">
      <formula>AND(IF($Q86=3,1,IF($Q86=4,1,0)),IF($F86&lt;=85,1,0))</formula>
    </cfRule>
  </conditionalFormatting>
  <conditionalFormatting sqref="AV87">
    <cfRule type="expression" dxfId="5213" priority="847">
      <formula>AV87="X"</formula>
    </cfRule>
    <cfRule type="expression" dxfId="5212" priority="848">
      <formula>AV87="후보"</formula>
    </cfRule>
  </conditionalFormatting>
  <conditionalFormatting sqref="AC87">
    <cfRule type="cellIs" dxfId="5211" priority="844" operator="greaterThan">
      <formula>0.9</formula>
    </cfRule>
    <cfRule type="cellIs" dxfId="5210" priority="845" operator="greaterThan">
      <formula>0.85</formula>
    </cfRule>
  </conditionalFormatting>
  <conditionalFormatting sqref="N87">
    <cfRule type="cellIs" dxfId="5209" priority="842" operator="greaterThan">
      <formula>0.9</formula>
    </cfRule>
    <cfRule type="cellIs" dxfId="5208" priority="843" operator="greaterThan">
      <formula>0.85</formula>
    </cfRule>
  </conditionalFormatting>
  <conditionalFormatting sqref="E87">
    <cfRule type="expression" dxfId="5207" priority="838">
      <formula>AND(IF(OR($Q87=1,$Q87=2),1,0),IF($X87&lt;=20,1,0))</formula>
    </cfRule>
    <cfRule type="expression" dxfId="5206" priority="839">
      <formula>AND(IF($Q87=2,1,0),IF($X87&lt;30,1,0))</formula>
    </cfRule>
    <cfRule type="expression" dxfId="5205" priority="840">
      <formula>AND(IF($Q87=3,1,0),IF($X87&lt;30,1,0))</formula>
    </cfRule>
    <cfRule type="expression" dxfId="5204" priority="841">
      <formula>AND(IF($Q87=3,1,IF($Q87=4,1,0)),IF($F87&lt;=85,1,0))</formula>
    </cfRule>
  </conditionalFormatting>
  <conditionalFormatting sqref="X87">
    <cfRule type="expression" dxfId="5203" priority="834">
      <formula>AND(IF(OR($Q87=1,$Q87=2),1,0),IF($X87&lt;=20,1,0))</formula>
    </cfRule>
    <cfRule type="expression" dxfId="5202" priority="835">
      <formula>AND(IF($Q87=2,1,0),IF($X87&lt;30,1,0))</formula>
    </cfRule>
    <cfRule type="expression" dxfId="5201" priority="836">
      <formula>AND(IF($Q87=3,1,0),IF($X87&lt;30,1,0))</formula>
    </cfRule>
    <cfRule type="expression" dxfId="5200" priority="837">
      <formula>AND(IF($Q87=3,1,IF($Q87=4,1,0)),IF($F87&lt;=85,1,0))</formula>
    </cfRule>
  </conditionalFormatting>
  <conditionalFormatting sqref="AI87">
    <cfRule type="expression" dxfId="5199" priority="830">
      <formula>AND(IF(OR($Q87=1,$Q87=2),1,0),IF($X87&lt;=20,1,0))</formula>
    </cfRule>
    <cfRule type="expression" dxfId="5198" priority="831">
      <formula>AND(IF($Q87=2,1,0),IF($X87&lt;30,1,0))</formula>
    </cfRule>
    <cfRule type="expression" dxfId="5197" priority="832">
      <formula>AND(IF($Q87=3,1,0),IF($X87&lt;30,1,0))</formula>
    </cfRule>
    <cfRule type="expression" dxfId="5196" priority="833">
      <formula>AND(IF($Q87=3,1,IF($Q87=4,1,0)),IF($F87&lt;=85,1,0))</formula>
    </cfRule>
  </conditionalFormatting>
  <conditionalFormatting sqref="AV88">
    <cfRule type="expression" dxfId="5195" priority="828">
      <formula>AV88="X"</formula>
    </cfRule>
    <cfRule type="expression" dxfId="5194" priority="829">
      <formula>AV88="후보"</formula>
    </cfRule>
  </conditionalFormatting>
  <conditionalFormatting sqref="AC88 N88">
    <cfRule type="cellIs" dxfId="5193" priority="825" operator="greaterThan">
      <formula>0.9</formula>
    </cfRule>
    <cfRule type="cellIs" dxfId="5192" priority="826" operator="greaterThan">
      <formula>0.85</formula>
    </cfRule>
  </conditionalFormatting>
  <conditionalFormatting sqref="AV89">
    <cfRule type="expression" dxfId="5191" priority="823">
      <formula>AV89="X"</formula>
    </cfRule>
    <cfRule type="expression" dxfId="5190" priority="824">
      <formula>AV89="후보"</formula>
    </cfRule>
  </conditionalFormatting>
  <conditionalFormatting sqref="AC89">
    <cfRule type="cellIs" dxfId="5189" priority="820" operator="greaterThan">
      <formula>0.9</formula>
    </cfRule>
    <cfRule type="cellIs" dxfId="5188" priority="821" operator="greaterThan">
      <formula>0.85</formula>
    </cfRule>
  </conditionalFormatting>
  <conditionalFormatting sqref="N89">
    <cfRule type="cellIs" dxfId="5187" priority="818" operator="greaterThan">
      <formula>0.9</formula>
    </cfRule>
    <cfRule type="cellIs" dxfId="5186" priority="819" operator="greaterThan">
      <formula>0.85</formula>
    </cfRule>
  </conditionalFormatting>
  <conditionalFormatting sqref="E89">
    <cfRule type="expression" dxfId="5185" priority="814">
      <formula>AND(IF(OR($Q89=1,$Q89=2),1,0),IF($X89&lt;=20,1,0))</formula>
    </cfRule>
    <cfRule type="expression" dxfId="5184" priority="815">
      <formula>AND(IF($Q89=2,1,0),IF($X89&lt;30,1,0))</formula>
    </cfRule>
    <cfRule type="expression" dxfId="5183" priority="816">
      <formula>AND(IF($Q89=3,1,0),IF($X89&lt;30,1,0))</formula>
    </cfRule>
    <cfRule type="expression" dxfId="5182" priority="817">
      <formula>AND(IF($Q89=3,1,IF($Q89=4,1,0)),IF($F89&lt;=85,1,0))</formula>
    </cfRule>
  </conditionalFormatting>
  <conditionalFormatting sqref="X89">
    <cfRule type="expression" dxfId="5181" priority="810">
      <formula>AND(IF(OR($Q89=1,$Q89=2),1,0),IF($X89&lt;=20,1,0))</formula>
    </cfRule>
    <cfRule type="expression" dxfId="5180" priority="811">
      <formula>AND(IF($Q89=2,1,0),IF($X89&lt;30,1,0))</formula>
    </cfRule>
    <cfRule type="expression" dxfId="5179" priority="812">
      <formula>AND(IF($Q89=3,1,0),IF($X89&lt;30,1,0))</formula>
    </cfRule>
    <cfRule type="expression" dxfId="5178" priority="813">
      <formula>AND(IF($Q89=3,1,IF($Q89=4,1,0)),IF($F89&lt;=85,1,0))</formula>
    </cfRule>
  </conditionalFormatting>
  <conditionalFormatting sqref="AI89">
    <cfRule type="expression" dxfId="5177" priority="806">
      <formula>AND(IF(OR($Q89=1,$Q89=2),1,0),IF($X89&lt;=20,1,0))</formula>
    </cfRule>
    <cfRule type="expression" dxfId="5176" priority="807">
      <formula>AND(IF($Q89=2,1,0),IF($X89&lt;30,1,0))</formula>
    </cfRule>
    <cfRule type="expression" dxfId="5175" priority="808">
      <formula>AND(IF($Q89=3,1,0),IF($X89&lt;30,1,0))</formula>
    </cfRule>
    <cfRule type="expression" dxfId="5174" priority="809">
      <formula>AND(IF($Q89=3,1,IF($Q89=4,1,0)),IF($F89&lt;=85,1,0))</formula>
    </cfRule>
  </conditionalFormatting>
  <conditionalFormatting sqref="AV90">
    <cfRule type="expression" dxfId="5173" priority="804">
      <formula>AV90="X"</formula>
    </cfRule>
    <cfRule type="expression" dxfId="5172" priority="805">
      <formula>AV90="후보"</formula>
    </cfRule>
  </conditionalFormatting>
  <conditionalFormatting sqref="AC90">
    <cfRule type="cellIs" dxfId="5171" priority="801" operator="greaterThan">
      <formula>0.9</formula>
    </cfRule>
    <cfRule type="cellIs" dxfId="5170" priority="802" operator="greaterThan">
      <formula>0.85</formula>
    </cfRule>
  </conditionalFormatting>
  <conditionalFormatting sqref="N90">
    <cfRule type="cellIs" dxfId="5169" priority="799" operator="greaterThan">
      <formula>0.9</formula>
    </cfRule>
    <cfRule type="cellIs" dxfId="5168" priority="800" operator="greaterThan">
      <formula>0.85</formula>
    </cfRule>
  </conditionalFormatting>
  <conditionalFormatting sqref="E90">
    <cfRule type="expression" dxfId="5167" priority="795">
      <formula>AND(IF(OR($Q90=1,$Q90=2),1,0),IF($X90&lt;=20,1,0))</formula>
    </cfRule>
    <cfRule type="expression" dxfId="5166" priority="796">
      <formula>AND(IF($Q90=2,1,0),IF($X90&lt;30,1,0))</formula>
    </cfRule>
    <cfRule type="expression" dxfId="5165" priority="797">
      <formula>AND(IF($Q90=3,1,0),IF($X90&lt;30,1,0))</formula>
    </cfRule>
    <cfRule type="expression" dxfId="5164" priority="798">
      <formula>AND(IF($Q90=3,1,IF($Q90=4,1,0)),IF($F90&lt;=85,1,0))</formula>
    </cfRule>
  </conditionalFormatting>
  <conditionalFormatting sqref="X90">
    <cfRule type="expression" dxfId="5163" priority="791">
      <formula>AND(IF(OR($Q90=1,$Q90=2),1,0),IF($X90&lt;=20,1,0))</formula>
    </cfRule>
    <cfRule type="expression" dxfId="5162" priority="792">
      <formula>AND(IF($Q90=2,1,0),IF($X90&lt;30,1,0))</formula>
    </cfRule>
    <cfRule type="expression" dxfId="5161" priority="793">
      <formula>AND(IF($Q90=3,1,0),IF($X90&lt;30,1,0))</formula>
    </cfRule>
    <cfRule type="expression" dxfId="5160" priority="794">
      <formula>AND(IF($Q90=3,1,IF($Q90=4,1,0)),IF($F90&lt;=85,1,0))</formula>
    </cfRule>
  </conditionalFormatting>
  <conditionalFormatting sqref="AI90">
    <cfRule type="expression" dxfId="5159" priority="787">
      <formula>AND(IF(OR($Q90=1,$Q90=2),1,0),IF($X90&lt;=20,1,0))</formula>
    </cfRule>
    <cfRule type="expression" dxfId="5158" priority="788">
      <formula>AND(IF($Q90=2,1,0),IF($X90&lt;30,1,0))</formula>
    </cfRule>
    <cfRule type="expression" dxfId="5157" priority="789">
      <formula>AND(IF($Q90=3,1,0),IF($X90&lt;30,1,0))</formula>
    </cfRule>
    <cfRule type="expression" dxfId="5156" priority="790">
      <formula>AND(IF($Q90=3,1,IF($Q90=4,1,0)),IF($F90&lt;=85,1,0))</formula>
    </cfRule>
  </conditionalFormatting>
  <conditionalFormatting sqref="AV91">
    <cfRule type="expression" dxfId="5155" priority="785">
      <formula>AV91="X"</formula>
    </cfRule>
    <cfRule type="expression" dxfId="5154" priority="786">
      <formula>AV91="후보"</formula>
    </cfRule>
  </conditionalFormatting>
  <conditionalFormatting sqref="AC91">
    <cfRule type="cellIs" dxfId="5153" priority="782" operator="greaterThan">
      <formula>0.9</formula>
    </cfRule>
    <cfRule type="cellIs" dxfId="5152" priority="783" operator="greaterThan">
      <formula>0.85</formula>
    </cfRule>
  </conditionalFormatting>
  <conditionalFormatting sqref="N91">
    <cfRule type="cellIs" dxfId="5151" priority="780" operator="greaterThan">
      <formula>0.9</formula>
    </cfRule>
    <cfRule type="cellIs" dxfId="5150" priority="781" operator="greaterThan">
      <formula>0.85</formula>
    </cfRule>
  </conditionalFormatting>
  <conditionalFormatting sqref="E91">
    <cfRule type="expression" dxfId="5149" priority="776">
      <formula>AND(IF(OR($Q91=1,$Q91=2),1,0),IF($X91&lt;=20,1,0))</formula>
    </cfRule>
    <cfRule type="expression" dxfId="5148" priority="777">
      <formula>AND(IF($Q91=2,1,0),IF($X91&lt;30,1,0))</formula>
    </cfRule>
    <cfRule type="expression" dxfId="5147" priority="778">
      <formula>AND(IF($Q91=3,1,0),IF($X91&lt;30,1,0))</formula>
    </cfRule>
    <cfRule type="expression" dxfId="5146" priority="779">
      <formula>AND(IF($Q91=3,1,IF($Q91=4,1,0)),IF($F91&lt;=85,1,0))</formula>
    </cfRule>
  </conditionalFormatting>
  <conditionalFormatting sqref="X91">
    <cfRule type="expression" dxfId="5145" priority="772">
      <formula>AND(IF(OR($Q91=1,$Q91=2),1,0),IF($X91&lt;=20,1,0))</formula>
    </cfRule>
    <cfRule type="expression" dxfId="5144" priority="773">
      <formula>AND(IF($Q91=2,1,0),IF($X91&lt;30,1,0))</formula>
    </cfRule>
    <cfRule type="expression" dxfId="5143" priority="774">
      <formula>AND(IF($Q91=3,1,0),IF($X91&lt;30,1,0))</formula>
    </cfRule>
    <cfRule type="expression" dxfId="5142" priority="775">
      <formula>AND(IF($Q91=3,1,IF($Q91=4,1,0)),IF($F91&lt;=85,1,0))</formula>
    </cfRule>
  </conditionalFormatting>
  <conditionalFormatting sqref="AI91">
    <cfRule type="expression" dxfId="5141" priority="768">
      <formula>AND(IF(OR($Q91=1,$Q91=2),1,0),IF($X91&lt;=20,1,0))</formula>
    </cfRule>
    <cfRule type="expression" dxfId="5140" priority="769">
      <formula>AND(IF($Q91=2,1,0),IF($X91&lt;30,1,0))</formula>
    </cfRule>
    <cfRule type="expression" dxfId="5139" priority="770">
      <formula>AND(IF($Q91=3,1,0),IF($X91&lt;30,1,0))</formula>
    </cfRule>
    <cfRule type="expression" dxfId="5138" priority="771">
      <formula>AND(IF($Q91=3,1,IF($Q91=4,1,0)),IF($F91&lt;=85,1,0))</formula>
    </cfRule>
  </conditionalFormatting>
  <conditionalFormatting sqref="AV92">
    <cfRule type="expression" dxfId="5137" priority="766">
      <formula>AV92="X"</formula>
    </cfRule>
    <cfRule type="expression" dxfId="5136" priority="767">
      <formula>AV92="후보"</formula>
    </cfRule>
  </conditionalFormatting>
  <conditionalFormatting sqref="AC92">
    <cfRule type="cellIs" dxfId="5135" priority="763" operator="greaterThan">
      <formula>0.9</formula>
    </cfRule>
    <cfRule type="cellIs" dxfId="5134" priority="764" operator="greaterThan">
      <formula>0.85</formula>
    </cfRule>
  </conditionalFormatting>
  <conditionalFormatting sqref="N92">
    <cfRule type="cellIs" dxfId="5133" priority="761" operator="greaterThan">
      <formula>0.9</formula>
    </cfRule>
    <cfRule type="cellIs" dxfId="5132" priority="762" operator="greaterThan">
      <formula>0.85</formula>
    </cfRule>
  </conditionalFormatting>
  <conditionalFormatting sqref="E92">
    <cfRule type="expression" dxfId="5131" priority="757">
      <formula>AND(IF(OR($Q92=1,$Q92=2),1,0),IF($X92&lt;=20,1,0))</formula>
    </cfRule>
    <cfRule type="expression" dxfId="5130" priority="758">
      <formula>AND(IF($Q92=2,1,0),IF($X92&lt;30,1,0))</formula>
    </cfRule>
    <cfRule type="expression" dxfId="5129" priority="759">
      <formula>AND(IF($Q92=3,1,0),IF($X92&lt;30,1,0))</formula>
    </cfRule>
    <cfRule type="expression" dxfId="5128" priority="760">
      <formula>AND(IF($Q92=3,1,IF($Q92=4,1,0)),IF($F92&lt;=85,1,0))</formula>
    </cfRule>
  </conditionalFormatting>
  <conditionalFormatting sqref="X92">
    <cfRule type="expression" dxfId="5127" priority="753">
      <formula>AND(IF(OR($Q92=1,$Q92=2),1,0),IF($X92&lt;=20,1,0))</formula>
    </cfRule>
    <cfRule type="expression" dxfId="5126" priority="754">
      <formula>AND(IF($Q92=2,1,0),IF($X92&lt;30,1,0))</formula>
    </cfRule>
    <cfRule type="expression" dxfId="5125" priority="755">
      <formula>AND(IF($Q92=3,1,0),IF($X92&lt;30,1,0))</formula>
    </cfRule>
    <cfRule type="expression" dxfId="5124" priority="756">
      <formula>AND(IF($Q92=3,1,IF($Q92=4,1,0)),IF($F92&lt;=85,1,0))</formula>
    </cfRule>
  </conditionalFormatting>
  <conditionalFormatting sqref="AI92">
    <cfRule type="expression" dxfId="5123" priority="749">
      <formula>AND(IF(OR($Q92=1,$Q92=2),1,0),IF($X92&lt;=20,1,0))</formula>
    </cfRule>
    <cfRule type="expression" dxfId="5122" priority="750">
      <formula>AND(IF($Q92=2,1,0),IF($X92&lt;30,1,0))</formula>
    </cfRule>
    <cfRule type="expression" dxfId="5121" priority="751">
      <formula>AND(IF($Q92=3,1,0),IF($X92&lt;30,1,0))</formula>
    </cfRule>
    <cfRule type="expression" dxfId="5120" priority="752">
      <formula>AND(IF($Q92=3,1,IF($Q92=4,1,0)),IF($F92&lt;=85,1,0))</formula>
    </cfRule>
  </conditionalFormatting>
  <conditionalFormatting sqref="AV93">
    <cfRule type="expression" dxfId="5119" priority="747">
      <formula>AV93="X"</formula>
    </cfRule>
    <cfRule type="expression" dxfId="5118" priority="748">
      <formula>AV93="후보"</formula>
    </cfRule>
  </conditionalFormatting>
  <conditionalFormatting sqref="AC93 N93">
    <cfRule type="cellIs" dxfId="5117" priority="744" operator="greaterThan">
      <formula>0.9</formula>
    </cfRule>
    <cfRule type="cellIs" dxfId="5116" priority="745" operator="greaterThan">
      <formula>0.85</formula>
    </cfRule>
  </conditionalFormatting>
  <conditionalFormatting sqref="AV94">
    <cfRule type="expression" dxfId="5115" priority="742">
      <formula>AV94="X"</formula>
    </cfRule>
    <cfRule type="expression" dxfId="5114" priority="743">
      <formula>AV94="후보"</formula>
    </cfRule>
  </conditionalFormatting>
  <conditionalFormatting sqref="AC94">
    <cfRule type="cellIs" dxfId="5113" priority="739" operator="greaterThan">
      <formula>0.9</formula>
    </cfRule>
    <cfRule type="cellIs" dxfId="5112" priority="740" operator="greaterThan">
      <formula>0.85</formula>
    </cfRule>
  </conditionalFormatting>
  <conditionalFormatting sqref="N94">
    <cfRule type="cellIs" dxfId="5111" priority="737" operator="greaterThan">
      <formula>0.9</formula>
    </cfRule>
    <cfRule type="cellIs" dxfId="5110" priority="738" operator="greaterThan">
      <formula>0.85</formula>
    </cfRule>
  </conditionalFormatting>
  <conditionalFormatting sqref="E94">
    <cfRule type="expression" dxfId="5109" priority="733">
      <formula>AND(IF(OR($Q94=1,$Q94=2),1,0),IF($X94&lt;=20,1,0))</formula>
    </cfRule>
    <cfRule type="expression" dxfId="5108" priority="734">
      <formula>AND(IF($Q94=2,1,0),IF($X94&lt;30,1,0))</formula>
    </cfRule>
    <cfRule type="expression" dxfId="5107" priority="735">
      <formula>AND(IF($Q94=3,1,0),IF($X94&lt;30,1,0))</formula>
    </cfRule>
    <cfRule type="expression" dxfId="5106" priority="736">
      <formula>AND(IF($Q94=3,1,IF($Q94=4,1,0)),IF($F94&lt;=85,1,0))</formula>
    </cfRule>
  </conditionalFormatting>
  <conditionalFormatting sqref="X94">
    <cfRule type="expression" dxfId="5105" priority="729">
      <formula>AND(IF(OR($Q94=1,$Q94=2),1,0),IF($X94&lt;=20,1,0))</formula>
    </cfRule>
    <cfRule type="expression" dxfId="5104" priority="730">
      <formula>AND(IF($Q94=2,1,0),IF($X94&lt;30,1,0))</formula>
    </cfRule>
    <cfRule type="expression" dxfId="5103" priority="731">
      <formula>AND(IF($Q94=3,1,0),IF($X94&lt;30,1,0))</formula>
    </cfRule>
    <cfRule type="expression" dxfId="5102" priority="732">
      <formula>AND(IF($Q94=3,1,IF($Q94=4,1,0)),IF($F94&lt;=85,1,0))</formula>
    </cfRule>
  </conditionalFormatting>
  <conditionalFormatting sqref="AI94">
    <cfRule type="expression" dxfId="5101" priority="725">
      <formula>AND(IF(OR($Q94=1,$Q94=2),1,0),IF($X94&lt;=20,1,0))</formula>
    </cfRule>
    <cfRule type="expression" dxfId="5100" priority="726">
      <formula>AND(IF($Q94=2,1,0),IF($X94&lt;30,1,0))</formula>
    </cfRule>
    <cfRule type="expression" dxfId="5099" priority="727">
      <formula>AND(IF($Q94=3,1,0),IF($X94&lt;30,1,0))</formula>
    </cfRule>
    <cfRule type="expression" dxfId="5098" priority="728">
      <formula>AND(IF($Q94=3,1,IF($Q94=4,1,0)),IF($F94&lt;=85,1,0))</formula>
    </cfRule>
  </conditionalFormatting>
  <conditionalFormatting sqref="AV95">
    <cfRule type="expression" dxfId="5097" priority="723">
      <formula>AV95="X"</formula>
    </cfRule>
    <cfRule type="expression" dxfId="5096" priority="724">
      <formula>AV95="후보"</formula>
    </cfRule>
  </conditionalFormatting>
  <conditionalFormatting sqref="AC95">
    <cfRule type="cellIs" dxfId="5095" priority="720" operator="greaterThan">
      <formula>0.9</formula>
    </cfRule>
    <cfRule type="cellIs" dxfId="5094" priority="721" operator="greaterThan">
      <formula>0.85</formula>
    </cfRule>
  </conditionalFormatting>
  <conditionalFormatting sqref="N95">
    <cfRule type="cellIs" dxfId="5093" priority="718" operator="greaterThan">
      <formula>0.9</formula>
    </cfRule>
    <cfRule type="cellIs" dxfId="5092" priority="719" operator="greaterThan">
      <formula>0.85</formula>
    </cfRule>
  </conditionalFormatting>
  <conditionalFormatting sqref="E95">
    <cfRule type="expression" dxfId="5091" priority="714">
      <formula>AND(IF(OR($Q95=1,$Q95=2),1,0),IF($X95&lt;=20,1,0))</formula>
    </cfRule>
    <cfRule type="expression" dxfId="5090" priority="715">
      <formula>AND(IF($Q95=2,1,0),IF($X95&lt;30,1,0))</formula>
    </cfRule>
    <cfRule type="expression" dxfId="5089" priority="716">
      <formula>AND(IF($Q95=3,1,0),IF($X95&lt;30,1,0))</formula>
    </cfRule>
    <cfRule type="expression" dxfId="5088" priority="717">
      <formula>AND(IF($Q95=3,1,IF($Q95=4,1,0)),IF($F95&lt;=85,1,0))</formula>
    </cfRule>
  </conditionalFormatting>
  <conditionalFormatting sqref="X95">
    <cfRule type="expression" dxfId="5087" priority="710">
      <formula>AND(IF(OR($Q95=1,$Q95=2),1,0),IF($X95&lt;=20,1,0))</formula>
    </cfRule>
    <cfRule type="expression" dxfId="5086" priority="711">
      <formula>AND(IF($Q95=2,1,0),IF($X95&lt;30,1,0))</formula>
    </cfRule>
    <cfRule type="expression" dxfId="5085" priority="712">
      <formula>AND(IF($Q95=3,1,0),IF($X95&lt;30,1,0))</formula>
    </cfRule>
    <cfRule type="expression" dxfId="5084" priority="713">
      <formula>AND(IF($Q95=3,1,IF($Q95=4,1,0)),IF($F95&lt;=85,1,0))</formula>
    </cfRule>
  </conditionalFormatting>
  <conditionalFormatting sqref="AI95">
    <cfRule type="expression" dxfId="5083" priority="706">
      <formula>AND(IF(OR($Q95=1,$Q95=2),1,0),IF($X95&lt;=20,1,0))</formula>
    </cfRule>
    <cfRule type="expression" dxfId="5082" priority="707">
      <formula>AND(IF($Q95=2,1,0),IF($X95&lt;30,1,0))</formula>
    </cfRule>
    <cfRule type="expression" dxfId="5081" priority="708">
      <formula>AND(IF($Q95=3,1,0),IF($X95&lt;30,1,0))</formula>
    </cfRule>
    <cfRule type="expression" dxfId="5080" priority="709">
      <formula>AND(IF($Q95=3,1,IF($Q95=4,1,0)),IF($F95&lt;=85,1,0))</formula>
    </cfRule>
  </conditionalFormatting>
  <conditionalFormatting sqref="AV96">
    <cfRule type="expression" dxfId="5079" priority="704">
      <formula>AV96="X"</formula>
    </cfRule>
    <cfRule type="expression" dxfId="5078" priority="705">
      <formula>AV96="후보"</formula>
    </cfRule>
  </conditionalFormatting>
  <conditionalFormatting sqref="AC96">
    <cfRule type="cellIs" dxfId="5077" priority="701" operator="greaterThan">
      <formula>0.9</formula>
    </cfRule>
    <cfRule type="cellIs" dxfId="5076" priority="702" operator="greaterThan">
      <formula>0.85</formula>
    </cfRule>
  </conditionalFormatting>
  <conditionalFormatting sqref="N96">
    <cfRule type="cellIs" dxfId="5075" priority="699" operator="greaterThan">
      <formula>0.9</formula>
    </cfRule>
    <cfRule type="cellIs" dxfId="5074" priority="700" operator="greaterThan">
      <formula>0.85</formula>
    </cfRule>
  </conditionalFormatting>
  <conditionalFormatting sqref="E96">
    <cfRule type="expression" dxfId="5073" priority="695">
      <formula>AND(IF(OR($Q96=1,$Q96=2),1,0),IF($X96&lt;=20,1,0))</formula>
    </cfRule>
    <cfRule type="expression" dxfId="5072" priority="696">
      <formula>AND(IF($Q96=2,1,0),IF($X96&lt;30,1,0))</formula>
    </cfRule>
    <cfRule type="expression" dxfId="5071" priority="697">
      <formula>AND(IF($Q96=3,1,0),IF($X96&lt;30,1,0))</formula>
    </cfRule>
    <cfRule type="expression" dxfId="5070" priority="698">
      <formula>AND(IF($Q96=3,1,IF($Q96=4,1,0)),IF($F96&lt;=85,1,0))</formula>
    </cfRule>
  </conditionalFormatting>
  <conditionalFormatting sqref="X96">
    <cfRule type="expression" dxfId="5069" priority="691">
      <formula>AND(IF(OR($Q96=1,$Q96=2),1,0),IF($X96&lt;=20,1,0))</formula>
    </cfRule>
    <cfRule type="expression" dxfId="5068" priority="692">
      <formula>AND(IF($Q96=2,1,0),IF($X96&lt;30,1,0))</formula>
    </cfRule>
    <cfRule type="expression" dxfId="5067" priority="693">
      <formula>AND(IF($Q96=3,1,0),IF($X96&lt;30,1,0))</formula>
    </cfRule>
    <cfRule type="expression" dxfId="5066" priority="694">
      <formula>AND(IF($Q96=3,1,IF($Q96=4,1,0)),IF($F96&lt;=85,1,0))</formula>
    </cfRule>
  </conditionalFormatting>
  <conditionalFormatting sqref="AI96">
    <cfRule type="expression" dxfId="5065" priority="687">
      <formula>AND(IF(OR($Q96=1,$Q96=2),1,0),IF($X96&lt;=20,1,0))</formula>
    </cfRule>
    <cfRule type="expression" dxfId="5064" priority="688">
      <formula>AND(IF($Q96=2,1,0),IF($X96&lt;30,1,0))</formula>
    </cfRule>
    <cfRule type="expression" dxfId="5063" priority="689">
      <formula>AND(IF($Q96=3,1,0),IF($X96&lt;30,1,0))</formula>
    </cfRule>
    <cfRule type="expression" dxfId="5062" priority="690">
      <formula>AND(IF($Q96=3,1,IF($Q96=4,1,0)),IF($F96&lt;=85,1,0))</formula>
    </cfRule>
  </conditionalFormatting>
  <conditionalFormatting sqref="AV97">
    <cfRule type="expression" dxfId="5061" priority="685">
      <formula>AV97="X"</formula>
    </cfRule>
    <cfRule type="expression" dxfId="5060" priority="686">
      <formula>AV97="후보"</formula>
    </cfRule>
  </conditionalFormatting>
  <conditionalFormatting sqref="AC97">
    <cfRule type="cellIs" dxfId="5059" priority="682" operator="greaterThan">
      <formula>0.9</formula>
    </cfRule>
    <cfRule type="cellIs" dxfId="5058" priority="683" operator="greaterThan">
      <formula>0.85</formula>
    </cfRule>
  </conditionalFormatting>
  <conditionalFormatting sqref="N97">
    <cfRule type="cellIs" dxfId="5057" priority="680" operator="greaterThan">
      <formula>0.9</formula>
    </cfRule>
    <cfRule type="cellIs" dxfId="5056" priority="681" operator="greaterThan">
      <formula>0.85</formula>
    </cfRule>
  </conditionalFormatting>
  <conditionalFormatting sqref="E97">
    <cfRule type="expression" dxfId="5055" priority="676">
      <formula>AND(IF(OR($Q97=1,$Q97=2),1,0),IF($X97&lt;=20,1,0))</formula>
    </cfRule>
    <cfRule type="expression" dxfId="5054" priority="677">
      <formula>AND(IF($Q97=2,1,0),IF($X97&lt;30,1,0))</formula>
    </cfRule>
    <cfRule type="expression" dxfId="5053" priority="678">
      <formula>AND(IF($Q97=3,1,0),IF($X97&lt;30,1,0))</formula>
    </cfRule>
    <cfRule type="expression" dxfId="5052" priority="679">
      <formula>AND(IF($Q97=3,1,IF($Q97=4,1,0)),IF($F97&lt;=85,1,0))</formula>
    </cfRule>
  </conditionalFormatting>
  <conditionalFormatting sqref="X97">
    <cfRule type="expression" dxfId="5051" priority="672">
      <formula>AND(IF(OR($Q97=1,$Q97=2),1,0),IF($X97&lt;=20,1,0))</formula>
    </cfRule>
    <cfRule type="expression" dxfId="5050" priority="673">
      <formula>AND(IF($Q97=2,1,0),IF($X97&lt;30,1,0))</formula>
    </cfRule>
    <cfRule type="expression" dxfId="5049" priority="674">
      <formula>AND(IF($Q97=3,1,0),IF($X97&lt;30,1,0))</formula>
    </cfRule>
    <cfRule type="expression" dxfId="5048" priority="675">
      <formula>AND(IF($Q97=3,1,IF($Q97=4,1,0)),IF($F97&lt;=85,1,0))</formula>
    </cfRule>
  </conditionalFormatting>
  <conditionalFormatting sqref="AI97">
    <cfRule type="expression" dxfId="5047" priority="668">
      <formula>AND(IF(OR($Q97=1,$Q97=2),1,0),IF($X97&lt;=20,1,0))</formula>
    </cfRule>
    <cfRule type="expression" dxfId="5046" priority="669">
      <formula>AND(IF($Q97=2,1,0),IF($X97&lt;30,1,0))</formula>
    </cfRule>
    <cfRule type="expression" dxfId="5045" priority="670">
      <formula>AND(IF($Q97=3,1,0),IF($X97&lt;30,1,0))</formula>
    </cfRule>
    <cfRule type="expression" dxfId="5044" priority="671">
      <formula>AND(IF($Q97=3,1,IF($Q97=4,1,0)),IF($F97&lt;=85,1,0))</formula>
    </cfRule>
  </conditionalFormatting>
  <conditionalFormatting sqref="AV98">
    <cfRule type="expression" dxfId="5043" priority="666">
      <formula>AV98="X"</formula>
    </cfRule>
    <cfRule type="expression" dxfId="5042" priority="667">
      <formula>AV98="후보"</formula>
    </cfRule>
  </conditionalFormatting>
  <conditionalFormatting sqref="AC98">
    <cfRule type="cellIs" dxfId="5041" priority="663" operator="greaterThan">
      <formula>0.9</formula>
    </cfRule>
    <cfRule type="cellIs" dxfId="5040" priority="664" operator="greaterThan">
      <formula>0.85</formula>
    </cfRule>
  </conditionalFormatting>
  <conditionalFormatting sqref="N98">
    <cfRule type="cellIs" dxfId="5039" priority="661" operator="greaterThan">
      <formula>0.9</formula>
    </cfRule>
    <cfRule type="cellIs" dxfId="5038" priority="662" operator="greaterThan">
      <formula>0.85</formula>
    </cfRule>
  </conditionalFormatting>
  <conditionalFormatting sqref="E98">
    <cfRule type="expression" dxfId="5037" priority="657">
      <formula>AND(IF(OR($Q98=1,$Q98=2),1,0),IF($X98&lt;=20,1,0))</formula>
    </cfRule>
    <cfRule type="expression" dxfId="5036" priority="658">
      <formula>AND(IF($Q98=2,1,0),IF($X98&lt;30,1,0))</formula>
    </cfRule>
    <cfRule type="expression" dxfId="5035" priority="659">
      <formula>AND(IF($Q98=3,1,0),IF($X98&lt;30,1,0))</formula>
    </cfRule>
    <cfRule type="expression" dxfId="5034" priority="660">
      <formula>AND(IF($Q98=3,1,IF($Q98=4,1,0)),IF($F98&lt;=85,1,0))</formula>
    </cfRule>
  </conditionalFormatting>
  <conditionalFormatting sqref="X98">
    <cfRule type="expression" dxfId="5033" priority="653">
      <formula>AND(IF(OR($Q98=1,$Q98=2),1,0),IF($X98&lt;=20,1,0))</formula>
    </cfRule>
    <cfRule type="expression" dxfId="5032" priority="654">
      <formula>AND(IF($Q98=2,1,0),IF($X98&lt;30,1,0))</formula>
    </cfRule>
    <cfRule type="expression" dxfId="5031" priority="655">
      <formula>AND(IF($Q98=3,1,0),IF($X98&lt;30,1,0))</formula>
    </cfRule>
    <cfRule type="expression" dxfId="5030" priority="656">
      <formula>AND(IF($Q98=3,1,IF($Q98=4,1,0)),IF($F98&lt;=85,1,0))</formula>
    </cfRule>
  </conditionalFormatting>
  <conditionalFormatting sqref="AI98">
    <cfRule type="expression" dxfId="5029" priority="649">
      <formula>AND(IF(OR($Q98=1,$Q98=2),1,0),IF($X98&lt;=20,1,0))</formula>
    </cfRule>
    <cfRule type="expression" dxfId="5028" priority="650">
      <formula>AND(IF($Q98=2,1,0),IF($X98&lt;30,1,0))</formula>
    </cfRule>
    <cfRule type="expression" dxfId="5027" priority="651">
      <formula>AND(IF($Q98=3,1,0),IF($X98&lt;30,1,0))</formula>
    </cfRule>
    <cfRule type="expression" dxfId="5026" priority="652">
      <formula>AND(IF($Q98=3,1,IF($Q98=4,1,0)),IF($F98&lt;=85,1,0))</formula>
    </cfRule>
  </conditionalFormatting>
  <conditionalFormatting sqref="AV99">
    <cfRule type="expression" dxfId="5025" priority="647">
      <formula>AV99="X"</formula>
    </cfRule>
    <cfRule type="expression" dxfId="5024" priority="648">
      <formula>AV99="후보"</formula>
    </cfRule>
  </conditionalFormatting>
  <conditionalFormatting sqref="AC99">
    <cfRule type="cellIs" dxfId="5023" priority="644" operator="greaterThan">
      <formula>0.9</formula>
    </cfRule>
    <cfRule type="cellIs" dxfId="5022" priority="645" operator="greaterThan">
      <formula>0.85</formula>
    </cfRule>
  </conditionalFormatting>
  <conditionalFormatting sqref="N99">
    <cfRule type="cellIs" dxfId="5021" priority="642" operator="greaterThan">
      <formula>0.9</formula>
    </cfRule>
    <cfRule type="cellIs" dxfId="5020" priority="643" operator="greaterThan">
      <formula>0.85</formula>
    </cfRule>
  </conditionalFormatting>
  <conditionalFormatting sqref="E99">
    <cfRule type="expression" dxfId="5019" priority="638">
      <formula>AND(IF(OR($Q99=1,$Q99=2),1,0),IF($X99&lt;=20,1,0))</formula>
    </cfRule>
    <cfRule type="expression" dxfId="5018" priority="639">
      <formula>AND(IF($Q99=2,1,0),IF($X99&lt;30,1,0))</formula>
    </cfRule>
    <cfRule type="expression" dxfId="5017" priority="640">
      <formula>AND(IF($Q99=3,1,0),IF($X99&lt;30,1,0))</formula>
    </cfRule>
    <cfRule type="expression" dxfId="5016" priority="641">
      <formula>AND(IF($Q99=3,1,IF($Q99=4,1,0)),IF($F99&lt;=85,1,0))</formula>
    </cfRule>
  </conditionalFormatting>
  <conditionalFormatting sqref="X99">
    <cfRule type="expression" dxfId="5015" priority="634">
      <formula>AND(IF(OR($Q99=1,$Q99=2),1,0),IF($X99&lt;=20,1,0))</formula>
    </cfRule>
    <cfRule type="expression" dxfId="5014" priority="635">
      <formula>AND(IF($Q99=2,1,0),IF($X99&lt;30,1,0))</formula>
    </cfRule>
    <cfRule type="expression" dxfId="5013" priority="636">
      <formula>AND(IF($Q99=3,1,0),IF($X99&lt;30,1,0))</formula>
    </cfRule>
    <cfRule type="expression" dxfId="5012" priority="637">
      <formula>AND(IF($Q99=3,1,IF($Q99=4,1,0)),IF($F99&lt;=85,1,0))</formula>
    </cfRule>
  </conditionalFormatting>
  <conditionalFormatting sqref="AI99">
    <cfRule type="expression" dxfId="5011" priority="630">
      <formula>AND(IF(OR($Q99=1,$Q99=2),1,0),IF($X99&lt;=20,1,0))</formula>
    </cfRule>
    <cfRule type="expression" dxfId="5010" priority="631">
      <formula>AND(IF($Q99=2,1,0),IF($X99&lt;30,1,0))</formula>
    </cfRule>
    <cfRule type="expression" dxfId="5009" priority="632">
      <formula>AND(IF($Q99=3,1,0),IF($X99&lt;30,1,0))</formula>
    </cfRule>
    <cfRule type="expression" dxfId="5008" priority="633">
      <formula>AND(IF($Q99=3,1,IF($Q99=4,1,0)),IF($F99&lt;=85,1,0))</formula>
    </cfRule>
  </conditionalFormatting>
  <conditionalFormatting sqref="AV100">
    <cfRule type="expression" dxfId="5007" priority="628">
      <formula>AV100="X"</formula>
    </cfRule>
    <cfRule type="expression" dxfId="5006" priority="629">
      <formula>AV100="후보"</formula>
    </cfRule>
  </conditionalFormatting>
  <conditionalFormatting sqref="AC100">
    <cfRule type="cellIs" dxfId="5005" priority="625" operator="greaterThan">
      <formula>0.9</formula>
    </cfRule>
    <cfRule type="cellIs" dxfId="5004" priority="626" operator="greaterThan">
      <formula>0.85</formula>
    </cfRule>
  </conditionalFormatting>
  <conditionalFormatting sqref="N100">
    <cfRule type="cellIs" dxfId="5003" priority="623" operator="greaterThan">
      <formula>0.9</formula>
    </cfRule>
    <cfRule type="cellIs" dxfId="5002" priority="624" operator="greaterThan">
      <formula>0.85</formula>
    </cfRule>
  </conditionalFormatting>
  <conditionalFormatting sqref="E100">
    <cfRule type="expression" dxfId="5001" priority="619">
      <formula>AND(IF(OR($Q100=1,$Q100=2),1,0),IF($X100&lt;=20,1,0))</formula>
    </cfRule>
    <cfRule type="expression" dxfId="5000" priority="620">
      <formula>AND(IF($Q100=2,1,0),IF($X100&lt;30,1,0))</formula>
    </cfRule>
    <cfRule type="expression" dxfId="4999" priority="621">
      <formula>AND(IF($Q100=3,1,0),IF($X100&lt;30,1,0))</formula>
    </cfRule>
    <cfRule type="expression" dxfId="4998" priority="622">
      <formula>AND(IF($Q100=3,1,IF($Q100=4,1,0)),IF($F100&lt;=85,1,0))</formula>
    </cfRule>
  </conditionalFormatting>
  <conditionalFormatting sqref="X100">
    <cfRule type="expression" dxfId="4997" priority="615">
      <formula>AND(IF(OR($Q100=1,$Q100=2),1,0),IF($X100&lt;=20,1,0))</formula>
    </cfRule>
    <cfRule type="expression" dxfId="4996" priority="616">
      <formula>AND(IF($Q100=2,1,0),IF($X100&lt;30,1,0))</formula>
    </cfRule>
    <cfRule type="expression" dxfId="4995" priority="617">
      <formula>AND(IF($Q100=3,1,0),IF($X100&lt;30,1,0))</formula>
    </cfRule>
    <cfRule type="expression" dxfId="4994" priority="618">
      <formula>AND(IF($Q100=3,1,IF($Q100=4,1,0)),IF($F100&lt;=85,1,0))</formula>
    </cfRule>
  </conditionalFormatting>
  <conditionalFormatting sqref="AI100">
    <cfRule type="expression" dxfId="4993" priority="611">
      <formula>AND(IF(OR($Q100=1,$Q100=2),1,0),IF($X100&lt;=20,1,0))</formula>
    </cfRule>
    <cfRule type="expression" dxfId="4992" priority="612">
      <formula>AND(IF($Q100=2,1,0),IF($X100&lt;30,1,0))</formula>
    </cfRule>
    <cfRule type="expression" dxfId="4991" priority="613">
      <formula>AND(IF($Q100=3,1,0),IF($X100&lt;30,1,0))</formula>
    </cfRule>
    <cfRule type="expression" dxfId="4990" priority="614">
      <formula>AND(IF($Q100=3,1,IF($Q100=4,1,0)),IF($F100&lt;=85,1,0))</formula>
    </cfRule>
  </conditionalFormatting>
  <conditionalFormatting sqref="AV101">
    <cfRule type="expression" dxfId="4989" priority="609">
      <formula>AV101="X"</formula>
    </cfRule>
    <cfRule type="expression" dxfId="4988" priority="610">
      <formula>AV101="후보"</formula>
    </cfRule>
  </conditionalFormatting>
  <conditionalFormatting sqref="AC101">
    <cfRule type="cellIs" dxfId="4987" priority="606" operator="greaterThan">
      <formula>0.9</formula>
    </cfRule>
    <cfRule type="cellIs" dxfId="4986" priority="607" operator="greaterThan">
      <formula>0.85</formula>
    </cfRule>
  </conditionalFormatting>
  <conditionalFormatting sqref="N101">
    <cfRule type="cellIs" dxfId="4985" priority="604" operator="greaterThan">
      <formula>0.9</formula>
    </cfRule>
    <cfRule type="cellIs" dxfId="4984" priority="605" operator="greaterThan">
      <formula>0.85</formula>
    </cfRule>
  </conditionalFormatting>
  <conditionalFormatting sqref="E101">
    <cfRule type="expression" dxfId="4983" priority="600">
      <formula>AND(IF(OR($Q101=1,$Q101=2),1,0),IF($X101&lt;=20,1,0))</formula>
    </cfRule>
    <cfRule type="expression" dxfId="4982" priority="601">
      <formula>AND(IF($Q101=2,1,0),IF($X101&lt;30,1,0))</formula>
    </cfRule>
    <cfRule type="expression" dxfId="4981" priority="602">
      <formula>AND(IF($Q101=3,1,0),IF($X101&lt;30,1,0))</formula>
    </cfRule>
    <cfRule type="expression" dxfId="4980" priority="603">
      <formula>AND(IF($Q101=3,1,IF($Q101=4,1,0)),IF($F101&lt;=85,1,0))</formula>
    </cfRule>
  </conditionalFormatting>
  <conditionalFormatting sqref="X101">
    <cfRule type="expression" dxfId="4979" priority="596">
      <formula>AND(IF(OR($Q101=1,$Q101=2),1,0),IF($X101&lt;=20,1,0))</formula>
    </cfRule>
    <cfRule type="expression" dxfId="4978" priority="597">
      <formula>AND(IF($Q101=2,1,0),IF($X101&lt;30,1,0))</formula>
    </cfRule>
    <cfRule type="expression" dxfId="4977" priority="598">
      <formula>AND(IF($Q101=3,1,0),IF($X101&lt;30,1,0))</formula>
    </cfRule>
    <cfRule type="expression" dxfId="4976" priority="599">
      <formula>AND(IF($Q101=3,1,IF($Q101=4,1,0)),IF($F101&lt;=85,1,0))</formula>
    </cfRule>
  </conditionalFormatting>
  <conditionalFormatting sqref="AI101">
    <cfRule type="expression" dxfId="4975" priority="592">
      <formula>AND(IF(OR($Q101=1,$Q101=2),1,0),IF($X101&lt;=20,1,0))</formula>
    </cfRule>
    <cfRule type="expression" dxfId="4974" priority="593">
      <formula>AND(IF($Q101=2,1,0),IF($X101&lt;30,1,0))</formula>
    </cfRule>
    <cfRule type="expression" dxfId="4973" priority="594">
      <formula>AND(IF($Q101=3,1,0),IF($X101&lt;30,1,0))</formula>
    </cfRule>
    <cfRule type="expression" dxfId="4972" priority="595">
      <formula>AND(IF($Q101=3,1,IF($Q101=4,1,0)),IF($F101&lt;=85,1,0))</formula>
    </cfRule>
  </conditionalFormatting>
  <conditionalFormatting sqref="AV102">
    <cfRule type="expression" dxfId="4971" priority="590">
      <formula>AV102="X"</formula>
    </cfRule>
    <cfRule type="expression" dxfId="4970" priority="591">
      <formula>AV102="후보"</formula>
    </cfRule>
  </conditionalFormatting>
  <conditionalFormatting sqref="AC102 N102">
    <cfRule type="cellIs" dxfId="4969" priority="587" operator="greaterThan">
      <formula>0.9</formula>
    </cfRule>
    <cfRule type="cellIs" dxfId="4968" priority="588" operator="greaterThan">
      <formula>0.85</formula>
    </cfRule>
  </conditionalFormatting>
  <conditionalFormatting sqref="AV103">
    <cfRule type="expression" dxfId="4967" priority="585">
      <formula>AV103="X"</formula>
    </cfRule>
    <cfRule type="expression" dxfId="4966" priority="586">
      <formula>AV103="후보"</formula>
    </cfRule>
  </conditionalFormatting>
  <conditionalFormatting sqref="AC103">
    <cfRule type="cellIs" dxfId="4965" priority="582" operator="greaterThan">
      <formula>0.9</formula>
    </cfRule>
    <cfRule type="cellIs" dxfId="4964" priority="583" operator="greaterThan">
      <formula>0.85</formula>
    </cfRule>
  </conditionalFormatting>
  <conditionalFormatting sqref="N103">
    <cfRule type="cellIs" dxfId="4963" priority="580" operator="greaterThan">
      <formula>0.9</formula>
    </cfRule>
    <cfRule type="cellIs" dxfId="4962" priority="581" operator="greaterThan">
      <formula>0.85</formula>
    </cfRule>
  </conditionalFormatting>
  <conditionalFormatting sqref="E103">
    <cfRule type="expression" dxfId="4961" priority="576">
      <formula>AND(IF(OR($Q103=1,$Q103=2),1,0),IF($X103&lt;=20,1,0))</formula>
    </cfRule>
    <cfRule type="expression" dxfId="4960" priority="577">
      <formula>AND(IF($Q103=2,1,0),IF($X103&lt;30,1,0))</formula>
    </cfRule>
    <cfRule type="expression" dxfId="4959" priority="578">
      <formula>AND(IF($Q103=3,1,0),IF($X103&lt;30,1,0))</formula>
    </cfRule>
    <cfRule type="expression" dxfId="4958" priority="579">
      <formula>AND(IF($Q103=3,1,IF($Q103=4,1,0)),IF($F103&lt;=85,1,0))</formula>
    </cfRule>
  </conditionalFormatting>
  <conditionalFormatting sqref="X103">
    <cfRule type="expression" dxfId="4957" priority="572">
      <formula>AND(IF(OR($Q103=1,$Q103=2),1,0),IF($X103&lt;=20,1,0))</formula>
    </cfRule>
    <cfRule type="expression" dxfId="4956" priority="573">
      <formula>AND(IF($Q103=2,1,0),IF($X103&lt;30,1,0))</formula>
    </cfRule>
    <cfRule type="expression" dxfId="4955" priority="574">
      <formula>AND(IF($Q103=3,1,0),IF($X103&lt;30,1,0))</formula>
    </cfRule>
    <cfRule type="expression" dxfId="4954" priority="575">
      <formula>AND(IF($Q103=3,1,IF($Q103=4,1,0)),IF($F103&lt;=85,1,0))</formula>
    </cfRule>
  </conditionalFormatting>
  <conditionalFormatting sqref="AI103">
    <cfRule type="expression" dxfId="4953" priority="568">
      <formula>AND(IF(OR($Q103=1,$Q103=2),1,0),IF($X103&lt;=20,1,0))</formula>
    </cfRule>
    <cfRule type="expression" dxfId="4952" priority="569">
      <formula>AND(IF($Q103=2,1,0),IF($X103&lt;30,1,0))</formula>
    </cfRule>
    <cfRule type="expression" dxfId="4951" priority="570">
      <formula>AND(IF($Q103=3,1,0),IF($X103&lt;30,1,0))</formula>
    </cfRule>
    <cfRule type="expression" dxfId="4950" priority="571">
      <formula>AND(IF($Q103=3,1,IF($Q103=4,1,0)),IF($F103&lt;=85,1,0))</formula>
    </cfRule>
  </conditionalFormatting>
  <conditionalFormatting sqref="AV104">
    <cfRule type="expression" dxfId="4949" priority="566">
      <formula>AV104="X"</formula>
    </cfRule>
    <cfRule type="expression" dxfId="4948" priority="567">
      <formula>AV104="후보"</formula>
    </cfRule>
  </conditionalFormatting>
  <conditionalFormatting sqref="AC104">
    <cfRule type="cellIs" dxfId="4947" priority="563" operator="greaterThan">
      <formula>0.9</formula>
    </cfRule>
    <cfRule type="cellIs" dxfId="4946" priority="564" operator="greaterThan">
      <formula>0.85</formula>
    </cfRule>
  </conditionalFormatting>
  <conditionalFormatting sqref="N104">
    <cfRule type="cellIs" dxfId="4945" priority="561" operator="greaterThan">
      <formula>0.9</formula>
    </cfRule>
    <cfRule type="cellIs" dxfId="4944" priority="562" operator="greaterThan">
      <formula>0.85</formula>
    </cfRule>
  </conditionalFormatting>
  <conditionalFormatting sqref="E104">
    <cfRule type="expression" dxfId="4943" priority="557">
      <formula>AND(IF(OR($Q104=1,$Q104=2),1,0),IF($X104&lt;=20,1,0))</formula>
    </cfRule>
    <cfRule type="expression" dxfId="4942" priority="558">
      <formula>AND(IF($Q104=2,1,0),IF($X104&lt;30,1,0))</formula>
    </cfRule>
    <cfRule type="expression" dxfId="4941" priority="559">
      <formula>AND(IF($Q104=3,1,0),IF($X104&lt;30,1,0))</formula>
    </cfRule>
    <cfRule type="expression" dxfId="4940" priority="560">
      <formula>AND(IF($Q104=3,1,IF($Q104=4,1,0)),IF($F104&lt;=85,1,0))</formula>
    </cfRule>
  </conditionalFormatting>
  <conditionalFormatting sqref="X104">
    <cfRule type="expression" dxfId="4939" priority="553">
      <formula>AND(IF(OR($Q104=1,$Q104=2),1,0),IF($X104&lt;=20,1,0))</formula>
    </cfRule>
    <cfRule type="expression" dxfId="4938" priority="554">
      <formula>AND(IF($Q104=2,1,0),IF($X104&lt;30,1,0))</formula>
    </cfRule>
    <cfRule type="expression" dxfId="4937" priority="555">
      <formula>AND(IF($Q104=3,1,0),IF($X104&lt;30,1,0))</formula>
    </cfRule>
    <cfRule type="expression" dxfId="4936" priority="556">
      <formula>AND(IF($Q104=3,1,IF($Q104=4,1,0)),IF($F104&lt;=85,1,0))</formula>
    </cfRule>
  </conditionalFormatting>
  <conditionalFormatting sqref="AI104">
    <cfRule type="expression" dxfId="4935" priority="549">
      <formula>AND(IF(OR($Q104=1,$Q104=2),1,0),IF($X104&lt;=20,1,0))</formula>
    </cfRule>
    <cfRule type="expression" dxfId="4934" priority="550">
      <formula>AND(IF($Q104=2,1,0),IF($X104&lt;30,1,0))</formula>
    </cfRule>
    <cfRule type="expression" dxfId="4933" priority="551">
      <formula>AND(IF($Q104=3,1,0),IF($X104&lt;30,1,0))</formula>
    </cfRule>
    <cfRule type="expression" dxfId="4932" priority="552">
      <formula>AND(IF($Q104=3,1,IF($Q104=4,1,0)),IF($F104&lt;=85,1,0))</formula>
    </cfRule>
  </conditionalFormatting>
  <conditionalFormatting sqref="AV105">
    <cfRule type="expression" dxfId="4931" priority="547">
      <formula>AV105="X"</formula>
    </cfRule>
    <cfRule type="expression" dxfId="4930" priority="548">
      <formula>AV105="후보"</formula>
    </cfRule>
  </conditionalFormatting>
  <conditionalFormatting sqref="AC105 N105">
    <cfRule type="cellIs" dxfId="4929" priority="544" operator="greaterThan">
      <formula>0.9</formula>
    </cfRule>
    <cfRule type="cellIs" dxfId="4928" priority="545" operator="greaterThan">
      <formula>0.85</formula>
    </cfRule>
  </conditionalFormatting>
  <conditionalFormatting sqref="AV106">
    <cfRule type="expression" dxfId="4927" priority="542">
      <formula>AV106="X"</formula>
    </cfRule>
    <cfRule type="expression" dxfId="4926" priority="543">
      <formula>AV106="후보"</formula>
    </cfRule>
  </conditionalFormatting>
  <conditionalFormatting sqref="AC106">
    <cfRule type="cellIs" dxfId="4925" priority="539" operator="greaterThan">
      <formula>0.9</formula>
    </cfRule>
    <cfRule type="cellIs" dxfId="4924" priority="540" operator="greaterThan">
      <formula>0.85</formula>
    </cfRule>
  </conditionalFormatting>
  <conditionalFormatting sqref="N106">
    <cfRule type="cellIs" dxfId="4923" priority="537" operator="greaterThan">
      <formula>0.9</formula>
    </cfRule>
    <cfRule type="cellIs" dxfId="4922" priority="538" operator="greaterThan">
      <formula>0.85</formula>
    </cfRule>
  </conditionalFormatting>
  <conditionalFormatting sqref="E106">
    <cfRule type="expression" dxfId="4921" priority="533">
      <formula>AND(IF(OR($Q106=1,$Q106=2),1,0),IF($X106&lt;=20,1,0))</formula>
    </cfRule>
    <cfRule type="expression" dxfId="4920" priority="534">
      <formula>AND(IF($Q106=2,1,0),IF($X106&lt;30,1,0))</formula>
    </cfRule>
    <cfRule type="expression" dxfId="4919" priority="535">
      <formula>AND(IF($Q106=3,1,0),IF($X106&lt;30,1,0))</formula>
    </cfRule>
    <cfRule type="expression" dxfId="4918" priority="536">
      <formula>AND(IF($Q106=3,1,IF($Q106=4,1,0)),IF($F106&lt;=85,1,0))</formula>
    </cfRule>
  </conditionalFormatting>
  <conditionalFormatting sqref="X106">
    <cfRule type="expression" dxfId="4917" priority="529">
      <formula>AND(IF(OR($Q106=1,$Q106=2),1,0),IF($X106&lt;=20,1,0))</formula>
    </cfRule>
    <cfRule type="expression" dxfId="4916" priority="530">
      <formula>AND(IF($Q106=2,1,0),IF($X106&lt;30,1,0))</formula>
    </cfRule>
    <cfRule type="expression" dxfId="4915" priority="531">
      <formula>AND(IF($Q106=3,1,0),IF($X106&lt;30,1,0))</formula>
    </cfRule>
    <cfRule type="expression" dxfId="4914" priority="532">
      <formula>AND(IF($Q106=3,1,IF($Q106=4,1,0)),IF($F106&lt;=85,1,0))</formula>
    </cfRule>
  </conditionalFormatting>
  <conditionalFormatting sqref="AI106">
    <cfRule type="expression" dxfId="4913" priority="525">
      <formula>AND(IF(OR($Q106=1,$Q106=2),1,0),IF($X106&lt;=20,1,0))</formula>
    </cfRule>
    <cfRule type="expression" dxfId="4912" priority="526">
      <formula>AND(IF($Q106=2,1,0),IF($X106&lt;30,1,0))</formula>
    </cfRule>
    <cfRule type="expression" dxfId="4911" priority="527">
      <formula>AND(IF($Q106=3,1,0),IF($X106&lt;30,1,0))</formula>
    </cfRule>
    <cfRule type="expression" dxfId="4910" priority="528">
      <formula>AND(IF($Q106=3,1,IF($Q106=4,1,0)),IF($F106&lt;=85,1,0))</formula>
    </cfRule>
  </conditionalFormatting>
  <conditionalFormatting sqref="AV107">
    <cfRule type="expression" dxfId="4909" priority="523">
      <formula>AV107="X"</formula>
    </cfRule>
    <cfRule type="expression" dxfId="4908" priority="524">
      <formula>AV107="후보"</formula>
    </cfRule>
  </conditionalFormatting>
  <conditionalFormatting sqref="AC107">
    <cfRule type="cellIs" dxfId="4907" priority="520" operator="greaterThan">
      <formula>0.9</formula>
    </cfRule>
    <cfRule type="cellIs" dxfId="4906" priority="521" operator="greaterThan">
      <formula>0.85</formula>
    </cfRule>
  </conditionalFormatting>
  <conditionalFormatting sqref="N107">
    <cfRule type="cellIs" dxfId="4905" priority="518" operator="greaterThan">
      <formula>0.9</formula>
    </cfRule>
    <cfRule type="cellIs" dxfId="4904" priority="519" operator="greaterThan">
      <formula>0.85</formula>
    </cfRule>
  </conditionalFormatting>
  <conditionalFormatting sqref="E107">
    <cfRule type="expression" dxfId="4903" priority="514">
      <formula>AND(IF(OR($Q107=1,$Q107=2),1,0),IF($X107&lt;=20,1,0))</formula>
    </cfRule>
    <cfRule type="expression" dxfId="4902" priority="515">
      <formula>AND(IF($Q107=2,1,0),IF($X107&lt;30,1,0))</formula>
    </cfRule>
    <cfRule type="expression" dxfId="4901" priority="516">
      <formula>AND(IF($Q107=3,1,0),IF($X107&lt;30,1,0))</formula>
    </cfRule>
    <cfRule type="expression" dxfId="4900" priority="517">
      <formula>AND(IF($Q107=3,1,IF($Q107=4,1,0)),IF($F107&lt;=85,1,0))</formula>
    </cfRule>
  </conditionalFormatting>
  <conditionalFormatting sqref="X107">
    <cfRule type="expression" dxfId="4899" priority="510">
      <formula>AND(IF(OR($Q107=1,$Q107=2),1,0),IF($X107&lt;=20,1,0))</formula>
    </cfRule>
    <cfRule type="expression" dxfId="4898" priority="511">
      <formula>AND(IF($Q107=2,1,0),IF($X107&lt;30,1,0))</formula>
    </cfRule>
    <cfRule type="expression" dxfId="4897" priority="512">
      <formula>AND(IF($Q107=3,1,0),IF($X107&lt;30,1,0))</formula>
    </cfRule>
    <cfRule type="expression" dxfId="4896" priority="513">
      <formula>AND(IF($Q107=3,1,IF($Q107=4,1,0)),IF($F107&lt;=85,1,0))</formula>
    </cfRule>
  </conditionalFormatting>
  <conditionalFormatting sqref="AI107">
    <cfRule type="expression" dxfId="4895" priority="506">
      <formula>AND(IF(OR($Q107=1,$Q107=2),1,0),IF($X107&lt;=20,1,0))</formula>
    </cfRule>
    <cfRule type="expression" dxfId="4894" priority="507">
      <formula>AND(IF($Q107=2,1,0),IF($X107&lt;30,1,0))</formula>
    </cfRule>
    <cfRule type="expression" dxfId="4893" priority="508">
      <formula>AND(IF($Q107=3,1,0),IF($X107&lt;30,1,0))</formula>
    </cfRule>
    <cfRule type="expression" dxfId="4892" priority="509">
      <formula>AND(IF($Q107=3,1,IF($Q107=4,1,0)),IF($F107&lt;=85,1,0))</formula>
    </cfRule>
  </conditionalFormatting>
  <conditionalFormatting sqref="AV108">
    <cfRule type="expression" dxfId="4891" priority="504">
      <formula>AV108="X"</formula>
    </cfRule>
    <cfRule type="expression" dxfId="4890" priority="505">
      <formula>AV108="후보"</formula>
    </cfRule>
  </conditionalFormatting>
  <conditionalFormatting sqref="AC108">
    <cfRule type="cellIs" dxfId="4889" priority="501" operator="greaterThan">
      <formula>0.9</formula>
    </cfRule>
    <cfRule type="cellIs" dxfId="4888" priority="502" operator="greaterThan">
      <formula>0.85</formula>
    </cfRule>
  </conditionalFormatting>
  <conditionalFormatting sqref="N108">
    <cfRule type="cellIs" dxfId="4887" priority="499" operator="greaterThan">
      <formula>0.9</formula>
    </cfRule>
    <cfRule type="cellIs" dxfId="4886" priority="500" operator="greaterThan">
      <formula>0.85</formula>
    </cfRule>
  </conditionalFormatting>
  <conditionalFormatting sqref="E108">
    <cfRule type="expression" dxfId="4885" priority="495">
      <formula>AND(IF(OR($Q108=1,$Q108=2),1,0),IF($X108&lt;=20,1,0))</formula>
    </cfRule>
    <cfRule type="expression" dxfId="4884" priority="496">
      <formula>AND(IF($Q108=2,1,0),IF($X108&lt;30,1,0))</formula>
    </cfRule>
    <cfRule type="expression" dxfId="4883" priority="497">
      <formula>AND(IF($Q108=3,1,0),IF($X108&lt;30,1,0))</formula>
    </cfRule>
    <cfRule type="expression" dxfId="4882" priority="498">
      <formula>AND(IF($Q108=3,1,IF($Q108=4,1,0)),IF($F108&lt;=85,1,0))</formula>
    </cfRule>
  </conditionalFormatting>
  <conditionalFormatting sqref="X108">
    <cfRule type="expression" dxfId="4881" priority="491">
      <formula>AND(IF(OR($Q108=1,$Q108=2),1,0),IF($X108&lt;=20,1,0))</formula>
    </cfRule>
    <cfRule type="expression" dxfId="4880" priority="492">
      <formula>AND(IF($Q108=2,1,0),IF($X108&lt;30,1,0))</formula>
    </cfRule>
    <cfRule type="expression" dxfId="4879" priority="493">
      <formula>AND(IF($Q108=3,1,0),IF($X108&lt;30,1,0))</formula>
    </cfRule>
    <cfRule type="expression" dxfId="4878" priority="494">
      <formula>AND(IF($Q108=3,1,IF($Q108=4,1,0)),IF($F108&lt;=85,1,0))</formula>
    </cfRule>
  </conditionalFormatting>
  <conditionalFormatting sqref="AI108">
    <cfRule type="expression" dxfId="4877" priority="487">
      <formula>AND(IF(OR($Q108=1,$Q108=2),1,0),IF($X108&lt;=20,1,0))</formula>
    </cfRule>
    <cfRule type="expression" dxfId="4876" priority="488">
      <formula>AND(IF($Q108=2,1,0),IF($X108&lt;30,1,0))</formula>
    </cfRule>
    <cfRule type="expression" dxfId="4875" priority="489">
      <formula>AND(IF($Q108=3,1,0),IF($X108&lt;30,1,0))</formula>
    </cfRule>
    <cfRule type="expression" dxfId="4874" priority="490">
      <formula>AND(IF($Q108=3,1,IF($Q108=4,1,0)),IF($F108&lt;=85,1,0))</formula>
    </cfRule>
  </conditionalFormatting>
  <conditionalFormatting sqref="AV109">
    <cfRule type="expression" dxfId="4873" priority="485">
      <formula>AV109="X"</formula>
    </cfRule>
    <cfRule type="expression" dxfId="4872" priority="486">
      <formula>AV109="후보"</formula>
    </cfRule>
  </conditionalFormatting>
  <conditionalFormatting sqref="AC109">
    <cfRule type="cellIs" dxfId="4871" priority="482" operator="greaterThan">
      <formula>0.9</formula>
    </cfRule>
    <cfRule type="cellIs" dxfId="4870" priority="483" operator="greaterThan">
      <formula>0.85</formula>
    </cfRule>
  </conditionalFormatting>
  <conditionalFormatting sqref="N109">
    <cfRule type="cellIs" dxfId="4869" priority="480" operator="greaterThan">
      <formula>0.9</formula>
    </cfRule>
    <cfRule type="cellIs" dxfId="4868" priority="481" operator="greaterThan">
      <formula>0.85</formula>
    </cfRule>
  </conditionalFormatting>
  <conditionalFormatting sqref="E109">
    <cfRule type="expression" dxfId="4867" priority="476">
      <formula>AND(IF(OR($Q109=1,$Q109=2),1,0),IF($X109&lt;=20,1,0))</formula>
    </cfRule>
    <cfRule type="expression" dxfId="4866" priority="477">
      <formula>AND(IF($Q109=2,1,0),IF($X109&lt;30,1,0))</formula>
    </cfRule>
    <cfRule type="expression" dxfId="4865" priority="478">
      <formula>AND(IF($Q109=3,1,0),IF($X109&lt;30,1,0))</formula>
    </cfRule>
    <cfRule type="expression" dxfId="4864" priority="479">
      <formula>AND(IF($Q109=3,1,IF($Q109=4,1,0)),IF($F109&lt;=85,1,0))</formula>
    </cfRule>
  </conditionalFormatting>
  <conditionalFormatting sqref="X109">
    <cfRule type="expression" dxfId="4863" priority="472">
      <formula>AND(IF(OR($Q109=1,$Q109=2),1,0),IF($X109&lt;=20,1,0))</formula>
    </cfRule>
    <cfRule type="expression" dxfId="4862" priority="473">
      <formula>AND(IF($Q109=2,1,0),IF($X109&lt;30,1,0))</formula>
    </cfRule>
    <cfRule type="expression" dxfId="4861" priority="474">
      <formula>AND(IF($Q109=3,1,0),IF($X109&lt;30,1,0))</formula>
    </cfRule>
    <cfRule type="expression" dxfId="4860" priority="475">
      <formula>AND(IF($Q109=3,1,IF($Q109=4,1,0)),IF($F109&lt;=85,1,0))</formula>
    </cfRule>
  </conditionalFormatting>
  <conditionalFormatting sqref="AI109">
    <cfRule type="expression" dxfId="4859" priority="468">
      <formula>AND(IF(OR($Q109=1,$Q109=2),1,0),IF($X109&lt;=20,1,0))</formula>
    </cfRule>
    <cfRule type="expression" dxfId="4858" priority="469">
      <formula>AND(IF($Q109=2,1,0),IF($X109&lt;30,1,0))</formula>
    </cfRule>
    <cfRule type="expression" dxfId="4857" priority="470">
      <formula>AND(IF($Q109=3,1,0),IF($X109&lt;30,1,0))</formula>
    </cfRule>
    <cfRule type="expression" dxfId="4856" priority="471">
      <formula>AND(IF($Q109=3,1,IF($Q109=4,1,0)),IF($F109&lt;=85,1,0))</formula>
    </cfRule>
  </conditionalFormatting>
  <conditionalFormatting sqref="AV110">
    <cfRule type="expression" dxfId="4855" priority="466">
      <formula>AV110="X"</formula>
    </cfRule>
    <cfRule type="expression" dxfId="4854" priority="467">
      <formula>AV110="후보"</formula>
    </cfRule>
  </conditionalFormatting>
  <conditionalFormatting sqref="AC110">
    <cfRule type="cellIs" dxfId="4853" priority="463" operator="greaterThan">
      <formula>0.9</formula>
    </cfRule>
    <cfRule type="cellIs" dxfId="4852" priority="464" operator="greaterThan">
      <formula>0.85</formula>
    </cfRule>
  </conditionalFormatting>
  <conditionalFormatting sqref="N110">
    <cfRule type="cellIs" dxfId="4851" priority="461" operator="greaterThan">
      <formula>0.9</formula>
    </cfRule>
    <cfRule type="cellIs" dxfId="4850" priority="462" operator="greaterThan">
      <formula>0.85</formula>
    </cfRule>
  </conditionalFormatting>
  <conditionalFormatting sqref="E110">
    <cfRule type="expression" dxfId="4849" priority="457">
      <formula>AND(IF(OR($Q110=1,$Q110=2),1,0),IF($X110&lt;=20,1,0))</formula>
    </cfRule>
    <cfRule type="expression" dxfId="4848" priority="458">
      <formula>AND(IF($Q110=2,1,0),IF($X110&lt;30,1,0))</formula>
    </cfRule>
    <cfRule type="expression" dxfId="4847" priority="459">
      <formula>AND(IF($Q110=3,1,0),IF($X110&lt;30,1,0))</formula>
    </cfRule>
    <cfRule type="expression" dxfId="4846" priority="460">
      <formula>AND(IF($Q110=3,1,IF($Q110=4,1,0)),IF($F110&lt;=85,1,0))</formula>
    </cfRule>
  </conditionalFormatting>
  <conditionalFormatting sqref="X110">
    <cfRule type="expression" dxfId="4845" priority="453">
      <formula>AND(IF(OR($Q110=1,$Q110=2),1,0),IF($X110&lt;=20,1,0))</formula>
    </cfRule>
    <cfRule type="expression" dxfId="4844" priority="454">
      <formula>AND(IF($Q110=2,1,0),IF($X110&lt;30,1,0))</formula>
    </cfRule>
    <cfRule type="expression" dxfId="4843" priority="455">
      <formula>AND(IF($Q110=3,1,0),IF($X110&lt;30,1,0))</formula>
    </cfRule>
    <cfRule type="expression" dxfId="4842" priority="456">
      <formula>AND(IF($Q110=3,1,IF($Q110=4,1,0)),IF($F110&lt;=85,1,0))</formula>
    </cfRule>
  </conditionalFormatting>
  <conditionalFormatting sqref="AI110">
    <cfRule type="expression" dxfId="4841" priority="449">
      <formula>AND(IF(OR($Q110=1,$Q110=2),1,0),IF($X110&lt;=20,1,0))</formula>
    </cfRule>
    <cfRule type="expression" dxfId="4840" priority="450">
      <formula>AND(IF($Q110=2,1,0),IF($X110&lt;30,1,0))</formula>
    </cfRule>
    <cfRule type="expression" dxfId="4839" priority="451">
      <formula>AND(IF($Q110=3,1,0),IF($X110&lt;30,1,0))</formula>
    </cfRule>
    <cfRule type="expression" dxfId="4838" priority="452">
      <formula>AND(IF($Q110=3,1,IF($Q110=4,1,0)),IF($F110&lt;=85,1,0))</formula>
    </cfRule>
  </conditionalFormatting>
  <conditionalFormatting sqref="AV111">
    <cfRule type="expression" dxfId="4837" priority="447">
      <formula>AV111="X"</formula>
    </cfRule>
    <cfRule type="expression" dxfId="4836" priority="448">
      <formula>AV111="후보"</formula>
    </cfRule>
  </conditionalFormatting>
  <conditionalFormatting sqref="AC111">
    <cfRule type="cellIs" dxfId="4835" priority="444" operator="greaterThan">
      <formula>0.9</formula>
    </cfRule>
    <cfRule type="cellIs" dxfId="4834" priority="445" operator="greaterThan">
      <formula>0.85</formula>
    </cfRule>
  </conditionalFormatting>
  <conditionalFormatting sqref="N111">
    <cfRule type="cellIs" dxfId="4833" priority="442" operator="greaterThan">
      <formula>0.9</formula>
    </cfRule>
    <cfRule type="cellIs" dxfId="4832" priority="443" operator="greaterThan">
      <formula>0.85</formula>
    </cfRule>
  </conditionalFormatting>
  <conditionalFormatting sqref="E111">
    <cfRule type="expression" dxfId="4831" priority="438">
      <formula>AND(IF(OR($Q111=1,$Q111=2),1,0),IF($X111&lt;=20,1,0))</formula>
    </cfRule>
    <cfRule type="expression" dxfId="4830" priority="439">
      <formula>AND(IF($Q111=2,1,0),IF($X111&lt;30,1,0))</formula>
    </cfRule>
    <cfRule type="expression" dxfId="4829" priority="440">
      <formula>AND(IF($Q111=3,1,0),IF($X111&lt;30,1,0))</formula>
    </cfRule>
    <cfRule type="expression" dxfId="4828" priority="441">
      <formula>AND(IF($Q111=3,1,IF($Q111=4,1,0)),IF($F111&lt;=85,1,0))</formula>
    </cfRule>
  </conditionalFormatting>
  <conditionalFormatting sqref="X111">
    <cfRule type="expression" dxfId="4827" priority="434">
      <formula>AND(IF(OR($Q111=1,$Q111=2),1,0),IF($X111&lt;=20,1,0))</formula>
    </cfRule>
    <cfRule type="expression" dxfId="4826" priority="435">
      <formula>AND(IF($Q111=2,1,0),IF($X111&lt;30,1,0))</formula>
    </cfRule>
    <cfRule type="expression" dxfId="4825" priority="436">
      <formula>AND(IF($Q111=3,1,0),IF($X111&lt;30,1,0))</formula>
    </cfRule>
    <cfRule type="expression" dxfId="4824" priority="437">
      <formula>AND(IF($Q111=3,1,IF($Q111=4,1,0)),IF($F111&lt;=85,1,0))</formula>
    </cfRule>
  </conditionalFormatting>
  <conditionalFormatting sqref="AI111">
    <cfRule type="expression" dxfId="4823" priority="430">
      <formula>AND(IF(OR($Q111=1,$Q111=2),1,0),IF($X111&lt;=20,1,0))</formula>
    </cfRule>
    <cfRule type="expression" dxfId="4822" priority="431">
      <formula>AND(IF($Q111=2,1,0),IF($X111&lt;30,1,0))</formula>
    </cfRule>
    <cfRule type="expression" dxfId="4821" priority="432">
      <formula>AND(IF($Q111=3,1,0),IF($X111&lt;30,1,0))</formula>
    </cfRule>
    <cfRule type="expression" dxfId="4820" priority="433">
      <formula>AND(IF($Q111=3,1,IF($Q111=4,1,0)),IF($F111&lt;=85,1,0))</formula>
    </cfRule>
  </conditionalFormatting>
  <conditionalFormatting sqref="AV112">
    <cfRule type="expression" dxfId="4819" priority="428">
      <formula>AV112="X"</formula>
    </cfRule>
    <cfRule type="expression" dxfId="4818" priority="429">
      <formula>AV112="후보"</formula>
    </cfRule>
  </conditionalFormatting>
  <conditionalFormatting sqref="AC112 N112">
    <cfRule type="cellIs" dxfId="4817" priority="425" operator="greaterThan">
      <formula>0.9</formula>
    </cfRule>
    <cfRule type="cellIs" dxfId="4816" priority="426" operator="greaterThan">
      <formula>0.85</formula>
    </cfRule>
  </conditionalFormatting>
  <conditionalFormatting sqref="AV113">
    <cfRule type="expression" dxfId="4815" priority="423">
      <formula>AV113="X"</formula>
    </cfRule>
    <cfRule type="expression" dxfId="4814" priority="424">
      <formula>AV113="후보"</formula>
    </cfRule>
  </conditionalFormatting>
  <conditionalFormatting sqref="AC113">
    <cfRule type="cellIs" dxfId="4813" priority="420" operator="greaterThan">
      <formula>0.9</formula>
    </cfRule>
    <cfRule type="cellIs" dxfId="4812" priority="421" operator="greaterThan">
      <formula>0.85</formula>
    </cfRule>
  </conditionalFormatting>
  <conditionalFormatting sqref="N113">
    <cfRule type="cellIs" dxfId="4811" priority="418" operator="greaterThan">
      <formula>0.9</formula>
    </cfRule>
    <cfRule type="cellIs" dxfId="4810" priority="419" operator="greaterThan">
      <formula>0.85</formula>
    </cfRule>
  </conditionalFormatting>
  <conditionalFormatting sqref="E113">
    <cfRule type="expression" dxfId="4809" priority="414">
      <formula>AND(IF(OR($Q113=1,$Q113=2),1,0),IF($X113&lt;=20,1,0))</formula>
    </cfRule>
    <cfRule type="expression" dxfId="4808" priority="415">
      <formula>AND(IF($Q113=2,1,0),IF($X113&lt;30,1,0))</formula>
    </cfRule>
    <cfRule type="expression" dxfId="4807" priority="416">
      <formula>AND(IF($Q113=3,1,0),IF($X113&lt;30,1,0))</formula>
    </cfRule>
    <cfRule type="expression" dxfId="4806" priority="417">
      <formula>AND(IF($Q113=3,1,IF($Q113=4,1,0)),IF($F113&lt;=85,1,0))</formula>
    </cfRule>
  </conditionalFormatting>
  <conditionalFormatting sqref="X113">
    <cfRule type="expression" dxfId="4805" priority="410">
      <formula>AND(IF(OR($Q113=1,$Q113=2),1,0),IF($X113&lt;=20,1,0))</formula>
    </cfRule>
    <cfRule type="expression" dxfId="4804" priority="411">
      <formula>AND(IF($Q113=2,1,0),IF($X113&lt;30,1,0))</formula>
    </cfRule>
    <cfRule type="expression" dxfId="4803" priority="412">
      <formula>AND(IF($Q113=3,1,0),IF($X113&lt;30,1,0))</formula>
    </cfRule>
    <cfRule type="expression" dxfId="4802" priority="413">
      <formula>AND(IF($Q113=3,1,IF($Q113=4,1,0)),IF($F113&lt;=85,1,0))</formula>
    </cfRule>
  </conditionalFormatting>
  <conditionalFormatting sqref="AI113">
    <cfRule type="expression" dxfId="4801" priority="406">
      <formula>AND(IF(OR($Q113=1,$Q113=2),1,0),IF($X113&lt;=20,1,0))</formula>
    </cfRule>
    <cfRule type="expression" dxfId="4800" priority="407">
      <formula>AND(IF($Q113=2,1,0),IF($X113&lt;30,1,0))</formula>
    </cfRule>
    <cfRule type="expression" dxfId="4799" priority="408">
      <formula>AND(IF($Q113=3,1,0),IF($X113&lt;30,1,0))</formula>
    </cfRule>
    <cfRule type="expression" dxfId="4798" priority="409">
      <formula>AND(IF($Q113=3,1,IF($Q113=4,1,0)),IF($F113&lt;=85,1,0))</formula>
    </cfRule>
  </conditionalFormatting>
  <conditionalFormatting sqref="AV114">
    <cfRule type="expression" dxfId="4797" priority="404">
      <formula>AV114="X"</formula>
    </cfRule>
    <cfRule type="expression" dxfId="4796" priority="405">
      <formula>AV114="후보"</formula>
    </cfRule>
  </conditionalFormatting>
  <conditionalFormatting sqref="AC114">
    <cfRule type="cellIs" dxfId="4795" priority="401" operator="greaterThan">
      <formula>0.9</formula>
    </cfRule>
    <cfRule type="cellIs" dxfId="4794" priority="402" operator="greaterThan">
      <formula>0.85</formula>
    </cfRule>
  </conditionalFormatting>
  <conditionalFormatting sqref="N114">
    <cfRule type="cellIs" dxfId="4793" priority="399" operator="greaterThan">
      <formula>0.9</formula>
    </cfRule>
    <cfRule type="cellIs" dxfId="4792" priority="400" operator="greaterThan">
      <formula>0.85</formula>
    </cfRule>
  </conditionalFormatting>
  <conditionalFormatting sqref="E114">
    <cfRule type="expression" dxfId="4791" priority="395">
      <formula>AND(IF(OR($Q114=1,$Q114=2),1,0),IF($X114&lt;=20,1,0))</formula>
    </cfRule>
    <cfRule type="expression" dxfId="4790" priority="396">
      <formula>AND(IF($Q114=2,1,0),IF($X114&lt;30,1,0))</formula>
    </cfRule>
    <cfRule type="expression" dxfId="4789" priority="397">
      <formula>AND(IF($Q114=3,1,0),IF($X114&lt;30,1,0))</formula>
    </cfRule>
    <cfRule type="expression" dxfId="4788" priority="398">
      <formula>AND(IF($Q114=3,1,IF($Q114=4,1,0)),IF($F114&lt;=85,1,0))</formula>
    </cfRule>
  </conditionalFormatting>
  <conditionalFormatting sqref="X114">
    <cfRule type="expression" dxfId="4787" priority="391">
      <formula>AND(IF(OR($Q114=1,$Q114=2),1,0),IF($X114&lt;=20,1,0))</formula>
    </cfRule>
    <cfRule type="expression" dxfId="4786" priority="392">
      <formula>AND(IF($Q114=2,1,0),IF($X114&lt;30,1,0))</formula>
    </cfRule>
    <cfRule type="expression" dxfId="4785" priority="393">
      <formula>AND(IF($Q114=3,1,0),IF($X114&lt;30,1,0))</formula>
    </cfRule>
    <cfRule type="expression" dxfId="4784" priority="394">
      <formula>AND(IF($Q114=3,1,IF($Q114=4,1,0)),IF($F114&lt;=85,1,0))</formula>
    </cfRule>
  </conditionalFormatting>
  <conditionalFormatting sqref="AI114">
    <cfRule type="expression" dxfId="4783" priority="387">
      <formula>AND(IF(OR($Q114=1,$Q114=2),1,0),IF($X114&lt;=20,1,0))</formula>
    </cfRule>
    <cfRule type="expression" dxfId="4782" priority="388">
      <formula>AND(IF($Q114=2,1,0),IF($X114&lt;30,1,0))</formula>
    </cfRule>
    <cfRule type="expression" dxfId="4781" priority="389">
      <formula>AND(IF($Q114=3,1,0),IF($X114&lt;30,1,0))</formula>
    </cfRule>
    <cfRule type="expression" dxfId="4780" priority="390">
      <formula>AND(IF($Q114=3,1,IF($Q114=4,1,0)),IF($F114&lt;=85,1,0))</formula>
    </cfRule>
  </conditionalFormatting>
  <conditionalFormatting sqref="AV115">
    <cfRule type="expression" dxfId="4779" priority="385">
      <formula>AV115="X"</formula>
    </cfRule>
    <cfRule type="expression" dxfId="4778" priority="386">
      <formula>AV115="후보"</formula>
    </cfRule>
  </conditionalFormatting>
  <conditionalFormatting sqref="AC115">
    <cfRule type="cellIs" dxfId="4777" priority="382" operator="greaterThan">
      <formula>0.9</formula>
    </cfRule>
    <cfRule type="cellIs" dxfId="4776" priority="383" operator="greaterThan">
      <formula>0.85</formula>
    </cfRule>
  </conditionalFormatting>
  <conditionalFormatting sqref="N115">
    <cfRule type="cellIs" dxfId="4775" priority="380" operator="greaterThan">
      <formula>0.9</formula>
    </cfRule>
    <cfRule type="cellIs" dxfId="4774" priority="381" operator="greaterThan">
      <formula>0.85</formula>
    </cfRule>
  </conditionalFormatting>
  <conditionalFormatting sqref="E115">
    <cfRule type="expression" dxfId="4773" priority="376">
      <formula>AND(IF(OR($Q115=1,$Q115=2),1,0),IF($X115&lt;=20,1,0))</formula>
    </cfRule>
    <cfRule type="expression" dxfId="4772" priority="377">
      <formula>AND(IF($Q115=2,1,0),IF($X115&lt;30,1,0))</formula>
    </cfRule>
    <cfRule type="expression" dxfId="4771" priority="378">
      <formula>AND(IF($Q115=3,1,0),IF($X115&lt;30,1,0))</formula>
    </cfRule>
    <cfRule type="expression" dxfId="4770" priority="379">
      <formula>AND(IF($Q115=3,1,IF($Q115=4,1,0)),IF($F115&lt;=85,1,0))</formula>
    </cfRule>
  </conditionalFormatting>
  <conditionalFormatting sqref="X115">
    <cfRule type="expression" dxfId="4769" priority="372">
      <formula>AND(IF(OR($Q115=1,$Q115=2),1,0),IF($X115&lt;=20,1,0))</formula>
    </cfRule>
    <cfRule type="expression" dxfId="4768" priority="373">
      <formula>AND(IF($Q115=2,1,0),IF($X115&lt;30,1,0))</formula>
    </cfRule>
    <cfRule type="expression" dxfId="4767" priority="374">
      <formula>AND(IF($Q115=3,1,0),IF($X115&lt;30,1,0))</formula>
    </cfRule>
    <cfRule type="expression" dxfId="4766" priority="375">
      <formula>AND(IF($Q115=3,1,IF($Q115=4,1,0)),IF($F115&lt;=85,1,0))</formula>
    </cfRule>
  </conditionalFormatting>
  <conditionalFormatting sqref="AI115">
    <cfRule type="expression" dxfId="4765" priority="368">
      <formula>AND(IF(OR($Q115=1,$Q115=2),1,0),IF($X115&lt;=20,1,0))</formula>
    </cfRule>
    <cfRule type="expression" dxfId="4764" priority="369">
      <formula>AND(IF($Q115=2,1,0),IF($X115&lt;30,1,0))</formula>
    </cfRule>
    <cfRule type="expression" dxfId="4763" priority="370">
      <formula>AND(IF($Q115=3,1,0),IF($X115&lt;30,1,0))</formula>
    </cfRule>
    <cfRule type="expression" dxfId="4762" priority="371">
      <formula>AND(IF($Q115=3,1,IF($Q115=4,1,0)),IF($F115&lt;=85,1,0))</formula>
    </cfRule>
  </conditionalFormatting>
  <conditionalFormatting sqref="AV116">
    <cfRule type="expression" dxfId="4761" priority="366">
      <formula>AV116="X"</formula>
    </cfRule>
    <cfRule type="expression" dxfId="4760" priority="367">
      <formula>AV116="후보"</formula>
    </cfRule>
  </conditionalFormatting>
  <conditionalFormatting sqref="AC116">
    <cfRule type="cellIs" dxfId="4759" priority="363" operator="greaterThan">
      <formula>0.9</formula>
    </cfRule>
    <cfRule type="cellIs" dxfId="4758" priority="364" operator="greaterThan">
      <formula>0.85</formula>
    </cfRule>
  </conditionalFormatting>
  <conditionalFormatting sqref="N116">
    <cfRule type="cellIs" dxfId="4757" priority="361" operator="greaterThan">
      <formula>0.9</formula>
    </cfRule>
    <cfRule type="cellIs" dxfId="4756" priority="362" operator="greaterThan">
      <formula>0.85</formula>
    </cfRule>
  </conditionalFormatting>
  <conditionalFormatting sqref="E116">
    <cfRule type="expression" dxfId="4755" priority="357">
      <formula>AND(IF(OR($Q116=1,$Q116=2),1,0),IF($X116&lt;=20,1,0))</formula>
    </cfRule>
    <cfRule type="expression" dxfId="4754" priority="358">
      <formula>AND(IF($Q116=2,1,0),IF($X116&lt;30,1,0))</formula>
    </cfRule>
    <cfRule type="expression" dxfId="4753" priority="359">
      <formula>AND(IF($Q116=3,1,0),IF($X116&lt;30,1,0))</formula>
    </cfRule>
    <cfRule type="expression" dxfId="4752" priority="360">
      <formula>AND(IF($Q116=3,1,IF($Q116=4,1,0)),IF($F116&lt;=85,1,0))</formula>
    </cfRule>
  </conditionalFormatting>
  <conditionalFormatting sqref="X116">
    <cfRule type="expression" dxfId="4751" priority="353">
      <formula>AND(IF(OR($Q116=1,$Q116=2),1,0),IF($X116&lt;=20,1,0))</formula>
    </cfRule>
    <cfRule type="expression" dxfId="4750" priority="354">
      <formula>AND(IF($Q116=2,1,0),IF($X116&lt;30,1,0))</formula>
    </cfRule>
    <cfRule type="expression" dxfId="4749" priority="355">
      <formula>AND(IF($Q116=3,1,0),IF($X116&lt;30,1,0))</formula>
    </cfRule>
    <cfRule type="expression" dxfId="4748" priority="356">
      <formula>AND(IF($Q116=3,1,IF($Q116=4,1,0)),IF($F116&lt;=85,1,0))</formula>
    </cfRule>
  </conditionalFormatting>
  <conditionalFormatting sqref="AI116">
    <cfRule type="expression" dxfId="4747" priority="349">
      <formula>AND(IF(OR($Q116=1,$Q116=2),1,0),IF($X116&lt;=20,1,0))</formula>
    </cfRule>
    <cfRule type="expression" dxfId="4746" priority="350">
      <formula>AND(IF($Q116=2,1,0),IF($X116&lt;30,1,0))</formula>
    </cfRule>
    <cfRule type="expression" dxfId="4745" priority="351">
      <formula>AND(IF($Q116=3,1,0),IF($X116&lt;30,1,0))</formula>
    </cfRule>
    <cfRule type="expression" dxfId="4744" priority="352">
      <formula>AND(IF($Q116=3,1,IF($Q116=4,1,0)),IF($F116&lt;=85,1,0))</formula>
    </cfRule>
  </conditionalFormatting>
  <conditionalFormatting sqref="AV117">
    <cfRule type="expression" dxfId="4743" priority="347">
      <formula>AV117="X"</formula>
    </cfRule>
    <cfRule type="expression" dxfId="4742" priority="348">
      <formula>AV117="후보"</formula>
    </cfRule>
  </conditionalFormatting>
  <conditionalFormatting sqref="AC117 N117">
    <cfRule type="cellIs" dxfId="4741" priority="344" operator="greaterThan">
      <formula>0.9</formula>
    </cfRule>
    <cfRule type="cellIs" dxfId="4740" priority="345" operator="greaterThan">
      <formula>0.85</formula>
    </cfRule>
  </conditionalFormatting>
  <conditionalFormatting sqref="AV118">
    <cfRule type="expression" dxfId="4739" priority="342">
      <formula>AV118="X"</formula>
    </cfRule>
    <cfRule type="expression" dxfId="4738" priority="343">
      <formula>AV118="후보"</formula>
    </cfRule>
  </conditionalFormatting>
  <conditionalFormatting sqref="AC118">
    <cfRule type="cellIs" dxfId="4737" priority="339" operator="greaterThan">
      <formula>0.9</formula>
    </cfRule>
    <cfRule type="cellIs" dxfId="4736" priority="340" operator="greaterThan">
      <formula>0.85</formula>
    </cfRule>
  </conditionalFormatting>
  <conditionalFormatting sqref="N118">
    <cfRule type="cellIs" dxfId="4735" priority="337" operator="greaterThan">
      <formula>0.9</formula>
    </cfRule>
    <cfRule type="cellIs" dxfId="4734" priority="338" operator="greaterThan">
      <formula>0.85</formula>
    </cfRule>
  </conditionalFormatting>
  <conditionalFormatting sqref="E118">
    <cfRule type="expression" dxfId="4733" priority="333">
      <formula>AND(IF(OR($Q118=1,$Q118=2),1,0),IF($X118&lt;=20,1,0))</formula>
    </cfRule>
    <cfRule type="expression" dxfId="4732" priority="334">
      <formula>AND(IF($Q118=2,1,0),IF($X118&lt;30,1,0))</formula>
    </cfRule>
    <cfRule type="expression" dxfId="4731" priority="335">
      <formula>AND(IF($Q118=3,1,0),IF($X118&lt;30,1,0))</formula>
    </cfRule>
    <cfRule type="expression" dxfId="4730" priority="336">
      <formula>AND(IF($Q118=3,1,IF($Q118=4,1,0)),IF($F118&lt;=85,1,0))</formula>
    </cfRule>
  </conditionalFormatting>
  <conditionalFormatting sqref="X118">
    <cfRule type="expression" dxfId="4729" priority="329">
      <formula>AND(IF(OR($Q118=1,$Q118=2),1,0),IF($X118&lt;=20,1,0))</formula>
    </cfRule>
    <cfRule type="expression" dxfId="4728" priority="330">
      <formula>AND(IF($Q118=2,1,0),IF($X118&lt;30,1,0))</formula>
    </cfRule>
    <cfRule type="expression" dxfId="4727" priority="331">
      <formula>AND(IF($Q118=3,1,0),IF($X118&lt;30,1,0))</formula>
    </cfRule>
    <cfRule type="expression" dxfId="4726" priority="332">
      <formula>AND(IF($Q118=3,1,IF($Q118=4,1,0)),IF($F118&lt;=85,1,0))</formula>
    </cfRule>
  </conditionalFormatting>
  <conditionalFormatting sqref="AI118">
    <cfRule type="expression" dxfId="4725" priority="325">
      <formula>AND(IF(OR($Q118=1,$Q118=2),1,0),IF($X118&lt;=20,1,0))</formula>
    </cfRule>
    <cfRule type="expression" dxfId="4724" priority="326">
      <formula>AND(IF($Q118=2,1,0),IF($X118&lt;30,1,0))</formula>
    </cfRule>
    <cfRule type="expression" dxfId="4723" priority="327">
      <formula>AND(IF($Q118=3,1,0),IF($X118&lt;30,1,0))</formula>
    </cfRule>
    <cfRule type="expression" dxfId="4722" priority="328">
      <formula>AND(IF($Q118=3,1,IF($Q118=4,1,0)),IF($F118&lt;=85,1,0))</formula>
    </cfRule>
  </conditionalFormatting>
  <conditionalFormatting sqref="AV119">
    <cfRule type="expression" dxfId="4721" priority="323">
      <formula>AV119="X"</formula>
    </cfRule>
    <cfRule type="expression" dxfId="4720" priority="324">
      <formula>AV119="후보"</formula>
    </cfRule>
  </conditionalFormatting>
  <conditionalFormatting sqref="AC119">
    <cfRule type="cellIs" dxfId="4719" priority="320" operator="greaterThan">
      <formula>0.9</formula>
    </cfRule>
    <cfRule type="cellIs" dxfId="4718" priority="321" operator="greaterThan">
      <formula>0.85</formula>
    </cfRule>
  </conditionalFormatting>
  <conditionalFormatting sqref="N119">
    <cfRule type="cellIs" dxfId="4717" priority="318" operator="greaterThan">
      <formula>0.9</formula>
    </cfRule>
    <cfRule type="cellIs" dxfId="4716" priority="319" operator="greaterThan">
      <formula>0.85</formula>
    </cfRule>
  </conditionalFormatting>
  <conditionalFormatting sqref="E119">
    <cfRule type="expression" dxfId="4715" priority="314">
      <formula>AND(IF(OR($Q119=1,$Q119=2),1,0),IF($X119&lt;=20,1,0))</formula>
    </cfRule>
    <cfRule type="expression" dxfId="4714" priority="315">
      <formula>AND(IF($Q119=2,1,0),IF($X119&lt;30,1,0))</formula>
    </cfRule>
    <cfRule type="expression" dxfId="4713" priority="316">
      <formula>AND(IF($Q119=3,1,0),IF($X119&lt;30,1,0))</formula>
    </cfRule>
    <cfRule type="expression" dxfId="4712" priority="317">
      <formula>AND(IF($Q119=3,1,IF($Q119=4,1,0)),IF($F119&lt;=85,1,0))</formula>
    </cfRule>
  </conditionalFormatting>
  <conditionalFormatting sqref="X119">
    <cfRule type="expression" dxfId="4711" priority="310">
      <formula>AND(IF(OR($Q119=1,$Q119=2),1,0),IF($X119&lt;=20,1,0))</formula>
    </cfRule>
    <cfRule type="expression" dxfId="4710" priority="311">
      <formula>AND(IF($Q119=2,1,0),IF($X119&lt;30,1,0))</formula>
    </cfRule>
    <cfRule type="expression" dxfId="4709" priority="312">
      <formula>AND(IF($Q119=3,1,0),IF($X119&lt;30,1,0))</formula>
    </cfRule>
    <cfRule type="expression" dxfId="4708" priority="313">
      <formula>AND(IF($Q119=3,1,IF($Q119=4,1,0)),IF($F119&lt;=85,1,0))</formula>
    </cfRule>
  </conditionalFormatting>
  <conditionalFormatting sqref="AI119">
    <cfRule type="expression" dxfId="4707" priority="306">
      <formula>AND(IF(OR($Q119=1,$Q119=2),1,0),IF($X119&lt;=20,1,0))</formula>
    </cfRule>
    <cfRule type="expression" dxfId="4706" priority="307">
      <formula>AND(IF($Q119=2,1,0),IF($X119&lt;30,1,0))</formula>
    </cfRule>
    <cfRule type="expression" dxfId="4705" priority="308">
      <formula>AND(IF($Q119=3,1,0),IF($X119&lt;30,1,0))</formula>
    </cfRule>
    <cfRule type="expression" dxfId="4704" priority="309">
      <formula>AND(IF($Q119=3,1,IF($Q119=4,1,0)),IF($F119&lt;=85,1,0))</formula>
    </cfRule>
  </conditionalFormatting>
  <conditionalFormatting sqref="AV120">
    <cfRule type="expression" dxfId="4703" priority="304">
      <formula>AV120="X"</formula>
    </cfRule>
    <cfRule type="expression" dxfId="4702" priority="305">
      <formula>AV120="후보"</formula>
    </cfRule>
  </conditionalFormatting>
  <conditionalFormatting sqref="AC120">
    <cfRule type="cellIs" dxfId="4701" priority="301" operator="greaterThan">
      <formula>0.9</formula>
    </cfRule>
    <cfRule type="cellIs" dxfId="4700" priority="302" operator="greaterThan">
      <formula>0.85</formula>
    </cfRule>
  </conditionalFormatting>
  <conditionalFormatting sqref="N120">
    <cfRule type="cellIs" dxfId="4699" priority="299" operator="greaterThan">
      <formula>0.9</formula>
    </cfRule>
    <cfRule type="cellIs" dxfId="4698" priority="300" operator="greaterThan">
      <formula>0.85</formula>
    </cfRule>
  </conditionalFormatting>
  <conditionalFormatting sqref="E120">
    <cfRule type="expression" dxfId="4697" priority="295">
      <formula>AND(IF(OR($Q120=1,$Q120=2),1,0),IF($X120&lt;=20,1,0))</formula>
    </cfRule>
    <cfRule type="expression" dxfId="4696" priority="296">
      <formula>AND(IF($Q120=2,1,0),IF($X120&lt;30,1,0))</formula>
    </cfRule>
    <cfRule type="expression" dxfId="4695" priority="297">
      <formula>AND(IF($Q120=3,1,0),IF($X120&lt;30,1,0))</formula>
    </cfRule>
    <cfRule type="expression" dxfId="4694" priority="298">
      <formula>AND(IF($Q120=3,1,IF($Q120=4,1,0)),IF($F120&lt;=85,1,0))</formula>
    </cfRule>
  </conditionalFormatting>
  <conditionalFormatting sqref="X120">
    <cfRule type="expression" dxfId="4693" priority="291">
      <formula>AND(IF(OR($Q120=1,$Q120=2),1,0),IF($X120&lt;=20,1,0))</formula>
    </cfRule>
    <cfRule type="expression" dxfId="4692" priority="292">
      <formula>AND(IF($Q120=2,1,0),IF($X120&lt;30,1,0))</formula>
    </cfRule>
    <cfRule type="expression" dxfId="4691" priority="293">
      <formula>AND(IF($Q120=3,1,0),IF($X120&lt;30,1,0))</formula>
    </cfRule>
    <cfRule type="expression" dxfId="4690" priority="294">
      <formula>AND(IF($Q120=3,1,IF($Q120=4,1,0)),IF($F120&lt;=85,1,0))</formula>
    </cfRule>
  </conditionalFormatting>
  <conditionalFormatting sqref="AI120">
    <cfRule type="expression" dxfId="4689" priority="287">
      <formula>AND(IF(OR($Q120=1,$Q120=2),1,0),IF($X120&lt;=20,1,0))</formula>
    </cfRule>
    <cfRule type="expression" dxfId="4688" priority="288">
      <formula>AND(IF($Q120=2,1,0),IF($X120&lt;30,1,0))</formula>
    </cfRule>
    <cfRule type="expression" dxfId="4687" priority="289">
      <formula>AND(IF($Q120=3,1,0),IF($X120&lt;30,1,0))</formula>
    </cfRule>
    <cfRule type="expression" dxfId="4686" priority="290">
      <formula>AND(IF($Q120=3,1,IF($Q120=4,1,0)),IF($F120&lt;=85,1,0))</formula>
    </cfRule>
  </conditionalFormatting>
  <conditionalFormatting sqref="AV121">
    <cfRule type="expression" dxfId="4685" priority="285">
      <formula>AV121="X"</formula>
    </cfRule>
    <cfRule type="expression" dxfId="4684" priority="286">
      <formula>AV121="후보"</formula>
    </cfRule>
  </conditionalFormatting>
  <conditionalFormatting sqref="AC121">
    <cfRule type="cellIs" dxfId="4683" priority="282" operator="greaterThan">
      <formula>0.9</formula>
    </cfRule>
    <cfRule type="cellIs" dxfId="4682" priority="283" operator="greaterThan">
      <formula>0.85</formula>
    </cfRule>
  </conditionalFormatting>
  <conditionalFormatting sqref="N121">
    <cfRule type="cellIs" dxfId="4681" priority="280" operator="greaterThan">
      <formula>0.9</formula>
    </cfRule>
    <cfRule type="cellIs" dxfId="4680" priority="281" operator="greaterThan">
      <formula>0.85</formula>
    </cfRule>
  </conditionalFormatting>
  <conditionalFormatting sqref="E121">
    <cfRule type="expression" dxfId="4679" priority="276">
      <formula>AND(IF(OR($Q121=1,$Q121=2),1,0),IF($X121&lt;=20,1,0))</formula>
    </cfRule>
    <cfRule type="expression" dxfId="4678" priority="277">
      <formula>AND(IF($Q121=2,1,0),IF($X121&lt;30,1,0))</formula>
    </cfRule>
    <cfRule type="expression" dxfId="4677" priority="278">
      <formula>AND(IF($Q121=3,1,0),IF($X121&lt;30,1,0))</formula>
    </cfRule>
    <cfRule type="expression" dxfId="4676" priority="279">
      <formula>AND(IF($Q121=3,1,IF($Q121=4,1,0)),IF($F121&lt;=85,1,0))</formula>
    </cfRule>
  </conditionalFormatting>
  <conditionalFormatting sqref="X121">
    <cfRule type="expression" dxfId="4675" priority="272">
      <formula>AND(IF(OR($Q121=1,$Q121=2),1,0),IF($X121&lt;=20,1,0))</formula>
    </cfRule>
    <cfRule type="expression" dxfId="4674" priority="273">
      <formula>AND(IF($Q121=2,1,0),IF($X121&lt;30,1,0))</formula>
    </cfRule>
    <cfRule type="expression" dxfId="4673" priority="274">
      <formula>AND(IF($Q121=3,1,0),IF($X121&lt;30,1,0))</formula>
    </cfRule>
    <cfRule type="expression" dxfId="4672" priority="275">
      <formula>AND(IF($Q121=3,1,IF($Q121=4,1,0)),IF($F121&lt;=85,1,0))</formula>
    </cfRule>
  </conditionalFormatting>
  <conditionalFormatting sqref="AI121">
    <cfRule type="expression" dxfId="4671" priority="268">
      <formula>AND(IF(OR($Q121=1,$Q121=2),1,0),IF($X121&lt;=20,1,0))</formula>
    </cfRule>
    <cfRule type="expression" dxfId="4670" priority="269">
      <formula>AND(IF($Q121=2,1,0),IF($X121&lt;30,1,0))</formula>
    </cfRule>
    <cfRule type="expression" dxfId="4669" priority="270">
      <formula>AND(IF($Q121=3,1,0),IF($X121&lt;30,1,0))</formula>
    </cfRule>
    <cfRule type="expression" dxfId="4668" priority="271">
      <formula>AND(IF($Q121=3,1,IF($Q121=4,1,0)),IF($F121&lt;=85,1,0))</formula>
    </cfRule>
  </conditionalFormatting>
  <conditionalFormatting sqref="AV122">
    <cfRule type="expression" dxfId="4667" priority="266">
      <formula>AV122="X"</formula>
    </cfRule>
    <cfRule type="expression" dxfId="4666" priority="267">
      <formula>AV122="후보"</formula>
    </cfRule>
  </conditionalFormatting>
  <conditionalFormatting sqref="AC122 N122">
    <cfRule type="cellIs" dxfId="4665" priority="263" operator="greaterThan">
      <formula>0.9</formula>
    </cfRule>
    <cfRule type="cellIs" dxfId="4664" priority="264" operator="greaterThan">
      <formula>0.85</formula>
    </cfRule>
  </conditionalFormatting>
  <conditionalFormatting sqref="AV123">
    <cfRule type="expression" dxfId="4663" priority="261">
      <formula>AV123="X"</formula>
    </cfRule>
    <cfRule type="expression" dxfId="4662" priority="262">
      <formula>AV123="후보"</formula>
    </cfRule>
  </conditionalFormatting>
  <conditionalFormatting sqref="AC123">
    <cfRule type="cellIs" dxfId="4661" priority="258" operator="greaterThan">
      <formula>0.9</formula>
    </cfRule>
    <cfRule type="cellIs" dxfId="4660" priority="259" operator="greaterThan">
      <formula>0.85</formula>
    </cfRule>
  </conditionalFormatting>
  <conditionalFormatting sqref="N123">
    <cfRule type="cellIs" dxfId="4659" priority="256" operator="greaterThan">
      <formula>0.9</formula>
    </cfRule>
    <cfRule type="cellIs" dxfId="4658" priority="257" operator="greaterThan">
      <formula>0.85</formula>
    </cfRule>
  </conditionalFormatting>
  <conditionalFormatting sqref="E123">
    <cfRule type="expression" dxfId="4657" priority="252">
      <formula>AND(IF(OR($Q123=1,$Q123=2),1,0),IF($X123&lt;=20,1,0))</formula>
    </cfRule>
    <cfRule type="expression" dxfId="4656" priority="253">
      <formula>AND(IF($Q123=2,1,0),IF($X123&lt;30,1,0))</formula>
    </cfRule>
    <cfRule type="expression" dxfId="4655" priority="254">
      <formula>AND(IF($Q123=3,1,0),IF($X123&lt;30,1,0))</formula>
    </cfRule>
    <cfRule type="expression" dxfId="4654" priority="255">
      <formula>AND(IF($Q123=3,1,IF($Q123=4,1,0)),IF($F123&lt;=85,1,0))</formula>
    </cfRule>
  </conditionalFormatting>
  <conditionalFormatting sqref="X123">
    <cfRule type="expression" dxfId="4653" priority="248">
      <formula>AND(IF(OR($Q123=1,$Q123=2),1,0),IF($X123&lt;=20,1,0))</formula>
    </cfRule>
    <cfRule type="expression" dxfId="4652" priority="249">
      <formula>AND(IF($Q123=2,1,0),IF($X123&lt;30,1,0))</formula>
    </cfRule>
    <cfRule type="expression" dxfId="4651" priority="250">
      <formula>AND(IF($Q123=3,1,0),IF($X123&lt;30,1,0))</formula>
    </cfRule>
    <cfRule type="expression" dxfId="4650" priority="251">
      <formula>AND(IF($Q123=3,1,IF($Q123=4,1,0)),IF($F123&lt;=85,1,0))</formula>
    </cfRule>
  </conditionalFormatting>
  <conditionalFormatting sqref="AI123">
    <cfRule type="expression" dxfId="4649" priority="244">
      <formula>AND(IF(OR($Q123=1,$Q123=2),1,0),IF($X123&lt;=20,1,0))</formula>
    </cfRule>
    <cfRule type="expression" dxfId="4648" priority="245">
      <formula>AND(IF($Q123=2,1,0),IF($X123&lt;30,1,0))</formula>
    </cfRule>
    <cfRule type="expression" dxfId="4647" priority="246">
      <formula>AND(IF($Q123=3,1,0),IF($X123&lt;30,1,0))</formula>
    </cfRule>
    <cfRule type="expression" dxfId="4646" priority="247">
      <formula>AND(IF($Q123=3,1,IF($Q123=4,1,0)),IF($F123&lt;=85,1,0))</formula>
    </cfRule>
  </conditionalFormatting>
  <conditionalFormatting sqref="AV124">
    <cfRule type="expression" dxfId="4645" priority="242">
      <formula>AV124="X"</formula>
    </cfRule>
    <cfRule type="expression" dxfId="4644" priority="243">
      <formula>AV124="후보"</formula>
    </cfRule>
  </conditionalFormatting>
  <conditionalFormatting sqref="AC124 N124">
    <cfRule type="cellIs" dxfId="4643" priority="239" operator="greaterThan">
      <formula>0.9</formula>
    </cfRule>
    <cfRule type="cellIs" dxfId="4642" priority="240" operator="greaterThan">
      <formula>0.85</formula>
    </cfRule>
  </conditionalFormatting>
  <conditionalFormatting sqref="AV125">
    <cfRule type="expression" dxfId="4641" priority="237">
      <formula>AV125="X"</formula>
    </cfRule>
    <cfRule type="expression" dxfId="4640" priority="238">
      <formula>AV125="후보"</formula>
    </cfRule>
  </conditionalFormatting>
  <conditionalFormatting sqref="AC125">
    <cfRule type="cellIs" dxfId="4639" priority="234" operator="greaterThan">
      <formula>0.9</formula>
    </cfRule>
    <cfRule type="cellIs" dxfId="4638" priority="235" operator="greaterThan">
      <formula>0.85</formula>
    </cfRule>
  </conditionalFormatting>
  <conditionalFormatting sqref="N125">
    <cfRule type="cellIs" dxfId="4637" priority="232" operator="greaterThan">
      <formula>0.9</formula>
    </cfRule>
    <cfRule type="cellIs" dxfId="4636" priority="233" operator="greaterThan">
      <formula>0.85</formula>
    </cfRule>
  </conditionalFormatting>
  <conditionalFormatting sqref="E125">
    <cfRule type="expression" dxfId="4635" priority="228">
      <formula>AND(IF(OR($Q125=1,$Q125=2),1,0),IF($X125&lt;=20,1,0))</formula>
    </cfRule>
    <cfRule type="expression" dxfId="4634" priority="229">
      <formula>AND(IF($Q125=2,1,0),IF($X125&lt;30,1,0))</formula>
    </cfRule>
    <cfRule type="expression" dxfId="4633" priority="230">
      <formula>AND(IF($Q125=3,1,0),IF($X125&lt;30,1,0))</formula>
    </cfRule>
    <cfRule type="expression" dxfId="4632" priority="231">
      <formula>AND(IF($Q125=3,1,IF($Q125=4,1,0)),IF($F125&lt;=85,1,0))</formula>
    </cfRule>
  </conditionalFormatting>
  <conditionalFormatting sqref="X125">
    <cfRule type="expression" dxfId="4631" priority="224">
      <formula>AND(IF(OR($Q125=1,$Q125=2),1,0),IF($X125&lt;=20,1,0))</formula>
    </cfRule>
    <cfRule type="expression" dxfId="4630" priority="225">
      <formula>AND(IF($Q125=2,1,0),IF($X125&lt;30,1,0))</formula>
    </cfRule>
    <cfRule type="expression" dxfId="4629" priority="226">
      <formula>AND(IF($Q125=3,1,0),IF($X125&lt;30,1,0))</formula>
    </cfRule>
    <cfRule type="expression" dxfId="4628" priority="227">
      <formula>AND(IF($Q125=3,1,IF($Q125=4,1,0)),IF($F125&lt;=85,1,0))</formula>
    </cfRule>
  </conditionalFormatting>
  <conditionalFormatting sqref="AI125">
    <cfRule type="expression" dxfId="4627" priority="220">
      <formula>AND(IF(OR($Q125=1,$Q125=2),1,0),IF($X125&lt;=20,1,0))</formula>
    </cfRule>
    <cfRule type="expression" dxfId="4626" priority="221">
      <formula>AND(IF($Q125=2,1,0),IF($X125&lt;30,1,0))</formula>
    </cfRule>
    <cfRule type="expression" dxfId="4625" priority="222">
      <formula>AND(IF($Q125=3,1,0),IF($X125&lt;30,1,0))</formula>
    </cfRule>
    <cfRule type="expression" dxfId="4624" priority="223">
      <formula>AND(IF($Q125=3,1,IF($Q125=4,1,0)),IF($F125&lt;=85,1,0))</formula>
    </cfRule>
  </conditionalFormatting>
  <conditionalFormatting sqref="AV126">
    <cfRule type="expression" dxfId="4623" priority="218">
      <formula>AV126="X"</formula>
    </cfRule>
    <cfRule type="expression" dxfId="4622" priority="219">
      <formula>AV126="후보"</formula>
    </cfRule>
  </conditionalFormatting>
  <conditionalFormatting sqref="AC126">
    <cfRule type="cellIs" dxfId="4621" priority="215" operator="greaterThan">
      <formula>0.9</formula>
    </cfRule>
    <cfRule type="cellIs" dxfId="4620" priority="216" operator="greaterThan">
      <formula>0.85</formula>
    </cfRule>
  </conditionalFormatting>
  <conditionalFormatting sqref="N126">
    <cfRule type="cellIs" dxfId="4619" priority="213" operator="greaterThan">
      <formula>0.9</formula>
    </cfRule>
    <cfRule type="cellIs" dxfId="4618" priority="214" operator="greaterThan">
      <formula>0.85</formula>
    </cfRule>
  </conditionalFormatting>
  <conditionalFormatting sqref="E126">
    <cfRule type="expression" dxfId="4617" priority="209">
      <formula>AND(IF(OR($Q126=1,$Q126=2),1,0),IF($X126&lt;=20,1,0))</formula>
    </cfRule>
    <cfRule type="expression" dxfId="4616" priority="210">
      <formula>AND(IF($Q126=2,1,0),IF($X126&lt;30,1,0))</formula>
    </cfRule>
    <cfRule type="expression" dxfId="4615" priority="211">
      <formula>AND(IF($Q126=3,1,0),IF($X126&lt;30,1,0))</formula>
    </cfRule>
    <cfRule type="expression" dxfId="4614" priority="212">
      <formula>AND(IF($Q126=3,1,IF($Q126=4,1,0)),IF($F126&lt;=85,1,0))</formula>
    </cfRule>
  </conditionalFormatting>
  <conditionalFormatting sqref="X126">
    <cfRule type="expression" dxfId="4613" priority="205">
      <formula>AND(IF(OR($Q126=1,$Q126=2),1,0),IF($X126&lt;=20,1,0))</formula>
    </cfRule>
    <cfRule type="expression" dxfId="4612" priority="206">
      <formula>AND(IF($Q126=2,1,0),IF($X126&lt;30,1,0))</formula>
    </cfRule>
    <cfRule type="expression" dxfId="4611" priority="207">
      <formula>AND(IF($Q126=3,1,0),IF($X126&lt;30,1,0))</formula>
    </cfRule>
    <cfRule type="expression" dxfId="4610" priority="208">
      <formula>AND(IF($Q126=3,1,IF($Q126=4,1,0)),IF($F126&lt;=85,1,0))</formula>
    </cfRule>
  </conditionalFormatting>
  <conditionalFormatting sqref="AI126">
    <cfRule type="expression" dxfId="4609" priority="201">
      <formula>AND(IF(OR($Q126=1,$Q126=2),1,0),IF($X126&lt;=20,1,0))</formula>
    </cfRule>
    <cfRule type="expression" dxfId="4608" priority="202">
      <formula>AND(IF($Q126=2,1,0),IF($X126&lt;30,1,0))</formula>
    </cfRule>
    <cfRule type="expression" dxfId="4607" priority="203">
      <formula>AND(IF($Q126=3,1,0),IF($X126&lt;30,1,0))</formula>
    </cfRule>
    <cfRule type="expression" dxfId="4606" priority="204">
      <formula>AND(IF($Q126=3,1,IF($Q126=4,1,0)),IF($F126&lt;=85,1,0))</formula>
    </cfRule>
  </conditionalFormatting>
  <conditionalFormatting sqref="AV127">
    <cfRule type="expression" dxfId="4605" priority="199">
      <formula>AV127="X"</formula>
    </cfRule>
    <cfRule type="expression" dxfId="4604" priority="200">
      <formula>AV127="후보"</formula>
    </cfRule>
  </conditionalFormatting>
  <conditionalFormatting sqref="AC127">
    <cfRule type="cellIs" dxfId="4603" priority="196" operator="greaterThan">
      <formula>0.9</formula>
    </cfRule>
    <cfRule type="cellIs" dxfId="4602" priority="197" operator="greaterThan">
      <formula>0.85</formula>
    </cfRule>
  </conditionalFormatting>
  <conditionalFormatting sqref="N127">
    <cfRule type="cellIs" dxfId="4601" priority="194" operator="greaterThan">
      <formula>0.9</formula>
    </cfRule>
    <cfRule type="cellIs" dxfId="4600" priority="195" operator="greaterThan">
      <formula>0.85</formula>
    </cfRule>
  </conditionalFormatting>
  <conditionalFormatting sqref="E127">
    <cfRule type="expression" dxfId="4599" priority="190">
      <formula>AND(IF(OR($Q127=1,$Q127=2),1,0),IF($X127&lt;=20,1,0))</formula>
    </cfRule>
    <cfRule type="expression" dxfId="4598" priority="191">
      <formula>AND(IF($Q127=2,1,0),IF($X127&lt;30,1,0))</formula>
    </cfRule>
    <cfRule type="expression" dxfId="4597" priority="192">
      <formula>AND(IF($Q127=3,1,0),IF($X127&lt;30,1,0))</formula>
    </cfRule>
    <cfRule type="expression" dxfId="4596" priority="193">
      <formula>AND(IF($Q127=3,1,IF($Q127=4,1,0)),IF($F127&lt;=85,1,0))</formula>
    </cfRule>
  </conditionalFormatting>
  <conditionalFormatting sqref="X127">
    <cfRule type="expression" dxfId="4595" priority="186">
      <formula>AND(IF(OR($Q127=1,$Q127=2),1,0),IF($X127&lt;=20,1,0))</formula>
    </cfRule>
    <cfRule type="expression" dxfId="4594" priority="187">
      <formula>AND(IF($Q127=2,1,0),IF($X127&lt;30,1,0))</formula>
    </cfRule>
    <cfRule type="expression" dxfId="4593" priority="188">
      <formula>AND(IF($Q127=3,1,0),IF($X127&lt;30,1,0))</formula>
    </cfRule>
    <cfRule type="expression" dxfId="4592" priority="189">
      <formula>AND(IF($Q127=3,1,IF($Q127=4,1,0)),IF($F127&lt;=85,1,0))</formula>
    </cfRule>
  </conditionalFormatting>
  <conditionalFormatting sqref="AI127">
    <cfRule type="expression" dxfId="4591" priority="182">
      <formula>AND(IF(OR($Q127=1,$Q127=2),1,0),IF($X127&lt;=20,1,0))</formula>
    </cfRule>
    <cfRule type="expression" dxfId="4590" priority="183">
      <formula>AND(IF($Q127=2,1,0),IF($X127&lt;30,1,0))</formula>
    </cfRule>
    <cfRule type="expression" dxfId="4589" priority="184">
      <formula>AND(IF($Q127=3,1,0),IF($X127&lt;30,1,0))</formula>
    </cfRule>
    <cfRule type="expression" dxfId="4588" priority="185">
      <formula>AND(IF($Q127=3,1,IF($Q127=4,1,0)),IF($F127&lt;=85,1,0))</formula>
    </cfRule>
  </conditionalFormatting>
  <conditionalFormatting sqref="AV128">
    <cfRule type="expression" dxfId="4587" priority="180">
      <formula>AV128="X"</formula>
    </cfRule>
    <cfRule type="expression" dxfId="4586" priority="181">
      <formula>AV128="후보"</formula>
    </cfRule>
  </conditionalFormatting>
  <conditionalFormatting sqref="AC128">
    <cfRule type="cellIs" dxfId="4585" priority="177" operator="greaterThan">
      <formula>0.9</formula>
    </cfRule>
    <cfRule type="cellIs" dxfId="4584" priority="178" operator="greaterThan">
      <formula>0.85</formula>
    </cfRule>
  </conditionalFormatting>
  <conditionalFormatting sqref="N128">
    <cfRule type="cellIs" dxfId="4583" priority="175" operator="greaterThan">
      <formula>0.9</formula>
    </cfRule>
    <cfRule type="cellIs" dxfId="4582" priority="176" operator="greaterThan">
      <formula>0.85</formula>
    </cfRule>
  </conditionalFormatting>
  <conditionalFormatting sqref="E128">
    <cfRule type="expression" dxfId="4581" priority="171">
      <formula>AND(IF(OR($Q128=1,$Q128=2),1,0),IF($X128&lt;=20,1,0))</formula>
    </cfRule>
    <cfRule type="expression" dxfId="4580" priority="172">
      <formula>AND(IF($Q128=2,1,0),IF($X128&lt;30,1,0))</formula>
    </cfRule>
    <cfRule type="expression" dxfId="4579" priority="173">
      <formula>AND(IF($Q128=3,1,0),IF($X128&lt;30,1,0))</formula>
    </cfRule>
    <cfRule type="expression" dxfId="4578" priority="174">
      <formula>AND(IF($Q128=3,1,IF($Q128=4,1,0)),IF($F128&lt;=85,1,0))</formula>
    </cfRule>
  </conditionalFormatting>
  <conditionalFormatting sqref="X128">
    <cfRule type="expression" dxfId="4577" priority="167">
      <formula>AND(IF(OR($Q128=1,$Q128=2),1,0),IF($X128&lt;=20,1,0))</formula>
    </cfRule>
    <cfRule type="expression" dxfId="4576" priority="168">
      <formula>AND(IF($Q128=2,1,0),IF($X128&lt;30,1,0))</formula>
    </cfRule>
    <cfRule type="expression" dxfId="4575" priority="169">
      <formula>AND(IF($Q128=3,1,0),IF($X128&lt;30,1,0))</formula>
    </cfRule>
    <cfRule type="expression" dxfId="4574" priority="170">
      <formula>AND(IF($Q128=3,1,IF($Q128=4,1,0)),IF($F128&lt;=85,1,0))</formula>
    </cfRule>
  </conditionalFormatting>
  <conditionalFormatting sqref="AI128">
    <cfRule type="expression" dxfId="4573" priority="163">
      <formula>AND(IF(OR($Q128=1,$Q128=2),1,0),IF($X128&lt;=20,1,0))</formula>
    </cfRule>
    <cfRule type="expression" dxfId="4572" priority="164">
      <formula>AND(IF($Q128=2,1,0),IF($X128&lt;30,1,0))</formula>
    </cfRule>
    <cfRule type="expression" dxfId="4571" priority="165">
      <formula>AND(IF($Q128=3,1,0),IF($X128&lt;30,1,0))</formula>
    </cfRule>
    <cfRule type="expression" dxfId="4570" priority="166">
      <formula>AND(IF($Q128=3,1,IF($Q128=4,1,0)),IF($F128&lt;=85,1,0))</formula>
    </cfRule>
  </conditionalFormatting>
  <conditionalFormatting sqref="AV129">
    <cfRule type="expression" dxfId="4569" priority="161">
      <formula>AV129="X"</formula>
    </cfRule>
    <cfRule type="expression" dxfId="4568" priority="162">
      <formula>AV129="후보"</formula>
    </cfRule>
  </conditionalFormatting>
  <conditionalFormatting sqref="AC129">
    <cfRule type="cellIs" dxfId="4567" priority="158" operator="greaterThan">
      <formula>0.9</formula>
    </cfRule>
    <cfRule type="cellIs" dxfId="4566" priority="159" operator="greaterThan">
      <formula>0.85</formula>
    </cfRule>
  </conditionalFormatting>
  <conditionalFormatting sqref="N129">
    <cfRule type="cellIs" dxfId="4565" priority="156" operator="greaterThan">
      <formula>0.9</formula>
    </cfRule>
    <cfRule type="cellIs" dxfId="4564" priority="157" operator="greaterThan">
      <formula>0.85</formula>
    </cfRule>
  </conditionalFormatting>
  <conditionalFormatting sqref="E129">
    <cfRule type="expression" dxfId="4563" priority="152">
      <formula>AND(IF(OR($Q129=1,$Q129=2),1,0),IF($X129&lt;=20,1,0))</formula>
    </cfRule>
    <cfRule type="expression" dxfId="4562" priority="153">
      <formula>AND(IF($Q129=2,1,0),IF($X129&lt;30,1,0))</formula>
    </cfRule>
    <cfRule type="expression" dxfId="4561" priority="154">
      <formula>AND(IF($Q129=3,1,0),IF($X129&lt;30,1,0))</formula>
    </cfRule>
    <cfRule type="expression" dxfId="4560" priority="155">
      <formula>AND(IF($Q129=3,1,IF($Q129=4,1,0)),IF($F129&lt;=85,1,0))</formula>
    </cfRule>
  </conditionalFormatting>
  <conditionalFormatting sqref="X129">
    <cfRule type="expression" dxfId="4559" priority="148">
      <formula>AND(IF(OR($Q129=1,$Q129=2),1,0),IF($X129&lt;=20,1,0))</formula>
    </cfRule>
    <cfRule type="expression" dxfId="4558" priority="149">
      <formula>AND(IF($Q129=2,1,0),IF($X129&lt;30,1,0))</formula>
    </cfRule>
    <cfRule type="expression" dxfId="4557" priority="150">
      <formula>AND(IF($Q129=3,1,0),IF($X129&lt;30,1,0))</formula>
    </cfRule>
    <cfRule type="expression" dxfId="4556" priority="151">
      <formula>AND(IF($Q129=3,1,IF($Q129=4,1,0)),IF($F129&lt;=85,1,0))</formula>
    </cfRule>
  </conditionalFormatting>
  <conditionalFormatting sqref="AI129">
    <cfRule type="expression" dxfId="4555" priority="144">
      <formula>AND(IF(OR($Q129=1,$Q129=2),1,0),IF($X129&lt;=20,1,0))</formula>
    </cfRule>
    <cfRule type="expression" dxfId="4554" priority="145">
      <formula>AND(IF($Q129=2,1,0),IF($X129&lt;30,1,0))</formula>
    </cfRule>
    <cfRule type="expression" dxfId="4553" priority="146">
      <formula>AND(IF($Q129=3,1,0),IF($X129&lt;30,1,0))</formula>
    </cfRule>
    <cfRule type="expression" dxfId="4552" priority="147">
      <formula>AND(IF($Q129=3,1,IF($Q129=4,1,0)),IF($F129&lt;=85,1,0))</formula>
    </cfRule>
  </conditionalFormatting>
  <conditionalFormatting sqref="AV130">
    <cfRule type="expression" dxfId="4551" priority="142">
      <formula>AV130="X"</formula>
    </cfRule>
    <cfRule type="expression" dxfId="4550" priority="143">
      <formula>AV130="후보"</formula>
    </cfRule>
  </conditionalFormatting>
  <conditionalFormatting sqref="AC130">
    <cfRule type="cellIs" dxfId="4549" priority="139" operator="greaterThan">
      <formula>0.9</formula>
    </cfRule>
    <cfRule type="cellIs" dxfId="4548" priority="140" operator="greaterThan">
      <formula>0.85</formula>
    </cfRule>
  </conditionalFormatting>
  <conditionalFormatting sqref="N130">
    <cfRule type="cellIs" dxfId="4547" priority="137" operator="greaterThan">
      <formula>0.9</formula>
    </cfRule>
    <cfRule type="cellIs" dxfId="4546" priority="138" operator="greaterThan">
      <formula>0.85</formula>
    </cfRule>
  </conditionalFormatting>
  <conditionalFormatting sqref="E130">
    <cfRule type="expression" dxfId="4545" priority="133">
      <formula>AND(IF(OR($Q130=1,$Q130=2),1,0),IF($X130&lt;=20,1,0))</formula>
    </cfRule>
    <cfRule type="expression" dxfId="4544" priority="134">
      <formula>AND(IF($Q130=2,1,0),IF($X130&lt;30,1,0))</formula>
    </cfRule>
    <cfRule type="expression" dxfId="4543" priority="135">
      <formula>AND(IF($Q130=3,1,0),IF($X130&lt;30,1,0))</formula>
    </cfRule>
    <cfRule type="expression" dxfId="4542" priority="136">
      <formula>AND(IF($Q130=3,1,IF($Q130=4,1,0)),IF($F130&lt;=85,1,0))</formula>
    </cfRule>
  </conditionalFormatting>
  <conditionalFormatting sqref="X130">
    <cfRule type="expression" dxfId="4541" priority="129">
      <formula>AND(IF(OR($Q130=1,$Q130=2),1,0),IF($X130&lt;=20,1,0))</formula>
    </cfRule>
    <cfRule type="expression" dxfId="4540" priority="130">
      <formula>AND(IF($Q130=2,1,0),IF($X130&lt;30,1,0))</formula>
    </cfRule>
    <cfRule type="expression" dxfId="4539" priority="131">
      <formula>AND(IF($Q130=3,1,0),IF($X130&lt;30,1,0))</formula>
    </cfRule>
    <cfRule type="expression" dxfId="4538" priority="132">
      <formula>AND(IF($Q130=3,1,IF($Q130=4,1,0)),IF($F130&lt;=85,1,0))</formula>
    </cfRule>
  </conditionalFormatting>
  <conditionalFormatting sqref="AI130">
    <cfRule type="expression" dxfId="4537" priority="125">
      <formula>AND(IF(OR($Q130=1,$Q130=2),1,0),IF($X130&lt;=20,1,0))</formula>
    </cfRule>
    <cfRule type="expression" dxfId="4536" priority="126">
      <formula>AND(IF($Q130=2,1,0),IF($X130&lt;30,1,0))</formula>
    </cfRule>
    <cfRule type="expression" dxfId="4535" priority="127">
      <formula>AND(IF($Q130=3,1,0),IF($X130&lt;30,1,0))</formula>
    </cfRule>
    <cfRule type="expression" dxfId="4534" priority="128">
      <formula>AND(IF($Q130=3,1,IF($Q130=4,1,0)),IF($F130&lt;=85,1,0))</formula>
    </cfRule>
  </conditionalFormatting>
  <conditionalFormatting sqref="AV131">
    <cfRule type="expression" dxfId="4533" priority="123">
      <formula>AV131="X"</formula>
    </cfRule>
    <cfRule type="expression" dxfId="4532" priority="124">
      <formula>AV131="후보"</formula>
    </cfRule>
  </conditionalFormatting>
  <conditionalFormatting sqref="AC131">
    <cfRule type="cellIs" dxfId="4531" priority="120" operator="greaterThan">
      <formula>0.9</formula>
    </cfRule>
    <cfRule type="cellIs" dxfId="4530" priority="121" operator="greaterThan">
      <formula>0.85</formula>
    </cfRule>
  </conditionalFormatting>
  <conditionalFormatting sqref="N131">
    <cfRule type="cellIs" dxfId="4529" priority="118" operator="greaterThan">
      <formula>0.9</formula>
    </cfRule>
    <cfRule type="cellIs" dxfId="4528" priority="119" operator="greaterThan">
      <formula>0.85</formula>
    </cfRule>
  </conditionalFormatting>
  <conditionalFormatting sqref="E131">
    <cfRule type="expression" dxfId="4527" priority="114">
      <formula>AND(IF(OR($Q131=1,$Q131=2),1,0),IF($X131&lt;=20,1,0))</formula>
    </cfRule>
    <cfRule type="expression" dxfId="4526" priority="115">
      <formula>AND(IF($Q131=2,1,0),IF($X131&lt;30,1,0))</formula>
    </cfRule>
    <cfRule type="expression" dxfId="4525" priority="116">
      <formula>AND(IF($Q131=3,1,0),IF($X131&lt;30,1,0))</formula>
    </cfRule>
    <cfRule type="expression" dxfId="4524" priority="117">
      <formula>AND(IF($Q131=3,1,IF($Q131=4,1,0)),IF($F131&lt;=85,1,0))</formula>
    </cfRule>
  </conditionalFormatting>
  <conditionalFormatting sqref="X131">
    <cfRule type="expression" dxfId="4523" priority="110">
      <formula>AND(IF(OR($Q131=1,$Q131=2),1,0),IF($X131&lt;=20,1,0))</formula>
    </cfRule>
    <cfRule type="expression" dxfId="4522" priority="111">
      <formula>AND(IF($Q131=2,1,0),IF($X131&lt;30,1,0))</formula>
    </cfRule>
    <cfRule type="expression" dxfId="4521" priority="112">
      <formula>AND(IF($Q131=3,1,0),IF($X131&lt;30,1,0))</formula>
    </cfRule>
    <cfRule type="expression" dxfId="4520" priority="113">
      <formula>AND(IF($Q131=3,1,IF($Q131=4,1,0)),IF($F131&lt;=85,1,0))</formula>
    </cfRule>
  </conditionalFormatting>
  <conditionalFormatting sqref="AI131">
    <cfRule type="expression" dxfId="4519" priority="106">
      <formula>AND(IF(OR($Q131=1,$Q131=2),1,0),IF($X131&lt;=20,1,0))</formula>
    </cfRule>
    <cfRule type="expression" dxfId="4518" priority="107">
      <formula>AND(IF($Q131=2,1,0),IF($X131&lt;30,1,0))</formula>
    </cfRule>
    <cfRule type="expression" dxfId="4517" priority="108">
      <formula>AND(IF($Q131=3,1,0),IF($X131&lt;30,1,0))</formula>
    </cfRule>
    <cfRule type="expression" dxfId="4516" priority="109">
      <formula>AND(IF($Q131=3,1,IF($Q131=4,1,0)),IF($F131&lt;=85,1,0))</formula>
    </cfRule>
  </conditionalFormatting>
  <conditionalFormatting sqref="AV132">
    <cfRule type="expression" dxfId="4515" priority="104">
      <formula>AV132="X"</formula>
    </cfRule>
    <cfRule type="expression" dxfId="4514" priority="105">
      <formula>AV132="후보"</formula>
    </cfRule>
  </conditionalFormatting>
  <conditionalFormatting sqref="AC132">
    <cfRule type="cellIs" dxfId="4513" priority="101" operator="greaterThan">
      <formula>0.9</formula>
    </cfRule>
    <cfRule type="cellIs" dxfId="4512" priority="102" operator="greaterThan">
      <formula>0.85</formula>
    </cfRule>
  </conditionalFormatting>
  <conditionalFormatting sqref="N132">
    <cfRule type="cellIs" dxfId="4511" priority="99" operator="greaterThan">
      <formula>0.9</formula>
    </cfRule>
    <cfRule type="cellIs" dxfId="4510" priority="100" operator="greaterThan">
      <formula>0.85</formula>
    </cfRule>
  </conditionalFormatting>
  <conditionalFormatting sqref="E132">
    <cfRule type="expression" dxfId="4509" priority="95">
      <formula>AND(IF(OR($Q132=1,$Q132=2),1,0),IF($X132&lt;=20,1,0))</formula>
    </cfRule>
    <cfRule type="expression" dxfId="4508" priority="96">
      <formula>AND(IF($Q132=2,1,0),IF($X132&lt;30,1,0))</formula>
    </cfRule>
    <cfRule type="expression" dxfId="4507" priority="97">
      <formula>AND(IF($Q132=3,1,0),IF($X132&lt;30,1,0))</formula>
    </cfRule>
    <cfRule type="expression" dxfId="4506" priority="98">
      <formula>AND(IF($Q132=3,1,IF($Q132=4,1,0)),IF($F132&lt;=85,1,0))</formula>
    </cfRule>
  </conditionalFormatting>
  <conditionalFormatting sqref="X132">
    <cfRule type="expression" dxfId="4505" priority="91">
      <formula>AND(IF(OR($Q132=1,$Q132=2),1,0),IF($X132&lt;=20,1,0))</formula>
    </cfRule>
    <cfRule type="expression" dxfId="4504" priority="92">
      <formula>AND(IF($Q132=2,1,0),IF($X132&lt;30,1,0))</formula>
    </cfRule>
    <cfRule type="expression" dxfId="4503" priority="93">
      <formula>AND(IF($Q132=3,1,0),IF($X132&lt;30,1,0))</formula>
    </cfRule>
    <cfRule type="expression" dxfId="4502" priority="94">
      <formula>AND(IF($Q132=3,1,IF($Q132=4,1,0)),IF($F132&lt;=85,1,0))</formula>
    </cfRule>
  </conditionalFormatting>
  <conditionalFormatting sqref="AI132">
    <cfRule type="expression" dxfId="4501" priority="87">
      <formula>AND(IF(OR($Q132=1,$Q132=2),1,0),IF($X132&lt;=20,1,0))</formula>
    </cfRule>
    <cfRule type="expression" dxfId="4500" priority="88">
      <formula>AND(IF($Q132=2,1,0),IF($X132&lt;30,1,0))</formula>
    </cfRule>
    <cfRule type="expression" dxfId="4499" priority="89">
      <formula>AND(IF($Q132=3,1,0),IF($X132&lt;30,1,0))</formula>
    </cfRule>
    <cfRule type="expression" dxfId="4498" priority="90">
      <formula>AND(IF($Q132=3,1,IF($Q132=4,1,0)),IF($F132&lt;=85,1,0))</formula>
    </cfRule>
  </conditionalFormatting>
  <conditionalFormatting sqref="AV133">
    <cfRule type="expression" dxfId="4497" priority="85">
      <formula>AV133="X"</formula>
    </cfRule>
    <cfRule type="expression" dxfId="4496" priority="86">
      <formula>AV133="후보"</formula>
    </cfRule>
  </conditionalFormatting>
  <conditionalFormatting sqref="AC133">
    <cfRule type="cellIs" dxfId="4495" priority="82" operator="greaterThan">
      <formula>0.9</formula>
    </cfRule>
    <cfRule type="cellIs" dxfId="4494" priority="83" operator="greaterThan">
      <formula>0.85</formula>
    </cfRule>
  </conditionalFormatting>
  <conditionalFormatting sqref="N133">
    <cfRule type="cellIs" dxfId="4493" priority="80" operator="greaterThan">
      <formula>0.9</formula>
    </cfRule>
    <cfRule type="cellIs" dxfId="4492" priority="81" operator="greaterThan">
      <formula>0.85</formula>
    </cfRule>
  </conditionalFormatting>
  <conditionalFormatting sqref="E133">
    <cfRule type="expression" dxfId="4491" priority="76">
      <formula>AND(IF(OR($Q133=1,$Q133=2),1,0),IF($X133&lt;=20,1,0))</formula>
    </cfRule>
    <cfRule type="expression" dxfId="4490" priority="77">
      <formula>AND(IF($Q133=2,1,0),IF($X133&lt;30,1,0))</formula>
    </cfRule>
    <cfRule type="expression" dxfId="4489" priority="78">
      <formula>AND(IF($Q133=3,1,0),IF($X133&lt;30,1,0))</formula>
    </cfRule>
    <cfRule type="expression" dxfId="4488" priority="79">
      <formula>AND(IF($Q133=3,1,IF($Q133=4,1,0)),IF($F133&lt;=85,1,0))</formula>
    </cfRule>
  </conditionalFormatting>
  <conditionalFormatting sqref="X133">
    <cfRule type="expression" dxfId="4487" priority="72">
      <formula>AND(IF(OR($Q133=1,$Q133=2),1,0),IF($X133&lt;=20,1,0))</formula>
    </cfRule>
    <cfRule type="expression" dxfId="4486" priority="73">
      <formula>AND(IF($Q133=2,1,0),IF($X133&lt;30,1,0))</formula>
    </cfRule>
    <cfRule type="expression" dxfId="4485" priority="74">
      <formula>AND(IF($Q133=3,1,0),IF($X133&lt;30,1,0))</formula>
    </cfRule>
    <cfRule type="expression" dxfId="4484" priority="75">
      <formula>AND(IF($Q133=3,1,IF($Q133=4,1,0)),IF($F133&lt;=85,1,0))</formula>
    </cfRule>
  </conditionalFormatting>
  <conditionalFormatting sqref="AI133">
    <cfRule type="expression" dxfId="4483" priority="68">
      <formula>AND(IF(OR($Q133=1,$Q133=2),1,0),IF($X133&lt;=20,1,0))</formula>
    </cfRule>
    <cfRule type="expression" dxfId="4482" priority="69">
      <formula>AND(IF($Q133=2,1,0),IF($X133&lt;30,1,0))</formula>
    </cfRule>
    <cfRule type="expression" dxfId="4481" priority="70">
      <formula>AND(IF($Q133=3,1,0),IF($X133&lt;30,1,0))</formula>
    </cfRule>
    <cfRule type="expression" dxfId="4480" priority="71">
      <formula>AND(IF($Q133=3,1,IF($Q133=4,1,0)),IF($F133&lt;=85,1,0))</formula>
    </cfRule>
  </conditionalFormatting>
  <conditionalFormatting sqref="AV134">
    <cfRule type="expression" dxfId="4479" priority="66">
      <formula>AV134="X"</formula>
    </cfRule>
    <cfRule type="expression" dxfId="4478" priority="67">
      <formula>AV134="후보"</formula>
    </cfRule>
  </conditionalFormatting>
  <conditionalFormatting sqref="AC134 N134">
    <cfRule type="cellIs" dxfId="4477" priority="63" operator="greaterThan">
      <formula>0.9</formula>
    </cfRule>
    <cfRule type="cellIs" dxfId="4476" priority="64" operator="greaterThan">
      <formula>0.85</formula>
    </cfRule>
  </conditionalFormatting>
  <conditionalFormatting sqref="AV135">
    <cfRule type="expression" dxfId="4475" priority="61">
      <formula>AV135="X"</formula>
    </cfRule>
    <cfRule type="expression" dxfId="4474" priority="62">
      <formula>AV135="후보"</formula>
    </cfRule>
  </conditionalFormatting>
  <conditionalFormatting sqref="AC135">
    <cfRule type="cellIs" dxfId="4473" priority="58" operator="greaterThan">
      <formula>0.9</formula>
    </cfRule>
    <cfRule type="cellIs" dxfId="4472" priority="59" operator="greaterThan">
      <formula>0.85</formula>
    </cfRule>
  </conditionalFormatting>
  <conditionalFormatting sqref="N135">
    <cfRule type="cellIs" dxfId="4471" priority="56" operator="greaterThan">
      <formula>0.9</formula>
    </cfRule>
    <cfRule type="cellIs" dxfId="4470" priority="57" operator="greaterThan">
      <formula>0.85</formula>
    </cfRule>
  </conditionalFormatting>
  <conditionalFormatting sqref="E135">
    <cfRule type="expression" dxfId="4469" priority="52">
      <formula>AND(IF(OR($Q135=1,$Q135=2),1,0),IF($X135&lt;=20,1,0))</formula>
    </cfRule>
    <cfRule type="expression" dxfId="4468" priority="53">
      <formula>AND(IF($Q135=2,1,0),IF($X135&lt;30,1,0))</formula>
    </cfRule>
    <cfRule type="expression" dxfId="4467" priority="54">
      <formula>AND(IF($Q135=3,1,0),IF($X135&lt;30,1,0))</formula>
    </cfRule>
    <cfRule type="expression" dxfId="4466" priority="55">
      <formula>AND(IF($Q135=3,1,IF($Q135=4,1,0)),IF($F135&lt;=85,1,0))</formula>
    </cfRule>
  </conditionalFormatting>
  <conditionalFormatting sqref="X135">
    <cfRule type="expression" dxfId="4465" priority="48">
      <formula>AND(IF(OR($Q135=1,$Q135=2),1,0),IF($X135&lt;=20,1,0))</formula>
    </cfRule>
    <cfRule type="expression" dxfId="4464" priority="49">
      <formula>AND(IF($Q135=2,1,0),IF($X135&lt;30,1,0))</formula>
    </cfRule>
    <cfRule type="expression" dxfId="4463" priority="50">
      <formula>AND(IF($Q135=3,1,0),IF($X135&lt;30,1,0))</formula>
    </cfRule>
    <cfRule type="expression" dxfId="4462" priority="51">
      <formula>AND(IF($Q135=3,1,IF($Q135=4,1,0)),IF($F135&lt;=85,1,0))</formula>
    </cfRule>
  </conditionalFormatting>
  <conditionalFormatting sqref="AI135">
    <cfRule type="expression" dxfId="4461" priority="44">
      <formula>AND(IF(OR($Q135=1,$Q135=2),1,0),IF($X135&lt;=20,1,0))</formula>
    </cfRule>
    <cfRule type="expression" dxfId="4460" priority="45">
      <formula>AND(IF($Q135=2,1,0),IF($X135&lt;30,1,0))</formula>
    </cfRule>
    <cfRule type="expression" dxfId="4459" priority="46">
      <formula>AND(IF($Q135=3,1,0),IF($X135&lt;30,1,0))</formula>
    </cfRule>
    <cfRule type="expression" dxfId="4458" priority="47">
      <formula>AND(IF($Q135=3,1,IF($Q135=4,1,0)),IF($F135&lt;=85,1,0))</formula>
    </cfRule>
  </conditionalFormatting>
  <conditionalFormatting sqref="AV136">
    <cfRule type="expression" dxfId="4457" priority="42">
      <formula>AV136="X"</formula>
    </cfRule>
    <cfRule type="expression" dxfId="4456" priority="43">
      <formula>AV136="후보"</formula>
    </cfRule>
  </conditionalFormatting>
  <conditionalFormatting sqref="AC136">
    <cfRule type="cellIs" dxfId="4455" priority="39" operator="greaterThan">
      <formula>0.9</formula>
    </cfRule>
    <cfRule type="cellIs" dxfId="4454" priority="40" operator="greaterThan">
      <formula>0.85</formula>
    </cfRule>
  </conditionalFormatting>
  <conditionalFormatting sqref="N136">
    <cfRule type="cellIs" dxfId="4453" priority="37" operator="greaterThan">
      <formula>0.9</formula>
    </cfRule>
    <cfRule type="cellIs" dxfId="4452" priority="38" operator="greaterThan">
      <formula>0.85</formula>
    </cfRule>
  </conditionalFormatting>
  <conditionalFormatting sqref="E136">
    <cfRule type="expression" dxfId="4451" priority="33">
      <formula>AND(IF(OR($Q136=1,$Q136=2),1,0),IF($X136&lt;=20,1,0))</formula>
    </cfRule>
    <cfRule type="expression" dxfId="4450" priority="34">
      <formula>AND(IF($Q136=2,1,0),IF($X136&lt;30,1,0))</formula>
    </cfRule>
    <cfRule type="expression" dxfId="4449" priority="35">
      <formula>AND(IF($Q136=3,1,0),IF($X136&lt;30,1,0))</formula>
    </cfRule>
    <cfRule type="expression" dxfId="4448" priority="36">
      <formula>AND(IF($Q136=3,1,IF($Q136=4,1,0)),IF($F136&lt;=85,1,0))</formula>
    </cfRule>
  </conditionalFormatting>
  <conditionalFormatting sqref="X136">
    <cfRule type="expression" dxfId="4447" priority="29">
      <formula>AND(IF(OR($Q136=1,$Q136=2),1,0),IF($X136&lt;=20,1,0))</formula>
    </cfRule>
    <cfRule type="expression" dxfId="4446" priority="30">
      <formula>AND(IF($Q136=2,1,0),IF($X136&lt;30,1,0))</formula>
    </cfRule>
    <cfRule type="expression" dxfId="4445" priority="31">
      <formula>AND(IF($Q136=3,1,0),IF($X136&lt;30,1,0))</formula>
    </cfRule>
    <cfRule type="expression" dxfId="4444" priority="32">
      <formula>AND(IF($Q136=3,1,IF($Q136=4,1,0)),IF($F136&lt;=85,1,0))</formula>
    </cfRule>
  </conditionalFormatting>
  <conditionalFormatting sqref="AI136">
    <cfRule type="expression" dxfId="4443" priority="25">
      <formula>AND(IF(OR($Q136=1,$Q136=2),1,0),IF($X136&lt;=20,1,0))</formula>
    </cfRule>
    <cfRule type="expression" dxfId="4442" priority="26">
      <formula>AND(IF($Q136=2,1,0),IF($X136&lt;30,1,0))</formula>
    </cfRule>
    <cfRule type="expression" dxfId="4441" priority="27">
      <formula>AND(IF($Q136=3,1,0),IF($X136&lt;30,1,0))</formula>
    </cfRule>
    <cfRule type="expression" dxfId="4440" priority="28">
      <formula>AND(IF($Q136=3,1,IF($Q136=4,1,0)),IF($F136&lt;=85,1,0))</formula>
    </cfRule>
  </conditionalFormatting>
  <conditionalFormatting sqref="AV137">
    <cfRule type="expression" dxfId="4439" priority="23">
      <formula>AV137="X"</formula>
    </cfRule>
    <cfRule type="expression" dxfId="4438" priority="24">
      <formula>AV137="후보"</formula>
    </cfRule>
  </conditionalFormatting>
  <conditionalFormatting sqref="AC137 N137">
    <cfRule type="cellIs" dxfId="4437" priority="20" operator="greaterThan">
      <formula>0.9</formula>
    </cfRule>
    <cfRule type="cellIs" dxfId="4436" priority="21" operator="greaterThan">
      <formula>0.85</formula>
    </cfRule>
  </conditionalFormatting>
  <conditionalFormatting sqref="AV138">
    <cfRule type="expression" dxfId="4435" priority="18">
      <formula>AV138="X"</formula>
    </cfRule>
    <cfRule type="expression" dxfId="4434" priority="19">
      <formula>AV138="후보"</formula>
    </cfRule>
  </conditionalFormatting>
  <conditionalFormatting sqref="AC138">
    <cfRule type="cellIs" dxfId="4433" priority="15" operator="greaterThan">
      <formula>0.9</formula>
    </cfRule>
    <cfRule type="cellIs" dxfId="4432" priority="16" operator="greaterThan">
      <formula>0.85</formula>
    </cfRule>
  </conditionalFormatting>
  <conditionalFormatting sqref="N138">
    <cfRule type="cellIs" dxfId="4431" priority="13" operator="greaterThan">
      <formula>0.9</formula>
    </cfRule>
    <cfRule type="cellIs" dxfId="4430" priority="14" operator="greaterThan">
      <formula>0.85</formula>
    </cfRule>
  </conditionalFormatting>
  <conditionalFormatting sqref="E138">
    <cfRule type="expression" dxfId="4429" priority="9">
      <formula>AND(IF(OR($Q138=1,$Q138=2),1,0),IF($X138&lt;=20,1,0))</formula>
    </cfRule>
    <cfRule type="expression" dxfId="4428" priority="10">
      <formula>AND(IF($Q138=2,1,0),IF($X138&lt;30,1,0))</formula>
    </cfRule>
    <cfRule type="expression" dxfId="4427" priority="11">
      <formula>AND(IF($Q138=3,1,0),IF($X138&lt;30,1,0))</formula>
    </cfRule>
    <cfRule type="expression" dxfId="4426" priority="12">
      <formula>AND(IF($Q138=3,1,IF($Q138=4,1,0)),IF($F138&lt;=85,1,0))</formula>
    </cfRule>
  </conditionalFormatting>
  <conditionalFormatting sqref="X138">
    <cfRule type="expression" dxfId="4425" priority="5">
      <formula>AND(IF(OR($Q138=1,$Q138=2),1,0),IF($X138&lt;=20,1,0))</formula>
    </cfRule>
    <cfRule type="expression" dxfId="4424" priority="6">
      <formula>AND(IF($Q138=2,1,0),IF($X138&lt;30,1,0))</formula>
    </cfRule>
    <cfRule type="expression" dxfId="4423" priority="7">
      <formula>AND(IF($Q138=3,1,0),IF($X138&lt;30,1,0))</formula>
    </cfRule>
    <cfRule type="expression" dxfId="4422" priority="8">
      <formula>AND(IF($Q138=3,1,IF($Q138=4,1,0)),IF($F138&lt;=85,1,0))</formula>
    </cfRule>
  </conditionalFormatting>
  <conditionalFormatting sqref="AI138">
    <cfRule type="expression" dxfId="4421" priority="1">
      <formula>AND(IF(OR($Q138=1,$Q138=2),1,0),IF($X138&lt;=20,1,0))</formula>
    </cfRule>
    <cfRule type="expression" dxfId="4420" priority="2">
      <formula>AND(IF($Q138=2,1,0),IF($X138&lt;30,1,0))</formula>
    </cfRule>
    <cfRule type="expression" dxfId="4419" priority="3">
      <formula>AND(IF($Q138=3,1,0),IF($X138&lt;30,1,0))</formula>
    </cfRule>
    <cfRule type="expression" dxfId="4418" priority="4">
      <formula>AND(IF($Q138=3,1,IF($Q138=4,1,0)),IF($F138&lt;=85,1,0))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여의동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22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972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여의동 공영(푸른솔)('93.04.,500^)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22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968</v>
      </c>
      <c r="B6" s="10" t="s">
        <v>1588</v>
      </c>
      <c r="C6" s="87">
        <v>500</v>
      </c>
      <c r="D6" s="85">
        <v>60.6</v>
      </c>
      <c r="E6" s="86">
        <v>18</v>
      </c>
      <c r="F6" s="85">
        <v>40.4</v>
      </c>
      <c r="G6" s="17">
        <v>12</v>
      </c>
      <c r="H6" s="87">
        <v>150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2</v>
      </c>
      <c r="R6" s="78">
        <v>1</v>
      </c>
      <c r="S6" s="78" t="s">
        <v>65</v>
      </c>
      <c r="T6" s="5">
        <v>60</v>
      </c>
      <c r="U6" s="9"/>
      <c r="W6" s="85">
        <f t="shared" ref="W6:X8" si="2">D6</f>
        <v>60.6</v>
      </c>
      <c r="X6" s="86">
        <f t="shared" si="2"/>
        <v>18</v>
      </c>
      <c r="Y6" s="91">
        <f t="shared" ref="Y6:Z8" si="3">H6</f>
        <v>150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8" t="str">
        <f>S6</f>
        <v>복</v>
      </c>
      <c r="AF6" s="78" t="str">
        <f>Q6&amp;"/"&amp;R6</f>
        <v>2/1</v>
      </c>
      <c r="AH6" s="20" t="str">
        <f t="shared" si="1"/>
        <v>공영(푸른솔)</v>
      </c>
      <c r="AI6" s="86">
        <f t="shared" si="0"/>
        <v>18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968</v>
      </c>
      <c r="B7" s="10" t="s">
        <v>1588</v>
      </c>
      <c r="C7" s="87">
        <v>500</v>
      </c>
      <c r="D7" s="85">
        <v>74.8</v>
      </c>
      <c r="E7" s="86">
        <v>23</v>
      </c>
      <c r="F7" s="85">
        <v>50</v>
      </c>
      <c r="G7" s="17">
        <v>15</v>
      </c>
      <c r="H7" s="87">
        <v>336</v>
      </c>
      <c r="I7" s="88">
        <v>7600</v>
      </c>
      <c r="J7" s="88" t="s">
        <v>69</v>
      </c>
      <c r="K7" s="88"/>
      <c r="L7" s="88"/>
      <c r="M7" s="89">
        <f>I7-K7</f>
        <v>7600</v>
      </c>
      <c r="N7" s="4">
        <f>IF(ISERROR(K7/I7),"",K7/I7)</f>
        <v>0</v>
      </c>
      <c r="O7" s="90">
        <f>I7/E7</f>
        <v>330.43478260869563</v>
      </c>
      <c r="P7" s="90">
        <f>K7/E7</f>
        <v>0</v>
      </c>
      <c r="Q7" s="78">
        <v>3</v>
      </c>
      <c r="R7" s="78">
        <v>1</v>
      </c>
      <c r="S7" s="78" t="s">
        <v>65</v>
      </c>
      <c r="T7" s="5" t="s">
        <v>67</v>
      </c>
      <c r="U7" s="9"/>
      <c r="W7" s="85">
        <f t="shared" si="2"/>
        <v>74.8</v>
      </c>
      <c r="X7" s="86">
        <f t="shared" si="2"/>
        <v>23</v>
      </c>
      <c r="Y7" s="91">
        <f t="shared" si="3"/>
        <v>336</v>
      </c>
      <c r="Z7" s="89">
        <f t="shared" si="3"/>
        <v>7600</v>
      </c>
      <c r="AA7" s="89">
        <f>K7</f>
        <v>0</v>
      </c>
      <c r="AB7" s="89">
        <f t="shared" si="4"/>
        <v>7600</v>
      </c>
      <c r="AC7" s="4">
        <f t="shared" si="4"/>
        <v>0</v>
      </c>
      <c r="AD7" s="90">
        <f t="shared" si="4"/>
        <v>330.43478260869563</v>
      </c>
      <c r="AE7" s="78" t="str">
        <f>S7</f>
        <v>복</v>
      </c>
      <c r="AF7" s="78" t="str">
        <f>Q7&amp;"/"&amp;R7</f>
        <v>3/1</v>
      </c>
      <c r="AH7" s="20" t="str">
        <f t="shared" si="1"/>
        <v>공영(푸른솔)</v>
      </c>
      <c r="AI7" s="86">
        <f t="shared" si="0"/>
        <v>23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968</v>
      </c>
      <c r="B8" s="10" t="s">
        <v>1588</v>
      </c>
      <c r="C8" s="87">
        <v>500</v>
      </c>
      <c r="D8" s="85">
        <v>74.8</v>
      </c>
      <c r="E8" s="86">
        <v>23</v>
      </c>
      <c r="F8" s="85">
        <v>50</v>
      </c>
      <c r="G8" s="17">
        <v>15</v>
      </c>
      <c r="H8" s="87">
        <v>14</v>
      </c>
      <c r="I8" s="88">
        <v>7600</v>
      </c>
      <c r="J8" s="88" t="s">
        <v>69</v>
      </c>
      <c r="K8" s="88"/>
      <c r="L8" s="88"/>
      <c r="M8" s="89">
        <f>I8-K8</f>
        <v>7600</v>
      </c>
      <c r="N8" s="4">
        <f>IF(ISERROR(K8/I8),"",K8/I8)</f>
        <v>0</v>
      </c>
      <c r="O8" s="90">
        <f>I8/E8</f>
        <v>330.43478260869563</v>
      </c>
      <c r="P8" s="90">
        <f>K8/E8</f>
        <v>0</v>
      </c>
      <c r="Q8" s="78">
        <v>3</v>
      </c>
      <c r="R8" s="78">
        <v>1</v>
      </c>
      <c r="S8" s="78" t="s">
        <v>59</v>
      </c>
      <c r="T8" s="5" t="s">
        <v>187</v>
      </c>
      <c r="U8" s="9"/>
      <c r="W8" s="85">
        <f t="shared" si="2"/>
        <v>74.8</v>
      </c>
      <c r="X8" s="86">
        <f t="shared" si="2"/>
        <v>23</v>
      </c>
      <c r="Y8" s="91">
        <f t="shared" si="3"/>
        <v>14</v>
      </c>
      <c r="Z8" s="89">
        <f t="shared" si="3"/>
        <v>7600</v>
      </c>
      <c r="AA8" s="89">
        <f>K8</f>
        <v>0</v>
      </c>
      <c r="AB8" s="89">
        <f t="shared" si="4"/>
        <v>7600</v>
      </c>
      <c r="AC8" s="4">
        <f t="shared" si="4"/>
        <v>0</v>
      </c>
      <c r="AD8" s="90">
        <f t="shared" si="4"/>
        <v>330.43478260869563</v>
      </c>
      <c r="AE8" s="78" t="str">
        <f>S8</f>
        <v>계</v>
      </c>
      <c r="AF8" s="78" t="str">
        <f>Q8&amp;"/"&amp;R8</f>
        <v>3/1</v>
      </c>
      <c r="AH8" s="20" t="str">
        <f t="shared" si="1"/>
        <v>공영(푸른솔)</v>
      </c>
      <c r="AI8" s="86">
        <f t="shared" si="0"/>
        <v>23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여의동 여의영무예다음('19.01.,711^)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974</v>
      </c>
      <c r="B10" s="10" t="s">
        <v>1545</v>
      </c>
      <c r="C10" s="87">
        <v>711</v>
      </c>
      <c r="D10" s="85">
        <v>97.3</v>
      </c>
      <c r="E10" s="86">
        <v>29</v>
      </c>
      <c r="F10" s="85">
        <v>73.099999999999994</v>
      </c>
      <c r="G10" s="17">
        <v>22</v>
      </c>
      <c r="H10" s="87">
        <v>251</v>
      </c>
      <c r="I10" s="88"/>
      <c r="J10" s="88"/>
      <c r="K10" s="88">
        <v>16970</v>
      </c>
      <c r="L10" s="88" t="s">
        <v>68</v>
      </c>
      <c r="M10" s="89">
        <f>I10-K10</f>
        <v>-16970</v>
      </c>
      <c r="N10" s="4" t="str">
        <f>IF(ISERROR(K10/I10),"",K10/I10)</f>
        <v/>
      </c>
      <c r="O10" s="90">
        <f>I10/E10</f>
        <v>0</v>
      </c>
      <c r="P10" s="90">
        <f>K10/E10</f>
        <v>585.17241379310349</v>
      </c>
      <c r="Q10" s="78">
        <v>3</v>
      </c>
      <c r="R10" s="78">
        <v>2</v>
      </c>
      <c r="S10" s="78" t="s">
        <v>59</v>
      </c>
      <c r="T10" s="5">
        <v>97</v>
      </c>
      <c r="U10" s="9"/>
      <c r="W10" s="85">
        <f t="shared" ref="W10:X12" si="5">D10</f>
        <v>97.3</v>
      </c>
      <c r="X10" s="86">
        <f t="shared" si="5"/>
        <v>29</v>
      </c>
      <c r="Y10" s="91">
        <f t="shared" ref="Y10:Z12" si="6">H10</f>
        <v>251</v>
      </c>
      <c r="Z10" s="89">
        <f t="shared" si="6"/>
        <v>0</v>
      </c>
      <c r="AA10" s="89">
        <f>K10</f>
        <v>16970</v>
      </c>
      <c r="AB10" s="89">
        <f t="shared" ref="AB10:AD12" si="7">M10</f>
        <v>-16970</v>
      </c>
      <c r="AC10" s="4" t="str">
        <f t="shared" si="7"/>
        <v/>
      </c>
      <c r="AD10" s="90">
        <f t="shared" si="7"/>
        <v>0</v>
      </c>
      <c r="AE10" s="78" t="str">
        <f>S10</f>
        <v>계</v>
      </c>
      <c r="AF10" s="78" t="str">
        <f>Q10&amp;"/"&amp;R10</f>
        <v>3/2</v>
      </c>
      <c r="AH10" s="20" t="str">
        <f t="shared" si="1"/>
        <v>여의영무예다음</v>
      </c>
      <c r="AI10" s="86">
        <f t="shared" si="0"/>
        <v>29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/>
      </c>
    </row>
    <row r="11" spans="1:48" x14ac:dyDescent="0.3">
      <c r="A11" s="9" t="s">
        <v>974</v>
      </c>
      <c r="B11" s="10" t="s">
        <v>1545</v>
      </c>
      <c r="C11" s="87">
        <v>711</v>
      </c>
      <c r="D11" s="85">
        <v>112.8</v>
      </c>
      <c r="E11" s="86">
        <v>34</v>
      </c>
      <c r="F11" s="85">
        <v>85</v>
      </c>
      <c r="G11" s="17">
        <v>26</v>
      </c>
      <c r="H11" s="87">
        <v>145</v>
      </c>
      <c r="I11" s="88"/>
      <c r="J11" s="88"/>
      <c r="K11" s="88">
        <v>19970</v>
      </c>
      <c r="L11" s="88" t="s">
        <v>68</v>
      </c>
      <c r="M11" s="89">
        <f>I11-K11</f>
        <v>-19970</v>
      </c>
      <c r="N11" s="4" t="str">
        <f>IF(ISERROR(K11/I11),"",K11/I11)</f>
        <v/>
      </c>
      <c r="O11" s="90">
        <f>I11/E11</f>
        <v>0</v>
      </c>
      <c r="P11" s="90">
        <f>K11/E11</f>
        <v>587.35294117647061</v>
      </c>
      <c r="Q11" s="78">
        <v>3</v>
      </c>
      <c r="R11" s="78">
        <v>2</v>
      </c>
      <c r="S11" s="78" t="s">
        <v>59</v>
      </c>
      <c r="T11" s="5" t="s">
        <v>160</v>
      </c>
      <c r="U11" s="9"/>
      <c r="W11" s="85">
        <f t="shared" si="5"/>
        <v>112.8</v>
      </c>
      <c r="X11" s="86">
        <f t="shared" si="5"/>
        <v>34</v>
      </c>
      <c r="Y11" s="91">
        <f t="shared" si="6"/>
        <v>145</v>
      </c>
      <c r="Z11" s="89">
        <f t="shared" si="6"/>
        <v>0</v>
      </c>
      <c r="AA11" s="89">
        <f>K11</f>
        <v>19970</v>
      </c>
      <c r="AB11" s="89">
        <f t="shared" si="7"/>
        <v>-19970</v>
      </c>
      <c r="AC11" s="4" t="str">
        <f t="shared" si="7"/>
        <v/>
      </c>
      <c r="AD11" s="90">
        <f t="shared" si="7"/>
        <v>0</v>
      </c>
      <c r="AE11" s="78" t="str">
        <f>S11</f>
        <v>계</v>
      </c>
      <c r="AF11" s="78" t="str">
        <f>Q11&amp;"/"&amp;R11</f>
        <v>3/2</v>
      </c>
      <c r="AH11" s="20" t="str">
        <f t="shared" si="1"/>
        <v>여의영무예다음</v>
      </c>
      <c r="AI11" s="86">
        <f t="shared" si="0"/>
        <v>34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/>
      </c>
    </row>
    <row r="12" spans="1:48" x14ac:dyDescent="0.3">
      <c r="A12" s="9" t="s">
        <v>974</v>
      </c>
      <c r="B12" s="10" t="s">
        <v>1545</v>
      </c>
      <c r="C12" s="87">
        <v>711</v>
      </c>
      <c r="D12" s="85">
        <v>113.3</v>
      </c>
      <c r="E12" s="86">
        <v>34</v>
      </c>
      <c r="F12" s="85">
        <v>85</v>
      </c>
      <c r="G12" s="17">
        <v>26</v>
      </c>
      <c r="H12" s="87">
        <v>315</v>
      </c>
      <c r="I12" s="88"/>
      <c r="J12" s="88"/>
      <c r="K12" s="88">
        <v>20490</v>
      </c>
      <c r="L12" s="88" t="s">
        <v>68</v>
      </c>
      <c r="M12" s="89">
        <f>I12-K12</f>
        <v>-20490</v>
      </c>
      <c r="N12" s="4" t="str">
        <f>IF(ISERROR(K12/I12),"",K12/I12)</f>
        <v/>
      </c>
      <c r="O12" s="90">
        <f>I12/E12</f>
        <v>0</v>
      </c>
      <c r="P12" s="90">
        <f>K12/E12</f>
        <v>602.64705882352939</v>
      </c>
      <c r="Q12" s="78">
        <v>4</v>
      </c>
      <c r="R12" s="78">
        <v>2</v>
      </c>
      <c r="S12" s="78" t="s">
        <v>59</v>
      </c>
      <c r="T12" s="5" t="s">
        <v>165</v>
      </c>
      <c r="U12" s="9"/>
      <c r="W12" s="85">
        <f t="shared" si="5"/>
        <v>113.3</v>
      </c>
      <c r="X12" s="86">
        <f t="shared" si="5"/>
        <v>34</v>
      </c>
      <c r="Y12" s="91">
        <f t="shared" si="6"/>
        <v>315</v>
      </c>
      <c r="Z12" s="89">
        <f t="shared" si="6"/>
        <v>0</v>
      </c>
      <c r="AA12" s="89">
        <f>K12</f>
        <v>20490</v>
      </c>
      <c r="AB12" s="89">
        <f t="shared" si="7"/>
        <v>-20490</v>
      </c>
      <c r="AC12" s="4" t="str">
        <f t="shared" si="7"/>
        <v/>
      </c>
      <c r="AD12" s="90">
        <f t="shared" si="7"/>
        <v>0</v>
      </c>
      <c r="AE12" s="78" t="str">
        <f>S12</f>
        <v>계</v>
      </c>
      <c r="AF12" s="78" t="str">
        <f>Q12&amp;"/"&amp;R12</f>
        <v>4/2</v>
      </c>
      <c r="AH12" s="20" t="str">
        <f t="shared" si="1"/>
        <v>여의영무예다음</v>
      </c>
      <c r="AI12" s="86">
        <f t="shared" si="0"/>
        <v>34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여의동 여의제이파크(제일)('03.12.,737^)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978</v>
      </c>
      <c r="B14" s="10" t="s">
        <v>1589</v>
      </c>
      <c r="C14" s="87">
        <v>737</v>
      </c>
      <c r="D14" s="85">
        <v>77.3</v>
      </c>
      <c r="E14" s="86">
        <v>23</v>
      </c>
      <c r="F14" s="85">
        <v>59.7</v>
      </c>
      <c r="G14" s="17">
        <v>18</v>
      </c>
      <c r="H14" s="87">
        <v>47</v>
      </c>
      <c r="I14" s="88">
        <v>15500</v>
      </c>
      <c r="J14" s="88" t="s">
        <v>99</v>
      </c>
      <c r="K14" s="88"/>
      <c r="L14" s="88"/>
      <c r="M14" s="89">
        <f>I14-K14</f>
        <v>15500</v>
      </c>
      <c r="N14" s="4">
        <f>IF(ISERROR(K14/I14),"",K14/I14)</f>
        <v>0</v>
      </c>
      <c r="O14" s="90">
        <f>I14/E14</f>
        <v>673.91304347826087</v>
      </c>
      <c r="P14" s="90">
        <f>K14/E14</f>
        <v>0</v>
      </c>
      <c r="Q14" s="78">
        <v>3</v>
      </c>
      <c r="R14" s="78">
        <v>1</v>
      </c>
      <c r="S14" s="78" t="s">
        <v>59</v>
      </c>
      <c r="T14" s="5">
        <v>77</v>
      </c>
      <c r="U14" s="9"/>
      <c r="W14" s="85">
        <f t="shared" ref="W14:X16" si="8">D14</f>
        <v>77.3</v>
      </c>
      <c r="X14" s="86">
        <f t="shared" si="8"/>
        <v>23</v>
      </c>
      <c r="Y14" s="91">
        <f t="shared" ref="Y14:Z16" si="9">H14</f>
        <v>47</v>
      </c>
      <c r="Z14" s="89">
        <f t="shared" si="9"/>
        <v>15500</v>
      </c>
      <c r="AA14" s="89">
        <f>K14</f>
        <v>0</v>
      </c>
      <c r="AB14" s="89">
        <f t="shared" ref="AB14:AD16" si="10">M14</f>
        <v>15500</v>
      </c>
      <c r="AC14" s="4">
        <f t="shared" si="10"/>
        <v>0</v>
      </c>
      <c r="AD14" s="90">
        <f t="shared" si="10"/>
        <v>673.91304347826087</v>
      </c>
      <c r="AE14" s="78" t="str">
        <f>S14</f>
        <v>계</v>
      </c>
      <c r="AF14" s="78" t="str">
        <f>Q14&amp;"/"&amp;R14</f>
        <v>3/1</v>
      </c>
      <c r="AH14" s="20" t="str">
        <f t="shared" si="1"/>
        <v>여의제이파크(제일)</v>
      </c>
      <c r="AI14" s="86">
        <f t="shared" si="0"/>
        <v>23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X</v>
      </c>
      <c r="AP14" s="78" t="str">
        <f>IF(I14="","",IF(I14&lt;=$AP$1,"O","X"))</f>
        <v>O</v>
      </c>
      <c r="AQ14" s="78" t="str">
        <f>IF(O14="","",IF(O14&lt;=$AQ$1,"O","X"))</f>
        <v>O</v>
      </c>
      <c r="AR14" s="78" t="str">
        <f>IF(M14="","",IF(M14&lt;=$AR$1,"O","X"))</f>
        <v>X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X</v>
      </c>
    </row>
    <row r="15" spans="1:48" x14ac:dyDescent="0.3">
      <c r="A15" s="9" t="s">
        <v>978</v>
      </c>
      <c r="B15" s="10" t="s">
        <v>1589</v>
      </c>
      <c r="C15" s="87">
        <v>737</v>
      </c>
      <c r="D15" s="85">
        <v>102.7</v>
      </c>
      <c r="E15" s="86">
        <v>31</v>
      </c>
      <c r="F15" s="85">
        <v>85</v>
      </c>
      <c r="G15" s="17">
        <v>26</v>
      </c>
      <c r="H15" s="87">
        <v>675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 t="s">
        <v>136</v>
      </c>
      <c r="U15" s="9"/>
      <c r="W15" s="85">
        <f t="shared" si="8"/>
        <v>102.7</v>
      </c>
      <c r="X15" s="86">
        <f t="shared" si="8"/>
        <v>31</v>
      </c>
      <c r="Y15" s="91">
        <f t="shared" si="9"/>
        <v>675</v>
      </c>
      <c r="Z15" s="89">
        <f t="shared" si="9"/>
        <v>0</v>
      </c>
      <c r="AA15" s="89">
        <f>K15</f>
        <v>0</v>
      </c>
      <c r="AB15" s="89">
        <f t="shared" si="10"/>
        <v>0</v>
      </c>
      <c r="AC15" s="4" t="str">
        <f t="shared" si="10"/>
        <v/>
      </c>
      <c r="AD15" s="90">
        <f t="shared" si="10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여의제이파크(제일)</v>
      </c>
      <c r="AI15" s="86">
        <f t="shared" si="0"/>
        <v>31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/>
      </c>
    </row>
    <row r="16" spans="1:48" x14ac:dyDescent="0.3">
      <c r="A16" s="9" t="s">
        <v>978</v>
      </c>
      <c r="B16" s="10" t="s">
        <v>1589</v>
      </c>
      <c r="C16" s="87">
        <v>737</v>
      </c>
      <c r="D16" s="85">
        <v>102.8</v>
      </c>
      <c r="E16" s="86">
        <v>31</v>
      </c>
      <c r="F16" s="85">
        <v>85</v>
      </c>
      <c r="G16" s="17">
        <v>26</v>
      </c>
      <c r="H16" s="87">
        <v>15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 t="s">
        <v>135</v>
      </c>
      <c r="U16" s="9"/>
      <c r="W16" s="85">
        <f t="shared" si="8"/>
        <v>102.8</v>
      </c>
      <c r="X16" s="86">
        <f t="shared" si="8"/>
        <v>31</v>
      </c>
      <c r="Y16" s="91">
        <f t="shared" si="9"/>
        <v>15</v>
      </c>
      <c r="Z16" s="89">
        <f t="shared" si="9"/>
        <v>0</v>
      </c>
      <c r="AA16" s="89">
        <f>K16</f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여의제이파크(제일)</v>
      </c>
      <c r="AI16" s="86">
        <f t="shared" si="0"/>
        <v>31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  <row r="17" spans="1:48" x14ac:dyDescent="0.3">
      <c r="A17" s="9"/>
      <c r="B17" s="78"/>
      <c r="C17" s="6"/>
      <c r="D17" s="9"/>
      <c r="E17" s="14"/>
      <c r="F17" s="85"/>
      <c r="G17" s="9"/>
      <c r="H17" s="9"/>
      <c r="I17" s="9"/>
      <c r="J17" s="9"/>
      <c r="K17" s="9"/>
      <c r="L17" s="9"/>
      <c r="M17" s="9"/>
      <c r="N17" s="9"/>
      <c r="O17" s="90"/>
      <c r="P17" s="90"/>
      <c r="Q17" s="86"/>
      <c r="R17" s="86"/>
      <c r="S17" s="9"/>
      <c r="T17" s="47"/>
      <c r="U17" s="9"/>
      <c r="W17" s="67" t="str">
        <f>$A$4&amp;" "&amp;A18&amp;"("&amp;B18&amp;","&amp;C18&amp;"^)"</f>
        <v>여의동 동국('98.05.,360^)</v>
      </c>
      <c r="X17" s="68"/>
      <c r="Y17" s="68"/>
      <c r="Z17" s="68"/>
      <c r="AA17" s="68"/>
      <c r="AB17" s="68"/>
      <c r="AC17" s="68"/>
      <c r="AD17" s="68"/>
      <c r="AE17" s="68"/>
      <c r="AF17" s="69"/>
      <c r="AH17" s="20" t="str">
        <f t="shared" si="1"/>
        <v/>
      </c>
      <c r="AI17" s="108" t="str">
        <f t="shared" si="0"/>
        <v/>
      </c>
      <c r="AJ17" s="78"/>
      <c r="AK17" s="78"/>
      <c r="AL17" s="78"/>
      <c r="AM17" s="78"/>
      <c r="AN17" s="78"/>
      <c r="AO17" s="78"/>
      <c r="AP17" s="78"/>
      <c r="AQ17" s="78"/>
      <c r="AR17" s="78"/>
      <c r="AS17" s="78"/>
      <c r="AT17" s="78"/>
      <c r="AU17" s="78"/>
      <c r="AV17" s="78"/>
    </row>
    <row r="18" spans="1:48" x14ac:dyDescent="0.3">
      <c r="A18" s="9" t="s">
        <v>983</v>
      </c>
      <c r="B18" s="10" t="s">
        <v>1590</v>
      </c>
      <c r="C18" s="87">
        <v>360</v>
      </c>
      <c r="D18" s="85">
        <v>79.7</v>
      </c>
      <c r="E18" s="86">
        <v>24</v>
      </c>
      <c r="F18" s="85">
        <v>59.7</v>
      </c>
      <c r="G18" s="17">
        <v>18</v>
      </c>
      <c r="H18" s="87">
        <v>125</v>
      </c>
      <c r="I18" s="88">
        <v>13500</v>
      </c>
      <c r="J18" s="88" t="s">
        <v>68</v>
      </c>
      <c r="K18" s="88"/>
      <c r="L18" s="88"/>
      <c r="M18" s="89">
        <f>I18-K18</f>
        <v>13500</v>
      </c>
      <c r="N18" s="4">
        <f>IF(ISERROR(K18/I18),"",K18/I18)</f>
        <v>0</v>
      </c>
      <c r="O18" s="90">
        <f>I18/E18</f>
        <v>562.5</v>
      </c>
      <c r="P18" s="90">
        <f>K18/E18</f>
        <v>0</v>
      </c>
      <c r="Q18" s="78">
        <v>3</v>
      </c>
      <c r="R18" s="78">
        <v>2</v>
      </c>
      <c r="S18" s="78" t="s">
        <v>59</v>
      </c>
      <c r="T18" s="5">
        <v>79</v>
      </c>
      <c r="U18" s="9"/>
      <c r="W18" s="85">
        <f t="shared" ref="W18:X22" si="11">D18</f>
        <v>79.7</v>
      </c>
      <c r="X18" s="86">
        <f t="shared" si="11"/>
        <v>24</v>
      </c>
      <c r="Y18" s="91">
        <f t="shared" ref="Y18:Z22" si="12">H18</f>
        <v>125</v>
      </c>
      <c r="Z18" s="89">
        <f t="shared" si="12"/>
        <v>13500</v>
      </c>
      <c r="AA18" s="89">
        <f>K18</f>
        <v>0</v>
      </c>
      <c r="AB18" s="89">
        <f t="shared" ref="AB18:AD22" si="13">M18</f>
        <v>13500</v>
      </c>
      <c r="AC18" s="4">
        <f t="shared" si="13"/>
        <v>0</v>
      </c>
      <c r="AD18" s="90">
        <f t="shared" si="13"/>
        <v>562.5</v>
      </c>
      <c r="AE18" s="78" t="str">
        <f>S18</f>
        <v>계</v>
      </c>
      <c r="AF18" s="78" t="str">
        <f>Q18&amp;"/"&amp;R18</f>
        <v>3/2</v>
      </c>
      <c r="AH18" s="20" t="str">
        <f t="shared" si="1"/>
        <v>동국</v>
      </c>
      <c r="AI18" s="86">
        <f t="shared" si="0"/>
        <v>24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O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983</v>
      </c>
      <c r="B19" s="10" t="s">
        <v>1590</v>
      </c>
      <c r="C19" s="87">
        <v>360</v>
      </c>
      <c r="D19" s="85">
        <v>79.3</v>
      </c>
      <c r="E19" s="86">
        <v>24</v>
      </c>
      <c r="F19" s="85">
        <v>59.7</v>
      </c>
      <c r="G19" s="17">
        <v>18</v>
      </c>
      <c r="H19" s="87">
        <v>50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>
        <v>79</v>
      </c>
      <c r="U19" s="9"/>
      <c r="W19" s="85">
        <f t="shared" si="11"/>
        <v>79.3</v>
      </c>
      <c r="X19" s="86">
        <f t="shared" si="11"/>
        <v>24</v>
      </c>
      <c r="Y19" s="91">
        <f t="shared" si="12"/>
        <v>50</v>
      </c>
      <c r="Z19" s="89">
        <f t="shared" si="12"/>
        <v>0</v>
      </c>
      <c r="AA19" s="89">
        <f>K19</f>
        <v>0</v>
      </c>
      <c r="AB19" s="89">
        <f t="shared" si="13"/>
        <v>0</v>
      </c>
      <c r="AC19" s="4" t="str">
        <f t="shared" si="13"/>
        <v/>
      </c>
      <c r="AD19" s="90">
        <f t="shared" si="13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동국</v>
      </c>
      <c r="AI19" s="86">
        <f t="shared" si="0"/>
        <v>24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983</v>
      </c>
      <c r="B20" s="10" t="s">
        <v>1590</v>
      </c>
      <c r="C20" s="87">
        <v>360</v>
      </c>
      <c r="D20" s="85">
        <v>105.4</v>
      </c>
      <c r="E20" s="86">
        <v>32</v>
      </c>
      <c r="F20" s="85">
        <v>84.9</v>
      </c>
      <c r="G20" s="17">
        <v>26</v>
      </c>
      <c r="H20" s="87">
        <v>133</v>
      </c>
      <c r="I20" s="88">
        <v>18800</v>
      </c>
      <c r="J20" s="88" t="s">
        <v>69</v>
      </c>
      <c r="K20" s="88"/>
      <c r="L20" s="88"/>
      <c r="M20" s="89">
        <f>I20-K20</f>
        <v>18800</v>
      </c>
      <c r="N20" s="4">
        <f>IF(ISERROR(K20/I20),"",K20/I20)</f>
        <v>0</v>
      </c>
      <c r="O20" s="90">
        <f>I20/E20</f>
        <v>587.5</v>
      </c>
      <c r="P20" s="90">
        <f>K20/E20</f>
        <v>0</v>
      </c>
      <c r="Q20" s="78">
        <v>3</v>
      </c>
      <c r="R20" s="78">
        <v>2</v>
      </c>
      <c r="S20" s="78" t="s">
        <v>59</v>
      </c>
      <c r="T20" s="5">
        <v>105</v>
      </c>
      <c r="U20" s="9"/>
      <c r="W20" s="85">
        <f t="shared" si="11"/>
        <v>105.4</v>
      </c>
      <c r="X20" s="86">
        <f t="shared" si="11"/>
        <v>32</v>
      </c>
      <c r="Y20" s="91">
        <f t="shared" si="12"/>
        <v>133</v>
      </c>
      <c r="Z20" s="89">
        <f t="shared" si="12"/>
        <v>18800</v>
      </c>
      <c r="AA20" s="89">
        <f>K20</f>
        <v>0</v>
      </c>
      <c r="AB20" s="89">
        <f t="shared" si="13"/>
        <v>18800</v>
      </c>
      <c r="AC20" s="4">
        <f t="shared" si="13"/>
        <v>0</v>
      </c>
      <c r="AD20" s="90">
        <f t="shared" si="13"/>
        <v>587.5</v>
      </c>
      <c r="AE20" s="78" t="str">
        <f>S20</f>
        <v>계</v>
      </c>
      <c r="AF20" s="78" t="str">
        <f>Q20&amp;"/"&amp;R20</f>
        <v>3/2</v>
      </c>
      <c r="AH20" s="20" t="str">
        <f t="shared" si="1"/>
        <v>동국</v>
      </c>
      <c r="AI20" s="86">
        <f t="shared" si="0"/>
        <v>32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O</v>
      </c>
      <c r="AQ20" s="78" t="str">
        <f>IF(O20="","",IF(O20&lt;=$AQ$1,"O","X"))</f>
        <v>O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 t="s">
        <v>983</v>
      </c>
      <c r="B21" s="10" t="s">
        <v>1590</v>
      </c>
      <c r="C21" s="87">
        <v>360</v>
      </c>
      <c r="D21" s="85">
        <v>128.6</v>
      </c>
      <c r="E21" s="86">
        <v>39</v>
      </c>
      <c r="F21" s="85">
        <v>107.6</v>
      </c>
      <c r="G21" s="17">
        <v>33</v>
      </c>
      <c r="H21" s="87">
        <v>26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4</v>
      </c>
      <c r="R21" s="78">
        <v>2</v>
      </c>
      <c r="S21" s="78" t="s">
        <v>59</v>
      </c>
      <c r="T21" s="5">
        <v>128</v>
      </c>
      <c r="U21" s="9"/>
      <c r="W21" s="85">
        <f t="shared" si="11"/>
        <v>128.6</v>
      </c>
      <c r="X21" s="86">
        <f t="shared" si="11"/>
        <v>39</v>
      </c>
      <c r="Y21" s="91">
        <f t="shared" si="12"/>
        <v>26</v>
      </c>
      <c r="Z21" s="89">
        <f t="shared" si="12"/>
        <v>0</v>
      </c>
      <c r="AA21" s="89">
        <f>K21</f>
        <v>0</v>
      </c>
      <c r="AB21" s="89">
        <f t="shared" si="13"/>
        <v>0</v>
      </c>
      <c r="AC21" s="4" t="str">
        <f t="shared" si="13"/>
        <v/>
      </c>
      <c r="AD21" s="90">
        <f t="shared" si="13"/>
        <v>0</v>
      </c>
      <c r="AE21" s="78" t="str">
        <f>S21</f>
        <v>계</v>
      </c>
      <c r="AF21" s="78" t="str">
        <f>Q21&amp;"/"&amp;R21</f>
        <v>4/2</v>
      </c>
      <c r="AH21" s="20" t="str">
        <f t="shared" si="1"/>
        <v>동국</v>
      </c>
      <c r="AI21" s="86">
        <f t="shared" si="0"/>
        <v>39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O</v>
      </c>
      <c r="AV21" s="78" t="str">
        <f>IF(AO21="","",IF(AND(AO21="O",AP21="O",AR21="O",AT21="O",AU21="O"),"후보","X"))</f>
        <v/>
      </c>
    </row>
    <row r="22" spans="1:48" x14ac:dyDescent="0.3">
      <c r="A22" s="9" t="s">
        <v>983</v>
      </c>
      <c r="B22" s="10" t="s">
        <v>1590</v>
      </c>
      <c r="C22" s="87">
        <v>360</v>
      </c>
      <c r="D22" s="85">
        <v>150.80000000000001</v>
      </c>
      <c r="E22" s="86">
        <v>46</v>
      </c>
      <c r="F22" s="85">
        <v>128.19999999999999</v>
      </c>
      <c r="G22" s="17">
        <v>39</v>
      </c>
      <c r="H22" s="87">
        <v>26</v>
      </c>
      <c r="I22" s="88"/>
      <c r="J22" s="88"/>
      <c r="K22" s="88"/>
      <c r="L22" s="88"/>
      <c r="M22" s="89">
        <f>I22-K22</f>
        <v>0</v>
      </c>
      <c r="N22" s="4" t="str">
        <f>IF(ISERROR(K22/I22),"",K22/I22)</f>
        <v/>
      </c>
      <c r="O22" s="90">
        <f>I22/E22</f>
        <v>0</v>
      </c>
      <c r="P22" s="90">
        <f>K22/E22</f>
        <v>0</v>
      </c>
      <c r="Q22" s="78">
        <v>4</v>
      </c>
      <c r="R22" s="78">
        <v>2</v>
      </c>
      <c r="S22" s="78" t="s">
        <v>59</v>
      </c>
      <c r="T22" s="5">
        <v>150</v>
      </c>
      <c r="U22" s="9"/>
      <c r="W22" s="85">
        <f t="shared" si="11"/>
        <v>150.80000000000001</v>
      </c>
      <c r="X22" s="86">
        <f t="shared" si="11"/>
        <v>46</v>
      </c>
      <c r="Y22" s="91">
        <f t="shared" si="12"/>
        <v>26</v>
      </c>
      <c r="Z22" s="89">
        <f t="shared" si="12"/>
        <v>0</v>
      </c>
      <c r="AA22" s="89">
        <f>K22</f>
        <v>0</v>
      </c>
      <c r="AB22" s="89">
        <f t="shared" si="13"/>
        <v>0</v>
      </c>
      <c r="AC22" s="4" t="str">
        <f t="shared" si="13"/>
        <v/>
      </c>
      <c r="AD22" s="90">
        <f t="shared" si="13"/>
        <v>0</v>
      </c>
      <c r="AE22" s="78" t="str">
        <f>S22</f>
        <v>계</v>
      </c>
      <c r="AF22" s="78" t="str">
        <f>Q22&amp;"/"&amp;R22</f>
        <v>4/2</v>
      </c>
      <c r="AH22" s="20" t="str">
        <f t="shared" si="1"/>
        <v>동국</v>
      </c>
      <c r="AI22" s="86">
        <f t="shared" si="0"/>
        <v>46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/>
      </c>
      <c r="AP22" s="78" t="str">
        <f>IF(I22="","",IF(I22&lt;=$AP$1,"O","X"))</f>
        <v/>
      </c>
      <c r="AQ22" s="78" t="str">
        <f>IF(O22="","",IF(O22&lt;=$AQ$1,"O","X"))</f>
        <v>O</v>
      </c>
      <c r="AR22" s="78" t="str">
        <f>IF(M22="","",IF(M22&lt;=$AR$1,"O","X"))</f>
        <v>O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/>
      </c>
    </row>
  </sheetData>
  <mergeCells count="1">
    <mergeCell ref="AJ1:AN1"/>
  </mergeCells>
  <phoneticPr fontId="2" type="noConversion"/>
  <conditionalFormatting sqref="AV4:AV6">
    <cfRule type="expression" dxfId="4417" priority="282">
      <formula>AV4="X"</formula>
    </cfRule>
    <cfRule type="expression" dxfId="4416" priority="283">
      <formula>AV4="후보"</formula>
    </cfRule>
  </conditionalFormatting>
  <conditionalFormatting sqref="AC1:AC2 AC4:AC6 N4:N5">
    <cfRule type="cellIs" dxfId="4415" priority="279" operator="greaterThan">
      <formula>0.9</formula>
    </cfRule>
    <cfRule type="cellIs" dxfId="4414" priority="280" operator="greaterThan">
      <formula>0.85</formula>
    </cfRule>
  </conditionalFormatting>
  <conditionalFormatting sqref="N1:N2">
    <cfRule type="cellIs" dxfId="4413" priority="277" operator="greaterThan">
      <formula>0.9</formula>
    </cfRule>
    <cfRule type="cellIs" dxfId="4412" priority="278" operator="greaterThan">
      <formula>0.85</formula>
    </cfRule>
  </conditionalFormatting>
  <conditionalFormatting sqref="N6">
    <cfRule type="cellIs" dxfId="4411" priority="275" operator="greaterThan">
      <formula>0.9</formula>
    </cfRule>
    <cfRule type="cellIs" dxfId="4410" priority="276" operator="greaterThan">
      <formula>0.85</formula>
    </cfRule>
  </conditionalFormatting>
  <conditionalFormatting sqref="E6">
    <cfRule type="expression" dxfId="4409" priority="271">
      <formula>AND(IF(OR($Q6=1,$Q6=2),1,0),IF($X6&lt;=20,1,0))</formula>
    </cfRule>
    <cfRule type="expression" dxfId="4408" priority="272">
      <formula>AND(IF($Q6=2,1,0),IF($X6&lt;30,1,0))</formula>
    </cfRule>
    <cfRule type="expression" dxfId="4407" priority="273">
      <formula>AND(IF($Q6=3,1,0),IF($X6&lt;30,1,0))</formula>
    </cfRule>
    <cfRule type="expression" dxfId="4406" priority="274">
      <formula>AND(IF($Q6=3,1,IF($Q6=4,1,0)),IF($F6&lt;=85,1,0))</formula>
    </cfRule>
  </conditionalFormatting>
  <conditionalFormatting sqref="X6">
    <cfRule type="expression" dxfId="4405" priority="267">
      <formula>AND(IF(OR($Q6=1,$Q6=2),1,0),IF($X6&lt;=20,1,0))</formula>
    </cfRule>
    <cfRule type="expression" dxfId="4404" priority="268">
      <formula>AND(IF($Q6=2,1,0),IF($X6&lt;30,1,0))</formula>
    </cfRule>
    <cfRule type="expression" dxfId="4403" priority="269">
      <formula>AND(IF($Q6=3,1,0),IF($X6&lt;30,1,0))</formula>
    </cfRule>
    <cfRule type="expression" dxfId="4402" priority="270">
      <formula>AND(IF($Q6=3,1,IF($Q6=4,1,0)),IF($F6&lt;=85,1,0))</formula>
    </cfRule>
  </conditionalFormatting>
  <conditionalFormatting sqref="AI6">
    <cfRule type="expression" dxfId="4401" priority="263">
      <formula>AND(IF(OR($Q6=1,$Q6=2),1,0),IF($X6&lt;=20,1,0))</formula>
    </cfRule>
    <cfRule type="expression" dxfId="4400" priority="264">
      <formula>AND(IF($Q6=2,1,0),IF($X6&lt;30,1,0))</formula>
    </cfRule>
    <cfRule type="expression" dxfId="4399" priority="265">
      <formula>AND(IF($Q6=3,1,0),IF($X6&lt;30,1,0))</formula>
    </cfRule>
    <cfRule type="expression" dxfId="4398" priority="266">
      <formula>AND(IF($Q6=3,1,IF($Q6=4,1,0)),IF($F6&lt;=85,1,0))</formula>
    </cfRule>
  </conditionalFormatting>
  <conditionalFormatting sqref="AV7">
    <cfRule type="expression" dxfId="4397" priority="261">
      <formula>AV7="X"</formula>
    </cfRule>
    <cfRule type="expression" dxfId="4396" priority="262">
      <formula>AV7="후보"</formula>
    </cfRule>
  </conditionalFormatting>
  <conditionalFormatting sqref="AC7">
    <cfRule type="cellIs" dxfId="4395" priority="258" operator="greaterThan">
      <formula>0.9</formula>
    </cfRule>
    <cfRule type="cellIs" dxfId="4394" priority="259" operator="greaterThan">
      <formula>0.85</formula>
    </cfRule>
  </conditionalFormatting>
  <conditionalFormatting sqref="N7">
    <cfRule type="cellIs" dxfId="4393" priority="256" operator="greaterThan">
      <formula>0.9</formula>
    </cfRule>
    <cfRule type="cellIs" dxfId="4392" priority="257" operator="greaterThan">
      <formula>0.85</formula>
    </cfRule>
  </conditionalFormatting>
  <conditionalFormatting sqref="E7">
    <cfRule type="expression" dxfId="4391" priority="252">
      <formula>AND(IF(OR($Q7=1,$Q7=2),1,0),IF($X7&lt;=20,1,0))</formula>
    </cfRule>
    <cfRule type="expression" dxfId="4390" priority="253">
      <formula>AND(IF($Q7=2,1,0),IF($X7&lt;30,1,0))</formula>
    </cfRule>
    <cfRule type="expression" dxfId="4389" priority="254">
      <formula>AND(IF($Q7=3,1,0),IF($X7&lt;30,1,0))</formula>
    </cfRule>
    <cfRule type="expression" dxfId="4388" priority="255">
      <formula>AND(IF($Q7=3,1,IF($Q7=4,1,0)),IF($F7&lt;=85,1,0))</formula>
    </cfRule>
  </conditionalFormatting>
  <conditionalFormatting sqref="X7">
    <cfRule type="expression" dxfId="4387" priority="248">
      <formula>AND(IF(OR($Q7=1,$Q7=2),1,0),IF($X7&lt;=20,1,0))</formula>
    </cfRule>
    <cfRule type="expression" dxfId="4386" priority="249">
      <formula>AND(IF($Q7=2,1,0),IF($X7&lt;30,1,0))</formula>
    </cfRule>
    <cfRule type="expression" dxfId="4385" priority="250">
      <formula>AND(IF($Q7=3,1,0),IF($X7&lt;30,1,0))</formula>
    </cfRule>
    <cfRule type="expression" dxfId="4384" priority="251">
      <formula>AND(IF($Q7=3,1,IF($Q7=4,1,0)),IF($F7&lt;=85,1,0))</formula>
    </cfRule>
  </conditionalFormatting>
  <conditionalFormatting sqref="AI7">
    <cfRule type="expression" dxfId="4383" priority="244">
      <formula>AND(IF(OR($Q7=1,$Q7=2),1,0),IF($X7&lt;=20,1,0))</formula>
    </cfRule>
    <cfRule type="expression" dxfId="4382" priority="245">
      <formula>AND(IF($Q7=2,1,0),IF($X7&lt;30,1,0))</formula>
    </cfRule>
    <cfRule type="expression" dxfId="4381" priority="246">
      <formula>AND(IF($Q7=3,1,0),IF($X7&lt;30,1,0))</formula>
    </cfRule>
    <cfRule type="expression" dxfId="4380" priority="247">
      <formula>AND(IF($Q7=3,1,IF($Q7=4,1,0)),IF($F7&lt;=85,1,0))</formula>
    </cfRule>
  </conditionalFormatting>
  <conditionalFormatting sqref="AV8">
    <cfRule type="expression" dxfId="4379" priority="242">
      <formula>AV8="X"</formula>
    </cfRule>
    <cfRule type="expression" dxfId="4378" priority="243">
      <formula>AV8="후보"</formula>
    </cfRule>
  </conditionalFormatting>
  <conditionalFormatting sqref="AC8">
    <cfRule type="cellIs" dxfId="4377" priority="239" operator="greaterThan">
      <formula>0.9</formula>
    </cfRule>
    <cfRule type="cellIs" dxfId="4376" priority="240" operator="greaterThan">
      <formula>0.85</formula>
    </cfRule>
  </conditionalFormatting>
  <conditionalFormatting sqref="N8">
    <cfRule type="cellIs" dxfId="4375" priority="237" operator="greaterThan">
      <formula>0.9</formula>
    </cfRule>
    <cfRule type="cellIs" dxfId="4374" priority="238" operator="greaterThan">
      <formula>0.85</formula>
    </cfRule>
  </conditionalFormatting>
  <conditionalFormatting sqref="E8">
    <cfRule type="expression" dxfId="4373" priority="233">
      <formula>AND(IF(OR($Q8=1,$Q8=2),1,0),IF($X8&lt;=20,1,0))</formula>
    </cfRule>
    <cfRule type="expression" dxfId="4372" priority="234">
      <formula>AND(IF($Q8=2,1,0),IF($X8&lt;30,1,0))</formula>
    </cfRule>
    <cfRule type="expression" dxfId="4371" priority="235">
      <formula>AND(IF($Q8=3,1,0),IF($X8&lt;30,1,0))</formula>
    </cfRule>
    <cfRule type="expression" dxfId="4370" priority="236">
      <formula>AND(IF($Q8=3,1,IF($Q8=4,1,0)),IF($F8&lt;=85,1,0))</formula>
    </cfRule>
  </conditionalFormatting>
  <conditionalFormatting sqref="X8">
    <cfRule type="expression" dxfId="4369" priority="229">
      <formula>AND(IF(OR($Q8=1,$Q8=2),1,0),IF($X8&lt;=20,1,0))</formula>
    </cfRule>
    <cfRule type="expression" dxfId="4368" priority="230">
      <formula>AND(IF($Q8=2,1,0),IF($X8&lt;30,1,0))</formula>
    </cfRule>
    <cfRule type="expression" dxfId="4367" priority="231">
      <formula>AND(IF($Q8=3,1,0),IF($X8&lt;30,1,0))</formula>
    </cfRule>
    <cfRule type="expression" dxfId="4366" priority="232">
      <formula>AND(IF($Q8=3,1,IF($Q8=4,1,0)),IF($F8&lt;=85,1,0))</formula>
    </cfRule>
  </conditionalFormatting>
  <conditionalFormatting sqref="AI8">
    <cfRule type="expression" dxfId="4365" priority="225">
      <formula>AND(IF(OR($Q8=1,$Q8=2),1,0),IF($X8&lt;=20,1,0))</formula>
    </cfRule>
    <cfRule type="expression" dxfId="4364" priority="226">
      <formula>AND(IF($Q8=2,1,0),IF($X8&lt;30,1,0))</formula>
    </cfRule>
    <cfRule type="expression" dxfId="4363" priority="227">
      <formula>AND(IF($Q8=3,1,0),IF($X8&lt;30,1,0))</formula>
    </cfRule>
    <cfRule type="expression" dxfId="4362" priority="228">
      <formula>AND(IF($Q8=3,1,IF($Q8=4,1,0)),IF($F8&lt;=85,1,0))</formula>
    </cfRule>
  </conditionalFormatting>
  <conditionalFormatting sqref="AV9">
    <cfRule type="expression" dxfId="4361" priority="223">
      <formula>AV9="X"</formula>
    </cfRule>
    <cfRule type="expression" dxfId="4360" priority="224">
      <formula>AV9="후보"</formula>
    </cfRule>
  </conditionalFormatting>
  <conditionalFormatting sqref="AC9 N9">
    <cfRule type="cellIs" dxfId="4359" priority="220" operator="greaterThan">
      <formula>0.9</formula>
    </cfRule>
    <cfRule type="cellIs" dxfId="4358" priority="221" operator="greaterThan">
      <formula>0.85</formula>
    </cfRule>
  </conditionalFormatting>
  <conditionalFormatting sqref="AV10">
    <cfRule type="expression" dxfId="4357" priority="218">
      <formula>AV10="X"</formula>
    </cfRule>
    <cfRule type="expression" dxfId="4356" priority="219">
      <formula>AV10="후보"</formula>
    </cfRule>
  </conditionalFormatting>
  <conditionalFormatting sqref="AC10">
    <cfRule type="cellIs" dxfId="4355" priority="215" operator="greaterThan">
      <formula>0.9</formula>
    </cfRule>
    <cfRule type="cellIs" dxfId="4354" priority="216" operator="greaterThan">
      <formula>0.85</formula>
    </cfRule>
  </conditionalFormatting>
  <conditionalFormatting sqref="N10">
    <cfRule type="cellIs" dxfId="4353" priority="213" operator="greaterThan">
      <formula>0.9</formula>
    </cfRule>
    <cfRule type="cellIs" dxfId="4352" priority="214" operator="greaterThan">
      <formula>0.85</formula>
    </cfRule>
  </conditionalFormatting>
  <conditionalFormatting sqref="E10">
    <cfRule type="expression" dxfId="4351" priority="209">
      <formula>AND(IF(OR($Q10=1,$Q10=2),1,0),IF($X10&lt;=20,1,0))</formula>
    </cfRule>
    <cfRule type="expression" dxfId="4350" priority="210">
      <formula>AND(IF($Q10=2,1,0),IF($X10&lt;30,1,0))</formula>
    </cfRule>
    <cfRule type="expression" dxfId="4349" priority="211">
      <formula>AND(IF($Q10=3,1,0),IF($X10&lt;30,1,0))</formula>
    </cfRule>
    <cfRule type="expression" dxfId="4348" priority="212">
      <formula>AND(IF($Q10=3,1,IF($Q10=4,1,0)),IF($F10&lt;=85,1,0))</formula>
    </cfRule>
  </conditionalFormatting>
  <conditionalFormatting sqref="X10">
    <cfRule type="expression" dxfId="4347" priority="205">
      <formula>AND(IF(OR($Q10=1,$Q10=2),1,0),IF($X10&lt;=20,1,0))</formula>
    </cfRule>
    <cfRule type="expression" dxfId="4346" priority="206">
      <formula>AND(IF($Q10=2,1,0),IF($X10&lt;30,1,0))</formula>
    </cfRule>
    <cfRule type="expression" dxfId="4345" priority="207">
      <formula>AND(IF($Q10=3,1,0),IF($X10&lt;30,1,0))</formula>
    </cfRule>
    <cfRule type="expression" dxfId="4344" priority="208">
      <formula>AND(IF($Q10=3,1,IF($Q10=4,1,0)),IF($F10&lt;=85,1,0))</formula>
    </cfRule>
  </conditionalFormatting>
  <conditionalFormatting sqref="AI10">
    <cfRule type="expression" dxfId="4343" priority="201">
      <formula>AND(IF(OR($Q10=1,$Q10=2),1,0),IF($X10&lt;=20,1,0))</formula>
    </cfRule>
    <cfRule type="expression" dxfId="4342" priority="202">
      <formula>AND(IF($Q10=2,1,0),IF($X10&lt;30,1,0))</formula>
    </cfRule>
    <cfRule type="expression" dxfId="4341" priority="203">
      <formula>AND(IF($Q10=3,1,0),IF($X10&lt;30,1,0))</formula>
    </cfRule>
    <cfRule type="expression" dxfId="4340" priority="204">
      <formula>AND(IF($Q10=3,1,IF($Q10=4,1,0)),IF($F10&lt;=85,1,0))</formula>
    </cfRule>
  </conditionalFormatting>
  <conditionalFormatting sqref="AV11">
    <cfRule type="expression" dxfId="4339" priority="199">
      <formula>AV11="X"</formula>
    </cfRule>
    <cfRule type="expression" dxfId="4338" priority="200">
      <formula>AV11="후보"</formula>
    </cfRule>
  </conditionalFormatting>
  <conditionalFormatting sqref="AC11">
    <cfRule type="cellIs" dxfId="4337" priority="196" operator="greaterThan">
      <formula>0.9</formula>
    </cfRule>
    <cfRule type="cellIs" dxfId="4336" priority="197" operator="greaterThan">
      <formula>0.85</formula>
    </cfRule>
  </conditionalFormatting>
  <conditionalFormatting sqref="N11">
    <cfRule type="cellIs" dxfId="4335" priority="194" operator="greaterThan">
      <formula>0.9</formula>
    </cfRule>
    <cfRule type="cellIs" dxfId="4334" priority="195" operator="greaterThan">
      <formula>0.85</formula>
    </cfRule>
  </conditionalFormatting>
  <conditionalFormatting sqref="E11">
    <cfRule type="expression" dxfId="4333" priority="190">
      <formula>AND(IF(OR($Q11=1,$Q11=2),1,0),IF($X11&lt;=20,1,0))</formula>
    </cfRule>
    <cfRule type="expression" dxfId="4332" priority="191">
      <formula>AND(IF($Q11=2,1,0),IF($X11&lt;30,1,0))</formula>
    </cfRule>
    <cfRule type="expression" dxfId="4331" priority="192">
      <formula>AND(IF($Q11=3,1,0),IF($X11&lt;30,1,0))</formula>
    </cfRule>
    <cfRule type="expression" dxfId="4330" priority="193">
      <formula>AND(IF($Q11=3,1,IF($Q11=4,1,0)),IF($F11&lt;=85,1,0))</formula>
    </cfRule>
  </conditionalFormatting>
  <conditionalFormatting sqref="X11">
    <cfRule type="expression" dxfId="4329" priority="186">
      <formula>AND(IF(OR($Q11=1,$Q11=2),1,0),IF($X11&lt;=20,1,0))</formula>
    </cfRule>
    <cfRule type="expression" dxfId="4328" priority="187">
      <formula>AND(IF($Q11=2,1,0),IF($X11&lt;30,1,0))</formula>
    </cfRule>
    <cfRule type="expression" dxfId="4327" priority="188">
      <formula>AND(IF($Q11=3,1,0),IF($X11&lt;30,1,0))</formula>
    </cfRule>
    <cfRule type="expression" dxfId="4326" priority="189">
      <formula>AND(IF($Q11=3,1,IF($Q11=4,1,0)),IF($F11&lt;=85,1,0))</formula>
    </cfRule>
  </conditionalFormatting>
  <conditionalFormatting sqref="AI11">
    <cfRule type="expression" dxfId="4325" priority="182">
      <formula>AND(IF(OR($Q11=1,$Q11=2),1,0),IF($X11&lt;=20,1,0))</formula>
    </cfRule>
    <cfRule type="expression" dxfId="4324" priority="183">
      <formula>AND(IF($Q11=2,1,0),IF($X11&lt;30,1,0))</formula>
    </cfRule>
    <cfRule type="expression" dxfId="4323" priority="184">
      <formula>AND(IF($Q11=3,1,0),IF($X11&lt;30,1,0))</formula>
    </cfRule>
    <cfRule type="expression" dxfId="4322" priority="185">
      <formula>AND(IF($Q11=3,1,IF($Q11=4,1,0)),IF($F11&lt;=85,1,0))</formula>
    </cfRule>
  </conditionalFormatting>
  <conditionalFormatting sqref="AV12">
    <cfRule type="expression" dxfId="4321" priority="180">
      <formula>AV12="X"</formula>
    </cfRule>
    <cfRule type="expression" dxfId="4320" priority="181">
      <formula>AV12="후보"</formula>
    </cfRule>
  </conditionalFormatting>
  <conditionalFormatting sqref="AC12">
    <cfRule type="cellIs" dxfId="4319" priority="177" operator="greaterThan">
      <formula>0.9</formula>
    </cfRule>
    <cfRule type="cellIs" dxfId="4318" priority="178" operator="greaterThan">
      <formula>0.85</formula>
    </cfRule>
  </conditionalFormatting>
  <conditionalFormatting sqref="N12">
    <cfRule type="cellIs" dxfId="4317" priority="175" operator="greaterThan">
      <formula>0.9</formula>
    </cfRule>
    <cfRule type="cellIs" dxfId="4316" priority="176" operator="greaterThan">
      <formula>0.85</formula>
    </cfRule>
  </conditionalFormatting>
  <conditionalFormatting sqref="E12">
    <cfRule type="expression" dxfId="4315" priority="171">
      <formula>AND(IF(OR($Q12=1,$Q12=2),1,0),IF($X12&lt;=20,1,0))</formula>
    </cfRule>
    <cfRule type="expression" dxfId="4314" priority="172">
      <formula>AND(IF($Q12=2,1,0),IF($X12&lt;30,1,0))</formula>
    </cfRule>
    <cfRule type="expression" dxfId="4313" priority="173">
      <formula>AND(IF($Q12=3,1,0),IF($X12&lt;30,1,0))</formula>
    </cfRule>
    <cfRule type="expression" dxfId="4312" priority="174">
      <formula>AND(IF($Q12=3,1,IF($Q12=4,1,0)),IF($F12&lt;=85,1,0))</formula>
    </cfRule>
  </conditionalFormatting>
  <conditionalFormatting sqref="X12">
    <cfRule type="expression" dxfId="4311" priority="167">
      <formula>AND(IF(OR($Q12=1,$Q12=2),1,0),IF($X12&lt;=20,1,0))</formula>
    </cfRule>
    <cfRule type="expression" dxfId="4310" priority="168">
      <formula>AND(IF($Q12=2,1,0),IF($X12&lt;30,1,0))</formula>
    </cfRule>
    <cfRule type="expression" dxfId="4309" priority="169">
      <formula>AND(IF($Q12=3,1,0),IF($X12&lt;30,1,0))</formula>
    </cfRule>
    <cfRule type="expression" dxfId="4308" priority="170">
      <formula>AND(IF($Q12=3,1,IF($Q12=4,1,0)),IF($F12&lt;=85,1,0))</formula>
    </cfRule>
  </conditionalFormatting>
  <conditionalFormatting sqref="AI12">
    <cfRule type="expression" dxfId="4307" priority="163">
      <formula>AND(IF(OR($Q12=1,$Q12=2),1,0),IF($X12&lt;=20,1,0))</formula>
    </cfRule>
    <cfRule type="expression" dxfId="4306" priority="164">
      <formula>AND(IF($Q12=2,1,0),IF($X12&lt;30,1,0))</formula>
    </cfRule>
    <cfRule type="expression" dxfId="4305" priority="165">
      <formula>AND(IF($Q12=3,1,0),IF($X12&lt;30,1,0))</formula>
    </cfRule>
    <cfRule type="expression" dxfId="4304" priority="166">
      <formula>AND(IF($Q12=3,1,IF($Q12=4,1,0)),IF($F12&lt;=85,1,0))</formula>
    </cfRule>
  </conditionalFormatting>
  <conditionalFormatting sqref="AV13">
    <cfRule type="expression" dxfId="4303" priority="161">
      <formula>AV13="X"</formula>
    </cfRule>
    <cfRule type="expression" dxfId="4302" priority="162">
      <formula>AV13="후보"</formula>
    </cfRule>
  </conditionalFormatting>
  <conditionalFormatting sqref="AC13 N13">
    <cfRule type="cellIs" dxfId="4301" priority="158" operator="greaterThan">
      <formula>0.9</formula>
    </cfRule>
    <cfRule type="cellIs" dxfId="4300" priority="159" operator="greaterThan">
      <formula>0.85</formula>
    </cfRule>
  </conditionalFormatting>
  <conditionalFormatting sqref="AV14">
    <cfRule type="expression" dxfId="4299" priority="156">
      <formula>AV14="X"</formula>
    </cfRule>
    <cfRule type="expression" dxfId="4298" priority="157">
      <formula>AV14="후보"</formula>
    </cfRule>
  </conditionalFormatting>
  <conditionalFormatting sqref="AC14">
    <cfRule type="cellIs" dxfId="4297" priority="153" operator="greaterThan">
      <formula>0.9</formula>
    </cfRule>
    <cfRule type="cellIs" dxfId="4296" priority="154" operator="greaterThan">
      <formula>0.85</formula>
    </cfRule>
  </conditionalFormatting>
  <conditionalFormatting sqref="N14">
    <cfRule type="cellIs" dxfId="4295" priority="151" operator="greaterThan">
      <formula>0.9</formula>
    </cfRule>
    <cfRule type="cellIs" dxfId="4294" priority="152" operator="greaterThan">
      <formula>0.85</formula>
    </cfRule>
  </conditionalFormatting>
  <conditionalFormatting sqref="E14">
    <cfRule type="expression" dxfId="4293" priority="147">
      <formula>AND(IF(OR($Q14=1,$Q14=2),1,0),IF($X14&lt;=20,1,0))</formula>
    </cfRule>
    <cfRule type="expression" dxfId="4292" priority="148">
      <formula>AND(IF($Q14=2,1,0),IF($X14&lt;30,1,0))</formula>
    </cfRule>
    <cfRule type="expression" dxfId="4291" priority="149">
      <formula>AND(IF($Q14=3,1,0),IF($X14&lt;30,1,0))</formula>
    </cfRule>
    <cfRule type="expression" dxfId="4290" priority="150">
      <formula>AND(IF($Q14=3,1,IF($Q14=4,1,0)),IF($F14&lt;=85,1,0))</formula>
    </cfRule>
  </conditionalFormatting>
  <conditionalFormatting sqref="X14">
    <cfRule type="expression" dxfId="4289" priority="143">
      <formula>AND(IF(OR($Q14=1,$Q14=2),1,0),IF($X14&lt;=20,1,0))</formula>
    </cfRule>
    <cfRule type="expression" dxfId="4288" priority="144">
      <formula>AND(IF($Q14=2,1,0),IF($X14&lt;30,1,0))</formula>
    </cfRule>
    <cfRule type="expression" dxfId="4287" priority="145">
      <formula>AND(IF($Q14=3,1,0),IF($X14&lt;30,1,0))</formula>
    </cfRule>
    <cfRule type="expression" dxfId="4286" priority="146">
      <formula>AND(IF($Q14=3,1,IF($Q14=4,1,0)),IF($F14&lt;=85,1,0))</formula>
    </cfRule>
  </conditionalFormatting>
  <conditionalFormatting sqref="AI14">
    <cfRule type="expression" dxfId="4285" priority="139">
      <formula>AND(IF(OR($Q14=1,$Q14=2),1,0),IF($X14&lt;=20,1,0))</formula>
    </cfRule>
    <cfRule type="expression" dxfId="4284" priority="140">
      <formula>AND(IF($Q14=2,1,0),IF($X14&lt;30,1,0))</formula>
    </cfRule>
    <cfRule type="expression" dxfId="4283" priority="141">
      <formula>AND(IF($Q14=3,1,0),IF($X14&lt;30,1,0))</formula>
    </cfRule>
    <cfRule type="expression" dxfId="4282" priority="142">
      <formula>AND(IF($Q14=3,1,IF($Q14=4,1,0)),IF($F14&lt;=85,1,0))</formula>
    </cfRule>
  </conditionalFormatting>
  <conditionalFormatting sqref="AV15">
    <cfRule type="expression" dxfId="4281" priority="137">
      <formula>AV15="X"</formula>
    </cfRule>
    <cfRule type="expression" dxfId="4280" priority="138">
      <formula>AV15="후보"</formula>
    </cfRule>
  </conditionalFormatting>
  <conditionalFormatting sqref="AC15">
    <cfRule type="cellIs" dxfId="4279" priority="134" operator="greaterThan">
      <formula>0.9</formula>
    </cfRule>
    <cfRule type="cellIs" dxfId="4278" priority="135" operator="greaterThan">
      <formula>0.85</formula>
    </cfRule>
  </conditionalFormatting>
  <conditionalFormatting sqref="N15">
    <cfRule type="cellIs" dxfId="4277" priority="132" operator="greaterThan">
      <formula>0.9</formula>
    </cfRule>
    <cfRule type="cellIs" dxfId="4276" priority="133" operator="greaterThan">
      <formula>0.85</formula>
    </cfRule>
  </conditionalFormatting>
  <conditionalFormatting sqref="E15">
    <cfRule type="expression" dxfId="4275" priority="128">
      <formula>AND(IF(OR($Q15=1,$Q15=2),1,0),IF($X15&lt;=20,1,0))</formula>
    </cfRule>
    <cfRule type="expression" dxfId="4274" priority="129">
      <formula>AND(IF($Q15=2,1,0),IF($X15&lt;30,1,0))</formula>
    </cfRule>
    <cfRule type="expression" dxfId="4273" priority="130">
      <formula>AND(IF($Q15=3,1,0),IF($X15&lt;30,1,0))</formula>
    </cfRule>
    <cfRule type="expression" dxfId="4272" priority="131">
      <formula>AND(IF($Q15=3,1,IF($Q15=4,1,0)),IF($F15&lt;=85,1,0))</formula>
    </cfRule>
  </conditionalFormatting>
  <conditionalFormatting sqref="X15">
    <cfRule type="expression" dxfId="4271" priority="124">
      <formula>AND(IF(OR($Q15=1,$Q15=2),1,0),IF($X15&lt;=20,1,0))</formula>
    </cfRule>
    <cfRule type="expression" dxfId="4270" priority="125">
      <formula>AND(IF($Q15=2,1,0),IF($X15&lt;30,1,0))</formula>
    </cfRule>
    <cfRule type="expression" dxfId="4269" priority="126">
      <formula>AND(IF($Q15=3,1,0),IF($X15&lt;30,1,0))</formula>
    </cfRule>
    <cfRule type="expression" dxfId="4268" priority="127">
      <formula>AND(IF($Q15=3,1,IF($Q15=4,1,0)),IF($F15&lt;=85,1,0))</formula>
    </cfRule>
  </conditionalFormatting>
  <conditionalFormatting sqref="AI15">
    <cfRule type="expression" dxfId="4267" priority="120">
      <formula>AND(IF(OR($Q15=1,$Q15=2),1,0),IF($X15&lt;=20,1,0))</formula>
    </cfRule>
    <cfRule type="expression" dxfId="4266" priority="121">
      <formula>AND(IF($Q15=2,1,0),IF($X15&lt;30,1,0))</formula>
    </cfRule>
    <cfRule type="expression" dxfId="4265" priority="122">
      <formula>AND(IF($Q15=3,1,0),IF($X15&lt;30,1,0))</formula>
    </cfRule>
    <cfRule type="expression" dxfId="4264" priority="123">
      <formula>AND(IF($Q15=3,1,IF($Q15=4,1,0)),IF($F15&lt;=85,1,0))</formula>
    </cfRule>
  </conditionalFormatting>
  <conditionalFormatting sqref="AV16">
    <cfRule type="expression" dxfId="4263" priority="118">
      <formula>AV16="X"</formula>
    </cfRule>
    <cfRule type="expression" dxfId="4262" priority="119">
      <formula>AV16="후보"</formula>
    </cfRule>
  </conditionalFormatting>
  <conditionalFormatting sqref="AC16">
    <cfRule type="cellIs" dxfId="4261" priority="115" operator="greaterThan">
      <formula>0.9</formula>
    </cfRule>
    <cfRule type="cellIs" dxfId="4260" priority="116" operator="greaterThan">
      <formula>0.85</formula>
    </cfRule>
  </conditionalFormatting>
  <conditionalFormatting sqref="N16">
    <cfRule type="cellIs" dxfId="4259" priority="113" operator="greaterThan">
      <formula>0.9</formula>
    </cfRule>
    <cfRule type="cellIs" dxfId="4258" priority="114" operator="greaterThan">
      <formula>0.85</formula>
    </cfRule>
  </conditionalFormatting>
  <conditionalFormatting sqref="E16">
    <cfRule type="expression" dxfId="4257" priority="109">
      <formula>AND(IF(OR($Q16=1,$Q16=2),1,0),IF($X16&lt;=20,1,0))</formula>
    </cfRule>
    <cfRule type="expression" dxfId="4256" priority="110">
      <formula>AND(IF($Q16=2,1,0),IF($X16&lt;30,1,0))</formula>
    </cfRule>
    <cfRule type="expression" dxfId="4255" priority="111">
      <formula>AND(IF($Q16=3,1,0),IF($X16&lt;30,1,0))</formula>
    </cfRule>
    <cfRule type="expression" dxfId="4254" priority="112">
      <formula>AND(IF($Q16=3,1,IF($Q16=4,1,0)),IF($F16&lt;=85,1,0))</formula>
    </cfRule>
  </conditionalFormatting>
  <conditionalFormatting sqref="X16">
    <cfRule type="expression" dxfId="4253" priority="105">
      <formula>AND(IF(OR($Q16=1,$Q16=2),1,0),IF($X16&lt;=20,1,0))</formula>
    </cfRule>
    <cfRule type="expression" dxfId="4252" priority="106">
      <formula>AND(IF($Q16=2,1,0),IF($X16&lt;30,1,0))</formula>
    </cfRule>
    <cfRule type="expression" dxfId="4251" priority="107">
      <formula>AND(IF($Q16=3,1,0),IF($X16&lt;30,1,0))</formula>
    </cfRule>
    <cfRule type="expression" dxfId="4250" priority="108">
      <formula>AND(IF($Q16=3,1,IF($Q16=4,1,0)),IF($F16&lt;=85,1,0))</formula>
    </cfRule>
  </conditionalFormatting>
  <conditionalFormatting sqref="AI16">
    <cfRule type="expression" dxfId="4249" priority="101">
      <formula>AND(IF(OR($Q16=1,$Q16=2),1,0),IF($X16&lt;=20,1,0))</formula>
    </cfRule>
    <cfRule type="expression" dxfId="4248" priority="102">
      <formula>AND(IF($Q16=2,1,0),IF($X16&lt;30,1,0))</formula>
    </cfRule>
    <cfRule type="expression" dxfId="4247" priority="103">
      <formula>AND(IF($Q16=3,1,0),IF($X16&lt;30,1,0))</formula>
    </cfRule>
    <cfRule type="expression" dxfId="4246" priority="104">
      <formula>AND(IF($Q16=3,1,IF($Q16=4,1,0)),IF($F16&lt;=85,1,0))</formula>
    </cfRule>
  </conditionalFormatting>
  <conditionalFormatting sqref="AV17">
    <cfRule type="expression" dxfId="4245" priority="99">
      <formula>AV17="X"</formula>
    </cfRule>
    <cfRule type="expression" dxfId="4244" priority="100">
      <formula>AV17="후보"</formula>
    </cfRule>
  </conditionalFormatting>
  <conditionalFormatting sqref="AC17 N17">
    <cfRule type="cellIs" dxfId="4243" priority="96" operator="greaterThan">
      <formula>0.9</formula>
    </cfRule>
    <cfRule type="cellIs" dxfId="4242" priority="97" operator="greaterThan">
      <formula>0.85</formula>
    </cfRule>
  </conditionalFormatting>
  <conditionalFormatting sqref="AV18">
    <cfRule type="expression" dxfId="4241" priority="94">
      <formula>AV18="X"</formula>
    </cfRule>
    <cfRule type="expression" dxfId="4240" priority="95">
      <formula>AV18="후보"</formula>
    </cfRule>
  </conditionalFormatting>
  <conditionalFormatting sqref="AC18">
    <cfRule type="cellIs" dxfId="4239" priority="91" operator="greaterThan">
      <formula>0.9</formula>
    </cfRule>
    <cfRule type="cellIs" dxfId="4238" priority="92" operator="greaterThan">
      <formula>0.85</formula>
    </cfRule>
  </conditionalFormatting>
  <conditionalFormatting sqref="N18">
    <cfRule type="cellIs" dxfId="4237" priority="89" operator="greaterThan">
      <formula>0.9</formula>
    </cfRule>
    <cfRule type="cellIs" dxfId="4236" priority="90" operator="greaterThan">
      <formula>0.85</formula>
    </cfRule>
  </conditionalFormatting>
  <conditionalFormatting sqref="E18">
    <cfRule type="expression" dxfId="4235" priority="85">
      <formula>AND(IF(OR($Q18=1,$Q18=2),1,0),IF($X18&lt;=20,1,0))</formula>
    </cfRule>
    <cfRule type="expression" dxfId="4234" priority="86">
      <formula>AND(IF($Q18=2,1,0),IF($X18&lt;30,1,0))</formula>
    </cfRule>
    <cfRule type="expression" dxfId="4233" priority="87">
      <formula>AND(IF($Q18=3,1,0),IF($X18&lt;30,1,0))</formula>
    </cfRule>
    <cfRule type="expression" dxfId="4232" priority="88">
      <formula>AND(IF($Q18=3,1,IF($Q18=4,1,0)),IF($F18&lt;=85,1,0))</formula>
    </cfRule>
  </conditionalFormatting>
  <conditionalFormatting sqref="X18">
    <cfRule type="expression" dxfId="4231" priority="81">
      <formula>AND(IF(OR($Q18=1,$Q18=2),1,0),IF($X18&lt;=20,1,0))</formula>
    </cfRule>
    <cfRule type="expression" dxfId="4230" priority="82">
      <formula>AND(IF($Q18=2,1,0),IF($X18&lt;30,1,0))</formula>
    </cfRule>
    <cfRule type="expression" dxfId="4229" priority="83">
      <formula>AND(IF($Q18=3,1,0),IF($X18&lt;30,1,0))</formula>
    </cfRule>
    <cfRule type="expression" dxfId="4228" priority="84">
      <formula>AND(IF($Q18=3,1,IF($Q18=4,1,0)),IF($F18&lt;=85,1,0))</formula>
    </cfRule>
  </conditionalFormatting>
  <conditionalFormatting sqref="AI18">
    <cfRule type="expression" dxfId="4227" priority="77">
      <formula>AND(IF(OR($Q18=1,$Q18=2),1,0),IF($X18&lt;=20,1,0))</formula>
    </cfRule>
    <cfRule type="expression" dxfId="4226" priority="78">
      <formula>AND(IF($Q18=2,1,0),IF($X18&lt;30,1,0))</formula>
    </cfRule>
    <cfRule type="expression" dxfId="4225" priority="79">
      <formula>AND(IF($Q18=3,1,0),IF($X18&lt;30,1,0))</formula>
    </cfRule>
    <cfRule type="expression" dxfId="4224" priority="80">
      <formula>AND(IF($Q18=3,1,IF($Q18=4,1,0)),IF($F18&lt;=85,1,0))</formula>
    </cfRule>
  </conditionalFormatting>
  <conditionalFormatting sqref="AV19">
    <cfRule type="expression" dxfId="4223" priority="75">
      <formula>AV19="X"</formula>
    </cfRule>
    <cfRule type="expression" dxfId="4222" priority="76">
      <formula>AV19="후보"</formula>
    </cfRule>
  </conditionalFormatting>
  <conditionalFormatting sqref="AC19">
    <cfRule type="cellIs" dxfId="4221" priority="72" operator="greaterThan">
      <formula>0.9</formula>
    </cfRule>
    <cfRule type="cellIs" dxfId="4220" priority="73" operator="greaterThan">
      <formula>0.85</formula>
    </cfRule>
  </conditionalFormatting>
  <conditionalFormatting sqref="N19">
    <cfRule type="cellIs" dxfId="4219" priority="70" operator="greaterThan">
      <formula>0.9</formula>
    </cfRule>
    <cfRule type="cellIs" dxfId="4218" priority="71" operator="greaterThan">
      <formula>0.85</formula>
    </cfRule>
  </conditionalFormatting>
  <conditionalFormatting sqref="E19">
    <cfRule type="expression" dxfId="4217" priority="66">
      <formula>AND(IF(OR($Q19=1,$Q19=2),1,0),IF($X19&lt;=20,1,0))</formula>
    </cfRule>
    <cfRule type="expression" dxfId="4216" priority="67">
      <formula>AND(IF($Q19=2,1,0),IF($X19&lt;30,1,0))</formula>
    </cfRule>
    <cfRule type="expression" dxfId="4215" priority="68">
      <formula>AND(IF($Q19=3,1,0),IF($X19&lt;30,1,0))</formula>
    </cfRule>
    <cfRule type="expression" dxfId="4214" priority="69">
      <formula>AND(IF($Q19=3,1,IF($Q19=4,1,0)),IF($F19&lt;=85,1,0))</formula>
    </cfRule>
  </conditionalFormatting>
  <conditionalFormatting sqref="X19">
    <cfRule type="expression" dxfId="4213" priority="62">
      <formula>AND(IF(OR($Q19=1,$Q19=2),1,0),IF($X19&lt;=20,1,0))</formula>
    </cfRule>
    <cfRule type="expression" dxfId="4212" priority="63">
      <formula>AND(IF($Q19=2,1,0),IF($X19&lt;30,1,0))</formula>
    </cfRule>
    <cfRule type="expression" dxfId="4211" priority="64">
      <formula>AND(IF($Q19=3,1,0),IF($X19&lt;30,1,0))</formula>
    </cfRule>
    <cfRule type="expression" dxfId="4210" priority="65">
      <formula>AND(IF($Q19=3,1,IF($Q19=4,1,0)),IF($F19&lt;=85,1,0))</formula>
    </cfRule>
  </conditionalFormatting>
  <conditionalFormatting sqref="AI19">
    <cfRule type="expression" dxfId="4209" priority="58">
      <formula>AND(IF(OR($Q19=1,$Q19=2),1,0),IF($X19&lt;=20,1,0))</formula>
    </cfRule>
    <cfRule type="expression" dxfId="4208" priority="59">
      <formula>AND(IF($Q19=2,1,0),IF($X19&lt;30,1,0))</formula>
    </cfRule>
    <cfRule type="expression" dxfId="4207" priority="60">
      <formula>AND(IF($Q19=3,1,0),IF($X19&lt;30,1,0))</formula>
    </cfRule>
    <cfRule type="expression" dxfId="4206" priority="61">
      <formula>AND(IF($Q19=3,1,IF($Q19=4,1,0)),IF($F19&lt;=85,1,0))</formula>
    </cfRule>
  </conditionalFormatting>
  <conditionalFormatting sqref="AV20">
    <cfRule type="expression" dxfId="4205" priority="56">
      <formula>AV20="X"</formula>
    </cfRule>
    <cfRule type="expression" dxfId="4204" priority="57">
      <formula>AV20="후보"</formula>
    </cfRule>
  </conditionalFormatting>
  <conditionalFormatting sqref="AC20">
    <cfRule type="cellIs" dxfId="4203" priority="53" operator="greaterThan">
      <formula>0.9</formula>
    </cfRule>
    <cfRule type="cellIs" dxfId="4202" priority="54" operator="greaterThan">
      <formula>0.85</formula>
    </cfRule>
  </conditionalFormatting>
  <conditionalFormatting sqref="N20">
    <cfRule type="cellIs" dxfId="4201" priority="51" operator="greaterThan">
      <formula>0.9</formula>
    </cfRule>
    <cfRule type="cellIs" dxfId="4200" priority="52" operator="greaterThan">
      <formula>0.85</formula>
    </cfRule>
  </conditionalFormatting>
  <conditionalFormatting sqref="E20">
    <cfRule type="expression" dxfId="4199" priority="47">
      <formula>AND(IF(OR($Q20=1,$Q20=2),1,0),IF($X20&lt;=20,1,0))</formula>
    </cfRule>
    <cfRule type="expression" dxfId="4198" priority="48">
      <formula>AND(IF($Q20=2,1,0),IF($X20&lt;30,1,0))</formula>
    </cfRule>
    <cfRule type="expression" dxfId="4197" priority="49">
      <formula>AND(IF($Q20=3,1,0),IF($X20&lt;30,1,0))</formula>
    </cfRule>
    <cfRule type="expression" dxfId="4196" priority="50">
      <formula>AND(IF($Q20=3,1,IF($Q20=4,1,0)),IF($F20&lt;=85,1,0))</formula>
    </cfRule>
  </conditionalFormatting>
  <conditionalFormatting sqref="X20">
    <cfRule type="expression" dxfId="4195" priority="43">
      <formula>AND(IF(OR($Q20=1,$Q20=2),1,0),IF($X20&lt;=20,1,0))</formula>
    </cfRule>
    <cfRule type="expression" dxfId="4194" priority="44">
      <formula>AND(IF($Q20=2,1,0),IF($X20&lt;30,1,0))</formula>
    </cfRule>
    <cfRule type="expression" dxfId="4193" priority="45">
      <formula>AND(IF($Q20=3,1,0),IF($X20&lt;30,1,0))</formula>
    </cfRule>
    <cfRule type="expression" dxfId="4192" priority="46">
      <formula>AND(IF($Q20=3,1,IF($Q20=4,1,0)),IF($F20&lt;=85,1,0))</formula>
    </cfRule>
  </conditionalFormatting>
  <conditionalFormatting sqref="AI20">
    <cfRule type="expression" dxfId="4191" priority="39">
      <formula>AND(IF(OR($Q20=1,$Q20=2),1,0),IF($X20&lt;=20,1,0))</formula>
    </cfRule>
    <cfRule type="expression" dxfId="4190" priority="40">
      <formula>AND(IF($Q20=2,1,0),IF($X20&lt;30,1,0))</formula>
    </cfRule>
    <cfRule type="expression" dxfId="4189" priority="41">
      <formula>AND(IF($Q20=3,1,0),IF($X20&lt;30,1,0))</formula>
    </cfRule>
    <cfRule type="expression" dxfId="4188" priority="42">
      <formula>AND(IF($Q20=3,1,IF($Q20=4,1,0)),IF($F20&lt;=85,1,0))</formula>
    </cfRule>
  </conditionalFormatting>
  <conditionalFormatting sqref="AV21">
    <cfRule type="expression" dxfId="4187" priority="37">
      <formula>AV21="X"</formula>
    </cfRule>
    <cfRule type="expression" dxfId="4186" priority="38">
      <formula>AV21="후보"</formula>
    </cfRule>
  </conditionalFormatting>
  <conditionalFormatting sqref="AC21">
    <cfRule type="cellIs" dxfId="4185" priority="34" operator="greaterThan">
      <formula>0.9</formula>
    </cfRule>
    <cfRule type="cellIs" dxfId="4184" priority="35" operator="greaterThan">
      <formula>0.85</formula>
    </cfRule>
  </conditionalFormatting>
  <conditionalFormatting sqref="N21">
    <cfRule type="cellIs" dxfId="4183" priority="32" operator="greaterThan">
      <formula>0.9</formula>
    </cfRule>
    <cfRule type="cellIs" dxfId="4182" priority="33" operator="greaterThan">
      <formula>0.85</formula>
    </cfRule>
  </conditionalFormatting>
  <conditionalFormatting sqref="E21">
    <cfRule type="expression" dxfId="4181" priority="28">
      <formula>AND(IF(OR($Q21=1,$Q21=2),1,0),IF($X21&lt;=20,1,0))</formula>
    </cfRule>
    <cfRule type="expression" dxfId="4180" priority="29">
      <formula>AND(IF($Q21=2,1,0),IF($X21&lt;30,1,0))</formula>
    </cfRule>
    <cfRule type="expression" dxfId="4179" priority="30">
      <formula>AND(IF($Q21=3,1,0),IF($X21&lt;30,1,0))</formula>
    </cfRule>
    <cfRule type="expression" dxfId="4178" priority="31">
      <formula>AND(IF($Q21=3,1,IF($Q21=4,1,0)),IF($F21&lt;=85,1,0))</formula>
    </cfRule>
  </conditionalFormatting>
  <conditionalFormatting sqref="X21">
    <cfRule type="expression" dxfId="4177" priority="24">
      <formula>AND(IF(OR($Q21=1,$Q21=2),1,0),IF($X21&lt;=20,1,0))</formula>
    </cfRule>
    <cfRule type="expression" dxfId="4176" priority="25">
      <formula>AND(IF($Q21=2,1,0),IF($X21&lt;30,1,0))</formula>
    </cfRule>
    <cfRule type="expression" dxfId="4175" priority="26">
      <formula>AND(IF($Q21=3,1,0),IF($X21&lt;30,1,0))</formula>
    </cfRule>
    <cfRule type="expression" dxfId="4174" priority="27">
      <formula>AND(IF($Q21=3,1,IF($Q21=4,1,0)),IF($F21&lt;=85,1,0))</formula>
    </cfRule>
  </conditionalFormatting>
  <conditionalFormatting sqref="AI21">
    <cfRule type="expression" dxfId="4173" priority="20">
      <formula>AND(IF(OR($Q21=1,$Q21=2),1,0),IF($X21&lt;=20,1,0))</formula>
    </cfRule>
    <cfRule type="expression" dxfId="4172" priority="21">
      <formula>AND(IF($Q21=2,1,0),IF($X21&lt;30,1,0))</formula>
    </cfRule>
    <cfRule type="expression" dxfId="4171" priority="22">
      <formula>AND(IF($Q21=3,1,0),IF($X21&lt;30,1,0))</formula>
    </cfRule>
    <cfRule type="expression" dxfId="4170" priority="23">
      <formula>AND(IF($Q21=3,1,IF($Q21=4,1,0)),IF($F21&lt;=85,1,0))</formula>
    </cfRule>
  </conditionalFormatting>
  <conditionalFormatting sqref="AV22">
    <cfRule type="expression" dxfId="4169" priority="18">
      <formula>AV22="X"</formula>
    </cfRule>
    <cfRule type="expression" dxfId="4168" priority="19">
      <formula>AV22="후보"</formula>
    </cfRule>
  </conditionalFormatting>
  <conditionalFormatting sqref="AC22">
    <cfRule type="cellIs" dxfId="4167" priority="15" operator="greaterThan">
      <formula>0.9</formula>
    </cfRule>
    <cfRule type="cellIs" dxfId="4166" priority="16" operator="greaterThan">
      <formula>0.85</formula>
    </cfRule>
  </conditionalFormatting>
  <conditionalFormatting sqref="N22">
    <cfRule type="cellIs" dxfId="4165" priority="13" operator="greaterThan">
      <formula>0.9</formula>
    </cfRule>
    <cfRule type="cellIs" dxfId="4164" priority="14" operator="greaterThan">
      <formula>0.85</formula>
    </cfRule>
  </conditionalFormatting>
  <conditionalFormatting sqref="E22">
    <cfRule type="expression" dxfId="4163" priority="9">
      <formula>AND(IF(OR($Q22=1,$Q22=2),1,0),IF($X22&lt;=20,1,0))</formula>
    </cfRule>
    <cfRule type="expression" dxfId="4162" priority="10">
      <formula>AND(IF($Q22=2,1,0),IF($X22&lt;30,1,0))</formula>
    </cfRule>
    <cfRule type="expression" dxfId="4161" priority="11">
      <formula>AND(IF($Q22=3,1,0),IF($X22&lt;30,1,0))</formula>
    </cfRule>
    <cfRule type="expression" dxfId="4160" priority="12">
      <formula>AND(IF($Q22=3,1,IF($Q22=4,1,0)),IF($F22&lt;=85,1,0))</formula>
    </cfRule>
  </conditionalFormatting>
  <conditionalFormatting sqref="X22">
    <cfRule type="expression" dxfId="4159" priority="5">
      <formula>AND(IF(OR($Q22=1,$Q22=2),1,0),IF($X22&lt;=20,1,0))</formula>
    </cfRule>
    <cfRule type="expression" dxfId="4158" priority="6">
      <formula>AND(IF($Q22=2,1,0),IF($X22&lt;30,1,0))</formula>
    </cfRule>
    <cfRule type="expression" dxfId="4157" priority="7">
      <formula>AND(IF($Q22=3,1,0),IF($X22&lt;30,1,0))</formula>
    </cfRule>
    <cfRule type="expression" dxfId="4156" priority="8">
      <formula>AND(IF($Q22=3,1,IF($Q22=4,1,0)),IF($F22&lt;=85,1,0))</formula>
    </cfRule>
  </conditionalFormatting>
  <conditionalFormatting sqref="AI22">
    <cfRule type="expression" dxfId="4155" priority="1">
      <formula>AND(IF(OR($Q22=1,$Q22=2),1,0),IF($X22&lt;=20,1,0))</formula>
    </cfRule>
    <cfRule type="expression" dxfId="4154" priority="2">
      <formula>AND(IF($Q22=2,1,0),IF($X22&lt;30,1,0))</formula>
    </cfRule>
    <cfRule type="expression" dxfId="4153" priority="3">
      <formula>AND(IF($Q22=3,1,0),IF($X22&lt;30,1,0))</formula>
    </cfRule>
    <cfRule type="expression" dxfId="4152" priority="4">
      <formula>AND(IF($Q22=3,1,IF($Q22=4,1,0)),IF($F22&lt;=85,1,0))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여의동2가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3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993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여의동2가 동산골드클래스('15.12.,310^)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3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1009</v>
      </c>
      <c r="B6" s="10" t="s">
        <v>1591</v>
      </c>
      <c r="C6" s="87">
        <v>310</v>
      </c>
      <c r="D6" s="85">
        <v>112.3</v>
      </c>
      <c r="E6" s="86">
        <v>34</v>
      </c>
      <c r="F6" s="85">
        <v>84.7</v>
      </c>
      <c r="G6" s="17">
        <v>26</v>
      </c>
      <c r="H6" s="87">
        <v>310</v>
      </c>
      <c r="I6" s="88">
        <v>28000</v>
      </c>
      <c r="J6" s="88" t="s">
        <v>137</v>
      </c>
      <c r="K6" s="88"/>
      <c r="L6" s="88"/>
      <c r="M6" s="89">
        <f>I6-K6</f>
        <v>28000</v>
      </c>
      <c r="N6" s="4">
        <f>IF(ISERROR(K6/I6),"",K6/I6)</f>
        <v>0</v>
      </c>
      <c r="O6" s="90">
        <f>I6/E6</f>
        <v>823.52941176470586</v>
      </c>
      <c r="P6" s="90">
        <f>K6/E6</f>
        <v>0</v>
      </c>
      <c r="Q6" s="78">
        <v>3</v>
      </c>
      <c r="R6" s="78">
        <v>2</v>
      </c>
      <c r="S6" s="78" t="s">
        <v>59</v>
      </c>
      <c r="T6" s="5">
        <v>112</v>
      </c>
      <c r="U6" s="9"/>
      <c r="W6" s="85">
        <f>D6</f>
        <v>112.3</v>
      </c>
      <c r="X6" s="86">
        <f>E6</f>
        <v>34</v>
      </c>
      <c r="Y6" s="91">
        <f>H6</f>
        <v>310</v>
      </c>
      <c r="Z6" s="89">
        <f>I6</f>
        <v>28000</v>
      </c>
      <c r="AA6" s="89">
        <f>K6</f>
        <v>0</v>
      </c>
      <c r="AB6" s="89">
        <f>M6</f>
        <v>28000</v>
      </c>
      <c r="AC6" s="4">
        <f>N6</f>
        <v>0</v>
      </c>
      <c r="AD6" s="90">
        <f>O6</f>
        <v>823.52941176470586</v>
      </c>
      <c r="AE6" s="78" t="str">
        <f>S6</f>
        <v>계</v>
      </c>
      <c r="AF6" s="78" t="str">
        <f>Q6&amp;"/"&amp;R6</f>
        <v>3/2</v>
      </c>
      <c r="AH6" s="20" t="str">
        <f t="shared" si="1"/>
        <v>동산골드클래스</v>
      </c>
      <c r="AI6" s="86">
        <f t="shared" si="0"/>
        <v>34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/>
      <c r="B7" s="78"/>
      <c r="C7" s="6"/>
      <c r="D7" s="9"/>
      <c r="E7" s="14"/>
      <c r="F7" s="85"/>
      <c r="G7" s="9"/>
      <c r="H7" s="9"/>
      <c r="I7" s="9"/>
      <c r="J7" s="9"/>
      <c r="K7" s="9"/>
      <c r="L7" s="9"/>
      <c r="M7" s="9"/>
      <c r="N7" s="9"/>
      <c r="O7" s="90"/>
      <c r="P7" s="90"/>
      <c r="Q7" s="86"/>
      <c r="R7" s="86"/>
      <c r="S7" s="9"/>
      <c r="T7" s="47"/>
      <c r="U7" s="9"/>
      <c r="W7" s="67" t="str">
        <f>$A$4&amp;" "&amp;A8&amp;"("&amp;B8&amp;","&amp;C8&amp;"^)"</f>
        <v>여의동2가 대승('96.01.,283^)</v>
      </c>
      <c r="X7" s="68"/>
      <c r="Y7" s="68"/>
      <c r="Z7" s="68"/>
      <c r="AA7" s="68"/>
      <c r="AB7" s="68"/>
      <c r="AC7" s="68"/>
      <c r="AD7" s="68"/>
      <c r="AE7" s="68"/>
      <c r="AF7" s="69"/>
      <c r="AH7" s="20" t="str">
        <f t="shared" si="1"/>
        <v/>
      </c>
      <c r="AI7" s="108" t="str">
        <f t="shared" si="0"/>
        <v/>
      </c>
      <c r="AJ7" s="78"/>
      <c r="AK7" s="78"/>
      <c r="AL7" s="78"/>
      <c r="AM7" s="78"/>
      <c r="AN7" s="78"/>
      <c r="AO7" s="78"/>
      <c r="AP7" s="78"/>
      <c r="AQ7" s="78"/>
      <c r="AR7" s="78"/>
      <c r="AS7" s="78"/>
      <c r="AT7" s="78"/>
      <c r="AU7" s="78"/>
      <c r="AV7" s="78"/>
    </row>
    <row r="8" spans="1:48" x14ac:dyDescent="0.3">
      <c r="A8" s="9" t="s">
        <v>1019</v>
      </c>
      <c r="B8" s="10" t="s">
        <v>1592</v>
      </c>
      <c r="C8" s="87">
        <v>283</v>
      </c>
      <c r="D8" s="85">
        <v>81.099999999999994</v>
      </c>
      <c r="E8" s="86">
        <v>25</v>
      </c>
      <c r="F8" s="85">
        <v>59.4</v>
      </c>
      <c r="G8" s="17">
        <v>18</v>
      </c>
      <c r="H8" s="87">
        <v>283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1</v>
      </c>
      <c r="S8" s="78" t="s">
        <v>65</v>
      </c>
      <c r="T8" s="5">
        <v>81</v>
      </c>
      <c r="U8" s="9"/>
      <c r="W8" s="85">
        <f>D8</f>
        <v>81.099999999999994</v>
      </c>
      <c r="X8" s="86">
        <f>E8</f>
        <v>25</v>
      </c>
      <c r="Y8" s="91">
        <f>H8</f>
        <v>283</v>
      </c>
      <c r="Z8" s="89">
        <f>I8</f>
        <v>0</v>
      </c>
      <c r="AA8" s="89">
        <f>K8</f>
        <v>0</v>
      </c>
      <c r="AB8" s="89">
        <f>M8</f>
        <v>0</v>
      </c>
      <c r="AC8" s="4" t="str">
        <f>N8</f>
        <v/>
      </c>
      <c r="AD8" s="90">
        <f>O8</f>
        <v>0</v>
      </c>
      <c r="AE8" s="78" t="str">
        <f>S8</f>
        <v>복</v>
      </c>
      <c r="AF8" s="78" t="str">
        <f>Q8&amp;"/"&amp;R8</f>
        <v>3/1</v>
      </c>
      <c r="AH8" s="20" t="str">
        <f t="shared" si="1"/>
        <v>대승</v>
      </c>
      <c r="AI8" s="86">
        <f t="shared" si="0"/>
        <v>25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여의동2가 우신동산('92.04.,494^)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1029</v>
      </c>
      <c r="B10" s="10" t="s">
        <v>1593</v>
      </c>
      <c r="C10" s="87">
        <v>494</v>
      </c>
      <c r="D10" s="85">
        <v>79</v>
      </c>
      <c r="E10" s="86">
        <v>24</v>
      </c>
      <c r="F10" s="85">
        <v>59.6</v>
      </c>
      <c r="G10" s="17">
        <v>18</v>
      </c>
      <c r="H10" s="87">
        <v>494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2</v>
      </c>
      <c r="R10" s="78">
        <v>1</v>
      </c>
      <c r="S10" s="78" t="s">
        <v>65</v>
      </c>
      <c r="T10" s="5">
        <v>78</v>
      </c>
      <c r="U10" s="9"/>
      <c r="W10" s="85">
        <f>D10</f>
        <v>79</v>
      </c>
      <c r="X10" s="86">
        <f>E10</f>
        <v>24</v>
      </c>
      <c r="Y10" s="91">
        <f>H10</f>
        <v>494</v>
      </c>
      <c r="Z10" s="89">
        <f>I10</f>
        <v>0</v>
      </c>
      <c r="AA10" s="89">
        <f>K10</f>
        <v>0</v>
      </c>
      <c r="AB10" s="89">
        <f>M10</f>
        <v>0</v>
      </c>
      <c r="AC10" s="4" t="str">
        <f>N10</f>
        <v/>
      </c>
      <c r="AD10" s="90">
        <f>O10</f>
        <v>0</v>
      </c>
      <c r="AE10" s="78" t="str">
        <f>S10</f>
        <v>복</v>
      </c>
      <c r="AF10" s="78" t="str">
        <f>Q10&amp;"/"&amp;R10</f>
        <v>2/1</v>
      </c>
      <c r="AH10" s="20" t="str">
        <f t="shared" si="1"/>
        <v>우신동산</v>
      </c>
      <c r="AI10" s="86">
        <f t="shared" si="0"/>
        <v>24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/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여의동2가 대승2차('96.01.,299^)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1034</v>
      </c>
      <c r="B12" s="10" t="s">
        <v>1592</v>
      </c>
      <c r="C12" s="87">
        <v>299</v>
      </c>
      <c r="D12" s="85">
        <v>70.8</v>
      </c>
      <c r="E12" s="86">
        <v>21</v>
      </c>
      <c r="F12" s="85">
        <v>52.1</v>
      </c>
      <c r="G12" s="17">
        <v>16</v>
      </c>
      <c r="H12" s="87">
        <v>15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2</v>
      </c>
      <c r="R12" s="78">
        <v>1</v>
      </c>
      <c r="S12" s="78" t="s">
        <v>65</v>
      </c>
      <c r="T12" s="5">
        <v>70</v>
      </c>
      <c r="U12" s="9"/>
      <c r="W12" s="85">
        <f>D12</f>
        <v>70.8</v>
      </c>
      <c r="X12" s="86">
        <f>E12</f>
        <v>21</v>
      </c>
      <c r="Y12" s="91">
        <f>H12</f>
        <v>15</v>
      </c>
      <c r="Z12" s="89">
        <f>I12</f>
        <v>0</v>
      </c>
      <c r="AA12" s="89">
        <f>K12</f>
        <v>0</v>
      </c>
      <c r="AB12" s="89">
        <f t="shared" ref="AB12:AD13" si="2">M12</f>
        <v>0</v>
      </c>
      <c r="AC12" s="4" t="str">
        <f t="shared" si="2"/>
        <v/>
      </c>
      <c r="AD12" s="90">
        <f t="shared" si="2"/>
        <v>0</v>
      </c>
      <c r="AE12" s="78" t="str">
        <f>S12</f>
        <v>복</v>
      </c>
      <c r="AF12" s="78" t="str">
        <f>Q12&amp;"/"&amp;R12</f>
        <v>2/1</v>
      </c>
      <c r="AH12" s="20" t="str">
        <f t="shared" si="1"/>
        <v>대승2차</v>
      </c>
      <c r="AI12" s="86">
        <f t="shared" si="0"/>
        <v>21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X</v>
      </c>
      <c r="AV12" s="78" t="str">
        <f>IF(AO12="","",IF(AND(AO12="O",AP12="O",AR12="O",AT12="O",AU12="O"),"후보","X"))</f>
        <v/>
      </c>
    </row>
    <row r="13" spans="1:48" x14ac:dyDescent="0.3">
      <c r="A13" s="9" t="s">
        <v>1034</v>
      </c>
      <c r="B13" s="10" t="s">
        <v>1592</v>
      </c>
      <c r="C13" s="87">
        <v>299</v>
      </c>
      <c r="D13" s="85">
        <v>80.7</v>
      </c>
      <c r="E13" s="86">
        <v>24</v>
      </c>
      <c r="F13" s="85">
        <v>59.4</v>
      </c>
      <c r="G13" s="17">
        <v>18</v>
      </c>
      <c r="H13" s="87">
        <v>284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3</v>
      </c>
      <c r="R13" s="78">
        <v>2</v>
      </c>
      <c r="S13" s="78" t="s">
        <v>59</v>
      </c>
      <c r="T13" s="5">
        <v>80</v>
      </c>
      <c r="U13" s="9"/>
      <c r="W13" s="85">
        <f>D13</f>
        <v>80.7</v>
      </c>
      <c r="X13" s="86">
        <f>E13</f>
        <v>24</v>
      </c>
      <c r="Y13" s="91">
        <f>H13</f>
        <v>284</v>
      </c>
      <c r="Z13" s="89">
        <f>I13</f>
        <v>0</v>
      </c>
      <c r="AA13" s="89">
        <f>K13</f>
        <v>0</v>
      </c>
      <c r="AB13" s="89">
        <f t="shared" si="2"/>
        <v>0</v>
      </c>
      <c r="AC13" s="4" t="str">
        <f t="shared" si="2"/>
        <v/>
      </c>
      <c r="AD13" s="90">
        <f t="shared" si="2"/>
        <v>0</v>
      </c>
      <c r="AE13" s="78" t="str">
        <f>S13</f>
        <v>계</v>
      </c>
      <c r="AF13" s="78" t="str">
        <f>Q13&amp;"/"&amp;R13</f>
        <v>3/2</v>
      </c>
      <c r="AH13" s="20" t="str">
        <f t="shared" si="1"/>
        <v>대승2차</v>
      </c>
      <c r="AI13" s="86">
        <f t="shared" si="0"/>
        <v>24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X</v>
      </c>
      <c r="AV13" s="78" t="str">
        <f>IF(AO13="","",IF(AND(AO13="O",AP13="O",AR13="O",AT13="O",AU13="O"),"후보","X"))</f>
        <v/>
      </c>
    </row>
  </sheetData>
  <mergeCells count="1">
    <mergeCell ref="AJ1:AN1"/>
  </mergeCells>
  <phoneticPr fontId="2" type="noConversion"/>
  <conditionalFormatting sqref="AV4:AV6">
    <cfRule type="expression" dxfId="4151" priority="111">
      <formula>AV4="X"</formula>
    </cfRule>
    <cfRule type="expression" dxfId="4150" priority="112">
      <formula>AV4="후보"</formula>
    </cfRule>
  </conditionalFormatting>
  <conditionalFormatting sqref="AC1:AC2 AC4:AC6 N4:N5">
    <cfRule type="cellIs" dxfId="4149" priority="108" operator="greaterThan">
      <formula>0.9</formula>
    </cfRule>
    <cfRule type="cellIs" dxfId="4148" priority="109" operator="greaterThan">
      <formula>0.85</formula>
    </cfRule>
  </conditionalFormatting>
  <conditionalFormatting sqref="N1:N2">
    <cfRule type="cellIs" dxfId="4147" priority="106" operator="greaterThan">
      <formula>0.9</formula>
    </cfRule>
    <cfRule type="cellIs" dxfId="4146" priority="107" operator="greaterThan">
      <formula>0.85</formula>
    </cfRule>
  </conditionalFormatting>
  <conditionalFormatting sqref="N6">
    <cfRule type="cellIs" dxfId="4145" priority="104" operator="greaterThan">
      <formula>0.9</formula>
    </cfRule>
    <cfRule type="cellIs" dxfId="4144" priority="105" operator="greaterThan">
      <formula>0.85</formula>
    </cfRule>
  </conditionalFormatting>
  <conditionalFormatting sqref="E6">
    <cfRule type="expression" dxfId="4143" priority="100">
      <formula>AND(IF(OR($Q6=1,$Q6=2),1,0),IF($X6&lt;=20,1,0))</formula>
    </cfRule>
    <cfRule type="expression" dxfId="4142" priority="101">
      <formula>AND(IF($Q6=2,1,0),IF($X6&lt;30,1,0))</formula>
    </cfRule>
    <cfRule type="expression" dxfId="4141" priority="102">
      <formula>AND(IF($Q6=3,1,0),IF($X6&lt;30,1,0))</formula>
    </cfRule>
    <cfRule type="expression" dxfId="4140" priority="103">
      <formula>AND(IF($Q6=3,1,IF($Q6=4,1,0)),IF($F6&lt;=85,1,0))</formula>
    </cfRule>
  </conditionalFormatting>
  <conditionalFormatting sqref="X6">
    <cfRule type="expression" dxfId="4139" priority="96">
      <formula>AND(IF(OR($Q6=1,$Q6=2),1,0),IF($X6&lt;=20,1,0))</formula>
    </cfRule>
    <cfRule type="expression" dxfId="4138" priority="97">
      <formula>AND(IF($Q6=2,1,0),IF($X6&lt;30,1,0))</formula>
    </cfRule>
    <cfRule type="expression" dxfId="4137" priority="98">
      <formula>AND(IF($Q6=3,1,0),IF($X6&lt;30,1,0))</formula>
    </cfRule>
    <cfRule type="expression" dxfId="4136" priority="99">
      <formula>AND(IF($Q6=3,1,IF($Q6=4,1,0)),IF($F6&lt;=85,1,0))</formula>
    </cfRule>
  </conditionalFormatting>
  <conditionalFormatting sqref="AI6">
    <cfRule type="expression" dxfId="4135" priority="92">
      <formula>AND(IF(OR($Q6=1,$Q6=2),1,0),IF($X6&lt;=20,1,0))</formula>
    </cfRule>
    <cfRule type="expression" dxfId="4134" priority="93">
      <formula>AND(IF($Q6=2,1,0),IF($X6&lt;30,1,0))</formula>
    </cfRule>
    <cfRule type="expression" dxfId="4133" priority="94">
      <formula>AND(IF($Q6=3,1,0),IF($X6&lt;30,1,0))</formula>
    </cfRule>
    <cfRule type="expression" dxfId="4132" priority="95">
      <formula>AND(IF($Q6=3,1,IF($Q6=4,1,0)),IF($F6&lt;=85,1,0))</formula>
    </cfRule>
  </conditionalFormatting>
  <conditionalFormatting sqref="AV7">
    <cfRule type="expression" dxfId="4131" priority="90">
      <formula>AV7="X"</formula>
    </cfRule>
    <cfRule type="expression" dxfId="4130" priority="91">
      <formula>AV7="후보"</formula>
    </cfRule>
  </conditionalFormatting>
  <conditionalFormatting sqref="AC7 N7">
    <cfRule type="cellIs" dxfId="4129" priority="87" operator="greaterThan">
      <formula>0.9</formula>
    </cfRule>
    <cfRule type="cellIs" dxfId="4128" priority="88" operator="greaterThan">
      <formula>0.85</formula>
    </cfRule>
  </conditionalFormatting>
  <conditionalFormatting sqref="AV8">
    <cfRule type="expression" dxfId="4127" priority="85">
      <formula>AV8="X"</formula>
    </cfRule>
    <cfRule type="expression" dxfId="4126" priority="86">
      <formula>AV8="후보"</formula>
    </cfRule>
  </conditionalFormatting>
  <conditionalFormatting sqref="AC8">
    <cfRule type="cellIs" dxfId="4125" priority="82" operator="greaterThan">
      <formula>0.9</formula>
    </cfRule>
    <cfRule type="cellIs" dxfId="4124" priority="83" operator="greaterThan">
      <formula>0.85</formula>
    </cfRule>
  </conditionalFormatting>
  <conditionalFormatting sqref="N8">
    <cfRule type="cellIs" dxfId="4123" priority="80" operator="greaterThan">
      <formula>0.9</formula>
    </cfRule>
    <cfRule type="cellIs" dxfId="4122" priority="81" operator="greaterThan">
      <formula>0.85</formula>
    </cfRule>
  </conditionalFormatting>
  <conditionalFormatting sqref="E8">
    <cfRule type="expression" dxfId="4121" priority="76">
      <formula>AND(IF(OR($Q8=1,$Q8=2),1,0),IF($X8&lt;=20,1,0))</formula>
    </cfRule>
    <cfRule type="expression" dxfId="4120" priority="77">
      <formula>AND(IF($Q8=2,1,0),IF($X8&lt;30,1,0))</formula>
    </cfRule>
    <cfRule type="expression" dxfId="4119" priority="78">
      <formula>AND(IF($Q8=3,1,0),IF($X8&lt;30,1,0))</formula>
    </cfRule>
    <cfRule type="expression" dxfId="4118" priority="79">
      <formula>AND(IF($Q8=3,1,IF($Q8=4,1,0)),IF($F8&lt;=85,1,0))</formula>
    </cfRule>
  </conditionalFormatting>
  <conditionalFormatting sqref="X8">
    <cfRule type="expression" dxfId="4117" priority="72">
      <formula>AND(IF(OR($Q8=1,$Q8=2),1,0),IF($X8&lt;=20,1,0))</formula>
    </cfRule>
    <cfRule type="expression" dxfId="4116" priority="73">
      <formula>AND(IF($Q8=2,1,0),IF($X8&lt;30,1,0))</formula>
    </cfRule>
    <cfRule type="expression" dxfId="4115" priority="74">
      <formula>AND(IF($Q8=3,1,0),IF($X8&lt;30,1,0))</formula>
    </cfRule>
    <cfRule type="expression" dxfId="4114" priority="75">
      <formula>AND(IF($Q8=3,1,IF($Q8=4,1,0)),IF($F8&lt;=85,1,0))</formula>
    </cfRule>
  </conditionalFormatting>
  <conditionalFormatting sqref="AI8">
    <cfRule type="expression" dxfId="4113" priority="68">
      <formula>AND(IF(OR($Q8=1,$Q8=2),1,0),IF($X8&lt;=20,1,0))</formula>
    </cfRule>
    <cfRule type="expression" dxfId="4112" priority="69">
      <formula>AND(IF($Q8=2,1,0),IF($X8&lt;30,1,0))</formula>
    </cfRule>
    <cfRule type="expression" dxfId="4111" priority="70">
      <formula>AND(IF($Q8=3,1,0),IF($X8&lt;30,1,0))</formula>
    </cfRule>
    <cfRule type="expression" dxfId="4110" priority="71">
      <formula>AND(IF($Q8=3,1,IF($Q8=4,1,0)),IF($F8&lt;=85,1,0))</formula>
    </cfRule>
  </conditionalFormatting>
  <conditionalFormatting sqref="AV9">
    <cfRule type="expression" dxfId="4109" priority="66">
      <formula>AV9="X"</formula>
    </cfRule>
    <cfRule type="expression" dxfId="4108" priority="67">
      <formula>AV9="후보"</formula>
    </cfRule>
  </conditionalFormatting>
  <conditionalFormatting sqref="AC9 N9">
    <cfRule type="cellIs" dxfId="4107" priority="63" operator="greaterThan">
      <formula>0.9</formula>
    </cfRule>
    <cfRule type="cellIs" dxfId="4106" priority="64" operator="greaterThan">
      <formula>0.85</formula>
    </cfRule>
  </conditionalFormatting>
  <conditionalFormatting sqref="AV10">
    <cfRule type="expression" dxfId="4105" priority="61">
      <formula>AV10="X"</formula>
    </cfRule>
    <cfRule type="expression" dxfId="4104" priority="62">
      <formula>AV10="후보"</formula>
    </cfRule>
  </conditionalFormatting>
  <conditionalFormatting sqref="AC10">
    <cfRule type="cellIs" dxfId="4103" priority="58" operator="greaterThan">
      <formula>0.9</formula>
    </cfRule>
    <cfRule type="cellIs" dxfId="4102" priority="59" operator="greaterThan">
      <formula>0.85</formula>
    </cfRule>
  </conditionalFormatting>
  <conditionalFormatting sqref="N10">
    <cfRule type="cellIs" dxfId="4101" priority="56" operator="greaterThan">
      <formula>0.9</formula>
    </cfRule>
    <cfRule type="cellIs" dxfId="4100" priority="57" operator="greaterThan">
      <formula>0.85</formula>
    </cfRule>
  </conditionalFormatting>
  <conditionalFormatting sqref="E10">
    <cfRule type="expression" dxfId="4099" priority="52">
      <formula>AND(IF(OR($Q10=1,$Q10=2),1,0),IF($X10&lt;=20,1,0))</formula>
    </cfRule>
    <cfRule type="expression" dxfId="4098" priority="53">
      <formula>AND(IF($Q10=2,1,0),IF($X10&lt;30,1,0))</formula>
    </cfRule>
    <cfRule type="expression" dxfId="4097" priority="54">
      <formula>AND(IF($Q10=3,1,0),IF($X10&lt;30,1,0))</formula>
    </cfRule>
    <cfRule type="expression" dxfId="4096" priority="55">
      <formula>AND(IF($Q10=3,1,IF($Q10=4,1,0)),IF($F10&lt;=85,1,0))</formula>
    </cfRule>
  </conditionalFormatting>
  <conditionalFormatting sqref="X10">
    <cfRule type="expression" dxfId="4095" priority="48">
      <formula>AND(IF(OR($Q10=1,$Q10=2),1,0),IF($X10&lt;=20,1,0))</formula>
    </cfRule>
    <cfRule type="expression" dxfId="4094" priority="49">
      <formula>AND(IF($Q10=2,1,0),IF($X10&lt;30,1,0))</formula>
    </cfRule>
    <cfRule type="expression" dxfId="4093" priority="50">
      <formula>AND(IF($Q10=3,1,0),IF($X10&lt;30,1,0))</formula>
    </cfRule>
    <cfRule type="expression" dxfId="4092" priority="51">
      <formula>AND(IF($Q10=3,1,IF($Q10=4,1,0)),IF($F10&lt;=85,1,0))</formula>
    </cfRule>
  </conditionalFormatting>
  <conditionalFormatting sqref="AI10">
    <cfRule type="expression" dxfId="4091" priority="44">
      <formula>AND(IF(OR($Q10=1,$Q10=2),1,0),IF($X10&lt;=20,1,0))</formula>
    </cfRule>
    <cfRule type="expression" dxfId="4090" priority="45">
      <formula>AND(IF($Q10=2,1,0),IF($X10&lt;30,1,0))</formula>
    </cfRule>
    <cfRule type="expression" dxfId="4089" priority="46">
      <formula>AND(IF($Q10=3,1,0),IF($X10&lt;30,1,0))</formula>
    </cfRule>
    <cfRule type="expression" dxfId="4088" priority="47">
      <formula>AND(IF($Q10=3,1,IF($Q10=4,1,0)),IF($F10&lt;=85,1,0))</formula>
    </cfRule>
  </conditionalFormatting>
  <conditionalFormatting sqref="AV11">
    <cfRule type="expression" dxfId="4087" priority="42">
      <formula>AV11="X"</formula>
    </cfRule>
    <cfRule type="expression" dxfId="4086" priority="43">
      <formula>AV11="후보"</formula>
    </cfRule>
  </conditionalFormatting>
  <conditionalFormatting sqref="AC11 N11">
    <cfRule type="cellIs" dxfId="4085" priority="39" operator="greaterThan">
      <formula>0.9</formula>
    </cfRule>
    <cfRule type="cellIs" dxfId="4084" priority="40" operator="greaterThan">
      <formula>0.85</formula>
    </cfRule>
  </conditionalFormatting>
  <conditionalFormatting sqref="AV12">
    <cfRule type="expression" dxfId="4083" priority="37">
      <formula>AV12="X"</formula>
    </cfRule>
    <cfRule type="expression" dxfId="4082" priority="38">
      <formula>AV12="후보"</formula>
    </cfRule>
  </conditionalFormatting>
  <conditionalFormatting sqref="AC12">
    <cfRule type="cellIs" dxfId="4081" priority="34" operator="greaterThan">
      <formula>0.9</formula>
    </cfRule>
    <cfRule type="cellIs" dxfId="4080" priority="35" operator="greaterThan">
      <formula>0.85</formula>
    </cfRule>
  </conditionalFormatting>
  <conditionalFormatting sqref="N12">
    <cfRule type="cellIs" dxfId="4079" priority="32" operator="greaterThan">
      <formula>0.9</formula>
    </cfRule>
    <cfRule type="cellIs" dxfId="4078" priority="33" operator="greaterThan">
      <formula>0.85</formula>
    </cfRule>
  </conditionalFormatting>
  <conditionalFormatting sqref="E12">
    <cfRule type="expression" dxfId="4077" priority="28">
      <formula>AND(IF(OR($Q12=1,$Q12=2),1,0),IF($X12&lt;=20,1,0))</formula>
    </cfRule>
    <cfRule type="expression" dxfId="4076" priority="29">
      <formula>AND(IF($Q12=2,1,0),IF($X12&lt;30,1,0))</formula>
    </cfRule>
    <cfRule type="expression" dxfId="4075" priority="30">
      <formula>AND(IF($Q12=3,1,0),IF($X12&lt;30,1,0))</formula>
    </cfRule>
    <cfRule type="expression" dxfId="4074" priority="31">
      <formula>AND(IF($Q12=3,1,IF($Q12=4,1,0)),IF($F12&lt;=85,1,0))</formula>
    </cfRule>
  </conditionalFormatting>
  <conditionalFormatting sqref="X12">
    <cfRule type="expression" dxfId="4073" priority="24">
      <formula>AND(IF(OR($Q12=1,$Q12=2),1,0),IF($X12&lt;=20,1,0))</formula>
    </cfRule>
    <cfRule type="expression" dxfId="4072" priority="25">
      <formula>AND(IF($Q12=2,1,0),IF($X12&lt;30,1,0))</formula>
    </cfRule>
    <cfRule type="expression" dxfId="4071" priority="26">
      <formula>AND(IF($Q12=3,1,0),IF($X12&lt;30,1,0))</formula>
    </cfRule>
    <cfRule type="expression" dxfId="4070" priority="27">
      <formula>AND(IF($Q12=3,1,IF($Q12=4,1,0)),IF($F12&lt;=85,1,0))</formula>
    </cfRule>
  </conditionalFormatting>
  <conditionalFormatting sqref="AI12">
    <cfRule type="expression" dxfId="4069" priority="20">
      <formula>AND(IF(OR($Q12=1,$Q12=2),1,0),IF($X12&lt;=20,1,0))</formula>
    </cfRule>
    <cfRule type="expression" dxfId="4068" priority="21">
      <formula>AND(IF($Q12=2,1,0),IF($X12&lt;30,1,0))</formula>
    </cfRule>
    <cfRule type="expression" dxfId="4067" priority="22">
      <formula>AND(IF($Q12=3,1,0),IF($X12&lt;30,1,0))</formula>
    </cfRule>
    <cfRule type="expression" dxfId="4066" priority="23">
      <formula>AND(IF($Q12=3,1,IF($Q12=4,1,0)),IF($F12&lt;=85,1,0))</formula>
    </cfRule>
  </conditionalFormatting>
  <conditionalFormatting sqref="AV13">
    <cfRule type="expression" dxfId="4065" priority="18">
      <formula>AV13="X"</formula>
    </cfRule>
    <cfRule type="expression" dxfId="4064" priority="19">
      <formula>AV13="후보"</formula>
    </cfRule>
  </conditionalFormatting>
  <conditionalFormatting sqref="AC13">
    <cfRule type="cellIs" dxfId="4063" priority="15" operator="greaterThan">
      <formula>0.9</formula>
    </cfRule>
    <cfRule type="cellIs" dxfId="4062" priority="16" operator="greaterThan">
      <formula>0.85</formula>
    </cfRule>
  </conditionalFormatting>
  <conditionalFormatting sqref="N13">
    <cfRule type="cellIs" dxfId="4061" priority="13" operator="greaterThan">
      <formula>0.9</formula>
    </cfRule>
    <cfRule type="cellIs" dxfId="4060" priority="14" operator="greaterThan">
      <formula>0.85</formula>
    </cfRule>
  </conditionalFormatting>
  <conditionalFormatting sqref="E13">
    <cfRule type="expression" dxfId="4059" priority="9">
      <formula>AND(IF(OR($Q13=1,$Q13=2),1,0),IF($X13&lt;=20,1,0))</formula>
    </cfRule>
    <cfRule type="expression" dxfId="4058" priority="10">
      <formula>AND(IF($Q13=2,1,0),IF($X13&lt;30,1,0))</formula>
    </cfRule>
    <cfRule type="expression" dxfId="4057" priority="11">
      <formula>AND(IF($Q13=3,1,0),IF($X13&lt;30,1,0))</formula>
    </cfRule>
    <cfRule type="expression" dxfId="4056" priority="12">
      <formula>AND(IF($Q13=3,1,IF($Q13=4,1,0)),IF($F13&lt;=85,1,0))</formula>
    </cfRule>
  </conditionalFormatting>
  <conditionalFormatting sqref="X13">
    <cfRule type="expression" dxfId="4055" priority="5">
      <formula>AND(IF(OR($Q13=1,$Q13=2),1,0),IF($X13&lt;=20,1,0))</formula>
    </cfRule>
    <cfRule type="expression" dxfId="4054" priority="6">
      <formula>AND(IF($Q13=2,1,0),IF($X13&lt;30,1,0))</formula>
    </cfRule>
    <cfRule type="expression" dxfId="4053" priority="7">
      <formula>AND(IF($Q13=3,1,0),IF($X13&lt;30,1,0))</formula>
    </cfRule>
    <cfRule type="expression" dxfId="4052" priority="8">
      <formula>AND(IF($Q13=3,1,IF($Q13=4,1,0)),IF($F13&lt;=85,1,0))</formula>
    </cfRule>
  </conditionalFormatting>
  <conditionalFormatting sqref="AI13">
    <cfRule type="expression" dxfId="4051" priority="1">
      <formula>AND(IF(OR($Q13=1,$Q13=2),1,0),IF($X13&lt;=20,1,0))</formula>
    </cfRule>
    <cfRule type="expression" dxfId="4050" priority="2">
      <formula>AND(IF($Q13=2,1,0),IF($X13&lt;30,1,0))</formula>
    </cfRule>
    <cfRule type="expression" dxfId="4049" priority="3">
      <formula>AND(IF($Q13=3,1,0),IF($X13&lt;30,1,0))</formula>
    </cfRule>
    <cfRule type="expression" dxfId="4048" priority="4">
      <formula>AND(IF($Q13=3,1,IF($Q13=4,1,0)),IF($F13&lt;=85,1,0))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7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246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우아동2가 전주아중롯데('98.11.,540^)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7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1048</v>
      </c>
      <c r="B6" s="10" t="s">
        <v>1594</v>
      </c>
      <c r="C6" s="87">
        <v>540</v>
      </c>
      <c r="D6" s="85">
        <v>93.9</v>
      </c>
      <c r="E6" s="86">
        <v>28</v>
      </c>
      <c r="F6" s="85">
        <v>74.2</v>
      </c>
      <c r="G6" s="17">
        <v>22</v>
      </c>
      <c r="H6" s="87">
        <v>9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2</v>
      </c>
      <c r="R6" s="78">
        <v>2</v>
      </c>
      <c r="S6" s="78" t="s">
        <v>59</v>
      </c>
      <c r="T6" s="5">
        <v>93</v>
      </c>
      <c r="U6" s="9"/>
      <c r="W6" s="85">
        <f t="shared" ref="W6:X8" si="2">D6</f>
        <v>93.9</v>
      </c>
      <c r="X6" s="86">
        <f t="shared" si="2"/>
        <v>28</v>
      </c>
      <c r="Y6" s="91">
        <f t="shared" ref="Y6:Z8" si="3">H6</f>
        <v>9</v>
      </c>
      <c r="Z6" s="89">
        <f t="shared" si="3"/>
        <v>0</v>
      </c>
      <c r="AA6" s="89">
        <f>K6</f>
        <v>0</v>
      </c>
      <c r="AB6" s="89">
        <f t="shared" ref="AB6:AD8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2/2</v>
      </c>
      <c r="AH6" s="20" t="str">
        <f t="shared" si="1"/>
        <v>전주아중롯데</v>
      </c>
      <c r="AI6" s="86">
        <f t="shared" si="0"/>
        <v>28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1048</v>
      </c>
      <c r="B7" s="10" t="s">
        <v>1594</v>
      </c>
      <c r="C7" s="87">
        <v>540</v>
      </c>
      <c r="D7" s="85">
        <v>104.7</v>
      </c>
      <c r="E7" s="86">
        <v>32</v>
      </c>
      <c r="F7" s="85">
        <v>84.7</v>
      </c>
      <c r="G7" s="17">
        <v>26</v>
      </c>
      <c r="H7" s="87">
        <v>180</v>
      </c>
      <c r="I7" s="88">
        <v>17500</v>
      </c>
      <c r="J7" s="88" t="s">
        <v>87</v>
      </c>
      <c r="K7" s="88">
        <v>21000</v>
      </c>
      <c r="L7" s="88" t="s">
        <v>89</v>
      </c>
      <c r="M7" s="89">
        <f>I7-K7</f>
        <v>-3500</v>
      </c>
      <c r="N7" s="4">
        <f>IF(ISERROR(K7/I7),"",K7/I7)</f>
        <v>1.2</v>
      </c>
      <c r="O7" s="90">
        <f>I7/E7</f>
        <v>546.875</v>
      </c>
      <c r="P7" s="90">
        <f>K7/E7</f>
        <v>656.25</v>
      </c>
      <c r="Q7" s="78">
        <v>3</v>
      </c>
      <c r="R7" s="78">
        <v>2</v>
      </c>
      <c r="S7" s="78" t="s">
        <v>59</v>
      </c>
      <c r="T7" s="5" t="s">
        <v>188</v>
      </c>
      <c r="U7" s="9"/>
      <c r="W7" s="85">
        <f t="shared" si="2"/>
        <v>104.7</v>
      </c>
      <c r="X7" s="86">
        <f t="shared" si="2"/>
        <v>32</v>
      </c>
      <c r="Y7" s="91">
        <f t="shared" si="3"/>
        <v>180</v>
      </c>
      <c r="Z7" s="89">
        <f t="shared" si="3"/>
        <v>17500</v>
      </c>
      <c r="AA7" s="89">
        <f>K7</f>
        <v>21000</v>
      </c>
      <c r="AB7" s="89">
        <f t="shared" si="4"/>
        <v>-3500</v>
      </c>
      <c r="AC7" s="4">
        <f t="shared" si="4"/>
        <v>1.2</v>
      </c>
      <c r="AD7" s="90">
        <f t="shared" si="4"/>
        <v>546.875</v>
      </c>
      <c r="AE7" s="78" t="str">
        <f>S7</f>
        <v>계</v>
      </c>
      <c r="AF7" s="78" t="str">
        <f>Q7&amp;"/"&amp;R7</f>
        <v>3/2</v>
      </c>
      <c r="AH7" s="20" t="str">
        <f t="shared" si="1"/>
        <v>전주아중롯데</v>
      </c>
      <c r="AI7" s="86">
        <f t="shared" si="0"/>
        <v>32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O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후보</v>
      </c>
    </row>
    <row r="8" spans="1:48" x14ac:dyDescent="0.3">
      <c r="A8" s="9" t="s">
        <v>1048</v>
      </c>
      <c r="B8" s="10" t="s">
        <v>1594</v>
      </c>
      <c r="C8" s="87">
        <v>540</v>
      </c>
      <c r="D8" s="85">
        <v>107.4</v>
      </c>
      <c r="E8" s="86">
        <v>32</v>
      </c>
      <c r="F8" s="85">
        <v>84.8</v>
      </c>
      <c r="G8" s="17">
        <v>26</v>
      </c>
      <c r="H8" s="87">
        <v>351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59</v>
      </c>
      <c r="T8" s="5" t="s">
        <v>189</v>
      </c>
      <c r="U8" s="9"/>
      <c r="W8" s="85">
        <f t="shared" si="2"/>
        <v>107.4</v>
      </c>
      <c r="X8" s="86">
        <f t="shared" si="2"/>
        <v>32</v>
      </c>
      <c r="Y8" s="91">
        <f t="shared" si="3"/>
        <v>351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전주아중롯데</v>
      </c>
      <c r="AI8" s="86">
        <f t="shared" si="0"/>
        <v>32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우아동2가 진버들마을대우2차('99.11.,450^)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1053</v>
      </c>
      <c r="B10" s="10" t="s">
        <v>1595</v>
      </c>
      <c r="C10" s="87">
        <v>450</v>
      </c>
      <c r="D10" s="85">
        <v>106.3</v>
      </c>
      <c r="E10" s="86">
        <v>32</v>
      </c>
      <c r="F10" s="85">
        <v>84.4</v>
      </c>
      <c r="G10" s="17">
        <v>26</v>
      </c>
      <c r="H10" s="87">
        <v>236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2</v>
      </c>
      <c r="S10" s="78" t="s">
        <v>59</v>
      </c>
      <c r="T10" s="5">
        <v>106</v>
      </c>
      <c r="U10" s="9"/>
      <c r="W10" s="85">
        <f t="shared" ref="W10:X12" si="5">D10</f>
        <v>106.3</v>
      </c>
      <c r="X10" s="86">
        <f t="shared" si="5"/>
        <v>32</v>
      </c>
      <c r="Y10" s="91">
        <f t="shared" ref="Y10:Z12" si="6">H10</f>
        <v>236</v>
      </c>
      <c r="Z10" s="89">
        <f t="shared" si="6"/>
        <v>0</v>
      </c>
      <c r="AA10" s="89">
        <f>K10</f>
        <v>0</v>
      </c>
      <c r="AB10" s="89">
        <f t="shared" ref="AB10:AD12" si="7">M10</f>
        <v>0</v>
      </c>
      <c r="AC10" s="4" t="str">
        <f t="shared" si="7"/>
        <v/>
      </c>
      <c r="AD10" s="90">
        <f t="shared" si="7"/>
        <v>0</v>
      </c>
      <c r="AE10" s="78" t="str">
        <f>S10</f>
        <v>계</v>
      </c>
      <c r="AF10" s="78" t="str">
        <f>Q10&amp;"/"&amp;R10</f>
        <v>3/2</v>
      </c>
      <c r="AH10" s="20" t="str">
        <f t="shared" si="1"/>
        <v>진버들마을대우2차</v>
      </c>
      <c r="AI10" s="86">
        <f t="shared" si="0"/>
        <v>32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/>
      </c>
    </row>
    <row r="11" spans="1:48" x14ac:dyDescent="0.3">
      <c r="A11" s="9" t="s">
        <v>1053</v>
      </c>
      <c r="B11" s="10" t="s">
        <v>1595</v>
      </c>
      <c r="C11" s="87">
        <v>450</v>
      </c>
      <c r="D11" s="85">
        <v>126.7</v>
      </c>
      <c r="E11" s="86">
        <v>38</v>
      </c>
      <c r="F11" s="85">
        <v>103.3</v>
      </c>
      <c r="G11" s="17">
        <v>31</v>
      </c>
      <c r="H11" s="87">
        <v>114</v>
      </c>
      <c r="I11" s="88">
        <v>26500</v>
      </c>
      <c r="J11" s="88" t="s">
        <v>69</v>
      </c>
      <c r="K11" s="88"/>
      <c r="L11" s="88"/>
      <c r="M11" s="89">
        <f>I11-K11</f>
        <v>26500</v>
      </c>
      <c r="N11" s="4">
        <f>IF(ISERROR(K11/I11),"",K11/I11)</f>
        <v>0</v>
      </c>
      <c r="O11" s="90">
        <f>I11/E11</f>
        <v>697.36842105263156</v>
      </c>
      <c r="P11" s="90">
        <f>K11/E11</f>
        <v>0</v>
      </c>
      <c r="Q11" s="78">
        <v>3</v>
      </c>
      <c r="R11" s="78">
        <v>2</v>
      </c>
      <c r="S11" s="78" t="s">
        <v>59</v>
      </c>
      <c r="T11" s="5">
        <v>126</v>
      </c>
      <c r="U11" s="9"/>
      <c r="W11" s="85">
        <f t="shared" si="5"/>
        <v>126.7</v>
      </c>
      <c r="X11" s="86">
        <f t="shared" si="5"/>
        <v>38</v>
      </c>
      <c r="Y11" s="91">
        <f t="shared" si="6"/>
        <v>114</v>
      </c>
      <c r="Z11" s="89">
        <f t="shared" si="6"/>
        <v>26500</v>
      </c>
      <c r="AA11" s="89">
        <f>K11</f>
        <v>0</v>
      </c>
      <c r="AB11" s="89">
        <f t="shared" si="7"/>
        <v>26500</v>
      </c>
      <c r="AC11" s="4">
        <f t="shared" si="7"/>
        <v>0</v>
      </c>
      <c r="AD11" s="90">
        <f t="shared" si="7"/>
        <v>697.36842105263156</v>
      </c>
      <c r="AE11" s="78" t="str">
        <f>S11</f>
        <v>계</v>
      </c>
      <c r="AF11" s="78" t="str">
        <f>Q11&amp;"/"&amp;R11</f>
        <v>3/2</v>
      </c>
      <c r="AH11" s="20" t="str">
        <f t="shared" si="1"/>
        <v>진버들마을대우2차</v>
      </c>
      <c r="AI11" s="86">
        <f t="shared" si="0"/>
        <v>38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O</v>
      </c>
      <c r="AQ11" s="78" t="str">
        <f>IF(O11="","",IF(O11&lt;=$AQ$1,"O","X"))</f>
        <v>O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X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1053</v>
      </c>
      <c r="B12" s="10" t="s">
        <v>1595</v>
      </c>
      <c r="C12" s="87">
        <v>450</v>
      </c>
      <c r="D12" s="85">
        <v>166.3</v>
      </c>
      <c r="E12" s="86">
        <v>50</v>
      </c>
      <c r="F12" s="85">
        <v>141.19999999999999</v>
      </c>
      <c r="G12" s="17">
        <v>43</v>
      </c>
      <c r="H12" s="87">
        <v>100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4</v>
      </c>
      <c r="R12" s="78">
        <v>2</v>
      </c>
      <c r="S12" s="78" t="s">
        <v>59</v>
      </c>
      <c r="T12" s="5">
        <v>166</v>
      </c>
      <c r="U12" s="9"/>
      <c r="W12" s="85">
        <f t="shared" si="5"/>
        <v>166.3</v>
      </c>
      <c r="X12" s="86">
        <f t="shared" si="5"/>
        <v>50</v>
      </c>
      <c r="Y12" s="91">
        <f t="shared" si="6"/>
        <v>100</v>
      </c>
      <c r="Z12" s="89">
        <f t="shared" si="6"/>
        <v>0</v>
      </c>
      <c r="AA12" s="89">
        <f>K12</f>
        <v>0</v>
      </c>
      <c r="AB12" s="89">
        <f t="shared" si="7"/>
        <v>0</v>
      </c>
      <c r="AC12" s="4" t="str">
        <f t="shared" si="7"/>
        <v/>
      </c>
      <c r="AD12" s="90">
        <f t="shared" si="7"/>
        <v>0</v>
      </c>
      <c r="AE12" s="78" t="str">
        <f>S12</f>
        <v>계</v>
      </c>
      <c r="AF12" s="78" t="str">
        <f>Q12&amp;"/"&amp;R12</f>
        <v>4/2</v>
      </c>
      <c r="AH12" s="20" t="str">
        <f t="shared" si="1"/>
        <v>진버들마을대우2차</v>
      </c>
      <c r="AI12" s="86">
        <f t="shared" si="0"/>
        <v>50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O</v>
      </c>
      <c r="AV12" s="78" t="str">
        <f>IF(AO12="","",IF(AND(AO12="O",AP12="O",AR12="O",AT12="O",AU12="O"),"후보","X"))</f>
        <v/>
      </c>
    </row>
    <row r="13" spans="1:48" x14ac:dyDescent="0.3">
      <c r="A13" s="9"/>
      <c r="B13" s="78"/>
      <c r="C13" s="6"/>
      <c r="D13" s="9"/>
      <c r="E13" s="14"/>
      <c r="F13" s="85"/>
      <c r="G13" s="9"/>
      <c r="H13" s="9"/>
      <c r="I13" s="9"/>
      <c r="J13" s="9"/>
      <c r="K13" s="9"/>
      <c r="L13" s="9"/>
      <c r="M13" s="9"/>
      <c r="N13" s="9"/>
      <c r="O13" s="90"/>
      <c r="P13" s="90"/>
      <c r="Q13" s="86"/>
      <c r="R13" s="86"/>
      <c r="S13" s="9"/>
      <c r="T13" s="47"/>
      <c r="U13" s="9"/>
      <c r="W13" s="67" t="str">
        <f>$A$4&amp;" "&amp;A14&amp;"("&amp;B14&amp;","&amp;C14&amp;"^)"</f>
        <v>우아동2가 선변오지오('08.12.,240^)</v>
      </c>
      <c r="X13" s="68"/>
      <c r="Y13" s="68"/>
      <c r="Z13" s="68"/>
      <c r="AA13" s="68"/>
      <c r="AB13" s="68"/>
      <c r="AC13" s="68"/>
      <c r="AD13" s="68"/>
      <c r="AE13" s="68"/>
      <c r="AF13" s="69"/>
      <c r="AH13" s="20" t="str">
        <f t="shared" si="1"/>
        <v/>
      </c>
      <c r="AI13" s="108" t="str">
        <f t="shared" si="0"/>
        <v/>
      </c>
      <c r="AJ13" s="78"/>
      <c r="AK13" s="78"/>
      <c r="AL13" s="78"/>
      <c r="AM13" s="78"/>
      <c r="AN13" s="78"/>
      <c r="AO13" s="78"/>
      <c r="AP13" s="78"/>
      <c r="AQ13" s="78"/>
      <c r="AR13" s="78"/>
      <c r="AS13" s="78"/>
      <c r="AT13" s="78"/>
      <c r="AU13" s="78"/>
      <c r="AV13" s="78"/>
    </row>
    <row r="14" spans="1:48" x14ac:dyDescent="0.3">
      <c r="A14" s="9" t="s">
        <v>1058</v>
      </c>
      <c r="B14" s="10" t="s">
        <v>1596</v>
      </c>
      <c r="C14" s="87">
        <v>240</v>
      </c>
      <c r="D14" s="85">
        <v>107</v>
      </c>
      <c r="E14" s="86">
        <v>32</v>
      </c>
      <c r="F14" s="85">
        <v>82.8</v>
      </c>
      <c r="G14" s="17">
        <v>25</v>
      </c>
      <c r="H14" s="87">
        <v>2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3</v>
      </c>
      <c r="R14" s="78">
        <v>2</v>
      </c>
      <c r="S14" s="78" t="s">
        <v>59</v>
      </c>
      <c r="T14" s="5">
        <v>106</v>
      </c>
      <c r="U14" s="9"/>
      <c r="W14" s="85">
        <f t="shared" ref="W14:X17" si="8">D14</f>
        <v>107</v>
      </c>
      <c r="X14" s="86">
        <f t="shared" si="8"/>
        <v>32</v>
      </c>
      <c r="Y14" s="91">
        <f t="shared" ref="Y14:Z17" si="9">H14</f>
        <v>2</v>
      </c>
      <c r="Z14" s="89">
        <f t="shared" si="9"/>
        <v>0</v>
      </c>
      <c r="AA14" s="89">
        <f>K14</f>
        <v>0</v>
      </c>
      <c r="AB14" s="89">
        <f t="shared" ref="AB14:AD17" si="10">M14</f>
        <v>0</v>
      </c>
      <c r="AC14" s="4" t="str">
        <f t="shared" si="10"/>
        <v/>
      </c>
      <c r="AD14" s="90">
        <f t="shared" si="10"/>
        <v>0</v>
      </c>
      <c r="AE14" s="78" t="str">
        <f>S14</f>
        <v>계</v>
      </c>
      <c r="AF14" s="78" t="str">
        <f>Q14&amp;"/"&amp;R14</f>
        <v>3/2</v>
      </c>
      <c r="AH14" s="20" t="str">
        <f t="shared" si="1"/>
        <v>선변오지오</v>
      </c>
      <c r="AI14" s="86">
        <f t="shared" si="0"/>
        <v>32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X</v>
      </c>
      <c r="AV14" s="78" t="str">
        <f>IF(AO14="","",IF(AND(AO14="O",AP14="O",AR14="O",AT14="O",AU14="O"),"후보","X"))</f>
        <v/>
      </c>
    </row>
    <row r="15" spans="1:48" x14ac:dyDescent="0.3">
      <c r="A15" s="9" t="s">
        <v>1058</v>
      </c>
      <c r="B15" s="10" t="s">
        <v>1596</v>
      </c>
      <c r="C15" s="87">
        <v>240</v>
      </c>
      <c r="D15" s="85">
        <v>109.2</v>
      </c>
      <c r="E15" s="86">
        <v>33</v>
      </c>
      <c r="F15" s="85">
        <v>84.9</v>
      </c>
      <c r="G15" s="17">
        <v>26</v>
      </c>
      <c r="H15" s="87">
        <v>120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 t="s">
        <v>71</v>
      </c>
      <c r="U15" s="9"/>
      <c r="W15" s="85">
        <f t="shared" si="8"/>
        <v>109.2</v>
      </c>
      <c r="X15" s="86">
        <f t="shared" si="8"/>
        <v>33</v>
      </c>
      <c r="Y15" s="91">
        <f t="shared" si="9"/>
        <v>120</v>
      </c>
      <c r="Z15" s="89">
        <f t="shared" si="9"/>
        <v>0</v>
      </c>
      <c r="AA15" s="89">
        <f>K15</f>
        <v>0</v>
      </c>
      <c r="AB15" s="89">
        <f t="shared" si="10"/>
        <v>0</v>
      </c>
      <c r="AC15" s="4" t="str">
        <f t="shared" si="10"/>
        <v/>
      </c>
      <c r="AD15" s="90">
        <f t="shared" si="10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선변오지오</v>
      </c>
      <c r="AI15" s="86">
        <f t="shared" si="0"/>
        <v>33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X</v>
      </c>
      <c r="AV15" s="78" t="str">
        <f>IF(AO15="","",IF(AND(AO15="O",AP15="O",AR15="O",AT15="O",AU15="O"),"후보","X"))</f>
        <v/>
      </c>
    </row>
    <row r="16" spans="1:48" x14ac:dyDescent="0.3">
      <c r="A16" s="9" t="s">
        <v>1058</v>
      </c>
      <c r="B16" s="10" t="s">
        <v>1596</v>
      </c>
      <c r="C16" s="87">
        <v>240</v>
      </c>
      <c r="D16" s="85">
        <v>109.5</v>
      </c>
      <c r="E16" s="86">
        <v>33</v>
      </c>
      <c r="F16" s="85">
        <v>84.5</v>
      </c>
      <c r="G16" s="17">
        <v>26</v>
      </c>
      <c r="H16" s="87">
        <v>58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 t="s">
        <v>86</v>
      </c>
      <c r="U16" s="9"/>
      <c r="W16" s="85">
        <f t="shared" si="8"/>
        <v>109.5</v>
      </c>
      <c r="X16" s="86">
        <f t="shared" si="8"/>
        <v>33</v>
      </c>
      <c r="Y16" s="91">
        <f t="shared" si="9"/>
        <v>58</v>
      </c>
      <c r="Z16" s="89">
        <f t="shared" si="9"/>
        <v>0</v>
      </c>
      <c r="AA16" s="89">
        <f>K16</f>
        <v>0</v>
      </c>
      <c r="AB16" s="89">
        <f t="shared" si="10"/>
        <v>0</v>
      </c>
      <c r="AC16" s="4" t="str">
        <f t="shared" si="10"/>
        <v/>
      </c>
      <c r="AD16" s="90">
        <f t="shared" si="10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선변오지오</v>
      </c>
      <c r="AI16" s="86">
        <f t="shared" si="0"/>
        <v>33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X</v>
      </c>
      <c r="AV16" s="78" t="str">
        <f>IF(AO16="","",IF(AND(AO16="O",AP16="O",AR16="O",AT16="O",AU16="O"),"후보","X"))</f>
        <v/>
      </c>
    </row>
    <row r="17" spans="1:48" x14ac:dyDescent="0.3">
      <c r="A17" s="9" t="s">
        <v>1058</v>
      </c>
      <c r="B17" s="10" t="s">
        <v>1596</v>
      </c>
      <c r="C17" s="87">
        <v>240</v>
      </c>
      <c r="D17" s="85">
        <v>110.8</v>
      </c>
      <c r="E17" s="86">
        <v>34</v>
      </c>
      <c r="F17" s="85">
        <v>84.9</v>
      </c>
      <c r="G17" s="17">
        <v>26</v>
      </c>
      <c r="H17" s="87">
        <v>60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59</v>
      </c>
      <c r="T17" s="5" t="s">
        <v>91</v>
      </c>
      <c r="U17" s="9"/>
      <c r="W17" s="85">
        <f t="shared" si="8"/>
        <v>110.8</v>
      </c>
      <c r="X17" s="86">
        <f t="shared" si="8"/>
        <v>34</v>
      </c>
      <c r="Y17" s="91">
        <f t="shared" si="9"/>
        <v>60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선변오지오</v>
      </c>
      <c r="AI17" s="86">
        <f t="shared" si="0"/>
        <v>34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X</v>
      </c>
      <c r="AV17" s="78" t="str">
        <f>IF(AO17="","",IF(AND(AO17="O",AP17="O",AR17="O",AT17="O",AU17="O"),"후보","X"))</f>
        <v/>
      </c>
    </row>
  </sheetData>
  <mergeCells count="1">
    <mergeCell ref="AJ1:AN1"/>
  </mergeCells>
  <phoneticPr fontId="2" type="noConversion"/>
  <conditionalFormatting sqref="AV4:AV6">
    <cfRule type="expression" dxfId="4047" priority="201">
      <formula>AV4="X"</formula>
    </cfRule>
    <cfRule type="expression" dxfId="4046" priority="202">
      <formula>AV4="후보"</formula>
    </cfRule>
  </conditionalFormatting>
  <conditionalFormatting sqref="AC1:AC2 AC4:AC6 N4:N5">
    <cfRule type="cellIs" dxfId="4045" priority="198" operator="greaterThan">
      <formula>0.9</formula>
    </cfRule>
    <cfRule type="cellIs" dxfId="4044" priority="199" operator="greaterThan">
      <formula>0.85</formula>
    </cfRule>
  </conditionalFormatting>
  <conditionalFormatting sqref="N1:N2">
    <cfRule type="cellIs" dxfId="4043" priority="196" operator="greaterThan">
      <formula>0.9</formula>
    </cfRule>
    <cfRule type="cellIs" dxfId="4042" priority="197" operator="greaterThan">
      <formula>0.85</formula>
    </cfRule>
  </conditionalFormatting>
  <conditionalFormatting sqref="N6">
    <cfRule type="cellIs" dxfId="4041" priority="194" operator="greaterThan">
      <formula>0.9</formula>
    </cfRule>
    <cfRule type="cellIs" dxfId="4040" priority="195" operator="greaterThan">
      <formula>0.85</formula>
    </cfRule>
  </conditionalFormatting>
  <conditionalFormatting sqref="E6">
    <cfRule type="expression" dxfId="4039" priority="190">
      <formula>AND(IF(OR($Q6=1,$Q6=2),1,0),IF($X6&lt;=20,1,0))</formula>
    </cfRule>
    <cfRule type="expression" dxfId="4038" priority="191">
      <formula>AND(IF($Q6=2,1,0),IF($X6&lt;30,1,0))</formula>
    </cfRule>
    <cfRule type="expression" dxfId="4037" priority="192">
      <formula>AND(IF($Q6=3,1,0),IF($X6&lt;30,1,0))</formula>
    </cfRule>
    <cfRule type="expression" dxfId="4036" priority="193">
      <formula>AND(IF($Q6=3,1,IF($Q6=4,1,0)),IF($F6&lt;=85,1,0))</formula>
    </cfRule>
  </conditionalFormatting>
  <conditionalFormatting sqref="X6">
    <cfRule type="expression" dxfId="4035" priority="186">
      <formula>AND(IF(OR($Q6=1,$Q6=2),1,0),IF($X6&lt;=20,1,0))</formula>
    </cfRule>
    <cfRule type="expression" dxfId="4034" priority="187">
      <formula>AND(IF($Q6=2,1,0),IF($X6&lt;30,1,0))</formula>
    </cfRule>
    <cfRule type="expression" dxfId="4033" priority="188">
      <formula>AND(IF($Q6=3,1,0),IF($X6&lt;30,1,0))</formula>
    </cfRule>
    <cfRule type="expression" dxfId="4032" priority="189">
      <formula>AND(IF($Q6=3,1,IF($Q6=4,1,0)),IF($F6&lt;=85,1,0))</formula>
    </cfRule>
  </conditionalFormatting>
  <conditionalFormatting sqref="AI6">
    <cfRule type="expression" dxfId="4031" priority="182">
      <formula>AND(IF(OR($Q6=1,$Q6=2),1,0),IF($X6&lt;=20,1,0))</formula>
    </cfRule>
    <cfRule type="expression" dxfId="4030" priority="183">
      <formula>AND(IF($Q6=2,1,0),IF($X6&lt;30,1,0))</formula>
    </cfRule>
    <cfRule type="expression" dxfId="4029" priority="184">
      <formula>AND(IF($Q6=3,1,0),IF($X6&lt;30,1,0))</formula>
    </cfRule>
    <cfRule type="expression" dxfId="4028" priority="185">
      <formula>AND(IF($Q6=3,1,IF($Q6=4,1,0)),IF($F6&lt;=85,1,0))</formula>
    </cfRule>
  </conditionalFormatting>
  <conditionalFormatting sqref="AV7">
    <cfRule type="expression" dxfId="4027" priority="180">
      <formula>AV7="X"</formula>
    </cfRule>
    <cfRule type="expression" dxfId="4026" priority="181">
      <formula>AV7="후보"</formula>
    </cfRule>
  </conditionalFormatting>
  <conditionalFormatting sqref="AC7">
    <cfRule type="cellIs" dxfId="4025" priority="177" operator="greaterThan">
      <formula>0.9</formula>
    </cfRule>
    <cfRule type="cellIs" dxfId="4024" priority="178" operator="greaterThan">
      <formula>0.85</formula>
    </cfRule>
  </conditionalFormatting>
  <conditionalFormatting sqref="N7">
    <cfRule type="cellIs" dxfId="4023" priority="175" operator="greaterThan">
      <formula>0.9</formula>
    </cfRule>
    <cfRule type="cellIs" dxfId="4022" priority="176" operator="greaterThan">
      <formula>0.85</formula>
    </cfRule>
  </conditionalFormatting>
  <conditionalFormatting sqref="E7">
    <cfRule type="expression" dxfId="4021" priority="171">
      <formula>AND(IF(OR($Q7=1,$Q7=2),1,0),IF($X7&lt;=20,1,0))</formula>
    </cfRule>
    <cfRule type="expression" dxfId="4020" priority="172">
      <formula>AND(IF($Q7=2,1,0),IF($X7&lt;30,1,0))</formula>
    </cfRule>
    <cfRule type="expression" dxfId="4019" priority="173">
      <formula>AND(IF($Q7=3,1,0),IF($X7&lt;30,1,0))</formula>
    </cfRule>
    <cfRule type="expression" dxfId="4018" priority="174">
      <formula>AND(IF($Q7=3,1,IF($Q7=4,1,0)),IF($F7&lt;=85,1,0))</formula>
    </cfRule>
  </conditionalFormatting>
  <conditionalFormatting sqref="X7">
    <cfRule type="expression" dxfId="4017" priority="167">
      <formula>AND(IF(OR($Q7=1,$Q7=2),1,0),IF($X7&lt;=20,1,0))</formula>
    </cfRule>
    <cfRule type="expression" dxfId="4016" priority="168">
      <formula>AND(IF($Q7=2,1,0),IF($X7&lt;30,1,0))</formula>
    </cfRule>
    <cfRule type="expression" dxfId="4015" priority="169">
      <formula>AND(IF($Q7=3,1,0),IF($X7&lt;30,1,0))</formula>
    </cfRule>
    <cfRule type="expression" dxfId="4014" priority="170">
      <formula>AND(IF($Q7=3,1,IF($Q7=4,1,0)),IF($F7&lt;=85,1,0))</formula>
    </cfRule>
  </conditionalFormatting>
  <conditionalFormatting sqref="AI7">
    <cfRule type="expression" dxfId="4013" priority="163">
      <formula>AND(IF(OR($Q7=1,$Q7=2),1,0),IF($X7&lt;=20,1,0))</formula>
    </cfRule>
    <cfRule type="expression" dxfId="4012" priority="164">
      <formula>AND(IF($Q7=2,1,0),IF($X7&lt;30,1,0))</formula>
    </cfRule>
    <cfRule type="expression" dxfId="4011" priority="165">
      <formula>AND(IF($Q7=3,1,0),IF($X7&lt;30,1,0))</formula>
    </cfRule>
    <cfRule type="expression" dxfId="4010" priority="166">
      <formula>AND(IF($Q7=3,1,IF($Q7=4,1,0)),IF($F7&lt;=85,1,0))</formula>
    </cfRule>
  </conditionalFormatting>
  <conditionalFormatting sqref="AV8">
    <cfRule type="expression" dxfId="4009" priority="161">
      <formula>AV8="X"</formula>
    </cfRule>
    <cfRule type="expression" dxfId="4008" priority="162">
      <formula>AV8="후보"</formula>
    </cfRule>
  </conditionalFormatting>
  <conditionalFormatting sqref="AC8">
    <cfRule type="cellIs" dxfId="4007" priority="158" operator="greaterThan">
      <formula>0.9</formula>
    </cfRule>
    <cfRule type="cellIs" dxfId="4006" priority="159" operator="greaterThan">
      <formula>0.85</formula>
    </cfRule>
  </conditionalFormatting>
  <conditionalFormatting sqref="N8">
    <cfRule type="cellIs" dxfId="4005" priority="156" operator="greaterThan">
      <formula>0.9</formula>
    </cfRule>
    <cfRule type="cellIs" dxfId="4004" priority="157" operator="greaterThan">
      <formula>0.85</formula>
    </cfRule>
  </conditionalFormatting>
  <conditionalFormatting sqref="E8">
    <cfRule type="expression" dxfId="4003" priority="152">
      <formula>AND(IF(OR($Q8=1,$Q8=2),1,0),IF($X8&lt;=20,1,0))</formula>
    </cfRule>
    <cfRule type="expression" dxfId="4002" priority="153">
      <formula>AND(IF($Q8=2,1,0),IF($X8&lt;30,1,0))</formula>
    </cfRule>
    <cfRule type="expression" dxfId="4001" priority="154">
      <formula>AND(IF($Q8=3,1,0),IF($X8&lt;30,1,0))</formula>
    </cfRule>
    <cfRule type="expression" dxfId="4000" priority="155">
      <formula>AND(IF($Q8=3,1,IF($Q8=4,1,0)),IF($F8&lt;=85,1,0))</formula>
    </cfRule>
  </conditionalFormatting>
  <conditionalFormatting sqref="X8">
    <cfRule type="expression" dxfId="3999" priority="148">
      <formula>AND(IF(OR($Q8=1,$Q8=2),1,0),IF($X8&lt;=20,1,0))</formula>
    </cfRule>
    <cfRule type="expression" dxfId="3998" priority="149">
      <formula>AND(IF($Q8=2,1,0),IF($X8&lt;30,1,0))</formula>
    </cfRule>
    <cfRule type="expression" dxfId="3997" priority="150">
      <formula>AND(IF($Q8=3,1,0),IF($X8&lt;30,1,0))</formula>
    </cfRule>
    <cfRule type="expression" dxfId="3996" priority="151">
      <formula>AND(IF($Q8=3,1,IF($Q8=4,1,0)),IF($F8&lt;=85,1,0))</formula>
    </cfRule>
  </conditionalFormatting>
  <conditionalFormatting sqref="AI8">
    <cfRule type="expression" dxfId="3995" priority="144">
      <formula>AND(IF(OR($Q8=1,$Q8=2),1,0),IF($X8&lt;=20,1,0))</formula>
    </cfRule>
    <cfRule type="expression" dxfId="3994" priority="145">
      <formula>AND(IF($Q8=2,1,0),IF($X8&lt;30,1,0))</formula>
    </cfRule>
    <cfRule type="expression" dxfId="3993" priority="146">
      <formula>AND(IF($Q8=3,1,0),IF($X8&lt;30,1,0))</formula>
    </cfRule>
    <cfRule type="expression" dxfId="3992" priority="147">
      <formula>AND(IF($Q8=3,1,IF($Q8=4,1,0)),IF($F8&lt;=85,1,0))</formula>
    </cfRule>
  </conditionalFormatting>
  <conditionalFormatting sqref="AV9">
    <cfRule type="expression" dxfId="3991" priority="142">
      <formula>AV9="X"</formula>
    </cfRule>
    <cfRule type="expression" dxfId="3990" priority="143">
      <formula>AV9="후보"</formula>
    </cfRule>
  </conditionalFormatting>
  <conditionalFormatting sqref="AC9 N9">
    <cfRule type="cellIs" dxfId="3989" priority="139" operator="greaterThan">
      <formula>0.9</formula>
    </cfRule>
    <cfRule type="cellIs" dxfId="3988" priority="140" operator="greaterThan">
      <formula>0.85</formula>
    </cfRule>
  </conditionalFormatting>
  <conditionalFormatting sqref="AV10">
    <cfRule type="expression" dxfId="3987" priority="137">
      <formula>AV10="X"</formula>
    </cfRule>
    <cfRule type="expression" dxfId="3986" priority="138">
      <formula>AV10="후보"</formula>
    </cfRule>
  </conditionalFormatting>
  <conditionalFormatting sqref="AC10">
    <cfRule type="cellIs" dxfId="3985" priority="134" operator="greaterThan">
      <formula>0.9</formula>
    </cfRule>
    <cfRule type="cellIs" dxfId="3984" priority="135" operator="greaterThan">
      <formula>0.85</formula>
    </cfRule>
  </conditionalFormatting>
  <conditionalFormatting sqref="N10">
    <cfRule type="cellIs" dxfId="3983" priority="132" operator="greaterThan">
      <formula>0.9</formula>
    </cfRule>
    <cfRule type="cellIs" dxfId="3982" priority="133" operator="greaterThan">
      <formula>0.85</formula>
    </cfRule>
  </conditionalFormatting>
  <conditionalFormatting sqref="E10">
    <cfRule type="expression" dxfId="3981" priority="128">
      <formula>AND(IF(OR($Q10=1,$Q10=2),1,0),IF($X10&lt;=20,1,0))</formula>
    </cfRule>
    <cfRule type="expression" dxfId="3980" priority="129">
      <formula>AND(IF($Q10=2,1,0),IF($X10&lt;30,1,0))</formula>
    </cfRule>
    <cfRule type="expression" dxfId="3979" priority="130">
      <formula>AND(IF($Q10=3,1,0),IF($X10&lt;30,1,0))</formula>
    </cfRule>
    <cfRule type="expression" dxfId="3978" priority="131">
      <formula>AND(IF($Q10=3,1,IF($Q10=4,1,0)),IF($F10&lt;=85,1,0))</formula>
    </cfRule>
  </conditionalFormatting>
  <conditionalFormatting sqref="X10">
    <cfRule type="expression" dxfId="3977" priority="124">
      <formula>AND(IF(OR($Q10=1,$Q10=2),1,0),IF($X10&lt;=20,1,0))</formula>
    </cfRule>
    <cfRule type="expression" dxfId="3976" priority="125">
      <formula>AND(IF($Q10=2,1,0),IF($X10&lt;30,1,0))</formula>
    </cfRule>
    <cfRule type="expression" dxfId="3975" priority="126">
      <formula>AND(IF($Q10=3,1,0),IF($X10&lt;30,1,0))</formula>
    </cfRule>
    <cfRule type="expression" dxfId="3974" priority="127">
      <formula>AND(IF($Q10=3,1,IF($Q10=4,1,0)),IF($F10&lt;=85,1,0))</formula>
    </cfRule>
  </conditionalFormatting>
  <conditionalFormatting sqref="AI10">
    <cfRule type="expression" dxfId="3973" priority="120">
      <formula>AND(IF(OR($Q10=1,$Q10=2),1,0),IF($X10&lt;=20,1,0))</formula>
    </cfRule>
    <cfRule type="expression" dxfId="3972" priority="121">
      <formula>AND(IF($Q10=2,1,0),IF($X10&lt;30,1,0))</formula>
    </cfRule>
    <cfRule type="expression" dxfId="3971" priority="122">
      <formula>AND(IF($Q10=3,1,0),IF($X10&lt;30,1,0))</formula>
    </cfRule>
    <cfRule type="expression" dxfId="3970" priority="123">
      <formula>AND(IF($Q10=3,1,IF($Q10=4,1,0)),IF($F10&lt;=85,1,0))</formula>
    </cfRule>
  </conditionalFormatting>
  <conditionalFormatting sqref="AV11">
    <cfRule type="expression" dxfId="3969" priority="118">
      <formula>AV11="X"</formula>
    </cfRule>
    <cfRule type="expression" dxfId="3968" priority="119">
      <formula>AV11="후보"</formula>
    </cfRule>
  </conditionalFormatting>
  <conditionalFormatting sqref="AC11">
    <cfRule type="cellIs" dxfId="3967" priority="115" operator="greaterThan">
      <formula>0.9</formula>
    </cfRule>
    <cfRule type="cellIs" dxfId="3966" priority="116" operator="greaterThan">
      <formula>0.85</formula>
    </cfRule>
  </conditionalFormatting>
  <conditionalFormatting sqref="N11">
    <cfRule type="cellIs" dxfId="3965" priority="113" operator="greaterThan">
      <formula>0.9</formula>
    </cfRule>
    <cfRule type="cellIs" dxfId="3964" priority="114" operator="greaterThan">
      <formula>0.85</formula>
    </cfRule>
  </conditionalFormatting>
  <conditionalFormatting sqref="E11">
    <cfRule type="expression" dxfId="3963" priority="109">
      <formula>AND(IF(OR($Q11=1,$Q11=2),1,0),IF($X11&lt;=20,1,0))</formula>
    </cfRule>
    <cfRule type="expression" dxfId="3962" priority="110">
      <formula>AND(IF($Q11=2,1,0),IF($X11&lt;30,1,0))</formula>
    </cfRule>
    <cfRule type="expression" dxfId="3961" priority="111">
      <formula>AND(IF($Q11=3,1,0),IF($X11&lt;30,1,0))</formula>
    </cfRule>
    <cfRule type="expression" dxfId="3960" priority="112">
      <formula>AND(IF($Q11=3,1,IF($Q11=4,1,0)),IF($F11&lt;=85,1,0))</formula>
    </cfRule>
  </conditionalFormatting>
  <conditionalFormatting sqref="X11">
    <cfRule type="expression" dxfId="3959" priority="105">
      <formula>AND(IF(OR($Q11=1,$Q11=2),1,0),IF($X11&lt;=20,1,0))</formula>
    </cfRule>
    <cfRule type="expression" dxfId="3958" priority="106">
      <formula>AND(IF($Q11=2,1,0),IF($X11&lt;30,1,0))</formula>
    </cfRule>
    <cfRule type="expression" dxfId="3957" priority="107">
      <formula>AND(IF($Q11=3,1,0),IF($X11&lt;30,1,0))</formula>
    </cfRule>
    <cfRule type="expression" dxfId="3956" priority="108">
      <formula>AND(IF($Q11=3,1,IF($Q11=4,1,0)),IF($F11&lt;=85,1,0))</formula>
    </cfRule>
  </conditionalFormatting>
  <conditionalFormatting sqref="AI11">
    <cfRule type="expression" dxfId="3955" priority="101">
      <formula>AND(IF(OR($Q11=1,$Q11=2),1,0),IF($X11&lt;=20,1,0))</formula>
    </cfRule>
    <cfRule type="expression" dxfId="3954" priority="102">
      <formula>AND(IF($Q11=2,1,0),IF($X11&lt;30,1,0))</formula>
    </cfRule>
    <cfRule type="expression" dxfId="3953" priority="103">
      <formula>AND(IF($Q11=3,1,0),IF($X11&lt;30,1,0))</formula>
    </cfRule>
    <cfRule type="expression" dxfId="3952" priority="104">
      <formula>AND(IF($Q11=3,1,IF($Q11=4,1,0)),IF($F11&lt;=85,1,0))</formula>
    </cfRule>
  </conditionalFormatting>
  <conditionalFormatting sqref="AV12">
    <cfRule type="expression" dxfId="3951" priority="99">
      <formula>AV12="X"</formula>
    </cfRule>
    <cfRule type="expression" dxfId="3950" priority="100">
      <formula>AV12="후보"</formula>
    </cfRule>
  </conditionalFormatting>
  <conditionalFormatting sqref="AC12">
    <cfRule type="cellIs" dxfId="3949" priority="96" operator="greaterThan">
      <formula>0.9</formula>
    </cfRule>
    <cfRule type="cellIs" dxfId="3948" priority="97" operator="greaterThan">
      <formula>0.85</formula>
    </cfRule>
  </conditionalFormatting>
  <conditionalFormatting sqref="N12">
    <cfRule type="cellIs" dxfId="3947" priority="94" operator="greaterThan">
      <formula>0.9</formula>
    </cfRule>
    <cfRule type="cellIs" dxfId="3946" priority="95" operator="greaterThan">
      <formula>0.85</formula>
    </cfRule>
  </conditionalFormatting>
  <conditionalFormatting sqref="E12">
    <cfRule type="expression" dxfId="3945" priority="90">
      <formula>AND(IF(OR($Q12=1,$Q12=2),1,0),IF($X12&lt;=20,1,0))</formula>
    </cfRule>
    <cfRule type="expression" dxfId="3944" priority="91">
      <formula>AND(IF($Q12=2,1,0),IF($X12&lt;30,1,0))</formula>
    </cfRule>
    <cfRule type="expression" dxfId="3943" priority="92">
      <formula>AND(IF($Q12=3,1,0),IF($X12&lt;30,1,0))</formula>
    </cfRule>
    <cfRule type="expression" dxfId="3942" priority="93">
      <formula>AND(IF($Q12=3,1,IF($Q12=4,1,0)),IF($F12&lt;=85,1,0))</formula>
    </cfRule>
  </conditionalFormatting>
  <conditionalFormatting sqref="X12">
    <cfRule type="expression" dxfId="3941" priority="86">
      <formula>AND(IF(OR($Q12=1,$Q12=2),1,0),IF($X12&lt;=20,1,0))</formula>
    </cfRule>
    <cfRule type="expression" dxfId="3940" priority="87">
      <formula>AND(IF($Q12=2,1,0),IF($X12&lt;30,1,0))</formula>
    </cfRule>
    <cfRule type="expression" dxfId="3939" priority="88">
      <formula>AND(IF($Q12=3,1,0),IF($X12&lt;30,1,0))</formula>
    </cfRule>
    <cfRule type="expression" dxfId="3938" priority="89">
      <formula>AND(IF($Q12=3,1,IF($Q12=4,1,0)),IF($F12&lt;=85,1,0))</formula>
    </cfRule>
  </conditionalFormatting>
  <conditionalFormatting sqref="AI12">
    <cfRule type="expression" dxfId="3937" priority="82">
      <formula>AND(IF(OR($Q12=1,$Q12=2),1,0),IF($X12&lt;=20,1,0))</formula>
    </cfRule>
    <cfRule type="expression" dxfId="3936" priority="83">
      <formula>AND(IF($Q12=2,1,0),IF($X12&lt;30,1,0))</formula>
    </cfRule>
    <cfRule type="expression" dxfId="3935" priority="84">
      <formula>AND(IF($Q12=3,1,0),IF($X12&lt;30,1,0))</formula>
    </cfRule>
    <cfRule type="expression" dxfId="3934" priority="85">
      <formula>AND(IF($Q12=3,1,IF($Q12=4,1,0)),IF($F12&lt;=85,1,0))</formula>
    </cfRule>
  </conditionalFormatting>
  <conditionalFormatting sqref="AV13">
    <cfRule type="expression" dxfId="3933" priority="80">
      <formula>AV13="X"</formula>
    </cfRule>
    <cfRule type="expression" dxfId="3932" priority="81">
      <formula>AV13="후보"</formula>
    </cfRule>
  </conditionalFormatting>
  <conditionalFormatting sqref="AC13 N13">
    <cfRule type="cellIs" dxfId="3931" priority="77" operator="greaterThan">
      <formula>0.9</formula>
    </cfRule>
    <cfRule type="cellIs" dxfId="3930" priority="78" operator="greaterThan">
      <formula>0.85</formula>
    </cfRule>
  </conditionalFormatting>
  <conditionalFormatting sqref="AV14">
    <cfRule type="expression" dxfId="3929" priority="75">
      <formula>AV14="X"</formula>
    </cfRule>
    <cfRule type="expression" dxfId="3928" priority="76">
      <formula>AV14="후보"</formula>
    </cfRule>
  </conditionalFormatting>
  <conditionalFormatting sqref="AC14">
    <cfRule type="cellIs" dxfId="3927" priority="72" operator="greaterThan">
      <formula>0.9</formula>
    </cfRule>
    <cfRule type="cellIs" dxfId="3926" priority="73" operator="greaterThan">
      <formula>0.85</formula>
    </cfRule>
  </conditionalFormatting>
  <conditionalFormatting sqref="N14">
    <cfRule type="cellIs" dxfId="3925" priority="70" operator="greaterThan">
      <formula>0.9</formula>
    </cfRule>
    <cfRule type="cellIs" dxfId="3924" priority="71" operator="greaterThan">
      <formula>0.85</formula>
    </cfRule>
  </conditionalFormatting>
  <conditionalFormatting sqref="E14">
    <cfRule type="expression" dxfId="3923" priority="66">
      <formula>AND(IF(OR($Q14=1,$Q14=2),1,0),IF($X14&lt;=20,1,0))</formula>
    </cfRule>
    <cfRule type="expression" dxfId="3922" priority="67">
      <formula>AND(IF($Q14=2,1,0),IF($X14&lt;30,1,0))</formula>
    </cfRule>
    <cfRule type="expression" dxfId="3921" priority="68">
      <formula>AND(IF($Q14=3,1,0),IF($X14&lt;30,1,0))</formula>
    </cfRule>
    <cfRule type="expression" dxfId="3920" priority="69">
      <formula>AND(IF($Q14=3,1,IF($Q14=4,1,0)),IF($F14&lt;=85,1,0))</formula>
    </cfRule>
  </conditionalFormatting>
  <conditionalFormatting sqref="X14">
    <cfRule type="expression" dxfId="3919" priority="62">
      <formula>AND(IF(OR($Q14=1,$Q14=2),1,0),IF($X14&lt;=20,1,0))</formula>
    </cfRule>
    <cfRule type="expression" dxfId="3918" priority="63">
      <formula>AND(IF($Q14=2,1,0),IF($X14&lt;30,1,0))</formula>
    </cfRule>
    <cfRule type="expression" dxfId="3917" priority="64">
      <formula>AND(IF($Q14=3,1,0),IF($X14&lt;30,1,0))</formula>
    </cfRule>
    <cfRule type="expression" dxfId="3916" priority="65">
      <formula>AND(IF($Q14=3,1,IF($Q14=4,1,0)),IF($F14&lt;=85,1,0))</formula>
    </cfRule>
  </conditionalFormatting>
  <conditionalFormatting sqref="AI14">
    <cfRule type="expression" dxfId="3915" priority="58">
      <formula>AND(IF(OR($Q14=1,$Q14=2),1,0),IF($X14&lt;=20,1,0))</formula>
    </cfRule>
    <cfRule type="expression" dxfId="3914" priority="59">
      <formula>AND(IF($Q14=2,1,0),IF($X14&lt;30,1,0))</formula>
    </cfRule>
    <cfRule type="expression" dxfId="3913" priority="60">
      <formula>AND(IF($Q14=3,1,0),IF($X14&lt;30,1,0))</formula>
    </cfRule>
    <cfRule type="expression" dxfId="3912" priority="61">
      <formula>AND(IF($Q14=3,1,IF($Q14=4,1,0)),IF($F14&lt;=85,1,0))</formula>
    </cfRule>
  </conditionalFormatting>
  <conditionalFormatting sqref="AV15">
    <cfRule type="expression" dxfId="3911" priority="56">
      <formula>AV15="X"</formula>
    </cfRule>
    <cfRule type="expression" dxfId="3910" priority="57">
      <formula>AV15="후보"</formula>
    </cfRule>
  </conditionalFormatting>
  <conditionalFormatting sqref="AC15">
    <cfRule type="cellIs" dxfId="3909" priority="53" operator="greaterThan">
      <formula>0.9</formula>
    </cfRule>
    <cfRule type="cellIs" dxfId="3908" priority="54" operator="greaterThan">
      <formula>0.85</formula>
    </cfRule>
  </conditionalFormatting>
  <conditionalFormatting sqref="N15">
    <cfRule type="cellIs" dxfId="3907" priority="51" operator="greaterThan">
      <formula>0.9</formula>
    </cfRule>
    <cfRule type="cellIs" dxfId="3906" priority="52" operator="greaterThan">
      <formula>0.85</formula>
    </cfRule>
  </conditionalFormatting>
  <conditionalFormatting sqref="E15">
    <cfRule type="expression" dxfId="3905" priority="47">
      <formula>AND(IF(OR($Q15=1,$Q15=2),1,0),IF($X15&lt;=20,1,0))</formula>
    </cfRule>
    <cfRule type="expression" dxfId="3904" priority="48">
      <formula>AND(IF($Q15=2,1,0),IF($X15&lt;30,1,0))</formula>
    </cfRule>
    <cfRule type="expression" dxfId="3903" priority="49">
      <formula>AND(IF($Q15=3,1,0),IF($X15&lt;30,1,0))</formula>
    </cfRule>
    <cfRule type="expression" dxfId="3902" priority="50">
      <formula>AND(IF($Q15=3,1,IF($Q15=4,1,0)),IF($F15&lt;=85,1,0))</formula>
    </cfRule>
  </conditionalFormatting>
  <conditionalFormatting sqref="X15">
    <cfRule type="expression" dxfId="3901" priority="43">
      <formula>AND(IF(OR($Q15=1,$Q15=2),1,0),IF($X15&lt;=20,1,0))</formula>
    </cfRule>
    <cfRule type="expression" dxfId="3900" priority="44">
      <formula>AND(IF($Q15=2,1,0),IF($X15&lt;30,1,0))</formula>
    </cfRule>
    <cfRule type="expression" dxfId="3899" priority="45">
      <formula>AND(IF($Q15=3,1,0),IF($X15&lt;30,1,0))</formula>
    </cfRule>
    <cfRule type="expression" dxfId="3898" priority="46">
      <formula>AND(IF($Q15=3,1,IF($Q15=4,1,0)),IF($F15&lt;=85,1,0))</formula>
    </cfRule>
  </conditionalFormatting>
  <conditionalFormatting sqref="AI15">
    <cfRule type="expression" dxfId="3897" priority="39">
      <formula>AND(IF(OR($Q15=1,$Q15=2),1,0),IF($X15&lt;=20,1,0))</formula>
    </cfRule>
    <cfRule type="expression" dxfId="3896" priority="40">
      <formula>AND(IF($Q15=2,1,0),IF($X15&lt;30,1,0))</formula>
    </cfRule>
    <cfRule type="expression" dxfId="3895" priority="41">
      <formula>AND(IF($Q15=3,1,0),IF($X15&lt;30,1,0))</formula>
    </cfRule>
    <cfRule type="expression" dxfId="3894" priority="42">
      <formula>AND(IF($Q15=3,1,IF($Q15=4,1,0)),IF($F15&lt;=85,1,0))</formula>
    </cfRule>
  </conditionalFormatting>
  <conditionalFormatting sqref="AV16">
    <cfRule type="expression" dxfId="3893" priority="37">
      <formula>AV16="X"</formula>
    </cfRule>
    <cfRule type="expression" dxfId="3892" priority="38">
      <formula>AV16="후보"</formula>
    </cfRule>
  </conditionalFormatting>
  <conditionalFormatting sqref="AC16">
    <cfRule type="cellIs" dxfId="3891" priority="34" operator="greaterThan">
      <formula>0.9</formula>
    </cfRule>
    <cfRule type="cellIs" dxfId="3890" priority="35" operator="greaterThan">
      <formula>0.85</formula>
    </cfRule>
  </conditionalFormatting>
  <conditionalFormatting sqref="N16">
    <cfRule type="cellIs" dxfId="3889" priority="32" operator="greaterThan">
      <formula>0.9</formula>
    </cfRule>
    <cfRule type="cellIs" dxfId="3888" priority="33" operator="greaterThan">
      <formula>0.85</formula>
    </cfRule>
  </conditionalFormatting>
  <conditionalFormatting sqref="E16">
    <cfRule type="expression" dxfId="3887" priority="28">
      <formula>AND(IF(OR($Q16=1,$Q16=2),1,0),IF($X16&lt;=20,1,0))</formula>
    </cfRule>
    <cfRule type="expression" dxfId="3886" priority="29">
      <formula>AND(IF($Q16=2,1,0),IF($X16&lt;30,1,0))</formula>
    </cfRule>
    <cfRule type="expression" dxfId="3885" priority="30">
      <formula>AND(IF($Q16=3,1,0),IF($X16&lt;30,1,0))</formula>
    </cfRule>
    <cfRule type="expression" dxfId="3884" priority="31">
      <formula>AND(IF($Q16=3,1,IF($Q16=4,1,0)),IF($F16&lt;=85,1,0))</formula>
    </cfRule>
  </conditionalFormatting>
  <conditionalFormatting sqref="X16">
    <cfRule type="expression" dxfId="3883" priority="24">
      <formula>AND(IF(OR($Q16=1,$Q16=2),1,0),IF($X16&lt;=20,1,0))</formula>
    </cfRule>
    <cfRule type="expression" dxfId="3882" priority="25">
      <formula>AND(IF($Q16=2,1,0),IF($X16&lt;30,1,0))</formula>
    </cfRule>
    <cfRule type="expression" dxfId="3881" priority="26">
      <formula>AND(IF($Q16=3,1,0),IF($X16&lt;30,1,0))</formula>
    </cfRule>
    <cfRule type="expression" dxfId="3880" priority="27">
      <formula>AND(IF($Q16=3,1,IF($Q16=4,1,0)),IF($F16&lt;=85,1,0))</formula>
    </cfRule>
  </conditionalFormatting>
  <conditionalFormatting sqref="AI16">
    <cfRule type="expression" dxfId="3879" priority="20">
      <formula>AND(IF(OR($Q16=1,$Q16=2),1,0),IF($X16&lt;=20,1,0))</formula>
    </cfRule>
    <cfRule type="expression" dxfId="3878" priority="21">
      <formula>AND(IF($Q16=2,1,0),IF($X16&lt;30,1,0))</formula>
    </cfRule>
    <cfRule type="expression" dxfId="3877" priority="22">
      <formula>AND(IF($Q16=3,1,0),IF($X16&lt;30,1,0))</formula>
    </cfRule>
    <cfRule type="expression" dxfId="3876" priority="23">
      <formula>AND(IF($Q16=3,1,IF($Q16=4,1,0)),IF($F16&lt;=85,1,0))</formula>
    </cfRule>
  </conditionalFormatting>
  <conditionalFormatting sqref="AV17">
    <cfRule type="expression" dxfId="3875" priority="18">
      <formula>AV17="X"</formula>
    </cfRule>
    <cfRule type="expression" dxfId="3874" priority="19">
      <formula>AV17="후보"</formula>
    </cfRule>
  </conditionalFormatting>
  <conditionalFormatting sqref="AC17">
    <cfRule type="cellIs" dxfId="3873" priority="15" operator="greaterThan">
      <formula>0.9</formula>
    </cfRule>
    <cfRule type="cellIs" dxfId="3872" priority="16" operator="greaterThan">
      <formula>0.85</formula>
    </cfRule>
  </conditionalFormatting>
  <conditionalFormatting sqref="N17">
    <cfRule type="cellIs" dxfId="3871" priority="13" operator="greaterThan">
      <formula>0.9</formula>
    </cfRule>
    <cfRule type="cellIs" dxfId="3870" priority="14" operator="greaterThan">
      <formula>0.85</formula>
    </cfRule>
  </conditionalFormatting>
  <conditionalFormatting sqref="E17">
    <cfRule type="expression" dxfId="3869" priority="9">
      <formula>AND(IF(OR($Q17=1,$Q17=2),1,0),IF($X17&lt;=20,1,0))</formula>
    </cfRule>
    <cfRule type="expression" dxfId="3868" priority="10">
      <formula>AND(IF($Q17=2,1,0),IF($X17&lt;30,1,0))</formula>
    </cfRule>
    <cfRule type="expression" dxfId="3867" priority="11">
      <formula>AND(IF($Q17=3,1,0),IF($X17&lt;30,1,0))</formula>
    </cfRule>
    <cfRule type="expression" dxfId="3866" priority="12">
      <formula>AND(IF($Q17=3,1,IF($Q17=4,1,0)),IF($F17&lt;=85,1,0))</formula>
    </cfRule>
  </conditionalFormatting>
  <conditionalFormatting sqref="X17">
    <cfRule type="expression" dxfId="3865" priority="5">
      <formula>AND(IF(OR($Q17=1,$Q17=2),1,0),IF($X17&lt;=20,1,0))</formula>
    </cfRule>
    <cfRule type="expression" dxfId="3864" priority="6">
      <formula>AND(IF($Q17=2,1,0),IF($X17&lt;30,1,0))</formula>
    </cfRule>
    <cfRule type="expression" dxfId="3863" priority="7">
      <formula>AND(IF($Q17=3,1,0),IF($X17&lt;30,1,0))</formula>
    </cfRule>
    <cfRule type="expression" dxfId="3862" priority="8">
      <formula>AND(IF($Q17=3,1,IF($Q17=4,1,0)),IF($F17&lt;=85,1,0))</formula>
    </cfRule>
  </conditionalFormatting>
  <conditionalFormatting sqref="AI17">
    <cfRule type="expression" dxfId="3861" priority="1">
      <formula>AND(IF(OR($Q17=1,$Q17=2),1,0),IF($X17&lt;=20,1,0))</formula>
    </cfRule>
    <cfRule type="expression" dxfId="3860" priority="2">
      <formula>AND(IF($Q17=2,1,0),IF($X17&lt;30,1,0))</formula>
    </cfRule>
    <cfRule type="expression" dxfId="3859" priority="3">
      <formula>AND(IF($Q17=3,1,0),IF($X17&lt;30,1,0))</formula>
    </cfRule>
    <cfRule type="expression" dxfId="3858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3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8" sqref="A38:XFD3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우아동3가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242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우아동3가 KTX전주역클래시아더스카이('21.02.,323^)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8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1064</v>
      </c>
      <c r="B6" s="10" t="s">
        <v>1597</v>
      </c>
      <c r="C6" s="87">
        <v>323</v>
      </c>
      <c r="D6" s="85">
        <v>80.8</v>
      </c>
      <c r="E6" s="86">
        <v>24</v>
      </c>
      <c r="F6" s="85">
        <v>59.2</v>
      </c>
      <c r="G6" s="17">
        <v>18</v>
      </c>
      <c r="H6" s="87">
        <v>27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59</v>
      </c>
      <c r="T6" s="5" t="s">
        <v>85</v>
      </c>
      <c r="U6" s="9"/>
      <c r="W6" s="85">
        <f t="shared" ref="W6:X10" si="2">D6</f>
        <v>80.8</v>
      </c>
      <c r="X6" s="86">
        <f t="shared" si="2"/>
        <v>24</v>
      </c>
      <c r="Y6" s="91">
        <f t="shared" ref="Y6:Z10" si="3">H6</f>
        <v>27</v>
      </c>
      <c r="Z6" s="89">
        <f t="shared" si="3"/>
        <v>0</v>
      </c>
      <c r="AA6" s="89">
        <f>K6</f>
        <v>0</v>
      </c>
      <c r="AB6" s="89">
        <f t="shared" ref="AB6:AD10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KTX전주역클래시아더스카이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1064</v>
      </c>
      <c r="B7" s="10" t="s">
        <v>1597</v>
      </c>
      <c r="C7" s="87">
        <v>323</v>
      </c>
      <c r="D7" s="85">
        <v>81.7</v>
      </c>
      <c r="E7" s="86">
        <v>25</v>
      </c>
      <c r="F7" s="85">
        <v>59.9</v>
      </c>
      <c r="G7" s="17">
        <v>18</v>
      </c>
      <c r="H7" s="87">
        <v>82</v>
      </c>
      <c r="I7" s="88">
        <v>37000</v>
      </c>
      <c r="J7" s="88" t="s">
        <v>82</v>
      </c>
      <c r="K7" s="88"/>
      <c r="L7" s="88"/>
      <c r="M7" s="89">
        <f>I7-K7</f>
        <v>37000</v>
      </c>
      <c r="N7" s="4">
        <f>IF(ISERROR(K7/I7),"",K7/I7)</f>
        <v>0</v>
      </c>
      <c r="O7" s="90">
        <f>I7/E7</f>
        <v>1480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190</v>
      </c>
      <c r="U7" s="9"/>
      <c r="W7" s="85">
        <f t="shared" si="2"/>
        <v>81.7</v>
      </c>
      <c r="X7" s="86">
        <f t="shared" si="2"/>
        <v>25</v>
      </c>
      <c r="Y7" s="91">
        <f t="shared" si="3"/>
        <v>82</v>
      </c>
      <c r="Z7" s="89">
        <f t="shared" si="3"/>
        <v>37000</v>
      </c>
      <c r="AA7" s="89">
        <f>K7</f>
        <v>0</v>
      </c>
      <c r="AB7" s="89">
        <f t="shared" si="4"/>
        <v>37000</v>
      </c>
      <c r="AC7" s="4">
        <f t="shared" si="4"/>
        <v>0</v>
      </c>
      <c r="AD7" s="90">
        <f t="shared" si="4"/>
        <v>1480</v>
      </c>
      <c r="AE7" s="78" t="str">
        <f>S7</f>
        <v>계</v>
      </c>
      <c r="AF7" s="78" t="str">
        <f>Q7&amp;"/"&amp;R7</f>
        <v>3/2</v>
      </c>
      <c r="AH7" s="20" t="str">
        <f t="shared" si="1"/>
        <v>KTX전주역클래시아더스카이</v>
      </c>
      <c r="AI7" s="86">
        <f t="shared" si="0"/>
        <v>25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1064</v>
      </c>
      <c r="B8" s="10" t="s">
        <v>1597</v>
      </c>
      <c r="C8" s="87">
        <v>323</v>
      </c>
      <c r="D8" s="85">
        <v>95.8</v>
      </c>
      <c r="E8" s="86">
        <v>29</v>
      </c>
      <c r="F8" s="85">
        <v>72</v>
      </c>
      <c r="G8" s="17">
        <v>22</v>
      </c>
      <c r="H8" s="87">
        <v>53</v>
      </c>
      <c r="I8" s="88">
        <v>40000</v>
      </c>
      <c r="J8" s="88" t="s">
        <v>69</v>
      </c>
      <c r="K8" s="88"/>
      <c r="L8" s="88"/>
      <c r="M8" s="89">
        <f>I8-K8</f>
        <v>40000</v>
      </c>
      <c r="N8" s="4">
        <f>IF(ISERROR(K8/I8),"",K8/I8)</f>
        <v>0</v>
      </c>
      <c r="O8" s="90">
        <f>I8/E8</f>
        <v>1379.3103448275863</v>
      </c>
      <c r="P8" s="90">
        <f>K8/E8</f>
        <v>0</v>
      </c>
      <c r="Q8" s="78">
        <v>3</v>
      </c>
      <c r="R8" s="78">
        <v>2</v>
      </c>
      <c r="S8" s="78" t="s">
        <v>59</v>
      </c>
      <c r="T8" s="5">
        <v>95</v>
      </c>
      <c r="U8" s="9"/>
      <c r="W8" s="85">
        <f t="shared" si="2"/>
        <v>95.8</v>
      </c>
      <c r="X8" s="86">
        <f t="shared" si="2"/>
        <v>29</v>
      </c>
      <c r="Y8" s="91">
        <f t="shared" si="3"/>
        <v>53</v>
      </c>
      <c r="Z8" s="89">
        <f t="shared" si="3"/>
        <v>40000</v>
      </c>
      <c r="AA8" s="89">
        <f>K8</f>
        <v>0</v>
      </c>
      <c r="AB8" s="89">
        <f t="shared" si="4"/>
        <v>40000</v>
      </c>
      <c r="AC8" s="4">
        <f t="shared" si="4"/>
        <v>0</v>
      </c>
      <c r="AD8" s="90">
        <f t="shared" si="4"/>
        <v>1379.3103448275863</v>
      </c>
      <c r="AE8" s="78" t="str">
        <f>S8</f>
        <v>계</v>
      </c>
      <c r="AF8" s="78" t="str">
        <f>Q8&amp;"/"&amp;R8</f>
        <v>3/2</v>
      </c>
      <c r="AH8" s="20" t="str">
        <f t="shared" si="1"/>
        <v>KTX전주역클래시아더스카이</v>
      </c>
      <c r="AI8" s="86">
        <f t="shared" si="0"/>
        <v>29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X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1064</v>
      </c>
      <c r="B9" s="10" t="s">
        <v>1597</v>
      </c>
      <c r="C9" s="87">
        <v>323</v>
      </c>
      <c r="D9" s="85">
        <v>112</v>
      </c>
      <c r="E9" s="86">
        <v>34</v>
      </c>
      <c r="F9" s="85">
        <v>84.6</v>
      </c>
      <c r="G9" s="17">
        <v>26</v>
      </c>
      <c r="H9" s="87">
        <v>109</v>
      </c>
      <c r="I9" s="88">
        <v>53000</v>
      </c>
      <c r="J9" s="88" t="s">
        <v>69</v>
      </c>
      <c r="K9" s="88">
        <v>33000</v>
      </c>
      <c r="L9" s="88" t="s">
        <v>83</v>
      </c>
      <c r="M9" s="89">
        <f>I9-K9</f>
        <v>20000</v>
      </c>
      <c r="N9" s="4">
        <f>IF(ISERROR(K9/I9),"",K9/I9)</f>
        <v>0.62264150943396224</v>
      </c>
      <c r="O9" s="90">
        <f>I9/E9</f>
        <v>1558.8235294117646</v>
      </c>
      <c r="P9" s="90">
        <f>K9/E9</f>
        <v>970.58823529411768</v>
      </c>
      <c r="Q9" s="78">
        <v>3</v>
      </c>
      <c r="R9" s="78">
        <v>2</v>
      </c>
      <c r="S9" s="78" t="s">
        <v>59</v>
      </c>
      <c r="T9" s="5" t="s">
        <v>109</v>
      </c>
      <c r="U9" s="9"/>
      <c r="W9" s="85">
        <f t="shared" si="2"/>
        <v>112</v>
      </c>
      <c r="X9" s="86">
        <f t="shared" si="2"/>
        <v>34</v>
      </c>
      <c r="Y9" s="91">
        <f t="shared" si="3"/>
        <v>109</v>
      </c>
      <c r="Z9" s="89">
        <f t="shared" si="3"/>
        <v>53000</v>
      </c>
      <c r="AA9" s="89">
        <f>K9</f>
        <v>33000</v>
      </c>
      <c r="AB9" s="89">
        <f t="shared" si="4"/>
        <v>20000</v>
      </c>
      <c r="AC9" s="4">
        <f t="shared" si="4"/>
        <v>0.62264150943396224</v>
      </c>
      <c r="AD9" s="90">
        <f t="shared" si="4"/>
        <v>1558.8235294117646</v>
      </c>
      <c r="AE9" s="78" t="str">
        <f>S9</f>
        <v>계</v>
      </c>
      <c r="AF9" s="78" t="str">
        <f>Q9&amp;"/"&amp;R9</f>
        <v>3/2</v>
      </c>
      <c r="AH9" s="20" t="str">
        <f t="shared" si="1"/>
        <v>KTX전주역클래시아더스카이</v>
      </c>
      <c r="AI9" s="86">
        <f t="shared" si="0"/>
        <v>34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>X</v>
      </c>
      <c r="AP9" s="78" t="str">
        <f>IF(I9="","",IF(I9&lt;=$AP$1,"O","X"))</f>
        <v>X</v>
      </c>
      <c r="AQ9" s="78" t="str">
        <f>IF(O9="","",IF(O9&lt;=$AQ$1,"O","X"))</f>
        <v>X</v>
      </c>
      <c r="AR9" s="78" t="str">
        <f>IF(M9="","",IF(M9&lt;=$AR$1,"O","X"))</f>
        <v>X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>X</v>
      </c>
    </row>
    <row r="10" spans="1:48" x14ac:dyDescent="0.3">
      <c r="A10" s="9" t="s">
        <v>1064</v>
      </c>
      <c r="B10" s="10" t="s">
        <v>1597</v>
      </c>
      <c r="C10" s="87">
        <v>323</v>
      </c>
      <c r="D10" s="85">
        <v>111.5</v>
      </c>
      <c r="E10" s="86">
        <v>34</v>
      </c>
      <c r="F10" s="85">
        <v>84.3</v>
      </c>
      <c r="G10" s="17">
        <v>25</v>
      </c>
      <c r="H10" s="87">
        <v>52</v>
      </c>
      <c r="I10" s="88">
        <v>50000</v>
      </c>
      <c r="J10" s="88" t="s">
        <v>69</v>
      </c>
      <c r="K10" s="88"/>
      <c r="L10" s="88"/>
      <c r="M10" s="89">
        <f>I10-K10</f>
        <v>50000</v>
      </c>
      <c r="N10" s="4">
        <f>IF(ISERROR(K10/I10),"",K10/I10)</f>
        <v>0</v>
      </c>
      <c r="O10" s="90">
        <f>I10/E10</f>
        <v>1470.5882352941176</v>
      </c>
      <c r="P10" s="90">
        <f>K10/E10</f>
        <v>0</v>
      </c>
      <c r="Q10" s="78">
        <v>3</v>
      </c>
      <c r="R10" s="78">
        <v>2</v>
      </c>
      <c r="S10" s="78" t="s">
        <v>59</v>
      </c>
      <c r="T10" s="5" t="s">
        <v>110</v>
      </c>
      <c r="U10" s="9"/>
      <c r="W10" s="85">
        <f t="shared" si="2"/>
        <v>111.5</v>
      </c>
      <c r="X10" s="86">
        <f t="shared" si="2"/>
        <v>34</v>
      </c>
      <c r="Y10" s="91">
        <f t="shared" si="3"/>
        <v>52</v>
      </c>
      <c r="Z10" s="89">
        <f t="shared" si="3"/>
        <v>50000</v>
      </c>
      <c r="AA10" s="89">
        <f>K10</f>
        <v>0</v>
      </c>
      <c r="AB10" s="89">
        <f t="shared" si="4"/>
        <v>50000</v>
      </c>
      <c r="AC10" s="4">
        <f t="shared" si="4"/>
        <v>0</v>
      </c>
      <c r="AD10" s="90">
        <f t="shared" si="4"/>
        <v>1470.5882352941176</v>
      </c>
      <c r="AE10" s="78" t="str">
        <f>S10</f>
        <v>계</v>
      </c>
      <c r="AF10" s="78" t="str">
        <f>Q10&amp;"/"&amp;R10</f>
        <v>3/2</v>
      </c>
      <c r="AH10" s="20" t="str">
        <f t="shared" si="1"/>
        <v>KTX전주역클래시아더스카이</v>
      </c>
      <c r="AI10" s="86">
        <f t="shared" si="0"/>
        <v>34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우아동3가 우아럭키('92.03.,480^)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1073</v>
      </c>
      <c r="B12" s="10" t="s">
        <v>1598</v>
      </c>
      <c r="C12" s="87">
        <v>480</v>
      </c>
      <c r="D12" s="85">
        <v>102.9</v>
      </c>
      <c r="E12" s="86">
        <v>31</v>
      </c>
      <c r="F12" s="85">
        <v>84.9</v>
      </c>
      <c r="G12" s="17">
        <v>26</v>
      </c>
      <c r="H12" s="87">
        <v>300</v>
      </c>
      <c r="I12" s="88"/>
      <c r="J12" s="88"/>
      <c r="K12" s="88"/>
      <c r="L12" s="88"/>
      <c r="M12" s="89">
        <f>I12-K12</f>
        <v>0</v>
      </c>
      <c r="N12" s="4" t="str">
        <f>IF(ISERROR(K12/I12),"",K12/I12)</f>
        <v/>
      </c>
      <c r="O12" s="90">
        <f>I12/E12</f>
        <v>0</v>
      </c>
      <c r="P12" s="90">
        <f>K12/E12</f>
        <v>0</v>
      </c>
      <c r="Q12" s="78">
        <v>3</v>
      </c>
      <c r="R12" s="78">
        <v>2</v>
      </c>
      <c r="S12" s="78" t="s">
        <v>59</v>
      </c>
      <c r="T12" s="5">
        <v>102</v>
      </c>
      <c r="U12" s="9"/>
      <c r="W12" s="85">
        <f t="shared" ref="W12:X15" si="5">D12</f>
        <v>102.9</v>
      </c>
      <c r="X12" s="86">
        <f t="shared" si="5"/>
        <v>31</v>
      </c>
      <c r="Y12" s="91">
        <f t="shared" ref="Y12:Z15" si="6">H12</f>
        <v>300</v>
      </c>
      <c r="Z12" s="89">
        <f t="shared" si="6"/>
        <v>0</v>
      </c>
      <c r="AA12" s="89">
        <f>K12</f>
        <v>0</v>
      </c>
      <c r="AB12" s="89">
        <f t="shared" ref="AB12:AD15" si="7">M12</f>
        <v>0</v>
      </c>
      <c r="AC12" s="4" t="str">
        <f t="shared" si="7"/>
        <v/>
      </c>
      <c r="AD12" s="90">
        <f t="shared" si="7"/>
        <v>0</v>
      </c>
      <c r="AE12" s="78" t="str">
        <f>S12</f>
        <v>계</v>
      </c>
      <c r="AF12" s="78" t="str">
        <f>Q12&amp;"/"&amp;R12</f>
        <v>3/2</v>
      </c>
      <c r="AH12" s="20" t="str">
        <f t="shared" si="1"/>
        <v>우아럭키</v>
      </c>
      <c r="AI12" s="86">
        <f t="shared" si="0"/>
        <v>31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/>
      </c>
      <c r="AP12" s="78" t="str">
        <f>IF(I12="","",IF(I12&lt;=$AP$1,"O","X"))</f>
        <v/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/>
      </c>
    </row>
    <row r="13" spans="1:48" x14ac:dyDescent="0.3">
      <c r="A13" s="9" t="s">
        <v>1073</v>
      </c>
      <c r="B13" s="10" t="s">
        <v>1598</v>
      </c>
      <c r="C13" s="87">
        <v>480</v>
      </c>
      <c r="D13" s="85">
        <v>130.19999999999999</v>
      </c>
      <c r="E13" s="86">
        <v>39</v>
      </c>
      <c r="F13" s="85">
        <v>110.8</v>
      </c>
      <c r="G13" s="17">
        <v>34</v>
      </c>
      <c r="H13" s="87">
        <v>60</v>
      </c>
      <c r="I13" s="88"/>
      <c r="J13" s="88"/>
      <c r="K13" s="88"/>
      <c r="L13" s="88"/>
      <c r="M13" s="89">
        <f>I13-K13</f>
        <v>0</v>
      </c>
      <c r="N13" s="4" t="str">
        <f>IF(ISERROR(K13/I13),"",K13/I13)</f>
        <v/>
      </c>
      <c r="O13" s="90">
        <f>I13/E13</f>
        <v>0</v>
      </c>
      <c r="P13" s="90">
        <f>K13/E13</f>
        <v>0</v>
      </c>
      <c r="Q13" s="78">
        <v>4</v>
      </c>
      <c r="R13" s="78">
        <v>2</v>
      </c>
      <c r="S13" s="78" t="s">
        <v>59</v>
      </c>
      <c r="T13" s="5">
        <v>130</v>
      </c>
      <c r="U13" s="9"/>
      <c r="W13" s="85">
        <f t="shared" si="5"/>
        <v>130.19999999999999</v>
      </c>
      <c r="X13" s="86">
        <f t="shared" si="5"/>
        <v>39</v>
      </c>
      <c r="Y13" s="91">
        <f t="shared" si="6"/>
        <v>60</v>
      </c>
      <c r="Z13" s="89">
        <f t="shared" si="6"/>
        <v>0</v>
      </c>
      <c r="AA13" s="89">
        <f>K13</f>
        <v>0</v>
      </c>
      <c r="AB13" s="89">
        <f t="shared" si="7"/>
        <v>0</v>
      </c>
      <c r="AC13" s="4" t="str">
        <f t="shared" si="7"/>
        <v/>
      </c>
      <c r="AD13" s="90">
        <f t="shared" si="7"/>
        <v>0</v>
      </c>
      <c r="AE13" s="78" t="str">
        <f>S13</f>
        <v>계</v>
      </c>
      <c r="AF13" s="78" t="str">
        <f>Q13&amp;"/"&amp;R13</f>
        <v>4/2</v>
      </c>
      <c r="AH13" s="20" t="str">
        <f t="shared" si="1"/>
        <v>우아럭키</v>
      </c>
      <c r="AI13" s="86">
        <f t="shared" si="0"/>
        <v>39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/>
      </c>
      <c r="AP13" s="78" t="str">
        <f>IF(I13="","",IF(I13&lt;=$AP$1,"O","X"))</f>
        <v/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/>
      </c>
    </row>
    <row r="14" spans="1:48" x14ac:dyDescent="0.3">
      <c r="A14" s="9" t="s">
        <v>1073</v>
      </c>
      <c r="B14" s="10" t="s">
        <v>1598</v>
      </c>
      <c r="C14" s="87">
        <v>480</v>
      </c>
      <c r="D14" s="85">
        <v>150</v>
      </c>
      <c r="E14" s="86">
        <v>45</v>
      </c>
      <c r="F14" s="85">
        <v>128.30000000000001</v>
      </c>
      <c r="G14" s="17">
        <v>39</v>
      </c>
      <c r="H14" s="87">
        <v>60</v>
      </c>
      <c r="I14" s="88"/>
      <c r="J14" s="88"/>
      <c r="K14" s="88"/>
      <c r="L14" s="88"/>
      <c r="M14" s="89">
        <f>I14-K14</f>
        <v>0</v>
      </c>
      <c r="N14" s="4" t="str">
        <f>IF(ISERROR(K14/I14),"",K14/I14)</f>
        <v/>
      </c>
      <c r="O14" s="90">
        <f>I14/E14</f>
        <v>0</v>
      </c>
      <c r="P14" s="90">
        <f>K14/E14</f>
        <v>0</v>
      </c>
      <c r="Q14" s="78">
        <v>4</v>
      </c>
      <c r="R14" s="78">
        <v>2</v>
      </c>
      <c r="S14" s="78" t="s">
        <v>59</v>
      </c>
      <c r="T14" s="5">
        <v>149</v>
      </c>
      <c r="U14" s="9"/>
      <c r="W14" s="85">
        <f t="shared" si="5"/>
        <v>150</v>
      </c>
      <c r="X14" s="86">
        <f t="shared" si="5"/>
        <v>45</v>
      </c>
      <c r="Y14" s="91">
        <f t="shared" si="6"/>
        <v>60</v>
      </c>
      <c r="Z14" s="89">
        <f t="shared" si="6"/>
        <v>0</v>
      </c>
      <c r="AA14" s="89">
        <f>K14</f>
        <v>0</v>
      </c>
      <c r="AB14" s="89">
        <f t="shared" si="7"/>
        <v>0</v>
      </c>
      <c r="AC14" s="4" t="str">
        <f t="shared" si="7"/>
        <v/>
      </c>
      <c r="AD14" s="90">
        <f t="shared" si="7"/>
        <v>0</v>
      </c>
      <c r="AE14" s="78" t="str">
        <f>S14</f>
        <v>계</v>
      </c>
      <c r="AF14" s="78" t="str">
        <f>Q14&amp;"/"&amp;R14</f>
        <v>4/2</v>
      </c>
      <c r="AH14" s="20" t="str">
        <f t="shared" si="1"/>
        <v>우아럭키</v>
      </c>
      <c r="AI14" s="86">
        <f t="shared" si="0"/>
        <v>45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/>
      </c>
      <c r="AP14" s="78" t="str">
        <f>IF(I14="","",IF(I14&lt;=$AP$1,"O","X"))</f>
        <v/>
      </c>
      <c r="AQ14" s="78" t="str">
        <f>IF(O14="","",IF(O14&lt;=$AQ$1,"O","X"))</f>
        <v>O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X</v>
      </c>
      <c r="AU14" s="78" t="str">
        <f>IF(C14="","",IF(C14&gt;=$AU$1,"O","X"))</f>
        <v>O</v>
      </c>
      <c r="AV14" s="78" t="str">
        <f>IF(AO14="","",IF(AND(AO14="O",AP14="O",AR14="O",AT14="O",AU14="O"),"후보","X"))</f>
        <v/>
      </c>
    </row>
    <row r="15" spans="1:48" x14ac:dyDescent="0.3">
      <c r="A15" s="9" t="s">
        <v>1073</v>
      </c>
      <c r="B15" s="10" t="s">
        <v>1598</v>
      </c>
      <c r="C15" s="87">
        <v>480</v>
      </c>
      <c r="D15" s="85">
        <v>187.6</v>
      </c>
      <c r="E15" s="86">
        <v>57</v>
      </c>
      <c r="F15" s="85">
        <v>162.9</v>
      </c>
      <c r="G15" s="17">
        <v>49</v>
      </c>
      <c r="H15" s="87">
        <v>60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4</v>
      </c>
      <c r="R15" s="78">
        <v>2</v>
      </c>
      <c r="S15" s="78" t="s">
        <v>59</v>
      </c>
      <c r="T15" s="5">
        <v>187</v>
      </c>
      <c r="U15" s="9"/>
      <c r="W15" s="85">
        <f t="shared" si="5"/>
        <v>187.6</v>
      </c>
      <c r="X15" s="86">
        <f t="shared" si="5"/>
        <v>57</v>
      </c>
      <c r="Y15" s="91">
        <f t="shared" si="6"/>
        <v>60</v>
      </c>
      <c r="Z15" s="89">
        <f t="shared" si="6"/>
        <v>0</v>
      </c>
      <c r="AA15" s="89">
        <f>K15</f>
        <v>0</v>
      </c>
      <c r="AB15" s="89">
        <f t="shared" si="7"/>
        <v>0</v>
      </c>
      <c r="AC15" s="4" t="str">
        <f t="shared" si="7"/>
        <v/>
      </c>
      <c r="AD15" s="90">
        <f t="shared" si="7"/>
        <v>0</v>
      </c>
      <c r="AE15" s="78" t="str">
        <f>S15</f>
        <v>계</v>
      </c>
      <c r="AF15" s="78" t="str">
        <f>Q15&amp;"/"&amp;R15</f>
        <v>4/2</v>
      </c>
      <c r="AH15" s="20" t="str">
        <f t="shared" si="1"/>
        <v>우아럭키</v>
      </c>
      <c r="AI15" s="86">
        <f t="shared" si="0"/>
        <v>57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X</v>
      </c>
      <c r="AU15" s="78" t="str">
        <f>IF(C15="","",IF(C15&gt;=$AU$1,"O","X"))</f>
        <v>O</v>
      </c>
      <c r="AV15" s="78" t="str">
        <f>IF(AO15="","",IF(AND(AO15="O",AP15="O",AR15="O",AT15="O",AU15="O"),"후보","X"))</f>
        <v/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우아동3가 e편한세상우아('18.12.,750^)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1077</v>
      </c>
      <c r="B17" s="10" t="s">
        <v>1599</v>
      </c>
      <c r="C17" s="87">
        <v>750</v>
      </c>
      <c r="D17" s="85">
        <v>82.3</v>
      </c>
      <c r="E17" s="86">
        <v>25</v>
      </c>
      <c r="F17" s="85">
        <v>59.9</v>
      </c>
      <c r="G17" s="17">
        <v>18</v>
      </c>
      <c r="H17" s="87">
        <v>162</v>
      </c>
      <c r="I17" s="88">
        <v>35500</v>
      </c>
      <c r="J17" s="88" t="s">
        <v>68</v>
      </c>
      <c r="K17" s="88"/>
      <c r="L17" s="88"/>
      <c r="M17" s="89">
        <f>I17-K17</f>
        <v>35500</v>
      </c>
      <c r="N17" s="4">
        <f>IF(ISERROR(K17/I17),"",K17/I17)</f>
        <v>0</v>
      </c>
      <c r="O17" s="90">
        <f>I17/E17</f>
        <v>1420</v>
      </c>
      <c r="P17" s="90">
        <f>K17/E17</f>
        <v>0</v>
      </c>
      <c r="Q17" s="78">
        <v>3</v>
      </c>
      <c r="R17" s="78">
        <v>2</v>
      </c>
      <c r="S17" s="78" t="s">
        <v>59</v>
      </c>
      <c r="T17" s="5">
        <v>82</v>
      </c>
      <c r="U17" s="9"/>
      <c r="W17" s="85">
        <f t="shared" ref="W17:X20" si="8">D17</f>
        <v>82.3</v>
      </c>
      <c r="X17" s="86">
        <f t="shared" si="8"/>
        <v>25</v>
      </c>
      <c r="Y17" s="91">
        <f t="shared" ref="Y17:Z20" si="9">H17</f>
        <v>162</v>
      </c>
      <c r="Z17" s="89">
        <f t="shared" si="9"/>
        <v>35500</v>
      </c>
      <c r="AA17" s="89">
        <f>K17</f>
        <v>0</v>
      </c>
      <c r="AB17" s="89">
        <f t="shared" ref="AB17:AD20" si="10">M17</f>
        <v>35500</v>
      </c>
      <c r="AC17" s="4">
        <f t="shared" si="10"/>
        <v>0</v>
      </c>
      <c r="AD17" s="90">
        <f t="shared" si="10"/>
        <v>1420</v>
      </c>
      <c r="AE17" s="78" t="str">
        <f>S17</f>
        <v>계</v>
      </c>
      <c r="AF17" s="78" t="str">
        <f>Q17&amp;"/"&amp;R17</f>
        <v>3/2</v>
      </c>
      <c r="AH17" s="20" t="str">
        <f t="shared" si="1"/>
        <v>e편한세상우아</v>
      </c>
      <c r="AI17" s="86">
        <f t="shared" si="0"/>
        <v>25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1077</v>
      </c>
      <c r="B18" s="10" t="s">
        <v>1599</v>
      </c>
      <c r="C18" s="87">
        <v>750</v>
      </c>
      <c r="D18" s="85">
        <v>98.4</v>
      </c>
      <c r="E18" s="86">
        <v>30</v>
      </c>
      <c r="F18" s="85">
        <v>74.900000000000006</v>
      </c>
      <c r="G18" s="17">
        <v>23</v>
      </c>
      <c r="H18" s="87">
        <v>189</v>
      </c>
      <c r="I18" s="88">
        <v>45000</v>
      </c>
      <c r="J18" s="88" t="s">
        <v>127</v>
      </c>
      <c r="K18" s="88"/>
      <c r="L18" s="88"/>
      <c r="M18" s="89">
        <f>I18-K18</f>
        <v>45000</v>
      </c>
      <c r="N18" s="4">
        <f>IF(ISERROR(K18/I18),"",K18/I18)</f>
        <v>0</v>
      </c>
      <c r="O18" s="90">
        <f>I18/E18</f>
        <v>1500</v>
      </c>
      <c r="P18" s="90">
        <f>K18/E18</f>
        <v>0</v>
      </c>
      <c r="Q18" s="78">
        <v>3</v>
      </c>
      <c r="R18" s="78">
        <v>2</v>
      </c>
      <c r="S18" s="78" t="s">
        <v>59</v>
      </c>
      <c r="T18" s="5">
        <v>98</v>
      </c>
      <c r="U18" s="9"/>
      <c r="W18" s="85">
        <f t="shared" si="8"/>
        <v>98.4</v>
      </c>
      <c r="X18" s="86">
        <f t="shared" si="8"/>
        <v>30</v>
      </c>
      <c r="Y18" s="91">
        <f t="shared" si="9"/>
        <v>189</v>
      </c>
      <c r="Z18" s="89">
        <f t="shared" si="9"/>
        <v>45000</v>
      </c>
      <c r="AA18" s="89">
        <f>K18</f>
        <v>0</v>
      </c>
      <c r="AB18" s="89">
        <f t="shared" si="10"/>
        <v>45000</v>
      </c>
      <c r="AC18" s="4">
        <f t="shared" si="10"/>
        <v>0</v>
      </c>
      <c r="AD18" s="90">
        <f t="shared" si="10"/>
        <v>1500</v>
      </c>
      <c r="AE18" s="78" t="str">
        <f>S18</f>
        <v>계</v>
      </c>
      <c r="AF18" s="78" t="str">
        <f>Q18&amp;"/"&amp;R18</f>
        <v>3/2</v>
      </c>
      <c r="AH18" s="20" t="str">
        <f t="shared" si="1"/>
        <v>e편한세상우아</v>
      </c>
      <c r="AI18" s="86">
        <f t="shared" si="0"/>
        <v>30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O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O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1077</v>
      </c>
      <c r="B19" s="10" t="s">
        <v>1599</v>
      </c>
      <c r="C19" s="87">
        <v>750</v>
      </c>
      <c r="D19" s="85">
        <v>109.4</v>
      </c>
      <c r="E19" s="86">
        <v>33</v>
      </c>
      <c r="F19" s="85">
        <v>84.8</v>
      </c>
      <c r="G19" s="17">
        <v>26</v>
      </c>
      <c r="H19" s="87">
        <v>154</v>
      </c>
      <c r="I19" s="88">
        <v>50500</v>
      </c>
      <c r="J19" s="88" t="s">
        <v>68</v>
      </c>
      <c r="K19" s="88"/>
      <c r="L19" s="88"/>
      <c r="M19" s="89">
        <f>I19-K19</f>
        <v>50500</v>
      </c>
      <c r="N19" s="4">
        <f>IF(ISERROR(K19/I19),"",K19/I19)</f>
        <v>0</v>
      </c>
      <c r="O19" s="90">
        <f>I19/E19</f>
        <v>1530.3030303030303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 t="s">
        <v>70</v>
      </c>
      <c r="U19" s="9"/>
      <c r="W19" s="85">
        <f t="shared" si="8"/>
        <v>109.4</v>
      </c>
      <c r="X19" s="86">
        <f t="shared" si="8"/>
        <v>33</v>
      </c>
      <c r="Y19" s="91">
        <f t="shared" si="9"/>
        <v>154</v>
      </c>
      <c r="Z19" s="89">
        <f t="shared" si="9"/>
        <v>50500</v>
      </c>
      <c r="AA19" s="89">
        <f>K19</f>
        <v>0</v>
      </c>
      <c r="AB19" s="89">
        <f t="shared" si="10"/>
        <v>50500</v>
      </c>
      <c r="AC19" s="4">
        <f t="shared" si="10"/>
        <v>0</v>
      </c>
      <c r="AD19" s="90">
        <f t="shared" si="10"/>
        <v>1530.3030303030303</v>
      </c>
      <c r="AE19" s="78" t="str">
        <f>S19</f>
        <v>계</v>
      </c>
      <c r="AF19" s="78" t="str">
        <f>Q19&amp;"/"&amp;R19</f>
        <v>3/2</v>
      </c>
      <c r="AH19" s="20" t="str">
        <f t="shared" si="1"/>
        <v>e편한세상우아</v>
      </c>
      <c r="AI19" s="86">
        <f t="shared" si="0"/>
        <v>33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  <row r="20" spans="1:48" x14ac:dyDescent="0.3">
      <c r="A20" s="9" t="s">
        <v>1077</v>
      </c>
      <c r="B20" s="10" t="s">
        <v>1599</v>
      </c>
      <c r="C20" s="87">
        <v>750</v>
      </c>
      <c r="D20" s="85">
        <v>111.3</v>
      </c>
      <c r="E20" s="86">
        <v>34</v>
      </c>
      <c r="F20" s="85">
        <v>85</v>
      </c>
      <c r="G20" s="17">
        <v>26</v>
      </c>
      <c r="H20" s="87">
        <v>245</v>
      </c>
      <c r="I20" s="88">
        <v>48000</v>
      </c>
      <c r="J20" s="88" t="s">
        <v>126</v>
      </c>
      <c r="K20" s="88">
        <v>38000</v>
      </c>
      <c r="L20" s="88" t="s">
        <v>104</v>
      </c>
      <c r="M20" s="89">
        <f>I20-K20</f>
        <v>10000</v>
      </c>
      <c r="N20" s="4">
        <f>IF(ISERROR(K20/I20),"",K20/I20)</f>
        <v>0.79166666666666663</v>
      </c>
      <c r="O20" s="90">
        <f>I20/E20</f>
        <v>1411.7647058823529</v>
      </c>
      <c r="P20" s="90">
        <f>K20/E20</f>
        <v>1117.6470588235295</v>
      </c>
      <c r="Q20" s="78">
        <v>3</v>
      </c>
      <c r="R20" s="78">
        <v>2</v>
      </c>
      <c r="S20" s="78" t="s">
        <v>59</v>
      </c>
      <c r="T20" s="5" t="s">
        <v>110</v>
      </c>
      <c r="U20" s="9"/>
      <c r="W20" s="85">
        <f t="shared" si="8"/>
        <v>111.3</v>
      </c>
      <c r="X20" s="86">
        <f t="shared" si="8"/>
        <v>34</v>
      </c>
      <c r="Y20" s="91">
        <f t="shared" si="9"/>
        <v>245</v>
      </c>
      <c r="Z20" s="89">
        <f t="shared" si="9"/>
        <v>48000</v>
      </c>
      <c r="AA20" s="89">
        <f>K20</f>
        <v>38000</v>
      </c>
      <c r="AB20" s="89">
        <f t="shared" si="10"/>
        <v>10000</v>
      </c>
      <c r="AC20" s="4">
        <f t="shared" si="10"/>
        <v>0.79166666666666663</v>
      </c>
      <c r="AD20" s="90">
        <f t="shared" si="10"/>
        <v>1411.7647058823529</v>
      </c>
      <c r="AE20" s="78" t="str">
        <f>S20</f>
        <v>계</v>
      </c>
      <c r="AF20" s="78" t="str">
        <f>Q20&amp;"/"&amp;R20</f>
        <v>3/2</v>
      </c>
      <c r="AH20" s="20" t="str">
        <f t="shared" si="1"/>
        <v>e편한세상우아</v>
      </c>
      <c r="AI20" s="86">
        <f t="shared" si="0"/>
        <v>34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우아동3가 진흥하이츠('95.07.,371^)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1087</v>
      </c>
      <c r="B22" s="10" t="s">
        <v>1600</v>
      </c>
      <c r="C22" s="87">
        <v>371</v>
      </c>
      <c r="D22" s="85">
        <v>76.8</v>
      </c>
      <c r="E22" s="86">
        <v>23</v>
      </c>
      <c r="F22" s="85">
        <v>59.9</v>
      </c>
      <c r="G22" s="17">
        <v>18</v>
      </c>
      <c r="H22" s="87">
        <v>169</v>
      </c>
      <c r="I22" s="88">
        <v>10300</v>
      </c>
      <c r="J22" s="88" t="s">
        <v>82</v>
      </c>
      <c r="K22" s="88"/>
      <c r="L22" s="88"/>
      <c r="M22" s="89">
        <f>I22-K22</f>
        <v>10300</v>
      </c>
      <c r="N22" s="4">
        <f>IF(ISERROR(K22/I22),"",K22/I22)</f>
        <v>0</v>
      </c>
      <c r="O22" s="90">
        <f>I22/E22</f>
        <v>447.82608695652175</v>
      </c>
      <c r="P22" s="90">
        <f>K22/E22</f>
        <v>0</v>
      </c>
      <c r="Q22" s="78">
        <v>3</v>
      </c>
      <c r="R22" s="78">
        <v>1</v>
      </c>
      <c r="S22" s="78" t="s">
        <v>59</v>
      </c>
      <c r="T22" s="5" t="s">
        <v>191</v>
      </c>
      <c r="U22" s="9"/>
      <c r="W22" s="85">
        <f t="shared" ref="W22:X24" si="11">D22</f>
        <v>76.8</v>
      </c>
      <c r="X22" s="86">
        <f t="shared" si="11"/>
        <v>23</v>
      </c>
      <c r="Y22" s="91">
        <f t="shared" ref="Y22:Z24" si="12">H22</f>
        <v>169</v>
      </c>
      <c r="Z22" s="89">
        <f t="shared" si="12"/>
        <v>10300</v>
      </c>
      <c r="AA22" s="89">
        <f>K22</f>
        <v>0</v>
      </c>
      <c r="AB22" s="89">
        <f t="shared" ref="AB22:AD24" si="13">M22</f>
        <v>10300</v>
      </c>
      <c r="AC22" s="4">
        <f t="shared" si="13"/>
        <v>0</v>
      </c>
      <c r="AD22" s="90">
        <f t="shared" si="13"/>
        <v>447.82608695652175</v>
      </c>
      <c r="AE22" s="78" t="str">
        <f>S22</f>
        <v>계</v>
      </c>
      <c r="AF22" s="78" t="str">
        <f>Q22&amp;"/"&amp;R22</f>
        <v>3/1</v>
      </c>
      <c r="AH22" s="20" t="str">
        <f t="shared" si="1"/>
        <v>진흥하이츠</v>
      </c>
      <c r="AI22" s="86">
        <f t="shared" si="0"/>
        <v>23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O</v>
      </c>
      <c r="AQ22" s="78" t="str">
        <f>IF(O22="","",IF(O22&lt;=$AQ$1,"O","X"))</f>
        <v>O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O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1087</v>
      </c>
      <c r="B23" s="10" t="s">
        <v>1600</v>
      </c>
      <c r="C23" s="87">
        <v>371</v>
      </c>
      <c r="D23" s="85">
        <v>76.7</v>
      </c>
      <c r="E23" s="86">
        <v>23</v>
      </c>
      <c r="F23" s="85">
        <v>59.8</v>
      </c>
      <c r="G23" s="17">
        <v>18</v>
      </c>
      <c r="H23" s="87">
        <v>68</v>
      </c>
      <c r="I23" s="88">
        <v>10300</v>
      </c>
      <c r="J23" s="88" t="s">
        <v>107</v>
      </c>
      <c r="K23" s="88"/>
      <c r="L23" s="88"/>
      <c r="M23" s="89">
        <f>I23-K23</f>
        <v>10300</v>
      </c>
      <c r="N23" s="4">
        <f>IF(ISERROR(K23/I23),"",K23/I23)</f>
        <v>0</v>
      </c>
      <c r="O23" s="90">
        <f>I23/E23</f>
        <v>447.82608695652175</v>
      </c>
      <c r="P23" s="90">
        <f>K23/E23</f>
        <v>0</v>
      </c>
      <c r="Q23" s="78">
        <v>3</v>
      </c>
      <c r="R23" s="78">
        <v>2</v>
      </c>
      <c r="S23" s="78" t="s">
        <v>59</v>
      </c>
      <c r="T23" s="5" t="s">
        <v>151</v>
      </c>
      <c r="U23" s="9"/>
      <c r="W23" s="85">
        <f t="shared" si="11"/>
        <v>76.7</v>
      </c>
      <c r="X23" s="86">
        <f t="shared" si="11"/>
        <v>23</v>
      </c>
      <c r="Y23" s="91">
        <f t="shared" si="12"/>
        <v>68</v>
      </c>
      <c r="Z23" s="89">
        <f t="shared" si="12"/>
        <v>10300</v>
      </c>
      <c r="AA23" s="89">
        <f>K23</f>
        <v>0</v>
      </c>
      <c r="AB23" s="89">
        <f t="shared" si="13"/>
        <v>10300</v>
      </c>
      <c r="AC23" s="4">
        <f t="shared" si="13"/>
        <v>0</v>
      </c>
      <c r="AD23" s="90">
        <f t="shared" si="13"/>
        <v>447.82608695652175</v>
      </c>
      <c r="AE23" s="78" t="str">
        <f>S23</f>
        <v>계</v>
      </c>
      <c r="AF23" s="78" t="str">
        <f>Q23&amp;"/"&amp;R23</f>
        <v>3/2</v>
      </c>
      <c r="AH23" s="20" t="str">
        <f t="shared" si="1"/>
        <v>진흥하이츠</v>
      </c>
      <c r="AI23" s="86">
        <f t="shared" si="0"/>
        <v>23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1087</v>
      </c>
      <c r="B24" s="10" t="s">
        <v>1600</v>
      </c>
      <c r="C24" s="87">
        <v>371</v>
      </c>
      <c r="D24" s="85">
        <v>108.1</v>
      </c>
      <c r="E24" s="86">
        <v>33</v>
      </c>
      <c r="F24" s="85">
        <v>84.4</v>
      </c>
      <c r="G24" s="17">
        <v>26</v>
      </c>
      <c r="H24" s="87">
        <v>134</v>
      </c>
      <c r="I24" s="88">
        <v>13500</v>
      </c>
      <c r="J24" s="88" t="s">
        <v>89</v>
      </c>
      <c r="K24" s="88"/>
      <c r="L24" s="88"/>
      <c r="M24" s="89">
        <f>I24-K24</f>
        <v>13500</v>
      </c>
      <c r="N24" s="4">
        <f>IF(ISERROR(K24/I24),"",K24/I24)</f>
        <v>0</v>
      </c>
      <c r="O24" s="90">
        <f>I24/E24</f>
        <v>409.09090909090907</v>
      </c>
      <c r="P24" s="90">
        <f>K24/E24</f>
        <v>0</v>
      </c>
      <c r="Q24" s="78">
        <v>3</v>
      </c>
      <c r="R24" s="78">
        <v>2</v>
      </c>
      <c r="S24" s="78" t="s">
        <v>59</v>
      </c>
      <c r="T24" s="5">
        <v>108</v>
      </c>
      <c r="U24" s="9"/>
      <c r="W24" s="85">
        <f t="shared" si="11"/>
        <v>108.1</v>
      </c>
      <c r="X24" s="86">
        <f t="shared" si="11"/>
        <v>33</v>
      </c>
      <c r="Y24" s="91">
        <f t="shared" si="12"/>
        <v>134</v>
      </c>
      <c r="Z24" s="89">
        <f t="shared" si="12"/>
        <v>13500</v>
      </c>
      <c r="AA24" s="89">
        <f>K24</f>
        <v>0</v>
      </c>
      <c r="AB24" s="89">
        <f t="shared" si="13"/>
        <v>13500</v>
      </c>
      <c r="AC24" s="4">
        <f t="shared" si="13"/>
        <v>0</v>
      </c>
      <c r="AD24" s="90">
        <f t="shared" si="13"/>
        <v>409.09090909090907</v>
      </c>
      <c r="AE24" s="78" t="str">
        <f>S24</f>
        <v>계</v>
      </c>
      <c r="AF24" s="78" t="str">
        <f>Q24&amp;"/"&amp;R24</f>
        <v>3/2</v>
      </c>
      <c r="AH24" s="20" t="str">
        <f t="shared" si="1"/>
        <v>진흥하이츠</v>
      </c>
      <c r="AI24" s="86">
        <f t="shared" si="0"/>
        <v>33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우아동3가 우신('88.01.,300^)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1108</v>
      </c>
      <c r="B26" s="10" t="s">
        <v>1562</v>
      </c>
      <c r="C26" s="87">
        <v>300</v>
      </c>
      <c r="D26" s="85">
        <v>68</v>
      </c>
      <c r="E26" s="86">
        <v>21</v>
      </c>
      <c r="F26" s="85">
        <v>57.8</v>
      </c>
      <c r="G26" s="17">
        <v>17</v>
      </c>
      <c r="H26" s="87">
        <v>250</v>
      </c>
      <c r="I26" s="88"/>
      <c r="J26" s="88"/>
      <c r="K26" s="88"/>
      <c r="L26" s="88"/>
      <c r="M26" s="89">
        <f>I26-K26</f>
        <v>0</v>
      </c>
      <c r="N26" s="4" t="str">
        <f>IF(ISERROR(K26/I26),"",K26/I26)</f>
        <v/>
      </c>
      <c r="O26" s="90">
        <f>I26/E26</f>
        <v>0</v>
      </c>
      <c r="P26" s="90">
        <f>K26/E26</f>
        <v>0</v>
      </c>
      <c r="Q26" s="78">
        <v>3</v>
      </c>
      <c r="R26" s="78">
        <v>1</v>
      </c>
      <c r="S26" s="78" t="s">
        <v>59</v>
      </c>
      <c r="T26" s="5" t="s">
        <v>192</v>
      </c>
      <c r="U26" s="9"/>
      <c r="W26" s="85">
        <f>D26</f>
        <v>68</v>
      </c>
      <c r="X26" s="86">
        <f>E26</f>
        <v>21</v>
      </c>
      <c r="Y26" s="91">
        <f>H26</f>
        <v>250</v>
      </c>
      <c r="Z26" s="89">
        <f>I26</f>
        <v>0</v>
      </c>
      <c r="AA26" s="89">
        <f>K26</f>
        <v>0</v>
      </c>
      <c r="AB26" s="89">
        <f t="shared" ref="AB26:AD27" si="14">M26</f>
        <v>0</v>
      </c>
      <c r="AC26" s="4" t="str">
        <f t="shared" si="14"/>
        <v/>
      </c>
      <c r="AD26" s="90">
        <f t="shared" si="14"/>
        <v>0</v>
      </c>
      <c r="AE26" s="78" t="str">
        <f>S26</f>
        <v>계</v>
      </c>
      <c r="AF26" s="78" t="str">
        <f>Q26&amp;"/"&amp;R26</f>
        <v>3/1</v>
      </c>
      <c r="AH26" s="20" t="str">
        <f t="shared" si="1"/>
        <v>우신</v>
      </c>
      <c r="AI26" s="86">
        <f t="shared" si="0"/>
        <v>21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/>
      </c>
      <c r="AP26" s="78" t="str">
        <f>IF(I26="","",IF(I26&lt;=$AP$1,"O","X"))</f>
        <v/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/>
      </c>
    </row>
    <row r="27" spans="1:48" x14ac:dyDescent="0.3">
      <c r="A27" s="9" t="s">
        <v>1108</v>
      </c>
      <c r="B27" s="10" t="s">
        <v>1562</v>
      </c>
      <c r="C27" s="87">
        <v>300</v>
      </c>
      <c r="D27" s="85">
        <v>69.099999999999994</v>
      </c>
      <c r="E27" s="86">
        <v>21</v>
      </c>
      <c r="F27" s="85">
        <v>58.9</v>
      </c>
      <c r="G27" s="17">
        <v>18</v>
      </c>
      <c r="H27" s="87">
        <v>50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1</v>
      </c>
      <c r="S27" s="78" t="s">
        <v>59</v>
      </c>
      <c r="T27" s="5" t="s">
        <v>193</v>
      </c>
      <c r="U27" s="9"/>
      <c r="W27" s="85">
        <f>D27</f>
        <v>69.099999999999994</v>
      </c>
      <c r="X27" s="86">
        <f>E27</f>
        <v>21</v>
      </c>
      <c r="Y27" s="91">
        <f>H27</f>
        <v>50</v>
      </c>
      <c r="Z27" s="89">
        <f>I27</f>
        <v>0</v>
      </c>
      <c r="AA27" s="89">
        <f>K27</f>
        <v>0</v>
      </c>
      <c r="AB27" s="89">
        <f t="shared" si="14"/>
        <v>0</v>
      </c>
      <c r="AC27" s="4" t="str">
        <f t="shared" si="14"/>
        <v/>
      </c>
      <c r="AD27" s="90">
        <f t="shared" si="14"/>
        <v>0</v>
      </c>
      <c r="AE27" s="78" t="str">
        <f>S27</f>
        <v>계</v>
      </c>
      <c r="AF27" s="78" t="str">
        <f>Q27&amp;"/"&amp;R27</f>
        <v>3/1</v>
      </c>
      <c r="AH27" s="20" t="str">
        <f t="shared" si="1"/>
        <v>우신</v>
      </c>
      <c r="AI27" s="86">
        <f t="shared" si="0"/>
        <v>21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O</v>
      </c>
      <c r="AV27" s="78" t="str">
        <f>IF(AO27="","",IF(AND(AO27="O",AP27="O",AR27="O",AT27="O",AU27="O"),"후보","X"))</f>
        <v/>
      </c>
    </row>
    <row r="28" spans="1:48" x14ac:dyDescent="0.3">
      <c r="A28" s="9"/>
      <c r="B28" s="78"/>
      <c r="C28" s="6"/>
      <c r="D28" s="9"/>
      <c r="E28" s="14"/>
      <c r="F28" s="85"/>
      <c r="G28" s="9"/>
      <c r="H28" s="9"/>
      <c r="I28" s="9"/>
      <c r="J28" s="9"/>
      <c r="K28" s="9"/>
      <c r="L28" s="9"/>
      <c r="M28" s="9"/>
      <c r="N28" s="9"/>
      <c r="O28" s="90"/>
      <c r="P28" s="90"/>
      <c r="Q28" s="86"/>
      <c r="R28" s="86"/>
      <c r="S28" s="9"/>
      <c r="T28" s="47"/>
      <c r="U28" s="9"/>
      <c r="W28" s="67" t="str">
        <f>$A$4&amp;" "&amp;A29&amp;"("&amp;B29&amp;","&amp;C29&amp;"^)"</f>
        <v>우아동3가 전주우아한시티('21.09.,998^)</v>
      </c>
      <c r="X28" s="68"/>
      <c r="Y28" s="68"/>
      <c r="Z28" s="68"/>
      <c r="AA28" s="68"/>
      <c r="AB28" s="68"/>
      <c r="AC28" s="68"/>
      <c r="AD28" s="68"/>
      <c r="AE28" s="68"/>
      <c r="AF28" s="69"/>
      <c r="AH28" s="20" t="str">
        <f t="shared" si="1"/>
        <v/>
      </c>
      <c r="AI28" s="108" t="str">
        <f t="shared" si="0"/>
        <v/>
      </c>
      <c r="AJ28" s="78"/>
      <c r="AK28" s="78"/>
      <c r="AL28" s="78"/>
      <c r="AM28" s="78"/>
      <c r="AN28" s="78"/>
      <c r="AO28" s="78"/>
      <c r="AP28" s="78"/>
      <c r="AQ28" s="78"/>
      <c r="AR28" s="78"/>
      <c r="AS28" s="78"/>
      <c r="AT28" s="78"/>
      <c r="AU28" s="78"/>
      <c r="AV28" s="78"/>
    </row>
    <row r="29" spans="1:48" x14ac:dyDescent="0.3">
      <c r="A29" s="9" t="s">
        <v>1117</v>
      </c>
      <c r="B29" s="10" t="s">
        <v>1601</v>
      </c>
      <c r="C29" s="87">
        <v>998</v>
      </c>
      <c r="D29" s="85">
        <v>79.3</v>
      </c>
      <c r="E29" s="86">
        <v>24</v>
      </c>
      <c r="F29" s="85">
        <v>60</v>
      </c>
      <c r="G29" s="17">
        <v>18</v>
      </c>
      <c r="H29" s="87">
        <v>156</v>
      </c>
      <c r="I29" s="88"/>
      <c r="J29" s="88"/>
      <c r="K29" s="88"/>
      <c r="L29" s="88"/>
      <c r="M29" s="89">
        <f t="shared" ref="M29:M36" si="15">I29-K29</f>
        <v>0</v>
      </c>
      <c r="N29" s="4" t="str">
        <f t="shared" ref="N29:N36" si="16">IF(ISERROR(K29/I29),"",K29/I29)</f>
        <v/>
      </c>
      <c r="O29" s="90">
        <f t="shared" ref="O29:O36" si="17">I29/E29</f>
        <v>0</v>
      </c>
      <c r="P29" s="90">
        <f t="shared" ref="P29:P36" si="18">K29/E29</f>
        <v>0</v>
      </c>
      <c r="Q29" s="78">
        <v>3</v>
      </c>
      <c r="R29" s="78">
        <v>2</v>
      </c>
      <c r="S29" s="78" t="s">
        <v>59</v>
      </c>
      <c r="T29" s="5">
        <v>79</v>
      </c>
      <c r="U29" s="9"/>
      <c r="W29" s="85">
        <f t="shared" ref="W29:X36" si="19">D29</f>
        <v>79.3</v>
      </c>
      <c r="X29" s="86">
        <f t="shared" si="19"/>
        <v>24</v>
      </c>
      <c r="Y29" s="91">
        <f t="shared" ref="Y29:Z36" si="20">H29</f>
        <v>156</v>
      </c>
      <c r="Z29" s="89">
        <f t="shared" si="20"/>
        <v>0</v>
      </c>
      <c r="AA29" s="89">
        <f t="shared" ref="AA29:AA36" si="21">K29</f>
        <v>0</v>
      </c>
      <c r="AB29" s="89">
        <f t="shared" ref="AB29:AD36" si="22">M29</f>
        <v>0</v>
      </c>
      <c r="AC29" s="4" t="str">
        <f t="shared" si="22"/>
        <v/>
      </c>
      <c r="AD29" s="90">
        <f t="shared" si="22"/>
        <v>0</v>
      </c>
      <c r="AE29" s="78" t="str">
        <f t="shared" ref="AE29:AE36" si="23">S29</f>
        <v>계</v>
      </c>
      <c r="AF29" s="78" t="str">
        <f t="shared" ref="AF29:AF36" si="24">Q29&amp;"/"&amp;R29</f>
        <v>3/2</v>
      </c>
      <c r="AH29" s="20" t="str">
        <f t="shared" si="1"/>
        <v>전주우아한시티</v>
      </c>
      <c r="AI29" s="86">
        <f t="shared" si="0"/>
        <v>24</v>
      </c>
      <c r="AJ29" s="78" t="str">
        <f t="shared" ref="AJ29:AJ36" si="25"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 t="shared" ref="AN29:AN36" si="26">IF(AI29="","",$AN$2)</f>
        <v>C</v>
      </c>
      <c r="AO29" s="78" t="str">
        <f t="shared" ref="AO29:AO36" si="27">IF(N29="","",IF(N29&gt;=$AO$1/100,"O","X"))</f>
        <v/>
      </c>
      <c r="AP29" s="78" t="str">
        <f t="shared" ref="AP29:AP36" si="28">IF(I29="","",IF(I29&lt;=$AP$1,"O","X"))</f>
        <v/>
      </c>
      <c r="AQ29" s="78" t="str">
        <f t="shared" ref="AQ29:AQ36" si="29">IF(O29="","",IF(O29&lt;=$AQ$1,"O","X"))</f>
        <v>O</v>
      </c>
      <c r="AR29" s="78" t="str">
        <f t="shared" ref="AR29:AR36" si="30">IF(M29="","",IF(M29&lt;=$AR$1,"O","X"))</f>
        <v>O</v>
      </c>
      <c r="AS29" s="78" t="s">
        <v>2</v>
      </c>
      <c r="AT29" s="78" t="str">
        <f t="shared" ref="AT29:AT36" si="31">IF(OR(F29="",AI29=""),"",IF(AND((F29&lt;=85),(AI29&gt;=15)),"O","X"))</f>
        <v>O</v>
      </c>
      <c r="AU29" s="78" t="str">
        <f t="shared" ref="AU29:AU36" si="32">IF(C29="","",IF(C29&gt;=$AU$1,"O","X"))</f>
        <v>O</v>
      </c>
      <c r="AV29" s="78" t="str">
        <f t="shared" ref="AV29:AV36" si="33">IF(AO29="","",IF(AND(AO29="O",AP29="O",AR29="O",AT29="O",AU29="O"),"후보","X"))</f>
        <v/>
      </c>
    </row>
    <row r="30" spans="1:48" x14ac:dyDescent="0.3">
      <c r="A30" s="9" t="s">
        <v>1117</v>
      </c>
      <c r="B30" s="10" t="s">
        <v>1601</v>
      </c>
      <c r="C30" s="87">
        <v>998</v>
      </c>
      <c r="D30" s="85">
        <v>98.6</v>
      </c>
      <c r="E30" s="86">
        <v>30</v>
      </c>
      <c r="F30" s="85">
        <v>75</v>
      </c>
      <c r="G30" s="17">
        <v>23</v>
      </c>
      <c r="H30" s="87">
        <v>78</v>
      </c>
      <c r="I30" s="88"/>
      <c r="J30" s="88"/>
      <c r="K30" s="88"/>
      <c r="L30" s="88"/>
      <c r="M30" s="89">
        <f t="shared" si="15"/>
        <v>0</v>
      </c>
      <c r="N30" s="4" t="str">
        <f t="shared" si="16"/>
        <v/>
      </c>
      <c r="O30" s="90">
        <f t="shared" si="17"/>
        <v>0</v>
      </c>
      <c r="P30" s="90">
        <f t="shared" si="18"/>
        <v>0</v>
      </c>
      <c r="Q30" s="78">
        <v>3</v>
      </c>
      <c r="R30" s="78">
        <v>2</v>
      </c>
      <c r="S30" s="78" t="s">
        <v>59</v>
      </c>
      <c r="T30" s="5" t="s">
        <v>194</v>
      </c>
      <c r="U30" s="9"/>
      <c r="W30" s="85">
        <f t="shared" si="19"/>
        <v>98.6</v>
      </c>
      <c r="X30" s="86">
        <f t="shared" si="19"/>
        <v>30</v>
      </c>
      <c r="Y30" s="91">
        <f t="shared" si="20"/>
        <v>78</v>
      </c>
      <c r="Z30" s="89">
        <f t="shared" si="20"/>
        <v>0</v>
      </c>
      <c r="AA30" s="89">
        <f t="shared" si="21"/>
        <v>0</v>
      </c>
      <c r="AB30" s="89">
        <f t="shared" si="22"/>
        <v>0</v>
      </c>
      <c r="AC30" s="4" t="str">
        <f t="shared" si="22"/>
        <v/>
      </c>
      <c r="AD30" s="90">
        <f t="shared" si="22"/>
        <v>0</v>
      </c>
      <c r="AE30" s="78" t="str">
        <f t="shared" si="23"/>
        <v>계</v>
      </c>
      <c r="AF30" s="78" t="str">
        <f t="shared" si="24"/>
        <v>3/2</v>
      </c>
      <c r="AH30" s="20" t="str">
        <f t="shared" si="1"/>
        <v>전주우아한시티</v>
      </c>
      <c r="AI30" s="86">
        <f t="shared" si="0"/>
        <v>30</v>
      </c>
      <c r="AJ30" s="78" t="str">
        <f t="shared" si="25"/>
        <v>A-</v>
      </c>
      <c r="AK30" s="78" t="s">
        <v>13</v>
      </c>
      <c r="AL30" s="78" t="s">
        <v>61</v>
      </c>
      <c r="AM30" s="78" t="s">
        <v>62</v>
      </c>
      <c r="AN30" s="78" t="str">
        <f t="shared" si="26"/>
        <v>C</v>
      </c>
      <c r="AO30" s="78" t="str">
        <f t="shared" si="27"/>
        <v/>
      </c>
      <c r="AP30" s="78" t="str">
        <f t="shared" si="28"/>
        <v/>
      </c>
      <c r="AQ30" s="78" t="str">
        <f t="shared" si="29"/>
        <v>O</v>
      </c>
      <c r="AR30" s="78" t="str">
        <f t="shared" si="30"/>
        <v>O</v>
      </c>
      <c r="AS30" s="78" t="s">
        <v>2</v>
      </c>
      <c r="AT30" s="78" t="str">
        <f t="shared" si="31"/>
        <v>O</v>
      </c>
      <c r="AU30" s="78" t="str">
        <f t="shared" si="32"/>
        <v>O</v>
      </c>
      <c r="AV30" s="78" t="str">
        <f t="shared" si="33"/>
        <v/>
      </c>
    </row>
    <row r="31" spans="1:48" x14ac:dyDescent="0.3">
      <c r="A31" s="9" t="s">
        <v>1117</v>
      </c>
      <c r="B31" s="10" t="s">
        <v>1601</v>
      </c>
      <c r="C31" s="87">
        <v>998</v>
      </c>
      <c r="D31" s="85">
        <v>99.2</v>
      </c>
      <c r="E31" s="86">
        <v>30</v>
      </c>
      <c r="F31" s="85">
        <v>75</v>
      </c>
      <c r="G31" s="17">
        <v>23</v>
      </c>
      <c r="H31" s="87">
        <v>79</v>
      </c>
      <c r="I31" s="88">
        <v>45000</v>
      </c>
      <c r="J31" s="88" t="s">
        <v>68</v>
      </c>
      <c r="K31" s="88"/>
      <c r="L31" s="88"/>
      <c r="M31" s="89">
        <f t="shared" si="15"/>
        <v>45000</v>
      </c>
      <c r="N31" s="4">
        <f t="shared" si="16"/>
        <v>0</v>
      </c>
      <c r="O31" s="90">
        <f t="shared" si="17"/>
        <v>1500</v>
      </c>
      <c r="P31" s="90">
        <f t="shared" si="18"/>
        <v>0</v>
      </c>
      <c r="Q31" s="78">
        <v>3</v>
      </c>
      <c r="R31" s="78">
        <v>2</v>
      </c>
      <c r="S31" s="78" t="s">
        <v>59</v>
      </c>
      <c r="T31" s="5" t="s">
        <v>195</v>
      </c>
      <c r="U31" s="9"/>
      <c r="W31" s="85">
        <f t="shared" si="19"/>
        <v>99.2</v>
      </c>
      <c r="X31" s="86">
        <f t="shared" si="19"/>
        <v>30</v>
      </c>
      <c r="Y31" s="91">
        <f t="shared" si="20"/>
        <v>79</v>
      </c>
      <c r="Z31" s="89">
        <f t="shared" si="20"/>
        <v>45000</v>
      </c>
      <c r="AA31" s="89">
        <f t="shared" si="21"/>
        <v>0</v>
      </c>
      <c r="AB31" s="89">
        <f t="shared" si="22"/>
        <v>45000</v>
      </c>
      <c r="AC31" s="4">
        <f t="shared" si="22"/>
        <v>0</v>
      </c>
      <c r="AD31" s="90">
        <f t="shared" si="22"/>
        <v>1500</v>
      </c>
      <c r="AE31" s="78" t="str">
        <f t="shared" si="23"/>
        <v>계</v>
      </c>
      <c r="AF31" s="78" t="str">
        <f t="shared" si="24"/>
        <v>3/2</v>
      </c>
      <c r="AH31" s="20" t="str">
        <f t="shared" si="1"/>
        <v>전주우아한시티</v>
      </c>
      <c r="AI31" s="86">
        <f t="shared" si="0"/>
        <v>30</v>
      </c>
      <c r="AJ31" s="78" t="str">
        <f t="shared" si="25"/>
        <v>A-</v>
      </c>
      <c r="AK31" s="78" t="s">
        <v>13</v>
      </c>
      <c r="AL31" s="78" t="s">
        <v>61</v>
      </c>
      <c r="AM31" s="78" t="s">
        <v>62</v>
      </c>
      <c r="AN31" s="78" t="str">
        <f t="shared" si="26"/>
        <v>C</v>
      </c>
      <c r="AO31" s="78" t="str">
        <f t="shared" si="27"/>
        <v>X</v>
      </c>
      <c r="AP31" s="78" t="str">
        <f t="shared" si="28"/>
        <v>O</v>
      </c>
      <c r="AQ31" s="78" t="str">
        <f t="shared" si="29"/>
        <v>X</v>
      </c>
      <c r="AR31" s="78" t="str">
        <f t="shared" si="30"/>
        <v>X</v>
      </c>
      <c r="AS31" s="78" t="s">
        <v>2</v>
      </c>
      <c r="AT31" s="78" t="str">
        <f t="shared" si="31"/>
        <v>O</v>
      </c>
      <c r="AU31" s="78" t="str">
        <f t="shared" si="32"/>
        <v>O</v>
      </c>
      <c r="AV31" s="78" t="str">
        <f t="shared" si="33"/>
        <v>X</v>
      </c>
    </row>
    <row r="32" spans="1:48" x14ac:dyDescent="0.3">
      <c r="A32" s="9" t="s">
        <v>1117</v>
      </c>
      <c r="B32" s="10" t="s">
        <v>1601</v>
      </c>
      <c r="C32" s="87">
        <v>998</v>
      </c>
      <c r="D32" s="85">
        <v>107.3</v>
      </c>
      <c r="E32" s="86">
        <v>32</v>
      </c>
      <c r="F32" s="85">
        <v>84.9</v>
      </c>
      <c r="G32" s="17">
        <v>26</v>
      </c>
      <c r="H32" s="87">
        <v>355</v>
      </c>
      <c r="I32" s="88"/>
      <c r="J32" s="88"/>
      <c r="K32" s="88"/>
      <c r="L32" s="88"/>
      <c r="M32" s="89">
        <f t="shared" si="15"/>
        <v>0</v>
      </c>
      <c r="N32" s="4" t="str">
        <f t="shared" si="16"/>
        <v/>
      </c>
      <c r="O32" s="90">
        <f t="shared" si="17"/>
        <v>0</v>
      </c>
      <c r="P32" s="90">
        <f t="shared" si="18"/>
        <v>0</v>
      </c>
      <c r="Q32" s="78">
        <v>3</v>
      </c>
      <c r="R32" s="78">
        <v>2</v>
      </c>
      <c r="S32" s="78" t="s">
        <v>59</v>
      </c>
      <c r="T32" s="5" t="s">
        <v>196</v>
      </c>
      <c r="U32" s="9"/>
      <c r="W32" s="85">
        <f t="shared" si="19"/>
        <v>107.3</v>
      </c>
      <c r="X32" s="86">
        <f t="shared" si="19"/>
        <v>32</v>
      </c>
      <c r="Y32" s="91">
        <f t="shared" si="20"/>
        <v>355</v>
      </c>
      <c r="Z32" s="89">
        <f t="shared" si="20"/>
        <v>0</v>
      </c>
      <c r="AA32" s="89">
        <f t="shared" si="21"/>
        <v>0</v>
      </c>
      <c r="AB32" s="89">
        <f t="shared" si="22"/>
        <v>0</v>
      </c>
      <c r="AC32" s="4" t="str">
        <f t="shared" si="22"/>
        <v/>
      </c>
      <c r="AD32" s="90">
        <f t="shared" si="22"/>
        <v>0</v>
      </c>
      <c r="AE32" s="78" t="str">
        <f t="shared" si="23"/>
        <v>계</v>
      </c>
      <c r="AF32" s="78" t="str">
        <f t="shared" si="24"/>
        <v>3/2</v>
      </c>
      <c r="AH32" s="20" t="str">
        <f t="shared" si="1"/>
        <v>전주우아한시티</v>
      </c>
      <c r="AI32" s="86">
        <f t="shared" si="0"/>
        <v>32</v>
      </c>
      <c r="AJ32" s="78" t="str">
        <f t="shared" si="25"/>
        <v>A-</v>
      </c>
      <c r="AK32" s="78" t="s">
        <v>13</v>
      </c>
      <c r="AL32" s="78" t="s">
        <v>61</v>
      </c>
      <c r="AM32" s="78" t="s">
        <v>62</v>
      </c>
      <c r="AN32" s="78" t="str">
        <f t="shared" si="26"/>
        <v>C</v>
      </c>
      <c r="AO32" s="78" t="str">
        <f t="shared" si="27"/>
        <v/>
      </c>
      <c r="AP32" s="78" t="str">
        <f t="shared" si="28"/>
        <v/>
      </c>
      <c r="AQ32" s="78" t="str">
        <f t="shared" si="29"/>
        <v>O</v>
      </c>
      <c r="AR32" s="78" t="str">
        <f t="shared" si="30"/>
        <v>O</v>
      </c>
      <c r="AS32" s="78" t="s">
        <v>2</v>
      </c>
      <c r="AT32" s="78" t="str">
        <f t="shared" si="31"/>
        <v>O</v>
      </c>
      <c r="AU32" s="78" t="str">
        <f t="shared" si="32"/>
        <v>O</v>
      </c>
      <c r="AV32" s="78" t="str">
        <f t="shared" si="33"/>
        <v/>
      </c>
    </row>
    <row r="33" spans="1:48" x14ac:dyDescent="0.3">
      <c r="A33" s="9" t="s">
        <v>1117</v>
      </c>
      <c r="B33" s="10" t="s">
        <v>1601</v>
      </c>
      <c r="C33" s="87">
        <v>998</v>
      </c>
      <c r="D33" s="85">
        <v>108</v>
      </c>
      <c r="E33" s="86">
        <v>33</v>
      </c>
      <c r="F33" s="85">
        <v>85</v>
      </c>
      <c r="G33" s="17">
        <v>26</v>
      </c>
      <c r="H33" s="87">
        <v>147</v>
      </c>
      <c r="I33" s="88">
        <v>50000</v>
      </c>
      <c r="J33" s="88" t="s">
        <v>72</v>
      </c>
      <c r="K33" s="88"/>
      <c r="L33" s="88"/>
      <c r="M33" s="89">
        <f t="shared" si="15"/>
        <v>50000</v>
      </c>
      <c r="N33" s="4">
        <f t="shared" si="16"/>
        <v>0</v>
      </c>
      <c r="O33" s="90">
        <f t="shared" si="17"/>
        <v>1515.1515151515152</v>
      </c>
      <c r="P33" s="90">
        <f t="shared" si="18"/>
        <v>0</v>
      </c>
      <c r="Q33" s="78">
        <v>3</v>
      </c>
      <c r="R33" s="78">
        <v>2</v>
      </c>
      <c r="S33" s="78" t="s">
        <v>59</v>
      </c>
      <c r="T33" s="5" t="s">
        <v>128</v>
      </c>
      <c r="U33" s="9"/>
      <c r="W33" s="85">
        <f t="shared" si="19"/>
        <v>108</v>
      </c>
      <c r="X33" s="86">
        <f t="shared" si="19"/>
        <v>33</v>
      </c>
      <c r="Y33" s="91">
        <f t="shared" si="20"/>
        <v>147</v>
      </c>
      <c r="Z33" s="89">
        <f t="shared" si="20"/>
        <v>50000</v>
      </c>
      <c r="AA33" s="89">
        <f t="shared" si="21"/>
        <v>0</v>
      </c>
      <c r="AB33" s="89">
        <f t="shared" si="22"/>
        <v>50000</v>
      </c>
      <c r="AC33" s="4">
        <f t="shared" si="22"/>
        <v>0</v>
      </c>
      <c r="AD33" s="90">
        <f t="shared" si="22"/>
        <v>1515.1515151515152</v>
      </c>
      <c r="AE33" s="78" t="str">
        <f t="shared" si="23"/>
        <v>계</v>
      </c>
      <c r="AF33" s="78" t="str">
        <f t="shared" si="24"/>
        <v>3/2</v>
      </c>
      <c r="AH33" s="20" t="str">
        <f t="shared" si="1"/>
        <v>전주우아한시티</v>
      </c>
      <c r="AI33" s="86">
        <f t="shared" si="0"/>
        <v>33</v>
      </c>
      <c r="AJ33" s="78" t="str">
        <f t="shared" si="25"/>
        <v>A-</v>
      </c>
      <c r="AK33" s="78" t="s">
        <v>13</v>
      </c>
      <c r="AL33" s="78" t="s">
        <v>61</v>
      </c>
      <c r="AM33" s="78" t="s">
        <v>62</v>
      </c>
      <c r="AN33" s="78" t="str">
        <f t="shared" si="26"/>
        <v>C</v>
      </c>
      <c r="AO33" s="78" t="str">
        <f t="shared" si="27"/>
        <v>X</v>
      </c>
      <c r="AP33" s="78" t="str">
        <f t="shared" si="28"/>
        <v>X</v>
      </c>
      <c r="AQ33" s="78" t="str">
        <f t="shared" si="29"/>
        <v>X</v>
      </c>
      <c r="AR33" s="78" t="str">
        <f t="shared" si="30"/>
        <v>X</v>
      </c>
      <c r="AS33" s="78" t="s">
        <v>2</v>
      </c>
      <c r="AT33" s="78" t="str">
        <f t="shared" si="31"/>
        <v>O</v>
      </c>
      <c r="AU33" s="78" t="str">
        <f t="shared" si="32"/>
        <v>O</v>
      </c>
      <c r="AV33" s="78" t="str">
        <f t="shared" si="33"/>
        <v>X</v>
      </c>
    </row>
    <row r="34" spans="1:48" x14ac:dyDescent="0.3">
      <c r="A34" s="9" t="s">
        <v>1117</v>
      </c>
      <c r="B34" s="10" t="s">
        <v>1601</v>
      </c>
      <c r="C34" s="87">
        <v>998</v>
      </c>
      <c r="D34" s="85">
        <v>108.3</v>
      </c>
      <c r="E34" s="86">
        <v>33</v>
      </c>
      <c r="F34" s="85">
        <v>85</v>
      </c>
      <c r="G34" s="17">
        <v>26</v>
      </c>
      <c r="H34" s="87">
        <v>142</v>
      </c>
      <c r="I34" s="88"/>
      <c r="J34" s="88"/>
      <c r="K34" s="88"/>
      <c r="L34" s="88"/>
      <c r="M34" s="89">
        <f t="shared" si="15"/>
        <v>0</v>
      </c>
      <c r="N34" s="4" t="str">
        <f t="shared" si="16"/>
        <v/>
      </c>
      <c r="O34" s="90">
        <f t="shared" si="17"/>
        <v>0</v>
      </c>
      <c r="P34" s="90">
        <f t="shared" si="18"/>
        <v>0</v>
      </c>
      <c r="Q34" s="78">
        <v>3</v>
      </c>
      <c r="R34" s="78">
        <v>2</v>
      </c>
      <c r="S34" s="78" t="s">
        <v>59</v>
      </c>
      <c r="T34" s="5" t="s">
        <v>130</v>
      </c>
      <c r="U34" s="9"/>
      <c r="W34" s="85">
        <f t="shared" si="19"/>
        <v>108.3</v>
      </c>
      <c r="X34" s="86">
        <f t="shared" si="19"/>
        <v>33</v>
      </c>
      <c r="Y34" s="91">
        <f t="shared" si="20"/>
        <v>142</v>
      </c>
      <c r="Z34" s="89">
        <f t="shared" si="20"/>
        <v>0</v>
      </c>
      <c r="AA34" s="89">
        <f t="shared" si="21"/>
        <v>0</v>
      </c>
      <c r="AB34" s="89">
        <f t="shared" si="22"/>
        <v>0</v>
      </c>
      <c r="AC34" s="4" t="str">
        <f t="shared" si="22"/>
        <v/>
      </c>
      <c r="AD34" s="90">
        <f t="shared" si="22"/>
        <v>0</v>
      </c>
      <c r="AE34" s="78" t="str">
        <f t="shared" si="23"/>
        <v>계</v>
      </c>
      <c r="AF34" s="78" t="str">
        <f t="shared" si="24"/>
        <v>3/2</v>
      </c>
      <c r="AH34" s="20" t="str">
        <f t="shared" si="1"/>
        <v>전주우아한시티</v>
      </c>
      <c r="AI34" s="86">
        <f t="shared" si="0"/>
        <v>33</v>
      </c>
      <c r="AJ34" s="78" t="str">
        <f t="shared" si="25"/>
        <v>A-</v>
      </c>
      <c r="AK34" s="78" t="s">
        <v>13</v>
      </c>
      <c r="AL34" s="78" t="s">
        <v>61</v>
      </c>
      <c r="AM34" s="78" t="s">
        <v>62</v>
      </c>
      <c r="AN34" s="78" t="str">
        <f t="shared" si="26"/>
        <v>C</v>
      </c>
      <c r="AO34" s="78" t="str">
        <f t="shared" si="27"/>
        <v/>
      </c>
      <c r="AP34" s="78" t="str">
        <f t="shared" si="28"/>
        <v/>
      </c>
      <c r="AQ34" s="78" t="str">
        <f t="shared" si="29"/>
        <v>O</v>
      </c>
      <c r="AR34" s="78" t="str">
        <f t="shared" si="30"/>
        <v>O</v>
      </c>
      <c r="AS34" s="78" t="s">
        <v>2</v>
      </c>
      <c r="AT34" s="78" t="str">
        <f t="shared" si="31"/>
        <v>O</v>
      </c>
      <c r="AU34" s="78" t="str">
        <f t="shared" si="32"/>
        <v>O</v>
      </c>
      <c r="AV34" s="78" t="str">
        <f t="shared" si="33"/>
        <v/>
      </c>
    </row>
    <row r="35" spans="1:48" x14ac:dyDescent="0.3">
      <c r="A35" s="9" t="s">
        <v>1117</v>
      </c>
      <c r="B35" s="10" t="s">
        <v>1601</v>
      </c>
      <c r="C35" s="87">
        <v>998</v>
      </c>
      <c r="D35" s="85">
        <v>143.4</v>
      </c>
      <c r="E35" s="86">
        <v>43</v>
      </c>
      <c r="F35" s="85">
        <v>115.9</v>
      </c>
      <c r="G35" s="17">
        <v>35</v>
      </c>
      <c r="H35" s="87">
        <v>21</v>
      </c>
      <c r="I35" s="88"/>
      <c r="J35" s="88"/>
      <c r="K35" s="88">
        <v>50000</v>
      </c>
      <c r="L35" s="88" t="s">
        <v>89</v>
      </c>
      <c r="M35" s="89">
        <f t="shared" si="15"/>
        <v>-50000</v>
      </c>
      <c r="N35" s="4" t="str">
        <f t="shared" si="16"/>
        <v/>
      </c>
      <c r="O35" s="90">
        <f t="shared" si="17"/>
        <v>0</v>
      </c>
      <c r="P35" s="90">
        <f t="shared" si="18"/>
        <v>1162.7906976744187</v>
      </c>
      <c r="Q35" s="78">
        <v>3</v>
      </c>
      <c r="R35" s="78">
        <v>2</v>
      </c>
      <c r="S35" s="78" t="s">
        <v>59</v>
      </c>
      <c r="T35" s="5" t="s">
        <v>197</v>
      </c>
      <c r="U35" s="9"/>
      <c r="W35" s="85">
        <f t="shared" si="19"/>
        <v>143.4</v>
      </c>
      <c r="X35" s="86">
        <f t="shared" si="19"/>
        <v>43</v>
      </c>
      <c r="Y35" s="91">
        <f t="shared" si="20"/>
        <v>21</v>
      </c>
      <c r="Z35" s="89">
        <f t="shared" si="20"/>
        <v>0</v>
      </c>
      <c r="AA35" s="89">
        <f t="shared" si="21"/>
        <v>50000</v>
      </c>
      <c r="AB35" s="89">
        <f t="shared" si="22"/>
        <v>-50000</v>
      </c>
      <c r="AC35" s="4" t="str">
        <f t="shared" si="22"/>
        <v/>
      </c>
      <c r="AD35" s="90">
        <f t="shared" si="22"/>
        <v>0</v>
      </c>
      <c r="AE35" s="78" t="str">
        <f t="shared" si="23"/>
        <v>계</v>
      </c>
      <c r="AF35" s="78" t="str">
        <f t="shared" si="24"/>
        <v>3/2</v>
      </c>
      <c r="AH35" s="20" t="str">
        <f t="shared" si="1"/>
        <v>전주우아한시티</v>
      </c>
      <c r="AI35" s="86">
        <f t="shared" si="0"/>
        <v>43</v>
      </c>
      <c r="AJ35" s="78" t="str">
        <f t="shared" si="25"/>
        <v>A-</v>
      </c>
      <c r="AK35" s="78" t="s">
        <v>13</v>
      </c>
      <c r="AL35" s="78" t="s">
        <v>61</v>
      </c>
      <c r="AM35" s="78" t="s">
        <v>62</v>
      </c>
      <c r="AN35" s="78" t="str">
        <f t="shared" si="26"/>
        <v>C</v>
      </c>
      <c r="AO35" s="78" t="str">
        <f t="shared" si="27"/>
        <v/>
      </c>
      <c r="AP35" s="78" t="str">
        <f t="shared" si="28"/>
        <v/>
      </c>
      <c r="AQ35" s="78" t="str">
        <f t="shared" si="29"/>
        <v>O</v>
      </c>
      <c r="AR35" s="78" t="str">
        <f t="shared" si="30"/>
        <v>O</v>
      </c>
      <c r="AS35" s="78" t="s">
        <v>2</v>
      </c>
      <c r="AT35" s="78" t="str">
        <f t="shared" si="31"/>
        <v>X</v>
      </c>
      <c r="AU35" s="78" t="str">
        <f t="shared" si="32"/>
        <v>O</v>
      </c>
      <c r="AV35" s="78" t="str">
        <f t="shared" si="33"/>
        <v/>
      </c>
    </row>
    <row r="36" spans="1:48" x14ac:dyDescent="0.3">
      <c r="A36" s="9" t="s">
        <v>1117</v>
      </c>
      <c r="B36" s="10" t="s">
        <v>1601</v>
      </c>
      <c r="C36" s="87">
        <v>998</v>
      </c>
      <c r="D36" s="85">
        <v>143.69999999999999</v>
      </c>
      <c r="E36" s="86">
        <v>43</v>
      </c>
      <c r="F36" s="85">
        <v>115.9</v>
      </c>
      <c r="G36" s="17">
        <v>35</v>
      </c>
      <c r="H36" s="87">
        <v>20</v>
      </c>
      <c r="I36" s="88">
        <v>80000</v>
      </c>
      <c r="J36" s="88" t="s">
        <v>87</v>
      </c>
      <c r="K36" s="88">
        <v>50000</v>
      </c>
      <c r="L36" s="88" t="s">
        <v>126</v>
      </c>
      <c r="M36" s="89">
        <f t="shared" si="15"/>
        <v>30000</v>
      </c>
      <c r="N36" s="4">
        <f t="shared" si="16"/>
        <v>0.625</v>
      </c>
      <c r="O36" s="90">
        <f t="shared" si="17"/>
        <v>1860.4651162790697</v>
      </c>
      <c r="P36" s="90">
        <f t="shared" si="18"/>
        <v>1162.7906976744187</v>
      </c>
      <c r="Q36" s="78">
        <v>3</v>
      </c>
      <c r="R36" s="78">
        <v>2</v>
      </c>
      <c r="S36" s="78" t="s">
        <v>59</v>
      </c>
      <c r="T36" s="5" t="s">
        <v>198</v>
      </c>
      <c r="U36" s="9"/>
      <c r="W36" s="85">
        <f t="shared" si="19"/>
        <v>143.69999999999999</v>
      </c>
      <c r="X36" s="86">
        <f t="shared" si="19"/>
        <v>43</v>
      </c>
      <c r="Y36" s="91">
        <f t="shared" si="20"/>
        <v>20</v>
      </c>
      <c r="Z36" s="89">
        <f t="shared" si="20"/>
        <v>80000</v>
      </c>
      <c r="AA36" s="89">
        <f t="shared" si="21"/>
        <v>50000</v>
      </c>
      <c r="AB36" s="89">
        <f t="shared" si="22"/>
        <v>30000</v>
      </c>
      <c r="AC36" s="4">
        <f t="shared" si="22"/>
        <v>0.625</v>
      </c>
      <c r="AD36" s="90">
        <f t="shared" si="22"/>
        <v>1860.4651162790697</v>
      </c>
      <c r="AE36" s="78" t="str">
        <f t="shared" si="23"/>
        <v>계</v>
      </c>
      <c r="AF36" s="78" t="str">
        <f t="shared" si="24"/>
        <v>3/2</v>
      </c>
      <c r="AH36" s="20" t="str">
        <f t="shared" si="1"/>
        <v>전주우아한시티</v>
      </c>
      <c r="AI36" s="86">
        <f t="shared" si="0"/>
        <v>43</v>
      </c>
      <c r="AJ36" s="78" t="str">
        <f t="shared" si="25"/>
        <v>A-</v>
      </c>
      <c r="AK36" s="78" t="s">
        <v>13</v>
      </c>
      <c r="AL36" s="78" t="s">
        <v>61</v>
      </c>
      <c r="AM36" s="78" t="s">
        <v>62</v>
      </c>
      <c r="AN36" s="78" t="str">
        <f t="shared" si="26"/>
        <v>C</v>
      </c>
      <c r="AO36" s="78" t="str">
        <f t="shared" si="27"/>
        <v>X</v>
      </c>
      <c r="AP36" s="78" t="str">
        <f t="shared" si="28"/>
        <v>X</v>
      </c>
      <c r="AQ36" s="78" t="str">
        <f t="shared" si="29"/>
        <v>X</v>
      </c>
      <c r="AR36" s="78" t="str">
        <f t="shared" si="30"/>
        <v>X</v>
      </c>
      <c r="AS36" s="78" t="s">
        <v>2</v>
      </c>
      <c r="AT36" s="78" t="str">
        <f t="shared" si="31"/>
        <v>X</v>
      </c>
      <c r="AU36" s="78" t="str">
        <f t="shared" si="32"/>
        <v>O</v>
      </c>
      <c r="AV36" s="78" t="str">
        <f t="shared" si="33"/>
        <v>X</v>
      </c>
    </row>
    <row r="37" spans="1:48" x14ac:dyDescent="0.3">
      <c r="A37" s="9"/>
      <c r="B37" s="78"/>
      <c r="C37" s="6"/>
      <c r="D37" s="9"/>
      <c r="E37" s="14"/>
      <c r="F37" s="85"/>
      <c r="G37" s="9"/>
      <c r="H37" s="9"/>
      <c r="I37" s="9"/>
      <c r="J37" s="9"/>
      <c r="K37" s="9"/>
      <c r="L37" s="9"/>
      <c r="M37" s="9"/>
      <c r="N37" s="9"/>
      <c r="O37" s="90"/>
      <c r="P37" s="90"/>
      <c r="Q37" s="86"/>
      <c r="R37" s="86"/>
      <c r="S37" s="9"/>
      <c r="T37" s="47"/>
      <c r="U37" s="9"/>
      <c r="W37" s="67" t="str">
        <f>$A$4&amp;" "&amp;A38&amp;"("&amp;B38&amp;","&amp;C38&amp;"^)"</f>
        <v>우아동3가 우정,신세계('95.07.,792^)</v>
      </c>
      <c r="X37" s="68"/>
      <c r="Y37" s="68"/>
      <c r="Z37" s="68"/>
      <c r="AA37" s="68"/>
      <c r="AB37" s="68"/>
      <c r="AC37" s="68"/>
      <c r="AD37" s="68"/>
      <c r="AE37" s="68"/>
      <c r="AF37" s="69"/>
      <c r="AH37" s="20" t="str">
        <f t="shared" si="1"/>
        <v/>
      </c>
      <c r="AI37" s="108" t="str">
        <f t="shared" si="0"/>
        <v/>
      </c>
      <c r="AJ37" s="78"/>
      <c r="AK37" s="78"/>
      <c r="AL37" s="78"/>
      <c r="AM37" s="78"/>
      <c r="AN37" s="78"/>
      <c r="AO37" s="78"/>
      <c r="AP37" s="78"/>
      <c r="AQ37" s="78"/>
      <c r="AR37" s="78"/>
      <c r="AS37" s="78"/>
      <c r="AT37" s="78"/>
      <c r="AU37" s="78"/>
      <c r="AV37" s="78"/>
    </row>
    <row r="38" spans="1:48" x14ac:dyDescent="0.3">
      <c r="A38" s="9" t="s">
        <v>1122</v>
      </c>
      <c r="B38" s="10" t="s">
        <v>1600</v>
      </c>
      <c r="C38" s="87">
        <v>792</v>
      </c>
      <c r="D38" s="85">
        <v>80.5</v>
      </c>
      <c r="E38" s="86">
        <v>24</v>
      </c>
      <c r="F38" s="85">
        <v>59.9</v>
      </c>
      <c r="G38" s="17">
        <v>18</v>
      </c>
      <c r="H38" s="87">
        <v>792</v>
      </c>
      <c r="I38" s="88">
        <v>7600</v>
      </c>
      <c r="J38" s="88" t="s">
        <v>72</v>
      </c>
      <c r="K38" s="88"/>
      <c r="L38" s="88"/>
      <c r="M38" s="89">
        <f>I38-K38</f>
        <v>7600</v>
      </c>
      <c r="N38" s="4">
        <f>IF(ISERROR(K38/I38),"",K38/I38)</f>
        <v>0</v>
      </c>
      <c r="O38" s="90">
        <f>I38/E38</f>
        <v>316.66666666666669</v>
      </c>
      <c r="P38" s="90">
        <f>K38/E38</f>
        <v>0</v>
      </c>
      <c r="Q38" s="78">
        <v>3</v>
      </c>
      <c r="R38" s="78">
        <v>1</v>
      </c>
      <c r="S38" s="78" t="s">
        <v>65</v>
      </c>
      <c r="T38" s="5">
        <v>80</v>
      </c>
      <c r="U38" s="9"/>
      <c r="W38" s="85">
        <f>D38</f>
        <v>80.5</v>
      </c>
      <c r="X38" s="86">
        <f>E38</f>
        <v>24</v>
      </c>
      <c r="Y38" s="91">
        <f>H38</f>
        <v>792</v>
      </c>
      <c r="Z38" s="89">
        <f>I38</f>
        <v>7600</v>
      </c>
      <c r="AA38" s="89">
        <f>K38</f>
        <v>0</v>
      </c>
      <c r="AB38" s="89">
        <f>M38</f>
        <v>7600</v>
      </c>
      <c r="AC38" s="4">
        <f>N38</f>
        <v>0</v>
      </c>
      <c r="AD38" s="90">
        <f>O38</f>
        <v>316.66666666666669</v>
      </c>
      <c r="AE38" s="78" t="str">
        <f>S38</f>
        <v>복</v>
      </c>
      <c r="AF38" s="78" t="str">
        <f>Q38&amp;"/"&amp;R38</f>
        <v>3/1</v>
      </c>
      <c r="AH38" s="20" t="str">
        <f t="shared" si="1"/>
        <v>우정,신세계</v>
      </c>
      <c r="AI38" s="86">
        <f t="shared" si="0"/>
        <v>24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>X</v>
      </c>
      <c r="AP38" s="78" t="str">
        <f>IF(I38="","",IF(I38&lt;=$AP$1,"O","X"))</f>
        <v>O</v>
      </c>
      <c r="AQ38" s="78" t="str">
        <f>IF(O38="","",IF(O38&lt;=$AQ$1,"O","X"))</f>
        <v>O</v>
      </c>
      <c r="AR38" s="78" t="str">
        <f>IF(M38="","",IF(M38&lt;=$AR$1,"O","X"))</f>
        <v>X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O</v>
      </c>
      <c r="AV38" s="78" t="str">
        <f>IF(AO38="","",IF(AND(AO38="O",AP38="O",AR38="O",AT38="O",AU38="O"),"후보","X"))</f>
        <v>X</v>
      </c>
    </row>
  </sheetData>
  <mergeCells count="1">
    <mergeCell ref="AJ1:AN1"/>
  </mergeCells>
  <phoneticPr fontId="2" type="noConversion"/>
  <conditionalFormatting sqref="AV4:AV6">
    <cfRule type="expression" dxfId="3857" priority="544">
      <formula>AV4="X"</formula>
    </cfRule>
    <cfRule type="expression" dxfId="3856" priority="545">
      <formula>AV4="후보"</formula>
    </cfRule>
  </conditionalFormatting>
  <conditionalFormatting sqref="AC1:AC2 AC4:AC6 N4:N5">
    <cfRule type="cellIs" dxfId="3855" priority="541" operator="greaterThan">
      <formula>0.9</formula>
    </cfRule>
    <cfRule type="cellIs" dxfId="3854" priority="542" operator="greaterThan">
      <formula>0.85</formula>
    </cfRule>
  </conditionalFormatting>
  <conditionalFormatting sqref="N1:N2">
    <cfRule type="cellIs" dxfId="3853" priority="539" operator="greaterThan">
      <formula>0.9</formula>
    </cfRule>
    <cfRule type="cellIs" dxfId="3852" priority="540" operator="greaterThan">
      <formula>0.85</formula>
    </cfRule>
  </conditionalFormatting>
  <conditionalFormatting sqref="N6">
    <cfRule type="cellIs" dxfId="3851" priority="537" operator="greaterThan">
      <formula>0.9</formula>
    </cfRule>
    <cfRule type="cellIs" dxfId="3850" priority="538" operator="greaterThan">
      <formula>0.85</formula>
    </cfRule>
  </conditionalFormatting>
  <conditionalFormatting sqref="E6">
    <cfRule type="expression" dxfId="3849" priority="533">
      <formula>AND(IF(OR($Q6=1,$Q6=2),1,0),IF($X6&lt;=20,1,0))</formula>
    </cfRule>
    <cfRule type="expression" dxfId="3848" priority="534">
      <formula>AND(IF($Q6=2,1,0),IF($X6&lt;30,1,0))</formula>
    </cfRule>
    <cfRule type="expression" dxfId="3847" priority="535">
      <formula>AND(IF($Q6=3,1,0),IF($X6&lt;30,1,0))</formula>
    </cfRule>
    <cfRule type="expression" dxfId="3846" priority="536">
      <formula>AND(IF($Q6=3,1,IF($Q6=4,1,0)),IF($F6&lt;=85,1,0))</formula>
    </cfRule>
  </conditionalFormatting>
  <conditionalFormatting sqref="X6">
    <cfRule type="expression" dxfId="3845" priority="529">
      <formula>AND(IF(OR($Q6=1,$Q6=2),1,0),IF($X6&lt;=20,1,0))</formula>
    </cfRule>
    <cfRule type="expression" dxfId="3844" priority="530">
      <formula>AND(IF($Q6=2,1,0),IF($X6&lt;30,1,0))</formula>
    </cfRule>
    <cfRule type="expression" dxfId="3843" priority="531">
      <formula>AND(IF($Q6=3,1,0),IF($X6&lt;30,1,0))</formula>
    </cfRule>
    <cfRule type="expression" dxfId="3842" priority="532">
      <formula>AND(IF($Q6=3,1,IF($Q6=4,1,0)),IF($F6&lt;=85,1,0))</formula>
    </cfRule>
  </conditionalFormatting>
  <conditionalFormatting sqref="AI6">
    <cfRule type="expression" dxfId="3841" priority="525">
      <formula>AND(IF(OR($Q6=1,$Q6=2),1,0),IF($X6&lt;=20,1,0))</formula>
    </cfRule>
    <cfRule type="expression" dxfId="3840" priority="526">
      <formula>AND(IF($Q6=2,1,0),IF($X6&lt;30,1,0))</formula>
    </cfRule>
    <cfRule type="expression" dxfId="3839" priority="527">
      <formula>AND(IF($Q6=3,1,0),IF($X6&lt;30,1,0))</formula>
    </cfRule>
    <cfRule type="expression" dxfId="3838" priority="528">
      <formula>AND(IF($Q6=3,1,IF($Q6=4,1,0)),IF($F6&lt;=85,1,0))</formula>
    </cfRule>
  </conditionalFormatting>
  <conditionalFormatting sqref="AV7">
    <cfRule type="expression" dxfId="3837" priority="523">
      <formula>AV7="X"</formula>
    </cfRule>
    <cfRule type="expression" dxfId="3836" priority="524">
      <formula>AV7="후보"</formula>
    </cfRule>
  </conditionalFormatting>
  <conditionalFormatting sqref="AC7">
    <cfRule type="cellIs" dxfId="3835" priority="520" operator="greaterThan">
      <formula>0.9</formula>
    </cfRule>
    <cfRule type="cellIs" dxfId="3834" priority="521" operator="greaterThan">
      <formula>0.85</formula>
    </cfRule>
  </conditionalFormatting>
  <conditionalFormatting sqref="N7">
    <cfRule type="cellIs" dxfId="3833" priority="518" operator="greaterThan">
      <formula>0.9</formula>
    </cfRule>
    <cfRule type="cellIs" dxfId="3832" priority="519" operator="greaterThan">
      <formula>0.85</formula>
    </cfRule>
  </conditionalFormatting>
  <conditionalFormatting sqref="E7">
    <cfRule type="expression" dxfId="3831" priority="514">
      <formula>AND(IF(OR($Q7=1,$Q7=2),1,0),IF($X7&lt;=20,1,0))</formula>
    </cfRule>
    <cfRule type="expression" dxfId="3830" priority="515">
      <formula>AND(IF($Q7=2,1,0),IF($X7&lt;30,1,0))</formula>
    </cfRule>
    <cfRule type="expression" dxfId="3829" priority="516">
      <formula>AND(IF($Q7=3,1,0),IF($X7&lt;30,1,0))</formula>
    </cfRule>
    <cfRule type="expression" dxfId="3828" priority="517">
      <formula>AND(IF($Q7=3,1,IF($Q7=4,1,0)),IF($F7&lt;=85,1,0))</formula>
    </cfRule>
  </conditionalFormatting>
  <conditionalFormatting sqref="X7">
    <cfRule type="expression" dxfId="3827" priority="510">
      <formula>AND(IF(OR($Q7=1,$Q7=2),1,0),IF($X7&lt;=20,1,0))</formula>
    </cfRule>
    <cfRule type="expression" dxfId="3826" priority="511">
      <formula>AND(IF($Q7=2,1,0),IF($X7&lt;30,1,0))</formula>
    </cfRule>
    <cfRule type="expression" dxfId="3825" priority="512">
      <formula>AND(IF($Q7=3,1,0),IF($X7&lt;30,1,0))</formula>
    </cfRule>
    <cfRule type="expression" dxfId="3824" priority="513">
      <formula>AND(IF($Q7=3,1,IF($Q7=4,1,0)),IF($F7&lt;=85,1,0))</formula>
    </cfRule>
  </conditionalFormatting>
  <conditionalFormatting sqref="AI7">
    <cfRule type="expression" dxfId="3823" priority="506">
      <formula>AND(IF(OR($Q7=1,$Q7=2),1,0),IF($X7&lt;=20,1,0))</formula>
    </cfRule>
    <cfRule type="expression" dxfId="3822" priority="507">
      <formula>AND(IF($Q7=2,1,0),IF($X7&lt;30,1,0))</formula>
    </cfRule>
    <cfRule type="expression" dxfId="3821" priority="508">
      <formula>AND(IF($Q7=3,1,0),IF($X7&lt;30,1,0))</formula>
    </cfRule>
    <cfRule type="expression" dxfId="3820" priority="509">
      <formula>AND(IF($Q7=3,1,IF($Q7=4,1,0)),IF($F7&lt;=85,1,0))</formula>
    </cfRule>
  </conditionalFormatting>
  <conditionalFormatting sqref="AV8">
    <cfRule type="expression" dxfId="3819" priority="504">
      <formula>AV8="X"</formula>
    </cfRule>
    <cfRule type="expression" dxfId="3818" priority="505">
      <formula>AV8="후보"</formula>
    </cfRule>
  </conditionalFormatting>
  <conditionalFormatting sqref="AC8">
    <cfRule type="cellIs" dxfId="3817" priority="501" operator="greaterThan">
      <formula>0.9</formula>
    </cfRule>
    <cfRule type="cellIs" dxfId="3816" priority="502" operator="greaterThan">
      <formula>0.85</formula>
    </cfRule>
  </conditionalFormatting>
  <conditionalFormatting sqref="N8">
    <cfRule type="cellIs" dxfId="3815" priority="499" operator="greaterThan">
      <formula>0.9</formula>
    </cfRule>
    <cfRule type="cellIs" dxfId="3814" priority="500" operator="greaterThan">
      <formula>0.85</formula>
    </cfRule>
  </conditionalFormatting>
  <conditionalFormatting sqref="E8">
    <cfRule type="expression" dxfId="3813" priority="495">
      <formula>AND(IF(OR($Q8=1,$Q8=2),1,0),IF($X8&lt;=20,1,0))</formula>
    </cfRule>
    <cfRule type="expression" dxfId="3812" priority="496">
      <formula>AND(IF($Q8=2,1,0),IF($X8&lt;30,1,0))</formula>
    </cfRule>
    <cfRule type="expression" dxfId="3811" priority="497">
      <formula>AND(IF($Q8=3,1,0),IF($X8&lt;30,1,0))</formula>
    </cfRule>
    <cfRule type="expression" dxfId="3810" priority="498">
      <formula>AND(IF($Q8=3,1,IF($Q8=4,1,0)),IF($F8&lt;=85,1,0))</formula>
    </cfRule>
  </conditionalFormatting>
  <conditionalFormatting sqref="X8">
    <cfRule type="expression" dxfId="3809" priority="491">
      <formula>AND(IF(OR($Q8=1,$Q8=2),1,0),IF($X8&lt;=20,1,0))</formula>
    </cfRule>
    <cfRule type="expression" dxfId="3808" priority="492">
      <formula>AND(IF($Q8=2,1,0),IF($X8&lt;30,1,0))</formula>
    </cfRule>
    <cfRule type="expression" dxfId="3807" priority="493">
      <formula>AND(IF($Q8=3,1,0),IF($X8&lt;30,1,0))</formula>
    </cfRule>
    <cfRule type="expression" dxfId="3806" priority="494">
      <formula>AND(IF($Q8=3,1,IF($Q8=4,1,0)),IF($F8&lt;=85,1,0))</formula>
    </cfRule>
  </conditionalFormatting>
  <conditionalFormatting sqref="AI8">
    <cfRule type="expression" dxfId="3805" priority="487">
      <formula>AND(IF(OR($Q8=1,$Q8=2),1,0),IF($X8&lt;=20,1,0))</formula>
    </cfRule>
    <cfRule type="expression" dxfId="3804" priority="488">
      <formula>AND(IF($Q8=2,1,0),IF($X8&lt;30,1,0))</formula>
    </cfRule>
    <cfRule type="expression" dxfId="3803" priority="489">
      <formula>AND(IF($Q8=3,1,0),IF($X8&lt;30,1,0))</formula>
    </cfRule>
    <cfRule type="expression" dxfId="3802" priority="490">
      <formula>AND(IF($Q8=3,1,IF($Q8=4,1,0)),IF($F8&lt;=85,1,0))</formula>
    </cfRule>
  </conditionalFormatting>
  <conditionalFormatting sqref="AV9">
    <cfRule type="expression" dxfId="3801" priority="485">
      <formula>AV9="X"</formula>
    </cfRule>
    <cfRule type="expression" dxfId="3800" priority="486">
      <formula>AV9="후보"</formula>
    </cfRule>
  </conditionalFormatting>
  <conditionalFormatting sqref="AC9">
    <cfRule type="cellIs" dxfId="3799" priority="482" operator="greaterThan">
      <formula>0.9</formula>
    </cfRule>
    <cfRule type="cellIs" dxfId="3798" priority="483" operator="greaterThan">
      <formula>0.85</formula>
    </cfRule>
  </conditionalFormatting>
  <conditionalFormatting sqref="N9">
    <cfRule type="cellIs" dxfId="3797" priority="480" operator="greaterThan">
      <formula>0.9</formula>
    </cfRule>
    <cfRule type="cellIs" dxfId="3796" priority="481" operator="greaterThan">
      <formula>0.85</formula>
    </cfRule>
  </conditionalFormatting>
  <conditionalFormatting sqref="E9">
    <cfRule type="expression" dxfId="3795" priority="476">
      <formula>AND(IF(OR($Q9=1,$Q9=2),1,0),IF($X9&lt;=20,1,0))</formula>
    </cfRule>
    <cfRule type="expression" dxfId="3794" priority="477">
      <formula>AND(IF($Q9=2,1,0),IF($X9&lt;30,1,0))</formula>
    </cfRule>
    <cfRule type="expression" dxfId="3793" priority="478">
      <formula>AND(IF($Q9=3,1,0),IF($X9&lt;30,1,0))</formula>
    </cfRule>
    <cfRule type="expression" dxfId="3792" priority="479">
      <formula>AND(IF($Q9=3,1,IF($Q9=4,1,0)),IF($F9&lt;=85,1,0))</formula>
    </cfRule>
  </conditionalFormatting>
  <conditionalFormatting sqref="X9">
    <cfRule type="expression" dxfId="3791" priority="472">
      <formula>AND(IF(OR($Q9=1,$Q9=2),1,0),IF($X9&lt;=20,1,0))</formula>
    </cfRule>
    <cfRule type="expression" dxfId="3790" priority="473">
      <formula>AND(IF($Q9=2,1,0),IF($X9&lt;30,1,0))</formula>
    </cfRule>
    <cfRule type="expression" dxfId="3789" priority="474">
      <formula>AND(IF($Q9=3,1,0),IF($X9&lt;30,1,0))</formula>
    </cfRule>
    <cfRule type="expression" dxfId="3788" priority="475">
      <formula>AND(IF($Q9=3,1,IF($Q9=4,1,0)),IF($F9&lt;=85,1,0))</formula>
    </cfRule>
  </conditionalFormatting>
  <conditionalFormatting sqref="AI9">
    <cfRule type="expression" dxfId="3787" priority="468">
      <formula>AND(IF(OR($Q9=1,$Q9=2),1,0),IF($X9&lt;=20,1,0))</formula>
    </cfRule>
    <cfRule type="expression" dxfId="3786" priority="469">
      <formula>AND(IF($Q9=2,1,0),IF($X9&lt;30,1,0))</formula>
    </cfRule>
    <cfRule type="expression" dxfId="3785" priority="470">
      <formula>AND(IF($Q9=3,1,0),IF($X9&lt;30,1,0))</formula>
    </cfRule>
    <cfRule type="expression" dxfId="3784" priority="471">
      <formula>AND(IF($Q9=3,1,IF($Q9=4,1,0)),IF($F9&lt;=85,1,0))</formula>
    </cfRule>
  </conditionalFormatting>
  <conditionalFormatting sqref="AV10">
    <cfRule type="expression" dxfId="3783" priority="466">
      <formula>AV10="X"</formula>
    </cfRule>
    <cfRule type="expression" dxfId="3782" priority="467">
      <formula>AV10="후보"</formula>
    </cfRule>
  </conditionalFormatting>
  <conditionalFormatting sqref="AC10">
    <cfRule type="cellIs" dxfId="3781" priority="463" operator="greaterThan">
      <formula>0.9</formula>
    </cfRule>
    <cfRule type="cellIs" dxfId="3780" priority="464" operator="greaterThan">
      <formula>0.85</formula>
    </cfRule>
  </conditionalFormatting>
  <conditionalFormatting sqref="N10">
    <cfRule type="cellIs" dxfId="3779" priority="461" operator="greaterThan">
      <formula>0.9</formula>
    </cfRule>
    <cfRule type="cellIs" dxfId="3778" priority="462" operator="greaterThan">
      <formula>0.85</formula>
    </cfRule>
  </conditionalFormatting>
  <conditionalFormatting sqref="E10">
    <cfRule type="expression" dxfId="3777" priority="457">
      <formula>AND(IF(OR($Q10=1,$Q10=2),1,0),IF($X10&lt;=20,1,0))</formula>
    </cfRule>
    <cfRule type="expression" dxfId="3776" priority="458">
      <formula>AND(IF($Q10=2,1,0),IF($X10&lt;30,1,0))</formula>
    </cfRule>
    <cfRule type="expression" dxfId="3775" priority="459">
      <formula>AND(IF($Q10=3,1,0),IF($X10&lt;30,1,0))</formula>
    </cfRule>
    <cfRule type="expression" dxfId="3774" priority="460">
      <formula>AND(IF($Q10=3,1,IF($Q10=4,1,0)),IF($F10&lt;=85,1,0))</formula>
    </cfRule>
  </conditionalFormatting>
  <conditionalFormatting sqref="X10">
    <cfRule type="expression" dxfId="3773" priority="453">
      <formula>AND(IF(OR($Q10=1,$Q10=2),1,0),IF($X10&lt;=20,1,0))</formula>
    </cfRule>
    <cfRule type="expression" dxfId="3772" priority="454">
      <formula>AND(IF($Q10=2,1,0),IF($X10&lt;30,1,0))</formula>
    </cfRule>
    <cfRule type="expression" dxfId="3771" priority="455">
      <formula>AND(IF($Q10=3,1,0),IF($X10&lt;30,1,0))</formula>
    </cfRule>
    <cfRule type="expression" dxfId="3770" priority="456">
      <formula>AND(IF($Q10=3,1,IF($Q10=4,1,0)),IF($F10&lt;=85,1,0))</formula>
    </cfRule>
  </conditionalFormatting>
  <conditionalFormatting sqref="AI10">
    <cfRule type="expression" dxfId="3769" priority="449">
      <formula>AND(IF(OR($Q10=1,$Q10=2),1,0),IF($X10&lt;=20,1,0))</formula>
    </cfRule>
    <cfRule type="expression" dxfId="3768" priority="450">
      <formula>AND(IF($Q10=2,1,0),IF($X10&lt;30,1,0))</formula>
    </cfRule>
    <cfRule type="expression" dxfId="3767" priority="451">
      <formula>AND(IF($Q10=3,1,0),IF($X10&lt;30,1,0))</formula>
    </cfRule>
    <cfRule type="expression" dxfId="3766" priority="452">
      <formula>AND(IF($Q10=3,1,IF($Q10=4,1,0)),IF($F10&lt;=85,1,0))</formula>
    </cfRule>
  </conditionalFormatting>
  <conditionalFormatting sqref="AV11">
    <cfRule type="expression" dxfId="3765" priority="447">
      <formula>AV11="X"</formula>
    </cfRule>
    <cfRule type="expression" dxfId="3764" priority="448">
      <formula>AV11="후보"</formula>
    </cfRule>
  </conditionalFormatting>
  <conditionalFormatting sqref="AC11 N11">
    <cfRule type="cellIs" dxfId="3763" priority="444" operator="greaterThan">
      <formula>0.9</formula>
    </cfRule>
    <cfRule type="cellIs" dxfId="3762" priority="445" operator="greaterThan">
      <formula>0.85</formula>
    </cfRule>
  </conditionalFormatting>
  <conditionalFormatting sqref="AV12">
    <cfRule type="expression" dxfId="3761" priority="442">
      <formula>AV12="X"</formula>
    </cfRule>
    <cfRule type="expression" dxfId="3760" priority="443">
      <formula>AV12="후보"</formula>
    </cfRule>
  </conditionalFormatting>
  <conditionalFormatting sqref="AC12">
    <cfRule type="cellIs" dxfId="3759" priority="439" operator="greaterThan">
      <formula>0.9</formula>
    </cfRule>
    <cfRule type="cellIs" dxfId="3758" priority="440" operator="greaterThan">
      <formula>0.85</formula>
    </cfRule>
  </conditionalFormatting>
  <conditionalFormatting sqref="N12">
    <cfRule type="cellIs" dxfId="3757" priority="437" operator="greaterThan">
      <formula>0.9</formula>
    </cfRule>
    <cfRule type="cellIs" dxfId="3756" priority="438" operator="greaterThan">
      <formula>0.85</formula>
    </cfRule>
  </conditionalFormatting>
  <conditionalFormatting sqref="E12">
    <cfRule type="expression" dxfId="3755" priority="433">
      <formula>AND(IF(OR($Q12=1,$Q12=2),1,0),IF($X12&lt;=20,1,0))</formula>
    </cfRule>
    <cfRule type="expression" dxfId="3754" priority="434">
      <formula>AND(IF($Q12=2,1,0),IF($X12&lt;30,1,0))</formula>
    </cfRule>
    <cfRule type="expression" dxfId="3753" priority="435">
      <formula>AND(IF($Q12=3,1,0),IF($X12&lt;30,1,0))</formula>
    </cfRule>
    <cfRule type="expression" dxfId="3752" priority="436">
      <formula>AND(IF($Q12=3,1,IF($Q12=4,1,0)),IF($F12&lt;=85,1,0))</formula>
    </cfRule>
  </conditionalFormatting>
  <conditionalFormatting sqref="X12">
    <cfRule type="expression" dxfId="3751" priority="429">
      <formula>AND(IF(OR($Q12=1,$Q12=2),1,0),IF($X12&lt;=20,1,0))</formula>
    </cfRule>
    <cfRule type="expression" dxfId="3750" priority="430">
      <formula>AND(IF($Q12=2,1,0),IF($X12&lt;30,1,0))</formula>
    </cfRule>
    <cfRule type="expression" dxfId="3749" priority="431">
      <formula>AND(IF($Q12=3,1,0),IF($X12&lt;30,1,0))</formula>
    </cfRule>
    <cfRule type="expression" dxfId="3748" priority="432">
      <formula>AND(IF($Q12=3,1,IF($Q12=4,1,0)),IF($F12&lt;=85,1,0))</formula>
    </cfRule>
  </conditionalFormatting>
  <conditionalFormatting sqref="AI12">
    <cfRule type="expression" dxfId="3747" priority="425">
      <formula>AND(IF(OR($Q12=1,$Q12=2),1,0),IF($X12&lt;=20,1,0))</formula>
    </cfRule>
    <cfRule type="expression" dxfId="3746" priority="426">
      <formula>AND(IF($Q12=2,1,0),IF($X12&lt;30,1,0))</formula>
    </cfRule>
    <cfRule type="expression" dxfId="3745" priority="427">
      <formula>AND(IF($Q12=3,1,0),IF($X12&lt;30,1,0))</formula>
    </cfRule>
    <cfRule type="expression" dxfId="3744" priority="428">
      <formula>AND(IF($Q12=3,1,IF($Q12=4,1,0)),IF($F12&lt;=85,1,0))</formula>
    </cfRule>
  </conditionalFormatting>
  <conditionalFormatting sqref="AV13">
    <cfRule type="expression" dxfId="3743" priority="423">
      <formula>AV13="X"</formula>
    </cfRule>
    <cfRule type="expression" dxfId="3742" priority="424">
      <formula>AV13="후보"</formula>
    </cfRule>
  </conditionalFormatting>
  <conditionalFormatting sqref="AC13">
    <cfRule type="cellIs" dxfId="3741" priority="420" operator="greaterThan">
      <formula>0.9</formula>
    </cfRule>
    <cfRule type="cellIs" dxfId="3740" priority="421" operator="greaterThan">
      <formula>0.85</formula>
    </cfRule>
  </conditionalFormatting>
  <conditionalFormatting sqref="N13">
    <cfRule type="cellIs" dxfId="3739" priority="418" operator="greaterThan">
      <formula>0.9</formula>
    </cfRule>
    <cfRule type="cellIs" dxfId="3738" priority="419" operator="greaterThan">
      <formula>0.85</formula>
    </cfRule>
  </conditionalFormatting>
  <conditionalFormatting sqref="E13">
    <cfRule type="expression" dxfId="3737" priority="414">
      <formula>AND(IF(OR($Q13=1,$Q13=2),1,0),IF($X13&lt;=20,1,0))</formula>
    </cfRule>
    <cfRule type="expression" dxfId="3736" priority="415">
      <formula>AND(IF($Q13=2,1,0),IF($X13&lt;30,1,0))</formula>
    </cfRule>
    <cfRule type="expression" dxfId="3735" priority="416">
      <formula>AND(IF($Q13=3,1,0),IF($X13&lt;30,1,0))</formula>
    </cfRule>
    <cfRule type="expression" dxfId="3734" priority="417">
      <formula>AND(IF($Q13=3,1,IF($Q13=4,1,0)),IF($F13&lt;=85,1,0))</formula>
    </cfRule>
  </conditionalFormatting>
  <conditionalFormatting sqref="X13">
    <cfRule type="expression" dxfId="3733" priority="410">
      <formula>AND(IF(OR($Q13=1,$Q13=2),1,0),IF($X13&lt;=20,1,0))</formula>
    </cfRule>
    <cfRule type="expression" dxfId="3732" priority="411">
      <formula>AND(IF($Q13=2,1,0),IF($X13&lt;30,1,0))</formula>
    </cfRule>
    <cfRule type="expression" dxfId="3731" priority="412">
      <formula>AND(IF($Q13=3,1,0),IF($X13&lt;30,1,0))</formula>
    </cfRule>
    <cfRule type="expression" dxfId="3730" priority="413">
      <formula>AND(IF($Q13=3,1,IF($Q13=4,1,0)),IF($F13&lt;=85,1,0))</formula>
    </cfRule>
  </conditionalFormatting>
  <conditionalFormatting sqref="AI13">
    <cfRule type="expression" dxfId="3729" priority="406">
      <formula>AND(IF(OR($Q13=1,$Q13=2),1,0),IF($X13&lt;=20,1,0))</formula>
    </cfRule>
    <cfRule type="expression" dxfId="3728" priority="407">
      <formula>AND(IF($Q13=2,1,0),IF($X13&lt;30,1,0))</formula>
    </cfRule>
    <cfRule type="expression" dxfId="3727" priority="408">
      <formula>AND(IF($Q13=3,1,0),IF($X13&lt;30,1,0))</formula>
    </cfRule>
    <cfRule type="expression" dxfId="3726" priority="409">
      <formula>AND(IF($Q13=3,1,IF($Q13=4,1,0)),IF($F13&lt;=85,1,0))</formula>
    </cfRule>
  </conditionalFormatting>
  <conditionalFormatting sqref="AV14">
    <cfRule type="expression" dxfId="3725" priority="404">
      <formula>AV14="X"</formula>
    </cfRule>
    <cfRule type="expression" dxfId="3724" priority="405">
      <formula>AV14="후보"</formula>
    </cfRule>
  </conditionalFormatting>
  <conditionalFormatting sqref="AC14">
    <cfRule type="cellIs" dxfId="3723" priority="401" operator="greaterThan">
      <formula>0.9</formula>
    </cfRule>
    <cfRule type="cellIs" dxfId="3722" priority="402" operator="greaterThan">
      <formula>0.85</formula>
    </cfRule>
  </conditionalFormatting>
  <conditionalFormatting sqref="N14">
    <cfRule type="cellIs" dxfId="3721" priority="399" operator="greaterThan">
      <formula>0.9</formula>
    </cfRule>
    <cfRule type="cellIs" dxfId="3720" priority="400" operator="greaterThan">
      <formula>0.85</formula>
    </cfRule>
  </conditionalFormatting>
  <conditionalFormatting sqref="E14">
    <cfRule type="expression" dxfId="3719" priority="395">
      <formula>AND(IF(OR($Q14=1,$Q14=2),1,0),IF($X14&lt;=20,1,0))</formula>
    </cfRule>
    <cfRule type="expression" dxfId="3718" priority="396">
      <formula>AND(IF($Q14=2,1,0),IF($X14&lt;30,1,0))</formula>
    </cfRule>
    <cfRule type="expression" dxfId="3717" priority="397">
      <formula>AND(IF($Q14=3,1,0),IF($X14&lt;30,1,0))</formula>
    </cfRule>
    <cfRule type="expression" dxfId="3716" priority="398">
      <formula>AND(IF($Q14=3,1,IF($Q14=4,1,0)),IF($F14&lt;=85,1,0))</formula>
    </cfRule>
  </conditionalFormatting>
  <conditionalFormatting sqref="X14">
    <cfRule type="expression" dxfId="3715" priority="391">
      <formula>AND(IF(OR($Q14=1,$Q14=2),1,0),IF($X14&lt;=20,1,0))</formula>
    </cfRule>
    <cfRule type="expression" dxfId="3714" priority="392">
      <formula>AND(IF($Q14=2,1,0),IF($X14&lt;30,1,0))</formula>
    </cfRule>
    <cfRule type="expression" dxfId="3713" priority="393">
      <formula>AND(IF($Q14=3,1,0),IF($X14&lt;30,1,0))</formula>
    </cfRule>
    <cfRule type="expression" dxfId="3712" priority="394">
      <formula>AND(IF($Q14=3,1,IF($Q14=4,1,0)),IF($F14&lt;=85,1,0))</formula>
    </cfRule>
  </conditionalFormatting>
  <conditionalFormatting sqref="AI14">
    <cfRule type="expression" dxfId="3711" priority="387">
      <formula>AND(IF(OR($Q14=1,$Q14=2),1,0),IF($X14&lt;=20,1,0))</formula>
    </cfRule>
    <cfRule type="expression" dxfId="3710" priority="388">
      <formula>AND(IF($Q14=2,1,0),IF($X14&lt;30,1,0))</formula>
    </cfRule>
    <cfRule type="expression" dxfId="3709" priority="389">
      <formula>AND(IF($Q14=3,1,0),IF($X14&lt;30,1,0))</formula>
    </cfRule>
    <cfRule type="expression" dxfId="3708" priority="390">
      <formula>AND(IF($Q14=3,1,IF($Q14=4,1,0)),IF($F14&lt;=85,1,0))</formula>
    </cfRule>
  </conditionalFormatting>
  <conditionalFormatting sqref="AV15">
    <cfRule type="expression" dxfId="3707" priority="385">
      <formula>AV15="X"</formula>
    </cfRule>
    <cfRule type="expression" dxfId="3706" priority="386">
      <formula>AV15="후보"</formula>
    </cfRule>
  </conditionalFormatting>
  <conditionalFormatting sqref="AC15">
    <cfRule type="cellIs" dxfId="3705" priority="382" operator="greaterThan">
      <formula>0.9</formula>
    </cfRule>
    <cfRule type="cellIs" dxfId="3704" priority="383" operator="greaterThan">
      <formula>0.85</formula>
    </cfRule>
  </conditionalFormatting>
  <conditionalFormatting sqref="N15">
    <cfRule type="cellIs" dxfId="3703" priority="380" operator="greaterThan">
      <formula>0.9</formula>
    </cfRule>
    <cfRule type="cellIs" dxfId="3702" priority="381" operator="greaterThan">
      <formula>0.85</formula>
    </cfRule>
  </conditionalFormatting>
  <conditionalFormatting sqref="E15">
    <cfRule type="expression" dxfId="3701" priority="376">
      <formula>AND(IF(OR($Q15=1,$Q15=2),1,0),IF($X15&lt;=20,1,0))</formula>
    </cfRule>
    <cfRule type="expression" dxfId="3700" priority="377">
      <formula>AND(IF($Q15=2,1,0),IF($X15&lt;30,1,0))</formula>
    </cfRule>
    <cfRule type="expression" dxfId="3699" priority="378">
      <formula>AND(IF($Q15=3,1,0),IF($X15&lt;30,1,0))</formula>
    </cfRule>
    <cfRule type="expression" dxfId="3698" priority="379">
      <formula>AND(IF($Q15=3,1,IF($Q15=4,1,0)),IF($F15&lt;=85,1,0))</formula>
    </cfRule>
  </conditionalFormatting>
  <conditionalFormatting sqref="X15">
    <cfRule type="expression" dxfId="3697" priority="372">
      <formula>AND(IF(OR($Q15=1,$Q15=2),1,0),IF($X15&lt;=20,1,0))</formula>
    </cfRule>
    <cfRule type="expression" dxfId="3696" priority="373">
      <formula>AND(IF($Q15=2,1,0),IF($X15&lt;30,1,0))</formula>
    </cfRule>
    <cfRule type="expression" dxfId="3695" priority="374">
      <formula>AND(IF($Q15=3,1,0),IF($X15&lt;30,1,0))</formula>
    </cfRule>
    <cfRule type="expression" dxfId="3694" priority="375">
      <formula>AND(IF($Q15=3,1,IF($Q15=4,1,0)),IF($F15&lt;=85,1,0))</formula>
    </cfRule>
  </conditionalFormatting>
  <conditionalFormatting sqref="AI15">
    <cfRule type="expression" dxfId="3693" priority="368">
      <formula>AND(IF(OR($Q15=1,$Q15=2),1,0),IF($X15&lt;=20,1,0))</formula>
    </cfRule>
    <cfRule type="expression" dxfId="3692" priority="369">
      <formula>AND(IF($Q15=2,1,0),IF($X15&lt;30,1,0))</formula>
    </cfRule>
    <cfRule type="expression" dxfId="3691" priority="370">
      <formula>AND(IF($Q15=3,1,0),IF($X15&lt;30,1,0))</formula>
    </cfRule>
    <cfRule type="expression" dxfId="3690" priority="371">
      <formula>AND(IF($Q15=3,1,IF($Q15=4,1,0)),IF($F15&lt;=85,1,0))</formula>
    </cfRule>
  </conditionalFormatting>
  <conditionalFormatting sqref="AV16">
    <cfRule type="expression" dxfId="3689" priority="366">
      <formula>AV16="X"</formula>
    </cfRule>
    <cfRule type="expression" dxfId="3688" priority="367">
      <formula>AV16="후보"</formula>
    </cfRule>
  </conditionalFormatting>
  <conditionalFormatting sqref="AC16 N16">
    <cfRule type="cellIs" dxfId="3687" priority="363" operator="greaterThan">
      <formula>0.9</formula>
    </cfRule>
    <cfRule type="cellIs" dxfId="3686" priority="364" operator="greaterThan">
      <formula>0.85</formula>
    </cfRule>
  </conditionalFormatting>
  <conditionalFormatting sqref="AV17">
    <cfRule type="expression" dxfId="3685" priority="361">
      <formula>AV17="X"</formula>
    </cfRule>
    <cfRule type="expression" dxfId="3684" priority="362">
      <formula>AV17="후보"</formula>
    </cfRule>
  </conditionalFormatting>
  <conditionalFormatting sqref="AC17">
    <cfRule type="cellIs" dxfId="3683" priority="358" operator="greaterThan">
      <formula>0.9</formula>
    </cfRule>
    <cfRule type="cellIs" dxfId="3682" priority="359" operator="greaterThan">
      <formula>0.85</formula>
    </cfRule>
  </conditionalFormatting>
  <conditionalFormatting sqref="N17">
    <cfRule type="cellIs" dxfId="3681" priority="356" operator="greaterThan">
      <formula>0.9</formula>
    </cfRule>
    <cfRule type="cellIs" dxfId="3680" priority="357" operator="greaterThan">
      <formula>0.85</formula>
    </cfRule>
  </conditionalFormatting>
  <conditionalFormatting sqref="E17">
    <cfRule type="expression" dxfId="3679" priority="352">
      <formula>AND(IF(OR($Q17=1,$Q17=2),1,0),IF($X17&lt;=20,1,0))</formula>
    </cfRule>
    <cfRule type="expression" dxfId="3678" priority="353">
      <formula>AND(IF($Q17=2,1,0),IF($X17&lt;30,1,0))</formula>
    </cfRule>
    <cfRule type="expression" dxfId="3677" priority="354">
      <formula>AND(IF($Q17=3,1,0),IF($X17&lt;30,1,0))</formula>
    </cfRule>
    <cfRule type="expression" dxfId="3676" priority="355">
      <formula>AND(IF($Q17=3,1,IF($Q17=4,1,0)),IF($F17&lt;=85,1,0))</formula>
    </cfRule>
  </conditionalFormatting>
  <conditionalFormatting sqref="X17">
    <cfRule type="expression" dxfId="3675" priority="348">
      <formula>AND(IF(OR($Q17=1,$Q17=2),1,0),IF($X17&lt;=20,1,0))</formula>
    </cfRule>
    <cfRule type="expression" dxfId="3674" priority="349">
      <formula>AND(IF($Q17=2,1,0),IF($X17&lt;30,1,0))</formula>
    </cfRule>
    <cfRule type="expression" dxfId="3673" priority="350">
      <formula>AND(IF($Q17=3,1,0),IF($X17&lt;30,1,0))</formula>
    </cfRule>
    <cfRule type="expression" dxfId="3672" priority="351">
      <formula>AND(IF($Q17=3,1,IF($Q17=4,1,0)),IF($F17&lt;=85,1,0))</formula>
    </cfRule>
  </conditionalFormatting>
  <conditionalFormatting sqref="AI17">
    <cfRule type="expression" dxfId="3671" priority="344">
      <formula>AND(IF(OR($Q17=1,$Q17=2),1,0),IF($X17&lt;=20,1,0))</formula>
    </cfRule>
    <cfRule type="expression" dxfId="3670" priority="345">
      <formula>AND(IF($Q17=2,1,0),IF($X17&lt;30,1,0))</formula>
    </cfRule>
    <cfRule type="expression" dxfId="3669" priority="346">
      <formula>AND(IF($Q17=3,1,0),IF($X17&lt;30,1,0))</formula>
    </cfRule>
    <cfRule type="expression" dxfId="3668" priority="347">
      <formula>AND(IF($Q17=3,1,IF($Q17=4,1,0)),IF($F17&lt;=85,1,0))</formula>
    </cfRule>
  </conditionalFormatting>
  <conditionalFormatting sqref="AV18">
    <cfRule type="expression" dxfId="3667" priority="342">
      <formula>AV18="X"</formula>
    </cfRule>
    <cfRule type="expression" dxfId="3666" priority="343">
      <formula>AV18="후보"</formula>
    </cfRule>
  </conditionalFormatting>
  <conditionalFormatting sqref="AC18">
    <cfRule type="cellIs" dxfId="3665" priority="339" operator="greaterThan">
      <formula>0.9</formula>
    </cfRule>
    <cfRule type="cellIs" dxfId="3664" priority="340" operator="greaterThan">
      <formula>0.85</formula>
    </cfRule>
  </conditionalFormatting>
  <conditionalFormatting sqref="N18">
    <cfRule type="cellIs" dxfId="3663" priority="337" operator="greaterThan">
      <formula>0.9</formula>
    </cfRule>
    <cfRule type="cellIs" dxfId="3662" priority="338" operator="greaterThan">
      <formula>0.85</formula>
    </cfRule>
  </conditionalFormatting>
  <conditionalFormatting sqref="E18">
    <cfRule type="expression" dxfId="3661" priority="333">
      <formula>AND(IF(OR($Q18=1,$Q18=2),1,0),IF($X18&lt;=20,1,0))</formula>
    </cfRule>
    <cfRule type="expression" dxfId="3660" priority="334">
      <formula>AND(IF($Q18=2,1,0),IF($X18&lt;30,1,0))</formula>
    </cfRule>
    <cfRule type="expression" dxfId="3659" priority="335">
      <formula>AND(IF($Q18=3,1,0),IF($X18&lt;30,1,0))</formula>
    </cfRule>
    <cfRule type="expression" dxfId="3658" priority="336">
      <formula>AND(IF($Q18=3,1,IF($Q18=4,1,0)),IF($F18&lt;=85,1,0))</formula>
    </cfRule>
  </conditionalFormatting>
  <conditionalFormatting sqref="X18">
    <cfRule type="expression" dxfId="3657" priority="329">
      <formula>AND(IF(OR($Q18=1,$Q18=2),1,0),IF($X18&lt;=20,1,0))</formula>
    </cfRule>
    <cfRule type="expression" dxfId="3656" priority="330">
      <formula>AND(IF($Q18=2,1,0),IF($X18&lt;30,1,0))</formula>
    </cfRule>
    <cfRule type="expression" dxfId="3655" priority="331">
      <formula>AND(IF($Q18=3,1,0),IF($X18&lt;30,1,0))</formula>
    </cfRule>
    <cfRule type="expression" dxfId="3654" priority="332">
      <formula>AND(IF($Q18=3,1,IF($Q18=4,1,0)),IF($F18&lt;=85,1,0))</formula>
    </cfRule>
  </conditionalFormatting>
  <conditionalFormatting sqref="AI18">
    <cfRule type="expression" dxfId="3653" priority="325">
      <formula>AND(IF(OR($Q18=1,$Q18=2),1,0),IF($X18&lt;=20,1,0))</formula>
    </cfRule>
    <cfRule type="expression" dxfId="3652" priority="326">
      <formula>AND(IF($Q18=2,1,0),IF($X18&lt;30,1,0))</formula>
    </cfRule>
    <cfRule type="expression" dxfId="3651" priority="327">
      <formula>AND(IF($Q18=3,1,0),IF($X18&lt;30,1,0))</formula>
    </cfRule>
    <cfRule type="expression" dxfId="3650" priority="328">
      <formula>AND(IF($Q18=3,1,IF($Q18=4,1,0)),IF($F18&lt;=85,1,0))</formula>
    </cfRule>
  </conditionalFormatting>
  <conditionalFormatting sqref="AV19">
    <cfRule type="expression" dxfId="3649" priority="323">
      <formula>AV19="X"</formula>
    </cfRule>
    <cfRule type="expression" dxfId="3648" priority="324">
      <formula>AV19="후보"</formula>
    </cfRule>
  </conditionalFormatting>
  <conditionalFormatting sqref="AC19">
    <cfRule type="cellIs" dxfId="3647" priority="320" operator="greaterThan">
      <formula>0.9</formula>
    </cfRule>
    <cfRule type="cellIs" dxfId="3646" priority="321" operator="greaterThan">
      <formula>0.85</formula>
    </cfRule>
  </conditionalFormatting>
  <conditionalFormatting sqref="N19">
    <cfRule type="cellIs" dxfId="3645" priority="318" operator="greaterThan">
      <formula>0.9</formula>
    </cfRule>
    <cfRule type="cellIs" dxfId="3644" priority="319" operator="greaterThan">
      <formula>0.85</formula>
    </cfRule>
  </conditionalFormatting>
  <conditionalFormatting sqref="E19">
    <cfRule type="expression" dxfId="3643" priority="314">
      <formula>AND(IF(OR($Q19=1,$Q19=2),1,0),IF($X19&lt;=20,1,0))</formula>
    </cfRule>
    <cfRule type="expression" dxfId="3642" priority="315">
      <formula>AND(IF($Q19=2,1,0),IF($X19&lt;30,1,0))</formula>
    </cfRule>
    <cfRule type="expression" dxfId="3641" priority="316">
      <formula>AND(IF($Q19=3,1,0),IF($X19&lt;30,1,0))</formula>
    </cfRule>
    <cfRule type="expression" dxfId="3640" priority="317">
      <formula>AND(IF($Q19=3,1,IF($Q19=4,1,0)),IF($F19&lt;=85,1,0))</formula>
    </cfRule>
  </conditionalFormatting>
  <conditionalFormatting sqref="X19">
    <cfRule type="expression" dxfId="3639" priority="310">
      <formula>AND(IF(OR($Q19=1,$Q19=2),1,0),IF($X19&lt;=20,1,0))</formula>
    </cfRule>
    <cfRule type="expression" dxfId="3638" priority="311">
      <formula>AND(IF($Q19=2,1,0),IF($X19&lt;30,1,0))</formula>
    </cfRule>
    <cfRule type="expression" dxfId="3637" priority="312">
      <formula>AND(IF($Q19=3,1,0),IF($X19&lt;30,1,0))</formula>
    </cfRule>
    <cfRule type="expression" dxfId="3636" priority="313">
      <formula>AND(IF($Q19=3,1,IF($Q19=4,1,0)),IF($F19&lt;=85,1,0))</formula>
    </cfRule>
  </conditionalFormatting>
  <conditionalFormatting sqref="AI19">
    <cfRule type="expression" dxfId="3635" priority="306">
      <formula>AND(IF(OR($Q19=1,$Q19=2),1,0),IF($X19&lt;=20,1,0))</formula>
    </cfRule>
    <cfRule type="expression" dxfId="3634" priority="307">
      <formula>AND(IF($Q19=2,1,0),IF($X19&lt;30,1,0))</formula>
    </cfRule>
    <cfRule type="expression" dxfId="3633" priority="308">
      <formula>AND(IF($Q19=3,1,0),IF($X19&lt;30,1,0))</formula>
    </cfRule>
    <cfRule type="expression" dxfId="3632" priority="309">
      <formula>AND(IF($Q19=3,1,IF($Q19=4,1,0)),IF($F19&lt;=85,1,0))</formula>
    </cfRule>
  </conditionalFormatting>
  <conditionalFormatting sqref="AV20">
    <cfRule type="expression" dxfId="3631" priority="304">
      <formula>AV20="X"</formula>
    </cfRule>
    <cfRule type="expression" dxfId="3630" priority="305">
      <formula>AV20="후보"</formula>
    </cfRule>
  </conditionalFormatting>
  <conditionalFormatting sqref="AC20">
    <cfRule type="cellIs" dxfId="3629" priority="301" operator="greaterThan">
      <formula>0.9</formula>
    </cfRule>
    <cfRule type="cellIs" dxfId="3628" priority="302" operator="greaterThan">
      <formula>0.85</formula>
    </cfRule>
  </conditionalFormatting>
  <conditionalFormatting sqref="N20">
    <cfRule type="cellIs" dxfId="3627" priority="299" operator="greaterThan">
      <formula>0.9</formula>
    </cfRule>
    <cfRule type="cellIs" dxfId="3626" priority="300" operator="greaterThan">
      <formula>0.85</formula>
    </cfRule>
  </conditionalFormatting>
  <conditionalFormatting sqref="E20">
    <cfRule type="expression" dxfId="3625" priority="295">
      <formula>AND(IF(OR($Q20=1,$Q20=2),1,0),IF($X20&lt;=20,1,0))</formula>
    </cfRule>
    <cfRule type="expression" dxfId="3624" priority="296">
      <formula>AND(IF($Q20=2,1,0),IF($X20&lt;30,1,0))</formula>
    </cfRule>
    <cfRule type="expression" dxfId="3623" priority="297">
      <formula>AND(IF($Q20=3,1,0),IF($X20&lt;30,1,0))</formula>
    </cfRule>
    <cfRule type="expression" dxfId="3622" priority="298">
      <formula>AND(IF($Q20=3,1,IF($Q20=4,1,0)),IF($F20&lt;=85,1,0))</formula>
    </cfRule>
  </conditionalFormatting>
  <conditionalFormatting sqref="X20">
    <cfRule type="expression" dxfId="3621" priority="291">
      <formula>AND(IF(OR($Q20=1,$Q20=2),1,0),IF($X20&lt;=20,1,0))</formula>
    </cfRule>
    <cfRule type="expression" dxfId="3620" priority="292">
      <formula>AND(IF($Q20=2,1,0),IF($X20&lt;30,1,0))</formula>
    </cfRule>
    <cfRule type="expression" dxfId="3619" priority="293">
      <formula>AND(IF($Q20=3,1,0),IF($X20&lt;30,1,0))</formula>
    </cfRule>
    <cfRule type="expression" dxfId="3618" priority="294">
      <formula>AND(IF($Q20=3,1,IF($Q20=4,1,0)),IF($F20&lt;=85,1,0))</formula>
    </cfRule>
  </conditionalFormatting>
  <conditionalFormatting sqref="AI20">
    <cfRule type="expression" dxfId="3617" priority="287">
      <formula>AND(IF(OR($Q20=1,$Q20=2),1,0),IF($X20&lt;=20,1,0))</formula>
    </cfRule>
    <cfRule type="expression" dxfId="3616" priority="288">
      <formula>AND(IF($Q20=2,1,0),IF($X20&lt;30,1,0))</formula>
    </cfRule>
    <cfRule type="expression" dxfId="3615" priority="289">
      <formula>AND(IF($Q20=3,1,0),IF($X20&lt;30,1,0))</formula>
    </cfRule>
    <cfRule type="expression" dxfId="3614" priority="290">
      <formula>AND(IF($Q20=3,1,IF($Q20=4,1,0)),IF($F20&lt;=85,1,0))</formula>
    </cfRule>
  </conditionalFormatting>
  <conditionalFormatting sqref="AV21">
    <cfRule type="expression" dxfId="3613" priority="285">
      <formula>AV21="X"</formula>
    </cfRule>
    <cfRule type="expression" dxfId="3612" priority="286">
      <formula>AV21="후보"</formula>
    </cfRule>
  </conditionalFormatting>
  <conditionalFormatting sqref="AC21 N21">
    <cfRule type="cellIs" dxfId="3611" priority="282" operator="greaterThan">
      <formula>0.9</formula>
    </cfRule>
    <cfRule type="cellIs" dxfId="3610" priority="283" operator="greaterThan">
      <formula>0.85</formula>
    </cfRule>
  </conditionalFormatting>
  <conditionalFormatting sqref="AV22">
    <cfRule type="expression" dxfId="3609" priority="280">
      <formula>AV22="X"</formula>
    </cfRule>
    <cfRule type="expression" dxfId="3608" priority="281">
      <formula>AV22="후보"</formula>
    </cfRule>
  </conditionalFormatting>
  <conditionalFormatting sqref="AC22">
    <cfRule type="cellIs" dxfId="3607" priority="277" operator="greaterThan">
      <formula>0.9</formula>
    </cfRule>
    <cfRule type="cellIs" dxfId="3606" priority="278" operator="greaterThan">
      <formula>0.85</formula>
    </cfRule>
  </conditionalFormatting>
  <conditionalFormatting sqref="N22">
    <cfRule type="cellIs" dxfId="3605" priority="275" operator="greaterThan">
      <formula>0.9</formula>
    </cfRule>
    <cfRule type="cellIs" dxfId="3604" priority="276" operator="greaterThan">
      <formula>0.85</formula>
    </cfRule>
  </conditionalFormatting>
  <conditionalFormatting sqref="E22">
    <cfRule type="expression" dxfId="3603" priority="271">
      <formula>AND(IF(OR($Q22=1,$Q22=2),1,0),IF($X22&lt;=20,1,0))</formula>
    </cfRule>
    <cfRule type="expression" dxfId="3602" priority="272">
      <formula>AND(IF($Q22=2,1,0),IF($X22&lt;30,1,0))</formula>
    </cfRule>
    <cfRule type="expression" dxfId="3601" priority="273">
      <formula>AND(IF($Q22=3,1,0),IF($X22&lt;30,1,0))</formula>
    </cfRule>
    <cfRule type="expression" dxfId="3600" priority="274">
      <formula>AND(IF($Q22=3,1,IF($Q22=4,1,0)),IF($F22&lt;=85,1,0))</formula>
    </cfRule>
  </conditionalFormatting>
  <conditionalFormatting sqref="X22">
    <cfRule type="expression" dxfId="3599" priority="267">
      <formula>AND(IF(OR($Q22=1,$Q22=2),1,0),IF($X22&lt;=20,1,0))</formula>
    </cfRule>
    <cfRule type="expression" dxfId="3598" priority="268">
      <formula>AND(IF($Q22=2,1,0),IF($X22&lt;30,1,0))</formula>
    </cfRule>
    <cfRule type="expression" dxfId="3597" priority="269">
      <formula>AND(IF($Q22=3,1,0),IF($X22&lt;30,1,0))</formula>
    </cfRule>
    <cfRule type="expression" dxfId="3596" priority="270">
      <formula>AND(IF($Q22=3,1,IF($Q22=4,1,0)),IF($F22&lt;=85,1,0))</formula>
    </cfRule>
  </conditionalFormatting>
  <conditionalFormatting sqref="AI22">
    <cfRule type="expression" dxfId="3595" priority="263">
      <formula>AND(IF(OR($Q22=1,$Q22=2),1,0),IF($X22&lt;=20,1,0))</formula>
    </cfRule>
    <cfRule type="expression" dxfId="3594" priority="264">
      <formula>AND(IF($Q22=2,1,0),IF($X22&lt;30,1,0))</formula>
    </cfRule>
    <cfRule type="expression" dxfId="3593" priority="265">
      <formula>AND(IF($Q22=3,1,0),IF($X22&lt;30,1,0))</formula>
    </cfRule>
    <cfRule type="expression" dxfId="3592" priority="266">
      <formula>AND(IF($Q22=3,1,IF($Q22=4,1,0)),IF($F22&lt;=85,1,0))</formula>
    </cfRule>
  </conditionalFormatting>
  <conditionalFormatting sqref="AV23">
    <cfRule type="expression" dxfId="3591" priority="261">
      <formula>AV23="X"</formula>
    </cfRule>
    <cfRule type="expression" dxfId="3590" priority="262">
      <formula>AV23="후보"</formula>
    </cfRule>
  </conditionalFormatting>
  <conditionalFormatting sqref="AC23">
    <cfRule type="cellIs" dxfId="3589" priority="258" operator="greaterThan">
      <formula>0.9</formula>
    </cfRule>
    <cfRule type="cellIs" dxfId="3588" priority="259" operator="greaterThan">
      <formula>0.85</formula>
    </cfRule>
  </conditionalFormatting>
  <conditionalFormatting sqref="N23">
    <cfRule type="cellIs" dxfId="3587" priority="256" operator="greaterThan">
      <formula>0.9</formula>
    </cfRule>
    <cfRule type="cellIs" dxfId="3586" priority="257" operator="greaterThan">
      <formula>0.85</formula>
    </cfRule>
  </conditionalFormatting>
  <conditionalFormatting sqref="E23">
    <cfRule type="expression" dxfId="3585" priority="252">
      <formula>AND(IF(OR($Q23=1,$Q23=2),1,0),IF($X23&lt;=20,1,0))</formula>
    </cfRule>
    <cfRule type="expression" dxfId="3584" priority="253">
      <formula>AND(IF($Q23=2,1,0),IF($X23&lt;30,1,0))</formula>
    </cfRule>
    <cfRule type="expression" dxfId="3583" priority="254">
      <formula>AND(IF($Q23=3,1,0),IF($X23&lt;30,1,0))</formula>
    </cfRule>
    <cfRule type="expression" dxfId="3582" priority="255">
      <formula>AND(IF($Q23=3,1,IF($Q23=4,1,0)),IF($F23&lt;=85,1,0))</formula>
    </cfRule>
  </conditionalFormatting>
  <conditionalFormatting sqref="X23">
    <cfRule type="expression" dxfId="3581" priority="248">
      <formula>AND(IF(OR($Q23=1,$Q23=2),1,0),IF($X23&lt;=20,1,0))</formula>
    </cfRule>
    <cfRule type="expression" dxfId="3580" priority="249">
      <formula>AND(IF($Q23=2,1,0),IF($X23&lt;30,1,0))</formula>
    </cfRule>
    <cfRule type="expression" dxfId="3579" priority="250">
      <formula>AND(IF($Q23=3,1,0),IF($X23&lt;30,1,0))</formula>
    </cfRule>
    <cfRule type="expression" dxfId="3578" priority="251">
      <formula>AND(IF($Q23=3,1,IF($Q23=4,1,0)),IF($F23&lt;=85,1,0))</formula>
    </cfRule>
  </conditionalFormatting>
  <conditionalFormatting sqref="AI23">
    <cfRule type="expression" dxfId="3577" priority="244">
      <formula>AND(IF(OR($Q23=1,$Q23=2),1,0),IF($X23&lt;=20,1,0))</formula>
    </cfRule>
    <cfRule type="expression" dxfId="3576" priority="245">
      <formula>AND(IF($Q23=2,1,0),IF($X23&lt;30,1,0))</formula>
    </cfRule>
    <cfRule type="expression" dxfId="3575" priority="246">
      <formula>AND(IF($Q23=3,1,0),IF($X23&lt;30,1,0))</formula>
    </cfRule>
    <cfRule type="expression" dxfId="3574" priority="247">
      <formula>AND(IF($Q23=3,1,IF($Q23=4,1,0)),IF($F23&lt;=85,1,0))</formula>
    </cfRule>
  </conditionalFormatting>
  <conditionalFormatting sqref="AV24">
    <cfRule type="expression" dxfId="3573" priority="242">
      <formula>AV24="X"</formula>
    </cfRule>
    <cfRule type="expression" dxfId="3572" priority="243">
      <formula>AV24="후보"</formula>
    </cfRule>
  </conditionalFormatting>
  <conditionalFormatting sqref="AC24">
    <cfRule type="cellIs" dxfId="3571" priority="239" operator="greaterThan">
      <formula>0.9</formula>
    </cfRule>
    <cfRule type="cellIs" dxfId="3570" priority="240" operator="greaterThan">
      <formula>0.85</formula>
    </cfRule>
  </conditionalFormatting>
  <conditionalFormatting sqref="N24">
    <cfRule type="cellIs" dxfId="3569" priority="237" operator="greaterThan">
      <formula>0.9</formula>
    </cfRule>
    <cfRule type="cellIs" dxfId="3568" priority="238" operator="greaterThan">
      <formula>0.85</formula>
    </cfRule>
  </conditionalFormatting>
  <conditionalFormatting sqref="E24">
    <cfRule type="expression" dxfId="3567" priority="233">
      <formula>AND(IF(OR($Q24=1,$Q24=2),1,0),IF($X24&lt;=20,1,0))</formula>
    </cfRule>
    <cfRule type="expression" dxfId="3566" priority="234">
      <formula>AND(IF($Q24=2,1,0),IF($X24&lt;30,1,0))</formula>
    </cfRule>
    <cfRule type="expression" dxfId="3565" priority="235">
      <formula>AND(IF($Q24=3,1,0),IF($X24&lt;30,1,0))</formula>
    </cfRule>
    <cfRule type="expression" dxfId="3564" priority="236">
      <formula>AND(IF($Q24=3,1,IF($Q24=4,1,0)),IF($F24&lt;=85,1,0))</formula>
    </cfRule>
  </conditionalFormatting>
  <conditionalFormatting sqref="X24">
    <cfRule type="expression" dxfId="3563" priority="229">
      <formula>AND(IF(OR($Q24=1,$Q24=2),1,0),IF($X24&lt;=20,1,0))</formula>
    </cfRule>
    <cfRule type="expression" dxfId="3562" priority="230">
      <formula>AND(IF($Q24=2,1,0),IF($X24&lt;30,1,0))</formula>
    </cfRule>
    <cfRule type="expression" dxfId="3561" priority="231">
      <formula>AND(IF($Q24=3,1,0),IF($X24&lt;30,1,0))</formula>
    </cfRule>
    <cfRule type="expression" dxfId="3560" priority="232">
      <formula>AND(IF($Q24=3,1,IF($Q24=4,1,0)),IF($F24&lt;=85,1,0))</formula>
    </cfRule>
  </conditionalFormatting>
  <conditionalFormatting sqref="AI24">
    <cfRule type="expression" dxfId="3559" priority="225">
      <formula>AND(IF(OR($Q24=1,$Q24=2),1,0),IF($X24&lt;=20,1,0))</formula>
    </cfRule>
    <cfRule type="expression" dxfId="3558" priority="226">
      <formula>AND(IF($Q24=2,1,0),IF($X24&lt;30,1,0))</formula>
    </cfRule>
    <cfRule type="expression" dxfId="3557" priority="227">
      <formula>AND(IF($Q24=3,1,0),IF($X24&lt;30,1,0))</formula>
    </cfRule>
    <cfRule type="expression" dxfId="3556" priority="228">
      <formula>AND(IF($Q24=3,1,IF($Q24=4,1,0)),IF($F24&lt;=85,1,0))</formula>
    </cfRule>
  </conditionalFormatting>
  <conditionalFormatting sqref="AV25">
    <cfRule type="expression" dxfId="3555" priority="223">
      <formula>AV25="X"</formula>
    </cfRule>
    <cfRule type="expression" dxfId="3554" priority="224">
      <formula>AV25="후보"</formula>
    </cfRule>
  </conditionalFormatting>
  <conditionalFormatting sqref="AC25 N25">
    <cfRule type="cellIs" dxfId="3553" priority="220" operator="greaterThan">
      <formula>0.9</formula>
    </cfRule>
    <cfRule type="cellIs" dxfId="3552" priority="221" operator="greaterThan">
      <formula>0.85</formula>
    </cfRule>
  </conditionalFormatting>
  <conditionalFormatting sqref="AV26">
    <cfRule type="expression" dxfId="3551" priority="218">
      <formula>AV26="X"</formula>
    </cfRule>
    <cfRule type="expression" dxfId="3550" priority="219">
      <formula>AV26="후보"</formula>
    </cfRule>
  </conditionalFormatting>
  <conditionalFormatting sqref="AC26">
    <cfRule type="cellIs" dxfId="3549" priority="215" operator="greaterThan">
      <formula>0.9</formula>
    </cfRule>
    <cfRule type="cellIs" dxfId="3548" priority="216" operator="greaterThan">
      <formula>0.85</formula>
    </cfRule>
  </conditionalFormatting>
  <conditionalFormatting sqref="N26">
    <cfRule type="cellIs" dxfId="3547" priority="213" operator="greaterThan">
      <formula>0.9</formula>
    </cfRule>
    <cfRule type="cellIs" dxfId="3546" priority="214" operator="greaterThan">
      <formula>0.85</formula>
    </cfRule>
  </conditionalFormatting>
  <conditionalFormatting sqref="E26">
    <cfRule type="expression" dxfId="3545" priority="209">
      <formula>AND(IF(OR($Q26=1,$Q26=2),1,0),IF($X26&lt;=20,1,0))</formula>
    </cfRule>
    <cfRule type="expression" dxfId="3544" priority="210">
      <formula>AND(IF($Q26=2,1,0),IF($X26&lt;30,1,0))</formula>
    </cfRule>
    <cfRule type="expression" dxfId="3543" priority="211">
      <formula>AND(IF($Q26=3,1,0),IF($X26&lt;30,1,0))</formula>
    </cfRule>
    <cfRule type="expression" dxfId="3542" priority="212">
      <formula>AND(IF($Q26=3,1,IF($Q26=4,1,0)),IF($F26&lt;=85,1,0))</formula>
    </cfRule>
  </conditionalFormatting>
  <conditionalFormatting sqref="X26">
    <cfRule type="expression" dxfId="3541" priority="205">
      <formula>AND(IF(OR($Q26=1,$Q26=2),1,0),IF($X26&lt;=20,1,0))</formula>
    </cfRule>
    <cfRule type="expression" dxfId="3540" priority="206">
      <formula>AND(IF($Q26=2,1,0),IF($X26&lt;30,1,0))</formula>
    </cfRule>
    <cfRule type="expression" dxfId="3539" priority="207">
      <formula>AND(IF($Q26=3,1,0),IF($X26&lt;30,1,0))</formula>
    </cfRule>
    <cfRule type="expression" dxfId="3538" priority="208">
      <formula>AND(IF($Q26=3,1,IF($Q26=4,1,0)),IF($F26&lt;=85,1,0))</formula>
    </cfRule>
  </conditionalFormatting>
  <conditionalFormatting sqref="AI26">
    <cfRule type="expression" dxfId="3537" priority="201">
      <formula>AND(IF(OR($Q26=1,$Q26=2),1,0),IF($X26&lt;=20,1,0))</formula>
    </cfRule>
    <cfRule type="expression" dxfId="3536" priority="202">
      <formula>AND(IF($Q26=2,1,0),IF($X26&lt;30,1,0))</formula>
    </cfRule>
    <cfRule type="expression" dxfId="3535" priority="203">
      <formula>AND(IF($Q26=3,1,0),IF($X26&lt;30,1,0))</formula>
    </cfRule>
    <cfRule type="expression" dxfId="3534" priority="204">
      <formula>AND(IF($Q26=3,1,IF($Q26=4,1,0)),IF($F26&lt;=85,1,0))</formula>
    </cfRule>
  </conditionalFormatting>
  <conditionalFormatting sqref="AV27">
    <cfRule type="expression" dxfId="3533" priority="199">
      <formula>AV27="X"</formula>
    </cfRule>
    <cfRule type="expression" dxfId="3532" priority="200">
      <formula>AV27="후보"</formula>
    </cfRule>
  </conditionalFormatting>
  <conditionalFormatting sqref="AC27">
    <cfRule type="cellIs" dxfId="3531" priority="196" operator="greaterThan">
      <formula>0.9</formula>
    </cfRule>
    <cfRule type="cellIs" dxfId="3530" priority="197" operator="greaterThan">
      <formula>0.85</formula>
    </cfRule>
  </conditionalFormatting>
  <conditionalFormatting sqref="N27">
    <cfRule type="cellIs" dxfId="3529" priority="194" operator="greaterThan">
      <formula>0.9</formula>
    </cfRule>
    <cfRule type="cellIs" dxfId="3528" priority="195" operator="greaterThan">
      <formula>0.85</formula>
    </cfRule>
  </conditionalFormatting>
  <conditionalFormatting sqref="E27">
    <cfRule type="expression" dxfId="3527" priority="190">
      <formula>AND(IF(OR($Q27=1,$Q27=2),1,0),IF($X27&lt;=20,1,0))</formula>
    </cfRule>
    <cfRule type="expression" dxfId="3526" priority="191">
      <formula>AND(IF($Q27=2,1,0),IF($X27&lt;30,1,0))</formula>
    </cfRule>
    <cfRule type="expression" dxfId="3525" priority="192">
      <formula>AND(IF($Q27=3,1,0),IF($X27&lt;30,1,0))</formula>
    </cfRule>
    <cfRule type="expression" dxfId="3524" priority="193">
      <formula>AND(IF($Q27=3,1,IF($Q27=4,1,0)),IF($F27&lt;=85,1,0))</formula>
    </cfRule>
  </conditionalFormatting>
  <conditionalFormatting sqref="X27">
    <cfRule type="expression" dxfId="3523" priority="186">
      <formula>AND(IF(OR($Q27=1,$Q27=2),1,0),IF($X27&lt;=20,1,0))</formula>
    </cfRule>
    <cfRule type="expression" dxfId="3522" priority="187">
      <formula>AND(IF($Q27=2,1,0),IF($X27&lt;30,1,0))</formula>
    </cfRule>
    <cfRule type="expression" dxfId="3521" priority="188">
      <formula>AND(IF($Q27=3,1,0),IF($X27&lt;30,1,0))</formula>
    </cfRule>
    <cfRule type="expression" dxfId="3520" priority="189">
      <formula>AND(IF($Q27=3,1,IF($Q27=4,1,0)),IF($F27&lt;=85,1,0))</formula>
    </cfRule>
  </conditionalFormatting>
  <conditionalFormatting sqref="AI27">
    <cfRule type="expression" dxfId="3519" priority="182">
      <formula>AND(IF(OR($Q27=1,$Q27=2),1,0),IF($X27&lt;=20,1,0))</formula>
    </cfRule>
    <cfRule type="expression" dxfId="3518" priority="183">
      <formula>AND(IF($Q27=2,1,0),IF($X27&lt;30,1,0))</formula>
    </cfRule>
    <cfRule type="expression" dxfId="3517" priority="184">
      <formula>AND(IF($Q27=3,1,0),IF($X27&lt;30,1,0))</formula>
    </cfRule>
    <cfRule type="expression" dxfId="3516" priority="185">
      <formula>AND(IF($Q27=3,1,IF($Q27=4,1,0)),IF($F27&lt;=85,1,0))</formula>
    </cfRule>
  </conditionalFormatting>
  <conditionalFormatting sqref="AV28">
    <cfRule type="expression" dxfId="3515" priority="180">
      <formula>AV28="X"</formula>
    </cfRule>
    <cfRule type="expression" dxfId="3514" priority="181">
      <formula>AV28="후보"</formula>
    </cfRule>
  </conditionalFormatting>
  <conditionalFormatting sqref="AC28 N28">
    <cfRule type="cellIs" dxfId="3513" priority="177" operator="greaterThan">
      <formula>0.9</formula>
    </cfRule>
    <cfRule type="cellIs" dxfId="3512" priority="178" operator="greaterThan">
      <formula>0.85</formula>
    </cfRule>
  </conditionalFormatting>
  <conditionalFormatting sqref="AV29">
    <cfRule type="expression" dxfId="3511" priority="175">
      <formula>AV29="X"</formula>
    </cfRule>
    <cfRule type="expression" dxfId="3510" priority="176">
      <formula>AV29="후보"</formula>
    </cfRule>
  </conditionalFormatting>
  <conditionalFormatting sqref="AC29">
    <cfRule type="cellIs" dxfId="3509" priority="172" operator="greaterThan">
      <formula>0.9</formula>
    </cfRule>
    <cfRule type="cellIs" dxfId="3508" priority="173" operator="greaterThan">
      <formula>0.85</formula>
    </cfRule>
  </conditionalFormatting>
  <conditionalFormatting sqref="N29">
    <cfRule type="cellIs" dxfId="3507" priority="170" operator="greaterThan">
      <formula>0.9</formula>
    </cfRule>
    <cfRule type="cellIs" dxfId="3506" priority="171" operator="greaterThan">
      <formula>0.85</formula>
    </cfRule>
  </conditionalFormatting>
  <conditionalFormatting sqref="E29">
    <cfRule type="expression" dxfId="3505" priority="166">
      <formula>AND(IF(OR($Q29=1,$Q29=2),1,0),IF($X29&lt;=20,1,0))</formula>
    </cfRule>
    <cfRule type="expression" dxfId="3504" priority="167">
      <formula>AND(IF($Q29=2,1,0),IF($X29&lt;30,1,0))</formula>
    </cfRule>
    <cfRule type="expression" dxfId="3503" priority="168">
      <formula>AND(IF($Q29=3,1,0),IF($X29&lt;30,1,0))</formula>
    </cfRule>
    <cfRule type="expression" dxfId="3502" priority="169">
      <formula>AND(IF($Q29=3,1,IF($Q29=4,1,0)),IF($F29&lt;=85,1,0))</formula>
    </cfRule>
  </conditionalFormatting>
  <conditionalFormatting sqref="X29">
    <cfRule type="expression" dxfId="3501" priority="162">
      <formula>AND(IF(OR($Q29=1,$Q29=2),1,0),IF($X29&lt;=20,1,0))</formula>
    </cfRule>
    <cfRule type="expression" dxfId="3500" priority="163">
      <formula>AND(IF($Q29=2,1,0),IF($X29&lt;30,1,0))</formula>
    </cfRule>
    <cfRule type="expression" dxfId="3499" priority="164">
      <formula>AND(IF($Q29=3,1,0),IF($X29&lt;30,1,0))</formula>
    </cfRule>
    <cfRule type="expression" dxfId="3498" priority="165">
      <formula>AND(IF($Q29=3,1,IF($Q29=4,1,0)),IF($F29&lt;=85,1,0))</formula>
    </cfRule>
  </conditionalFormatting>
  <conditionalFormatting sqref="AI29">
    <cfRule type="expression" dxfId="3497" priority="158">
      <formula>AND(IF(OR($Q29=1,$Q29=2),1,0),IF($X29&lt;=20,1,0))</formula>
    </cfRule>
    <cfRule type="expression" dxfId="3496" priority="159">
      <formula>AND(IF($Q29=2,1,0),IF($X29&lt;30,1,0))</formula>
    </cfRule>
    <cfRule type="expression" dxfId="3495" priority="160">
      <formula>AND(IF($Q29=3,1,0),IF($X29&lt;30,1,0))</formula>
    </cfRule>
    <cfRule type="expression" dxfId="3494" priority="161">
      <formula>AND(IF($Q29=3,1,IF($Q29=4,1,0)),IF($F29&lt;=85,1,0))</formula>
    </cfRule>
  </conditionalFormatting>
  <conditionalFormatting sqref="AV30">
    <cfRule type="expression" dxfId="3493" priority="156">
      <formula>AV30="X"</formula>
    </cfRule>
    <cfRule type="expression" dxfId="3492" priority="157">
      <formula>AV30="후보"</formula>
    </cfRule>
  </conditionalFormatting>
  <conditionalFormatting sqref="AC30">
    <cfRule type="cellIs" dxfId="3491" priority="153" operator="greaterThan">
      <formula>0.9</formula>
    </cfRule>
    <cfRule type="cellIs" dxfId="3490" priority="154" operator="greaterThan">
      <formula>0.85</formula>
    </cfRule>
  </conditionalFormatting>
  <conditionalFormatting sqref="N30">
    <cfRule type="cellIs" dxfId="3489" priority="151" operator="greaterThan">
      <formula>0.9</formula>
    </cfRule>
    <cfRule type="cellIs" dxfId="3488" priority="152" operator="greaterThan">
      <formula>0.85</formula>
    </cfRule>
  </conditionalFormatting>
  <conditionalFormatting sqref="E30">
    <cfRule type="expression" dxfId="3487" priority="147">
      <formula>AND(IF(OR($Q30=1,$Q30=2),1,0),IF($X30&lt;=20,1,0))</formula>
    </cfRule>
    <cfRule type="expression" dxfId="3486" priority="148">
      <formula>AND(IF($Q30=2,1,0),IF($X30&lt;30,1,0))</formula>
    </cfRule>
    <cfRule type="expression" dxfId="3485" priority="149">
      <formula>AND(IF($Q30=3,1,0),IF($X30&lt;30,1,0))</formula>
    </cfRule>
    <cfRule type="expression" dxfId="3484" priority="150">
      <formula>AND(IF($Q30=3,1,IF($Q30=4,1,0)),IF($F30&lt;=85,1,0))</formula>
    </cfRule>
  </conditionalFormatting>
  <conditionalFormatting sqref="X30">
    <cfRule type="expression" dxfId="3483" priority="143">
      <formula>AND(IF(OR($Q30=1,$Q30=2),1,0),IF($X30&lt;=20,1,0))</formula>
    </cfRule>
    <cfRule type="expression" dxfId="3482" priority="144">
      <formula>AND(IF($Q30=2,1,0),IF($X30&lt;30,1,0))</formula>
    </cfRule>
    <cfRule type="expression" dxfId="3481" priority="145">
      <formula>AND(IF($Q30=3,1,0),IF($X30&lt;30,1,0))</formula>
    </cfRule>
    <cfRule type="expression" dxfId="3480" priority="146">
      <formula>AND(IF($Q30=3,1,IF($Q30=4,1,0)),IF($F30&lt;=85,1,0))</formula>
    </cfRule>
  </conditionalFormatting>
  <conditionalFormatting sqref="AI30">
    <cfRule type="expression" dxfId="3479" priority="139">
      <formula>AND(IF(OR($Q30=1,$Q30=2),1,0),IF($X30&lt;=20,1,0))</formula>
    </cfRule>
    <cfRule type="expression" dxfId="3478" priority="140">
      <formula>AND(IF($Q30=2,1,0),IF($X30&lt;30,1,0))</formula>
    </cfRule>
    <cfRule type="expression" dxfId="3477" priority="141">
      <formula>AND(IF($Q30=3,1,0),IF($X30&lt;30,1,0))</formula>
    </cfRule>
    <cfRule type="expression" dxfId="3476" priority="142">
      <formula>AND(IF($Q30=3,1,IF($Q30=4,1,0)),IF($F30&lt;=85,1,0))</formula>
    </cfRule>
  </conditionalFormatting>
  <conditionalFormatting sqref="AV31">
    <cfRule type="expression" dxfId="3475" priority="137">
      <formula>AV31="X"</formula>
    </cfRule>
    <cfRule type="expression" dxfId="3474" priority="138">
      <formula>AV31="후보"</formula>
    </cfRule>
  </conditionalFormatting>
  <conditionalFormatting sqref="AC31">
    <cfRule type="cellIs" dxfId="3473" priority="134" operator="greaterThan">
      <formula>0.9</formula>
    </cfRule>
    <cfRule type="cellIs" dxfId="3472" priority="135" operator="greaterThan">
      <formula>0.85</formula>
    </cfRule>
  </conditionalFormatting>
  <conditionalFormatting sqref="N31">
    <cfRule type="cellIs" dxfId="3471" priority="132" operator="greaterThan">
      <formula>0.9</formula>
    </cfRule>
    <cfRule type="cellIs" dxfId="3470" priority="133" operator="greaterThan">
      <formula>0.85</formula>
    </cfRule>
  </conditionalFormatting>
  <conditionalFormatting sqref="E31">
    <cfRule type="expression" dxfId="3469" priority="128">
      <formula>AND(IF(OR($Q31=1,$Q31=2),1,0),IF($X31&lt;=20,1,0))</formula>
    </cfRule>
    <cfRule type="expression" dxfId="3468" priority="129">
      <formula>AND(IF($Q31=2,1,0),IF($X31&lt;30,1,0))</formula>
    </cfRule>
    <cfRule type="expression" dxfId="3467" priority="130">
      <formula>AND(IF($Q31=3,1,0),IF($X31&lt;30,1,0))</formula>
    </cfRule>
    <cfRule type="expression" dxfId="3466" priority="131">
      <formula>AND(IF($Q31=3,1,IF($Q31=4,1,0)),IF($F31&lt;=85,1,0))</formula>
    </cfRule>
  </conditionalFormatting>
  <conditionalFormatting sqref="X31">
    <cfRule type="expression" dxfId="3465" priority="124">
      <formula>AND(IF(OR($Q31=1,$Q31=2),1,0),IF($X31&lt;=20,1,0))</formula>
    </cfRule>
    <cfRule type="expression" dxfId="3464" priority="125">
      <formula>AND(IF($Q31=2,1,0),IF($X31&lt;30,1,0))</formula>
    </cfRule>
    <cfRule type="expression" dxfId="3463" priority="126">
      <formula>AND(IF($Q31=3,1,0),IF($X31&lt;30,1,0))</formula>
    </cfRule>
    <cfRule type="expression" dxfId="3462" priority="127">
      <formula>AND(IF($Q31=3,1,IF($Q31=4,1,0)),IF($F31&lt;=85,1,0))</formula>
    </cfRule>
  </conditionalFormatting>
  <conditionalFormatting sqref="AI31">
    <cfRule type="expression" dxfId="3461" priority="120">
      <formula>AND(IF(OR($Q31=1,$Q31=2),1,0),IF($X31&lt;=20,1,0))</formula>
    </cfRule>
    <cfRule type="expression" dxfId="3460" priority="121">
      <formula>AND(IF($Q31=2,1,0),IF($X31&lt;30,1,0))</formula>
    </cfRule>
    <cfRule type="expression" dxfId="3459" priority="122">
      <formula>AND(IF($Q31=3,1,0),IF($X31&lt;30,1,0))</formula>
    </cfRule>
    <cfRule type="expression" dxfId="3458" priority="123">
      <formula>AND(IF($Q31=3,1,IF($Q31=4,1,0)),IF($F31&lt;=85,1,0))</formula>
    </cfRule>
  </conditionalFormatting>
  <conditionalFormatting sqref="AV32">
    <cfRule type="expression" dxfId="3457" priority="118">
      <formula>AV32="X"</formula>
    </cfRule>
    <cfRule type="expression" dxfId="3456" priority="119">
      <formula>AV32="후보"</formula>
    </cfRule>
  </conditionalFormatting>
  <conditionalFormatting sqref="AC32">
    <cfRule type="cellIs" dxfId="3455" priority="115" operator="greaterThan">
      <formula>0.9</formula>
    </cfRule>
    <cfRule type="cellIs" dxfId="3454" priority="116" operator="greaterThan">
      <formula>0.85</formula>
    </cfRule>
  </conditionalFormatting>
  <conditionalFormatting sqref="N32">
    <cfRule type="cellIs" dxfId="3453" priority="113" operator="greaterThan">
      <formula>0.9</formula>
    </cfRule>
    <cfRule type="cellIs" dxfId="3452" priority="114" operator="greaterThan">
      <formula>0.85</formula>
    </cfRule>
  </conditionalFormatting>
  <conditionalFormatting sqref="E32">
    <cfRule type="expression" dxfId="3451" priority="109">
      <formula>AND(IF(OR($Q32=1,$Q32=2),1,0),IF($X32&lt;=20,1,0))</formula>
    </cfRule>
    <cfRule type="expression" dxfId="3450" priority="110">
      <formula>AND(IF($Q32=2,1,0),IF($X32&lt;30,1,0))</formula>
    </cfRule>
    <cfRule type="expression" dxfId="3449" priority="111">
      <formula>AND(IF($Q32=3,1,0),IF($X32&lt;30,1,0))</formula>
    </cfRule>
    <cfRule type="expression" dxfId="3448" priority="112">
      <formula>AND(IF($Q32=3,1,IF($Q32=4,1,0)),IF($F32&lt;=85,1,0))</formula>
    </cfRule>
  </conditionalFormatting>
  <conditionalFormatting sqref="X32">
    <cfRule type="expression" dxfId="3447" priority="105">
      <formula>AND(IF(OR($Q32=1,$Q32=2),1,0),IF($X32&lt;=20,1,0))</formula>
    </cfRule>
    <cfRule type="expression" dxfId="3446" priority="106">
      <formula>AND(IF($Q32=2,1,0),IF($X32&lt;30,1,0))</formula>
    </cfRule>
    <cfRule type="expression" dxfId="3445" priority="107">
      <formula>AND(IF($Q32=3,1,0),IF($X32&lt;30,1,0))</formula>
    </cfRule>
    <cfRule type="expression" dxfId="3444" priority="108">
      <formula>AND(IF($Q32=3,1,IF($Q32=4,1,0)),IF($F32&lt;=85,1,0))</formula>
    </cfRule>
  </conditionalFormatting>
  <conditionalFormatting sqref="AI32">
    <cfRule type="expression" dxfId="3443" priority="101">
      <formula>AND(IF(OR($Q32=1,$Q32=2),1,0),IF($X32&lt;=20,1,0))</formula>
    </cfRule>
    <cfRule type="expression" dxfId="3442" priority="102">
      <formula>AND(IF($Q32=2,1,0),IF($X32&lt;30,1,0))</formula>
    </cfRule>
    <cfRule type="expression" dxfId="3441" priority="103">
      <formula>AND(IF($Q32=3,1,0),IF($X32&lt;30,1,0))</formula>
    </cfRule>
    <cfRule type="expression" dxfId="3440" priority="104">
      <formula>AND(IF($Q32=3,1,IF($Q32=4,1,0)),IF($F32&lt;=85,1,0))</formula>
    </cfRule>
  </conditionalFormatting>
  <conditionalFormatting sqref="AV33">
    <cfRule type="expression" dxfId="3439" priority="99">
      <formula>AV33="X"</formula>
    </cfRule>
    <cfRule type="expression" dxfId="3438" priority="100">
      <formula>AV33="후보"</formula>
    </cfRule>
  </conditionalFormatting>
  <conditionalFormatting sqref="AC33">
    <cfRule type="cellIs" dxfId="3437" priority="96" operator="greaterThan">
      <formula>0.9</formula>
    </cfRule>
    <cfRule type="cellIs" dxfId="3436" priority="97" operator="greaterThan">
      <formula>0.85</formula>
    </cfRule>
  </conditionalFormatting>
  <conditionalFormatting sqref="N33">
    <cfRule type="cellIs" dxfId="3435" priority="94" operator="greaterThan">
      <formula>0.9</formula>
    </cfRule>
    <cfRule type="cellIs" dxfId="3434" priority="95" operator="greaterThan">
      <formula>0.85</formula>
    </cfRule>
  </conditionalFormatting>
  <conditionalFormatting sqref="E33">
    <cfRule type="expression" dxfId="3433" priority="90">
      <formula>AND(IF(OR($Q33=1,$Q33=2),1,0),IF($X33&lt;=20,1,0))</formula>
    </cfRule>
    <cfRule type="expression" dxfId="3432" priority="91">
      <formula>AND(IF($Q33=2,1,0),IF($X33&lt;30,1,0))</formula>
    </cfRule>
    <cfRule type="expression" dxfId="3431" priority="92">
      <formula>AND(IF($Q33=3,1,0),IF($X33&lt;30,1,0))</formula>
    </cfRule>
    <cfRule type="expression" dxfId="3430" priority="93">
      <formula>AND(IF($Q33=3,1,IF($Q33=4,1,0)),IF($F33&lt;=85,1,0))</formula>
    </cfRule>
  </conditionalFormatting>
  <conditionalFormatting sqref="X33">
    <cfRule type="expression" dxfId="3429" priority="86">
      <formula>AND(IF(OR($Q33=1,$Q33=2),1,0),IF($X33&lt;=20,1,0))</formula>
    </cfRule>
    <cfRule type="expression" dxfId="3428" priority="87">
      <formula>AND(IF($Q33=2,1,0),IF($X33&lt;30,1,0))</formula>
    </cfRule>
    <cfRule type="expression" dxfId="3427" priority="88">
      <formula>AND(IF($Q33=3,1,0),IF($X33&lt;30,1,0))</formula>
    </cfRule>
    <cfRule type="expression" dxfId="3426" priority="89">
      <formula>AND(IF($Q33=3,1,IF($Q33=4,1,0)),IF($F33&lt;=85,1,0))</formula>
    </cfRule>
  </conditionalFormatting>
  <conditionalFormatting sqref="AI33">
    <cfRule type="expression" dxfId="3425" priority="82">
      <formula>AND(IF(OR($Q33=1,$Q33=2),1,0),IF($X33&lt;=20,1,0))</formula>
    </cfRule>
    <cfRule type="expression" dxfId="3424" priority="83">
      <formula>AND(IF($Q33=2,1,0),IF($X33&lt;30,1,0))</formula>
    </cfRule>
    <cfRule type="expression" dxfId="3423" priority="84">
      <formula>AND(IF($Q33=3,1,0),IF($X33&lt;30,1,0))</formula>
    </cfRule>
    <cfRule type="expression" dxfId="3422" priority="85">
      <formula>AND(IF($Q33=3,1,IF($Q33=4,1,0)),IF($F33&lt;=85,1,0))</formula>
    </cfRule>
  </conditionalFormatting>
  <conditionalFormatting sqref="AV34">
    <cfRule type="expression" dxfId="3421" priority="80">
      <formula>AV34="X"</formula>
    </cfRule>
    <cfRule type="expression" dxfId="3420" priority="81">
      <formula>AV34="후보"</formula>
    </cfRule>
  </conditionalFormatting>
  <conditionalFormatting sqref="AC34">
    <cfRule type="cellIs" dxfId="3419" priority="77" operator="greaterThan">
      <formula>0.9</formula>
    </cfRule>
    <cfRule type="cellIs" dxfId="3418" priority="78" operator="greaterThan">
      <formula>0.85</formula>
    </cfRule>
  </conditionalFormatting>
  <conditionalFormatting sqref="N34">
    <cfRule type="cellIs" dxfId="3417" priority="75" operator="greaterThan">
      <formula>0.9</formula>
    </cfRule>
    <cfRule type="cellIs" dxfId="3416" priority="76" operator="greaterThan">
      <formula>0.85</formula>
    </cfRule>
  </conditionalFormatting>
  <conditionalFormatting sqref="E34">
    <cfRule type="expression" dxfId="3415" priority="71">
      <formula>AND(IF(OR($Q34=1,$Q34=2),1,0),IF($X34&lt;=20,1,0))</formula>
    </cfRule>
    <cfRule type="expression" dxfId="3414" priority="72">
      <formula>AND(IF($Q34=2,1,0),IF($X34&lt;30,1,0))</formula>
    </cfRule>
    <cfRule type="expression" dxfId="3413" priority="73">
      <formula>AND(IF($Q34=3,1,0),IF($X34&lt;30,1,0))</formula>
    </cfRule>
    <cfRule type="expression" dxfId="3412" priority="74">
      <formula>AND(IF($Q34=3,1,IF($Q34=4,1,0)),IF($F34&lt;=85,1,0))</formula>
    </cfRule>
  </conditionalFormatting>
  <conditionalFormatting sqref="X34">
    <cfRule type="expression" dxfId="3411" priority="67">
      <formula>AND(IF(OR($Q34=1,$Q34=2),1,0),IF($X34&lt;=20,1,0))</formula>
    </cfRule>
    <cfRule type="expression" dxfId="3410" priority="68">
      <formula>AND(IF($Q34=2,1,0),IF($X34&lt;30,1,0))</formula>
    </cfRule>
    <cfRule type="expression" dxfId="3409" priority="69">
      <formula>AND(IF($Q34=3,1,0),IF($X34&lt;30,1,0))</formula>
    </cfRule>
    <cfRule type="expression" dxfId="3408" priority="70">
      <formula>AND(IF($Q34=3,1,IF($Q34=4,1,0)),IF($F34&lt;=85,1,0))</formula>
    </cfRule>
  </conditionalFormatting>
  <conditionalFormatting sqref="AI34">
    <cfRule type="expression" dxfId="3407" priority="63">
      <formula>AND(IF(OR($Q34=1,$Q34=2),1,0),IF($X34&lt;=20,1,0))</formula>
    </cfRule>
    <cfRule type="expression" dxfId="3406" priority="64">
      <formula>AND(IF($Q34=2,1,0),IF($X34&lt;30,1,0))</formula>
    </cfRule>
    <cfRule type="expression" dxfId="3405" priority="65">
      <formula>AND(IF($Q34=3,1,0),IF($X34&lt;30,1,0))</formula>
    </cfRule>
    <cfRule type="expression" dxfId="3404" priority="66">
      <formula>AND(IF($Q34=3,1,IF($Q34=4,1,0)),IF($F34&lt;=85,1,0))</formula>
    </cfRule>
  </conditionalFormatting>
  <conditionalFormatting sqref="AV35">
    <cfRule type="expression" dxfId="3403" priority="61">
      <formula>AV35="X"</formula>
    </cfRule>
    <cfRule type="expression" dxfId="3402" priority="62">
      <formula>AV35="후보"</formula>
    </cfRule>
  </conditionalFormatting>
  <conditionalFormatting sqref="AC35">
    <cfRule type="cellIs" dxfId="3401" priority="58" operator="greaterThan">
      <formula>0.9</formula>
    </cfRule>
    <cfRule type="cellIs" dxfId="3400" priority="59" operator="greaterThan">
      <formula>0.85</formula>
    </cfRule>
  </conditionalFormatting>
  <conditionalFormatting sqref="N35">
    <cfRule type="cellIs" dxfId="3399" priority="56" operator="greaterThan">
      <formula>0.9</formula>
    </cfRule>
    <cfRule type="cellIs" dxfId="3398" priority="57" operator="greaterThan">
      <formula>0.85</formula>
    </cfRule>
  </conditionalFormatting>
  <conditionalFormatting sqref="E35">
    <cfRule type="expression" dxfId="3397" priority="52">
      <formula>AND(IF(OR($Q35=1,$Q35=2),1,0),IF($X35&lt;=20,1,0))</formula>
    </cfRule>
    <cfRule type="expression" dxfId="3396" priority="53">
      <formula>AND(IF($Q35=2,1,0),IF($X35&lt;30,1,0))</formula>
    </cfRule>
    <cfRule type="expression" dxfId="3395" priority="54">
      <formula>AND(IF($Q35=3,1,0),IF($X35&lt;30,1,0))</formula>
    </cfRule>
    <cfRule type="expression" dxfId="3394" priority="55">
      <formula>AND(IF($Q35=3,1,IF($Q35=4,1,0)),IF($F35&lt;=85,1,0))</formula>
    </cfRule>
  </conditionalFormatting>
  <conditionalFormatting sqref="X35">
    <cfRule type="expression" dxfId="3393" priority="48">
      <formula>AND(IF(OR($Q35=1,$Q35=2),1,0),IF($X35&lt;=20,1,0))</formula>
    </cfRule>
    <cfRule type="expression" dxfId="3392" priority="49">
      <formula>AND(IF($Q35=2,1,0),IF($X35&lt;30,1,0))</formula>
    </cfRule>
    <cfRule type="expression" dxfId="3391" priority="50">
      <formula>AND(IF($Q35=3,1,0),IF($X35&lt;30,1,0))</formula>
    </cfRule>
    <cfRule type="expression" dxfId="3390" priority="51">
      <formula>AND(IF($Q35=3,1,IF($Q35=4,1,0)),IF($F35&lt;=85,1,0))</formula>
    </cfRule>
  </conditionalFormatting>
  <conditionalFormatting sqref="AI35">
    <cfRule type="expression" dxfId="3389" priority="44">
      <formula>AND(IF(OR($Q35=1,$Q35=2),1,0),IF($X35&lt;=20,1,0))</formula>
    </cfRule>
    <cfRule type="expression" dxfId="3388" priority="45">
      <formula>AND(IF($Q35=2,1,0),IF($X35&lt;30,1,0))</formula>
    </cfRule>
    <cfRule type="expression" dxfId="3387" priority="46">
      <formula>AND(IF($Q35=3,1,0),IF($X35&lt;30,1,0))</formula>
    </cfRule>
    <cfRule type="expression" dxfId="3386" priority="47">
      <formula>AND(IF($Q35=3,1,IF($Q35=4,1,0)),IF($F35&lt;=85,1,0))</formula>
    </cfRule>
  </conditionalFormatting>
  <conditionalFormatting sqref="AV36">
    <cfRule type="expression" dxfId="3385" priority="42">
      <formula>AV36="X"</formula>
    </cfRule>
    <cfRule type="expression" dxfId="3384" priority="43">
      <formula>AV36="후보"</formula>
    </cfRule>
  </conditionalFormatting>
  <conditionalFormatting sqref="AC36">
    <cfRule type="cellIs" dxfId="3383" priority="39" operator="greaterThan">
      <formula>0.9</formula>
    </cfRule>
    <cfRule type="cellIs" dxfId="3382" priority="40" operator="greaterThan">
      <formula>0.85</formula>
    </cfRule>
  </conditionalFormatting>
  <conditionalFormatting sqref="N36">
    <cfRule type="cellIs" dxfId="3381" priority="37" operator="greaterThan">
      <formula>0.9</formula>
    </cfRule>
    <cfRule type="cellIs" dxfId="3380" priority="38" operator="greaterThan">
      <formula>0.85</formula>
    </cfRule>
  </conditionalFormatting>
  <conditionalFormatting sqref="E36">
    <cfRule type="expression" dxfId="3379" priority="33">
      <formula>AND(IF(OR($Q36=1,$Q36=2),1,0),IF($X36&lt;=20,1,0))</formula>
    </cfRule>
    <cfRule type="expression" dxfId="3378" priority="34">
      <formula>AND(IF($Q36=2,1,0),IF($X36&lt;30,1,0))</formula>
    </cfRule>
    <cfRule type="expression" dxfId="3377" priority="35">
      <formula>AND(IF($Q36=3,1,0),IF($X36&lt;30,1,0))</formula>
    </cfRule>
    <cfRule type="expression" dxfId="3376" priority="36">
      <formula>AND(IF($Q36=3,1,IF($Q36=4,1,0)),IF($F36&lt;=85,1,0))</formula>
    </cfRule>
  </conditionalFormatting>
  <conditionalFormatting sqref="X36">
    <cfRule type="expression" dxfId="3375" priority="29">
      <formula>AND(IF(OR($Q36=1,$Q36=2),1,0),IF($X36&lt;=20,1,0))</formula>
    </cfRule>
    <cfRule type="expression" dxfId="3374" priority="30">
      <formula>AND(IF($Q36=2,1,0),IF($X36&lt;30,1,0))</formula>
    </cfRule>
    <cfRule type="expression" dxfId="3373" priority="31">
      <formula>AND(IF($Q36=3,1,0),IF($X36&lt;30,1,0))</formula>
    </cfRule>
    <cfRule type="expression" dxfId="3372" priority="32">
      <formula>AND(IF($Q36=3,1,IF($Q36=4,1,0)),IF($F36&lt;=85,1,0))</formula>
    </cfRule>
  </conditionalFormatting>
  <conditionalFormatting sqref="AI36">
    <cfRule type="expression" dxfId="3371" priority="25">
      <formula>AND(IF(OR($Q36=1,$Q36=2),1,0),IF($X36&lt;=20,1,0))</formula>
    </cfRule>
    <cfRule type="expression" dxfId="3370" priority="26">
      <formula>AND(IF($Q36=2,1,0),IF($X36&lt;30,1,0))</formula>
    </cfRule>
    <cfRule type="expression" dxfId="3369" priority="27">
      <formula>AND(IF($Q36=3,1,0),IF($X36&lt;30,1,0))</formula>
    </cfRule>
    <cfRule type="expression" dxfId="3368" priority="28">
      <formula>AND(IF($Q36=3,1,IF($Q36=4,1,0)),IF($F36&lt;=85,1,0))</formula>
    </cfRule>
  </conditionalFormatting>
  <conditionalFormatting sqref="AV37">
    <cfRule type="expression" dxfId="3367" priority="23">
      <formula>AV37="X"</formula>
    </cfRule>
    <cfRule type="expression" dxfId="3366" priority="24">
      <formula>AV37="후보"</formula>
    </cfRule>
  </conditionalFormatting>
  <conditionalFormatting sqref="AC37 N37">
    <cfRule type="cellIs" dxfId="3365" priority="20" operator="greaterThan">
      <formula>0.9</formula>
    </cfRule>
    <cfRule type="cellIs" dxfId="3364" priority="21" operator="greaterThan">
      <formula>0.85</formula>
    </cfRule>
  </conditionalFormatting>
  <conditionalFormatting sqref="AV38">
    <cfRule type="expression" dxfId="3363" priority="18">
      <formula>AV38="X"</formula>
    </cfRule>
    <cfRule type="expression" dxfId="3362" priority="19">
      <formula>AV38="후보"</formula>
    </cfRule>
  </conditionalFormatting>
  <conditionalFormatting sqref="AC38">
    <cfRule type="cellIs" dxfId="3361" priority="15" operator="greaterThan">
      <formula>0.9</formula>
    </cfRule>
    <cfRule type="cellIs" dxfId="3360" priority="16" operator="greaterThan">
      <formula>0.85</formula>
    </cfRule>
  </conditionalFormatting>
  <conditionalFormatting sqref="N38">
    <cfRule type="cellIs" dxfId="3359" priority="13" operator="greaterThan">
      <formula>0.9</formula>
    </cfRule>
    <cfRule type="cellIs" dxfId="3358" priority="14" operator="greaterThan">
      <formula>0.85</formula>
    </cfRule>
  </conditionalFormatting>
  <conditionalFormatting sqref="E38">
    <cfRule type="expression" dxfId="3357" priority="9">
      <formula>AND(IF(OR($Q38=1,$Q38=2),1,0),IF($X38&lt;=20,1,0))</formula>
    </cfRule>
    <cfRule type="expression" dxfId="3356" priority="10">
      <formula>AND(IF($Q38=2,1,0),IF($X38&lt;30,1,0))</formula>
    </cfRule>
    <cfRule type="expression" dxfId="3355" priority="11">
      <formula>AND(IF($Q38=3,1,0),IF($X38&lt;30,1,0))</formula>
    </cfRule>
    <cfRule type="expression" dxfId="3354" priority="12">
      <formula>AND(IF($Q38=3,1,IF($Q38=4,1,0)),IF($F38&lt;=85,1,0))</formula>
    </cfRule>
  </conditionalFormatting>
  <conditionalFormatting sqref="X38">
    <cfRule type="expression" dxfId="3353" priority="5">
      <formula>AND(IF(OR($Q38=1,$Q38=2),1,0),IF($X38&lt;=20,1,0))</formula>
    </cfRule>
    <cfRule type="expression" dxfId="3352" priority="6">
      <formula>AND(IF($Q38=2,1,0),IF($X38&lt;30,1,0))</formula>
    </cfRule>
    <cfRule type="expression" dxfId="3351" priority="7">
      <formula>AND(IF($Q38=3,1,0),IF($X38&lt;30,1,0))</formula>
    </cfRule>
    <cfRule type="expression" dxfId="3350" priority="8">
      <formula>AND(IF($Q38=3,1,IF($Q38=4,1,0)),IF($F38&lt;=85,1,0))</formula>
    </cfRule>
  </conditionalFormatting>
  <conditionalFormatting sqref="AI38">
    <cfRule type="expression" dxfId="3349" priority="1">
      <formula>AND(IF(OR($Q38=1,$Q38=2),1,0),IF($X38&lt;=20,1,0))</formula>
    </cfRule>
    <cfRule type="expression" dxfId="3348" priority="2">
      <formula>AND(IF($Q38=2,1,0),IF($X38&lt;30,1,0))</formula>
    </cfRule>
    <cfRule type="expression" dxfId="3347" priority="3">
      <formula>AND(IF($Q38=3,1,0),IF($X38&lt;30,1,0))</formula>
    </cfRule>
    <cfRule type="expression" dxfId="3346" priority="4">
      <formula>AND(IF($Q38=3,1,IF($Q38=4,1,0)),IF($F38&lt;=85,1,0))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9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9" sqref="A99:XFD9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인후동1가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1130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인후동1가 궁전('88.06.,212^)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1132</v>
      </c>
      <c r="B6" s="10" t="s">
        <v>1602</v>
      </c>
      <c r="C6" s="87">
        <v>212</v>
      </c>
      <c r="D6" s="85">
        <v>100.4</v>
      </c>
      <c r="E6" s="86">
        <v>30</v>
      </c>
      <c r="F6" s="85">
        <v>84.5</v>
      </c>
      <c r="G6" s="17">
        <v>26</v>
      </c>
      <c r="H6" s="87">
        <v>130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59</v>
      </c>
      <c r="T6" s="5">
        <v>100</v>
      </c>
      <c r="U6" s="9"/>
      <c r="W6" s="85">
        <f>D6</f>
        <v>100.4</v>
      </c>
      <c r="X6" s="86">
        <f>E6</f>
        <v>30</v>
      </c>
      <c r="Y6" s="91">
        <f>H6</f>
        <v>130</v>
      </c>
      <c r="Z6" s="89">
        <f>I6</f>
        <v>0</v>
      </c>
      <c r="AA6" s="89">
        <f>K6</f>
        <v>0</v>
      </c>
      <c r="AB6" s="89">
        <f t="shared" ref="AB6:AD7" si="2">M6</f>
        <v>0</v>
      </c>
      <c r="AC6" s="4" t="str">
        <f t="shared" si="2"/>
        <v/>
      </c>
      <c r="AD6" s="90">
        <f t="shared" si="2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궁전</v>
      </c>
      <c r="AI6" s="86">
        <f t="shared" si="0"/>
        <v>30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1132</v>
      </c>
      <c r="B7" s="10" t="s">
        <v>1602</v>
      </c>
      <c r="C7" s="87">
        <v>212</v>
      </c>
      <c r="D7" s="85">
        <v>136.80000000000001</v>
      </c>
      <c r="E7" s="86">
        <v>41</v>
      </c>
      <c r="F7" s="85">
        <v>115.1</v>
      </c>
      <c r="G7" s="17">
        <v>35</v>
      </c>
      <c r="H7" s="87">
        <v>82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4</v>
      </c>
      <c r="R7" s="78">
        <v>2</v>
      </c>
      <c r="S7" s="78" t="s">
        <v>59</v>
      </c>
      <c r="T7" s="5">
        <v>136</v>
      </c>
      <c r="U7" s="9"/>
      <c r="W7" s="85">
        <f>D7</f>
        <v>136.80000000000001</v>
      </c>
      <c r="X7" s="86">
        <f>E7</f>
        <v>41</v>
      </c>
      <c r="Y7" s="91">
        <f>H7</f>
        <v>82</v>
      </c>
      <c r="Z7" s="89">
        <f>I7</f>
        <v>0</v>
      </c>
      <c r="AA7" s="89">
        <f>K7</f>
        <v>0</v>
      </c>
      <c r="AB7" s="89">
        <f t="shared" si="2"/>
        <v>0</v>
      </c>
      <c r="AC7" s="4" t="str">
        <f t="shared" si="2"/>
        <v/>
      </c>
      <c r="AD7" s="90">
        <f t="shared" si="2"/>
        <v>0</v>
      </c>
      <c r="AE7" s="78" t="str">
        <f>S7</f>
        <v>계</v>
      </c>
      <c r="AF7" s="78" t="str">
        <f>Q7&amp;"/"&amp;R7</f>
        <v>4/2</v>
      </c>
      <c r="AH7" s="20" t="str">
        <f t="shared" si="1"/>
        <v>궁전</v>
      </c>
      <c r="AI7" s="86">
        <f t="shared" si="0"/>
        <v>41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X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/>
      <c r="B8" s="78"/>
      <c r="C8" s="6"/>
      <c r="D8" s="9"/>
      <c r="E8" s="14"/>
      <c r="F8" s="85"/>
      <c r="G8" s="9"/>
      <c r="H8" s="9"/>
      <c r="I8" s="9"/>
      <c r="J8" s="9"/>
      <c r="K8" s="9"/>
      <c r="L8" s="9"/>
      <c r="M8" s="9"/>
      <c r="N8" s="9"/>
      <c r="O8" s="90"/>
      <c r="P8" s="90"/>
      <c r="Q8" s="86"/>
      <c r="R8" s="86"/>
      <c r="S8" s="9"/>
      <c r="T8" s="47"/>
      <c r="U8" s="9"/>
      <c r="W8" s="67" t="str">
        <f>$A$4&amp;" "&amp;A9&amp;"("&amp;B9&amp;","&amp;C9&amp;"^)"</f>
        <v>인후동1가 아중마을부영6차('03.09.,800^)</v>
      </c>
      <c r="X8" s="68"/>
      <c r="Y8" s="68"/>
      <c r="Z8" s="68"/>
      <c r="AA8" s="68"/>
      <c r="AB8" s="68"/>
      <c r="AC8" s="68"/>
      <c r="AD8" s="68"/>
      <c r="AE8" s="68"/>
      <c r="AF8" s="69"/>
      <c r="AH8" s="20" t="str">
        <f t="shared" si="1"/>
        <v/>
      </c>
      <c r="AI8" s="108" t="str">
        <f t="shared" si="0"/>
        <v/>
      </c>
      <c r="AJ8" s="78"/>
      <c r="AK8" s="78"/>
      <c r="AL8" s="78"/>
      <c r="AM8" s="78"/>
      <c r="AN8" s="78"/>
      <c r="AO8" s="78"/>
      <c r="AP8" s="78"/>
      <c r="AQ8" s="78"/>
      <c r="AR8" s="78"/>
      <c r="AS8" s="78"/>
      <c r="AT8" s="78"/>
      <c r="AU8" s="78"/>
      <c r="AV8" s="78"/>
    </row>
    <row r="9" spans="1:48" x14ac:dyDescent="0.3">
      <c r="A9" s="9" t="s">
        <v>1142</v>
      </c>
      <c r="B9" s="10" t="s">
        <v>1603</v>
      </c>
      <c r="C9" s="87">
        <v>800</v>
      </c>
      <c r="D9" s="85">
        <v>77.3</v>
      </c>
      <c r="E9" s="86">
        <v>23</v>
      </c>
      <c r="F9" s="85">
        <v>60</v>
      </c>
      <c r="G9" s="17">
        <v>18</v>
      </c>
      <c r="H9" s="87">
        <v>106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2</v>
      </c>
      <c r="S9" s="78" t="s">
        <v>59</v>
      </c>
      <c r="T9" s="5">
        <v>77</v>
      </c>
      <c r="U9" s="9"/>
      <c r="W9" s="85">
        <f>D9</f>
        <v>77.3</v>
      </c>
      <c r="X9" s="86">
        <f>E9</f>
        <v>23</v>
      </c>
      <c r="Y9" s="91">
        <f>H9</f>
        <v>106</v>
      </c>
      <c r="Z9" s="89">
        <f>I9</f>
        <v>0</v>
      </c>
      <c r="AA9" s="89">
        <f>K9</f>
        <v>0</v>
      </c>
      <c r="AB9" s="89">
        <f t="shared" ref="AB9:AD10" si="3">M9</f>
        <v>0</v>
      </c>
      <c r="AC9" s="4" t="str">
        <f t="shared" si="3"/>
        <v/>
      </c>
      <c r="AD9" s="90">
        <f t="shared" si="3"/>
        <v>0</v>
      </c>
      <c r="AE9" s="78" t="str">
        <f>S9</f>
        <v>계</v>
      </c>
      <c r="AF9" s="78" t="str">
        <f>Q9&amp;"/"&amp;R9</f>
        <v>3/2</v>
      </c>
      <c r="AH9" s="20" t="str">
        <f t="shared" si="1"/>
        <v>아중마을부영6차</v>
      </c>
      <c r="AI9" s="86">
        <f t="shared" si="0"/>
        <v>23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/>
      </c>
    </row>
    <row r="10" spans="1:48" x14ac:dyDescent="0.3">
      <c r="A10" s="9" t="s">
        <v>1142</v>
      </c>
      <c r="B10" s="10" t="s">
        <v>1603</v>
      </c>
      <c r="C10" s="87">
        <v>800</v>
      </c>
      <c r="D10" s="85">
        <v>104</v>
      </c>
      <c r="E10" s="86">
        <v>31</v>
      </c>
      <c r="F10" s="85">
        <v>84.8</v>
      </c>
      <c r="G10" s="17">
        <v>26</v>
      </c>
      <c r="H10" s="87">
        <v>694</v>
      </c>
      <c r="I10" s="88">
        <v>23000</v>
      </c>
      <c r="J10" s="88" t="s">
        <v>72</v>
      </c>
      <c r="K10" s="88">
        <v>23000</v>
      </c>
      <c r="L10" s="88" t="s">
        <v>87</v>
      </c>
      <c r="M10" s="89">
        <f>I10-K10</f>
        <v>0</v>
      </c>
      <c r="N10" s="4">
        <f>IF(ISERROR(K10/I10),"",K10/I10)</f>
        <v>1</v>
      </c>
      <c r="O10" s="90">
        <f>I10/E10</f>
        <v>741.93548387096769</v>
      </c>
      <c r="P10" s="90">
        <f>K10/E10</f>
        <v>741.93548387096769</v>
      </c>
      <c r="Q10" s="78">
        <v>3</v>
      </c>
      <c r="R10" s="78">
        <v>2</v>
      </c>
      <c r="S10" s="78" t="s">
        <v>59</v>
      </c>
      <c r="T10" s="5">
        <v>104</v>
      </c>
      <c r="U10" s="9"/>
      <c r="W10" s="85">
        <f>D10</f>
        <v>104</v>
      </c>
      <c r="X10" s="86">
        <f>E10</f>
        <v>31</v>
      </c>
      <c r="Y10" s="91">
        <f>H10</f>
        <v>694</v>
      </c>
      <c r="Z10" s="89">
        <f>I10</f>
        <v>23000</v>
      </c>
      <c r="AA10" s="89">
        <f>K10</f>
        <v>23000</v>
      </c>
      <c r="AB10" s="89">
        <f t="shared" si="3"/>
        <v>0</v>
      </c>
      <c r="AC10" s="4">
        <f t="shared" si="3"/>
        <v>1</v>
      </c>
      <c r="AD10" s="90">
        <f t="shared" si="3"/>
        <v>741.93548387096769</v>
      </c>
      <c r="AE10" s="78" t="str">
        <f>S10</f>
        <v>계</v>
      </c>
      <c r="AF10" s="78" t="str">
        <f>Q10&amp;"/"&amp;R10</f>
        <v>3/2</v>
      </c>
      <c r="AH10" s="20" t="str">
        <f t="shared" si="1"/>
        <v>아중마을부영6차</v>
      </c>
      <c r="AI10" s="86">
        <f t="shared" si="0"/>
        <v>31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인후동1가 아중마을부영5차('99.09.,618^)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1152</v>
      </c>
      <c r="B12" s="10" t="s">
        <v>1604</v>
      </c>
      <c r="C12" s="87">
        <v>618</v>
      </c>
      <c r="D12" s="85">
        <v>68.5</v>
      </c>
      <c r="E12" s="86">
        <v>21</v>
      </c>
      <c r="F12" s="85">
        <v>50</v>
      </c>
      <c r="G12" s="17">
        <v>15</v>
      </c>
      <c r="H12" s="87">
        <v>328</v>
      </c>
      <c r="I12" s="88">
        <v>12000</v>
      </c>
      <c r="J12" s="88" t="s">
        <v>104</v>
      </c>
      <c r="K12" s="88">
        <v>11500</v>
      </c>
      <c r="L12" s="88" t="s">
        <v>87</v>
      </c>
      <c r="M12" s="89">
        <f>I12-K12</f>
        <v>500</v>
      </c>
      <c r="N12" s="4">
        <f>IF(ISERROR(K12/I12),"",K12/I12)</f>
        <v>0.95833333333333337</v>
      </c>
      <c r="O12" s="90">
        <f>I12/E12</f>
        <v>571.42857142857144</v>
      </c>
      <c r="P12" s="90">
        <f>K12/E12</f>
        <v>547.61904761904759</v>
      </c>
      <c r="Q12" s="78">
        <v>2</v>
      </c>
      <c r="R12" s="78">
        <v>1</v>
      </c>
      <c r="S12" s="78" t="s">
        <v>59</v>
      </c>
      <c r="T12" s="5">
        <v>68</v>
      </c>
      <c r="U12" s="9"/>
      <c r="W12" s="85">
        <f>D12</f>
        <v>68.5</v>
      </c>
      <c r="X12" s="86">
        <f>E12</f>
        <v>21</v>
      </c>
      <c r="Y12" s="91">
        <f>H12</f>
        <v>328</v>
      </c>
      <c r="Z12" s="89">
        <f>I12</f>
        <v>12000</v>
      </c>
      <c r="AA12" s="89">
        <f>K12</f>
        <v>11500</v>
      </c>
      <c r="AB12" s="89">
        <f t="shared" ref="AB12:AD13" si="4">M12</f>
        <v>500</v>
      </c>
      <c r="AC12" s="4">
        <f t="shared" si="4"/>
        <v>0.95833333333333337</v>
      </c>
      <c r="AD12" s="90">
        <f t="shared" si="4"/>
        <v>571.42857142857144</v>
      </c>
      <c r="AE12" s="78" t="str">
        <f>S12</f>
        <v>계</v>
      </c>
      <c r="AF12" s="78" t="str">
        <f>Q12&amp;"/"&amp;R12</f>
        <v>2/1</v>
      </c>
      <c r="AH12" s="20" t="str">
        <f t="shared" si="1"/>
        <v>아중마을부영5차</v>
      </c>
      <c r="AI12" s="86">
        <f t="shared" si="0"/>
        <v>21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O</v>
      </c>
      <c r="AP12" s="78" t="str">
        <f>IF(I12="","",IF(I12&lt;=$AP$1,"O","X"))</f>
        <v>O</v>
      </c>
      <c r="AQ12" s="78" t="str">
        <f>IF(O12="","",IF(O12&lt;=$AQ$1,"O","X"))</f>
        <v>O</v>
      </c>
      <c r="AR12" s="78" t="str">
        <f>IF(M12="","",IF(M12&lt;=$AR$1,"O","X"))</f>
        <v>O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후보</v>
      </c>
    </row>
    <row r="13" spans="1:48" x14ac:dyDescent="0.3">
      <c r="A13" s="9" t="s">
        <v>1152</v>
      </c>
      <c r="B13" s="10" t="s">
        <v>1604</v>
      </c>
      <c r="C13" s="87">
        <v>618</v>
      </c>
      <c r="D13" s="85">
        <v>81.5</v>
      </c>
      <c r="E13" s="86">
        <v>25</v>
      </c>
      <c r="F13" s="85">
        <v>59.5</v>
      </c>
      <c r="G13" s="17">
        <v>18</v>
      </c>
      <c r="H13" s="87">
        <v>290</v>
      </c>
      <c r="I13" s="88">
        <v>13500</v>
      </c>
      <c r="J13" s="88" t="s">
        <v>87</v>
      </c>
      <c r="K13" s="88">
        <v>13000</v>
      </c>
      <c r="L13" s="88" t="s">
        <v>82</v>
      </c>
      <c r="M13" s="89">
        <f>I13-K13</f>
        <v>500</v>
      </c>
      <c r="N13" s="4">
        <f>IF(ISERROR(K13/I13),"",K13/I13)</f>
        <v>0.96296296296296291</v>
      </c>
      <c r="O13" s="90">
        <f>I13/E13</f>
        <v>540</v>
      </c>
      <c r="P13" s="90">
        <f>K13/E13</f>
        <v>520</v>
      </c>
      <c r="Q13" s="78">
        <v>3</v>
      </c>
      <c r="R13" s="78">
        <v>1</v>
      </c>
      <c r="S13" s="78" t="s">
        <v>59</v>
      </c>
      <c r="T13" s="5">
        <v>81</v>
      </c>
      <c r="U13" s="9"/>
      <c r="W13" s="85">
        <f>D13</f>
        <v>81.5</v>
      </c>
      <c r="X13" s="86">
        <f>E13</f>
        <v>25</v>
      </c>
      <c r="Y13" s="91">
        <f>H13</f>
        <v>290</v>
      </c>
      <c r="Z13" s="89">
        <f>I13</f>
        <v>13500</v>
      </c>
      <c r="AA13" s="89">
        <f>K13</f>
        <v>13000</v>
      </c>
      <c r="AB13" s="89">
        <f t="shared" si="4"/>
        <v>500</v>
      </c>
      <c r="AC13" s="4">
        <f t="shared" si="4"/>
        <v>0.96296296296296291</v>
      </c>
      <c r="AD13" s="90">
        <f t="shared" si="4"/>
        <v>540</v>
      </c>
      <c r="AE13" s="78" t="str">
        <f>S13</f>
        <v>계</v>
      </c>
      <c r="AF13" s="78" t="str">
        <f>Q13&amp;"/"&amp;R13</f>
        <v>3/1</v>
      </c>
      <c r="AH13" s="20" t="str">
        <f t="shared" si="1"/>
        <v>아중마을부영5차</v>
      </c>
      <c r="AI13" s="86">
        <f t="shared" si="0"/>
        <v>25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O</v>
      </c>
      <c r="AP13" s="78" t="str">
        <f>IF(I13="","",IF(I13&lt;=$AP$1,"O","X"))</f>
        <v>O</v>
      </c>
      <c r="AQ13" s="78" t="str">
        <f>IF(O13="","",IF(O13&lt;=$AQ$1,"O","X"))</f>
        <v>O</v>
      </c>
      <c r="AR13" s="78" t="str">
        <f>IF(M13="","",IF(M13&lt;=$AR$1,"O","X"))</f>
        <v>O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후보</v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인후동1가 전주인후휴먼시아('08.02.,423^)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1157</v>
      </c>
      <c r="B15" s="10" t="s">
        <v>1605</v>
      </c>
      <c r="C15" s="87">
        <v>423</v>
      </c>
      <c r="D15" s="85">
        <v>82.6</v>
      </c>
      <c r="E15" s="86">
        <v>25</v>
      </c>
      <c r="F15" s="85">
        <v>59.6</v>
      </c>
      <c r="G15" s="17">
        <v>18</v>
      </c>
      <c r="H15" s="87">
        <v>273</v>
      </c>
      <c r="I15" s="88">
        <v>19200</v>
      </c>
      <c r="J15" s="88" t="s">
        <v>68</v>
      </c>
      <c r="K15" s="88"/>
      <c r="L15" s="88"/>
      <c r="M15" s="89">
        <f>I15-K15</f>
        <v>19200</v>
      </c>
      <c r="N15" s="4">
        <f>IF(ISERROR(K15/I15),"",K15/I15)</f>
        <v>0</v>
      </c>
      <c r="O15" s="90">
        <f>I15/E15</f>
        <v>768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>
        <v>82</v>
      </c>
      <c r="U15" s="9"/>
      <c r="W15" s="85">
        <f t="shared" ref="W15:X17" si="5">D15</f>
        <v>82.6</v>
      </c>
      <c r="X15" s="86">
        <f t="shared" si="5"/>
        <v>25</v>
      </c>
      <c r="Y15" s="91">
        <f t="shared" ref="Y15:Z17" si="6">H15</f>
        <v>273</v>
      </c>
      <c r="Z15" s="89">
        <f t="shared" si="6"/>
        <v>19200</v>
      </c>
      <c r="AA15" s="89">
        <f>K15</f>
        <v>0</v>
      </c>
      <c r="AB15" s="89">
        <f t="shared" ref="AB15:AD17" si="7">M15</f>
        <v>19200</v>
      </c>
      <c r="AC15" s="4">
        <f t="shared" si="7"/>
        <v>0</v>
      </c>
      <c r="AD15" s="90">
        <f t="shared" si="7"/>
        <v>768</v>
      </c>
      <c r="AE15" s="78" t="str">
        <f>S15</f>
        <v>계</v>
      </c>
      <c r="AF15" s="78" t="str">
        <f>Q15&amp;"/"&amp;R15</f>
        <v>3/2</v>
      </c>
      <c r="AH15" s="20" t="str">
        <f t="shared" si="1"/>
        <v>전주인후휴먼시아</v>
      </c>
      <c r="AI15" s="86">
        <f t="shared" si="0"/>
        <v>25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O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1157</v>
      </c>
      <c r="B16" s="10" t="s">
        <v>1605</v>
      </c>
      <c r="C16" s="87">
        <v>423</v>
      </c>
      <c r="D16" s="85">
        <v>99</v>
      </c>
      <c r="E16" s="86">
        <v>30</v>
      </c>
      <c r="F16" s="85">
        <v>75.900000000000006</v>
      </c>
      <c r="G16" s="17">
        <v>23</v>
      </c>
      <c r="H16" s="87">
        <v>112</v>
      </c>
      <c r="I16" s="88">
        <v>24000</v>
      </c>
      <c r="J16" s="88" t="s">
        <v>127</v>
      </c>
      <c r="K16" s="88"/>
      <c r="L16" s="88"/>
      <c r="M16" s="89">
        <f>I16-K16</f>
        <v>24000</v>
      </c>
      <c r="N16" s="4">
        <f>IF(ISERROR(K16/I16),"",K16/I16)</f>
        <v>0</v>
      </c>
      <c r="O16" s="90">
        <f>I16/E16</f>
        <v>800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>
        <v>99</v>
      </c>
      <c r="U16" s="9"/>
      <c r="W16" s="85">
        <f t="shared" si="5"/>
        <v>99</v>
      </c>
      <c r="X16" s="86">
        <f t="shared" si="5"/>
        <v>30</v>
      </c>
      <c r="Y16" s="91">
        <f t="shared" si="6"/>
        <v>112</v>
      </c>
      <c r="Z16" s="89">
        <f t="shared" si="6"/>
        <v>24000</v>
      </c>
      <c r="AA16" s="89">
        <f>K16</f>
        <v>0</v>
      </c>
      <c r="AB16" s="89">
        <f t="shared" si="7"/>
        <v>24000</v>
      </c>
      <c r="AC16" s="4">
        <f t="shared" si="7"/>
        <v>0</v>
      </c>
      <c r="AD16" s="90">
        <f t="shared" si="7"/>
        <v>800</v>
      </c>
      <c r="AE16" s="78" t="str">
        <f>S16</f>
        <v>계</v>
      </c>
      <c r="AF16" s="78" t="str">
        <f>Q16&amp;"/"&amp;R16</f>
        <v>3/2</v>
      </c>
      <c r="AH16" s="20" t="str">
        <f t="shared" si="1"/>
        <v>전주인후휴먼시아</v>
      </c>
      <c r="AI16" s="86">
        <f t="shared" si="0"/>
        <v>30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O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1157</v>
      </c>
      <c r="B17" s="10" t="s">
        <v>1605</v>
      </c>
      <c r="C17" s="87">
        <v>423</v>
      </c>
      <c r="D17" s="85">
        <v>109.8</v>
      </c>
      <c r="E17" s="86">
        <v>33</v>
      </c>
      <c r="F17" s="85">
        <v>84.7</v>
      </c>
      <c r="G17" s="17">
        <v>26</v>
      </c>
      <c r="H17" s="87">
        <v>38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3</v>
      </c>
      <c r="R17" s="78">
        <v>2</v>
      </c>
      <c r="S17" s="78" t="s">
        <v>59</v>
      </c>
      <c r="T17" s="5">
        <v>109</v>
      </c>
      <c r="U17" s="9"/>
      <c r="W17" s="85">
        <f t="shared" si="5"/>
        <v>109.8</v>
      </c>
      <c r="X17" s="86">
        <f t="shared" si="5"/>
        <v>33</v>
      </c>
      <c r="Y17" s="91">
        <f t="shared" si="6"/>
        <v>38</v>
      </c>
      <c r="Z17" s="89">
        <f t="shared" si="6"/>
        <v>0</v>
      </c>
      <c r="AA17" s="89">
        <f>K17</f>
        <v>0</v>
      </c>
      <c r="AB17" s="89">
        <f t="shared" si="7"/>
        <v>0</v>
      </c>
      <c r="AC17" s="4" t="str">
        <f t="shared" si="7"/>
        <v/>
      </c>
      <c r="AD17" s="90">
        <f t="shared" si="7"/>
        <v>0</v>
      </c>
      <c r="AE17" s="78" t="str">
        <f>S17</f>
        <v>계</v>
      </c>
      <c r="AF17" s="78" t="str">
        <f>Q17&amp;"/"&amp;R17</f>
        <v>3/2</v>
      </c>
      <c r="AH17" s="20" t="str">
        <f t="shared" si="1"/>
        <v>전주인후휴먼시아</v>
      </c>
      <c r="AI17" s="86">
        <f t="shared" si="0"/>
        <v>33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인후동1가 삼호('90.12.,404^)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1171</v>
      </c>
      <c r="B19" s="10" t="s">
        <v>1606</v>
      </c>
      <c r="C19" s="87">
        <v>404</v>
      </c>
      <c r="D19" s="85">
        <v>87.8</v>
      </c>
      <c r="E19" s="86">
        <v>27</v>
      </c>
      <c r="F19" s="85">
        <v>75</v>
      </c>
      <c r="G19" s="17">
        <v>23</v>
      </c>
      <c r="H19" s="87">
        <v>1</v>
      </c>
      <c r="I19" s="88"/>
      <c r="J19" s="88"/>
      <c r="K19" s="88"/>
      <c r="L19" s="88"/>
      <c r="M19" s="89">
        <f t="shared" ref="M19:M24" si="8">I19-K19</f>
        <v>0</v>
      </c>
      <c r="N19" s="4" t="str">
        <f t="shared" ref="N19:N24" si="9">IF(ISERROR(K19/I19),"",K19/I19)</f>
        <v/>
      </c>
      <c r="O19" s="90">
        <f t="shared" ref="O19:O24" si="10">I19/E19</f>
        <v>0</v>
      </c>
      <c r="P19" s="90">
        <f t="shared" ref="P19:P24" si="11">K19/E19</f>
        <v>0</v>
      </c>
      <c r="Q19" s="78">
        <v>3</v>
      </c>
      <c r="R19" s="78">
        <v>2</v>
      </c>
      <c r="S19" s="78" t="s">
        <v>59</v>
      </c>
      <c r="T19" s="5" t="s">
        <v>118</v>
      </c>
      <c r="U19" s="9"/>
      <c r="W19" s="85">
        <f t="shared" ref="W19:X24" si="12">D19</f>
        <v>87.8</v>
      </c>
      <c r="X19" s="86">
        <f t="shared" si="12"/>
        <v>27</v>
      </c>
      <c r="Y19" s="91">
        <f t="shared" ref="Y19:Z24" si="13">H19</f>
        <v>1</v>
      </c>
      <c r="Z19" s="89">
        <f t="shared" si="13"/>
        <v>0</v>
      </c>
      <c r="AA19" s="89">
        <f t="shared" ref="AA19:AA24" si="14">K19</f>
        <v>0</v>
      </c>
      <c r="AB19" s="89">
        <f t="shared" ref="AB19:AD24" si="15">M19</f>
        <v>0</v>
      </c>
      <c r="AC19" s="4" t="str">
        <f t="shared" si="15"/>
        <v/>
      </c>
      <c r="AD19" s="90">
        <f t="shared" si="15"/>
        <v>0</v>
      </c>
      <c r="AE19" s="78" t="str">
        <f t="shared" ref="AE19:AE24" si="16">S19</f>
        <v>계</v>
      </c>
      <c r="AF19" s="78" t="str">
        <f t="shared" ref="AF19:AF24" si="17">Q19&amp;"/"&amp;R19</f>
        <v>3/2</v>
      </c>
      <c r="AH19" s="20" t="str">
        <f t="shared" si="1"/>
        <v>삼호</v>
      </c>
      <c r="AI19" s="86">
        <f t="shared" si="0"/>
        <v>27</v>
      </c>
      <c r="AJ19" s="78" t="str">
        <f t="shared" ref="AJ19:AJ24" si="18"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 t="shared" ref="AN19:AN24" si="19">IF(AI19="","",$AN$2)</f>
        <v>C</v>
      </c>
      <c r="AO19" s="78" t="str">
        <f t="shared" ref="AO19:AO24" si="20">IF(N19="","",IF(N19&gt;=$AO$1/100,"O","X"))</f>
        <v/>
      </c>
      <c r="AP19" s="78" t="str">
        <f t="shared" ref="AP19:AP24" si="21">IF(I19="","",IF(I19&lt;=$AP$1,"O","X"))</f>
        <v/>
      </c>
      <c r="AQ19" s="78" t="str">
        <f t="shared" ref="AQ19:AQ24" si="22">IF(O19="","",IF(O19&lt;=$AQ$1,"O","X"))</f>
        <v>O</v>
      </c>
      <c r="AR19" s="78" t="str">
        <f t="shared" ref="AR19:AR24" si="23">IF(M19="","",IF(M19&lt;=$AR$1,"O","X"))</f>
        <v>O</v>
      </c>
      <c r="AS19" s="78" t="s">
        <v>2</v>
      </c>
      <c r="AT19" s="78" t="str">
        <f t="shared" ref="AT19:AT24" si="24">IF(OR(F19="",AI19=""),"",IF(AND((F19&lt;=85),(AI19&gt;=15)),"O","X"))</f>
        <v>O</v>
      </c>
      <c r="AU19" s="78" t="str">
        <f t="shared" ref="AU19:AU24" si="25">IF(C19="","",IF(C19&gt;=$AU$1,"O","X"))</f>
        <v>O</v>
      </c>
      <c r="AV19" s="78" t="str">
        <f t="shared" ref="AV19:AV24" si="26">IF(AO19="","",IF(AND(AO19="O",AP19="O",AR19="O",AT19="O",AU19="O"),"후보","X"))</f>
        <v/>
      </c>
    </row>
    <row r="20" spans="1:48" x14ac:dyDescent="0.3">
      <c r="A20" s="9" t="s">
        <v>1171</v>
      </c>
      <c r="B20" s="10" t="s">
        <v>1606</v>
      </c>
      <c r="C20" s="87">
        <v>404</v>
      </c>
      <c r="D20" s="85">
        <v>88.2</v>
      </c>
      <c r="E20" s="86">
        <v>27</v>
      </c>
      <c r="F20" s="85">
        <v>74.2</v>
      </c>
      <c r="G20" s="17">
        <v>22</v>
      </c>
      <c r="H20" s="87">
        <v>116</v>
      </c>
      <c r="I20" s="88"/>
      <c r="J20" s="88"/>
      <c r="K20" s="88"/>
      <c r="L20" s="88"/>
      <c r="M20" s="89">
        <f t="shared" si="8"/>
        <v>0</v>
      </c>
      <c r="N20" s="4" t="str">
        <f t="shared" si="9"/>
        <v/>
      </c>
      <c r="O20" s="90">
        <f t="shared" si="10"/>
        <v>0</v>
      </c>
      <c r="P20" s="90">
        <f t="shared" si="11"/>
        <v>0</v>
      </c>
      <c r="Q20" s="78">
        <v>3</v>
      </c>
      <c r="R20" s="78">
        <v>2</v>
      </c>
      <c r="S20" s="78" t="s">
        <v>59</v>
      </c>
      <c r="T20" s="5" t="s">
        <v>199</v>
      </c>
      <c r="U20" s="9"/>
      <c r="W20" s="85">
        <f t="shared" si="12"/>
        <v>88.2</v>
      </c>
      <c r="X20" s="86">
        <f t="shared" si="12"/>
        <v>27</v>
      </c>
      <c r="Y20" s="91">
        <f t="shared" si="13"/>
        <v>116</v>
      </c>
      <c r="Z20" s="89">
        <f t="shared" si="13"/>
        <v>0</v>
      </c>
      <c r="AA20" s="89">
        <f t="shared" si="14"/>
        <v>0</v>
      </c>
      <c r="AB20" s="89">
        <f t="shared" si="15"/>
        <v>0</v>
      </c>
      <c r="AC20" s="4" t="str">
        <f t="shared" si="15"/>
        <v/>
      </c>
      <c r="AD20" s="90">
        <f t="shared" si="15"/>
        <v>0</v>
      </c>
      <c r="AE20" s="78" t="str">
        <f t="shared" si="16"/>
        <v>계</v>
      </c>
      <c r="AF20" s="78" t="str">
        <f t="shared" si="17"/>
        <v>3/2</v>
      </c>
      <c r="AH20" s="20" t="str">
        <f t="shared" si="1"/>
        <v>삼호</v>
      </c>
      <c r="AI20" s="86">
        <f t="shared" si="0"/>
        <v>27</v>
      </c>
      <c r="AJ20" s="78" t="str">
        <f t="shared" si="18"/>
        <v>A-</v>
      </c>
      <c r="AK20" s="78" t="s">
        <v>13</v>
      </c>
      <c r="AL20" s="78" t="s">
        <v>61</v>
      </c>
      <c r="AM20" s="78" t="s">
        <v>62</v>
      </c>
      <c r="AN20" s="78" t="str">
        <f t="shared" si="19"/>
        <v>C</v>
      </c>
      <c r="AO20" s="78" t="str">
        <f t="shared" si="20"/>
        <v/>
      </c>
      <c r="AP20" s="78" t="str">
        <f t="shared" si="21"/>
        <v/>
      </c>
      <c r="AQ20" s="78" t="str">
        <f t="shared" si="22"/>
        <v>O</v>
      </c>
      <c r="AR20" s="78" t="str">
        <f t="shared" si="23"/>
        <v>O</v>
      </c>
      <c r="AS20" s="78" t="s">
        <v>2</v>
      </c>
      <c r="AT20" s="78" t="str">
        <f t="shared" si="24"/>
        <v>O</v>
      </c>
      <c r="AU20" s="78" t="str">
        <f t="shared" si="25"/>
        <v>O</v>
      </c>
      <c r="AV20" s="78" t="str">
        <f t="shared" si="26"/>
        <v/>
      </c>
    </row>
    <row r="21" spans="1:48" x14ac:dyDescent="0.3">
      <c r="A21" s="9" t="s">
        <v>1171</v>
      </c>
      <c r="B21" s="10" t="s">
        <v>1606</v>
      </c>
      <c r="C21" s="87">
        <v>404</v>
      </c>
      <c r="D21" s="85">
        <v>92.4</v>
      </c>
      <c r="E21" s="86">
        <v>28</v>
      </c>
      <c r="F21" s="85">
        <v>78.900000000000006</v>
      </c>
      <c r="G21" s="17">
        <v>24</v>
      </c>
      <c r="H21" s="87">
        <v>15</v>
      </c>
      <c r="I21" s="88"/>
      <c r="J21" s="88"/>
      <c r="K21" s="88"/>
      <c r="L21" s="88"/>
      <c r="M21" s="89">
        <f t="shared" si="8"/>
        <v>0</v>
      </c>
      <c r="N21" s="4" t="str">
        <f t="shared" si="9"/>
        <v/>
      </c>
      <c r="O21" s="90">
        <f t="shared" si="10"/>
        <v>0</v>
      </c>
      <c r="P21" s="90">
        <f t="shared" si="11"/>
        <v>0</v>
      </c>
      <c r="Q21" s="78">
        <v>3</v>
      </c>
      <c r="R21" s="78">
        <v>2</v>
      </c>
      <c r="S21" s="78" t="s">
        <v>59</v>
      </c>
      <c r="T21" s="5">
        <v>92</v>
      </c>
      <c r="U21" s="9"/>
      <c r="W21" s="85">
        <f t="shared" si="12"/>
        <v>92.4</v>
      </c>
      <c r="X21" s="86">
        <f t="shared" si="12"/>
        <v>28</v>
      </c>
      <c r="Y21" s="91">
        <f t="shared" si="13"/>
        <v>15</v>
      </c>
      <c r="Z21" s="89">
        <f t="shared" si="13"/>
        <v>0</v>
      </c>
      <c r="AA21" s="89">
        <f t="shared" si="14"/>
        <v>0</v>
      </c>
      <c r="AB21" s="89">
        <f t="shared" si="15"/>
        <v>0</v>
      </c>
      <c r="AC21" s="4" t="str">
        <f t="shared" si="15"/>
        <v/>
      </c>
      <c r="AD21" s="90">
        <f t="shared" si="15"/>
        <v>0</v>
      </c>
      <c r="AE21" s="78" t="str">
        <f t="shared" si="16"/>
        <v>계</v>
      </c>
      <c r="AF21" s="78" t="str">
        <f t="shared" si="17"/>
        <v>3/2</v>
      </c>
      <c r="AH21" s="20" t="str">
        <f t="shared" si="1"/>
        <v>삼호</v>
      </c>
      <c r="AI21" s="86">
        <f t="shared" si="0"/>
        <v>28</v>
      </c>
      <c r="AJ21" s="78" t="str">
        <f t="shared" si="18"/>
        <v>A-</v>
      </c>
      <c r="AK21" s="78" t="s">
        <v>13</v>
      </c>
      <c r="AL21" s="78" t="s">
        <v>61</v>
      </c>
      <c r="AM21" s="78" t="s">
        <v>62</v>
      </c>
      <c r="AN21" s="78" t="str">
        <f t="shared" si="19"/>
        <v>C</v>
      </c>
      <c r="AO21" s="78" t="str">
        <f t="shared" si="20"/>
        <v/>
      </c>
      <c r="AP21" s="78" t="str">
        <f t="shared" si="21"/>
        <v/>
      </c>
      <c r="AQ21" s="78" t="str">
        <f t="shared" si="22"/>
        <v>O</v>
      </c>
      <c r="AR21" s="78" t="str">
        <f t="shared" si="23"/>
        <v>O</v>
      </c>
      <c r="AS21" s="78" t="s">
        <v>2</v>
      </c>
      <c r="AT21" s="78" t="str">
        <f t="shared" si="24"/>
        <v>O</v>
      </c>
      <c r="AU21" s="78" t="str">
        <f t="shared" si="25"/>
        <v>O</v>
      </c>
      <c r="AV21" s="78" t="str">
        <f t="shared" si="26"/>
        <v/>
      </c>
    </row>
    <row r="22" spans="1:48" x14ac:dyDescent="0.3">
      <c r="A22" s="9" t="s">
        <v>1171</v>
      </c>
      <c r="B22" s="10" t="s">
        <v>1606</v>
      </c>
      <c r="C22" s="87">
        <v>404</v>
      </c>
      <c r="D22" s="85">
        <v>95.8</v>
      </c>
      <c r="E22" s="86">
        <v>29</v>
      </c>
      <c r="F22" s="85">
        <v>81.8</v>
      </c>
      <c r="G22" s="17">
        <v>25</v>
      </c>
      <c r="H22" s="87">
        <v>14</v>
      </c>
      <c r="I22" s="88"/>
      <c r="J22" s="88"/>
      <c r="K22" s="88"/>
      <c r="L22" s="88"/>
      <c r="M22" s="89">
        <f t="shared" si="8"/>
        <v>0</v>
      </c>
      <c r="N22" s="4" t="str">
        <f t="shared" si="9"/>
        <v/>
      </c>
      <c r="O22" s="90">
        <f t="shared" si="10"/>
        <v>0</v>
      </c>
      <c r="P22" s="90">
        <f t="shared" si="11"/>
        <v>0</v>
      </c>
      <c r="Q22" s="78">
        <v>3</v>
      </c>
      <c r="R22" s="78">
        <v>2</v>
      </c>
      <c r="S22" s="78" t="s">
        <v>59</v>
      </c>
      <c r="T22" s="5">
        <v>95</v>
      </c>
      <c r="U22" s="9"/>
      <c r="W22" s="85">
        <f t="shared" si="12"/>
        <v>95.8</v>
      </c>
      <c r="X22" s="86">
        <f t="shared" si="12"/>
        <v>29</v>
      </c>
      <c r="Y22" s="91">
        <f t="shared" si="13"/>
        <v>14</v>
      </c>
      <c r="Z22" s="89">
        <f t="shared" si="13"/>
        <v>0</v>
      </c>
      <c r="AA22" s="89">
        <f t="shared" si="14"/>
        <v>0</v>
      </c>
      <c r="AB22" s="89">
        <f t="shared" si="15"/>
        <v>0</v>
      </c>
      <c r="AC22" s="4" t="str">
        <f t="shared" si="15"/>
        <v/>
      </c>
      <c r="AD22" s="90">
        <f t="shared" si="15"/>
        <v>0</v>
      </c>
      <c r="AE22" s="78" t="str">
        <f t="shared" si="16"/>
        <v>계</v>
      </c>
      <c r="AF22" s="78" t="str">
        <f t="shared" si="17"/>
        <v>3/2</v>
      </c>
      <c r="AH22" s="20" t="str">
        <f t="shared" si="1"/>
        <v>삼호</v>
      </c>
      <c r="AI22" s="86">
        <f t="shared" si="0"/>
        <v>29</v>
      </c>
      <c r="AJ22" s="78" t="str">
        <f t="shared" si="18"/>
        <v>A-</v>
      </c>
      <c r="AK22" s="78" t="s">
        <v>13</v>
      </c>
      <c r="AL22" s="78" t="s">
        <v>61</v>
      </c>
      <c r="AM22" s="78" t="s">
        <v>62</v>
      </c>
      <c r="AN22" s="78" t="str">
        <f t="shared" si="19"/>
        <v>C</v>
      </c>
      <c r="AO22" s="78" t="str">
        <f t="shared" si="20"/>
        <v/>
      </c>
      <c r="AP22" s="78" t="str">
        <f t="shared" si="21"/>
        <v/>
      </c>
      <c r="AQ22" s="78" t="str">
        <f t="shared" si="22"/>
        <v>O</v>
      </c>
      <c r="AR22" s="78" t="str">
        <f t="shared" si="23"/>
        <v>O</v>
      </c>
      <c r="AS22" s="78" t="s">
        <v>2</v>
      </c>
      <c r="AT22" s="78" t="str">
        <f t="shared" si="24"/>
        <v>O</v>
      </c>
      <c r="AU22" s="78" t="str">
        <f t="shared" si="25"/>
        <v>O</v>
      </c>
      <c r="AV22" s="78" t="str">
        <f t="shared" si="26"/>
        <v/>
      </c>
    </row>
    <row r="23" spans="1:48" x14ac:dyDescent="0.3">
      <c r="A23" s="9" t="s">
        <v>1171</v>
      </c>
      <c r="B23" s="10" t="s">
        <v>1606</v>
      </c>
      <c r="C23" s="87">
        <v>404</v>
      </c>
      <c r="D23" s="85">
        <v>101</v>
      </c>
      <c r="E23" s="86">
        <v>31</v>
      </c>
      <c r="F23" s="85">
        <v>85</v>
      </c>
      <c r="G23" s="17">
        <v>26</v>
      </c>
      <c r="H23" s="87">
        <v>198</v>
      </c>
      <c r="I23" s="88">
        <v>13000</v>
      </c>
      <c r="J23" s="88" t="s">
        <v>82</v>
      </c>
      <c r="K23" s="88"/>
      <c r="L23" s="88"/>
      <c r="M23" s="89">
        <f t="shared" si="8"/>
        <v>13000</v>
      </c>
      <c r="N23" s="4">
        <f t="shared" si="9"/>
        <v>0</v>
      </c>
      <c r="O23" s="90">
        <f t="shared" si="10"/>
        <v>419.35483870967744</v>
      </c>
      <c r="P23" s="90">
        <f t="shared" si="11"/>
        <v>0</v>
      </c>
      <c r="Q23" s="78">
        <v>3</v>
      </c>
      <c r="R23" s="78">
        <v>2</v>
      </c>
      <c r="S23" s="78" t="s">
        <v>59</v>
      </c>
      <c r="T23" s="5">
        <v>100</v>
      </c>
      <c r="U23" s="9"/>
      <c r="W23" s="85">
        <f t="shared" si="12"/>
        <v>101</v>
      </c>
      <c r="X23" s="86">
        <f t="shared" si="12"/>
        <v>31</v>
      </c>
      <c r="Y23" s="91">
        <f t="shared" si="13"/>
        <v>198</v>
      </c>
      <c r="Z23" s="89">
        <f t="shared" si="13"/>
        <v>13000</v>
      </c>
      <c r="AA23" s="89">
        <f t="shared" si="14"/>
        <v>0</v>
      </c>
      <c r="AB23" s="89">
        <f t="shared" si="15"/>
        <v>13000</v>
      </c>
      <c r="AC23" s="4">
        <f t="shared" si="15"/>
        <v>0</v>
      </c>
      <c r="AD23" s="90">
        <f t="shared" si="15"/>
        <v>419.35483870967744</v>
      </c>
      <c r="AE23" s="78" t="str">
        <f t="shared" si="16"/>
        <v>계</v>
      </c>
      <c r="AF23" s="78" t="str">
        <f t="shared" si="17"/>
        <v>3/2</v>
      </c>
      <c r="AH23" s="20" t="str">
        <f t="shared" si="1"/>
        <v>삼호</v>
      </c>
      <c r="AI23" s="86">
        <f t="shared" si="0"/>
        <v>31</v>
      </c>
      <c r="AJ23" s="78" t="str">
        <f t="shared" si="18"/>
        <v>A-</v>
      </c>
      <c r="AK23" s="78" t="s">
        <v>13</v>
      </c>
      <c r="AL23" s="78" t="s">
        <v>61</v>
      </c>
      <c r="AM23" s="78" t="s">
        <v>62</v>
      </c>
      <c r="AN23" s="78" t="str">
        <f t="shared" si="19"/>
        <v>C</v>
      </c>
      <c r="AO23" s="78" t="str">
        <f t="shared" si="20"/>
        <v>X</v>
      </c>
      <c r="AP23" s="78" t="str">
        <f t="shared" si="21"/>
        <v>O</v>
      </c>
      <c r="AQ23" s="78" t="str">
        <f t="shared" si="22"/>
        <v>O</v>
      </c>
      <c r="AR23" s="78" t="str">
        <f t="shared" si="23"/>
        <v>X</v>
      </c>
      <c r="AS23" s="78" t="s">
        <v>2</v>
      </c>
      <c r="AT23" s="78" t="str">
        <f t="shared" si="24"/>
        <v>O</v>
      </c>
      <c r="AU23" s="78" t="str">
        <f t="shared" si="25"/>
        <v>O</v>
      </c>
      <c r="AV23" s="78" t="str">
        <f t="shared" si="26"/>
        <v>X</v>
      </c>
    </row>
    <row r="24" spans="1:48" x14ac:dyDescent="0.3">
      <c r="A24" s="9" t="s">
        <v>1171</v>
      </c>
      <c r="B24" s="10" t="s">
        <v>1606</v>
      </c>
      <c r="C24" s="87">
        <v>404</v>
      </c>
      <c r="D24" s="85">
        <v>149</v>
      </c>
      <c r="E24" s="86">
        <v>45</v>
      </c>
      <c r="F24" s="85">
        <v>126.6</v>
      </c>
      <c r="G24" s="17">
        <v>38</v>
      </c>
      <c r="H24" s="87">
        <v>60</v>
      </c>
      <c r="I24" s="88"/>
      <c r="J24" s="88"/>
      <c r="K24" s="88"/>
      <c r="L24" s="88"/>
      <c r="M24" s="89">
        <f t="shared" si="8"/>
        <v>0</v>
      </c>
      <c r="N24" s="4" t="str">
        <f t="shared" si="9"/>
        <v/>
      </c>
      <c r="O24" s="90">
        <f t="shared" si="10"/>
        <v>0</v>
      </c>
      <c r="P24" s="90">
        <f t="shared" si="11"/>
        <v>0</v>
      </c>
      <c r="Q24" s="78">
        <v>4</v>
      </c>
      <c r="R24" s="78">
        <v>2</v>
      </c>
      <c r="S24" s="78" t="s">
        <v>59</v>
      </c>
      <c r="T24" s="5">
        <v>148</v>
      </c>
      <c r="U24" s="9"/>
      <c r="W24" s="85">
        <f t="shared" si="12"/>
        <v>149</v>
      </c>
      <c r="X24" s="86">
        <f t="shared" si="12"/>
        <v>45</v>
      </c>
      <c r="Y24" s="91">
        <f t="shared" si="13"/>
        <v>60</v>
      </c>
      <c r="Z24" s="89">
        <f t="shared" si="13"/>
        <v>0</v>
      </c>
      <c r="AA24" s="89">
        <f t="shared" si="14"/>
        <v>0</v>
      </c>
      <c r="AB24" s="89">
        <f t="shared" si="15"/>
        <v>0</v>
      </c>
      <c r="AC24" s="4" t="str">
        <f t="shared" si="15"/>
        <v/>
      </c>
      <c r="AD24" s="90">
        <f t="shared" si="15"/>
        <v>0</v>
      </c>
      <c r="AE24" s="78" t="str">
        <f t="shared" si="16"/>
        <v>계</v>
      </c>
      <c r="AF24" s="78" t="str">
        <f t="shared" si="17"/>
        <v>4/2</v>
      </c>
      <c r="AH24" s="20" t="str">
        <f t="shared" si="1"/>
        <v>삼호</v>
      </c>
      <c r="AI24" s="86">
        <f t="shared" si="0"/>
        <v>45</v>
      </c>
      <c r="AJ24" s="78" t="str">
        <f t="shared" si="18"/>
        <v>A-</v>
      </c>
      <c r="AK24" s="78" t="s">
        <v>13</v>
      </c>
      <c r="AL24" s="78" t="s">
        <v>61</v>
      </c>
      <c r="AM24" s="78" t="s">
        <v>62</v>
      </c>
      <c r="AN24" s="78" t="str">
        <f t="shared" si="19"/>
        <v>C</v>
      </c>
      <c r="AO24" s="78" t="str">
        <f t="shared" si="20"/>
        <v/>
      </c>
      <c r="AP24" s="78" t="str">
        <f t="shared" si="21"/>
        <v/>
      </c>
      <c r="AQ24" s="78" t="str">
        <f t="shared" si="22"/>
        <v>O</v>
      </c>
      <c r="AR24" s="78" t="str">
        <f t="shared" si="23"/>
        <v>O</v>
      </c>
      <c r="AS24" s="78" t="s">
        <v>2</v>
      </c>
      <c r="AT24" s="78" t="str">
        <f t="shared" si="24"/>
        <v>X</v>
      </c>
      <c r="AU24" s="78" t="str">
        <f t="shared" si="25"/>
        <v>O</v>
      </c>
      <c r="AV24" s="78" t="str">
        <f t="shared" si="26"/>
        <v/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인후동1가 아중현대('98.01.,1153^)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1175</v>
      </c>
      <c r="B26" s="10" t="s">
        <v>1550</v>
      </c>
      <c r="C26" s="87">
        <v>1153</v>
      </c>
      <c r="D26" s="85">
        <v>102.4</v>
      </c>
      <c r="E26" s="86">
        <v>31</v>
      </c>
      <c r="F26" s="85">
        <v>85</v>
      </c>
      <c r="G26" s="17">
        <v>26</v>
      </c>
      <c r="H26" s="87">
        <v>649</v>
      </c>
      <c r="I26" s="88">
        <v>24200</v>
      </c>
      <c r="J26" s="88" t="s">
        <v>104</v>
      </c>
      <c r="K26" s="88">
        <v>21500</v>
      </c>
      <c r="L26" s="88" t="s">
        <v>68</v>
      </c>
      <c r="M26" s="89">
        <f>I26-K26</f>
        <v>2700</v>
      </c>
      <c r="N26" s="4">
        <f>IF(ISERROR(K26/I26),"",K26/I26)</f>
        <v>0.88842975206611574</v>
      </c>
      <c r="O26" s="90">
        <f>I26/E26</f>
        <v>780.64516129032256</v>
      </c>
      <c r="P26" s="90">
        <f>K26/E26</f>
        <v>693.54838709677415</v>
      </c>
      <c r="Q26" s="78">
        <v>3</v>
      </c>
      <c r="R26" s="78">
        <v>2</v>
      </c>
      <c r="S26" s="78" t="s">
        <v>59</v>
      </c>
      <c r="T26" s="5">
        <v>102</v>
      </c>
      <c r="U26" s="9"/>
      <c r="W26" s="85">
        <f t="shared" ref="W26:X30" si="27">D26</f>
        <v>102.4</v>
      </c>
      <c r="X26" s="86">
        <f t="shared" si="27"/>
        <v>31</v>
      </c>
      <c r="Y26" s="91">
        <f t="shared" ref="Y26:Z30" si="28">H26</f>
        <v>649</v>
      </c>
      <c r="Z26" s="89">
        <f t="shared" si="28"/>
        <v>24200</v>
      </c>
      <c r="AA26" s="89">
        <f>K26</f>
        <v>21500</v>
      </c>
      <c r="AB26" s="89">
        <f t="shared" ref="AB26:AD30" si="29">M26</f>
        <v>2700</v>
      </c>
      <c r="AC26" s="4">
        <f t="shared" si="29"/>
        <v>0.88842975206611574</v>
      </c>
      <c r="AD26" s="90">
        <f t="shared" si="29"/>
        <v>780.64516129032256</v>
      </c>
      <c r="AE26" s="78" t="str">
        <f>S26</f>
        <v>계</v>
      </c>
      <c r="AF26" s="78" t="str">
        <f>Q26&amp;"/"&amp;R26</f>
        <v>3/2</v>
      </c>
      <c r="AH26" s="20" t="str">
        <f t="shared" si="1"/>
        <v>아중현대</v>
      </c>
      <c r="AI26" s="86">
        <f t="shared" si="0"/>
        <v>31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>O</v>
      </c>
      <c r="AP26" s="78" t="str">
        <f>IF(I26="","",IF(I26&lt;=$AP$1,"O","X"))</f>
        <v>O</v>
      </c>
      <c r="AQ26" s="78" t="str">
        <f>IF(O26="","",IF(O26&lt;=$AQ$1,"O","X"))</f>
        <v>O</v>
      </c>
      <c r="AR26" s="78" t="str">
        <f>IF(M26="","",IF(M26&lt;=$AR$1,"O","X"))</f>
        <v>O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후보</v>
      </c>
    </row>
    <row r="27" spans="1:48" x14ac:dyDescent="0.3">
      <c r="A27" s="9" t="s">
        <v>1175</v>
      </c>
      <c r="B27" s="10" t="s">
        <v>1550</v>
      </c>
      <c r="C27" s="87">
        <v>1153</v>
      </c>
      <c r="D27" s="85">
        <v>120.4</v>
      </c>
      <c r="E27" s="86">
        <v>36</v>
      </c>
      <c r="F27" s="85">
        <v>99.9</v>
      </c>
      <c r="G27" s="17">
        <v>30</v>
      </c>
      <c r="H27" s="87">
        <v>148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3</v>
      </c>
      <c r="R27" s="78">
        <v>2</v>
      </c>
      <c r="S27" s="78" t="s">
        <v>59</v>
      </c>
      <c r="T27" s="5" t="s">
        <v>200</v>
      </c>
      <c r="U27" s="9"/>
      <c r="W27" s="85">
        <f t="shared" si="27"/>
        <v>120.4</v>
      </c>
      <c r="X27" s="86">
        <f t="shared" si="27"/>
        <v>36</v>
      </c>
      <c r="Y27" s="91">
        <f t="shared" si="28"/>
        <v>148</v>
      </c>
      <c r="Z27" s="89">
        <f t="shared" si="28"/>
        <v>0</v>
      </c>
      <c r="AA27" s="89">
        <f>K27</f>
        <v>0</v>
      </c>
      <c r="AB27" s="89">
        <f t="shared" si="29"/>
        <v>0</v>
      </c>
      <c r="AC27" s="4" t="str">
        <f t="shared" si="29"/>
        <v/>
      </c>
      <c r="AD27" s="90">
        <f t="shared" si="29"/>
        <v>0</v>
      </c>
      <c r="AE27" s="78" t="str">
        <f>S27</f>
        <v>계</v>
      </c>
      <c r="AF27" s="78" t="str">
        <f>Q27&amp;"/"&amp;R27</f>
        <v>3/2</v>
      </c>
      <c r="AH27" s="20" t="str">
        <f t="shared" si="1"/>
        <v>아중현대</v>
      </c>
      <c r="AI27" s="86">
        <f t="shared" si="0"/>
        <v>36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X</v>
      </c>
      <c r="AU27" s="78" t="str">
        <f>IF(C27="","",IF(C27&gt;=$AU$1,"O","X"))</f>
        <v>O</v>
      </c>
      <c r="AV27" s="78" t="str">
        <f>IF(AO27="","",IF(AND(AO27="O",AP27="O",AR27="O",AT27="O",AU27="O"),"후보","X"))</f>
        <v/>
      </c>
    </row>
    <row r="28" spans="1:48" x14ac:dyDescent="0.3">
      <c r="A28" s="9" t="s">
        <v>1175</v>
      </c>
      <c r="B28" s="10" t="s">
        <v>1550</v>
      </c>
      <c r="C28" s="87">
        <v>1153</v>
      </c>
      <c r="D28" s="85">
        <v>120.4</v>
      </c>
      <c r="E28" s="86">
        <v>36</v>
      </c>
      <c r="F28" s="85">
        <v>99.9</v>
      </c>
      <c r="G28" s="17">
        <v>30</v>
      </c>
      <c r="H28" s="87">
        <v>30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4</v>
      </c>
      <c r="R28" s="78">
        <v>2</v>
      </c>
      <c r="S28" s="78" t="s">
        <v>59</v>
      </c>
      <c r="T28" s="5" t="s">
        <v>186</v>
      </c>
      <c r="U28" s="9"/>
      <c r="W28" s="85">
        <f t="shared" si="27"/>
        <v>120.4</v>
      </c>
      <c r="X28" s="86">
        <f t="shared" si="27"/>
        <v>36</v>
      </c>
      <c r="Y28" s="91">
        <f t="shared" si="28"/>
        <v>30</v>
      </c>
      <c r="Z28" s="89">
        <f t="shared" si="28"/>
        <v>0</v>
      </c>
      <c r="AA28" s="89">
        <f>K28</f>
        <v>0</v>
      </c>
      <c r="AB28" s="89">
        <f t="shared" si="29"/>
        <v>0</v>
      </c>
      <c r="AC28" s="4" t="str">
        <f t="shared" si="29"/>
        <v/>
      </c>
      <c r="AD28" s="90">
        <f t="shared" si="29"/>
        <v>0</v>
      </c>
      <c r="AE28" s="78" t="str">
        <f>S28</f>
        <v>계</v>
      </c>
      <c r="AF28" s="78" t="str">
        <f>Q28&amp;"/"&amp;R28</f>
        <v>4/2</v>
      </c>
      <c r="AH28" s="20" t="str">
        <f t="shared" si="1"/>
        <v>아중현대</v>
      </c>
      <c r="AI28" s="86">
        <f t="shared" si="0"/>
        <v>36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X</v>
      </c>
      <c r="AU28" s="78" t="str">
        <f>IF(C28="","",IF(C28&gt;=$AU$1,"O","X"))</f>
        <v>O</v>
      </c>
      <c r="AV28" s="78" t="str">
        <f>IF(AO28="","",IF(AND(AO28="O",AP28="O",AR28="O",AT28="O",AU28="O"),"후보","X"))</f>
        <v/>
      </c>
    </row>
    <row r="29" spans="1:48" x14ac:dyDescent="0.3">
      <c r="A29" s="9" t="s">
        <v>1175</v>
      </c>
      <c r="B29" s="10" t="s">
        <v>1550</v>
      </c>
      <c r="C29" s="87">
        <v>1153</v>
      </c>
      <c r="D29" s="85">
        <v>138.5</v>
      </c>
      <c r="E29" s="86">
        <v>42</v>
      </c>
      <c r="F29" s="85">
        <v>114.9</v>
      </c>
      <c r="G29" s="17">
        <v>35</v>
      </c>
      <c r="H29" s="87">
        <v>148</v>
      </c>
      <c r="I29" s="88">
        <v>29000</v>
      </c>
      <c r="J29" s="88" t="s">
        <v>69</v>
      </c>
      <c r="K29" s="88"/>
      <c r="L29" s="88"/>
      <c r="M29" s="89">
        <f>I29-K29</f>
        <v>29000</v>
      </c>
      <c r="N29" s="4">
        <f>IF(ISERROR(K29/I29),"",K29/I29)</f>
        <v>0</v>
      </c>
      <c r="O29" s="90">
        <f>I29/E29</f>
        <v>690.47619047619048</v>
      </c>
      <c r="P29" s="90">
        <f>K29/E29</f>
        <v>0</v>
      </c>
      <c r="Q29" s="78">
        <v>4</v>
      </c>
      <c r="R29" s="78">
        <v>2</v>
      </c>
      <c r="S29" s="78" t="s">
        <v>59</v>
      </c>
      <c r="T29" s="5">
        <v>138</v>
      </c>
      <c r="U29" s="9"/>
      <c r="W29" s="85">
        <f t="shared" si="27"/>
        <v>138.5</v>
      </c>
      <c r="X29" s="86">
        <f t="shared" si="27"/>
        <v>42</v>
      </c>
      <c r="Y29" s="91">
        <f t="shared" si="28"/>
        <v>148</v>
      </c>
      <c r="Z29" s="89">
        <f t="shared" si="28"/>
        <v>29000</v>
      </c>
      <c r="AA29" s="89">
        <f>K29</f>
        <v>0</v>
      </c>
      <c r="AB29" s="89">
        <f t="shared" si="29"/>
        <v>29000</v>
      </c>
      <c r="AC29" s="4">
        <f t="shared" si="29"/>
        <v>0</v>
      </c>
      <c r="AD29" s="90">
        <f t="shared" si="29"/>
        <v>690.47619047619048</v>
      </c>
      <c r="AE29" s="78" t="str">
        <f>S29</f>
        <v>계</v>
      </c>
      <c r="AF29" s="78" t="str">
        <f>Q29&amp;"/"&amp;R29</f>
        <v>4/2</v>
      </c>
      <c r="AH29" s="20" t="str">
        <f t="shared" si="1"/>
        <v>아중현대</v>
      </c>
      <c r="AI29" s="86">
        <f t="shared" si="0"/>
        <v>42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O</v>
      </c>
      <c r="AQ29" s="78" t="str">
        <f>IF(O29="","",IF(O29&lt;=$AQ$1,"O","X"))</f>
        <v>O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X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 t="s">
        <v>1175</v>
      </c>
      <c r="B30" s="10" t="s">
        <v>1550</v>
      </c>
      <c r="C30" s="87">
        <v>1153</v>
      </c>
      <c r="D30" s="85">
        <v>162.19999999999999</v>
      </c>
      <c r="E30" s="86">
        <v>49</v>
      </c>
      <c r="F30" s="85">
        <v>134.6</v>
      </c>
      <c r="G30" s="17">
        <v>41</v>
      </c>
      <c r="H30" s="87">
        <v>178</v>
      </c>
      <c r="I30" s="88">
        <v>45000</v>
      </c>
      <c r="J30" s="88" t="s">
        <v>131</v>
      </c>
      <c r="K30" s="88"/>
      <c r="L30" s="88"/>
      <c r="M30" s="89">
        <f>I30-K30</f>
        <v>45000</v>
      </c>
      <c r="N30" s="4">
        <f>IF(ISERROR(K30/I30),"",K30/I30)</f>
        <v>0</v>
      </c>
      <c r="O30" s="90">
        <f>I30/E30</f>
        <v>918.36734693877554</v>
      </c>
      <c r="P30" s="90">
        <f>K30/E30</f>
        <v>0</v>
      </c>
      <c r="Q30" s="78">
        <v>4</v>
      </c>
      <c r="R30" s="78">
        <v>2</v>
      </c>
      <c r="S30" s="78" t="s">
        <v>59</v>
      </c>
      <c r="T30" s="5">
        <v>162</v>
      </c>
      <c r="U30" s="9"/>
      <c r="W30" s="85">
        <f t="shared" si="27"/>
        <v>162.19999999999999</v>
      </c>
      <c r="X30" s="86">
        <f t="shared" si="27"/>
        <v>49</v>
      </c>
      <c r="Y30" s="91">
        <f t="shared" si="28"/>
        <v>178</v>
      </c>
      <c r="Z30" s="89">
        <f t="shared" si="28"/>
        <v>45000</v>
      </c>
      <c r="AA30" s="89">
        <f>K30</f>
        <v>0</v>
      </c>
      <c r="AB30" s="89">
        <f t="shared" si="29"/>
        <v>45000</v>
      </c>
      <c r="AC30" s="4">
        <f t="shared" si="29"/>
        <v>0</v>
      </c>
      <c r="AD30" s="90">
        <f t="shared" si="29"/>
        <v>918.36734693877554</v>
      </c>
      <c r="AE30" s="78" t="str">
        <f>S30</f>
        <v>계</v>
      </c>
      <c r="AF30" s="78" t="str">
        <f>Q30&amp;"/"&amp;R30</f>
        <v>4/2</v>
      </c>
      <c r="AH30" s="20" t="str">
        <f t="shared" si="1"/>
        <v>아중현대</v>
      </c>
      <c r="AI30" s="86">
        <f t="shared" si="0"/>
        <v>49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O</v>
      </c>
      <c r="AQ30" s="78" t="str">
        <f>IF(O30="","",IF(O30&lt;=$AQ$1,"O","X"))</f>
        <v>O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/>
      <c r="B31" s="78"/>
      <c r="C31" s="6"/>
      <c r="D31" s="9"/>
      <c r="E31" s="14"/>
      <c r="F31" s="85"/>
      <c r="G31" s="9"/>
      <c r="H31" s="9"/>
      <c r="I31" s="9"/>
      <c r="J31" s="9"/>
      <c r="K31" s="9"/>
      <c r="L31" s="9"/>
      <c r="M31" s="9"/>
      <c r="N31" s="9"/>
      <c r="O31" s="90"/>
      <c r="P31" s="90"/>
      <c r="Q31" s="86"/>
      <c r="R31" s="86"/>
      <c r="S31" s="9"/>
      <c r="T31" s="47"/>
      <c r="U31" s="9"/>
      <c r="W31" s="67" t="str">
        <f>$A$4&amp;" "&amp;A32&amp;"("&amp;B32&amp;","&amp;C32&amp;"^)"</f>
        <v>인후동1가 아중제일2차('00.10.,360^)</v>
      </c>
      <c r="X31" s="68"/>
      <c r="Y31" s="68"/>
      <c r="Z31" s="68"/>
      <c r="AA31" s="68"/>
      <c r="AB31" s="68"/>
      <c r="AC31" s="68"/>
      <c r="AD31" s="68"/>
      <c r="AE31" s="68"/>
      <c r="AF31" s="69"/>
      <c r="AH31" s="20" t="str">
        <f t="shared" si="1"/>
        <v/>
      </c>
      <c r="AI31" s="108" t="str">
        <f t="shared" si="0"/>
        <v/>
      </c>
      <c r="AJ31" s="78"/>
      <c r="AK31" s="78"/>
      <c r="AL31" s="78"/>
      <c r="AM31" s="78"/>
      <c r="AN31" s="78"/>
      <c r="AO31" s="78"/>
      <c r="AP31" s="78"/>
      <c r="AQ31" s="78"/>
      <c r="AR31" s="78"/>
      <c r="AS31" s="78"/>
      <c r="AT31" s="78"/>
      <c r="AU31" s="78"/>
      <c r="AV31" s="78"/>
    </row>
    <row r="32" spans="1:48" x14ac:dyDescent="0.3">
      <c r="A32" s="9" t="s">
        <v>1179</v>
      </c>
      <c r="B32" s="10" t="s">
        <v>1607</v>
      </c>
      <c r="C32" s="87">
        <v>360</v>
      </c>
      <c r="D32" s="85">
        <v>81.8</v>
      </c>
      <c r="E32" s="86">
        <v>25</v>
      </c>
      <c r="F32" s="85">
        <v>59.6</v>
      </c>
      <c r="G32" s="17">
        <v>18</v>
      </c>
      <c r="H32" s="87">
        <v>360</v>
      </c>
      <c r="I32" s="88">
        <v>15000</v>
      </c>
      <c r="J32" s="88" t="s">
        <v>69</v>
      </c>
      <c r="K32" s="88">
        <v>13500</v>
      </c>
      <c r="L32" s="88" t="s">
        <v>127</v>
      </c>
      <c r="M32" s="89">
        <f>I32-K32</f>
        <v>1500</v>
      </c>
      <c r="N32" s="4">
        <f>IF(ISERROR(K32/I32),"",K32/I32)</f>
        <v>0.9</v>
      </c>
      <c r="O32" s="90">
        <f>I32/E32</f>
        <v>600</v>
      </c>
      <c r="P32" s="90">
        <f>K32/E32</f>
        <v>540</v>
      </c>
      <c r="Q32" s="78">
        <v>3</v>
      </c>
      <c r="R32" s="78">
        <v>2</v>
      </c>
      <c r="S32" s="78" t="s">
        <v>59</v>
      </c>
      <c r="T32" s="5">
        <v>81</v>
      </c>
      <c r="U32" s="9"/>
      <c r="W32" s="85">
        <f>D32</f>
        <v>81.8</v>
      </c>
      <c r="X32" s="86">
        <f>E32</f>
        <v>25</v>
      </c>
      <c r="Y32" s="91">
        <f>H32</f>
        <v>360</v>
      </c>
      <c r="Z32" s="89">
        <f>I32</f>
        <v>15000</v>
      </c>
      <c r="AA32" s="89">
        <f>K32</f>
        <v>13500</v>
      </c>
      <c r="AB32" s="89">
        <f>M32</f>
        <v>1500</v>
      </c>
      <c r="AC32" s="4">
        <f>N32</f>
        <v>0.9</v>
      </c>
      <c r="AD32" s="90">
        <f>O32</f>
        <v>600</v>
      </c>
      <c r="AE32" s="78" t="str">
        <f>S32</f>
        <v>계</v>
      </c>
      <c r="AF32" s="78" t="str">
        <f>Q32&amp;"/"&amp;R32</f>
        <v>3/2</v>
      </c>
      <c r="AH32" s="20" t="str">
        <f t="shared" si="1"/>
        <v>아중제일2차</v>
      </c>
      <c r="AI32" s="86">
        <f t="shared" si="0"/>
        <v>25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O</v>
      </c>
      <c r="AP32" s="78" t="str">
        <f>IF(I32="","",IF(I32&lt;=$AP$1,"O","X"))</f>
        <v>O</v>
      </c>
      <c r="AQ32" s="78" t="str">
        <f>IF(O32="","",IF(O32&lt;=$AQ$1,"O","X"))</f>
        <v>O</v>
      </c>
      <c r="AR32" s="78" t="str">
        <f>IF(M32="","",IF(M32&lt;=$AR$1,"O","X"))</f>
        <v>O</v>
      </c>
      <c r="AS32" s="78" t="s">
        <v>2</v>
      </c>
      <c r="AT32" s="78" t="str">
        <f>IF(OR(F32="",AI32=""),"",IF(AND((F32&lt;=85),(AI32&gt;=15)),"O","X"))</f>
        <v>O</v>
      </c>
      <c r="AU32" s="78" t="str">
        <f>IF(C32="","",IF(C32&gt;=$AU$1,"O","X"))</f>
        <v>O</v>
      </c>
      <c r="AV32" s="78" t="str">
        <f>IF(AO32="","",IF(AND(AO32="O",AP32="O",AR32="O",AT32="O",AU32="O"),"후보","X"))</f>
        <v>후보</v>
      </c>
    </row>
    <row r="33" spans="1:48" x14ac:dyDescent="0.3">
      <c r="A33" s="9"/>
      <c r="B33" s="78"/>
      <c r="C33" s="6"/>
      <c r="D33" s="9"/>
      <c r="E33" s="14"/>
      <c r="F33" s="85"/>
      <c r="G33" s="9"/>
      <c r="H33" s="9"/>
      <c r="I33" s="9"/>
      <c r="J33" s="9"/>
      <c r="K33" s="9"/>
      <c r="L33" s="9"/>
      <c r="M33" s="9"/>
      <c r="N33" s="9"/>
      <c r="O33" s="90"/>
      <c r="P33" s="90"/>
      <c r="Q33" s="86"/>
      <c r="R33" s="86"/>
      <c r="S33" s="9"/>
      <c r="T33" s="47"/>
      <c r="U33" s="9"/>
      <c r="W33" s="67" t="str">
        <f>$A$4&amp;" "&amp;A34&amp;"("&amp;B34&amp;","&amp;C34&amp;"^)"</f>
        <v>인후동1가 안고을우성('01.02.,305^)</v>
      </c>
      <c r="X33" s="68"/>
      <c r="Y33" s="68"/>
      <c r="Z33" s="68"/>
      <c r="AA33" s="68"/>
      <c r="AB33" s="68"/>
      <c r="AC33" s="68"/>
      <c r="AD33" s="68"/>
      <c r="AE33" s="68"/>
      <c r="AF33" s="69"/>
      <c r="AH33" s="20" t="str">
        <f t="shared" si="1"/>
        <v/>
      </c>
      <c r="AI33" s="108" t="str">
        <f t="shared" si="0"/>
        <v/>
      </c>
      <c r="AJ33" s="78"/>
      <c r="AK33" s="78"/>
      <c r="AL33" s="78"/>
      <c r="AM33" s="78"/>
      <c r="AN33" s="78"/>
      <c r="AO33" s="78"/>
      <c r="AP33" s="78"/>
      <c r="AQ33" s="78"/>
      <c r="AR33" s="78"/>
      <c r="AS33" s="78"/>
      <c r="AT33" s="78"/>
      <c r="AU33" s="78"/>
      <c r="AV33" s="78"/>
    </row>
    <row r="34" spans="1:48" x14ac:dyDescent="0.3">
      <c r="A34" s="9" t="s">
        <v>1184</v>
      </c>
      <c r="B34" s="10" t="s">
        <v>1608</v>
      </c>
      <c r="C34" s="87">
        <v>305</v>
      </c>
      <c r="D34" s="85">
        <v>70.900000000000006</v>
      </c>
      <c r="E34" s="86">
        <v>21</v>
      </c>
      <c r="F34" s="85">
        <v>51.7</v>
      </c>
      <c r="G34" s="17">
        <v>16</v>
      </c>
      <c r="H34" s="87">
        <v>30</v>
      </c>
      <c r="I34" s="88">
        <v>10600</v>
      </c>
      <c r="J34" s="88" t="s">
        <v>89</v>
      </c>
      <c r="K34" s="88"/>
      <c r="L34" s="88"/>
      <c r="M34" s="89">
        <f>I34-K34</f>
        <v>10600</v>
      </c>
      <c r="N34" s="4">
        <f>IF(ISERROR(K34/I34),"",K34/I34)</f>
        <v>0</v>
      </c>
      <c r="O34" s="90">
        <f>I34/E34</f>
        <v>504.76190476190476</v>
      </c>
      <c r="P34" s="90">
        <f>K34/E34</f>
        <v>0</v>
      </c>
      <c r="Q34" s="78">
        <v>2</v>
      </c>
      <c r="R34" s="78">
        <v>1</v>
      </c>
      <c r="S34" s="78" t="s">
        <v>59</v>
      </c>
      <c r="T34" s="5">
        <v>70</v>
      </c>
      <c r="U34" s="9"/>
      <c r="W34" s="85">
        <f t="shared" ref="W34:X37" si="30">D34</f>
        <v>70.900000000000006</v>
      </c>
      <c r="X34" s="86">
        <f t="shared" si="30"/>
        <v>21</v>
      </c>
      <c r="Y34" s="91">
        <f t="shared" ref="Y34:Z37" si="31">H34</f>
        <v>30</v>
      </c>
      <c r="Z34" s="89">
        <f t="shared" si="31"/>
        <v>10600</v>
      </c>
      <c r="AA34" s="89">
        <f>K34</f>
        <v>0</v>
      </c>
      <c r="AB34" s="89">
        <f t="shared" ref="AB34:AD37" si="32">M34</f>
        <v>10600</v>
      </c>
      <c r="AC34" s="4">
        <f t="shared" si="32"/>
        <v>0</v>
      </c>
      <c r="AD34" s="90">
        <f t="shared" si="32"/>
        <v>504.76190476190476</v>
      </c>
      <c r="AE34" s="78" t="str">
        <f>S34</f>
        <v>계</v>
      </c>
      <c r="AF34" s="78" t="str">
        <f>Q34&amp;"/"&amp;R34</f>
        <v>2/1</v>
      </c>
      <c r="AH34" s="20" t="str">
        <f t="shared" si="1"/>
        <v>안고을우성</v>
      </c>
      <c r="AI34" s="86">
        <f t="shared" si="0"/>
        <v>21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>X</v>
      </c>
      <c r="AP34" s="78" t="str">
        <f>IF(I34="","",IF(I34&lt;=$AP$1,"O","X"))</f>
        <v>O</v>
      </c>
      <c r="AQ34" s="78" t="str">
        <f>IF(O34="","",IF(O34&lt;=$AQ$1,"O","X"))</f>
        <v>O</v>
      </c>
      <c r="AR34" s="78" t="str">
        <f>IF(M34="","",IF(M34&lt;=$AR$1,"O","X"))</f>
        <v>X</v>
      </c>
      <c r="AS34" s="78" t="s">
        <v>2</v>
      </c>
      <c r="AT34" s="78" t="str">
        <f>IF(OR(F34="",AI34=""),"",IF(AND((F34&lt;=85),(AI34&gt;=15)),"O","X"))</f>
        <v>O</v>
      </c>
      <c r="AU34" s="78" t="str">
        <f>IF(C34="","",IF(C34&gt;=$AU$1,"O","X"))</f>
        <v>O</v>
      </c>
      <c r="AV34" s="78" t="str">
        <f>IF(AO34="","",IF(AND(AO34="O",AP34="O",AR34="O",AT34="O",AU34="O"),"후보","X"))</f>
        <v>X</v>
      </c>
    </row>
    <row r="35" spans="1:48" x14ac:dyDescent="0.3">
      <c r="A35" s="9" t="s">
        <v>1184</v>
      </c>
      <c r="B35" s="10" t="s">
        <v>1608</v>
      </c>
      <c r="C35" s="87">
        <v>305</v>
      </c>
      <c r="D35" s="85">
        <v>78.3</v>
      </c>
      <c r="E35" s="86">
        <v>24</v>
      </c>
      <c r="F35" s="85">
        <v>57.1</v>
      </c>
      <c r="G35" s="17">
        <v>17</v>
      </c>
      <c r="H35" s="87">
        <v>66</v>
      </c>
      <c r="I35" s="88">
        <v>11000</v>
      </c>
      <c r="J35" s="88" t="s">
        <v>93</v>
      </c>
      <c r="K35" s="88"/>
      <c r="L35" s="88"/>
      <c r="M35" s="89">
        <f>I35-K35</f>
        <v>11000</v>
      </c>
      <c r="N35" s="4">
        <f>IF(ISERROR(K35/I35),"",K35/I35)</f>
        <v>0</v>
      </c>
      <c r="O35" s="90">
        <f>I35/E35</f>
        <v>458.33333333333331</v>
      </c>
      <c r="P35" s="90">
        <f>K35/E35</f>
        <v>0</v>
      </c>
      <c r="Q35" s="78">
        <v>3</v>
      </c>
      <c r="R35" s="78">
        <v>1</v>
      </c>
      <c r="S35" s="78" t="s">
        <v>59</v>
      </c>
      <c r="T35" s="5">
        <v>78</v>
      </c>
      <c r="U35" s="9"/>
      <c r="W35" s="85">
        <f t="shared" si="30"/>
        <v>78.3</v>
      </c>
      <c r="X35" s="86">
        <f t="shared" si="30"/>
        <v>24</v>
      </c>
      <c r="Y35" s="91">
        <f t="shared" si="31"/>
        <v>66</v>
      </c>
      <c r="Z35" s="89">
        <f t="shared" si="31"/>
        <v>11000</v>
      </c>
      <c r="AA35" s="89">
        <f>K35</f>
        <v>0</v>
      </c>
      <c r="AB35" s="89">
        <f t="shared" si="32"/>
        <v>11000</v>
      </c>
      <c r="AC35" s="4">
        <f t="shared" si="32"/>
        <v>0</v>
      </c>
      <c r="AD35" s="90">
        <f t="shared" si="32"/>
        <v>458.33333333333331</v>
      </c>
      <c r="AE35" s="78" t="str">
        <f>S35</f>
        <v>계</v>
      </c>
      <c r="AF35" s="78" t="str">
        <f>Q35&amp;"/"&amp;R35</f>
        <v>3/1</v>
      </c>
      <c r="AH35" s="20" t="str">
        <f t="shared" si="1"/>
        <v>안고을우성</v>
      </c>
      <c r="AI35" s="86">
        <f t="shared" ref="AI35:AI66" si="33">IF(E35="","",E35)</f>
        <v>24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>X</v>
      </c>
      <c r="AP35" s="78" t="str">
        <f>IF(I35="","",IF(I35&lt;=$AP$1,"O","X"))</f>
        <v>O</v>
      </c>
      <c r="AQ35" s="78" t="str">
        <f>IF(O35="","",IF(O35&lt;=$AQ$1,"O","X"))</f>
        <v>O</v>
      </c>
      <c r="AR35" s="78" t="str">
        <f>IF(M35="","",IF(M35&lt;=$AR$1,"O","X"))</f>
        <v>X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O</v>
      </c>
      <c r="AV35" s="78" t="str">
        <f>IF(AO35="","",IF(AND(AO35="O",AP35="O",AR35="O",AT35="O",AU35="O"),"후보","X"))</f>
        <v>X</v>
      </c>
    </row>
    <row r="36" spans="1:48" x14ac:dyDescent="0.3">
      <c r="A36" s="9" t="s">
        <v>1184</v>
      </c>
      <c r="B36" s="10" t="s">
        <v>1608</v>
      </c>
      <c r="C36" s="87">
        <v>305</v>
      </c>
      <c r="D36" s="85">
        <v>80.8</v>
      </c>
      <c r="E36" s="86">
        <v>24</v>
      </c>
      <c r="F36" s="85">
        <v>58.9</v>
      </c>
      <c r="G36" s="17">
        <v>18</v>
      </c>
      <c r="H36" s="87">
        <v>41</v>
      </c>
      <c r="I36" s="88">
        <v>14000</v>
      </c>
      <c r="J36" s="88" t="s">
        <v>89</v>
      </c>
      <c r="K36" s="88"/>
      <c r="L36" s="88"/>
      <c r="M36" s="89">
        <f>I36-K36</f>
        <v>14000</v>
      </c>
      <c r="N36" s="4">
        <f>IF(ISERROR(K36/I36),"",K36/I36)</f>
        <v>0</v>
      </c>
      <c r="O36" s="90">
        <f>I36/E36</f>
        <v>583.33333333333337</v>
      </c>
      <c r="P36" s="90">
        <f>K36/E36</f>
        <v>0</v>
      </c>
      <c r="Q36" s="78">
        <v>3</v>
      </c>
      <c r="R36" s="78">
        <v>1</v>
      </c>
      <c r="S36" s="78" t="s">
        <v>59</v>
      </c>
      <c r="T36" s="5">
        <v>80</v>
      </c>
      <c r="U36" s="9"/>
      <c r="W36" s="85">
        <f t="shared" si="30"/>
        <v>80.8</v>
      </c>
      <c r="X36" s="86">
        <f t="shared" si="30"/>
        <v>24</v>
      </c>
      <c r="Y36" s="91">
        <f t="shared" si="31"/>
        <v>41</v>
      </c>
      <c r="Z36" s="89">
        <f t="shared" si="31"/>
        <v>14000</v>
      </c>
      <c r="AA36" s="89">
        <f>K36</f>
        <v>0</v>
      </c>
      <c r="AB36" s="89">
        <f t="shared" si="32"/>
        <v>14000</v>
      </c>
      <c r="AC36" s="4">
        <f t="shared" si="32"/>
        <v>0</v>
      </c>
      <c r="AD36" s="90">
        <f t="shared" si="32"/>
        <v>583.33333333333337</v>
      </c>
      <c r="AE36" s="78" t="str">
        <f>S36</f>
        <v>계</v>
      </c>
      <c r="AF36" s="78" t="str">
        <f>Q36&amp;"/"&amp;R36</f>
        <v>3/1</v>
      </c>
      <c r="AH36" s="20" t="str">
        <f t="shared" si="1"/>
        <v>안고을우성</v>
      </c>
      <c r="AI36" s="86">
        <f t="shared" si="33"/>
        <v>24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>X</v>
      </c>
      <c r="AP36" s="78" t="str">
        <f>IF(I36="","",IF(I36&lt;=$AP$1,"O","X"))</f>
        <v>O</v>
      </c>
      <c r="AQ36" s="78" t="str">
        <f>IF(O36="","",IF(O36&lt;=$AQ$1,"O","X"))</f>
        <v>O</v>
      </c>
      <c r="AR36" s="78" t="str">
        <f>IF(M36="","",IF(M36&lt;=$AR$1,"O","X"))</f>
        <v>X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O</v>
      </c>
      <c r="AV36" s="78" t="str">
        <f>IF(AO36="","",IF(AND(AO36="O",AP36="O",AR36="O",AT36="O",AU36="O"),"후보","X"))</f>
        <v>X</v>
      </c>
    </row>
    <row r="37" spans="1:48" x14ac:dyDescent="0.3">
      <c r="A37" s="9" t="s">
        <v>1184</v>
      </c>
      <c r="B37" s="10" t="s">
        <v>1608</v>
      </c>
      <c r="C37" s="87">
        <v>305</v>
      </c>
      <c r="D37" s="85">
        <v>108.4</v>
      </c>
      <c r="E37" s="86">
        <v>33</v>
      </c>
      <c r="F37" s="85">
        <v>79</v>
      </c>
      <c r="G37" s="17">
        <v>24</v>
      </c>
      <c r="H37" s="87">
        <v>168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2</v>
      </c>
      <c r="S37" s="78" t="s">
        <v>59</v>
      </c>
      <c r="T37" s="5">
        <v>108</v>
      </c>
      <c r="U37" s="9"/>
      <c r="W37" s="85">
        <f t="shared" si="30"/>
        <v>108.4</v>
      </c>
      <c r="X37" s="86">
        <f t="shared" si="30"/>
        <v>33</v>
      </c>
      <c r="Y37" s="91">
        <f t="shared" si="31"/>
        <v>168</v>
      </c>
      <c r="Z37" s="89">
        <f t="shared" si="31"/>
        <v>0</v>
      </c>
      <c r="AA37" s="89">
        <f>K37</f>
        <v>0</v>
      </c>
      <c r="AB37" s="89">
        <f t="shared" si="32"/>
        <v>0</v>
      </c>
      <c r="AC37" s="4" t="str">
        <f t="shared" si="32"/>
        <v/>
      </c>
      <c r="AD37" s="90">
        <f t="shared" si="32"/>
        <v>0</v>
      </c>
      <c r="AE37" s="78" t="str">
        <f>S37</f>
        <v>계</v>
      </c>
      <c r="AF37" s="78" t="str">
        <f>Q37&amp;"/"&amp;R37</f>
        <v>3/2</v>
      </c>
      <c r="AH37" s="20" t="str">
        <f t="shared" ref="AH37:AH68" si="34">IF(A37="","",A37)</f>
        <v>안고을우성</v>
      </c>
      <c r="AI37" s="86">
        <f t="shared" si="33"/>
        <v>33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O</v>
      </c>
      <c r="AV37" s="78" t="str">
        <f>IF(AO37="","",IF(AND(AO37="O",AP37="O",AR37="O",AT37="O",AU37="O"),"후보","X"))</f>
        <v/>
      </c>
    </row>
    <row r="38" spans="1:48" x14ac:dyDescent="0.3">
      <c r="A38" s="9"/>
      <c r="B38" s="78"/>
      <c r="C38" s="6"/>
      <c r="D38" s="9"/>
      <c r="E38" s="14"/>
      <c r="F38" s="85"/>
      <c r="G38" s="9"/>
      <c r="H38" s="9"/>
      <c r="I38" s="9"/>
      <c r="J38" s="9"/>
      <c r="K38" s="9"/>
      <c r="L38" s="9"/>
      <c r="M38" s="9"/>
      <c r="N38" s="9"/>
      <c r="O38" s="90"/>
      <c r="P38" s="90"/>
      <c r="Q38" s="86"/>
      <c r="R38" s="86"/>
      <c r="S38" s="9"/>
      <c r="T38" s="47"/>
      <c r="U38" s="9"/>
      <c r="W38" s="67" t="str">
        <f>$A$4&amp;" "&amp;A39&amp;"("&amp;B39&amp;","&amp;C39&amp;"^)"</f>
        <v>인후동1가 인후한신휴플러스('06.11.,1236^)</v>
      </c>
      <c r="X38" s="68"/>
      <c r="Y38" s="68"/>
      <c r="Z38" s="68"/>
      <c r="AA38" s="68"/>
      <c r="AB38" s="68"/>
      <c r="AC38" s="68"/>
      <c r="AD38" s="68"/>
      <c r="AE38" s="68"/>
      <c r="AF38" s="69"/>
      <c r="AH38" s="20" t="str">
        <f t="shared" si="34"/>
        <v/>
      </c>
      <c r="AI38" s="108" t="str">
        <f t="shared" si="33"/>
        <v/>
      </c>
      <c r="AJ38" s="78"/>
      <c r="AK38" s="78"/>
      <c r="AL38" s="78"/>
      <c r="AM38" s="78"/>
      <c r="AN38" s="78"/>
      <c r="AO38" s="78"/>
      <c r="AP38" s="78"/>
      <c r="AQ38" s="78"/>
      <c r="AR38" s="78"/>
      <c r="AS38" s="78"/>
      <c r="AT38" s="78"/>
      <c r="AU38" s="78"/>
      <c r="AV38" s="78"/>
    </row>
    <row r="39" spans="1:48" x14ac:dyDescent="0.3">
      <c r="A39" s="9" t="s">
        <v>1194</v>
      </c>
      <c r="B39" s="10" t="s">
        <v>1609</v>
      </c>
      <c r="C39" s="87">
        <v>1236</v>
      </c>
      <c r="D39" s="85">
        <v>79.5</v>
      </c>
      <c r="E39" s="86">
        <v>24</v>
      </c>
      <c r="F39" s="85">
        <v>59.9</v>
      </c>
      <c r="G39" s="17">
        <v>18</v>
      </c>
      <c r="H39" s="87">
        <v>20</v>
      </c>
      <c r="I39" s="88"/>
      <c r="J39" s="88"/>
      <c r="K39" s="88"/>
      <c r="L39" s="88"/>
      <c r="M39" s="89">
        <f t="shared" ref="M39:M45" si="35">I39-K39</f>
        <v>0</v>
      </c>
      <c r="N39" s="4" t="str">
        <f t="shared" ref="N39:N45" si="36">IF(ISERROR(K39/I39),"",K39/I39)</f>
        <v/>
      </c>
      <c r="O39" s="90">
        <f t="shared" ref="O39:O45" si="37">I39/E39</f>
        <v>0</v>
      </c>
      <c r="P39" s="90">
        <f t="shared" ref="P39:P45" si="38">K39/E39</f>
        <v>0</v>
      </c>
      <c r="Q39" s="78">
        <v>3</v>
      </c>
      <c r="R39" s="78">
        <v>2</v>
      </c>
      <c r="S39" s="78" t="s">
        <v>59</v>
      </c>
      <c r="T39" s="5">
        <v>79</v>
      </c>
      <c r="U39" s="9"/>
      <c r="W39" s="85">
        <f t="shared" ref="W39:X45" si="39">D39</f>
        <v>79.5</v>
      </c>
      <c r="X39" s="86">
        <f t="shared" si="39"/>
        <v>24</v>
      </c>
      <c r="Y39" s="91">
        <f t="shared" ref="Y39:Z45" si="40">H39</f>
        <v>20</v>
      </c>
      <c r="Z39" s="89">
        <f t="shared" si="40"/>
        <v>0</v>
      </c>
      <c r="AA39" s="89">
        <f t="shared" ref="AA39:AA45" si="41">K39</f>
        <v>0</v>
      </c>
      <c r="AB39" s="89">
        <f t="shared" ref="AB39:AD45" si="42">M39</f>
        <v>0</v>
      </c>
      <c r="AC39" s="4" t="str">
        <f t="shared" si="42"/>
        <v/>
      </c>
      <c r="AD39" s="90">
        <f t="shared" si="42"/>
        <v>0</v>
      </c>
      <c r="AE39" s="78" t="str">
        <f t="shared" ref="AE39:AE45" si="43">S39</f>
        <v>계</v>
      </c>
      <c r="AF39" s="78" t="str">
        <f t="shared" ref="AF39:AF45" si="44">Q39&amp;"/"&amp;R39</f>
        <v>3/2</v>
      </c>
      <c r="AH39" s="20" t="str">
        <f t="shared" si="34"/>
        <v>인후한신휴플러스</v>
      </c>
      <c r="AI39" s="86">
        <f t="shared" si="33"/>
        <v>24</v>
      </c>
      <c r="AJ39" s="78" t="str">
        <f t="shared" ref="AJ39:AJ45" si="45"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 t="shared" ref="AN39:AN45" si="46">IF(AI39="","",$AN$2)</f>
        <v>C</v>
      </c>
      <c r="AO39" s="78" t="str">
        <f t="shared" ref="AO39:AO45" si="47">IF(N39="","",IF(N39&gt;=$AO$1/100,"O","X"))</f>
        <v/>
      </c>
      <c r="AP39" s="78" t="str">
        <f t="shared" ref="AP39:AP45" si="48">IF(I39="","",IF(I39&lt;=$AP$1,"O","X"))</f>
        <v/>
      </c>
      <c r="AQ39" s="78" t="str">
        <f t="shared" ref="AQ39:AQ45" si="49">IF(O39="","",IF(O39&lt;=$AQ$1,"O","X"))</f>
        <v>O</v>
      </c>
      <c r="AR39" s="78" t="str">
        <f t="shared" ref="AR39:AR45" si="50">IF(M39="","",IF(M39&lt;=$AR$1,"O","X"))</f>
        <v>O</v>
      </c>
      <c r="AS39" s="78" t="s">
        <v>2</v>
      </c>
      <c r="AT39" s="78" t="str">
        <f t="shared" ref="AT39:AT45" si="51">IF(OR(F39="",AI39=""),"",IF(AND((F39&lt;=85),(AI39&gt;=15)),"O","X"))</f>
        <v>O</v>
      </c>
      <c r="AU39" s="78" t="str">
        <f t="shared" ref="AU39:AU45" si="52">IF(C39="","",IF(C39&gt;=$AU$1,"O","X"))</f>
        <v>O</v>
      </c>
      <c r="AV39" s="78" t="str">
        <f t="shared" ref="AV39:AV45" si="53">IF(AO39="","",IF(AND(AO39="O",AP39="O",AR39="O",AT39="O",AU39="O"),"후보","X"))</f>
        <v/>
      </c>
    </row>
    <row r="40" spans="1:48" x14ac:dyDescent="0.3">
      <c r="A40" s="9" t="s">
        <v>1194</v>
      </c>
      <c r="B40" s="10" t="s">
        <v>1609</v>
      </c>
      <c r="C40" s="87">
        <v>1236</v>
      </c>
      <c r="D40" s="85">
        <v>83.7</v>
      </c>
      <c r="E40" s="86">
        <v>25</v>
      </c>
      <c r="F40" s="85">
        <v>60</v>
      </c>
      <c r="G40" s="17">
        <v>18</v>
      </c>
      <c r="H40" s="87">
        <v>198</v>
      </c>
      <c r="I40" s="88">
        <v>26500</v>
      </c>
      <c r="J40" s="88" t="s">
        <v>69</v>
      </c>
      <c r="K40" s="88"/>
      <c r="L40" s="88"/>
      <c r="M40" s="89">
        <f t="shared" si="35"/>
        <v>26500</v>
      </c>
      <c r="N40" s="4">
        <f t="shared" si="36"/>
        <v>0</v>
      </c>
      <c r="O40" s="90">
        <f t="shared" si="37"/>
        <v>1060</v>
      </c>
      <c r="P40" s="90">
        <f t="shared" si="38"/>
        <v>0</v>
      </c>
      <c r="Q40" s="78">
        <v>3</v>
      </c>
      <c r="R40" s="78">
        <v>2</v>
      </c>
      <c r="S40" s="78" t="s">
        <v>59</v>
      </c>
      <c r="T40" s="5">
        <v>83</v>
      </c>
      <c r="U40" s="9"/>
      <c r="W40" s="85">
        <f t="shared" si="39"/>
        <v>83.7</v>
      </c>
      <c r="X40" s="86">
        <f t="shared" si="39"/>
        <v>25</v>
      </c>
      <c r="Y40" s="91">
        <f t="shared" si="40"/>
        <v>198</v>
      </c>
      <c r="Z40" s="89">
        <f t="shared" si="40"/>
        <v>26500</v>
      </c>
      <c r="AA40" s="89">
        <f t="shared" si="41"/>
        <v>0</v>
      </c>
      <c r="AB40" s="89">
        <f t="shared" si="42"/>
        <v>26500</v>
      </c>
      <c r="AC40" s="4">
        <f t="shared" si="42"/>
        <v>0</v>
      </c>
      <c r="AD40" s="90">
        <f t="shared" si="42"/>
        <v>1060</v>
      </c>
      <c r="AE40" s="78" t="str">
        <f t="shared" si="43"/>
        <v>계</v>
      </c>
      <c r="AF40" s="78" t="str">
        <f t="shared" si="44"/>
        <v>3/2</v>
      </c>
      <c r="AH40" s="20" t="str">
        <f t="shared" si="34"/>
        <v>인후한신휴플러스</v>
      </c>
      <c r="AI40" s="86">
        <f t="shared" si="33"/>
        <v>25</v>
      </c>
      <c r="AJ40" s="78" t="str">
        <f t="shared" si="45"/>
        <v>A-</v>
      </c>
      <c r="AK40" s="78" t="s">
        <v>13</v>
      </c>
      <c r="AL40" s="78" t="s">
        <v>61</v>
      </c>
      <c r="AM40" s="78" t="s">
        <v>62</v>
      </c>
      <c r="AN40" s="78" t="str">
        <f t="shared" si="46"/>
        <v>C</v>
      </c>
      <c r="AO40" s="78" t="str">
        <f t="shared" si="47"/>
        <v>X</v>
      </c>
      <c r="AP40" s="78" t="str">
        <f t="shared" si="48"/>
        <v>O</v>
      </c>
      <c r="AQ40" s="78" t="str">
        <f t="shared" si="49"/>
        <v>X</v>
      </c>
      <c r="AR40" s="78" t="str">
        <f t="shared" si="50"/>
        <v>X</v>
      </c>
      <c r="AS40" s="78" t="s">
        <v>2</v>
      </c>
      <c r="AT40" s="78" t="str">
        <f t="shared" si="51"/>
        <v>O</v>
      </c>
      <c r="AU40" s="78" t="str">
        <f t="shared" si="52"/>
        <v>O</v>
      </c>
      <c r="AV40" s="78" t="str">
        <f t="shared" si="53"/>
        <v>X</v>
      </c>
    </row>
    <row r="41" spans="1:48" x14ac:dyDescent="0.3">
      <c r="A41" s="9" t="s">
        <v>1194</v>
      </c>
      <c r="B41" s="10" t="s">
        <v>1609</v>
      </c>
      <c r="C41" s="87">
        <v>1236</v>
      </c>
      <c r="D41" s="85">
        <v>108.4</v>
      </c>
      <c r="E41" s="86">
        <v>33</v>
      </c>
      <c r="F41" s="85">
        <v>85</v>
      </c>
      <c r="G41" s="17">
        <v>26</v>
      </c>
      <c r="H41" s="87">
        <v>382</v>
      </c>
      <c r="I41" s="88">
        <v>35000</v>
      </c>
      <c r="J41" s="88" t="s">
        <v>69</v>
      </c>
      <c r="K41" s="88">
        <v>30000</v>
      </c>
      <c r="L41" s="88" t="s">
        <v>68</v>
      </c>
      <c r="M41" s="89">
        <f t="shared" si="35"/>
        <v>5000</v>
      </c>
      <c r="N41" s="4">
        <f t="shared" si="36"/>
        <v>0.8571428571428571</v>
      </c>
      <c r="O41" s="90">
        <f t="shared" si="37"/>
        <v>1060.6060606060605</v>
      </c>
      <c r="P41" s="90">
        <f t="shared" si="38"/>
        <v>909.09090909090912</v>
      </c>
      <c r="Q41" s="78">
        <v>3</v>
      </c>
      <c r="R41" s="78">
        <v>2</v>
      </c>
      <c r="S41" s="78" t="s">
        <v>59</v>
      </c>
      <c r="T41" s="5">
        <v>108</v>
      </c>
      <c r="U41" s="9"/>
      <c r="W41" s="85">
        <f t="shared" si="39"/>
        <v>108.4</v>
      </c>
      <c r="X41" s="86">
        <f t="shared" si="39"/>
        <v>33</v>
      </c>
      <c r="Y41" s="91">
        <f t="shared" si="40"/>
        <v>382</v>
      </c>
      <c r="Z41" s="89">
        <f t="shared" si="40"/>
        <v>35000</v>
      </c>
      <c r="AA41" s="89">
        <f t="shared" si="41"/>
        <v>30000</v>
      </c>
      <c r="AB41" s="89">
        <f t="shared" si="42"/>
        <v>5000</v>
      </c>
      <c r="AC41" s="4">
        <f t="shared" si="42"/>
        <v>0.8571428571428571</v>
      </c>
      <c r="AD41" s="90">
        <f t="shared" si="42"/>
        <v>1060.6060606060605</v>
      </c>
      <c r="AE41" s="78" t="str">
        <f t="shared" si="43"/>
        <v>계</v>
      </c>
      <c r="AF41" s="78" t="str">
        <f t="shared" si="44"/>
        <v>3/2</v>
      </c>
      <c r="AH41" s="20" t="str">
        <f t="shared" si="34"/>
        <v>인후한신휴플러스</v>
      </c>
      <c r="AI41" s="86">
        <f t="shared" si="33"/>
        <v>33</v>
      </c>
      <c r="AJ41" s="78" t="str">
        <f t="shared" si="45"/>
        <v>A-</v>
      </c>
      <c r="AK41" s="78" t="s">
        <v>13</v>
      </c>
      <c r="AL41" s="78" t="s">
        <v>61</v>
      </c>
      <c r="AM41" s="78" t="s">
        <v>62</v>
      </c>
      <c r="AN41" s="78" t="str">
        <f t="shared" si="46"/>
        <v>C</v>
      </c>
      <c r="AO41" s="78" t="str">
        <f t="shared" si="47"/>
        <v>O</v>
      </c>
      <c r="AP41" s="78" t="str">
        <f t="shared" si="48"/>
        <v>O</v>
      </c>
      <c r="AQ41" s="78" t="str">
        <f t="shared" si="49"/>
        <v>X</v>
      </c>
      <c r="AR41" s="78" t="str">
        <f t="shared" si="50"/>
        <v>O</v>
      </c>
      <c r="AS41" s="78" t="s">
        <v>2</v>
      </c>
      <c r="AT41" s="78" t="str">
        <f t="shared" si="51"/>
        <v>O</v>
      </c>
      <c r="AU41" s="78" t="str">
        <f t="shared" si="52"/>
        <v>O</v>
      </c>
      <c r="AV41" s="78" t="str">
        <f t="shared" si="53"/>
        <v>후보</v>
      </c>
    </row>
    <row r="42" spans="1:48" x14ac:dyDescent="0.3">
      <c r="A42" s="9" t="s">
        <v>1194</v>
      </c>
      <c r="B42" s="10" t="s">
        <v>1609</v>
      </c>
      <c r="C42" s="87">
        <v>1236</v>
      </c>
      <c r="D42" s="85">
        <v>111.7</v>
      </c>
      <c r="E42" s="86">
        <v>34</v>
      </c>
      <c r="F42" s="85">
        <v>84.7</v>
      </c>
      <c r="G42" s="17">
        <v>26</v>
      </c>
      <c r="H42" s="87">
        <v>77</v>
      </c>
      <c r="I42" s="88"/>
      <c r="J42" s="88"/>
      <c r="K42" s="88"/>
      <c r="L42" s="88"/>
      <c r="M42" s="89">
        <f t="shared" si="35"/>
        <v>0</v>
      </c>
      <c r="N42" s="4" t="str">
        <f t="shared" si="36"/>
        <v/>
      </c>
      <c r="O42" s="90">
        <f t="shared" si="37"/>
        <v>0</v>
      </c>
      <c r="P42" s="90">
        <f t="shared" si="38"/>
        <v>0</v>
      </c>
      <c r="Q42" s="78">
        <v>3</v>
      </c>
      <c r="R42" s="78">
        <v>2</v>
      </c>
      <c r="S42" s="78" t="s">
        <v>59</v>
      </c>
      <c r="T42" s="5" t="s">
        <v>109</v>
      </c>
      <c r="U42" s="9"/>
      <c r="W42" s="85">
        <f t="shared" si="39"/>
        <v>111.7</v>
      </c>
      <c r="X42" s="86">
        <f t="shared" si="39"/>
        <v>34</v>
      </c>
      <c r="Y42" s="91">
        <f t="shared" si="40"/>
        <v>77</v>
      </c>
      <c r="Z42" s="89">
        <f t="shared" si="40"/>
        <v>0</v>
      </c>
      <c r="AA42" s="89">
        <f t="shared" si="41"/>
        <v>0</v>
      </c>
      <c r="AB42" s="89">
        <f t="shared" si="42"/>
        <v>0</v>
      </c>
      <c r="AC42" s="4" t="str">
        <f t="shared" si="42"/>
        <v/>
      </c>
      <c r="AD42" s="90">
        <f t="shared" si="42"/>
        <v>0</v>
      </c>
      <c r="AE42" s="78" t="str">
        <f t="shared" si="43"/>
        <v>계</v>
      </c>
      <c r="AF42" s="78" t="str">
        <f t="shared" si="44"/>
        <v>3/2</v>
      </c>
      <c r="AH42" s="20" t="str">
        <f t="shared" si="34"/>
        <v>인후한신휴플러스</v>
      </c>
      <c r="AI42" s="86">
        <f t="shared" si="33"/>
        <v>34</v>
      </c>
      <c r="AJ42" s="78" t="str">
        <f t="shared" si="45"/>
        <v>A-</v>
      </c>
      <c r="AK42" s="78" t="s">
        <v>13</v>
      </c>
      <c r="AL42" s="78" t="s">
        <v>61</v>
      </c>
      <c r="AM42" s="78" t="s">
        <v>62</v>
      </c>
      <c r="AN42" s="78" t="str">
        <f t="shared" si="46"/>
        <v>C</v>
      </c>
      <c r="AO42" s="78" t="str">
        <f t="shared" si="47"/>
        <v/>
      </c>
      <c r="AP42" s="78" t="str">
        <f t="shared" si="48"/>
        <v/>
      </c>
      <c r="AQ42" s="78" t="str">
        <f t="shared" si="49"/>
        <v>O</v>
      </c>
      <c r="AR42" s="78" t="str">
        <f t="shared" si="50"/>
        <v>O</v>
      </c>
      <c r="AS42" s="78" t="s">
        <v>2</v>
      </c>
      <c r="AT42" s="78" t="str">
        <f t="shared" si="51"/>
        <v>O</v>
      </c>
      <c r="AU42" s="78" t="str">
        <f t="shared" si="52"/>
        <v>O</v>
      </c>
      <c r="AV42" s="78" t="str">
        <f t="shared" si="53"/>
        <v/>
      </c>
    </row>
    <row r="43" spans="1:48" x14ac:dyDescent="0.3">
      <c r="A43" s="9" t="s">
        <v>1194</v>
      </c>
      <c r="B43" s="10" t="s">
        <v>1609</v>
      </c>
      <c r="C43" s="87">
        <v>1236</v>
      </c>
      <c r="D43" s="85">
        <v>112</v>
      </c>
      <c r="E43" s="86">
        <v>34</v>
      </c>
      <c r="F43" s="85">
        <v>84.8</v>
      </c>
      <c r="G43" s="17">
        <v>26</v>
      </c>
      <c r="H43" s="87">
        <v>195</v>
      </c>
      <c r="I43" s="88">
        <v>32500</v>
      </c>
      <c r="J43" s="88" t="s">
        <v>68</v>
      </c>
      <c r="K43" s="88">
        <v>27500</v>
      </c>
      <c r="L43" s="88" t="s">
        <v>131</v>
      </c>
      <c r="M43" s="89">
        <f t="shared" si="35"/>
        <v>5000</v>
      </c>
      <c r="N43" s="4">
        <f t="shared" si="36"/>
        <v>0.84615384615384615</v>
      </c>
      <c r="O43" s="90">
        <f t="shared" si="37"/>
        <v>955.88235294117646</v>
      </c>
      <c r="P43" s="90">
        <f t="shared" si="38"/>
        <v>808.82352941176475</v>
      </c>
      <c r="Q43" s="78">
        <v>3</v>
      </c>
      <c r="R43" s="78">
        <v>2</v>
      </c>
      <c r="S43" s="78" t="s">
        <v>59</v>
      </c>
      <c r="T43" s="5" t="s">
        <v>160</v>
      </c>
      <c r="U43" s="9"/>
      <c r="W43" s="85">
        <f t="shared" si="39"/>
        <v>112</v>
      </c>
      <c r="X43" s="86">
        <f t="shared" si="39"/>
        <v>34</v>
      </c>
      <c r="Y43" s="91">
        <f t="shared" si="40"/>
        <v>195</v>
      </c>
      <c r="Z43" s="89">
        <f t="shared" si="40"/>
        <v>32500</v>
      </c>
      <c r="AA43" s="89">
        <f t="shared" si="41"/>
        <v>27500</v>
      </c>
      <c r="AB43" s="89">
        <f t="shared" si="42"/>
        <v>5000</v>
      </c>
      <c r="AC43" s="4">
        <f t="shared" si="42"/>
        <v>0.84615384615384615</v>
      </c>
      <c r="AD43" s="90">
        <f t="shared" si="42"/>
        <v>955.88235294117646</v>
      </c>
      <c r="AE43" s="78" t="str">
        <f t="shared" si="43"/>
        <v>계</v>
      </c>
      <c r="AF43" s="78" t="str">
        <f t="shared" si="44"/>
        <v>3/2</v>
      </c>
      <c r="AH43" s="20" t="str">
        <f t="shared" si="34"/>
        <v>인후한신휴플러스</v>
      </c>
      <c r="AI43" s="86">
        <f t="shared" si="33"/>
        <v>34</v>
      </c>
      <c r="AJ43" s="78" t="str">
        <f t="shared" si="45"/>
        <v>A-</v>
      </c>
      <c r="AK43" s="78" t="s">
        <v>13</v>
      </c>
      <c r="AL43" s="78" t="s">
        <v>61</v>
      </c>
      <c r="AM43" s="78" t="s">
        <v>62</v>
      </c>
      <c r="AN43" s="78" t="str">
        <f t="shared" si="46"/>
        <v>C</v>
      </c>
      <c r="AO43" s="78" t="str">
        <f t="shared" si="47"/>
        <v>O</v>
      </c>
      <c r="AP43" s="78" t="str">
        <f t="shared" si="48"/>
        <v>O</v>
      </c>
      <c r="AQ43" s="78" t="str">
        <f t="shared" si="49"/>
        <v>O</v>
      </c>
      <c r="AR43" s="78" t="str">
        <f t="shared" si="50"/>
        <v>O</v>
      </c>
      <c r="AS43" s="78" t="s">
        <v>2</v>
      </c>
      <c r="AT43" s="78" t="str">
        <f t="shared" si="51"/>
        <v>O</v>
      </c>
      <c r="AU43" s="78" t="str">
        <f t="shared" si="52"/>
        <v>O</v>
      </c>
      <c r="AV43" s="78" t="str">
        <f t="shared" si="53"/>
        <v>후보</v>
      </c>
    </row>
    <row r="44" spans="1:48" x14ac:dyDescent="0.3">
      <c r="A44" s="9" t="s">
        <v>1194</v>
      </c>
      <c r="B44" s="10" t="s">
        <v>1609</v>
      </c>
      <c r="C44" s="87">
        <v>1236</v>
      </c>
      <c r="D44" s="85">
        <v>143.5</v>
      </c>
      <c r="E44" s="86">
        <v>43</v>
      </c>
      <c r="F44" s="85">
        <v>114.8</v>
      </c>
      <c r="G44" s="17">
        <v>35</v>
      </c>
      <c r="H44" s="87">
        <v>284</v>
      </c>
      <c r="I44" s="88">
        <v>45000</v>
      </c>
      <c r="J44" s="88" t="s">
        <v>93</v>
      </c>
      <c r="K44" s="88"/>
      <c r="L44" s="88"/>
      <c r="M44" s="89">
        <f t="shared" si="35"/>
        <v>45000</v>
      </c>
      <c r="N44" s="4">
        <f t="shared" si="36"/>
        <v>0</v>
      </c>
      <c r="O44" s="90">
        <f t="shared" si="37"/>
        <v>1046.5116279069769</v>
      </c>
      <c r="P44" s="90">
        <f t="shared" si="38"/>
        <v>0</v>
      </c>
      <c r="Q44" s="78">
        <v>4</v>
      </c>
      <c r="R44" s="78">
        <v>2</v>
      </c>
      <c r="S44" s="78" t="s">
        <v>59</v>
      </c>
      <c r="T44" s="5">
        <v>143</v>
      </c>
      <c r="U44" s="9"/>
      <c r="W44" s="85">
        <f t="shared" si="39"/>
        <v>143.5</v>
      </c>
      <c r="X44" s="86">
        <f t="shared" si="39"/>
        <v>43</v>
      </c>
      <c r="Y44" s="91">
        <f t="shared" si="40"/>
        <v>284</v>
      </c>
      <c r="Z44" s="89">
        <f t="shared" si="40"/>
        <v>45000</v>
      </c>
      <c r="AA44" s="89">
        <f t="shared" si="41"/>
        <v>0</v>
      </c>
      <c r="AB44" s="89">
        <f t="shared" si="42"/>
        <v>45000</v>
      </c>
      <c r="AC44" s="4">
        <f t="shared" si="42"/>
        <v>0</v>
      </c>
      <c r="AD44" s="90">
        <f t="shared" si="42"/>
        <v>1046.5116279069769</v>
      </c>
      <c r="AE44" s="78" t="str">
        <f t="shared" si="43"/>
        <v>계</v>
      </c>
      <c r="AF44" s="78" t="str">
        <f t="shared" si="44"/>
        <v>4/2</v>
      </c>
      <c r="AH44" s="20" t="str">
        <f t="shared" si="34"/>
        <v>인후한신휴플러스</v>
      </c>
      <c r="AI44" s="86">
        <f t="shared" si="33"/>
        <v>43</v>
      </c>
      <c r="AJ44" s="78" t="str">
        <f t="shared" si="45"/>
        <v>A-</v>
      </c>
      <c r="AK44" s="78" t="s">
        <v>13</v>
      </c>
      <c r="AL44" s="78" t="s">
        <v>61</v>
      </c>
      <c r="AM44" s="78" t="s">
        <v>62</v>
      </c>
      <c r="AN44" s="78" t="str">
        <f t="shared" si="46"/>
        <v>C</v>
      </c>
      <c r="AO44" s="78" t="str">
        <f t="shared" si="47"/>
        <v>X</v>
      </c>
      <c r="AP44" s="78" t="str">
        <f t="shared" si="48"/>
        <v>O</v>
      </c>
      <c r="AQ44" s="78" t="str">
        <f t="shared" si="49"/>
        <v>X</v>
      </c>
      <c r="AR44" s="78" t="str">
        <f t="shared" si="50"/>
        <v>X</v>
      </c>
      <c r="AS44" s="78" t="s">
        <v>2</v>
      </c>
      <c r="AT44" s="78" t="str">
        <f t="shared" si="51"/>
        <v>X</v>
      </c>
      <c r="AU44" s="78" t="str">
        <f t="shared" si="52"/>
        <v>O</v>
      </c>
      <c r="AV44" s="78" t="str">
        <f t="shared" si="53"/>
        <v>X</v>
      </c>
    </row>
    <row r="45" spans="1:48" x14ac:dyDescent="0.3">
      <c r="A45" s="9" t="s">
        <v>1194</v>
      </c>
      <c r="B45" s="10" t="s">
        <v>1609</v>
      </c>
      <c r="C45" s="87">
        <v>1236</v>
      </c>
      <c r="D45" s="85">
        <v>191.3</v>
      </c>
      <c r="E45" s="86">
        <v>58</v>
      </c>
      <c r="F45" s="85">
        <v>157.9</v>
      </c>
      <c r="G45" s="17">
        <v>48</v>
      </c>
      <c r="H45" s="87">
        <v>80</v>
      </c>
      <c r="I45" s="88">
        <v>52000</v>
      </c>
      <c r="J45" s="88" t="s">
        <v>83</v>
      </c>
      <c r="K45" s="88"/>
      <c r="L45" s="88"/>
      <c r="M45" s="89">
        <f t="shared" si="35"/>
        <v>52000</v>
      </c>
      <c r="N45" s="4">
        <f t="shared" si="36"/>
        <v>0</v>
      </c>
      <c r="O45" s="90">
        <f t="shared" si="37"/>
        <v>896.55172413793105</v>
      </c>
      <c r="P45" s="90">
        <f t="shared" si="38"/>
        <v>0</v>
      </c>
      <c r="Q45" s="78">
        <v>4</v>
      </c>
      <c r="R45" s="78">
        <v>2</v>
      </c>
      <c r="S45" s="78" t="s">
        <v>59</v>
      </c>
      <c r="T45" s="5">
        <v>191</v>
      </c>
      <c r="U45" s="9"/>
      <c r="W45" s="85">
        <f t="shared" si="39"/>
        <v>191.3</v>
      </c>
      <c r="X45" s="86">
        <f t="shared" si="39"/>
        <v>58</v>
      </c>
      <c r="Y45" s="91">
        <f t="shared" si="40"/>
        <v>80</v>
      </c>
      <c r="Z45" s="89">
        <f t="shared" si="40"/>
        <v>52000</v>
      </c>
      <c r="AA45" s="89">
        <f t="shared" si="41"/>
        <v>0</v>
      </c>
      <c r="AB45" s="89">
        <f t="shared" si="42"/>
        <v>52000</v>
      </c>
      <c r="AC45" s="4">
        <f t="shared" si="42"/>
        <v>0</v>
      </c>
      <c r="AD45" s="90">
        <f t="shared" si="42"/>
        <v>896.55172413793105</v>
      </c>
      <c r="AE45" s="78" t="str">
        <f t="shared" si="43"/>
        <v>계</v>
      </c>
      <c r="AF45" s="78" t="str">
        <f t="shared" si="44"/>
        <v>4/2</v>
      </c>
      <c r="AH45" s="20" t="str">
        <f t="shared" si="34"/>
        <v>인후한신휴플러스</v>
      </c>
      <c r="AI45" s="86">
        <f t="shared" si="33"/>
        <v>58</v>
      </c>
      <c r="AJ45" s="78" t="str">
        <f t="shared" si="45"/>
        <v>A-</v>
      </c>
      <c r="AK45" s="78" t="s">
        <v>13</v>
      </c>
      <c r="AL45" s="78" t="s">
        <v>61</v>
      </c>
      <c r="AM45" s="78" t="s">
        <v>62</v>
      </c>
      <c r="AN45" s="78" t="str">
        <f t="shared" si="46"/>
        <v>C</v>
      </c>
      <c r="AO45" s="78" t="str">
        <f t="shared" si="47"/>
        <v>X</v>
      </c>
      <c r="AP45" s="78" t="str">
        <f t="shared" si="48"/>
        <v>X</v>
      </c>
      <c r="AQ45" s="78" t="str">
        <f t="shared" si="49"/>
        <v>O</v>
      </c>
      <c r="AR45" s="78" t="str">
        <f t="shared" si="50"/>
        <v>X</v>
      </c>
      <c r="AS45" s="78" t="s">
        <v>2</v>
      </c>
      <c r="AT45" s="78" t="str">
        <f t="shared" si="51"/>
        <v>X</v>
      </c>
      <c r="AU45" s="78" t="str">
        <f t="shared" si="52"/>
        <v>O</v>
      </c>
      <c r="AV45" s="78" t="str">
        <f t="shared" si="53"/>
        <v>X</v>
      </c>
    </row>
    <row r="46" spans="1:48" x14ac:dyDescent="0.3">
      <c r="A46" s="9"/>
      <c r="B46" s="78"/>
      <c r="C46" s="6"/>
      <c r="D46" s="9"/>
      <c r="E46" s="14"/>
      <c r="F46" s="85"/>
      <c r="G46" s="9"/>
      <c r="H46" s="9"/>
      <c r="I46" s="9"/>
      <c r="J46" s="9"/>
      <c r="K46" s="9"/>
      <c r="L46" s="9"/>
      <c r="M46" s="9"/>
      <c r="N46" s="9"/>
      <c r="O46" s="90"/>
      <c r="P46" s="90"/>
      <c r="Q46" s="86"/>
      <c r="R46" s="86"/>
      <c r="S46" s="9"/>
      <c r="T46" s="47"/>
      <c r="U46" s="9"/>
      <c r="W46" s="67" t="str">
        <f>$A$4&amp;" "&amp;A47&amp;"("&amp;B47&amp;","&amp;C47&amp;"^)"</f>
        <v>인후동1가 위브어울림('07.01.,1549^)</v>
      </c>
      <c r="X46" s="68"/>
      <c r="Y46" s="68"/>
      <c r="Z46" s="68"/>
      <c r="AA46" s="68"/>
      <c r="AB46" s="68"/>
      <c r="AC46" s="68"/>
      <c r="AD46" s="68"/>
      <c r="AE46" s="68"/>
      <c r="AF46" s="69"/>
      <c r="AH46" s="20" t="str">
        <f t="shared" si="34"/>
        <v/>
      </c>
      <c r="AI46" s="108" t="str">
        <f t="shared" si="33"/>
        <v/>
      </c>
      <c r="AJ46" s="78"/>
      <c r="AK46" s="78"/>
      <c r="AL46" s="78"/>
      <c r="AM46" s="78"/>
      <c r="AN46" s="78"/>
      <c r="AO46" s="78"/>
      <c r="AP46" s="78"/>
      <c r="AQ46" s="78"/>
      <c r="AR46" s="78"/>
      <c r="AS46" s="78"/>
      <c r="AT46" s="78"/>
      <c r="AU46" s="78"/>
      <c r="AV46" s="78"/>
    </row>
    <row r="47" spans="1:48" x14ac:dyDescent="0.3">
      <c r="A47" s="9" t="s">
        <v>1199</v>
      </c>
      <c r="B47" s="10" t="s">
        <v>1610</v>
      </c>
      <c r="C47" s="87">
        <v>1549</v>
      </c>
      <c r="D47" s="85">
        <v>80.599999999999994</v>
      </c>
      <c r="E47" s="86">
        <v>24</v>
      </c>
      <c r="F47" s="85">
        <v>59.6</v>
      </c>
      <c r="G47" s="17">
        <v>18</v>
      </c>
      <c r="H47" s="87">
        <v>238</v>
      </c>
      <c r="I47" s="88">
        <v>26000</v>
      </c>
      <c r="J47" s="88" t="s">
        <v>68</v>
      </c>
      <c r="K47" s="88"/>
      <c r="L47" s="88"/>
      <c r="M47" s="89">
        <f t="shared" ref="M47:M60" si="54">I47-K47</f>
        <v>26000</v>
      </c>
      <c r="N47" s="4">
        <f t="shared" ref="N47:N60" si="55">IF(ISERROR(K47/I47),"",K47/I47)</f>
        <v>0</v>
      </c>
      <c r="O47" s="90">
        <f t="shared" ref="O47:O60" si="56">I47/E47</f>
        <v>1083.3333333333333</v>
      </c>
      <c r="P47" s="90">
        <f t="shared" ref="P47:P60" si="57">K47/E47</f>
        <v>0</v>
      </c>
      <c r="Q47" s="78">
        <v>3</v>
      </c>
      <c r="R47" s="78">
        <v>2</v>
      </c>
      <c r="S47" s="78" t="s">
        <v>59</v>
      </c>
      <c r="T47" s="5" t="s">
        <v>98</v>
      </c>
      <c r="U47" s="9"/>
      <c r="W47" s="85">
        <f t="shared" ref="W47:W60" si="58">D47</f>
        <v>80.599999999999994</v>
      </c>
      <c r="X47" s="86">
        <f t="shared" ref="X47:X60" si="59">E47</f>
        <v>24</v>
      </c>
      <c r="Y47" s="91">
        <f t="shared" ref="Y47:Y60" si="60">H47</f>
        <v>238</v>
      </c>
      <c r="Z47" s="89">
        <f t="shared" ref="Z47:Z60" si="61">I47</f>
        <v>26000</v>
      </c>
      <c r="AA47" s="89">
        <f t="shared" ref="AA47:AA60" si="62">K47</f>
        <v>0</v>
      </c>
      <c r="AB47" s="89">
        <f t="shared" ref="AB47:AB60" si="63">M47</f>
        <v>26000</v>
      </c>
      <c r="AC47" s="4">
        <f t="shared" ref="AC47:AC60" si="64">N47</f>
        <v>0</v>
      </c>
      <c r="AD47" s="90">
        <f t="shared" ref="AD47:AD60" si="65">O47</f>
        <v>1083.3333333333333</v>
      </c>
      <c r="AE47" s="78" t="str">
        <f t="shared" ref="AE47:AE60" si="66">S47</f>
        <v>계</v>
      </c>
      <c r="AF47" s="78" t="str">
        <f t="shared" ref="AF47:AF60" si="67">Q47&amp;"/"&amp;R47</f>
        <v>3/2</v>
      </c>
      <c r="AH47" s="20" t="str">
        <f t="shared" si="34"/>
        <v>위브어울림</v>
      </c>
      <c r="AI47" s="86">
        <f t="shared" si="33"/>
        <v>24</v>
      </c>
      <c r="AJ47" s="78" t="str">
        <f t="shared" ref="AJ47:AJ60" si="68"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 t="shared" ref="AN47:AN60" si="69">IF(AI47="","",$AN$2)</f>
        <v>C</v>
      </c>
      <c r="AO47" s="78" t="str">
        <f t="shared" ref="AO47:AO60" si="70">IF(N47="","",IF(N47&gt;=$AO$1/100,"O","X"))</f>
        <v>X</v>
      </c>
      <c r="AP47" s="78" t="str">
        <f t="shared" ref="AP47:AP60" si="71">IF(I47="","",IF(I47&lt;=$AP$1,"O","X"))</f>
        <v>O</v>
      </c>
      <c r="AQ47" s="78" t="str">
        <f t="shared" ref="AQ47:AQ60" si="72">IF(O47="","",IF(O47&lt;=$AQ$1,"O","X"))</f>
        <v>X</v>
      </c>
      <c r="AR47" s="78" t="str">
        <f t="shared" ref="AR47:AR60" si="73">IF(M47="","",IF(M47&lt;=$AR$1,"O","X"))</f>
        <v>X</v>
      </c>
      <c r="AS47" s="78" t="s">
        <v>2</v>
      </c>
      <c r="AT47" s="78" t="str">
        <f t="shared" ref="AT47:AT60" si="74">IF(OR(F47="",AI47=""),"",IF(AND((F47&lt;=85),(AI47&gt;=15)),"O","X"))</f>
        <v>O</v>
      </c>
      <c r="AU47" s="78" t="str">
        <f t="shared" ref="AU47:AU60" si="75">IF(C47="","",IF(C47&gt;=$AU$1,"O","X"))</f>
        <v>O</v>
      </c>
      <c r="AV47" s="78" t="str">
        <f t="shared" ref="AV47:AV60" si="76">IF(AO47="","",IF(AND(AO47="O",AP47="O",AR47="O",AT47="O",AU47="O"),"후보","X"))</f>
        <v>X</v>
      </c>
    </row>
    <row r="48" spans="1:48" x14ac:dyDescent="0.3">
      <c r="A48" s="9" t="s">
        <v>1199</v>
      </c>
      <c r="B48" s="10" t="s">
        <v>1610</v>
      </c>
      <c r="C48" s="87">
        <v>1549</v>
      </c>
      <c r="D48" s="85">
        <v>80.5</v>
      </c>
      <c r="E48" s="86">
        <v>24</v>
      </c>
      <c r="F48" s="85">
        <v>59.9</v>
      </c>
      <c r="G48" s="17">
        <v>18</v>
      </c>
      <c r="H48" s="87">
        <v>43</v>
      </c>
      <c r="I48" s="88">
        <v>26000</v>
      </c>
      <c r="J48" s="88" t="s">
        <v>68</v>
      </c>
      <c r="K48" s="88"/>
      <c r="L48" s="88"/>
      <c r="M48" s="89">
        <f t="shared" si="54"/>
        <v>26000</v>
      </c>
      <c r="N48" s="4">
        <f t="shared" si="55"/>
        <v>0</v>
      </c>
      <c r="O48" s="90">
        <f t="shared" si="56"/>
        <v>1083.3333333333333</v>
      </c>
      <c r="P48" s="90">
        <f t="shared" si="57"/>
        <v>0</v>
      </c>
      <c r="Q48" s="78">
        <v>3</v>
      </c>
      <c r="R48" s="78">
        <v>2</v>
      </c>
      <c r="S48" s="78" t="s">
        <v>59</v>
      </c>
      <c r="T48" s="5" t="s">
        <v>81</v>
      </c>
      <c r="U48" s="9"/>
      <c r="W48" s="85">
        <f t="shared" si="58"/>
        <v>80.5</v>
      </c>
      <c r="X48" s="86">
        <f t="shared" si="59"/>
        <v>24</v>
      </c>
      <c r="Y48" s="91">
        <f t="shared" si="60"/>
        <v>43</v>
      </c>
      <c r="Z48" s="89">
        <f t="shared" si="61"/>
        <v>26000</v>
      </c>
      <c r="AA48" s="89">
        <f t="shared" si="62"/>
        <v>0</v>
      </c>
      <c r="AB48" s="89">
        <f t="shared" si="63"/>
        <v>26000</v>
      </c>
      <c r="AC48" s="4">
        <f t="shared" si="64"/>
        <v>0</v>
      </c>
      <c r="AD48" s="90">
        <f t="shared" si="65"/>
        <v>1083.3333333333333</v>
      </c>
      <c r="AE48" s="78" t="str">
        <f t="shared" si="66"/>
        <v>계</v>
      </c>
      <c r="AF48" s="78" t="str">
        <f t="shared" si="67"/>
        <v>3/2</v>
      </c>
      <c r="AH48" s="20" t="str">
        <f t="shared" si="34"/>
        <v>위브어울림</v>
      </c>
      <c r="AI48" s="86">
        <f t="shared" si="33"/>
        <v>24</v>
      </c>
      <c r="AJ48" s="78" t="str">
        <f t="shared" si="68"/>
        <v>A-</v>
      </c>
      <c r="AK48" s="78" t="s">
        <v>13</v>
      </c>
      <c r="AL48" s="78" t="s">
        <v>61</v>
      </c>
      <c r="AM48" s="78" t="s">
        <v>62</v>
      </c>
      <c r="AN48" s="78" t="str">
        <f t="shared" si="69"/>
        <v>C</v>
      </c>
      <c r="AO48" s="78" t="str">
        <f t="shared" si="70"/>
        <v>X</v>
      </c>
      <c r="AP48" s="78" t="str">
        <f t="shared" si="71"/>
        <v>O</v>
      </c>
      <c r="AQ48" s="78" t="str">
        <f t="shared" si="72"/>
        <v>X</v>
      </c>
      <c r="AR48" s="78" t="str">
        <f t="shared" si="73"/>
        <v>X</v>
      </c>
      <c r="AS48" s="78" t="s">
        <v>2</v>
      </c>
      <c r="AT48" s="78" t="str">
        <f t="shared" si="74"/>
        <v>O</v>
      </c>
      <c r="AU48" s="78" t="str">
        <f t="shared" si="75"/>
        <v>O</v>
      </c>
      <c r="AV48" s="78" t="str">
        <f t="shared" si="76"/>
        <v>X</v>
      </c>
    </row>
    <row r="49" spans="1:48" x14ac:dyDescent="0.3">
      <c r="A49" s="9" t="s">
        <v>1199</v>
      </c>
      <c r="B49" s="10" t="s">
        <v>1610</v>
      </c>
      <c r="C49" s="87">
        <v>1549</v>
      </c>
      <c r="D49" s="85">
        <v>80.3</v>
      </c>
      <c r="E49" s="86">
        <v>24</v>
      </c>
      <c r="F49" s="85">
        <v>59.9</v>
      </c>
      <c r="G49" s="17">
        <v>18</v>
      </c>
      <c r="H49" s="87">
        <v>38</v>
      </c>
      <c r="I49" s="88">
        <v>24500</v>
      </c>
      <c r="J49" s="88" t="s">
        <v>68</v>
      </c>
      <c r="K49" s="88"/>
      <c r="L49" s="88"/>
      <c r="M49" s="89">
        <f t="shared" si="54"/>
        <v>24500</v>
      </c>
      <c r="N49" s="4">
        <f t="shared" si="55"/>
        <v>0</v>
      </c>
      <c r="O49" s="90">
        <f t="shared" si="56"/>
        <v>1020.8333333333334</v>
      </c>
      <c r="P49" s="90">
        <f t="shared" si="57"/>
        <v>0</v>
      </c>
      <c r="Q49" s="78">
        <v>3</v>
      </c>
      <c r="R49" s="78">
        <v>2</v>
      </c>
      <c r="S49" s="78" t="s">
        <v>59</v>
      </c>
      <c r="T49" s="5" t="s">
        <v>85</v>
      </c>
      <c r="U49" s="9"/>
      <c r="W49" s="85">
        <f t="shared" si="58"/>
        <v>80.3</v>
      </c>
      <c r="X49" s="86">
        <f t="shared" si="59"/>
        <v>24</v>
      </c>
      <c r="Y49" s="91">
        <f t="shared" si="60"/>
        <v>38</v>
      </c>
      <c r="Z49" s="89">
        <f t="shared" si="61"/>
        <v>24500</v>
      </c>
      <c r="AA49" s="89">
        <f t="shared" si="62"/>
        <v>0</v>
      </c>
      <c r="AB49" s="89">
        <f t="shared" si="63"/>
        <v>24500</v>
      </c>
      <c r="AC49" s="4">
        <f t="shared" si="64"/>
        <v>0</v>
      </c>
      <c r="AD49" s="90">
        <f t="shared" si="65"/>
        <v>1020.8333333333334</v>
      </c>
      <c r="AE49" s="78" t="str">
        <f t="shared" si="66"/>
        <v>계</v>
      </c>
      <c r="AF49" s="78" t="str">
        <f t="shared" si="67"/>
        <v>3/2</v>
      </c>
      <c r="AH49" s="20" t="str">
        <f t="shared" si="34"/>
        <v>위브어울림</v>
      </c>
      <c r="AI49" s="86">
        <f t="shared" si="33"/>
        <v>24</v>
      </c>
      <c r="AJ49" s="78" t="str">
        <f t="shared" si="68"/>
        <v>A-</v>
      </c>
      <c r="AK49" s="78" t="s">
        <v>13</v>
      </c>
      <c r="AL49" s="78" t="s">
        <v>61</v>
      </c>
      <c r="AM49" s="78" t="s">
        <v>62</v>
      </c>
      <c r="AN49" s="78" t="str">
        <f t="shared" si="69"/>
        <v>C</v>
      </c>
      <c r="AO49" s="78" t="str">
        <f t="shared" si="70"/>
        <v>X</v>
      </c>
      <c r="AP49" s="78" t="str">
        <f t="shared" si="71"/>
        <v>O</v>
      </c>
      <c r="AQ49" s="78" t="str">
        <f t="shared" si="72"/>
        <v>X</v>
      </c>
      <c r="AR49" s="78" t="str">
        <f t="shared" si="73"/>
        <v>X</v>
      </c>
      <c r="AS49" s="78" t="s">
        <v>2</v>
      </c>
      <c r="AT49" s="78" t="str">
        <f t="shared" si="74"/>
        <v>O</v>
      </c>
      <c r="AU49" s="78" t="str">
        <f t="shared" si="75"/>
        <v>O</v>
      </c>
      <c r="AV49" s="78" t="str">
        <f t="shared" si="76"/>
        <v>X</v>
      </c>
    </row>
    <row r="50" spans="1:48" x14ac:dyDescent="0.3">
      <c r="A50" s="9" t="s">
        <v>1199</v>
      </c>
      <c r="B50" s="10" t="s">
        <v>1610</v>
      </c>
      <c r="C50" s="87">
        <v>1549</v>
      </c>
      <c r="D50" s="85">
        <v>109.8</v>
      </c>
      <c r="E50" s="86">
        <v>33</v>
      </c>
      <c r="F50" s="85">
        <v>84.9</v>
      </c>
      <c r="G50" s="17">
        <v>26</v>
      </c>
      <c r="H50" s="87">
        <v>524</v>
      </c>
      <c r="I50" s="88"/>
      <c r="J50" s="88"/>
      <c r="K50" s="88">
        <v>29000</v>
      </c>
      <c r="L50" s="88" t="s">
        <v>68</v>
      </c>
      <c r="M50" s="89">
        <f t="shared" si="54"/>
        <v>-29000</v>
      </c>
      <c r="N50" s="4" t="str">
        <f t="shared" si="55"/>
        <v/>
      </c>
      <c r="O50" s="90">
        <f t="shared" si="56"/>
        <v>0</v>
      </c>
      <c r="P50" s="90">
        <f t="shared" si="57"/>
        <v>878.78787878787875</v>
      </c>
      <c r="Q50" s="78">
        <v>3</v>
      </c>
      <c r="R50" s="78">
        <v>2</v>
      </c>
      <c r="S50" s="78" t="s">
        <v>59</v>
      </c>
      <c r="T50" s="5" t="s">
        <v>86</v>
      </c>
      <c r="U50" s="9"/>
      <c r="W50" s="85">
        <f t="shared" si="58"/>
        <v>109.8</v>
      </c>
      <c r="X50" s="86">
        <f t="shared" si="59"/>
        <v>33</v>
      </c>
      <c r="Y50" s="91">
        <f t="shared" si="60"/>
        <v>524</v>
      </c>
      <c r="Z50" s="89">
        <f t="shared" si="61"/>
        <v>0</v>
      </c>
      <c r="AA50" s="89">
        <f t="shared" si="62"/>
        <v>29000</v>
      </c>
      <c r="AB50" s="89">
        <f t="shared" si="63"/>
        <v>-29000</v>
      </c>
      <c r="AC50" s="4" t="str">
        <f t="shared" si="64"/>
        <v/>
      </c>
      <c r="AD50" s="90">
        <f t="shared" si="65"/>
        <v>0</v>
      </c>
      <c r="AE50" s="78" t="str">
        <f t="shared" si="66"/>
        <v>계</v>
      </c>
      <c r="AF50" s="78" t="str">
        <f t="shared" si="67"/>
        <v>3/2</v>
      </c>
      <c r="AH50" s="20" t="str">
        <f t="shared" si="34"/>
        <v>위브어울림</v>
      </c>
      <c r="AI50" s="86">
        <f t="shared" si="33"/>
        <v>33</v>
      </c>
      <c r="AJ50" s="78" t="str">
        <f t="shared" si="68"/>
        <v>A-</v>
      </c>
      <c r="AK50" s="78" t="s">
        <v>13</v>
      </c>
      <c r="AL50" s="78" t="s">
        <v>61</v>
      </c>
      <c r="AM50" s="78" t="s">
        <v>62</v>
      </c>
      <c r="AN50" s="78" t="str">
        <f t="shared" si="69"/>
        <v>C</v>
      </c>
      <c r="AO50" s="78" t="str">
        <f t="shared" si="70"/>
        <v/>
      </c>
      <c r="AP50" s="78" t="str">
        <f t="shared" si="71"/>
        <v/>
      </c>
      <c r="AQ50" s="78" t="str">
        <f t="shared" si="72"/>
        <v>O</v>
      </c>
      <c r="AR50" s="78" t="str">
        <f t="shared" si="73"/>
        <v>O</v>
      </c>
      <c r="AS50" s="78" t="s">
        <v>2</v>
      </c>
      <c r="AT50" s="78" t="str">
        <f t="shared" si="74"/>
        <v>O</v>
      </c>
      <c r="AU50" s="78" t="str">
        <f t="shared" si="75"/>
        <v>O</v>
      </c>
      <c r="AV50" s="78" t="str">
        <f t="shared" si="76"/>
        <v/>
      </c>
    </row>
    <row r="51" spans="1:48" x14ac:dyDescent="0.3">
      <c r="A51" s="9" t="s">
        <v>1199</v>
      </c>
      <c r="B51" s="10" t="s">
        <v>1610</v>
      </c>
      <c r="C51" s="87">
        <v>1549</v>
      </c>
      <c r="D51" s="85">
        <v>109.8</v>
      </c>
      <c r="E51" s="86">
        <v>33</v>
      </c>
      <c r="F51" s="85">
        <v>84.9</v>
      </c>
      <c r="G51" s="17">
        <v>26</v>
      </c>
      <c r="H51" s="87">
        <v>80</v>
      </c>
      <c r="I51" s="88"/>
      <c r="J51" s="88"/>
      <c r="K51" s="88">
        <v>29000</v>
      </c>
      <c r="L51" s="88" t="s">
        <v>68</v>
      </c>
      <c r="M51" s="89">
        <f t="shared" si="54"/>
        <v>-29000</v>
      </c>
      <c r="N51" s="4" t="str">
        <f t="shared" si="55"/>
        <v/>
      </c>
      <c r="O51" s="90">
        <f t="shared" si="56"/>
        <v>0</v>
      </c>
      <c r="P51" s="90">
        <f t="shared" si="57"/>
        <v>878.78787878787875</v>
      </c>
      <c r="Q51" s="78">
        <v>3</v>
      </c>
      <c r="R51" s="78">
        <v>2</v>
      </c>
      <c r="S51" s="78" t="s">
        <v>59</v>
      </c>
      <c r="T51" s="5" t="s">
        <v>71</v>
      </c>
      <c r="U51" s="9"/>
      <c r="W51" s="85">
        <f t="shared" si="58"/>
        <v>109.8</v>
      </c>
      <c r="X51" s="86">
        <f t="shared" si="59"/>
        <v>33</v>
      </c>
      <c r="Y51" s="91">
        <f t="shared" si="60"/>
        <v>80</v>
      </c>
      <c r="Z51" s="89">
        <f t="shared" si="61"/>
        <v>0</v>
      </c>
      <c r="AA51" s="89">
        <f t="shared" si="62"/>
        <v>29000</v>
      </c>
      <c r="AB51" s="89">
        <f t="shared" si="63"/>
        <v>-29000</v>
      </c>
      <c r="AC51" s="4" t="str">
        <f t="shared" si="64"/>
        <v/>
      </c>
      <c r="AD51" s="90">
        <f t="shared" si="65"/>
        <v>0</v>
      </c>
      <c r="AE51" s="78" t="str">
        <f t="shared" si="66"/>
        <v>계</v>
      </c>
      <c r="AF51" s="78" t="str">
        <f t="shared" si="67"/>
        <v>3/2</v>
      </c>
      <c r="AH51" s="20" t="str">
        <f t="shared" si="34"/>
        <v>위브어울림</v>
      </c>
      <c r="AI51" s="86">
        <f t="shared" si="33"/>
        <v>33</v>
      </c>
      <c r="AJ51" s="78" t="str">
        <f t="shared" si="68"/>
        <v>A-</v>
      </c>
      <c r="AK51" s="78" t="s">
        <v>13</v>
      </c>
      <c r="AL51" s="78" t="s">
        <v>61</v>
      </c>
      <c r="AM51" s="78" t="s">
        <v>62</v>
      </c>
      <c r="AN51" s="78" t="str">
        <f t="shared" si="69"/>
        <v>C</v>
      </c>
      <c r="AO51" s="78" t="str">
        <f t="shared" si="70"/>
        <v/>
      </c>
      <c r="AP51" s="78" t="str">
        <f t="shared" si="71"/>
        <v/>
      </c>
      <c r="AQ51" s="78" t="str">
        <f t="shared" si="72"/>
        <v>O</v>
      </c>
      <c r="AR51" s="78" t="str">
        <f t="shared" si="73"/>
        <v>O</v>
      </c>
      <c r="AS51" s="78" t="s">
        <v>2</v>
      </c>
      <c r="AT51" s="78" t="str">
        <f t="shared" si="74"/>
        <v>O</v>
      </c>
      <c r="AU51" s="78" t="str">
        <f t="shared" si="75"/>
        <v>O</v>
      </c>
      <c r="AV51" s="78" t="str">
        <f t="shared" si="76"/>
        <v/>
      </c>
    </row>
    <row r="52" spans="1:48" x14ac:dyDescent="0.3">
      <c r="A52" s="9" t="s">
        <v>1199</v>
      </c>
      <c r="B52" s="10" t="s">
        <v>1610</v>
      </c>
      <c r="C52" s="87">
        <v>1549</v>
      </c>
      <c r="D52" s="85">
        <v>110.2</v>
      </c>
      <c r="E52" s="86">
        <v>33</v>
      </c>
      <c r="F52" s="85">
        <v>85</v>
      </c>
      <c r="G52" s="17">
        <v>26</v>
      </c>
      <c r="H52" s="87">
        <v>83</v>
      </c>
      <c r="I52" s="88"/>
      <c r="J52" s="88"/>
      <c r="K52" s="88">
        <v>29500</v>
      </c>
      <c r="L52" s="88" t="s">
        <v>68</v>
      </c>
      <c r="M52" s="89">
        <f t="shared" si="54"/>
        <v>-29500</v>
      </c>
      <c r="N52" s="4" t="str">
        <f t="shared" si="55"/>
        <v/>
      </c>
      <c r="O52" s="90">
        <f t="shared" si="56"/>
        <v>0</v>
      </c>
      <c r="P52" s="90">
        <f t="shared" si="57"/>
        <v>893.93939393939399</v>
      </c>
      <c r="Q52" s="78">
        <v>3</v>
      </c>
      <c r="R52" s="78">
        <v>2</v>
      </c>
      <c r="S52" s="78" t="s">
        <v>59</v>
      </c>
      <c r="T52" s="5" t="s">
        <v>91</v>
      </c>
      <c r="U52" s="9"/>
      <c r="W52" s="85">
        <f t="shared" si="58"/>
        <v>110.2</v>
      </c>
      <c r="X52" s="86">
        <f t="shared" si="59"/>
        <v>33</v>
      </c>
      <c r="Y52" s="91">
        <f t="shared" si="60"/>
        <v>83</v>
      </c>
      <c r="Z52" s="89">
        <f t="shared" si="61"/>
        <v>0</v>
      </c>
      <c r="AA52" s="89">
        <f t="shared" si="62"/>
        <v>29500</v>
      </c>
      <c r="AB52" s="89">
        <f t="shared" si="63"/>
        <v>-29500</v>
      </c>
      <c r="AC52" s="4" t="str">
        <f t="shared" si="64"/>
        <v/>
      </c>
      <c r="AD52" s="90">
        <f t="shared" si="65"/>
        <v>0</v>
      </c>
      <c r="AE52" s="78" t="str">
        <f t="shared" si="66"/>
        <v>계</v>
      </c>
      <c r="AF52" s="78" t="str">
        <f t="shared" si="67"/>
        <v>3/2</v>
      </c>
      <c r="AH52" s="20" t="str">
        <f t="shared" si="34"/>
        <v>위브어울림</v>
      </c>
      <c r="AI52" s="86">
        <f t="shared" si="33"/>
        <v>33</v>
      </c>
      <c r="AJ52" s="78" t="str">
        <f t="shared" si="68"/>
        <v>A-</v>
      </c>
      <c r="AK52" s="78" t="s">
        <v>13</v>
      </c>
      <c r="AL52" s="78" t="s">
        <v>61</v>
      </c>
      <c r="AM52" s="78" t="s">
        <v>62</v>
      </c>
      <c r="AN52" s="78" t="str">
        <f t="shared" si="69"/>
        <v>C</v>
      </c>
      <c r="AO52" s="78" t="str">
        <f t="shared" si="70"/>
        <v/>
      </c>
      <c r="AP52" s="78" t="str">
        <f t="shared" si="71"/>
        <v/>
      </c>
      <c r="AQ52" s="78" t="str">
        <f t="shared" si="72"/>
        <v>O</v>
      </c>
      <c r="AR52" s="78" t="str">
        <f t="shared" si="73"/>
        <v>O</v>
      </c>
      <c r="AS52" s="78" t="s">
        <v>2</v>
      </c>
      <c r="AT52" s="78" t="str">
        <f t="shared" si="74"/>
        <v>O</v>
      </c>
      <c r="AU52" s="78" t="str">
        <f t="shared" si="75"/>
        <v>O</v>
      </c>
      <c r="AV52" s="78" t="str">
        <f t="shared" si="76"/>
        <v/>
      </c>
    </row>
    <row r="53" spans="1:48" x14ac:dyDescent="0.3">
      <c r="A53" s="9" t="s">
        <v>1199</v>
      </c>
      <c r="B53" s="10" t="s">
        <v>1610</v>
      </c>
      <c r="C53" s="87">
        <v>1549</v>
      </c>
      <c r="D53" s="85">
        <v>110.2</v>
      </c>
      <c r="E53" s="86">
        <v>33</v>
      </c>
      <c r="F53" s="85">
        <v>85</v>
      </c>
      <c r="G53" s="17">
        <v>26</v>
      </c>
      <c r="H53" s="87">
        <v>19</v>
      </c>
      <c r="I53" s="88"/>
      <c r="J53" s="88"/>
      <c r="K53" s="88">
        <v>29500</v>
      </c>
      <c r="L53" s="88" t="s">
        <v>68</v>
      </c>
      <c r="M53" s="89">
        <f t="shared" si="54"/>
        <v>-29500</v>
      </c>
      <c r="N53" s="4" t="str">
        <f t="shared" si="55"/>
        <v/>
      </c>
      <c r="O53" s="90">
        <f t="shared" si="56"/>
        <v>0</v>
      </c>
      <c r="P53" s="90">
        <f t="shared" si="57"/>
        <v>893.93939393939399</v>
      </c>
      <c r="Q53" s="78">
        <v>3</v>
      </c>
      <c r="R53" s="78">
        <v>2</v>
      </c>
      <c r="S53" s="78" t="s">
        <v>59</v>
      </c>
      <c r="T53" s="5" t="s">
        <v>201</v>
      </c>
      <c r="U53" s="9"/>
      <c r="W53" s="85">
        <f t="shared" si="58"/>
        <v>110.2</v>
      </c>
      <c r="X53" s="86">
        <f t="shared" si="59"/>
        <v>33</v>
      </c>
      <c r="Y53" s="91">
        <f t="shared" si="60"/>
        <v>19</v>
      </c>
      <c r="Z53" s="89">
        <f t="shared" si="61"/>
        <v>0</v>
      </c>
      <c r="AA53" s="89">
        <f t="shared" si="62"/>
        <v>29500</v>
      </c>
      <c r="AB53" s="89">
        <f t="shared" si="63"/>
        <v>-29500</v>
      </c>
      <c r="AC53" s="4" t="str">
        <f t="shared" si="64"/>
        <v/>
      </c>
      <c r="AD53" s="90">
        <f t="shared" si="65"/>
        <v>0</v>
      </c>
      <c r="AE53" s="78" t="str">
        <f t="shared" si="66"/>
        <v>계</v>
      </c>
      <c r="AF53" s="78" t="str">
        <f t="shared" si="67"/>
        <v>3/2</v>
      </c>
      <c r="AH53" s="20" t="str">
        <f t="shared" si="34"/>
        <v>위브어울림</v>
      </c>
      <c r="AI53" s="86">
        <f t="shared" si="33"/>
        <v>33</v>
      </c>
      <c r="AJ53" s="78" t="str">
        <f t="shared" si="68"/>
        <v>A-</v>
      </c>
      <c r="AK53" s="78" t="s">
        <v>13</v>
      </c>
      <c r="AL53" s="78" t="s">
        <v>61</v>
      </c>
      <c r="AM53" s="78" t="s">
        <v>62</v>
      </c>
      <c r="AN53" s="78" t="str">
        <f t="shared" si="69"/>
        <v>C</v>
      </c>
      <c r="AO53" s="78" t="str">
        <f t="shared" si="70"/>
        <v/>
      </c>
      <c r="AP53" s="78" t="str">
        <f t="shared" si="71"/>
        <v/>
      </c>
      <c r="AQ53" s="78" t="str">
        <f t="shared" si="72"/>
        <v>O</v>
      </c>
      <c r="AR53" s="78" t="str">
        <f t="shared" si="73"/>
        <v>O</v>
      </c>
      <c r="AS53" s="78" t="s">
        <v>2</v>
      </c>
      <c r="AT53" s="78" t="str">
        <f t="shared" si="74"/>
        <v>O</v>
      </c>
      <c r="AU53" s="78" t="str">
        <f t="shared" si="75"/>
        <v>O</v>
      </c>
      <c r="AV53" s="78" t="str">
        <f t="shared" si="76"/>
        <v/>
      </c>
    </row>
    <row r="54" spans="1:48" x14ac:dyDescent="0.3">
      <c r="A54" s="9" t="s">
        <v>1199</v>
      </c>
      <c r="B54" s="10" t="s">
        <v>1610</v>
      </c>
      <c r="C54" s="87">
        <v>1549</v>
      </c>
      <c r="D54" s="85">
        <v>149.5</v>
      </c>
      <c r="E54" s="86">
        <v>45</v>
      </c>
      <c r="F54" s="85">
        <v>122.1</v>
      </c>
      <c r="G54" s="17">
        <v>37</v>
      </c>
      <c r="H54" s="87">
        <v>130</v>
      </c>
      <c r="I54" s="88">
        <v>38000</v>
      </c>
      <c r="J54" s="88" t="s">
        <v>68</v>
      </c>
      <c r="K54" s="88">
        <v>35000</v>
      </c>
      <c r="L54" s="88" t="s">
        <v>68</v>
      </c>
      <c r="M54" s="89">
        <f t="shared" si="54"/>
        <v>3000</v>
      </c>
      <c r="N54" s="4">
        <f t="shared" si="55"/>
        <v>0.92105263157894735</v>
      </c>
      <c r="O54" s="90">
        <f t="shared" si="56"/>
        <v>844.44444444444446</v>
      </c>
      <c r="P54" s="90">
        <f t="shared" si="57"/>
        <v>777.77777777777783</v>
      </c>
      <c r="Q54" s="78">
        <v>4</v>
      </c>
      <c r="R54" s="78">
        <v>2</v>
      </c>
      <c r="S54" s="78" t="s">
        <v>59</v>
      </c>
      <c r="T54" s="5" t="s">
        <v>202</v>
      </c>
      <c r="U54" s="9"/>
      <c r="W54" s="85">
        <f t="shared" si="58"/>
        <v>149.5</v>
      </c>
      <c r="X54" s="86">
        <f t="shared" si="59"/>
        <v>45</v>
      </c>
      <c r="Y54" s="91">
        <f t="shared" si="60"/>
        <v>130</v>
      </c>
      <c r="Z54" s="89">
        <f t="shared" si="61"/>
        <v>38000</v>
      </c>
      <c r="AA54" s="89">
        <f t="shared" si="62"/>
        <v>35000</v>
      </c>
      <c r="AB54" s="89">
        <f t="shared" si="63"/>
        <v>3000</v>
      </c>
      <c r="AC54" s="4">
        <f t="shared" si="64"/>
        <v>0.92105263157894735</v>
      </c>
      <c r="AD54" s="90">
        <f t="shared" si="65"/>
        <v>844.44444444444446</v>
      </c>
      <c r="AE54" s="78" t="str">
        <f t="shared" si="66"/>
        <v>계</v>
      </c>
      <c r="AF54" s="78" t="str">
        <f t="shared" si="67"/>
        <v>4/2</v>
      </c>
      <c r="AH54" s="20" t="str">
        <f t="shared" si="34"/>
        <v>위브어울림</v>
      </c>
      <c r="AI54" s="86">
        <f t="shared" si="33"/>
        <v>45</v>
      </c>
      <c r="AJ54" s="78" t="str">
        <f t="shared" si="68"/>
        <v>A-</v>
      </c>
      <c r="AK54" s="78" t="s">
        <v>13</v>
      </c>
      <c r="AL54" s="78" t="s">
        <v>61</v>
      </c>
      <c r="AM54" s="78" t="s">
        <v>62</v>
      </c>
      <c r="AN54" s="78" t="str">
        <f t="shared" si="69"/>
        <v>C</v>
      </c>
      <c r="AO54" s="78" t="str">
        <f t="shared" si="70"/>
        <v>O</v>
      </c>
      <c r="AP54" s="78" t="str">
        <f t="shared" si="71"/>
        <v>O</v>
      </c>
      <c r="AQ54" s="78" t="str">
        <f t="shared" si="72"/>
        <v>O</v>
      </c>
      <c r="AR54" s="78" t="str">
        <f t="shared" si="73"/>
        <v>O</v>
      </c>
      <c r="AS54" s="78" t="s">
        <v>2</v>
      </c>
      <c r="AT54" s="78" t="str">
        <f t="shared" si="74"/>
        <v>X</v>
      </c>
      <c r="AU54" s="78" t="str">
        <f t="shared" si="75"/>
        <v>O</v>
      </c>
      <c r="AV54" s="78" t="str">
        <f t="shared" si="76"/>
        <v>X</v>
      </c>
    </row>
    <row r="55" spans="1:48" x14ac:dyDescent="0.3">
      <c r="A55" s="9" t="s">
        <v>1199</v>
      </c>
      <c r="B55" s="10" t="s">
        <v>1610</v>
      </c>
      <c r="C55" s="87">
        <v>1549</v>
      </c>
      <c r="D55" s="85">
        <v>149.19999999999999</v>
      </c>
      <c r="E55" s="86">
        <v>45</v>
      </c>
      <c r="F55" s="85">
        <v>122.1</v>
      </c>
      <c r="G55" s="17">
        <v>37</v>
      </c>
      <c r="H55" s="87">
        <v>119</v>
      </c>
      <c r="I55" s="88">
        <v>40000</v>
      </c>
      <c r="J55" s="88" t="s">
        <v>104</v>
      </c>
      <c r="K55" s="88">
        <v>35000</v>
      </c>
      <c r="L55" s="88" t="s">
        <v>93</v>
      </c>
      <c r="M55" s="89">
        <f t="shared" si="54"/>
        <v>5000</v>
      </c>
      <c r="N55" s="4">
        <f t="shared" si="55"/>
        <v>0.875</v>
      </c>
      <c r="O55" s="90">
        <f t="shared" si="56"/>
        <v>888.88888888888891</v>
      </c>
      <c r="P55" s="90">
        <f t="shared" si="57"/>
        <v>777.77777777777783</v>
      </c>
      <c r="Q55" s="78">
        <v>4</v>
      </c>
      <c r="R55" s="78">
        <v>2</v>
      </c>
      <c r="S55" s="78" t="s">
        <v>59</v>
      </c>
      <c r="T55" s="5" t="s">
        <v>203</v>
      </c>
      <c r="U55" s="9"/>
      <c r="W55" s="85">
        <f t="shared" si="58"/>
        <v>149.19999999999999</v>
      </c>
      <c r="X55" s="86">
        <f t="shared" si="59"/>
        <v>45</v>
      </c>
      <c r="Y55" s="91">
        <f t="shared" si="60"/>
        <v>119</v>
      </c>
      <c r="Z55" s="89">
        <f t="shared" si="61"/>
        <v>40000</v>
      </c>
      <c r="AA55" s="89">
        <f t="shared" si="62"/>
        <v>35000</v>
      </c>
      <c r="AB55" s="89">
        <f t="shared" si="63"/>
        <v>5000</v>
      </c>
      <c r="AC55" s="4">
        <f t="shared" si="64"/>
        <v>0.875</v>
      </c>
      <c r="AD55" s="90">
        <f t="shared" si="65"/>
        <v>888.88888888888891</v>
      </c>
      <c r="AE55" s="78" t="str">
        <f t="shared" si="66"/>
        <v>계</v>
      </c>
      <c r="AF55" s="78" t="str">
        <f t="shared" si="67"/>
        <v>4/2</v>
      </c>
      <c r="AH55" s="20" t="str">
        <f t="shared" si="34"/>
        <v>위브어울림</v>
      </c>
      <c r="AI55" s="86">
        <f t="shared" si="33"/>
        <v>45</v>
      </c>
      <c r="AJ55" s="78" t="str">
        <f t="shared" si="68"/>
        <v>A-</v>
      </c>
      <c r="AK55" s="78" t="s">
        <v>13</v>
      </c>
      <c r="AL55" s="78" t="s">
        <v>61</v>
      </c>
      <c r="AM55" s="78" t="s">
        <v>62</v>
      </c>
      <c r="AN55" s="78" t="str">
        <f t="shared" si="69"/>
        <v>C</v>
      </c>
      <c r="AO55" s="78" t="str">
        <f t="shared" si="70"/>
        <v>O</v>
      </c>
      <c r="AP55" s="78" t="str">
        <f t="shared" si="71"/>
        <v>O</v>
      </c>
      <c r="AQ55" s="78" t="str">
        <f t="shared" si="72"/>
        <v>O</v>
      </c>
      <c r="AR55" s="78" t="str">
        <f t="shared" si="73"/>
        <v>O</v>
      </c>
      <c r="AS55" s="78" t="s">
        <v>2</v>
      </c>
      <c r="AT55" s="78" t="str">
        <f t="shared" si="74"/>
        <v>X</v>
      </c>
      <c r="AU55" s="78" t="str">
        <f t="shared" si="75"/>
        <v>O</v>
      </c>
      <c r="AV55" s="78" t="str">
        <f t="shared" si="76"/>
        <v>X</v>
      </c>
    </row>
    <row r="56" spans="1:48" x14ac:dyDescent="0.3">
      <c r="A56" s="9" t="s">
        <v>1199</v>
      </c>
      <c r="B56" s="10" t="s">
        <v>1610</v>
      </c>
      <c r="C56" s="87">
        <v>1549</v>
      </c>
      <c r="D56" s="85">
        <v>149</v>
      </c>
      <c r="E56" s="86">
        <v>45</v>
      </c>
      <c r="F56" s="85">
        <v>122.3</v>
      </c>
      <c r="G56" s="17">
        <v>37</v>
      </c>
      <c r="H56" s="87">
        <v>92</v>
      </c>
      <c r="I56" s="88">
        <v>39000</v>
      </c>
      <c r="J56" s="88" t="s">
        <v>69</v>
      </c>
      <c r="K56" s="88">
        <v>37000</v>
      </c>
      <c r="L56" s="88" t="s">
        <v>89</v>
      </c>
      <c r="M56" s="89">
        <f t="shared" si="54"/>
        <v>2000</v>
      </c>
      <c r="N56" s="4">
        <f t="shared" si="55"/>
        <v>0.94871794871794868</v>
      </c>
      <c r="O56" s="90">
        <f t="shared" si="56"/>
        <v>866.66666666666663</v>
      </c>
      <c r="P56" s="90">
        <f t="shared" si="57"/>
        <v>822.22222222222217</v>
      </c>
      <c r="Q56" s="78">
        <v>4</v>
      </c>
      <c r="R56" s="78">
        <v>2</v>
      </c>
      <c r="S56" s="78" t="s">
        <v>59</v>
      </c>
      <c r="T56" s="5" t="s">
        <v>204</v>
      </c>
      <c r="U56" s="9"/>
      <c r="W56" s="85">
        <f t="shared" si="58"/>
        <v>149</v>
      </c>
      <c r="X56" s="86">
        <f t="shared" si="59"/>
        <v>45</v>
      </c>
      <c r="Y56" s="91">
        <f t="shared" si="60"/>
        <v>92</v>
      </c>
      <c r="Z56" s="89">
        <f t="shared" si="61"/>
        <v>39000</v>
      </c>
      <c r="AA56" s="89">
        <f t="shared" si="62"/>
        <v>37000</v>
      </c>
      <c r="AB56" s="89">
        <f t="shared" si="63"/>
        <v>2000</v>
      </c>
      <c r="AC56" s="4">
        <f t="shared" si="64"/>
        <v>0.94871794871794868</v>
      </c>
      <c r="AD56" s="90">
        <f t="shared" si="65"/>
        <v>866.66666666666663</v>
      </c>
      <c r="AE56" s="78" t="str">
        <f t="shared" si="66"/>
        <v>계</v>
      </c>
      <c r="AF56" s="78" t="str">
        <f t="shared" si="67"/>
        <v>4/2</v>
      </c>
      <c r="AH56" s="20" t="str">
        <f t="shared" si="34"/>
        <v>위브어울림</v>
      </c>
      <c r="AI56" s="86">
        <f t="shared" si="33"/>
        <v>45</v>
      </c>
      <c r="AJ56" s="78" t="str">
        <f t="shared" si="68"/>
        <v>A-</v>
      </c>
      <c r="AK56" s="78" t="s">
        <v>13</v>
      </c>
      <c r="AL56" s="78" t="s">
        <v>61</v>
      </c>
      <c r="AM56" s="78" t="s">
        <v>62</v>
      </c>
      <c r="AN56" s="78" t="str">
        <f t="shared" si="69"/>
        <v>C</v>
      </c>
      <c r="AO56" s="78" t="str">
        <f t="shared" si="70"/>
        <v>O</v>
      </c>
      <c r="AP56" s="78" t="str">
        <f t="shared" si="71"/>
        <v>O</v>
      </c>
      <c r="AQ56" s="78" t="str">
        <f t="shared" si="72"/>
        <v>O</v>
      </c>
      <c r="AR56" s="78" t="str">
        <f t="shared" si="73"/>
        <v>O</v>
      </c>
      <c r="AS56" s="78" t="s">
        <v>2</v>
      </c>
      <c r="AT56" s="78" t="str">
        <f t="shared" si="74"/>
        <v>X</v>
      </c>
      <c r="AU56" s="78" t="str">
        <f t="shared" si="75"/>
        <v>O</v>
      </c>
      <c r="AV56" s="78" t="str">
        <f t="shared" si="76"/>
        <v>X</v>
      </c>
    </row>
    <row r="57" spans="1:48" x14ac:dyDescent="0.3">
      <c r="A57" s="9" t="s">
        <v>1199</v>
      </c>
      <c r="B57" s="10" t="s">
        <v>1610</v>
      </c>
      <c r="C57" s="87">
        <v>1549</v>
      </c>
      <c r="D57" s="85">
        <v>150.5</v>
      </c>
      <c r="E57" s="86">
        <v>46</v>
      </c>
      <c r="F57" s="85">
        <v>121.8</v>
      </c>
      <c r="G57" s="17">
        <v>37</v>
      </c>
      <c r="H57" s="87">
        <v>21</v>
      </c>
      <c r="I57" s="88">
        <v>46000</v>
      </c>
      <c r="J57" s="88" t="s">
        <v>69</v>
      </c>
      <c r="K57" s="88"/>
      <c r="L57" s="88"/>
      <c r="M57" s="89">
        <f t="shared" si="54"/>
        <v>46000</v>
      </c>
      <c r="N57" s="4">
        <f t="shared" si="55"/>
        <v>0</v>
      </c>
      <c r="O57" s="90">
        <f t="shared" si="56"/>
        <v>1000</v>
      </c>
      <c r="P57" s="90">
        <f t="shared" si="57"/>
        <v>0</v>
      </c>
      <c r="Q57" s="78">
        <v>4</v>
      </c>
      <c r="R57" s="78">
        <v>2</v>
      </c>
      <c r="S57" s="78" t="s">
        <v>59</v>
      </c>
      <c r="T57" s="5">
        <v>150</v>
      </c>
      <c r="U57" s="9"/>
      <c r="W57" s="85">
        <f t="shared" si="58"/>
        <v>150.5</v>
      </c>
      <c r="X57" s="86">
        <f t="shared" si="59"/>
        <v>46</v>
      </c>
      <c r="Y57" s="91">
        <f t="shared" si="60"/>
        <v>21</v>
      </c>
      <c r="Z57" s="89">
        <f t="shared" si="61"/>
        <v>46000</v>
      </c>
      <c r="AA57" s="89">
        <f t="shared" si="62"/>
        <v>0</v>
      </c>
      <c r="AB57" s="89">
        <f t="shared" si="63"/>
        <v>46000</v>
      </c>
      <c r="AC57" s="4">
        <f t="shared" si="64"/>
        <v>0</v>
      </c>
      <c r="AD57" s="90">
        <f t="shared" si="65"/>
        <v>1000</v>
      </c>
      <c r="AE57" s="78" t="str">
        <f t="shared" si="66"/>
        <v>계</v>
      </c>
      <c r="AF57" s="78" t="str">
        <f t="shared" si="67"/>
        <v>4/2</v>
      </c>
      <c r="AH57" s="20" t="str">
        <f t="shared" si="34"/>
        <v>위브어울림</v>
      </c>
      <c r="AI57" s="86">
        <f t="shared" si="33"/>
        <v>46</v>
      </c>
      <c r="AJ57" s="78" t="str">
        <f t="shared" si="68"/>
        <v>A-</v>
      </c>
      <c r="AK57" s="78" t="s">
        <v>13</v>
      </c>
      <c r="AL57" s="78" t="s">
        <v>61</v>
      </c>
      <c r="AM57" s="78" t="s">
        <v>62</v>
      </c>
      <c r="AN57" s="78" t="str">
        <f t="shared" si="69"/>
        <v>C</v>
      </c>
      <c r="AO57" s="78" t="str">
        <f t="shared" si="70"/>
        <v>X</v>
      </c>
      <c r="AP57" s="78" t="str">
        <f t="shared" si="71"/>
        <v>X</v>
      </c>
      <c r="AQ57" s="78" t="str">
        <f t="shared" si="72"/>
        <v>O</v>
      </c>
      <c r="AR57" s="78" t="str">
        <f t="shared" si="73"/>
        <v>X</v>
      </c>
      <c r="AS57" s="78" t="s">
        <v>2</v>
      </c>
      <c r="AT57" s="78" t="str">
        <f t="shared" si="74"/>
        <v>X</v>
      </c>
      <c r="AU57" s="78" t="str">
        <f t="shared" si="75"/>
        <v>O</v>
      </c>
      <c r="AV57" s="78" t="str">
        <f t="shared" si="76"/>
        <v>X</v>
      </c>
    </row>
    <row r="58" spans="1:48" x14ac:dyDescent="0.3">
      <c r="A58" s="9" t="s">
        <v>1199</v>
      </c>
      <c r="B58" s="10" t="s">
        <v>1610</v>
      </c>
      <c r="C58" s="87">
        <v>1549</v>
      </c>
      <c r="D58" s="85">
        <v>172.7</v>
      </c>
      <c r="E58" s="86">
        <v>52</v>
      </c>
      <c r="F58" s="85">
        <v>143.4</v>
      </c>
      <c r="G58" s="17">
        <v>43</v>
      </c>
      <c r="H58" s="87">
        <v>80</v>
      </c>
      <c r="I58" s="88"/>
      <c r="J58" s="88"/>
      <c r="K58" s="88"/>
      <c r="L58" s="88"/>
      <c r="M58" s="89">
        <f t="shared" si="54"/>
        <v>0</v>
      </c>
      <c r="N58" s="4" t="str">
        <f t="shared" si="55"/>
        <v/>
      </c>
      <c r="O58" s="90">
        <f t="shared" si="56"/>
        <v>0</v>
      </c>
      <c r="P58" s="90">
        <f t="shared" si="57"/>
        <v>0</v>
      </c>
      <c r="Q58" s="78">
        <v>4</v>
      </c>
      <c r="R58" s="78">
        <v>2</v>
      </c>
      <c r="S58" s="78" t="s">
        <v>59</v>
      </c>
      <c r="T58" s="5" t="s">
        <v>205</v>
      </c>
      <c r="U58" s="9"/>
      <c r="W58" s="85">
        <f t="shared" si="58"/>
        <v>172.7</v>
      </c>
      <c r="X58" s="86">
        <f t="shared" si="59"/>
        <v>52</v>
      </c>
      <c r="Y58" s="91">
        <f t="shared" si="60"/>
        <v>80</v>
      </c>
      <c r="Z58" s="89">
        <f t="shared" si="61"/>
        <v>0</v>
      </c>
      <c r="AA58" s="89">
        <f t="shared" si="62"/>
        <v>0</v>
      </c>
      <c r="AB58" s="89">
        <f t="shared" si="63"/>
        <v>0</v>
      </c>
      <c r="AC58" s="4" t="str">
        <f t="shared" si="64"/>
        <v/>
      </c>
      <c r="AD58" s="90">
        <f t="shared" si="65"/>
        <v>0</v>
      </c>
      <c r="AE58" s="78" t="str">
        <f t="shared" si="66"/>
        <v>계</v>
      </c>
      <c r="AF58" s="78" t="str">
        <f t="shared" si="67"/>
        <v>4/2</v>
      </c>
      <c r="AH58" s="20" t="str">
        <f t="shared" si="34"/>
        <v>위브어울림</v>
      </c>
      <c r="AI58" s="86">
        <f t="shared" si="33"/>
        <v>52</v>
      </c>
      <c r="AJ58" s="78" t="str">
        <f t="shared" si="68"/>
        <v>A-</v>
      </c>
      <c r="AK58" s="78" t="s">
        <v>13</v>
      </c>
      <c r="AL58" s="78" t="s">
        <v>61</v>
      </c>
      <c r="AM58" s="78" t="s">
        <v>62</v>
      </c>
      <c r="AN58" s="78" t="str">
        <f t="shared" si="69"/>
        <v>C</v>
      </c>
      <c r="AO58" s="78" t="str">
        <f t="shared" si="70"/>
        <v/>
      </c>
      <c r="AP58" s="78" t="str">
        <f t="shared" si="71"/>
        <v/>
      </c>
      <c r="AQ58" s="78" t="str">
        <f t="shared" si="72"/>
        <v>O</v>
      </c>
      <c r="AR58" s="78" t="str">
        <f t="shared" si="73"/>
        <v>O</v>
      </c>
      <c r="AS58" s="78" t="s">
        <v>2</v>
      </c>
      <c r="AT58" s="78" t="str">
        <f t="shared" si="74"/>
        <v>X</v>
      </c>
      <c r="AU58" s="78" t="str">
        <f t="shared" si="75"/>
        <v>O</v>
      </c>
      <c r="AV58" s="78" t="str">
        <f t="shared" si="76"/>
        <v/>
      </c>
    </row>
    <row r="59" spans="1:48" x14ac:dyDescent="0.3">
      <c r="A59" s="9" t="s">
        <v>1199</v>
      </c>
      <c r="B59" s="10" t="s">
        <v>1610</v>
      </c>
      <c r="C59" s="87">
        <v>1549</v>
      </c>
      <c r="D59" s="85">
        <v>172.6</v>
      </c>
      <c r="E59" s="86">
        <v>52</v>
      </c>
      <c r="F59" s="85">
        <v>143.9</v>
      </c>
      <c r="G59" s="17">
        <v>44</v>
      </c>
      <c r="H59" s="87">
        <v>44</v>
      </c>
      <c r="I59" s="88"/>
      <c r="J59" s="88"/>
      <c r="K59" s="88"/>
      <c r="L59" s="88"/>
      <c r="M59" s="89">
        <f t="shared" si="54"/>
        <v>0</v>
      </c>
      <c r="N59" s="4" t="str">
        <f t="shared" si="55"/>
        <v/>
      </c>
      <c r="O59" s="90">
        <f t="shared" si="56"/>
        <v>0</v>
      </c>
      <c r="P59" s="90">
        <f t="shared" si="57"/>
        <v>0</v>
      </c>
      <c r="Q59" s="78">
        <v>4</v>
      </c>
      <c r="R59" s="78">
        <v>2</v>
      </c>
      <c r="S59" s="78" t="s">
        <v>59</v>
      </c>
      <c r="T59" s="5" t="s">
        <v>206</v>
      </c>
      <c r="U59" s="9"/>
      <c r="W59" s="85">
        <f t="shared" si="58"/>
        <v>172.6</v>
      </c>
      <c r="X59" s="86">
        <f t="shared" si="59"/>
        <v>52</v>
      </c>
      <c r="Y59" s="91">
        <f t="shared" si="60"/>
        <v>44</v>
      </c>
      <c r="Z59" s="89">
        <f t="shared" si="61"/>
        <v>0</v>
      </c>
      <c r="AA59" s="89">
        <f t="shared" si="62"/>
        <v>0</v>
      </c>
      <c r="AB59" s="89">
        <f t="shared" si="63"/>
        <v>0</v>
      </c>
      <c r="AC59" s="4" t="str">
        <f t="shared" si="64"/>
        <v/>
      </c>
      <c r="AD59" s="90">
        <f t="shared" si="65"/>
        <v>0</v>
      </c>
      <c r="AE59" s="78" t="str">
        <f t="shared" si="66"/>
        <v>계</v>
      </c>
      <c r="AF59" s="78" t="str">
        <f t="shared" si="67"/>
        <v>4/2</v>
      </c>
      <c r="AH59" s="20" t="str">
        <f t="shared" si="34"/>
        <v>위브어울림</v>
      </c>
      <c r="AI59" s="86">
        <f t="shared" si="33"/>
        <v>52</v>
      </c>
      <c r="AJ59" s="78" t="str">
        <f t="shared" si="68"/>
        <v>A-</v>
      </c>
      <c r="AK59" s="78" t="s">
        <v>13</v>
      </c>
      <c r="AL59" s="78" t="s">
        <v>61</v>
      </c>
      <c r="AM59" s="78" t="s">
        <v>62</v>
      </c>
      <c r="AN59" s="78" t="str">
        <f t="shared" si="69"/>
        <v>C</v>
      </c>
      <c r="AO59" s="78" t="str">
        <f t="shared" si="70"/>
        <v/>
      </c>
      <c r="AP59" s="78" t="str">
        <f t="shared" si="71"/>
        <v/>
      </c>
      <c r="AQ59" s="78" t="str">
        <f t="shared" si="72"/>
        <v>O</v>
      </c>
      <c r="AR59" s="78" t="str">
        <f t="shared" si="73"/>
        <v>O</v>
      </c>
      <c r="AS59" s="78" t="s">
        <v>2</v>
      </c>
      <c r="AT59" s="78" t="str">
        <f t="shared" si="74"/>
        <v>X</v>
      </c>
      <c r="AU59" s="78" t="str">
        <f t="shared" si="75"/>
        <v>O</v>
      </c>
      <c r="AV59" s="78" t="str">
        <f t="shared" si="76"/>
        <v/>
      </c>
    </row>
    <row r="60" spans="1:48" x14ac:dyDescent="0.3">
      <c r="A60" s="9" t="s">
        <v>1199</v>
      </c>
      <c r="B60" s="10" t="s">
        <v>1610</v>
      </c>
      <c r="C60" s="87">
        <v>1549</v>
      </c>
      <c r="D60" s="85">
        <v>172.1</v>
      </c>
      <c r="E60" s="86">
        <v>52</v>
      </c>
      <c r="F60" s="85">
        <v>143.9</v>
      </c>
      <c r="G60" s="17">
        <v>44</v>
      </c>
      <c r="H60" s="87">
        <v>38</v>
      </c>
      <c r="I60" s="88"/>
      <c r="J60" s="88"/>
      <c r="K60" s="88"/>
      <c r="L60" s="88"/>
      <c r="M60" s="89">
        <f t="shared" si="54"/>
        <v>0</v>
      </c>
      <c r="N60" s="4" t="str">
        <f t="shared" si="55"/>
        <v/>
      </c>
      <c r="O60" s="90">
        <f t="shared" si="56"/>
        <v>0</v>
      </c>
      <c r="P60" s="90">
        <f t="shared" si="57"/>
        <v>0</v>
      </c>
      <c r="Q60" s="78">
        <v>4</v>
      </c>
      <c r="R60" s="78">
        <v>2</v>
      </c>
      <c r="S60" s="78" t="s">
        <v>59</v>
      </c>
      <c r="T60" s="5" t="s">
        <v>207</v>
      </c>
      <c r="U60" s="9"/>
      <c r="W60" s="85">
        <f t="shared" si="58"/>
        <v>172.1</v>
      </c>
      <c r="X60" s="86">
        <f t="shared" si="59"/>
        <v>52</v>
      </c>
      <c r="Y60" s="91">
        <f t="shared" si="60"/>
        <v>38</v>
      </c>
      <c r="Z60" s="89">
        <f t="shared" si="61"/>
        <v>0</v>
      </c>
      <c r="AA60" s="89">
        <f t="shared" si="62"/>
        <v>0</v>
      </c>
      <c r="AB60" s="89">
        <f t="shared" si="63"/>
        <v>0</v>
      </c>
      <c r="AC60" s="4" t="str">
        <f t="shared" si="64"/>
        <v/>
      </c>
      <c r="AD60" s="90">
        <f t="shared" si="65"/>
        <v>0</v>
      </c>
      <c r="AE60" s="78" t="str">
        <f t="shared" si="66"/>
        <v>계</v>
      </c>
      <c r="AF60" s="78" t="str">
        <f t="shared" si="67"/>
        <v>4/2</v>
      </c>
      <c r="AH60" s="20" t="str">
        <f t="shared" si="34"/>
        <v>위브어울림</v>
      </c>
      <c r="AI60" s="86">
        <f t="shared" si="33"/>
        <v>52</v>
      </c>
      <c r="AJ60" s="78" t="str">
        <f t="shared" si="68"/>
        <v>A-</v>
      </c>
      <c r="AK60" s="78" t="s">
        <v>13</v>
      </c>
      <c r="AL60" s="78" t="s">
        <v>61</v>
      </c>
      <c r="AM60" s="78" t="s">
        <v>62</v>
      </c>
      <c r="AN60" s="78" t="str">
        <f t="shared" si="69"/>
        <v>C</v>
      </c>
      <c r="AO60" s="78" t="str">
        <f t="shared" si="70"/>
        <v/>
      </c>
      <c r="AP60" s="78" t="str">
        <f t="shared" si="71"/>
        <v/>
      </c>
      <c r="AQ60" s="78" t="str">
        <f t="shared" si="72"/>
        <v>O</v>
      </c>
      <c r="AR60" s="78" t="str">
        <f t="shared" si="73"/>
        <v>O</v>
      </c>
      <c r="AS60" s="78" t="s">
        <v>2</v>
      </c>
      <c r="AT60" s="78" t="str">
        <f t="shared" si="74"/>
        <v>X</v>
      </c>
      <c r="AU60" s="78" t="str">
        <f t="shared" si="75"/>
        <v>O</v>
      </c>
      <c r="AV60" s="78" t="str">
        <f t="shared" si="76"/>
        <v/>
      </c>
    </row>
    <row r="61" spans="1:48" x14ac:dyDescent="0.3">
      <c r="A61" s="9"/>
      <c r="B61" s="78"/>
      <c r="C61" s="6"/>
      <c r="D61" s="9"/>
      <c r="E61" s="14"/>
      <c r="F61" s="85"/>
      <c r="G61" s="9"/>
      <c r="H61" s="9"/>
      <c r="I61" s="9"/>
      <c r="J61" s="9"/>
      <c r="K61" s="9"/>
      <c r="L61" s="9"/>
      <c r="M61" s="9"/>
      <c r="N61" s="9"/>
      <c r="O61" s="90"/>
      <c r="P61" s="90"/>
      <c r="Q61" s="86"/>
      <c r="R61" s="86"/>
      <c r="S61" s="9"/>
      <c r="T61" s="47"/>
      <c r="U61" s="9"/>
      <c r="W61" s="67" t="str">
        <f>$A$4&amp;" "&amp;A62&amp;"("&amp;B62&amp;","&amp;C62&amp;"^)"</f>
        <v>인후동1가 아중1차대우('98.03.,870^)</v>
      </c>
      <c r="X61" s="68"/>
      <c r="Y61" s="68"/>
      <c r="Z61" s="68"/>
      <c r="AA61" s="68"/>
      <c r="AB61" s="68"/>
      <c r="AC61" s="68"/>
      <c r="AD61" s="68"/>
      <c r="AE61" s="68"/>
      <c r="AF61" s="69"/>
      <c r="AH61" s="20" t="str">
        <f t="shared" si="34"/>
        <v/>
      </c>
      <c r="AI61" s="108" t="str">
        <f t="shared" si="33"/>
        <v/>
      </c>
      <c r="AJ61" s="78"/>
      <c r="AK61" s="78"/>
      <c r="AL61" s="78"/>
      <c r="AM61" s="78"/>
      <c r="AN61" s="78"/>
      <c r="AO61" s="78"/>
      <c r="AP61" s="78"/>
      <c r="AQ61" s="78"/>
      <c r="AR61" s="78"/>
      <c r="AS61" s="78"/>
      <c r="AT61" s="78"/>
      <c r="AU61" s="78"/>
      <c r="AV61" s="78"/>
    </row>
    <row r="62" spans="1:48" x14ac:dyDescent="0.3">
      <c r="A62" s="9" t="s">
        <v>1204</v>
      </c>
      <c r="B62" s="10" t="s">
        <v>1611</v>
      </c>
      <c r="C62" s="87">
        <v>870</v>
      </c>
      <c r="D62" s="85">
        <v>104.3</v>
      </c>
      <c r="E62" s="86">
        <v>32</v>
      </c>
      <c r="F62" s="85">
        <v>84.7</v>
      </c>
      <c r="G62" s="17">
        <v>26</v>
      </c>
      <c r="H62" s="87">
        <v>538</v>
      </c>
      <c r="I62" s="88">
        <v>20500</v>
      </c>
      <c r="J62" s="88" t="s">
        <v>68</v>
      </c>
      <c r="K62" s="88"/>
      <c r="L62" s="88"/>
      <c r="M62" s="89">
        <f>I62-K62</f>
        <v>20500</v>
      </c>
      <c r="N62" s="4">
        <f>IF(ISERROR(K62/I62),"",K62/I62)</f>
        <v>0</v>
      </c>
      <c r="O62" s="90">
        <f>I62/E62</f>
        <v>640.625</v>
      </c>
      <c r="P62" s="90">
        <f>K62/E62</f>
        <v>0</v>
      </c>
      <c r="Q62" s="78">
        <v>3</v>
      </c>
      <c r="R62" s="78">
        <v>2</v>
      </c>
      <c r="S62" s="78" t="s">
        <v>59</v>
      </c>
      <c r="T62" s="5" t="s">
        <v>188</v>
      </c>
      <c r="U62" s="9"/>
      <c r="W62" s="85">
        <f t="shared" ref="W62:X64" si="77">D62</f>
        <v>104.3</v>
      </c>
      <c r="X62" s="86">
        <f t="shared" si="77"/>
        <v>32</v>
      </c>
      <c r="Y62" s="91">
        <f t="shared" ref="Y62:Z64" si="78">H62</f>
        <v>538</v>
      </c>
      <c r="Z62" s="89">
        <f t="shared" si="78"/>
        <v>20500</v>
      </c>
      <c r="AA62" s="89">
        <f>K62</f>
        <v>0</v>
      </c>
      <c r="AB62" s="89">
        <f t="shared" ref="AB62:AD64" si="79">M62</f>
        <v>20500</v>
      </c>
      <c r="AC62" s="4">
        <f t="shared" si="79"/>
        <v>0</v>
      </c>
      <c r="AD62" s="90">
        <f t="shared" si="79"/>
        <v>640.625</v>
      </c>
      <c r="AE62" s="78" t="str">
        <f>S62</f>
        <v>계</v>
      </c>
      <c r="AF62" s="78" t="str">
        <f>Q62&amp;"/"&amp;R62</f>
        <v>3/2</v>
      </c>
      <c r="AH62" s="20" t="str">
        <f t="shared" si="34"/>
        <v>아중1차대우</v>
      </c>
      <c r="AI62" s="86">
        <f t="shared" si="33"/>
        <v>32</v>
      </c>
      <c r="AJ62" s="78" t="str">
        <f>IF(AI62="","",$AJ$2)</f>
        <v>A-</v>
      </c>
      <c r="AK62" s="78" t="s">
        <v>13</v>
      </c>
      <c r="AL62" s="78" t="s">
        <v>61</v>
      </c>
      <c r="AM62" s="78" t="s">
        <v>62</v>
      </c>
      <c r="AN62" s="78" t="str">
        <f>IF(AI62="","",$AN$2)</f>
        <v>C</v>
      </c>
      <c r="AO62" s="78" t="str">
        <f>IF(N62="","",IF(N62&gt;=$AO$1/100,"O","X"))</f>
        <v>X</v>
      </c>
      <c r="AP62" s="78" t="str">
        <f>IF(I62="","",IF(I62&lt;=$AP$1,"O","X"))</f>
        <v>O</v>
      </c>
      <c r="AQ62" s="78" t="str">
        <f>IF(O62="","",IF(O62&lt;=$AQ$1,"O","X"))</f>
        <v>O</v>
      </c>
      <c r="AR62" s="78" t="str">
        <f>IF(M62="","",IF(M62&lt;=$AR$1,"O","X"))</f>
        <v>X</v>
      </c>
      <c r="AS62" s="78" t="s">
        <v>2</v>
      </c>
      <c r="AT62" s="78" t="str">
        <f>IF(OR(F62="",AI62=""),"",IF(AND((F62&lt;=85),(AI62&gt;=15)),"O","X"))</f>
        <v>O</v>
      </c>
      <c r="AU62" s="78" t="str">
        <f>IF(C62="","",IF(C62&gt;=$AU$1,"O","X"))</f>
        <v>O</v>
      </c>
      <c r="AV62" s="78" t="str">
        <f>IF(AO62="","",IF(AND(AO62="O",AP62="O",AR62="O",AT62="O",AU62="O"),"후보","X"))</f>
        <v>X</v>
      </c>
    </row>
    <row r="63" spans="1:48" x14ac:dyDescent="0.3">
      <c r="A63" s="9" t="s">
        <v>1204</v>
      </c>
      <c r="B63" s="10" t="s">
        <v>1611</v>
      </c>
      <c r="C63" s="87">
        <v>870</v>
      </c>
      <c r="D63" s="85">
        <v>105.2</v>
      </c>
      <c r="E63" s="86">
        <v>32</v>
      </c>
      <c r="F63" s="85">
        <v>84.8</v>
      </c>
      <c r="G63" s="17">
        <v>26</v>
      </c>
      <c r="H63" s="87">
        <v>266</v>
      </c>
      <c r="I63" s="88">
        <v>22500</v>
      </c>
      <c r="J63" s="88" t="s">
        <v>99</v>
      </c>
      <c r="K63" s="88"/>
      <c r="L63" s="88"/>
      <c r="M63" s="89">
        <f>I63-K63</f>
        <v>22500</v>
      </c>
      <c r="N63" s="4">
        <f>IF(ISERROR(K63/I63),"",K63/I63)</f>
        <v>0</v>
      </c>
      <c r="O63" s="90">
        <f>I63/E63</f>
        <v>703.125</v>
      </c>
      <c r="P63" s="90">
        <f>K63/E63</f>
        <v>0</v>
      </c>
      <c r="Q63" s="78">
        <v>3</v>
      </c>
      <c r="R63" s="78">
        <v>2</v>
      </c>
      <c r="S63" s="78" t="s">
        <v>59</v>
      </c>
      <c r="T63" s="5" t="s">
        <v>208</v>
      </c>
      <c r="U63" s="9"/>
      <c r="W63" s="85">
        <f t="shared" si="77"/>
        <v>105.2</v>
      </c>
      <c r="X63" s="86">
        <f t="shared" si="77"/>
        <v>32</v>
      </c>
      <c r="Y63" s="91">
        <f t="shared" si="78"/>
        <v>266</v>
      </c>
      <c r="Z63" s="89">
        <f t="shared" si="78"/>
        <v>22500</v>
      </c>
      <c r="AA63" s="89">
        <f>K63</f>
        <v>0</v>
      </c>
      <c r="AB63" s="89">
        <f t="shared" si="79"/>
        <v>22500</v>
      </c>
      <c r="AC63" s="4">
        <f t="shared" si="79"/>
        <v>0</v>
      </c>
      <c r="AD63" s="90">
        <f t="shared" si="79"/>
        <v>703.125</v>
      </c>
      <c r="AE63" s="78" t="str">
        <f>S63</f>
        <v>계</v>
      </c>
      <c r="AF63" s="78" t="str">
        <f>Q63&amp;"/"&amp;R63</f>
        <v>3/2</v>
      </c>
      <c r="AH63" s="20" t="str">
        <f t="shared" si="34"/>
        <v>아중1차대우</v>
      </c>
      <c r="AI63" s="86">
        <f t="shared" si="33"/>
        <v>32</v>
      </c>
      <c r="AJ63" s="78" t="str">
        <f>IF(AI63="","",$AJ$2)</f>
        <v>A-</v>
      </c>
      <c r="AK63" s="78" t="s">
        <v>13</v>
      </c>
      <c r="AL63" s="78" t="s">
        <v>61</v>
      </c>
      <c r="AM63" s="78" t="s">
        <v>62</v>
      </c>
      <c r="AN63" s="78" t="str">
        <f>IF(AI63="","",$AN$2)</f>
        <v>C</v>
      </c>
      <c r="AO63" s="78" t="str">
        <f>IF(N63="","",IF(N63&gt;=$AO$1/100,"O","X"))</f>
        <v>X</v>
      </c>
      <c r="AP63" s="78" t="str">
        <f>IF(I63="","",IF(I63&lt;=$AP$1,"O","X"))</f>
        <v>O</v>
      </c>
      <c r="AQ63" s="78" t="str">
        <f>IF(O63="","",IF(O63&lt;=$AQ$1,"O","X"))</f>
        <v>O</v>
      </c>
      <c r="AR63" s="78" t="str">
        <f>IF(M63="","",IF(M63&lt;=$AR$1,"O","X"))</f>
        <v>X</v>
      </c>
      <c r="AS63" s="78" t="s">
        <v>2</v>
      </c>
      <c r="AT63" s="78" t="str">
        <f>IF(OR(F63="",AI63=""),"",IF(AND((F63&lt;=85),(AI63&gt;=15)),"O","X"))</f>
        <v>O</v>
      </c>
      <c r="AU63" s="78" t="str">
        <f>IF(C63="","",IF(C63&gt;=$AU$1,"O","X"))</f>
        <v>O</v>
      </c>
      <c r="AV63" s="78" t="str">
        <f>IF(AO63="","",IF(AND(AO63="O",AP63="O",AR63="O",AT63="O",AU63="O"),"후보","X"))</f>
        <v>X</v>
      </c>
    </row>
    <row r="64" spans="1:48" x14ac:dyDescent="0.3">
      <c r="A64" s="9" t="s">
        <v>1204</v>
      </c>
      <c r="B64" s="10" t="s">
        <v>1611</v>
      </c>
      <c r="C64" s="87">
        <v>870</v>
      </c>
      <c r="D64" s="85">
        <v>107</v>
      </c>
      <c r="E64" s="86">
        <v>32</v>
      </c>
      <c r="F64" s="85">
        <v>85</v>
      </c>
      <c r="G64" s="17">
        <v>26</v>
      </c>
      <c r="H64" s="87">
        <v>66</v>
      </c>
      <c r="I64" s="88"/>
      <c r="J64" s="88"/>
      <c r="K64" s="88"/>
      <c r="L64" s="88"/>
      <c r="M64" s="89">
        <f>I64-K64</f>
        <v>0</v>
      </c>
      <c r="N64" s="4" t="str">
        <f>IF(ISERROR(K64/I64),"",K64/I64)</f>
        <v/>
      </c>
      <c r="O64" s="90">
        <f>I64/E64</f>
        <v>0</v>
      </c>
      <c r="P64" s="90">
        <f>K64/E64</f>
        <v>0</v>
      </c>
      <c r="Q64" s="78">
        <v>3</v>
      </c>
      <c r="R64" s="78">
        <v>2</v>
      </c>
      <c r="S64" s="78" t="s">
        <v>59</v>
      </c>
      <c r="T64" s="5" t="s">
        <v>209</v>
      </c>
      <c r="U64" s="9"/>
      <c r="W64" s="85">
        <f t="shared" si="77"/>
        <v>107</v>
      </c>
      <c r="X64" s="86">
        <f t="shared" si="77"/>
        <v>32</v>
      </c>
      <c r="Y64" s="91">
        <f t="shared" si="78"/>
        <v>66</v>
      </c>
      <c r="Z64" s="89">
        <f t="shared" si="78"/>
        <v>0</v>
      </c>
      <c r="AA64" s="89">
        <f>K64</f>
        <v>0</v>
      </c>
      <c r="AB64" s="89">
        <f t="shared" si="79"/>
        <v>0</v>
      </c>
      <c r="AC64" s="4" t="str">
        <f t="shared" si="79"/>
        <v/>
      </c>
      <c r="AD64" s="90">
        <f t="shared" si="79"/>
        <v>0</v>
      </c>
      <c r="AE64" s="78" t="str">
        <f>S64</f>
        <v>계</v>
      </c>
      <c r="AF64" s="78" t="str">
        <f>Q64&amp;"/"&amp;R64</f>
        <v>3/2</v>
      </c>
      <c r="AH64" s="20" t="str">
        <f t="shared" si="34"/>
        <v>아중1차대우</v>
      </c>
      <c r="AI64" s="86">
        <f t="shared" si="33"/>
        <v>32</v>
      </c>
      <c r="AJ64" s="78" t="str">
        <f>IF(AI64="","",$AJ$2)</f>
        <v>A-</v>
      </c>
      <c r="AK64" s="78" t="s">
        <v>13</v>
      </c>
      <c r="AL64" s="78" t="s">
        <v>61</v>
      </c>
      <c r="AM64" s="78" t="s">
        <v>62</v>
      </c>
      <c r="AN64" s="78" t="str">
        <f>IF(AI64="","",$AN$2)</f>
        <v>C</v>
      </c>
      <c r="AO64" s="78" t="str">
        <f>IF(N64="","",IF(N64&gt;=$AO$1/100,"O","X"))</f>
        <v/>
      </c>
      <c r="AP64" s="78" t="str">
        <f>IF(I64="","",IF(I64&lt;=$AP$1,"O","X"))</f>
        <v/>
      </c>
      <c r="AQ64" s="78" t="str">
        <f>IF(O64="","",IF(O64&lt;=$AQ$1,"O","X"))</f>
        <v>O</v>
      </c>
      <c r="AR64" s="78" t="str">
        <f>IF(M64="","",IF(M64&lt;=$AR$1,"O","X"))</f>
        <v>O</v>
      </c>
      <c r="AS64" s="78" t="s">
        <v>2</v>
      </c>
      <c r="AT64" s="78" t="str">
        <f>IF(OR(F64="",AI64=""),"",IF(AND((F64&lt;=85),(AI64&gt;=15)),"O","X"))</f>
        <v>O</v>
      </c>
      <c r="AU64" s="78" t="str">
        <f>IF(C64="","",IF(C64&gt;=$AU$1,"O","X"))</f>
        <v>O</v>
      </c>
      <c r="AV64" s="78" t="str">
        <f>IF(AO64="","",IF(AND(AO64="O",AP64="O",AR64="O",AT64="O",AU64="O"),"후보","X"))</f>
        <v/>
      </c>
    </row>
    <row r="65" spans="1:48" x14ac:dyDescent="0.3">
      <c r="A65" s="9"/>
      <c r="B65" s="78"/>
      <c r="C65" s="6"/>
      <c r="D65" s="9"/>
      <c r="E65" s="14"/>
      <c r="F65" s="85"/>
      <c r="G65" s="9"/>
      <c r="H65" s="9"/>
      <c r="I65" s="9"/>
      <c r="J65" s="9"/>
      <c r="K65" s="9"/>
      <c r="L65" s="9"/>
      <c r="M65" s="9"/>
      <c r="N65" s="9"/>
      <c r="O65" s="90"/>
      <c r="P65" s="90"/>
      <c r="Q65" s="86"/>
      <c r="R65" s="86"/>
      <c r="S65" s="9"/>
      <c r="T65" s="47"/>
      <c r="U65" s="9"/>
      <c r="W65" s="67" t="str">
        <f>$A$4&amp;" "&amp;A66&amp;"("&amp;B66&amp;","&amp;C66&amp;"^)"</f>
        <v>인후동1가 아중제일('97.11.,464^)</v>
      </c>
      <c r="X65" s="68"/>
      <c r="Y65" s="68"/>
      <c r="Z65" s="68"/>
      <c r="AA65" s="68"/>
      <c r="AB65" s="68"/>
      <c r="AC65" s="68"/>
      <c r="AD65" s="68"/>
      <c r="AE65" s="68"/>
      <c r="AF65" s="69"/>
      <c r="AH65" s="20" t="str">
        <f t="shared" si="34"/>
        <v/>
      </c>
      <c r="AI65" s="108" t="str">
        <f t="shared" si="33"/>
        <v/>
      </c>
      <c r="AJ65" s="78"/>
      <c r="AK65" s="78"/>
      <c r="AL65" s="78"/>
      <c r="AM65" s="78"/>
      <c r="AN65" s="78"/>
      <c r="AO65" s="78"/>
      <c r="AP65" s="78"/>
      <c r="AQ65" s="78"/>
      <c r="AR65" s="78"/>
      <c r="AS65" s="78"/>
      <c r="AT65" s="78"/>
      <c r="AU65" s="78"/>
      <c r="AV65" s="78"/>
    </row>
    <row r="66" spans="1:48" x14ac:dyDescent="0.3">
      <c r="A66" s="9" t="s">
        <v>1209</v>
      </c>
      <c r="B66" s="10" t="s">
        <v>1612</v>
      </c>
      <c r="C66" s="87">
        <v>464</v>
      </c>
      <c r="D66" s="85">
        <v>103.3</v>
      </c>
      <c r="E66" s="86">
        <v>31</v>
      </c>
      <c r="F66" s="85">
        <v>84.9</v>
      </c>
      <c r="G66" s="17">
        <v>26</v>
      </c>
      <c r="H66" s="87">
        <v>240</v>
      </c>
      <c r="I66" s="88">
        <v>21700</v>
      </c>
      <c r="J66" s="88" t="s">
        <v>69</v>
      </c>
      <c r="K66" s="88"/>
      <c r="L66" s="88"/>
      <c r="M66" s="89">
        <f>I66-K66</f>
        <v>21700</v>
      </c>
      <c r="N66" s="4">
        <f>IF(ISERROR(K66/I66),"",K66/I66)</f>
        <v>0</v>
      </c>
      <c r="O66" s="90">
        <f>I66/E66</f>
        <v>700</v>
      </c>
      <c r="P66" s="90">
        <f>K66/E66</f>
        <v>0</v>
      </c>
      <c r="Q66" s="78">
        <v>3</v>
      </c>
      <c r="R66" s="78">
        <v>2</v>
      </c>
      <c r="S66" s="78" t="s">
        <v>59</v>
      </c>
      <c r="T66" s="5" t="s">
        <v>143</v>
      </c>
      <c r="U66" s="9"/>
      <c r="W66" s="85">
        <f>D66</f>
        <v>103.3</v>
      </c>
      <c r="X66" s="86">
        <f>E66</f>
        <v>31</v>
      </c>
      <c r="Y66" s="91">
        <f>H66</f>
        <v>240</v>
      </c>
      <c r="Z66" s="89">
        <f>I66</f>
        <v>21700</v>
      </c>
      <c r="AA66" s="89">
        <f>K66</f>
        <v>0</v>
      </c>
      <c r="AB66" s="89">
        <f t="shared" ref="AB66:AD67" si="80">M66</f>
        <v>21700</v>
      </c>
      <c r="AC66" s="4">
        <f t="shared" si="80"/>
        <v>0</v>
      </c>
      <c r="AD66" s="90">
        <f t="shared" si="80"/>
        <v>700</v>
      </c>
      <c r="AE66" s="78" t="str">
        <f>S66</f>
        <v>계</v>
      </c>
      <c r="AF66" s="78" t="str">
        <f>Q66&amp;"/"&amp;R66</f>
        <v>3/2</v>
      </c>
      <c r="AH66" s="20" t="str">
        <f t="shared" si="34"/>
        <v>아중제일</v>
      </c>
      <c r="AI66" s="86">
        <f t="shared" si="33"/>
        <v>31</v>
      </c>
      <c r="AJ66" s="78" t="str">
        <f>IF(AI66="","",$AJ$2)</f>
        <v>A-</v>
      </c>
      <c r="AK66" s="78" t="s">
        <v>13</v>
      </c>
      <c r="AL66" s="78" t="s">
        <v>61</v>
      </c>
      <c r="AM66" s="78" t="s">
        <v>62</v>
      </c>
      <c r="AN66" s="78" t="str">
        <f>IF(AI66="","",$AN$2)</f>
        <v>C</v>
      </c>
      <c r="AO66" s="78" t="str">
        <f>IF(N66="","",IF(N66&gt;=$AO$1/100,"O","X"))</f>
        <v>X</v>
      </c>
      <c r="AP66" s="78" t="str">
        <f>IF(I66="","",IF(I66&lt;=$AP$1,"O","X"))</f>
        <v>O</v>
      </c>
      <c r="AQ66" s="78" t="str">
        <f>IF(O66="","",IF(O66&lt;=$AQ$1,"O","X"))</f>
        <v>O</v>
      </c>
      <c r="AR66" s="78" t="str">
        <f>IF(M66="","",IF(M66&lt;=$AR$1,"O","X"))</f>
        <v>X</v>
      </c>
      <c r="AS66" s="78" t="s">
        <v>2</v>
      </c>
      <c r="AT66" s="78" t="str">
        <f>IF(OR(F66="",AI66=""),"",IF(AND((F66&lt;=85),(AI66&gt;=15)),"O","X"))</f>
        <v>O</v>
      </c>
      <c r="AU66" s="78" t="str">
        <f>IF(C66="","",IF(C66&gt;=$AU$1,"O","X"))</f>
        <v>O</v>
      </c>
      <c r="AV66" s="78" t="str">
        <f>IF(AO66="","",IF(AND(AO66="O",AP66="O",AR66="O",AT66="O",AU66="O"),"후보","X"))</f>
        <v>X</v>
      </c>
    </row>
    <row r="67" spans="1:48" x14ac:dyDescent="0.3">
      <c r="A67" s="9" t="s">
        <v>1209</v>
      </c>
      <c r="B67" s="10" t="s">
        <v>1612</v>
      </c>
      <c r="C67" s="87">
        <v>464</v>
      </c>
      <c r="D67" s="85">
        <v>103.3</v>
      </c>
      <c r="E67" s="86">
        <v>31</v>
      </c>
      <c r="F67" s="85">
        <v>84.9</v>
      </c>
      <c r="G67" s="17">
        <v>26</v>
      </c>
      <c r="H67" s="87">
        <v>224</v>
      </c>
      <c r="I67" s="88">
        <v>21700</v>
      </c>
      <c r="J67" s="88" t="s">
        <v>69</v>
      </c>
      <c r="K67" s="88"/>
      <c r="L67" s="88"/>
      <c r="M67" s="89">
        <f>I67-K67</f>
        <v>21700</v>
      </c>
      <c r="N67" s="4">
        <f>IF(ISERROR(K67/I67),"",K67/I67)</f>
        <v>0</v>
      </c>
      <c r="O67" s="90">
        <f>I67/E67</f>
        <v>700</v>
      </c>
      <c r="P67" s="90">
        <f>K67/E67</f>
        <v>0</v>
      </c>
      <c r="Q67" s="78">
        <v>3</v>
      </c>
      <c r="R67" s="78">
        <v>2</v>
      </c>
      <c r="S67" s="78" t="s">
        <v>59</v>
      </c>
      <c r="T67" s="5" t="s">
        <v>210</v>
      </c>
      <c r="U67" s="9"/>
      <c r="W67" s="85">
        <f>D67</f>
        <v>103.3</v>
      </c>
      <c r="X67" s="86">
        <f>E67</f>
        <v>31</v>
      </c>
      <c r="Y67" s="91">
        <f>H67</f>
        <v>224</v>
      </c>
      <c r="Z67" s="89">
        <f>I67</f>
        <v>21700</v>
      </c>
      <c r="AA67" s="89">
        <f>K67</f>
        <v>0</v>
      </c>
      <c r="AB67" s="89">
        <f t="shared" si="80"/>
        <v>21700</v>
      </c>
      <c r="AC67" s="4">
        <f t="shared" si="80"/>
        <v>0</v>
      </c>
      <c r="AD67" s="90">
        <f t="shared" si="80"/>
        <v>700</v>
      </c>
      <c r="AE67" s="78" t="str">
        <f>S67</f>
        <v>계</v>
      </c>
      <c r="AF67" s="78" t="str">
        <f>Q67&amp;"/"&amp;R67</f>
        <v>3/2</v>
      </c>
      <c r="AH67" s="20" t="str">
        <f t="shared" si="34"/>
        <v>아중제일</v>
      </c>
      <c r="AI67" s="86">
        <f t="shared" ref="AI67:AI99" si="81">IF(E67="","",E67)</f>
        <v>31</v>
      </c>
      <c r="AJ67" s="78" t="str">
        <f>IF(AI67="","",$AJ$2)</f>
        <v>A-</v>
      </c>
      <c r="AK67" s="78" t="s">
        <v>13</v>
      </c>
      <c r="AL67" s="78" t="s">
        <v>61</v>
      </c>
      <c r="AM67" s="78" t="s">
        <v>62</v>
      </c>
      <c r="AN67" s="78" t="str">
        <f>IF(AI67="","",$AN$2)</f>
        <v>C</v>
      </c>
      <c r="AO67" s="78" t="str">
        <f>IF(N67="","",IF(N67&gt;=$AO$1/100,"O","X"))</f>
        <v>X</v>
      </c>
      <c r="AP67" s="78" t="str">
        <f>IF(I67="","",IF(I67&lt;=$AP$1,"O","X"))</f>
        <v>O</v>
      </c>
      <c r="AQ67" s="78" t="str">
        <f>IF(O67="","",IF(O67&lt;=$AQ$1,"O","X"))</f>
        <v>O</v>
      </c>
      <c r="AR67" s="78" t="str">
        <f>IF(M67="","",IF(M67&lt;=$AR$1,"O","X"))</f>
        <v>X</v>
      </c>
      <c r="AS67" s="78" t="s">
        <v>2</v>
      </c>
      <c r="AT67" s="78" t="str">
        <f>IF(OR(F67="",AI67=""),"",IF(AND((F67&lt;=85),(AI67&gt;=15)),"O","X"))</f>
        <v>O</v>
      </c>
      <c r="AU67" s="78" t="str">
        <f>IF(C67="","",IF(C67&gt;=$AU$1,"O","X"))</f>
        <v>O</v>
      </c>
      <c r="AV67" s="78" t="str">
        <f>IF(AO67="","",IF(AND(AO67="O",AP67="O",AR67="O",AT67="O",AU67="O"),"후보","X"))</f>
        <v>X</v>
      </c>
    </row>
    <row r="68" spans="1:48" x14ac:dyDescent="0.3">
      <c r="A68" s="9"/>
      <c r="B68" s="78"/>
      <c r="C68" s="6"/>
      <c r="D68" s="9"/>
      <c r="E68" s="14"/>
      <c r="F68" s="85"/>
      <c r="G68" s="9"/>
      <c r="H68" s="9"/>
      <c r="I68" s="9"/>
      <c r="J68" s="9"/>
      <c r="K68" s="9"/>
      <c r="L68" s="9"/>
      <c r="M68" s="9"/>
      <c r="N68" s="9"/>
      <c r="O68" s="90"/>
      <c r="P68" s="90"/>
      <c r="Q68" s="86"/>
      <c r="R68" s="86"/>
      <c r="S68" s="9"/>
      <c r="T68" s="47"/>
      <c r="U68" s="9"/>
      <c r="W68" s="67" t="str">
        <f>$A$4&amp;" "&amp;A69&amp;"("&amp;B69&amp;","&amp;C69&amp;"^)"</f>
        <v>인후동1가 인후송정써미트('08.12.,228^)</v>
      </c>
      <c r="X68" s="68"/>
      <c r="Y68" s="68"/>
      <c r="Z68" s="68"/>
      <c r="AA68" s="68"/>
      <c r="AB68" s="68"/>
      <c r="AC68" s="68"/>
      <c r="AD68" s="68"/>
      <c r="AE68" s="68"/>
      <c r="AF68" s="69"/>
      <c r="AH68" s="20" t="str">
        <f t="shared" si="34"/>
        <v/>
      </c>
      <c r="AI68" s="108" t="str">
        <f t="shared" si="81"/>
        <v/>
      </c>
      <c r="AJ68" s="78"/>
      <c r="AK68" s="78"/>
      <c r="AL68" s="78"/>
      <c r="AM68" s="78"/>
      <c r="AN68" s="78"/>
      <c r="AO68" s="78"/>
      <c r="AP68" s="78"/>
      <c r="AQ68" s="78"/>
      <c r="AR68" s="78"/>
      <c r="AS68" s="78"/>
      <c r="AT68" s="78"/>
      <c r="AU68" s="78"/>
      <c r="AV68" s="78"/>
    </row>
    <row r="69" spans="1:48" x14ac:dyDescent="0.3">
      <c r="A69" s="9" t="s">
        <v>1219</v>
      </c>
      <c r="B69" s="10" t="s">
        <v>1596</v>
      </c>
      <c r="C69" s="87">
        <v>228</v>
      </c>
      <c r="D69" s="85">
        <v>112.5</v>
      </c>
      <c r="E69" s="86">
        <v>34</v>
      </c>
      <c r="F69" s="85">
        <v>84.6</v>
      </c>
      <c r="G69" s="17">
        <v>26</v>
      </c>
      <c r="H69" s="87">
        <v>72</v>
      </c>
      <c r="I69" s="88"/>
      <c r="J69" s="88"/>
      <c r="K69" s="88"/>
      <c r="L69" s="88"/>
      <c r="M69" s="89">
        <f t="shared" ref="M69:M76" si="82">I69-K69</f>
        <v>0</v>
      </c>
      <c r="N69" s="4" t="str">
        <f t="shared" ref="N69:N76" si="83">IF(ISERROR(K69/I69),"",K69/I69)</f>
        <v/>
      </c>
      <c r="O69" s="90">
        <f t="shared" ref="O69:O76" si="84">I69/E69</f>
        <v>0</v>
      </c>
      <c r="P69" s="90">
        <f t="shared" ref="P69:P76" si="85">K69/E69</f>
        <v>0</v>
      </c>
      <c r="Q69" s="78">
        <v>3</v>
      </c>
      <c r="R69" s="78">
        <v>2</v>
      </c>
      <c r="S69" s="78" t="s">
        <v>59</v>
      </c>
      <c r="T69" s="5">
        <v>112</v>
      </c>
      <c r="U69" s="9"/>
      <c r="W69" s="85">
        <f t="shared" ref="W69:X76" si="86">D69</f>
        <v>112.5</v>
      </c>
      <c r="X69" s="86">
        <f t="shared" si="86"/>
        <v>34</v>
      </c>
      <c r="Y69" s="91">
        <f t="shared" ref="Y69:Z76" si="87">H69</f>
        <v>72</v>
      </c>
      <c r="Z69" s="89">
        <f t="shared" si="87"/>
        <v>0</v>
      </c>
      <c r="AA69" s="89">
        <f t="shared" ref="AA69:AA76" si="88">K69</f>
        <v>0</v>
      </c>
      <c r="AB69" s="89">
        <f t="shared" ref="AB69:AD76" si="89">M69</f>
        <v>0</v>
      </c>
      <c r="AC69" s="4" t="str">
        <f t="shared" si="89"/>
        <v/>
      </c>
      <c r="AD69" s="90">
        <f t="shared" si="89"/>
        <v>0</v>
      </c>
      <c r="AE69" s="78" t="str">
        <f t="shared" ref="AE69:AE76" si="90">S69</f>
        <v>계</v>
      </c>
      <c r="AF69" s="78" t="str">
        <f t="shared" ref="AF69:AF76" si="91">Q69&amp;"/"&amp;R69</f>
        <v>3/2</v>
      </c>
      <c r="AH69" s="20" t="str">
        <f t="shared" ref="AH69:AH99" si="92">IF(A69="","",A69)</f>
        <v>인후송정써미트</v>
      </c>
      <c r="AI69" s="86">
        <f t="shared" si="81"/>
        <v>34</v>
      </c>
      <c r="AJ69" s="78" t="str">
        <f t="shared" ref="AJ69:AJ76" si="93">IF(AI69="","",$AJ$2)</f>
        <v>A-</v>
      </c>
      <c r="AK69" s="78" t="s">
        <v>13</v>
      </c>
      <c r="AL69" s="78" t="s">
        <v>61</v>
      </c>
      <c r="AM69" s="78" t="s">
        <v>62</v>
      </c>
      <c r="AN69" s="78" t="str">
        <f t="shared" ref="AN69:AN76" si="94">IF(AI69="","",$AN$2)</f>
        <v>C</v>
      </c>
      <c r="AO69" s="78" t="str">
        <f t="shared" ref="AO69:AO76" si="95">IF(N69="","",IF(N69&gt;=$AO$1/100,"O","X"))</f>
        <v/>
      </c>
      <c r="AP69" s="78" t="str">
        <f t="shared" ref="AP69:AP76" si="96">IF(I69="","",IF(I69&lt;=$AP$1,"O","X"))</f>
        <v/>
      </c>
      <c r="AQ69" s="78" t="str">
        <f t="shared" ref="AQ69:AQ76" si="97">IF(O69="","",IF(O69&lt;=$AQ$1,"O","X"))</f>
        <v>O</v>
      </c>
      <c r="AR69" s="78" t="str">
        <f t="shared" ref="AR69:AR76" si="98">IF(M69="","",IF(M69&lt;=$AR$1,"O","X"))</f>
        <v>O</v>
      </c>
      <c r="AS69" s="78" t="s">
        <v>2</v>
      </c>
      <c r="AT69" s="78" t="str">
        <f t="shared" ref="AT69:AT76" si="99">IF(OR(F69="",AI69=""),"",IF(AND((F69&lt;=85),(AI69&gt;=15)),"O","X"))</f>
        <v>O</v>
      </c>
      <c r="AU69" s="78" t="str">
        <f t="shared" ref="AU69:AU76" si="100">IF(C69="","",IF(C69&gt;=$AU$1,"O","X"))</f>
        <v>X</v>
      </c>
      <c r="AV69" s="78" t="str">
        <f t="shared" ref="AV69:AV76" si="101">IF(AO69="","",IF(AND(AO69="O",AP69="O",AR69="O",AT69="O",AU69="O"),"후보","X"))</f>
        <v/>
      </c>
    </row>
    <row r="70" spans="1:48" x14ac:dyDescent="0.3">
      <c r="A70" s="9" t="s">
        <v>1219</v>
      </c>
      <c r="B70" s="10" t="s">
        <v>1596</v>
      </c>
      <c r="C70" s="87">
        <v>228</v>
      </c>
      <c r="D70" s="85">
        <v>126.3</v>
      </c>
      <c r="E70" s="86">
        <v>38</v>
      </c>
      <c r="F70" s="85">
        <v>102.2</v>
      </c>
      <c r="G70" s="17">
        <v>31</v>
      </c>
      <c r="H70" s="87">
        <v>12</v>
      </c>
      <c r="I70" s="88"/>
      <c r="J70" s="88"/>
      <c r="K70" s="88"/>
      <c r="L70" s="88"/>
      <c r="M70" s="89">
        <f t="shared" si="82"/>
        <v>0</v>
      </c>
      <c r="N70" s="4" t="str">
        <f t="shared" si="83"/>
        <v/>
      </c>
      <c r="O70" s="90">
        <f t="shared" si="84"/>
        <v>0</v>
      </c>
      <c r="P70" s="90">
        <f t="shared" si="85"/>
        <v>0</v>
      </c>
      <c r="Q70" s="78">
        <v>3</v>
      </c>
      <c r="R70" s="78">
        <v>2</v>
      </c>
      <c r="S70" s="78" t="s">
        <v>59</v>
      </c>
      <c r="T70" s="5" t="s">
        <v>211</v>
      </c>
      <c r="U70" s="9"/>
      <c r="W70" s="85">
        <f t="shared" si="86"/>
        <v>126.3</v>
      </c>
      <c r="X70" s="86">
        <f t="shared" si="86"/>
        <v>38</v>
      </c>
      <c r="Y70" s="91">
        <f t="shared" si="87"/>
        <v>12</v>
      </c>
      <c r="Z70" s="89">
        <f t="shared" si="87"/>
        <v>0</v>
      </c>
      <c r="AA70" s="89">
        <f t="shared" si="88"/>
        <v>0</v>
      </c>
      <c r="AB70" s="89">
        <f t="shared" si="89"/>
        <v>0</v>
      </c>
      <c r="AC70" s="4" t="str">
        <f t="shared" si="89"/>
        <v/>
      </c>
      <c r="AD70" s="90">
        <f t="shared" si="89"/>
        <v>0</v>
      </c>
      <c r="AE70" s="78" t="str">
        <f t="shared" si="90"/>
        <v>계</v>
      </c>
      <c r="AF70" s="78" t="str">
        <f t="shared" si="91"/>
        <v>3/2</v>
      </c>
      <c r="AH70" s="20" t="str">
        <f t="shared" si="92"/>
        <v>인후송정써미트</v>
      </c>
      <c r="AI70" s="86">
        <f t="shared" si="81"/>
        <v>38</v>
      </c>
      <c r="AJ70" s="78" t="str">
        <f t="shared" si="93"/>
        <v>A-</v>
      </c>
      <c r="AK70" s="78" t="s">
        <v>13</v>
      </c>
      <c r="AL70" s="78" t="s">
        <v>61</v>
      </c>
      <c r="AM70" s="78" t="s">
        <v>62</v>
      </c>
      <c r="AN70" s="78" t="str">
        <f t="shared" si="94"/>
        <v>C</v>
      </c>
      <c r="AO70" s="78" t="str">
        <f t="shared" si="95"/>
        <v/>
      </c>
      <c r="AP70" s="78" t="str">
        <f t="shared" si="96"/>
        <v/>
      </c>
      <c r="AQ70" s="78" t="str">
        <f t="shared" si="97"/>
        <v>O</v>
      </c>
      <c r="AR70" s="78" t="str">
        <f t="shared" si="98"/>
        <v>O</v>
      </c>
      <c r="AS70" s="78" t="s">
        <v>2</v>
      </c>
      <c r="AT70" s="78" t="str">
        <f t="shared" si="99"/>
        <v>X</v>
      </c>
      <c r="AU70" s="78" t="str">
        <f t="shared" si="100"/>
        <v>X</v>
      </c>
      <c r="AV70" s="78" t="str">
        <f t="shared" si="101"/>
        <v/>
      </c>
    </row>
    <row r="71" spans="1:48" x14ac:dyDescent="0.3">
      <c r="A71" s="9" t="s">
        <v>1219</v>
      </c>
      <c r="B71" s="10" t="s">
        <v>1596</v>
      </c>
      <c r="C71" s="87">
        <v>228</v>
      </c>
      <c r="D71" s="85">
        <v>128.4</v>
      </c>
      <c r="E71" s="86">
        <v>39</v>
      </c>
      <c r="F71" s="85">
        <v>103.3</v>
      </c>
      <c r="G71" s="17">
        <v>31</v>
      </c>
      <c r="H71" s="87">
        <v>24</v>
      </c>
      <c r="I71" s="88"/>
      <c r="J71" s="88"/>
      <c r="K71" s="88"/>
      <c r="L71" s="88"/>
      <c r="M71" s="89">
        <f t="shared" si="82"/>
        <v>0</v>
      </c>
      <c r="N71" s="4" t="str">
        <f t="shared" si="83"/>
        <v/>
      </c>
      <c r="O71" s="90">
        <f t="shared" si="84"/>
        <v>0</v>
      </c>
      <c r="P71" s="90">
        <f t="shared" si="85"/>
        <v>0</v>
      </c>
      <c r="Q71" s="78">
        <v>3</v>
      </c>
      <c r="R71" s="78">
        <v>2</v>
      </c>
      <c r="S71" s="78" t="s">
        <v>59</v>
      </c>
      <c r="T71" s="5" t="s">
        <v>212</v>
      </c>
      <c r="U71" s="9"/>
      <c r="W71" s="85">
        <f t="shared" si="86"/>
        <v>128.4</v>
      </c>
      <c r="X71" s="86">
        <f t="shared" si="86"/>
        <v>39</v>
      </c>
      <c r="Y71" s="91">
        <f t="shared" si="87"/>
        <v>24</v>
      </c>
      <c r="Z71" s="89">
        <f t="shared" si="87"/>
        <v>0</v>
      </c>
      <c r="AA71" s="89">
        <f t="shared" si="88"/>
        <v>0</v>
      </c>
      <c r="AB71" s="89">
        <f t="shared" si="89"/>
        <v>0</v>
      </c>
      <c r="AC71" s="4" t="str">
        <f t="shared" si="89"/>
        <v/>
      </c>
      <c r="AD71" s="90">
        <f t="shared" si="89"/>
        <v>0</v>
      </c>
      <c r="AE71" s="78" t="str">
        <f t="shared" si="90"/>
        <v>계</v>
      </c>
      <c r="AF71" s="78" t="str">
        <f t="shared" si="91"/>
        <v>3/2</v>
      </c>
      <c r="AH71" s="20" t="str">
        <f t="shared" si="92"/>
        <v>인후송정써미트</v>
      </c>
      <c r="AI71" s="86">
        <f t="shared" si="81"/>
        <v>39</v>
      </c>
      <c r="AJ71" s="78" t="str">
        <f t="shared" si="93"/>
        <v>A-</v>
      </c>
      <c r="AK71" s="78" t="s">
        <v>13</v>
      </c>
      <c r="AL71" s="78" t="s">
        <v>61</v>
      </c>
      <c r="AM71" s="78" t="s">
        <v>62</v>
      </c>
      <c r="AN71" s="78" t="str">
        <f t="shared" si="94"/>
        <v>C</v>
      </c>
      <c r="AO71" s="78" t="str">
        <f t="shared" si="95"/>
        <v/>
      </c>
      <c r="AP71" s="78" t="str">
        <f t="shared" si="96"/>
        <v/>
      </c>
      <c r="AQ71" s="78" t="str">
        <f t="shared" si="97"/>
        <v>O</v>
      </c>
      <c r="AR71" s="78" t="str">
        <f t="shared" si="98"/>
        <v>O</v>
      </c>
      <c r="AS71" s="78" t="s">
        <v>2</v>
      </c>
      <c r="AT71" s="78" t="str">
        <f t="shared" si="99"/>
        <v>X</v>
      </c>
      <c r="AU71" s="78" t="str">
        <f t="shared" si="100"/>
        <v>X</v>
      </c>
      <c r="AV71" s="78" t="str">
        <f t="shared" si="101"/>
        <v/>
      </c>
    </row>
    <row r="72" spans="1:48" x14ac:dyDescent="0.3">
      <c r="A72" s="9" t="s">
        <v>1219</v>
      </c>
      <c r="B72" s="10" t="s">
        <v>1596</v>
      </c>
      <c r="C72" s="87">
        <v>228</v>
      </c>
      <c r="D72" s="85">
        <v>142.80000000000001</v>
      </c>
      <c r="E72" s="86">
        <v>43</v>
      </c>
      <c r="F72" s="85">
        <v>115.7</v>
      </c>
      <c r="G72" s="17">
        <v>35</v>
      </c>
      <c r="H72" s="87">
        <v>36</v>
      </c>
      <c r="I72" s="88"/>
      <c r="J72" s="88"/>
      <c r="K72" s="88"/>
      <c r="L72" s="88"/>
      <c r="M72" s="89">
        <f t="shared" si="82"/>
        <v>0</v>
      </c>
      <c r="N72" s="4" t="str">
        <f t="shared" si="83"/>
        <v/>
      </c>
      <c r="O72" s="90">
        <f t="shared" si="84"/>
        <v>0</v>
      </c>
      <c r="P72" s="90">
        <f t="shared" si="85"/>
        <v>0</v>
      </c>
      <c r="Q72" s="78">
        <v>4</v>
      </c>
      <c r="R72" s="78">
        <v>2</v>
      </c>
      <c r="S72" s="78" t="s">
        <v>59</v>
      </c>
      <c r="T72" s="5">
        <v>142</v>
      </c>
      <c r="U72" s="9"/>
      <c r="W72" s="85">
        <f t="shared" si="86"/>
        <v>142.80000000000001</v>
      </c>
      <c r="X72" s="86">
        <f t="shared" si="86"/>
        <v>43</v>
      </c>
      <c r="Y72" s="91">
        <f t="shared" si="87"/>
        <v>36</v>
      </c>
      <c r="Z72" s="89">
        <f t="shared" si="87"/>
        <v>0</v>
      </c>
      <c r="AA72" s="89">
        <f t="shared" si="88"/>
        <v>0</v>
      </c>
      <c r="AB72" s="89">
        <f t="shared" si="89"/>
        <v>0</v>
      </c>
      <c r="AC72" s="4" t="str">
        <f t="shared" si="89"/>
        <v/>
      </c>
      <c r="AD72" s="90">
        <f t="shared" si="89"/>
        <v>0</v>
      </c>
      <c r="AE72" s="78" t="str">
        <f t="shared" si="90"/>
        <v>계</v>
      </c>
      <c r="AF72" s="78" t="str">
        <f t="shared" si="91"/>
        <v>4/2</v>
      </c>
      <c r="AH72" s="20" t="str">
        <f t="shared" si="92"/>
        <v>인후송정써미트</v>
      </c>
      <c r="AI72" s="86">
        <f t="shared" si="81"/>
        <v>43</v>
      </c>
      <c r="AJ72" s="78" t="str">
        <f t="shared" si="93"/>
        <v>A-</v>
      </c>
      <c r="AK72" s="78" t="s">
        <v>13</v>
      </c>
      <c r="AL72" s="78" t="s">
        <v>61</v>
      </c>
      <c r="AM72" s="78" t="s">
        <v>62</v>
      </c>
      <c r="AN72" s="78" t="str">
        <f t="shared" si="94"/>
        <v>C</v>
      </c>
      <c r="AO72" s="78" t="str">
        <f t="shared" si="95"/>
        <v/>
      </c>
      <c r="AP72" s="78" t="str">
        <f t="shared" si="96"/>
        <v/>
      </c>
      <c r="AQ72" s="78" t="str">
        <f t="shared" si="97"/>
        <v>O</v>
      </c>
      <c r="AR72" s="78" t="str">
        <f t="shared" si="98"/>
        <v>O</v>
      </c>
      <c r="AS72" s="78" t="s">
        <v>2</v>
      </c>
      <c r="AT72" s="78" t="str">
        <f t="shared" si="99"/>
        <v>X</v>
      </c>
      <c r="AU72" s="78" t="str">
        <f t="shared" si="100"/>
        <v>X</v>
      </c>
      <c r="AV72" s="78" t="str">
        <f t="shared" si="101"/>
        <v/>
      </c>
    </row>
    <row r="73" spans="1:48" x14ac:dyDescent="0.3">
      <c r="A73" s="9" t="s">
        <v>1219</v>
      </c>
      <c r="B73" s="10" t="s">
        <v>1596</v>
      </c>
      <c r="C73" s="87">
        <v>228</v>
      </c>
      <c r="D73" s="85">
        <v>150.5</v>
      </c>
      <c r="E73" s="86">
        <v>46</v>
      </c>
      <c r="F73" s="85">
        <v>119.1</v>
      </c>
      <c r="G73" s="17">
        <v>36</v>
      </c>
      <c r="H73" s="87">
        <v>12</v>
      </c>
      <c r="I73" s="88"/>
      <c r="J73" s="88"/>
      <c r="K73" s="88"/>
      <c r="L73" s="88"/>
      <c r="M73" s="89">
        <f t="shared" si="82"/>
        <v>0</v>
      </c>
      <c r="N73" s="4" t="str">
        <f t="shared" si="83"/>
        <v/>
      </c>
      <c r="O73" s="90">
        <f t="shared" si="84"/>
        <v>0</v>
      </c>
      <c r="P73" s="90">
        <f t="shared" si="85"/>
        <v>0</v>
      </c>
      <c r="Q73" s="78">
        <v>4</v>
      </c>
      <c r="R73" s="78">
        <v>2</v>
      </c>
      <c r="S73" s="78" t="s">
        <v>59</v>
      </c>
      <c r="T73" s="5" t="s">
        <v>213</v>
      </c>
      <c r="U73" s="9"/>
      <c r="W73" s="85">
        <f t="shared" si="86"/>
        <v>150.5</v>
      </c>
      <c r="X73" s="86">
        <f t="shared" si="86"/>
        <v>46</v>
      </c>
      <c r="Y73" s="91">
        <f t="shared" si="87"/>
        <v>12</v>
      </c>
      <c r="Z73" s="89">
        <f t="shared" si="87"/>
        <v>0</v>
      </c>
      <c r="AA73" s="89">
        <f t="shared" si="88"/>
        <v>0</v>
      </c>
      <c r="AB73" s="89">
        <f t="shared" si="89"/>
        <v>0</v>
      </c>
      <c r="AC73" s="4" t="str">
        <f t="shared" si="89"/>
        <v/>
      </c>
      <c r="AD73" s="90">
        <f t="shared" si="89"/>
        <v>0</v>
      </c>
      <c r="AE73" s="78" t="str">
        <f t="shared" si="90"/>
        <v>계</v>
      </c>
      <c r="AF73" s="78" t="str">
        <f t="shared" si="91"/>
        <v>4/2</v>
      </c>
      <c r="AH73" s="20" t="str">
        <f t="shared" si="92"/>
        <v>인후송정써미트</v>
      </c>
      <c r="AI73" s="86">
        <f t="shared" si="81"/>
        <v>46</v>
      </c>
      <c r="AJ73" s="78" t="str">
        <f t="shared" si="93"/>
        <v>A-</v>
      </c>
      <c r="AK73" s="78" t="s">
        <v>13</v>
      </c>
      <c r="AL73" s="78" t="s">
        <v>61</v>
      </c>
      <c r="AM73" s="78" t="s">
        <v>62</v>
      </c>
      <c r="AN73" s="78" t="str">
        <f t="shared" si="94"/>
        <v>C</v>
      </c>
      <c r="AO73" s="78" t="str">
        <f t="shared" si="95"/>
        <v/>
      </c>
      <c r="AP73" s="78" t="str">
        <f t="shared" si="96"/>
        <v/>
      </c>
      <c r="AQ73" s="78" t="str">
        <f t="shared" si="97"/>
        <v>O</v>
      </c>
      <c r="AR73" s="78" t="str">
        <f t="shared" si="98"/>
        <v>O</v>
      </c>
      <c r="AS73" s="78" t="s">
        <v>2</v>
      </c>
      <c r="AT73" s="78" t="str">
        <f t="shared" si="99"/>
        <v>X</v>
      </c>
      <c r="AU73" s="78" t="str">
        <f t="shared" si="100"/>
        <v>X</v>
      </c>
      <c r="AV73" s="78" t="str">
        <f t="shared" si="101"/>
        <v/>
      </c>
    </row>
    <row r="74" spans="1:48" x14ac:dyDescent="0.3">
      <c r="A74" s="9" t="s">
        <v>1219</v>
      </c>
      <c r="B74" s="10" t="s">
        <v>1596</v>
      </c>
      <c r="C74" s="87">
        <v>228</v>
      </c>
      <c r="D74" s="85">
        <v>151</v>
      </c>
      <c r="E74" s="86">
        <v>46</v>
      </c>
      <c r="F74" s="85">
        <v>121</v>
      </c>
      <c r="G74" s="17">
        <v>37</v>
      </c>
      <c r="H74" s="87">
        <v>12</v>
      </c>
      <c r="I74" s="88"/>
      <c r="J74" s="88"/>
      <c r="K74" s="88"/>
      <c r="L74" s="88"/>
      <c r="M74" s="89">
        <f t="shared" si="82"/>
        <v>0</v>
      </c>
      <c r="N74" s="4" t="str">
        <f t="shared" si="83"/>
        <v/>
      </c>
      <c r="O74" s="90">
        <f t="shared" si="84"/>
        <v>0</v>
      </c>
      <c r="P74" s="90">
        <f t="shared" si="85"/>
        <v>0</v>
      </c>
      <c r="Q74" s="78">
        <v>4</v>
      </c>
      <c r="R74" s="78">
        <v>2</v>
      </c>
      <c r="S74" s="78" t="s">
        <v>59</v>
      </c>
      <c r="T74" s="5" t="s">
        <v>214</v>
      </c>
      <c r="U74" s="9"/>
      <c r="W74" s="85">
        <f t="shared" si="86"/>
        <v>151</v>
      </c>
      <c r="X74" s="86">
        <f t="shared" si="86"/>
        <v>46</v>
      </c>
      <c r="Y74" s="91">
        <f t="shared" si="87"/>
        <v>12</v>
      </c>
      <c r="Z74" s="89">
        <f t="shared" si="87"/>
        <v>0</v>
      </c>
      <c r="AA74" s="89">
        <f t="shared" si="88"/>
        <v>0</v>
      </c>
      <c r="AB74" s="89">
        <f t="shared" si="89"/>
        <v>0</v>
      </c>
      <c r="AC74" s="4" t="str">
        <f t="shared" si="89"/>
        <v/>
      </c>
      <c r="AD74" s="90">
        <f t="shared" si="89"/>
        <v>0</v>
      </c>
      <c r="AE74" s="78" t="str">
        <f t="shared" si="90"/>
        <v>계</v>
      </c>
      <c r="AF74" s="78" t="str">
        <f t="shared" si="91"/>
        <v>4/2</v>
      </c>
      <c r="AH74" s="20" t="str">
        <f t="shared" si="92"/>
        <v>인후송정써미트</v>
      </c>
      <c r="AI74" s="86">
        <f t="shared" si="81"/>
        <v>46</v>
      </c>
      <c r="AJ74" s="78" t="str">
        <f t="shared" si="93"/>
        <v>A-</v>
      </c>
      <c r="AK74" s="78" t="s">
        <v>13</v>
      </c>
      <c r="AL74" s="78" t="s">
        <v>61</v>
      </c>
      <c r="AM74" s="78" t="s">
        <v>62</v>
      </c>
      <c r="AN74" s="78" t="str">
        <f t="shared" si="94"/>
        <v>C</v>
      </c>
      <c r="AO74" s="78" t="str">
        <f t="shared" si="95"/>
        <v/>
      </c>
      <c r="AP74" s="78" t="str">
        <f t="shared" si="96"/>
        <v/>
      </c>
      <c r="AQ74" s="78" t="str">
        <f t="shared" si="97"/>
        <v>O</v>
      </c>
      <c r="AR74" s="78" t="str">
        <f t="shared" si="98"/>
        <v>O</v>
      </c>
      <c r="AS74" s="78" t="s">
        <v>2</v>
      </c>
      <c r="AT74" s="78" t="str">
        <f t="shared" si="99"/>
        <v>X</v>
      </c>
      <c r="AU74" s="78" t="str">
        <f t="shared" si="100"/>
        <v>X</v>
      </c>
      <c r="AV74" s="78" t="str">
        <f t="shared" si="101"/>
        <v/>
      </c>
    </row>
    <row r="75" spans="1:48" x14ac:dyDescent="0.3">
      <c r="A75" s="9" t="s">
        <v>1219</v>
      </c>
      <c r="B75" s="10" t="s">
        <v>1596</v>
      </c>
      <c r="C75" s="87">
        <v>228</v>
      </c>
      <c r="D75" s="85">
        <v>151.9</v>
      </c>
      <c r="E75" s="86">
        <v>46</v>
      </c>
      <c r="F75" s="85">
        <v>115</v>
      </c>
      <c r="G75" s="17">
        <v>35</v>
      </c>
      <c r="H75" s="87">
        <v>12</v>
      </c>
      <c r="I75" s="88"/>
      <c r="J75" s="88"/>
      <c r="K75" s="88"/>
      <c r="L75" s="88"/>
      <c r="M75" s="89">
        <f t="shared" si="82"/>
        <v>0</v>
      </c>
      <c r="N75" s="4" t="str">
        <f t="shared" si="83"/>
        <v/>
      </c>
      <c r="O75" s="90">
        <f t="shared" si="84"/>
        <v>0</v>
      </c>
      <c r="P75" s="90">
        <f t="shared" si="85"/>
        <v>0</v>
      </c>
      <c r="Q75" s="78">
        <v>4</v>
      </c>
      <c r="R75" s="78">
        <v>2</v>
      </c>
      <c r="S75" s="78" t="s">
        <v>59</v>
      </c>
      <c r="T75" s="5" t="s">
        <v>184</v>
      </c>
      <c r="U75" s="9"/>
      <c r="W75" s="85">
        <f t="shared" si="86"/>
        <v>151.9</v>
      </c>
      <c r="X75" s="86">
        <f t="shared" si="86"/>
        <v>46</v>
      </c>
      <c r="Y75" s="91">
        <f t="shared" si="87"/>
        <v>12</v>
      </c>
      <c r="Z75" s="89">
        <f t="shared" si="87"/>
        <v>0</v>
      </c>
      <c r="AA75" s="89">
        <f t="shared" si="88"/>
        <v>0</v>
      </c>
      <c r="AB75" s="89">
        <f t="shared" si="89"/>
        <v>0</v>
      </c>
      <c r="AC75" s="4" t="str">
        <f t="shared" si="89"/>
        <v/>
      </c>
      <c r="AD75" s="90">
        <f t="shared" si="89"/>
        <v>0</v>
      </c>
      <c r="AE75" s="78" t="str">
        <f t="shared" si="90"/>
        <v>계</v>
      </c>
      <c r="AF75" s="78" t="str">
        <f t="shared" si="91"/>
        <v>4/2</v>
      </c>
      <c r="AH75" s="20" t="str">
        <f t="shared" si="92"/>
        <v>인후송정써미트</v>
      </c>
      <c r="AI75" s="86">
        <f t="shared" si="81"/>
        <v>46</v>
      </c>
      <c r="AJ75" s="78" t="str">
        <f t="shared" si="93"/>
        <v>A-</v>
      </c>
      <c r="AK75" s="78" t="s">
        <v>13</v>
      </c>
      <c r="AL75" s="78" t="s">
        <v>61</v>
      </c>
      <c r="AM75" s="78" t="s">
        <v>62</v>
      </c>
      <c r="AN75" s="78" t="str">
        <f t="shared" si="94"/>
        <v>C</v>
      </c>
      <c r="AO75" s="78" t="str">
        <f t="shared" si="95"/>
        <v/>
      </c>
      <c r="AP75" s="78" t="str">
        <f t="shared" si="96"/>
        <v/>
      </c>
      <c r="AQ75" s="78" t="str">
        <f t="shared" si="97"/>
        <v>O</v>
      </c>
      <c r="AR75" s="78" t="str">
        <f t="shared" si="98"/>
        <v>O</v>
      </c>
      <c r="AS75" s="78" t="s">
        <v>2</v>
      </c>
      <c r="AT75" s="78" t="str">
        <f t="shared" si="99"/>
        <v>X</v>
      </c>
      <c r="AU75" s="78" t="str">
        <f t="shared" si="100"/>
        <v>X</v>
      </c>
      <c r="AV75" s="78" t="str">
        <f t="shared" si="101"/>
        <v/>
      </c>
    </row>
    <row r="76" spans="1:48" x14ac:dyDescent="0.3">
      <c r="A76" s="9" t="s">
        <v>1219</v>
      </c>
      <c r="B76" s="10" t="s">
        <v>1596</v>
      </c>
      <c r="C76" s="87">
        <v>228</v>
      </c>
      <c r="D76" s="85">
        <v>156.1</v>
      </c>
      <c r="E76" s="86">
        <v>47</v>
      </c>
      <c r="F76" s="85">
        <v>124.6</v>
      </c>
      <c r="G76" s="17">
        <v>38</v>
      </c>
      <c r="H76" s="87">
        <v>48</v>
      </c>
      <c r="I76" s="88"/>
      <c r="J76" s="88"/>
      <c r="K76" s="88"/>
      <c r="L76" s="88"/>
      <c r="M76" s="89">
        <f t="shared" si="82"/>
        <v>0</v>
      </c>
      <c r="N76" s="4" t="str">
        <f t="shared" si="83"/>
        <v/>
      </c>
      <c r="O76" s="90">
        <f t="shared" si="84"/>
        <v>0</v>
      </c>
      <c r="P76" s="90">
        <f t="shared" si="85"/>
        <v>0</v>
      </c>
      <c r="Q76" s="78">
        <v>4</v>
      </c>
      <c r="R76" s="78">
        <v>2</v>
      </c>
      <c r="S76" s="78" t="s">
        <v>59</v>
      </c>
      <c r="T76" s="5">
        <v>156</v>
      </c>
      <c r="U76" s="9"/>
      <c r="W76" s="85">
        <f t="shared" si="86"/>
        <v>156.1</v>
      </c>
      <c r="X76" s="86">
        <f t="shared" si="86"/>
        <v>47</v>
      </c>
      <c r="Y76" s="91">
        <f t="shared" si="87"/>
        <v>48</v>
      </c>
      <c r="Z76" s="89">
        <f t="shared" si="87"/>
        <v>0</v>
      </c>
      <c r="AA76" s="89">
        <f t="shared" si="88"/>
        <v>0</v>
      </c>
      <c r="AB76" s="89">
        <f t="shared" si="89"/>
        <v>0</v>
      </c>
      <c r="AC76" s="4" t="str">
        <f t="shared" si="89"/>
        <v/>
      </c>
      <c r="AD76" s="90">
        <f t="shared" si="89"/>
        <v>0</v>
      </c>
      <c r="AE76" s="78" t="str">
        <f t="shared" si="90"/>
        <v>계</v>
      </c>
      <c r="AF76" s="78" t="str">
        <f t="shared" si="91"/>
        <v>4/2</v>
      </c>
      <c r="AH76" s="20" t="str">
        <f t="shared" si="92"/>
        <v>인후송정써미트</v>
      </c>
      <c r="AI76" s="86">
        <f t="shared" si="81"/>
        <v>47</v>
      </c>
      <c r="AJ76" s="78" t="str">
        <f t="shared" si="93"/>
        <v>A-</v>
      </c>
      <c r="AK76" s="78" t="s">
        <v>13</v>
      </c>
      <c r="AL76" s="78" t="s">
        <v>61</v>
      </c>
      <c r="AM76" s="78" t="s">
        <v>62</v>
      </c>
      <c r="AN76" s="78" t="str">
        <f t="shared" si="94"/>
        <v>C</v>
      </c>
      <c r="AO76" s="78" t="str">
        <f t="shared" si="95"/>
        <v/>
      </c>
      <c r="AP76" s="78" t="str">
        <f t="shared" si="96"/>
        <v/>
      </c>
      <c r="AQ76" s="78" t="str">
        <f t="shared" si="97"/>
        <v>O</v>
      </c>
      <c r="AR76" s="78" t="str">
        <f t="shared" si="98"/>
        <v>O</v>
      </c>
      <c r="AS76" s="78" t="s">
        <v>2</v>
      </c>
      <c r="AT76" s="78" t="str">
        <f t="shared" si="99"/>
        <v>X</v>
      </c>
      <c r="AU76" s="78" t="str">
        <f t="shared" si="100"/>
        <v>X</v>
      </c>
      <c r="AV76" s="78" t="str">
        <f t="shared" si="101"/>
        <v/>
      </c>
    </row>
    <row r="77" spans="1:48" x14ac:dyDescent="0.3">
      <c r="A77" s="9"/>
      <c r="B77" s="78"/>
      <c r="C77" s="6"/>
      <c r="D77" s="9"/>
      <c r="E77" s="14"/>
      <c r="F77" s="85"/>
      <c r="G77" s="9"/>
      <c r="H77" s="9"/>
      <c r="I77" s="9"/>
      <c r="J77" s="9"/>
      <c r="K77" s="9"/>
      <c r="L77" s="9"/>
      <c r="M77" s="9"/>
      <c r="N77" s="9"/>
      <c r="O77" s="90"/>
      <c r="P77" s="90"/>
      <c r="Q77" s="86"/>
      <c r="R77" s="86"/>
      <c r="S77" s="9"/>
      <c r="T77" s="47"/>
      <c r="U77" s="9"/>
      <c r="W77" s="67" t="str">
        <f>$A$4&amp;" "&amp;A78&amp;"("&amp;B78&amp;","&amp;C78&amp;"^)"</f>
        <v>인후동1가 인후꿈마을부영2차('99.09.,1335^)</v>
      </c>
      <c r="X77" s="68"/>
      <c r="Y77" s="68"/>
      <c r="Z77" s="68"/>
      <c r="AA77" s="68"/>
      <c r="AB77" s="68"/>
      <c r="AC77" s="68"/>
      <c r="AD77" s="68"/>
      <c r="AE77" s="68"/>
      <c r="AF77" s="69"/>
      <c r="AH77" s="20" t="str">
        <f t="shared" si="92"/>
        <v/>
      </c>
      <c r="AI77" s="108" t="str">
        <f t="shared" si="81"/>
        <v/>
      </c>
      <c r="AJ77" s="78"/>
      <c r="AK77" s="78"/>
      <c r="AL77" s="78"/>
      <c r="AM77" s="78"/>
      <c r="AN77" s="78"/>
      <c r="AO77" s="78"/>
      <c r="AP77" s="78"/>
      <c r="AQ77" s="78"/>
      <c r="AR77" s="78"/>
      <c r="AS77" s="78"/>
      <c r="AT77" s="78"/>
      <c r="AU77" s="78"/>
      <c r="AV77" s="78"/>
    </row>
    <row r="78" spans="1:48" x14ac:dyDescent="0.3">
      <c r="A78" s="9" t="s">
        <v>1223</v>
      </c>
      <c r="B78" s="10" t="s">
        <v>1604</v>
      </c>
      <c r="C78" s="87">
        <v>1335</v>
      </c>
      <c r="D78" s="85">
        <v>68.5</v>
      </c>
      <c r="E78" s="86">
        <v>21</v>
      </c>
      <c r="F78" s="85">
        <v>49.8</v>
      </c>
      <c r="G78" s="17">
        <v>15</v>
      </c>
      <c r="H78" s="87">
        <v>180</v>
      </c>
      <c r="I78" s="88">
        <v>11500</v>
      </c>
      <c r="J78" s="88" t="s">
        <v>104</v>
      </c>
      <c r="K78" s="88">
        <v>10500</v>
      </c>
      <c r="L78" s="88" t="s">
        <v>104</v>
      </c>
      <c r="M78" s="89">
        <f>I78-K78</f>
        <v>1000</v>
      </c>
      <c r="N78" s="4">
        <f>IF(ISERROR(K78/I78),"",K78/I78)</f>
        <v>0.91304347826086951</v>
      </c>
      <c r="O78" s="90">
        <f>I78/E78</f>
        <v>547.61904761904759</v>
      </c>
      <c r="P78" s="90">
        <f>K78/E78</f>
        <v>500</v>
      </c>
      <c r="Q78" s="78">
        <v>2</v>
      </c>
      <c r="R78" s="78">
        <v>1</v>
      </c>
      <c r="S78" s="78" t="s">
        <v>59</v>
      </c>
      <c r="T78" s="5">
        <v>68</v>
      </c>
      <c r="U78" s="9"/>
      <c r="W78" s="85">
        <f>D78</f>
        <v>68.5</v>
      </c>
      <c r="X78" s="86">
        <f>E78</f>
        <v>21</v>
      </c>
      <c r="Y78" s="91">
        <f>H78</f>
        <v>180</v>
      </c>
      <c r="Z78" s="89">
        <f>I78</f>
        <v>11500</v>
      </c>
      <c r="AA78" s="89">
        <f>K78</f>
        <v>10500</v>
      </c>
      <c r="AB78" s="89">
        <f t="shared" ref="AB78:AD79" si="102">M78</f>
        <v>1000</v>
      </c>
      <c r="AC78" s="4">
        <f t="shared" si="102"/>
        <v>0.91304347826086951</v>
      </c>
      <c r="AD78" s="90">
        <f t="shared" si="102"/>
        <v>547.61904761904759</v>
      </c>
      <c r="AE78" s="78" t="str">
        <f>S78</f>
        <v>계</v>
      </c>
      <c r="AF78" s="78" t="str">
        <f>Q78&amp;"/"&amp;R78</f>
        <v>2/1</v>
      </c>
      <c r="AH78" s="20" t="str">
        <f t="shared" si="92"/>
        <v>인후꿈마을부영2차</v>
      </c>
      <c r="AI78" s="86">
        <f t="shared" si="81"/>
        <v>21</v>
      </c>
      <c r="AJ78" s="78" t="str">
        <f>IF(AI78="","",$AJ$2)</f>
        <v>A-</v>
      </c>
      <c r="AK78" s="78" t="s">
        <v>13</v>
      </c>
      <c r="AL78" s="78" t="s">
        <v>61</v>
      </c>
      <c r="AM78" s="78" t="s">
        <v>62</v>
      </c>
      <c r="AN78" s="78" t="str">
        <f>IF(AI78="","",$AN$2)</f>
        <v>C</v>
      </c>
      <c r="AO78" s="78" t="str">
        <f>IF(N78="","",IF(N78&gt;=$AO$1/100,"O","X"))</f>
        <v>O</v>
      </c>
      <c r="AP78" s="78" t="str">
        <f>IF(I78="","",IF(I78&lt;=$AP$1,"O","X"))</f>
        <v>O</v>
      </c>
      <c r="AQ78" s="78" t="str">
        <f>IF(O78="","",IF(O78&lt;=$AQ$1,"O","X"))</f>
        <v>O</v>
      </c>
      <c r="AR78" s="78" t="str">
        <f>IF(M78="","",IF(M78&lt;=$AR$1,"O","X"))</f>
        <v>O</v>
      </c>
      <c r="AS78" s="78" t="s">
        <v>2</v>
      </c>
      <c r="AT78" s="78" t="str">
        <f>IF(OR(F78="",AI78=""),"",IF(AND((F78&lt;=85),(AI78&gt;=15)),"O","X"))</f>
        <v>O</v>
      </c>
      <c r="AU78" s="78" t="str">
        <f>IF(C78="","",IF(C78&gt;=$AU$1,"O","X"))</f>
        <v>O</v>
      </c>
      <c r="AV78" s="78" t="str">
        <f>IF(AO78="","",IF(AND(AO78="O",AP78="O",AR78="O",AT78="O",AU78="O"),"후보","X"))</f>
        <v>후보</v>
      </c>
    </row>
    <row r="79" spans="1:48" x14ac:dyDescent="0.3">
      <c r="A79" s="9" t="s">
        <v>1223</v>
      </c>
      <c r="B79" s="10" t="s">
        <v>1604</v>
      </c>
      <c r="C79" s="87">
        <v>1335</v>
      </c>
      <c r="D79" s="85">
        <v>82.4</v>
      </c>
      <c r="E79" s="86">
        <v>25</v>
      </c>
      <c r="F79" s="85">
        <v>59.9</v>
      </c>
      <c r="G79" s="17">
        <v>18</v>
      </c>
      <c r="H79" s="87">
        <v>1155</v>
      </c>
      <c r="I79" s="88">
        <v>11900</v>
      </c>
      <c r="J79" s="88" t="s">
        <v>72</v>
      </c>
      <c r="K79" s="88">
        <v>13000</v>
      </c>
      <c r="L79" s="88" t="s">
        <v>83</v>
      </c>
      <c r="M79" s="89">
        <f>I79-K79</f>
        <v>-1100</v>
      </c>
      <c r="N79" s="4">
        <f>IF(ISERROR(K79/I79),"",K79/I79)</f>
        <v>1.0924369747899159</v>
      </c>
      <c r="O79" s="90">
        <f>I79/E79</f>
        <v>476</v>
      </c>
      <c r="P79" s="90">
        <f>K79/E79</f>
        <v>520</v>
      </c>
      <c r="Q79" s="78">
        <v>3</v>
      </c>
      <c r="R79" s="78">
        <v>1</v>
      </c>
      <c r="S79" s="78" t="s">
        <v>59</v>
      </c>
      <c r="T79" s="5">
        <v>82</v>
      </c>
      <c r="U79" s="9"/>
      <c r="W79" s="85">
        <f>D79</f>
        <v>82.4</v>
      </c>
      <c r="X79" s="86">
        <f>E79</f>
        <v>25</v>
      </c>
      <c r="Y79" s="91">
        <f>H79</f>
        <v>1155</v>
      </c>
      <c r="Z79" s="89">
        <f>I79</f>
        <v>11900</v>
      </c>
      <c r="AA79" s="89">
        <f>K79</f>
        <v>13000</v>
      </c>
      <c r="AB79" s="89">
        <f t="shared" si="102"/>
        <v>-1100</v>
      </c>
      <c r="AC79" s="4">
        <f t="shared" si="102"/>
        <v>1.0924369747899159</v>
      </c>
      <c r="AD79" s="90">
        <f t="shared" si="102"/>
        <v>476</v>
      </c>
      <c r="AE79" s="78" t="str">
        <f>S79</f>
        <v>계</v>
      </c>
      <c r="AF79" s="78" t="str">
        <f>Q79&amp;"/"&amp;R79</f>
        <v>3/1</v>
      </c>
      <c r="AH79" s="20" t="str">
        <f t="shared" si="92"/>
        <v>인후꿈마을부영2차</v>
      </c>
      <c r="AI79" s="86">
        <f t="shared" si="81"/>
        <v>25</v>
      </c>
      <c r="AJ79" s="78" t="str">
        <f>IF(AI79="","",$AJ$2)</f>
        <v>A-</v>
      </c>
      <c r="AK79" s="78" t="s">
        <v>13</v>
      </c>
      <c r="AL79" s="78" t="s">
        <v>61</v>
      </c>
      <c r="AM79" s="78" t="s">
        <v>62</v>
      </c>
      <c r="AN79" s="78" t="str">
        <f>IF(AI79="","",$AN$2)</f>
        <v>C</v>
      </c>
      <c r="AO79" s="78" t="str">
        <f>IF(N79="","",IF(N79&gt;=$AO$1/100,"O","X"))</f>
        <v>O</v>
      </c>
      <c r="AP79" s="78" t="str">
        <f>IF(I79="","",IF(I79&lt;=$AP$1,"O","X"))</f>
        <v>O</v>
      </c>
      <c r="AQ79" s="78" t="str">
        <f>IF(O79="","",IF(O79&lt;=$AQ$1,"O","X"))</f>
        <v>O</v>
      </c>
      <c r="AR79" s="78" t="str">
        <f>IF(M79="","",IF(M79&lt;=$AR$1,"O","X"))</f>
        <v>O</v>
      </c>
      <c r="AS79" s="78" t="s">
        <v>2</v>
      </c>
      <c r="AT79" s="78" t="str">
        <f>IF(OR(F79="",AI79=""),"",IF(AND((F79&lt;=85),(AI79&gt;=15)),"O","X"))</f>
        <v>O</v>
      </c>
      <c r="AU79" s="78" t="str">
        <f>IF(C79="","",IF(C79&gt;=$AU$1,"O","X"))</f>
        <v>O</v>
      </c>
      <c r="AV79" s="78" t="str">
        <f>IF(AO79="","",IF(AND(AO79="O",AP79="O",AR79="O",AT79="O",AU79="O"),"후보","X"))</f>
        <v>후보</v>
      </c>
    </row>
    <row r="80" spans="1:48" x14ac:dyDescent="0.3">
      <c r="A80" s="9"/>
      <c r="B80" s="78"/>
      <c r="C80" s="6"/>
      <c r="D80" s="9"/>
      <c r="E80" s="14"/>
      <c r="F80" s="85"/>
      <c r="G80" s="9"/>
      <c r="H80" s="9"/>
      <c r="I80" s="9"/>
      <c r="J80" s="9"/>
      <c r="K80" s="9"/>
      <c r="L80" s="9"/>
      <c r="M80" s="9"/>
      <c r="N80" s="9"/>
      <c r="O80" s="90"/>
      <c r="P80" s="90"/>
      <c r="Q80" s="86"/>
      <c r="R80" s="86"/>
      <c r="S80" s="9"/>
      <c r="T80" s="47"/>
      <c r="U80" s="9"/>
      <c r="W80" s="67" t="str">
        <f>$A$4&amp;" "&amp;A81&amp;"("&amp;B81&amp;","&amp;C81&amp;"^)"</f>
        <v>인후동1가 진버들마을부영1차('99.09.,934^)</v>
      </c>
      <c r="X80" s="68"/>
      <c r="Y80" s="68"/>
      <c r="Z80" s="68"/>
      <c r="AA80" s="68"/>
      <c r="AB80" s="68"/>
      <c r="AC80" s="68"/>
      <c r="AD80" s="68"/>
      <c r="AE80" s="68"/>
      <c r="AF80" s="69"/>
      <c r="AH80" s="20" t="str">
        <f t="shared" si="92"/>
        <v/>
      </c>
      <c r="AI80" s="108" t="str">
        <f t="shared" si="81"/>
        <v/>
      </c>
      <c r="AJ80" s="78"/>
      <c r="AK80" s="78"/>
      <c r="AL80" s="78"/>
      <c r="AM80" s="78"/>
      <c r="AN80" s="78"/>
      <c r="AO80" s="78"/>
      <c r="AP80" s="78"/>
      <c r="AQ80" s="78"/>
      <c r="AR80" s="78"/>
      <c r="AS80" s="78"/>
      <c r="AT80" s="78"/>
      <c r="AU80" s="78"/>
      <c r="AV80" s="78"/>
    </row>
    <row r="81" spans="1:48" x14ac:dyDescent="0.3">
      <c r="A81" s="9" t="s">
        <v>1227</v>
      </c>
      <c r="B81" s="10" t="s">
        <v>1604</v>
      </c>
      <c r="C81" s="87">
        <v>934</v>
      </c>
      <c r="D81" s="85">
        <v>69.599999999999994</v>
      </c>
      <c r="E81" s="86">
        <v>21</v>
      </c>
      <c r="F81" s="85">
        <v>49.8</v>
      </c>
      <c r="G81" s="17">
        <v>15</v>
      </c>
      <c r="H81" s="87">
        <v>934</v>
      </c>
      <c r="I81" s="88"/>
      <c r="J81" s="88"/>
      <c r="K81" s="88"/>
      <c r="L81" s="88"/>
      <c r="M81" s="89">
        <f>I81-K81</f>
        <v>0</v>
      </c>
      <c r="N81" s="4" t="str">
        <f>IF(ISERROR(K81/I81),"",K81/I81)</f>
        <v/>
      </c>
      <c r="O81" s="90">
        <f>I81/E81</f>
        <v>0</v>
      </c>
      <c r="P81" s="90">
        <f>K81/E81</f>
        <v>0</v>
      </c>
      <c r="Q81" s="78">
        <v>2</v>
      </c>
      <c r="R81" s="78">
        <v>1</v>
      </c>
      <c r="S81" s="78" t="s">
        <v>65</v>
      </c>
      <c r="T81" s="5">
        <v>69</v>
      </c>
      <c r="U81" s="9"/>
      <c r="W81" s="85">
        <f>D81</f>
        <v>69.599999999999994</v>
      </c>
      <c r="X81" s="86">
        <f>E81</f>
        <v>21</v>
      </c>
      <c r="Y81" s="91">
        <f>H81</f>
        <v>934</v>
      </c>
      <c r="Z81" s="89">
        <f>I81</f>
        <v>0</v>
      </c>
      <c r="AA81" s="89">
        <f>K81</f>
        <v>0</v>
      </c>
      <c r="AB81" s="89">
        <f>M81</f>
        <v>0</v>
      </c>
      <c r="AC81" s="4" t="str">
        <f>N81</f>
        <v/>
      </c>
      <c r="AD81" s="90">
        <f>O81</f>
        <v>0</v>
      </c>
      <c r="AE81" s="78" t="str">
        <f>S81</f>
        <v>복</v>
      </c>
      <c r="AF81" s="78" t="str">
        <f>Q81&amp;"/"&amp;R81</f>
        <v>2/1</v>
      </c>
      <c r="AH81" s="20" t="str">
        <f t="shared" si="92"/>
        <v>진버들마을부영1차</v>
      </c>
      <c r="AI81" s="86">
        <f t="shared" si="81"/>
        <v>21</v>
      </c>
      <c r="AJ81" s="78" t="str">
        <f>IF(AI81="","",$AJ$2)</f>
        <v>A-</v>
      </c>
      <c r="AK81" s="78" t="s">
        <v>13</v>
      </c>
      <c r="AL81" s="78" t="s">
        <v>61</v>
      </c>
      <c r="AM81" s="78" t="s">
        <v>62</v>
      </c>
      <c r="AN81" s="78" t="str">
        <f>IF(AI81="","",$AN$2)</f>
        <v>C</v>
      </c>
      <c r="AO81" s="78" t="str">
        <f>IF(N81="","",IF(N81&gt;=$AO$1/100,"O","X"))</f>
        <v/>
      </c>
      <c r="AP81" s="78" t="str">
        <f>IF(I81="","",IF(I81&lt;=$AP$1,"O","X"))</f>
        <v/>
      </c>
      <c r="AQ81" s="78" t="str">
        <f>IF(O81="","",IF(O81&lt;=$AQ$1,"O","X"))</f>
        <v>O</v>
      </c>
      <c r="AR81" s="78" t="str">
        <f>IF(M81="","",IF(M81&lt;=$AR$1,"O","X"))</f>
        <v>O</v>
      </c>
      <c r="AS81" s="78" t="s">
        <v>2</v>
      </c>
      <c r="AT81" s="78" t="str">
        <f>IF(OR(F81="",AI81=""),"",IF(AND((F81&lt;=85),(AI81&gt;=15)),"O","X"))</f>
        <v>O</v>
      </c>
      <c r="AU81" s="78" t="str">
        <f>IF(C81="","",IF(C81&gt;=$AU$1,"O","X"))</f>
        <v>O</v>
      </c>
      <c r="AV81" s="78" t="str">
        <f>IF(AO81="","",IF(AND(AO81="O",AP81="O",AR81="O",AT81="O",AU81="O"),"후보","X"))</f>
        <v/>
      </c>
    </row>
    <row r="82" spans="1:48" x14ac:dyDescent="0.3">
      <c r="A82" s="9"/>
      <c r="B82" s="78"/>
      <c r="C82" s="6"/>
      <c r="D82" s="9"/>
      <c r="E82" s="14"/>
      <c r="F82" s="85"/>
      <c r="G82" s="9"/>
      <c r="H82" s="9"/>
      <c r="I82" s="9"/>
      <c r="J82" s="9"/>
      <c r="K82" s="9"/>
      <c r="L82" s="9"/>
      <c r="M82" s="9"/>
      <c r="N82" s="9"/>
      <c r="O82" s="90"/>
      <c r="P82" s="90"/>
      <c r="Q82" s="86"/>
      <c r="R82" s="86"/>
      <c r="S82" s="9"/>
      <c r="T82" s="47"/>
      <c r="U82" s="9"/>
      <c r="W82" s="67" t="str">
        <f>$A$4&amp;" "&amp;A83&amp;"("&amp;B83&amp;","&amp;C83&amp;"^)"</f>
        <v>인후동1가 더샵인후센트럴('20.08.,478^)</v>
      </c>
      <c r="X82" s="68"/>
      <c r="Y82" s="68"/>
      <c r="Z82" s="68"/>
      <c r="AA82" s="68"/>
      <c r="AB82" s="68"/>
      <c r="AC82" s="68"/>
      <c r="AD82" s="68"/>
      <c r="AE82" s="68"/>
      <c r="AF82" s="69"/>
      <c r="AH82" s="20" t="str">
        <f t="shared" si="92"/>
        <v/>
      </c>
      <c r="AI82" s="108" t="str">
        <f t="shared" si="81"/>
        <v/>
      </c>
      <c r="AJ82" s="78"/>
      <c r="AK82" s="78"/>
      <c r="AL82" s="78"/>
      <c r="AM82" s="78"/>
      <c r="AN82" s="78"/>
      <c r="AO82" s="78"/>
      <c r="AP82" s="78"/>
      <c r="AQ82" s="78"/>
      <c r="AR82" s="78"/>
      <c r="AS82" s="78"/>
      <c r="AT82" s="78"/>
      <c r="AU82" s="78"/>
      <c r="AV82" s="78"/>
    </row>
    <row r="83" spans="1:48" x14ac:dyDescent="0.3">
      <c r="A83" s="9" t="s">
        <v>1231</v>
      </c>
      <c r="B83" s="10" t="s">
        <v>1613</v>
      </c>
      <c r="C83" s="87">
        <v>478</v>
      </c>
      <c r="D83" s="85">
        <v>83</v>
      </c>
      <c r="E83" s="86">
        <v>25</v>
      </c>
      <c r="F83" s="85">
        <v>60</v>
      </c>
      <c r="G83" s="17">
        <v>18</v>
      </c>
      <c r="H83" s="87">
        <v>107</v>
      </c>
      <c r="I83" s="88"/>
      <c r="J83" s="88"/>
      <c r="K83" s="88"/>
      <c r="L83" s="88"/>
      <c r="M83" s="89">
        <f>I83-K83</f>
        <v>0</v>
      </c>
      <c r="N83" s="4" t="str">
        <f>IF(ISERROR(K83/I83),"",K83/I83)</f>
        <v/>
      </c>
      <c r="O83" s="90">
        <f>I83/E83</f>
        <v>0</v>
      </c>
      <c r="P83" s="90">
        <f>K83/E83</f>
        <v>0</v>
      </c>
      <c r="Q83" s="78">
        <v>3</v>
      </c>
      <c r="R83" s="78">
        <v>2</v>
      </c>
      <c r="S83" s="78" t="s">
        <v>59</v>
      </c>
      <c r="T83" s="5" t="s">
        <v>112</v>
      </c>
      <c r="U83" s="9"/>
      <c r="W83" s="85">
        <f t="shared" ref="W83:X85" si="103">D83</f>
        <v>83</v>
      </c>
      <c r="X83" s="86">
        <f t="shared" si="103"/>
        <v>25</v>
      </c>
      <c r="Y83" s="91">
        <f t="shared" ref="Y83:Z85" si="104">H83</f>
        <v>107</v>
      </c>
      <c r="Z83" s="89">
        <f t="shared" si="104"/>
        <v>0</v>
      </c>
      <c r="AA83" s="89">
        <f>K83</f>
        <v>0</v>
      </c>
      <c r="AB83" s="89">
        <f t="shared" ref="AB83:AD85" si="105">M83</f>
        <v>0</v>
      </c>
      <c r="AC83" s="4" t="str">
        <f t="shared" si="105"/>
        <v/>
      </c>
      <c r="AD83" s="90">
        <f t="shared" si="105"/>
        <v>0</v>
      </c>
      <c r="AE83" s="78" t="str">
        <f>S83</f>
        <v>계</v>
      </c>
      <c r="AF83" s="78" t="str">
        <f>Q83&amp;"/"&amp;R83</f>
        <v>3/2</v>
      </c>
      <c r="AH83" s="20" t="str">
        <f t="shared" si="92"/>
        <v>더샵인후센트럴</v>
      </c>
      <c r="AI83" s="86">
        <f t="shared" si="81"/>
        <v>25</v>
      </c>
      <c r="AJ83" s="78" t="str">
        <f>IF(AI83="","",$AJ$2)</f>
        <v>A-</v>
      </c>
      <c r="AK83" s="78" t="s">
        <v>13</v>
      </c>
      <c r="AL83" s="78" t="s">
        <v>61</v>
      </c>
      <c r="AM83" s="78" t="s">
        <v>62</v>
      </c>
      <c r="AN83" s="78" t="str">
        <f>IF(AI83="","",$AN$2)</f>
        <v>C</v>
      </c>
      <c r="AO83" s="78" t="str">
        <f>IF(N83="","",IF(N83&gt;=$AO$1/100,"O","X"))</f>
        <v/>
      </c>
      <c r="AP83" s="78" t="str">
        <f>IF(I83="","",IF(I83&lt;=$AP$1,"O","X"))</f>
        <v/>
      </c>
      <c r="AQ83" s="78" t="str">
        <f>IF(O83="","",IF(O83&lt;=$AQ$1,"O","X"))</f>
        <v>O</v>
      </c>
      <c r="AR83" s="78" t="str">
        <f>IF(M83="","",IF(M83&lt;=$AR$1,"O","X"))</f>
        <v>O</v>
      </c>
      <c r="AS83" s="78" t="s">
        <v>2</v>
      </c>
      <c r="AT83" s="78" t="str">
        <f>IF(OR(F83="",AI83=""),"",IF(AND((F83&lt;=85),(AI83&gt;=15)),"O","X"))</f>
        <v>O</v>
      </c>
      <c r="AU83" s="78" t="str">
        <f>IF(C83="","",IF(C83&gt;=$AU$1,"O","X"))</f>
        <v>O</v>
      </c>
      <c r="AV83" s="78" t="str">
        <f>IF(AO83="","",IF(AND(AO83="O",AP83="O",AR83="O",AT83="O",AU83="O"),"후보","X"))</f>
        <v/>
      </c>
    </row>
    <row r="84" spans="1:48" x14ac:dyDescent="0.3">
      <c r="A84" s="9" t="s">
        <v>1231</v>
      </c>
      <c r="B84" s="10" t="s">
        <v>1613</v>
      </c>
      <c r="C84" s="87">
        <v>478</v>
      </c>
      <c r="D84" s="85">
        <v>105.2</v>
      </c>
      <c r="E84" s="86">
        <v>32</v>
      </c>
      <c r="F84" s="85">
        <v>77</v>
      </c>
      <c r="G84" s="17">
        <v>23</v>
      </c>
      <c r="H84" s="87">
        <v>275</v>
      </c>
      <c r="I84" s="88"/>
      <c r="J84" s="88"/>
      <c r="K84" s="88"/>
      <c r="L84" s="88"/>
      <c r="M84" s="89">
        <f>I84-K84</f>
        <v>0</v>
      </c>
      <c r="N84" s="4" t="str">
        <f>IF(ISERROR(K84/I84),"",K84/I84)</f>
        <v/>
      </c>
      <c r="O84" s="90">
        <f>I84/E84</f>
        <v>0</v>
      </c>
      <c r="P84" s="90">
        <f>K84/E84</f>
        <v>0</v>
      </c>
      <c r="Q84" s="78">
        <v>3</v>
      </c>
      <c r="R84" s="78">
        <v>2</v>
      </c>
      <c r="S84" s="78" t="s">
        <v>59</v>
      </c>
      <c r="T84" s="5" t="s">
        <v>215</v>
      </c>
      <c r="U84" s="9"/>
      <c r="W84" s="85">
        <f t="shared" si="103"/>
        <v>105.2</v>
      </c>
      <c r="X84" s="86">
        <f t="shared" si="103"/>
        <v>32</v>
      </c>
      <c r="Y84" s="91">
        <f t="shared" si="104"/>
        <v>275</v>
      </c>
      <c r="Z84" s="89">
        <f t="shared" si="104"/>
        <v>0</v>
      </c>
      <c r="AA84" s="89">
        <f>K84</f>
        <v>0</v>
      </c>
      <c r="AB84" s="89">
        <f t="shared" si="105"/>
        <v>0</v>
      </c>
      <c r="AC84" s="4" t="str">
        <f t="shared" si="105"/>
        <v/>
      </c>
      <c r="AD84" s="90">
        <f t="shared" si="105"/>
        <v>0</v>
      </c>
      <c r="AE84" s="78" t="str">
        <f>S84</f>
        <v>계</v>
      </c>
      <c r="AF84" s="78" t="str">
        <f>Q84&amp;"/"&amp;R84</f>
        <v>3/2</v>
      </c>
      <c r="AH84" s="20" t="str">
        <f t="shared" si="92"/>
        <v>더샵인후센트럴</v>
      </c>
      <c r="AI84" s="86">
        <f t="shared" si="81"/>
        <v>32</v>
      </c>
      <c r="AJ84" s="78" t="str">
        <f>IF(AI84="","",$AJ$2)</f>
        <v>A-</v>
      </c>
      <c r="AK84" s="78" t="s">
        <v>13</v>
      </c>
      <c r="AL84" s="78" t="s">
        <v>61</v>
      </c>
      <c r="AM84" s="78" t="s">
        <v>62</v>
      </c>
      <c r="AN84" s="78" t="str">
        <f>IF(AI84="","",$AN$2)</f>
        <v>C</v>
      </c>
      <c r="AO84" s="78" t="str">
        <f>IF(N84="","",IF(N84&gt;=$AO$1/100,"O","X"))</f>
        <v/>
      </c>
      <c r="AP84" s="78" t="str">
        <f>IF(I84="","",IF(I84&lt;=$AP$1,"O","X"))</f>
        <v/>
      </c>
      <c r="AQ84" s="78" t="str">
        <f>IF(O84="","",IF(O84&lt;=$AQ$1,"O","X"))</f>
        <v>O</v>
      </c>
      <c r="AR84" s="78" t="str">
        <f>IF(M84="","",IF(M84&lt;=$AR$1,"O","X"))</f>
        <v>O</v>
      </c>
      <c r="AS84" s="78" t="s">
        <v>2</v>
      </c>
      <c r="AT84" s="78" t="str">
        <f>IF(OR(F84="",AI84=""),"",IF(AND((F84&lt;=85),(AI84&gt;=15)),"O","X"))</f>
        <v>O</v>
      </c>
      <c r="AU84" s="78" t="str">
        <f>IF(C84="","",IF(C84&gt;=$AU$1,"O","X"))</f>
        <v>O</v>
      </c>
      <c r="AV84" s="78" t="str">
        <f>IF(AO84="","",IF(AND(AO84="O",AP84="O",AR84="O",AT84="O",AU84="O"),"후보","X"))</f>
        <v/>
      </c>
    </row>
    <row r="85" spans="1:48" x14ac:dyDescent="0.3">
      <c r="A85" s="9" t="s">
        <v>1231</v>
      </c>
      <c r="B85" s="10" t="s">
        <v>1613</v>
      </c>
      <c r="C85" s="87">
        <v>478</v>
      </c>
      <c r="D85" s="85">
        <v>105.6</v>
      </c>
      <c r="E85" s="86">
        <v>32</v>
      </c>
      <c r="F85" s="85">
        <v>76.8</v>
      </c>
      <c r="G85" s="17">
        <v>23</v>
      </c>
      <c r="H85" s="87">
        <v>96</v>
      </c>
      <c r="I85" s="88"/>
      <c r="J85" s="88"/>
      <c r="K85" s="88"/>
      <c r="L85" s="88"/>
      <c r="M85" s="89">
        <f>I85-K85</f>
        <v>0</v>
      </c>
      <c r="N85" s="4" t="str">
        <f>IF(ISERROR(K85/I85),"",K85/I85)</f>
        <v/>
      </c>
      <c r="O85" s="90">
        <f>I85/E85</f>
        <v>0</v>
      </c>
      <c r="P85" s="90">
        <f>K85/E85</f>
        <v>0</v>
      </c>
      <c r="Q85" s="78">
        <v>3</v>
      </c>
      <c r="R85" s="78">
        <v>2</v>
      </c>
      <c r="S85" s="78" t="s">
        <v>59</v>
      </c>
      <c r="T85" s="5" t="s">
        <v>208</v>
      </c>
      <c r="U85" s="9"/>
      <c r="W85" s="85">
        <f t="shared" si="103"/>
        <v>105.6</v>
      </c>
      <c r="X85" s="86">
        <f t="shared" si="103"/>
        <v>32</v>
      </c>
      <c r="Y85" s="91">
        <f t="shared" si="104"/>
        <v>96</v>
      </c>
      <c r="Z85" s="89">
        <f t="shared" si="104"/>
        <v>0</v>
      </c>
      <c r="AA85" s="89">
        <f>K85</f>
        <v>0</v>
      </c>
      <c r="AB85" s="89">
        <f t="shared" si="105"/>
        <v>0</v>
      </c>
      <c r="AC85" s="4" t="str">
        <f t="shared" si="105"/>
        <v/>
      </c>
      <c r="AD85" s="90">
        <f t="shared" si="105"/>
        <v>0</v>
      </c>
      <c r="AE85" s="78" t="str">
        <f>S85</f>
        <v>계</v>
      </c>
      <c r="AF85" s="78" t="str">
        <f>Q85&amp;"/"&amp;R85</f>
        <v>3/2</v>
      </c>
      <c r="AH85" s="20" t="str">
        <f t="shared" si="92"/>
        <v>더샵인후센트럴</v>
      </c>
      <c r="AI85" s="86">
        <f t="shared" si="81"/>
        <v>32</v>
      </c>
      <c r="AJ85" s="78" t="str">
        <f>IF(AI85="","",$AJ$2)</f>
        <v>A-</v>
      </c>
      <c r="AK85" s="78" t="s">
        <v>13</v>
      </c>
      <c r="AL85" s="78" t="s">
        <v>61</v>
      </c>
      <c r="AM85" s="78" t="s">
        <v>62</v>
      </c>
      <c r="AN85" s="78" t="str">
        <f>IF(AI85="","",$AN$2)</f>
        <v>C</v>
      </c>
      <c r="AO85" s="78" t="str">
        <f>IF(N85="","",IF(N85&gt;=$AO$1/100,"O","X"))</f>
        <v/>
      </c>
      <c r="AP85" s="78" t="str">
        <f>IF(I85="","",IF(I85&lt;=$AP$1,"O","X"))</f>
        <v/>
      </c>
      <c r="AQ85" s="78" t="str">
        <f>IF(O85="","",IF(O85&lt;=$AQ$1,"O","X"))</f>
        <v>O</v>
      </c>
      <c r="AR85" s="78" t="str">
        <f>IF(M85="","",IF(M85&lt;=$AR$1,"O","X"))</f>
        <v>O</v>
      </c>
      <c r="AS85" s="78" t="s">
        <v>2</v>
      </c>
      <c r="AT85" s="78" t="str">
        <f>IF(OR(F85="",AI85=""),"",IF(AND((F85&lt;=85),(AI85&gt;=15)),"O","X"))</f>
        <v>O</v>
      </c>
      <c r="AU85" s="78" t="str">
        <f>IF(C85="","",IF(C85&gt;=$AU$1,"O","X"))</f>
        <v>O</v>
      </c>
      <c r="AV85" s="78" t="str">
        <f>IF(AO85="","",IF(AND(AO85="O",AP85="O",AR85="O",AT85="O",AU85="O"),"후보","X"))</f>
        <v/>
      </c>
    </row>
    <row r="86" spans="1:48" x14ac:dyDescent="0.3">
      <c r="A86" s="9"/>
      <c r="B86" s="78"/>
      <c r="C86" s="6"/>
      <c r="D86" s="9"/>
      <c r="E86" s="14"/>
      <c r="F86" s="85"/>
      <c r="G86" s="9"/>
      <c r="H86" s="9"/>
      <c r="I86" s="9"/>
      <c r="J86" s="9"/>
      <c r="K86" s="9"/>
      <c r="L86" s="9"/>
      <c r="M86" s="9"/>
      <c r="N86" s="9"/>
      <c r="O86" s="90"/>
      <c r="P86" s="90"/>
      <c r="Q86" s="86"/>
      <c r="R86" s="86"/>
      <c r="S86" s="9"/>
      <c r="T86" s="47"/>
      <c r="U86" s="9"/>
      <c r="W86" s="67" t="str">
        <f>$A$4&amp;" "&amp;A87&amp;"("&amp;B87&amp;","&amp;C87&amp;"^)"</f>
        <v>인후동1가 인후선변('04.10.,221^)</v>
      </c>
      <c r="X86" s="68"/>
      <c r="Y86" s="68"/>
      <c r="Z86" s="68"/>
      <c r="AA86" s="68"/>
      <c r="AB86" s="68"/>
      <c r="AC86" s="68"/>
      <c r="AD86" s="68"/>
      <c r="AE86" s="68"/>
      <c r="AF86" s="69"/>
      <c r="AH86" s="20" t="str">
        <f t="shared" si="92"/>
        <v/>
      </c>
      <c r="AI86" s="108" t="str">
        <f t="shared" si="81"/>
        <v/>
      </c>
      <c r="AJ86" s="78"/>
      <c r="AK86" s="78"/>
      <c r="AL86" s="78"/>
      <c r="AM86" s="78"/>
      <c r="AN86" s="78"/>
      <c r="AO86" s="78"/>
      <c r="AP86" s="78"/>
      <c r="AQ86" s="78"/>
      <c r="AR86" s="78"/>
      <c r="AS86" s="78"/>
      <c r="AT86" s="78"/>
      <c r="AU86" s="78"/>
      <c r="AV86" s="78"/>
    </row>
    <row r="87" spans="1:48" x14ac:dyDescent="0.3">
      <c r="A87" s="9" t="s">
        <v>1240</v>
      </c>
      <c r="B87" s="10" t="s">
        <v>1614</v>
      </c>
      <c r="C87" s="87">
        <v>221</v>
      </c>
      <c r="D87" s="85">
        <v>112.7</v>
      </c>
      <c r="E87" s="86">
        <v>34</v>
      </c>
      <c r="F87" s="85">
        <v>84.5</v>
      </c>
      <c r="G87" s="17">
        <v>26</v>
      </c>
      <c r="H87" s="87">
        <v>195</v>
      </c>
      <c r="I87" s="88"/>
      <c r="J87" s="88"/>
      <c r="K87" s="88"/>
      <c r="L87" s="88"/>
      <c r="M87" s="89">
        <f>I87-K87</f>
        <v>0</v>
      </c>
      <c r="N87" s="4" t="str">
        <f>IF(ISERROR(K87/I87),"",K87/I87)</f>
        <v/>
      </c>
      <c r="O87" s="90">
        <f>I87/E87</f>
        <v>0</v>
      </c>
      <c r="P87" s="90">
        <f>K87/E87</f>
        <v>0</v>
      </c>
      <c r="Q87" s="78">
        <v>3</v>
      </c>
      <c r="R87" s="78">
        <v>2</v>
      </c>
      <c r="S87" s="78" t="s">
        <v>59</v>
      </c>
      <c r="T87" s="5">
        <v>112</v>
      </c>
      <c r="U87" s="9"/>
      <c r="W87" s="85">
        <f>D87</f>
        <v>112.7</v>
      </c>
      <c r="X87" s="86">
        <f>E87</f>
        <v>34</v>
      </c>
      <c r="Y87" s="91">
        <f>H87</f>
        <v>195</v>
      </c>
      <c r="Z87" s="89">
        <f>I87</f>
        <v>0</v>
      </c>
      <c r="AA87" s="89">
        <f>K87</f>
        <v>0</v>
      </c>
      <c r="AB87" s="89">
        <f t="shared" ref="AB87:AD88" si="106">M87</f>
        <v>0</v>
      </c>
      <c r="AC87" s="4" t="str">
        <f t="shared" si="106"/>
        <v/>
      </c>
      <c r="AD87" s="90">
        <f t="shared" si="106"/>
        <v>0</v>
      </c>
      <c r="AE87" s="78" t="str">
        <f>S87</f>
        <v>계</v>
      </c>
      <c r="AF87" s="78" t="str">
        <f>Q87&amp;"/"&amp;R87</f>
        <v>3/2</v>
      </c>
      <c r="AH87" s="20" t="str">
        <f t="shared" si="92"/>
        <v>인후선변</v>
      </c>
      <c r="AI87" s="86">
        <f t="shared" si="81"/>
        <v>34</v>
      </c>
      <c r="AJ87" s="78" t="str">
        <f>IF(AI87="","",$AJ$2)</f>
        <v>A-</v>
      </c>
      <c r="AK87" s="78" t="s">
        <v>13</v>
      </c>
      <c r="AL87" s="78" t="s">
        <v>61</v>
      </c>
      <c r="AM87" s="78" t="s">
        <v>62</v>
      </c>
      <c r="AN87" s="78" t="str">
        <f>IF(AI87="","",$AN$2)</f>
        <v>C</v>
      </c>
      <c r="AO87" s="78" t="str">
        <f>IF(N87="","",IF(N87&gt;=$AO$1/100,"O","X"))</f>
        <v/>
      </c>
      <c r="AP87" s="78" t="str">
        <f>IF(I87="","",IF(I87&lt;=$AP$1,"O","X"))</f>
        <v/>
      </c>
      <c r="AQ87" s="78" t="str">
        <f>IF(O87="","",IF(O87&lt;=$AQ$1,"O","X"))</f>
        <v>O</v>
      </c>
      <c r="AR87" s="78" t="str">
        <f>IF(M87="","",IF(M87&lt;=$AR$1,"O","X"))</f>
        <v>O</v>
      </c>
      <c r="AS87" s="78" t="s">
        <v>2</v>
      </c>
      <c r="AT87" s="78" t="str">
        <f>IF(OR(F87="",AI87=""),"",IF(AND((F87&lt;=85),(AI87&gt;=15)),"O","X"))</f>
        <v>O</v>
      </c>
      <c r="AU87" s="78" t="str">
        <f>IF(C87="","",IF(C87&gt;=$AU$1,"O","X"))</f>
        <v>X</v>
      </c>
      <c r="AV87" s="78" t="str">
        <f>IF(AO87="","",IF(AND(AO87="O",AP87="O",AR87="O",AT87="O",AU87="O"),"후보","X"))</f>
        <v/>
      </c>
    </row>
    <row r="88" spans="1:48" x14ac:dyDescent="0.3">
      <c r="A88" s="9" t="s">
        <v>1240</v>
      </c>
      <c r="B88" s="10" t="s">
        <v>1614</v>
      </c>
      <c r="C88" s="87">
        <v>221</v>
      </c>
      <c r="D88" s="85">
        <v>115.6</v>
      </c>
      <c r="E88" s="86">
        <v>35</v>
      </c>
      <c r="F88" s="85">
        <v>84.7</v>
      </c>
      <c r="G88" s="17">
        <v>26</v>
      </c>
      <c r="H88" s="87">
        <v>26</v>
      </c>
      <c r="I88" s="88"/>
      <c r="J88" s="88"/>
      <c r="K88" s="88"/>
      <c r="L88" s="88"/>
      <c r="M88" s="89">
        <f>I88-K88</f>
        <v>0</v>
      </c>
      <c r="N88" s="4" t="str">
        <f>IF(ISERROR(K88/I88),"",K88/I88)</f>
        <v/>
      </c>
      <c r="O88" s="90">
        <f>I88/E88</f>
        <v>0</v>
      </c>
      <c r="P88" s="90">
        <f>K88/E88</f>
        <v>0</v>
      </c>
      <c r="Q88" s="78">
        <v>3</v>
      </c>
      <c r="R88" s="78">
        <v>2</v>
      </c>
      <c r="S88" s="78" t="s">
        <v>59</v>
      </c>
      <c r="T88" s="5">
        <v>115</v>
      </c>
      <c r="U88" s="9"/>
      <c r="W88" s="85">
        <f>D88</f>
        <v>115.6</v>
      </c>
      <c r="X88" s="86">
        <f>E88</f>
        <v>35</v>
      </c>
      <c r="Y88" s="91">
        <f>H88</f>
        <v>26</v>
      </c>
      <c r="Z88" s="89">
        <f>I88</f>
        <v>0</v>
      </c>
      <c r="AA88" s="89">
        <f>K88</f>
        <v>0</v>
      </c>
      <c r="AB88" s="89">
        <f t="shared" si="106"/>
        <v>0</v>
      </c>
      <c r="AC88" s="4" t="str">
        <f t="shared" si="106"/>
        <v/>
      </c>
      <c r="AD88" s="90">
        <f t="shared" si="106"/>
        <v>0</v>
      </c>
      <c r="AE88" s="78" t="str">
        <f>S88</f>
        <v>계</v>
      </c>
      <c r="AF88" s="78" t="str">
        <f>Q88&amp;"/"&amp;R88</f>
        <v>3/2</v>
      </c>
      <c r="AH88" s="20" t="str">
        <f t="shared" si="92"/>
        <v>인후선변</v>
      </c>
      <c r="AI88" s="86">
        <f t="shared" si="81"/>
        <v>35</v>
      </c>
      <c r="AJ88" s="78" t="str">
        <f>IF(AI88="","",$AJ$2)</f>
        <v>A-</v>
      </c>
      <c r="AK88" s="78" t="s">
        <v>13</v>
      </c>
      <c r="AL88" s="78" t="s">
        <v>61</v>
      </c>
      <c r="AM88" s="78" t="s">
        <v>62</v>
      </c>
      <c r="AN88" s="78" t="str">
        <f>IF(AI88="","",$AN$2)</f>
        <v>C</v>
      </c>
      <c r="AO88" s="78" t="str">
        <f>IF(N88="","",IF(N88&gt;=$AO$1/100,"O","X"))</f>
        <v/>
      </c>
      <c r="AP88" s="78" t="str">
        <f>IF(I88="","",IF(I88&lt;=$AP$1,"O","X"))</f>
        <v/>
      </c>
      <c r="AQ88" s="78" t="str">
        <f>IF(O88="","",IF(O88&lt;=$AQ$1,"O","X"))</f>
        <v>O</v>
      </c>
      <c r="AR88" s="78" t="str">
        <f>IF(M88="","",IF(M88&lt;=$AR$1,"O","X"))</f>
        <v>O</v>
      </c>
      <c r="AS88" s="78" t="s">
        <v>2</v>
      </c>
      <c r="AT88" s="78" t="str">
        <f>IF(OR(F88="",AI88=""),"",IF(AND((F88&lt;=85),(AI88&gt;=15)),"O","X"))</f>
        <v>O</v>
      </c>
      <c r="AU88" s="78" t="str">
        <f>IF(C88="","",IF(C88&gt;=$AU$1,"O","X"))</f>
        <v>X</v>
      </c>
      <c r="AV88" s="78" t="str">
        <f>IF(AO88="","",IF(AND(AO88="O",AP88="O",AR88="O",AT88="O",AU88="O"),"후보","X"))</f>
        <v/>
      </c>
    </row>
    <row r="89" spans="1:48" x14ac:dyDescent="0.3">
      <c r="A89" s="9"/>
      <c r="B89" s="78"/>
      <c r="C89" s="6"/>
      <c r="D89" s="9"/>
      <c r="E89" s="14"/>
      <c r="F89" s="85"/>
      <c r="G89" s="9"/>
      <c r="H89" s="9"/>
      <c r="I89" s="9"/>
      <c r="J89" s="9"/>
      <c r="K89" s="9"/>
      <c r="L89" s="9"/>
      <c r="M89" s="9"/>
      <c r="N89" s="9"/>
      <c r="O89" s="90"/>
      <c r="P89" s="90"/>
      <c r="Q89" s="86"/>
      <c r="R89" s="86"/>
      <c r="S89" s="9"/>
      <c r="T89" s="47"/>
      <c r="U89" s="9"/>
      <c r="W89" s="67" t="str">
        <f>$A$4&amp;" "&amp;A90&amp;"("&amp;B90&amp;","&amp;C90&amp;"^)"</f>
        <v>인후동1가 아중마을부영3차('99.10.,960^)</v>
      </c>
      <c r="X89" s="68"/>
      <c r="Y89" s="68"/>
      <c r="Z89" s="68"/>
      <c r="AA89" s="68"/>
      <c r="AB89" s="68"/>
      <c r="AC89" s="68"/>
      <c r="AD89" s="68"/>
      <c r="AE89" s="68"/>
      <c r="AF89" s="69"/>
      <c r="AH89" s="20" t="str">
        <f t="shared" si="92"/>
        <v/>
      </c>
      <c r="AI89" s="108" t="str">
        <f t="shared" si="81"/>
        <v/>
      </c>
      <c r="AJ89" s="78"/>
      <c r="AK89" s="78"/>
      <c r="AL89" s="78"/>
      <c r="AM89" s="78"/>
      <c r="AN89" s="78"/>
      <c r="AO89" s="78"/>
      <c r="AP89" s="78"/>
      <c r="AQ89" s="78"/>
      <c r="AR89" s="78"/>
      <c r="AS89" s="78"/>
      <c r="AT89" s="78"/>
      <c r="AU89" s="78"/>
      <c r="AV89" s="78"/>
    </row>
    <row r="90" spans="1:48" x14ac:dyDescent="0.3">
      <c r="A90" s="9" t="s">
        <v>1258</v>
      </c>
      <c r="B90" s="10" t="s">
        <v>1563</v>
      </c>
      <c r="C90" s="87">
        <v>960</v>
      </c>
      <c r="D90" s="85">
        <v>68</v>
      </c>
      <c r="E90" s="86">
        <v>21</v>
      </c>
      <c r="F90" s="85">
        <v>50</v>
      </c>
      <c r="G90" s="17">
        <v>15</v>
      </c>
      <c r="H90" s="87">
        <v>495</v>
      </c>
      <c r="I90" s="88">
        <v>10700</v>
      </c>
      <c r="J90" s="88" t="s">
        <v>72</v>
      </c>
      <c r="K90" s="88">
        <v>11000</v>
      </c>
      <c r="L90" s="88" t="s">
        <v>111</v>
      </c>
      <c r="M90" s="89">
        <f>I90-K90</f>
        <v>-300</v>
      </c>
      <c r="N90" s="4">
        <f>IF(ISERROR(K90/I90),"",K90/I90)</f>
        <v>1.02803738317757</v>
      </c>
      <c r="O90" s="90">
        <f>I90/E90</f>
        <v>509.52380952380952</v>
      </c>
      <c r="P90" s="90">
        <f>K90/E90</f>
        <v>523.80952380952385</v>
      </c>
      <c r="Q90" s="78">
        <v>2</v>
      </c>
      <c r="R90" s="78">
        <v>1</v>
      </c>
      <c r="S90" s="78" t="s">
        <v>59</v>
      </c>
      <c r="T90" s="5">
        <v>68</v>
      </c>
      <c r="U90" s="9"/>
      <c r="W90" s="85">
        <f>D90</f>
        <v>68</v>
      </c>
      <c r="X90" s="86">
        <f>E90</f>
        <v>21</v>
      </c>
      <c r="Y90" s="91">
        <f>H90</f>
        <v>495</v>
      </c>
      <c r="Z90" s="89">
        <f>I90</f>
        <v>10700</v>
      </c>
      <c r="AA90" s="89">
        <f>K90</f>
        <v>11000</v>
      </c>
      <c r="AB90" s="89">
        <f t="shared" ref="AB90:AD91" si="107">M90</f>
        <v>-300</v>
      </c>
      <c r="AC90" s="4">
        <f t="shared" si="107"/>
        <v>1.02803738317757</v>
      </c>
      <c r="AD90" s="90">
        <f t="shared" si="107"/>
        <v>509.52380952380952</v>
      </c>
      <c r="AE90" s="78" t="str">
        <f>S90</f>
        <v>계</v>
      </c>
      <c r="AF90" s="78" t="str">
        <f>Q90&amp;"/"&amp;R90</f>
        <v>2/1</v>
      </c>
      <c r="AH90" s="20" t="str">
        <f t="shared" si="92"/>
        <v>아중마을부영3차</v>
      </c>
      <c r="AI90" s="86">
        <f t="shared" si="81"/>
        <v>21</v>
      </c>
      <c r="AJ90" s="78" t="str">
        <f>IF(AI90="","",$AJ$2)</f>
        <v>A-</v>
      </c>
      <c r="AK90" s="78" t="s">
        <v>13</v>
      </c>
      <c r="AL90" s="78" t="s">
        <v>61</v>
      </c>
      <c r="AM90" s="78" t="s">
        <v>62</v>
      </c>
      <c r="AN90" s="78" t="str">
        <f>IF(AI90="","",$AN$2)</f>
        <v>C</v>
      </c>
      <c r="AO90" s="78" t="str">
        <f>IF(N90="","",IF(N90&gt;=$AO$1/100,"O","X"))</f>
        <v>O</v>
      </c>
      <c r="AP90" s="78" t="str">
        <f>IF(I90="","",IF(I90&lt;=$AP$1,"O","X"))</f>
        <v>O</v>
      </c>
      <c r="AQ90" s="78" t="str">
        <f>IF(O90="","",IF(O90&lt;=$AQ$1,"O","X"))</f>
        <v>O</v>
      </c>
      <c r="AR90" s="78" t="str">
        <f>IF(M90="","",IF(M90&lt;=$AR$1,"O","X"))</f>
        <v>O</v>
      </c>
      <c r="AS90" s="78" t="s">
        <v>2</v>
      </c>
      <c r="AT90" s="78" t="str">
        <f>IF(OR(F90="",AI90=""),"",IF(AND((F90&lt;=85),(AI90&gt;=15)),"O","X"))</f>
        <v>O</v>
      </c>
      <c r="AU90" s="78" t="str">
        <f>IF(C90="","",IF(C90&gt;=$AU$1,"O","X"))</f>
        <v>O</v>
      </c>
      <c r="AV90" s="78" t="str">
        <f>IF(AO90="","",IF(AND(AO90="O",AP90="O",AR90="O",AT90="O",AU90="O"),"후보","X"))</f>
        <v>후보</v>
      </c>
    </row>
    <row r="91" spans="1:48" x14ac:dyDescent="0.3">
      <c r="A91" s="9" t="s">
        <v>1258</v>
      </c>
      <c r="B91" s="10" t="s">
        <v>1563</v>
      </c>
      <c r="C91" s="87">
        <v>960</v>
      </c>
      <c r="D91" s="85">
        <v>81</v>
      </c>
      <c r="E91" s="86">
        <v>24</v>
      </c>
      <c r="F91" s="85">
        <v>59.5</v>
      </c>
      <c r="G91" s="17">
        <v>18</v>
      </c>
      <c r="H91" s="87">
        <v>465</v>
      </c>
      <c r="I91" s="88">
        <v>13500</v>
      </c>
      <c r="J91" s="88" t="s">
        <v>111</v>
      </c>
      <c r="K91" s="88">
        <v>12900</v>
      </c>
      <c r="L91" s="88" t="s">
        <v>72</v>
      </c>
      <c r="M91" s="89">
        <f>I91-K91</f>
        <v>600</v>
      </c>
      <c r="N91" s="4">
        <f>IF(ISERROR(K91/I91),"",K91/I91)</f>
        <v>0.9555555555555556</v>
      </c>
      <c r="O91" s="90">
        <f>I91/E91</f>
        <v>562.5</v>
      </c>
      <c r="P91" s="90">
        <f>K91/E91</f>
        <v>537.5</v>
      </c>
      <c r="Q91" s="78">
        <v>3</v>
      </c>
      <c r="R91" s="78">
        <v>1</v>
      </c>
      <c r="S91" s="78" t="s">
        <v>59</v>
      </c>
      <c r="T91" s="5">
        <v>80</v>
      </c>
      <c r="U91" s="9"/>
      <c r="W91" s="85">
        <f>D91</f>
        <v>81</v>
      </c>
      <c r="X91" s="86">
        <f>E91</f>
        <v>24</v>
      </c>
      <c r="Y91" s="91">
        <f>H91</f>
        <v>465</v>
      </c>
      <c r="Z91" s="89">
        <f>I91</f>
        <v>13500</v>
      </c>
      <c r="AA91" s="89">
        <f>K91</f>
        <v>12900</v>
      </c>
      <c r="AB91" s="89">
        <f t="shared" si="107"/>
        <v>600</v>
      </c>
      <c r="AC91" s="4">
        <f t="shared" si="107"/>
        <v>0.9555555555555556</v>
      </c>
      <c r="AD91" s="90">
        <f t="shared" si="107"/>
        <v>562.5</v>
      </c>
      <c r="AE91" s="78" t="str">
        <f>S91</f>
        <v>계</v>
      </c>
      <c r="AF91" s="78" t="str">
        <f>Q91&amp;"/"&amp;R91</f>
        <v>3/1</v>
      </c>
      <c r="AH91" s="20" t="str">
        <f t="shared" si="92"/>
        <v>아중마을부영3차</v>
      </c>
      <c r="AI91" s="86">
        <f t="shared" si="81"/>
        <v>24</v>
      </c>
      <c r="AJ91" s="78" t="str">
        <f>IF(AI91="","",$AJ$2)</f>
        <v>A-</v>
      </c>
      <c r="AK91" s="78" t="s">
        <v>13</v>
      </c>
      <c r="AL91" s="78" t="s">
        <v>61</v>
      </c>
      <c r="AM91" s="78" t="s">
        <v>62</v>
      </c>
      <c r="AN91" s="78" t="str">
        <f>IF(AI91="","",$AN$2)</f>
        <v>C</v>
      </c>
      <c r="AO91" s="78" t="str">
        <f>IF(N91="","",IF(N91&gt;=$AO$1/100,"O","X"))</f>
        <v>O</v>
      </c>
      <c r="AP91" s="78" t="str">
        <f>IF(I91="","",IF(I91&lt;=$AP$1,"O","X"))</f>
        <v>O</v>
      </c>
      <c r="AQ91" s="78" t="str">
        <f>IF(O91="","",IF(O91&lt;=$AQ$1,"O","X"))</f>
        <v>O</v>
      </c>
      <c r="AR91" s="78" t="str">
        <f>IF(M91="","",IF(M91&lt;=$AR$1,"O","X"))</f>
        <v>O</v>
      </c>
      <c r="AS91" s="78" t="s">
        <v>2</v>
      </c>
      <c r="AT91" s="78" t="str">
        <f>IF(OR(F91="",AI91=""),"",IF(AND((F91&lt;=85),(AI91&gt;=15)),"O","X"))</f>
        <v>O</v>
      </c>
      <c r="AU91" s="78" t="str">
        <f>IF(C91="","",IF(C91&gt;=$AU$1,"O","X"))</f>
        <v>O</v>
      </c>
      <c r="AV91" s="78" t="str">
        <f>IF(AO91="","",IF(AND(AO91="O",AP91="O",AR91="O",AT91="O",AU91="O"),"후보","X"))</f>
        <v>후보</v>
      </c>
    </row>
    <row r="92" spans="1:48" x14ac:dyDescent="0.3">
      <c r="A92" s="9"/>
      <c r="B92" s="78"/>
      <c r="C92" s="6"/>
      <c r="D92" s="9"/>
      <c r="E92" s="14"/>
      <c r="F92" s="85"/>
      <c r="G92" s="9"/>
      <c r="H92" s="9"/>
      <c r="I92" s="9"/>
      <c r="J92" s="9"/>
      <c r="K92" s="9"/>
      <c r="L92" s="9"/>
      <c r="M92" s="9"/>
      <c r="N92" s="9"/>
      <c r="O92" s="90"/>
      <c r="P92" s="90"/>
      <c r="Q92" s="86"/>
      <c r="R92" s="86"/>
      <c r="S92" s="9"/>
      <c r="T92" s="47"/>
      <c r="U92" s="9"/>
      <c r="W92" s="67" t="str">
        <f>$A$4&amp;" "&amp;A93&amp;"("&amp;B93&amp;","&amp;C93&amp;"^)"</f>
        <v>인후동1가 아중마을아남('99.09.,240^)</v>
      </c>
      <c r="X92" s="68"/>
      <c r="Y92" s="68"/>
      <c r="Z92" s="68"/>
      <c r="AA92" s="68"/>
      <c r="AB92" s="68"/>
      <c r="AC92" s="68"/>
      <c r="AD92" s="68"/>
      <c r="AE92" s="68"/>
      <c r="AF92" s="69"/>
      <c r="AH92" s="20" t="str">
        <f t="shared" si="92"/>
        <v/>
      </c>
      <c r="AI92" s="108" t="str">
        <f t="shared" si="81"/>
        <v/>
      </c>
      <c r="AJ92" s="78"/>
      <c r="AK92" s="78"/>
      <c r="AL92" s="78"/>
      <c r="AM92" s="78"/>
      <c r="AN92" s="78"/>
      <c r="AO92" s="78"/>
      <c r="AP92" s="78"/>
      <c r="AQ92" s="78"/>
      <c r="AR92" s="78"/>
      <c r="AS92" s="78"/>
      <c r="AT92" s="78"/>
      <c r="AU92" s="78"/>
      <c r="AV92" s="78"/>
    </row>
    <row r="93" spans="1:48" x14ac:dyDescent="0.3">
      <c r="A93" s="9" t="s">
        <v>1262</v>
      </c>
      <c r="B93" s="10" t="s">
        <v>1604</v>
      </c>
      <c r="C93" s="87">
        <v>240</v>
      </c>
      <c r="D93" s="85">
        <v>87.4</v>
      </c>
      <c r="E93" s="86">
        <v>26</v>
      </c>
      <c r="F93" s="85">
        <v>70.3</v>
      </c>
      <c r="G93" s="17">
        <v>21</v>
      </c>
      <c r="H93" s="87">
        <v>8</v>
      </c>
      <c r="I93" s="88"/>
      <c r="J93" s="88"/>
      <c r="K93" s="88"/>
      <c r="L93" s="88"/>
      <c r="M93" s="89">
        <f>I93-K93</f>
        <v>0</v>
      </c>
      <c r="N93" s="4" t="str">
        <f>IF(ISERROR(K93/I93),"",K93/I93)</f>
        <v/>
      </c>
      <c r="O93" s="90">
        <f>I93/E93</f>
        <v>0</v>
      </c>
      <c r="P93" s="90">
        <f>K93/E93</f>
        <v>0</v>
      </c>
      <c r="Q93" s="78">
        <v>2</v>
      </c>
      <c r="R93" s="78">
        <v>2</v>
      </c>
      <c r="S93" s="78" t="s">
        <v>59</v>
      </c>
      <c r="T93" s="5">
        <v>87</v>
      </c>
      <c r="U93" s="9"/>
      <c r="W93" s="85">
        <f t="shared" ref="W93:X95" si="108">D93</f>
        <v>87.4</v>
      </c>
      <c r="X93" s="86">
        <f t="shared" si="108"/>
        <v>26</v>
      </c>
      <c r="Y93" s="91">
        <f t="shared" ref="Y93:Z95" si="109">H93</f>
        <v>8</v>
      </c>
      <c r="Z93" s="89">
        <f t="shared" si="109"/>
        <v>0</v>
      </c>
      <c r="AA93" s="89">
        <f>K93</f>
        <v>0</v>
      </c>
      <c r="AB93" s="89">
        <f t="shared" ref="AB93:AD95" si="110">M93</f>
        <v>0</v>
      </c>
      <c r="AC93" s="4" t="str">
        <f t="shared" si="110"/>
        <v/>
      </c>
      <c r="AD93" s="90">
        <f t="shared" si="110"/>
        <v>0</v>
      </c>
      <c r="AE93" s="78" t="str">
        <f>S93</f>
        <v>계</v>
      </c>
      <c r="AF93" s="78" t="str">
        <f>Q93&amp;"/"&amp;R93</f>
        <v>2/2</v>
      </c>
      <c r="AH93" s="20" t="str">
        <f t="shared" si="92"/>
        <v>아중마을아남</v>
      </c>
      <c r="AI93" s="86">
        <f t="shared" si="81"/>
        <v>26</v>
      </c>
      <c r="AJ93" s="78" t="str">
        <f>IF(AI93="","",$AJ$2)</f>
        <v>A-</v>
      </c>
      <c r="AK93" s="78" t="s">
        <v>13</v>
      </c>
      <c r="AL93" s="78" t="s">
        <v>61</v>
      </c>
      <c r="AM93" s="78" t="s">
        <v>62</v>
      </c>
      <c r="AN93" s="78" t="str">
        <f>IF(AI93="","",$AN$2)</f>
        <v>C</v>
      </c>
      <c r="AO93" s="78" t="str">
        <f>IF(N93="","",IF(N93&gt;=$AO$1/100,"O","X"))</f>
        <v/>
      </c>
      <c r="AP93" s="78" t="str">
        <f>IF(I93="","",IF(I93&lt;=$AP$1,"O","X"))</f>
        <v/>
      </c>
      <c r="AQ93" s="78" t="str">
        <f>IF(O93="","",IF(O93&lt;=$AQ$1,"O","X"))</f>
        <v>O</v>
      </c>
      <c r="AR93" s="78" t="str">
        <f>IF(M93="","",IF(M93&lt;=$AR$1,"O","X"))</f>
        <v>O</v>
      </c>
      <c r="AS93" s="78" t="s">
        <v>2</v>
      </c>
      <c r="AT93" s="78" t="str">
        <f>IF(OR(F93="",AI93=""),"",IF(AND((F93&lt;=85),(AI93&gt;=15)),"O","X"))</f>
        <v>O</v>
      </c>
      <c r="AU93" s="78" t="str">
        <f>IF(C93="","",IF(C93&gt;=$AU$1,"O","X"))</f>
        <v>X</v>
      </c>
      <c r="AV93" s="78" t="str">
        <f>IF(AO93="","",IF(AND(AO93="O",AP93="O",AR93="O",AT93="O",AU93="O"),"후보","X"))</f>
        <v/>
      </c>
    </row>
    <row r="94" spans="1:48" x14ac:dyDescent="0.3">
      <c r="A94" s="9" t="s">
        <v>1262</v>
      </c>
      <c r="B94" s="10" t="s">
        <v>1604</v>
      </c>
      <c r="C94" s="87">
        <v>240</v>
      </c>
      <c r="D94" s="85">
        <v>98.9</v>
      </c>
      <c r="E94" s="86">
        <v>30</v>
      </c>
      <c r="F94" s="85">
        <v>79.599999999999994</v>
      </c>
      <c r="G94" s="17">
        <v>24</v>
      </c>
      <c r="H94" s="87">
        <v>30</v>
      </c>
      <c r="I94" s="88"/>
      <c r="J94" s="88"/>
      <c r="K94" s="88"/>
      <c r="L94" s="88"/>
      <c r="M94" s="89">
        <f>I94-K94</f>
        <v>0</v>
      </c>
      <c r="N94" s="4" t="str">
        <f>IF(ISERROR(K94/I94),"",K94/I94)</f>
        <v/>
      </c>
      <c r="O94" s="90">
        <f>I94/E94</f>
        <v>0</v>
      </c>
      <c r="P94" s="90">
        <f>K94/E94</f>
        <v>0</v>
      </c>
      <c r="Q94" s="78">
        <v>3</v>
      </c>
      <c r="R94" s="78">
        <v>2</v>
      </c>
      <c r="S94" s="78" t="s">
        <v>59</v>
      </c>
      <c r="T94" s="5">
        <v>98</v>
      </c>
      <c r="U94" s="9"/>
      <c r="W94" s="85">
        <f t="shared" si="108"/>
        <v>98.9</v>
      </c>
      <c r="X94" s="86">
        <f t="shared" si="108"/>
        <v>30</v>
      </c>
      <c r="Y94" s="91">
        <f t="shared" si="109"/>
        <v>30</v>
      </c>
      <c r="Z94" s="89">
        <f t="shared" si="109"/>
        <v>0</v>
      </c>
      <c r="AA94" s="89">
        <f>K94</f>
        <v>0</v>
      </c>
      <c r="AB94" s="89">
        <f t="shared" si="110"/>
        <v>0</v>
      </c>
      <c r="AC94" s="4" t="str">
        <f t="shared" si="110"/>
        <v/>
      </c>
      <c r="AD94" s="90">
        <f t="shared" si="110"/>
        <v>0</v>
      </c>
      <c r="AE94" s="78" t="str">
        <f>S94</f>
        <v>계</v>
      </c>
      <c r="AF94" s="78" t="str">
        <f>Q94&amp;"/"&amp;R94</f>
        <v>3/2</v>
      </c>
      <c r="AH94" s="20" t="str">
        <f t="shared" si="92"/>
        <v>아중마을아남</v>
      </c>
      <c r="AI94" s="86">
        <f t="shared" si="81"/>
        <v>30</v>
      </c>
      <c r="AJ94" s="78" t="str">
        <f>IF(AI94="","",$AJ$2)</f>
        <v>A-</v>
      </c>
      <c r="AK94" s="78" t="s">
        <v>13</v>
      </c>
      <c r="AL94" s="78" t="s">
        <v>61</v>
      </c>
      <c r="AM94" s="78" t="s">
        <v>62</v>
      </c>
      <c r="AN94" s="78" t="str">
        <f>IF(AI94="","",$AN$2)</f>
        <v>C</v>
      </c>
      <c r="AO94" s="78" t="str">
        <f>IF(N94="","",IF(N94&gt;=$AO$1/100,"O","X"))</f>
        <v/>
      </c>
      <c r="AP94" s="78" t="str">
        <f>IF(I94="","",IF(I94&lt;=$AP$1,"O","X"))</f>
        <v/>
      </c>
      <c r="AQ94" s="78" t="str">
        <f>IF(O94="","",IF(O94&lt;=$AQ$1,"O","X"))</f>
        <v>O</v>
      </c>
      <c r="AR94" s="78" t="str">
        <f>IF(M94="","",IF(M94&lt;=$AR$1,"O","X"))</f>
        <v>O</v>
      </c>
      <c r="AS94" s="78" t="s">
        <v>2</v>
      </c>
      <c r="AT94" s="78" t="str">
        <f>IF(OR(F94="",AI94=""),"",IF(AND((F94&lt;=85),(AI94&gt;=15)),"O","X"))</f>
        <v>O</v>
      </c>
      <c r="AU94" s="78" t="str">
        <f>IF(C94="","",IF(C94&gt;=$AU$1,"O","X"))</f>
        <v>X</v>
      </c>
      <c r="AV94" s="78" t="str">
        <f>IF(AO94="","",IF(AND(AO94="O",AP94="O",AR94="O",AT94="O",AU94="O"),"후보","X"))</f>
        <v/>
      </c>
    </row>
    <row r="95" spans="1:48" x14ac:dyDescent="0.3">
      <c r="A95" s="9" t="s">
        <v>1262</v>
      </c>
      <c r="B95" s="10" t="s">
        <v>1604</v>
      </c>
      <c r="C95" s="87">
        <v>240</v>
      </c>
      <c r="D95" s="85">
        <v>105.5</v>
      </c>
      <c r="E95" s="86">
        <v>32</v>
      </c>
      <c r="F95" s="85">
        <v>84.9</v>
      </c>
      <c r="G95" s="17">
        <v>26</v>
      </c>
      <c r="H95" s="87">
        <v>202</v>
      </c>
      <c r="I95" s="88"/>
      <c r="J95" s="88"/>
      <c r="K95" s="88"/>
      <c r="L95" s="88"/>
      <c r="M95" s="89">
        <f>I95-K95</f>
        <v>0</v>
      </c>
      <c r="N95" s="4" t="str">
        <f>IF(ISERROR(K95/I95),"",K95/I95)</f>
        <v/>
      </c>
      <c r="O95" s="90">
        <f>I95/E95</f>
        <v>0</v>
      </c>
      <c r="P95" s="90">
        <f>K95/E95</f>
        <v>0</v>
      </c>
      <c r="Q95" s="78">
        <v>3</v>
      </c>
      <c r="R95" s="78">
        <v>2</v>
      </c>
      <c r="S95" s="78" t="s">
        <v>59</v>
      </c>
      <c r="T95" s="5">
        <v>105</v>
      </c>
      <c r="U95" s="9"/>
      <c r="W95" s="85">
        <f t="shared" si="108"/>
        <v>105.5</v>
      </c>
      <c r="X95" s="86">
        <f t="shared" si="108"/>
        <v>32</v>
      </c>
      <c r="Y95" s="91">
        <f t="shared" si="109"/>
        <v>202</v>
      </c>
      <c r="Z95" s="89">
        <f t="shared" si="109"/>
        <v>0</v>
      </c>
      <c r="AA95" s="89">
        <f>K95</f>
        <v>0</v>
      </c>
      <c r="AB95" s="89">
        <f t="shared" si="110"/>
        <v>0</v>
      </c>
      <c r="AC95" s="4" t="str">
        <f t="shared" si="110"/>
        <v/>
      </c>
      <c r="AD95" s="90">
        <f t="shared" si="110"/>
        <v>0</v>
      </c>
      <c r="AE95" s="78" t="str">
        <f>S95</f>
        <v>계</v>
      </c>
      <c r="AF95" s="78" t="str">
        <f>Q95&amp;"/"&amp;R95</f>
        <v>3/2</v>
      </c>
      <c r="AH95" s="20" t="str">
        <f t="shared" si="92"/>
        <v>아중마을아남</v>
      </c>
      <c r="AI95" s="86">
        <f t="shared" si="81"/>
        <v>32</v>
      </c>
      <c r="AJ95" s="78" t="str">
        <f>IF(AI95="","",$AJ$2)</f>
        <v>A-</v>
      </c>
      <c r="AK95" s="78" t="s">
        <v>13</v>
      </c>
      <c r="AL95" s="78" t="s">
        <v>61</v>
      </c>
      <c r="AM95" s="78" t="s">
        <v>62</v>
      </c>
      <c r="AN95" s="78" t="str">
        <f>IF(AI95="","",$AN$2)</f>
        <v>C</v>
      </c>
      <c r="AO95" s="78" t="str">
        <f>IF(N95="","",IF(N95&gt;=$AO$1/100,"O","X"))</f>
        <v/>
      </c>
      <c r="AP95" s="78" t="str">
        <f>IF(I95="","",IF(I95&lt;=$AP$1,"O","X"))</f>
        <v/>
      </c>
      <c r="AQ95" s="78" t="str">
        <f>IF(O95="","",IF(O95&lt;=$AQ$1,"O","X"))</f>
        <v>O</v>
      </c>
      <c r="AR95" s="78" t="str">
        <f>IF(M95="","",IF(M95&lt;=$AR$1,"O","X"))</f>
        <v>O</v>
      </c>
      <c r="AS95" s="78" t="s">
        <v>2</v>
      </c>
      <c r="AT95" s="78" t="str">
        <f>IF(OR(F95="",AI95=""),"",IF(AND((F95&lt;=85),(AI95&gt;=15)),"O","X"))</f>
        <v>O</v>
      </c>
      <c r="AU95" s="78" t="str">
        <f>IF(C95="","",IF(C95&gt;=$AU$1,"O","X"))</f>
        <v>X</v>
      </c>
      <c r="AV95" s="78" t="str">
        <f>IF(AO95="","",IF(AND(AO95="O",AP95="O",AR95="O",AT95="O",AU95="O"),"후보","X"))</f>
        <v/>
      </c>
    </row>
    <row r="96" spans="1:48" x14ac:dyDescent="0.3">
      <c r="A96" s="9"/>
      <c r="B96" s="78"/>
      <c r="C96" s="6"/>
      <c r="D96" s="9"/>
      <c r="E96" s="14"/>
      <c r="F96" s="85"/>
      <c r="G96" s="9"/>
      <c r="H96" s="9"/>
      <c r="I96" s="9"/>
      <c r="J96" s="9"/>
      <c r="K96" s="9"/>
      <c r="L96" s="9"/>
      <c r="M96" s="9"/>
      <c r="N96" s="9"/>
      <c r="O96" s="90"/>
      <c r="P96" s="90"/>
      <c r="Q96" s="86"/>
      <c r="R96" s="86"/>
      <c r="S96" s="9"/>
      <c r="T96" s="47"/>
      <c r="U96" s="9"/>
      <c r="W96" s="67" t="str">
        <f>$A$4&amp;" "&amp;A97&amp;"("&amp;B97&amp;","&amp;C97&amp;"^)"</f>
        <v>인후동1가 현대1단지('89.05.,241^)</v>
      </c>
      <c r="X96" s="68"/>
      <c r="Y96" s="68"/>
      <c r="Z96" s="68"/>
      <c r="AA96" s="68"/>
      <c r="AB96" s="68"/>
      <c r="AC96" s="68"/>
      <c r="AD96" s="68"/>
      <c r="AE96" s="68"/>
      <c r="AF96" s="69"/>
      <c r="AH96" s="20" t="str">
        <f t="shared" si="92"/>
        <v/>
      </c>
      <c r="AI96" s="108" t="str">
        <f t="shared" si="81"/>
        <v/>
      </c>
      <c r="AJ96" s="78"/>
      <c r="AK96" s="78"/>
      <c r="AL96" s="78"/>
      <c r="AM96" s="78"/>
      <c r="AN96" s="78"/>
      <c r="AO96" s="78"/>
      <c r="AP96" s="78"/>
      <c r="AQ96" s="78"/>
      <c r="AR96" s="78"/>
      <c r="AS96" s="78"/>
      <c r="AT96" s="78"/>
      <c r="AU96" s="78"/>
      <c r="AV96" s="78"/>
    </row>
    <row r="97" spans="1:48" x14ac:dyDescent="0.3">
      <c r="A97" s="9" t="s">
        <v>1266</v>
      </c>
      <c r="B97" s="10" t="s">
        <v>1575</v>
      </c>
      <c r="C97" s="87">
        <v>241</v>
      </c>
      <c r="D97" s="85">
        <v>88.3</v>
      </c>
      <c r="E97" s="86">
        <v>27</v>
      </c>
      <c r="F97" s="85">
        <v>70.5</v>
      </c>
      <c r="G97" s="17">
        <v>21</v>
      </c>
      <c r="H97" s="87">
        <v>45</v>
      </c>
      <c r="I97" s="88"/>
      <c r="J97" s="88"/>
      <c r="K97" s="88"/>
      <c r="L97" s="88"/>
      <c r="M97" s="89">
        <f>I97-K97</f>
        <v>0</v>
      </c>
      <c r="N97" s="4" t="str">
        <f>IF(ISERROR(K97/I97),"",K97/I97)</f>
        <v/>
      </c>
      <c r="O97" s="90">
        <f>I97/E97</f>
        <v>0</v>
      </c>
      <c r="P97" s="90">
        <f>K97/E97</f>
        <v>0</v>
      </c>
      <c r="Q97" s="78">
        <v>3</v>
      </c>
      <c r="R97" s="78">
        <v>1</v>
      </c>
      <c r="S97" s="78" t="s">
        <v>59</v>
      </c>
      <c r="T97" s="5">
        <v>88</v>
      </c>
      <c r="U97" s="9"/>
      <c r="W97" s="85">
        <f t="shared" ref="W97:X99" si="111">D97</f>
        <v>88.3</v>
      </c>
      <c r="X97" s="86">
        <f t="shared" si="111"/>
        <v>27</v>
      </c>
      <c r="Y97" s="91">
        <f t="shared" ref="Y97:Z99" si="112">H97</f>
        <v>45</v>
      </c>
      <c r="Z97" s="89">
        <f t="shared" si="112"/>
        <v>0</v>
      </c>
      <c r="AA97" s="89">
        <f>K97</f>
        <v>0</v>
      </c>
      <c r="AB97" s="89">
        <f t="shared" ref="AB97:AD99" si="113">M97</f>
        <v>0</v>
      </c>
      <c r="AC97" s="4" t="str">
        <f t="shared" si="113"/>
        <v/>
      </c>
      <c r="AD97" s="90">
        <f t="shared" si="113"/>
        <v>0</v>
      </c>
      <c r="AE97" s="78" t="str">
        <f>S97</f>
        <v>계</v>
      </c>
      <c r="AF97" s="78" t="str">
        <f>Q97&amp;"/"&amp;R97</f>
        <v>3/1</v>
      </c>
      <c r="AH97" s="20" t="str">
        <f t="shared" si="92"/>
        <v>현대1단지</v>
      </c>
      <c r="AI97" s="86">
        <f t="shared" si="81"/>
        <v>27</v>
      </c>
      <c r="AJ97" s="78" t="str">
        <f>IF(AI97="","",$AJ$2)</f>
        <v>A-</v>
      </c>
      <c r="AK97" s="78" t="s">
        <v>13</v>
      </c>
      <c r="AL97" s="78" t="s">
        <v>61</v>
      </c>
      <c r="AM97" s="78" t="s">
        <v>62</v>
      </c>
      <c r="AN97" s="78" t="str">
        <f>IF(AI97="","",$AN$2)</f>
        <v>C</v>
      </c>
      <c r="AO97" s="78" t="str">
        <f>IF(N97="","",IF(N97&gt;=$AO$1/100,"O","X"))</f>
        <v/>
      </c>
      <c r="AP97" s="78" t="str">
        <f>IF(I97="","",IF(I97&lt;=$AP$1,"O","X"))</f>
        <v/>
      </c>
      <c r="AQ97" s="78" t="str">
        <f>IF(O97="","",IF(O97&lt;=$AQ$1,"O","X"))</f>
        <v>O</v>
      </c>
      <c r="AR97" s="78" t="str">
        <f>IF(M97="","",IF(M97&lt;=$AR$1,"O","X"))</f>
        <v>O</v>
      </c>
      <c r="AS97" s="78" t="s">
        <v>2</v>
      </c>
      <c r="AT97" s="78" t="str">
        <f>IF(OR(F97="",AI97=""),"",IF(AND((F97&lt;=85),(AI97&gt;=15)),"O","X"))</f>
        <v>O</v>
      </c>
      <c r="AU97" s="78" t="str">
        <f>IF(C97="","",IF(C97&gt;=$AU$1,"O","X"))</f>
        <v>X</v>
      </c>
      <c r="AV97" s="78" t="str">
        <f>IF(AO97="","",IF(AND(AO97="O",AP97="O",AR97="O",AT97="O",AU97="O"),"후보","X"))</f>
        <v/>
      </c>
    </row>
    <row r="98" spans="1:48" x14ac:dyDescent="0.3">
      <c r="A98" s="9" t="s">
        <v>1266</v>
      </c>
      <c r="B98" s="10" t="s">
        <v>1575</v>
      </c>
      <c r="C98" s="87">
        <v>241</v>
      </c>
      <c r="D98" s="85">
        <v>105.7</v>
      </c>
      <c r="E98" s="86">
        <v>32</v>
      </c>
      <c r="F98" s="85">
        <v>84.4</v>
      </c>
      <c r="G98" s="17">
        <v>26</v>
      </c>
      <c r="H98" s="87">
        <v>151</v>
      </c>
      <c r="I98" s="88"/>
      <c r="J98" s="88"/>
      <c r="K98" s="88"/>
      <c r="L98" s="88"/>
      <c r="M98" s="89">
        <f>I98-K98</f>
        <v>0</v>
      </c>
      <c r="N98" s="4" t="str">
        <f>IF(ISERROR(K98/I98),"",K98/I98)</f>
        <v/>
      </c>
      <c r="O98" s="90">
        <f>I98/E98</f>
        <v>0</v>
      </c>
      <c r="P98" s="90">
        <f>K98/E98</f>
        <v>0</v>
      </c>
      <c r="Q98" s="78">
        <v>3</v>
      </c>
      <c r="R98" s="78">
        <v>2</v>
      </c>
      <c r="S98" s="78" t="s">
        <v>59</v>
      </c>
      <c r="T98" s="5">
        <v>105</v>
      </c>
      <c r="U98" s="9"/>
      <c r="W98" s="85">
        <f t="shared" si="111"/>
        <v>105.7</v>
      </c>
      <c r="X98" s="86">
        <f t="shared" si="111"/>
        <v>32</v>
      </c>
      <c r="Y98" s="91">
        <f t="shared" si="112"/>
        <v>151</v>
      </c>
      <c r="Z98" s="89">
        <f t="shared" si="112"/>
        <v>0</v>
      </c>
      <c r="AA98" s="89">
        <f>K98</f>
        <v>0</v>
      </c>
      <c r="AB98" s="89">
        <f t="shared" si="113"/>
        <v>0</v>
      </c>
      <c r="AC98" s="4" t="str">
        <f t="shared" si="113"/>
        <v/>
      </c>
      <c r="AD98" s="90">
        <f t="shared" si="113"/>
        <v>0</v>
      </c>
      <c r="AE98" s="78" t="str">
        <f>S98</f>
        <v>계</v>
      </c>
      <c r="AF98" s="78" t="str">
        <f>Q98&amp;"/"&amp;R98</f>
        <v>3/2</v>
      </c>
      <c r="AH98" s="20" t="str">
        <f t="shared" si="92"/>
        <v>현대1단지</v>
      </c>
      <c r="AI98" s="86">
        <f t="shared" si="81"/>
        <v>32</v>
      </c>
      <c r="AJ98" s="78" t="str">
        <f>IF(AI98="","",$AJ$2)</f>
        <v>A-</v>
      </c>
      <c r="AK98" s="78" t="s">
        <v>13</v>
      </c>
      <c r="AL98" s="78" t="s">
        <v>61</v>
      </c>
      <c r="AM98" s="78" t="s">
        <v>62</v>
      </c>
      <c r="AN98" s="78" t="str">
        <f>IF(AI98="","",$AN$2)</f>
        <v>C</v>
      </c>
      <c r="AO98" s="78" t="str">
        <f>IF(N98="","",IF(N98&gt;=$AO$1/100,"O","X"))</f>
        <v/>
      </c>
      <c r="AP98" s="78" t="str">
        <f>IF(I98="","",IF(I98&lt;=$AP$1,"O","X"))</f>
        <v/>
      </c>
      <c r="AQ98" s="78" t="str">
        <f>IF(O98="","",IF(O98&lt;=$AQ$1,"O","X"))</f>
        <v>O</v>
      </c>
      <c r="AR98" s="78" t="str">
        <f>IF(M98="","",IF(M98&lt;=$AR$1,"O","X"))</f>
        <v>O</v>
      </c>
      <c r="AS98" s="78" t="s">
        <v>2</v>
      </c>
      <c r="AT98" s="78" t="str">
        <f>IF(OR(F98="",AI98=""),"",IF(AND((F98&lt;=85),(AI98&gt;=15)),"O","X"))</f>
        <v>O</v>
      </c>
      <c r="AU98" s="78" t="str">
        <f>IF(C98="","",IF(C98&gt;=$AU$1,"O","X"))</f>
        <v>X</v>
      </c>
      <c r="AV98" s="78" t="str">
        <f>IF(AO98="","",IF(AND(AO98="O",AP98="O",AR98="O",AT98="O",AU98="O"),"후보","X"))</f>
        <v/>
      </c>
    </row>
    <row r="99" spans="1:48" x14ac:dyDescent="0.3">
      <c r="A99" s="9" t="s">
        <v>1266</v>
      </c>
      <c r="B99" s="10" t="s">
        <v>1575</v>
      </c>
      <c r="C99" s="87">
        <v>241</v>
      </c>
      <c r="D99" s="85">
        <v>150.4</v>
      </c>
      <c r="E99" s="86">
        <v>46</v>
      </c>
      <c r="F99" s="85">
        <v>127.3</v>
      </c>
      <c r="G99" s="17">
        <v>38</v>
      </c>
      <c r="H99" s="87">
        <v>45</v>
      </c>
      <c r="I99" s="88"/>
      <c r="J99" s="88"/>
      <c r="K99" s="88"/>
      <c r="L99" s="88"/>
      <c r="M99" s="89">
        <f>I99-K99</f>
        <v>0</v>
      </c>
      <c r="N99" s="4" t="str">
        <f>IF(ISERROR(K99/I99),"",K99/I99)</f>
        <v/>
      </c>
      <c r="O99" s="90">
        <f>I99/E99</f>
        <v>0</v>
      </c>
      <c r="P99" s="90">
        <f>K99/E99</f>
        <v>0</v>
      </c>
      <c r="Q99" s="78">
        <v>4</v>
      </c>
      <c r="R99" s="78">
        <v>2</v>
      </c>
      <c r="S99" s="78" t="s">
        <v>59</v>
      </c>
      <c r="T99" s="5">
        <v>150</v>
      </c>
      <c r="U99" s="9"/>
      <c r="W99" s="85">
        <f t="shared" si="111"/>
        <v>150.4</v>
      </c>
      <c r="X99" s="86">
        <f t="shared" si="111"/>
        <v>46</v>
      </c>
      <c r="Y99" s="91">
        <f t="shared" si="112"/>
        <v>45</v>
      </c>
      <c r="Z99" s="89">
        <f t="shared" si="112"/>
        <v>0</v>
      </c>
      <c r="AA99" s="89">
        <f>K99</f>
        <v>0</v>
      </c>
      <c r="AB99" s="89">
        <f t="shared" si="113"/>
        <v>0</v>
      </c>
      <c r="AC99" s="4" t="str">
        <f t="shared" si="113"/>
        <v/>
      </c>
      <c r="AD99" s="90">
        <f t="shared" si="113"/>
        <v>0</v>
      </c>
      <c r="AE99" s="78" t="str">
        <f>S99</f>
        <v>계</v>
      </c>
      <c r="AF99" s="78" t="str">
        <f>Q99&amp;"/"&amp;R99</f>
        <v>4/2</v>
      </c>
      <c r="AH99" s="20" t="str">
        <f t="shared" si="92"/>
        <v>현대1단지</v>
      </c>
      <c r="AI99" s="86">
        <f t="shared" si="81"/>
        <v>46</v>
      </c>
      <c r="AJ99" s="78" t="str">
        <f>IF(AI99="","",$AJ$2)</f>
        <v>A-</v>
      </c>
      <c r="AK99" s="78" t="s">
        <v>13</v>
      </c>
      <c r="AL99" s="78" t="s">
        <v>61</v>
      </c>
      <c r="AM99" s="78" t="s">
        <v>62</v>
      </c>
      <c r="AN99" s="78" t="str">
        <f>IF(AI99="","",$AN$2)</f>
        <v>C</v>
      </c>
      <c r="AO99" s="78" t="str">
        <f>IF(N99="","",IF(N99&gt;=$AO$1/100,"O","X"))</f>
        <v/>
      </c>
      <c r="AP99" s="78" t="str">
        <f>IF(I99="","",IF(I99&lt;=$AP$1,"O","X"))</f>
        <v/>
      </c>
      <c r="AQ99" s="78" t="str">
        <f>IF(O99="","",IF(O99&lt;=$AQ$1,"O","X"))</f>
        <v>O</v>
      </c>
      <c r="AR99" s="78" t="str">
        <f>IF(M99="","",IF(M99&lt;=$AR$1,"O","X"))</f>
        <v>O</v>
      </c>
      <c r="AS99" s="78" t="s">
        <v>2</v>
      </c>
      <c r="AT99" s="78" t="str">
        <f>IF(OR(F99="",AI99=""),"",IF(AND((F99&lt;=85),(AI99&gt;=15)),"O","X"))</f>
        <v>X</v>
      </c>
      <c r="AU99" s="78" t="str">
        <f>IF(C99="","",IF(C99&gt;=$AU$1,"O","X"))</f>
        <v>X</v>
      </c>
      <c r="AV99" s="78" t="str">
        <f>IF(AO99="","",IF(AND(AO99="O",AP99="O",AR99="O",AT99="O",AU99="O"),"후보","X"))</f>
        <v/>
      </c>
    </row>
  </sheetData>
  <mergeCells count="1">
    <mergeCell ref="AJ1:AN1"/>
  </mergeCells>
  <phoneticPr fontId="2" type="noConversion"/>
  <conditionalFormatting sqref="AV4:AV6">
    <cfRule type="expression" dxfId="3345" priority="1521">
      <formula>AV4="X"</formula>
    </cfRule>
    <cfRule type="expression" dxfId="3344" priority="1522">
      <formula>AV4="후보"</formula>
    </cfRule>
  </conditionalFormatting>
  <conditionalFormatting sqref="AC1:AC2 AC4:AC6 N4:N5">
    <cfRule type="cellIs" dxfId="3343" priority="1518" operator="greaterThan">
      <formula>0.9</formula>
    </cfRule>
    <cfRule type="cellIs" dxfId="3342" priority="1519" operator="greaterThan">
      <formula>0.85</formula>
    </cfRule>
  </conditionalFormatting>
  <conditionalFormatting sqref="N1:N2">
    <cfRule type="cellIs" dxfId="3341" priority="1516" operator="greaterThan">
      <formula>0.9</formula>
    </cfRule>
    <cfRule type="cellIs" dxfId="3340" priority="1517" operator="greaterThan">
      <formula>0.85</formula>
    </cfRule>
  </conditionalFormatting>
  <conditionalFormatting sqref="N6">
    <cfRule type="cellIs" dxfId="3339" priority="1514" operator="greaterThan">
      <formula>0.9</formula>
    </cfRule>
    <cfRule type="cellIs" dxfId="3338" priority="1515" operator="greaterThan">
      <formula>0.85</formula>
    </cfRule>
  </conditionalFormatting>
  <conditionalFormatting sqref="E6">
    <cfRule type="expression" dxfId="3337" priority="1510">
      <formula>AND(IF(OR($Q6=1,$Q6=2),1,0),IF($X6&lt;=20,1,0))</formula>
    </cfRule>
    <cfRule type="expression" dxfId="3336" priority="1511">
      <formula>AND(IF($Q6=2,1,0),IF($X6&lt;30,1,0))</formula>
    </cfRule>
    <cfRule type="expression" dxfId="3335" priority="1512">
      <formula>AND(IF($Q6=3,1,0),IF($X6&lt;30,1,0))</formula>
    </cfRule>
    <cfRule type="expression" dxfId="3334" priority="1513">
      <formula>AND(IF($Q6=3,1,IF($Q6=4,1,0)),IF($F6&lt;=85,1,0))</formula>
    </cfRule>
  </conditionalFormatting>
  <conditionalFormatting sqref="X6">
    <cfRule type="expression" dxfId="3333" priority="1506">
      <formula>AND(IF(OR($Q6=1,$Q6=2),1,0),IF($X6&lt;=20,1,0))</formula>
    </cfRule>
    <cfRule type="expression" dxfId="3332" priority="1507">
      <formula>AND(IF($Q6=2,1,0),IF($X6&lt;30,1,0))</formula>
    </cfRule>
    <cfRule type="expression" dxfId="3331" priority="1508">
      <formula>AND(IF($Q6=3,1,0),IF($X6&lt;30,1,0))</formula>
    </cfRule>
    <cfRule type="expression" dxfId="3330" priority="1509">
      <formula>AND(IF($Q6=3,1,IF($Q6=4,1,0)),IF($F6&lt;=85,1,0))</formula>
    </cfRule>
  </conditionalFormatting>
  <conditionalFormatting sqref="AI6">
    <cfRule type="expression" dxfId="3329" priority="1502">
      <formula>AND(IF(OR($Q6=1,$Q6=2),1,0),IF($X6&lt;=20,1,0))</formula>
    </cfRule>
    <cfRule type="expression" dxfId="3328" priority="1503">
      <formula>AND(IF($Q6=2,1,0),IF($X6&lt;30,1,0))</formula>
    </cfRule>
    <cfRule type="expression" dxfId="3327" priority="1504">
      <formula>AND(IF($Q6=3,1,0),IF($X6&lt;30,1,0))</formula>
    </cfRule>
    <cfRule type="expression" dxfId="3326" priority="1505">
      <formula>AND(IF($Q6=3,1,IF($Q6=4,1,0)),IF($F6&lt;=85,1,0))</formula>
    </cfRule>
  </conditionalFormatting>
  <conditionalFormatting sqref="AV7">
    <cfRule type="expression" dxfId="3325" priority="1500">
      <formula>AV7="X"</formula>
    </cfRule>
    <cfRule type="expression" dxfId="3324" priority="1501">
      <formula>AV7="후보"</formula>
    </cfRule>
  </conditionalFormatting>
  <conditionalFormatting sqref="AC7">
    <cfRule type="cellIs" dxfId="3323" priority="1497" operator="greaterThan">
      <formula>0.9</formula>
    </cfRule>
    <cfRule type="cellIs" dxfId="3322" priority="1498" operator="greaterThan">
      <formula>0.85</formula>
    </cfRule>
  </conditionalFormatting>
  <conditionalFormatting sqref="N7">
    <cfRule type="cellIs" dxfId="3321" priority="1495" operator="greaterThan">
      <formula>0.9</formula>
    </cfRule>
    <cfRule type="cellIs" dxfId="3320" priority="1496" operator="greaterThan">
      <formula>0.85</formula>
    </cfRule>
  </conditionalFormatting>
  <conditionalFormatting sqref="E7">
    <cfRule type="expression" dxfId="3319" priority="1491">
      <formula>AND(IF(OR($Q7=1,$Q7=2),1,0),IF($X7&lt;=20,1,0))</formula>
    </cfRule>
    <cfRule type="expression" dxfId="3318" priority="1492">
      <formula>AND(IF($Q7=2,1,0),IF($X7&lt;30,1,0))</formula>
    </cfRule>
    <cfRule type="expression" dxfId="3317" priority="1493">
      <formula>AND(IF($Q7=3,1,0),IF($X7&lt;30,1,0))</formula>
    </cfRule>
    <cfRule type="expression" dxfId="3316" priority="1494">
      <formula>AND(IF($Q7=3,1,IF($Q7=4,1,0)),IF($F7&lt;=85,1,0))</formula>
    </cfRule>
  </conditionalFormatting>
  <conditionalFormatting sqref="X7">
    <cfRule type="expression" dxfId="3315" priority="1487">
      <formula>AND(IF(OR($Q7=1,$Q7=2),1,0),IF($X7&lt;=20,1,0))</formula>
    </cfRule>
    <cfRule type="expression" dxfId="3314" priority="1488">
      <formula>AND(IF($Q7=2,1,0),IF($X7&lt;30,1,0))</formula>
    </cfRule>
    <cfRule type="expression" dxfId="3313" priority="1489">
      <formula>AND(IF($Q7=3,1,0),IF($X7&lt;30,1,0))</formula>
    </cfRule>
    <cfRule type="expression" dxfId="3312" priority="1490">
      <formula>AND(IF($Q7=3,1,IF($Q7=4,1,0)),IF($F7&lt;=85,1,0))</formula>
    </cfRule>
  </conditionalFormatting>
  <conditionalFormatting sqref="AI7">
    <cfRule type="expression" dxfId="3311" priority="1483">
      <formula>AND(IF(OR($Q7=1,$Q7=2),1,0),IF($X7&lt;=20,1,0))</formula>
    </cfRule>
    <cfRule type="expression" dxfId="3310" priority="1484">
      <formula>AND(IF($Q7=2,1,0),IF($X7&lt;30,1,0))</formula>
    </cfRule>
    <cfRule type="expression" dxfId="3309" priority="1485">
      <formula>AND(IF($Q7=3,1,0),IF($X7&lt;30,1,0))</formula>
    </cfRule>
    <cfRule type="expression" dxfId="3308" priority="1486">
      <formula>AND(IF($Q7=3,1,IF($Q7=4,1,0)),IF($F7&lt;=85,1,0))</formula>
    </cfRule>
  </conditionalFormatting>
  <conditionalFormatting sqref="AV8">
    <cfRule type="expression" dxfId="3307" priority="1481">
      <formula>AV8="X"</formula>
    </cfRule>
    <cfRule type="expression" dxfId="3306" priority="1482">
      <formula>AV8="후보"</formula>
    </cfRule>
  </conditionalFormatting>
  <conditionalFormatting sqref="AC8 N8">
    <cfRule type="cellIs" dxfId="3305" priority="1478" operator="greaterThan">
      <formula>0.9</formula>
    </cfRule>
    <cfRule type="cellIs" dxfId="3304" priority="1479" operator="greaterThan">
      <formula>0.85</formula>
    </cfRule>
  </conditionalFormatting>
  <conditionalFormatting sqref="AV9">
    <cfRule type="expression" dxfId="3303" priority="1476">
      <formula>AV9="X"</formula>
    </cfRule>
    <cfRule type="expression" dxfId="3302" priority="1477">
      <formula>AV9="후보"</formula>
    </cfRule>
  </conditionalFormatting>
  <conditionalFormatting sqref="AC9">
    <cfRule type="cellIs" dxfId="3301" priority="1473" operator="greaterThan">
      <formula>0.9</formula>
    </cfRule>
    <cfRule type="cellIs" dxfId="3300" priority="1474" operator="greaterThan">
      <formula>0.85</formula>
    </cfRule>
  </conditionalFormatting>
  <conditionalFormatting sqref="N9">
    <cfRule type="cellIs" dxfId="3299" priority="1471" operator="greaterThan">
      <formula>0.9</formula>
    </cfRule>
    <cfRule type="cellIs" dxfId="3298" priority="1472" operator="greaterThan">
      <formula>0.85</formula>
    </cfRule>
  </conditionalFormatting>
  <conditionalFormatting sqref="E9">
    <cfRule type="expression" dxfId="3297" priority="1467">
      <formula>AND(IF(OR($Q9=1,$Q9=2),1,0),IF($X9&lt;=20,1,0))</formula>
    </cfRule>
    <cfRule type="expression" dxfId="3296" priority="1468">
      <formula>AND(IF($Q9=2,1,0),IF($X9&lt;30,1,0))</formula>
    </cfRule>
    <cfRule type="expression" dxfId="3295" priority="1469">
      <formula>AND(IF($Q9=3,1,0),IF($X9&lt;30,1,0))</formula>
    </cfRule>
    <cfRule type="expression" dxfId="3294" priority="1470">
      <formula>AND(IF($Q9=3,1,IF($Q9=4,1,0)),IF($F9&lt;=85,1,0))</formula>
    </cfRule>
  </conditionalFormatting>
  <conditionalFormatting sqref="X9">
    <cfRule type="expression" dxfId="3293" priority="1463">
      <formula>AND(IF(OR($Q9=1,$Q9=2),1,0),IF($X9&lt;=20,1,0))</formula>
    </cfRule>
    <cfRule type="expression" dxfId="3292" priority="1464">
      <formula>AND(IF($Q9=2,1,0),IF($X9&lt;30,1,0))</formula>
    </cfRule>
    <cfRule type="expression" dxfId="3291" priority="1465">
      <formula>AND(IF($Q9=3,1,0),IF($X9&lt;30,1,0))</formula>
    </cfRule>
    <cfRule type="expression" dxfId="3290" priority="1466">
      <formula>AND(IF($Q9=3,1,IF($Q9=4,1,0)),IF($F9&lt;=85,1,0))</formula>
    </cfRule>
  </conditionalFormatting>
  <conditionalFormatting sqref="AI9">
    <cfRule type="expression" dxfId="3289" priority="1459">
      <formula>AND(IF(OR($Q9=1,$Q9=2),1,0),IF($X9&lt;=20,1,0))</formula>
    </cfRule>
    <cfRule type="expression" dxfId="3288" priority="1460">
      <formula>AND(IF($Q9=2,1,0),IF($X9&lt;30,1,0))</formula>
    </cfRule>
    <cfRule type="expression" dxfId="3287" priority="1461">
      <formula>AND(IF($Q9=3,1,0),IF($X9&lt;30,1,0))</formula>
    </cfRule>
    <cfRule type="expression" dxfId="3286" priority="1462">
      <formula>AND(IF($Q9=3,1,IF($Q9=4,1,0)),IF($F9&lt;=85,1,0))</formula>
    </cfRule>
  </conditionalFormatting>
  <conditionalFormatting sqref="AV10">
    <cfRule type="expression" dxfId="3285" priority="1457">
      <formula>AV10="X"</formula>
    </cfRule>
    <cfRule type="expression" dxfId="3284" priority="1458">
      <formula>AV10="후보"</formula>
    </cfRule>
  </conditionalFormatting>
  <conditionalFormatting sqref="AC10">
    <cfRule type="cellIs" dxfId="3283" priority="1454" operator="greaterThan">
      <formula>0.9</formula>
    </cfRule>
    <cfRule type="cellIs" dxfId="3282" priority="1455" operator="greaterThan">
      <formula>0.85</formula>
    </cfRule>
  </conditionalFormatting>
  <conditionalFormatting sqref="N10">
    <cfRule type="cellIs" dxfId="3281" priority="1452" operator="greaterThan">
      <formula>0.9</formula>
    </cfRule>
    <cfRule type="cellIs" dxfId="3280" priority="1453" operator="greaterThan">
      <formula>0.85</formula>
    </cfRule>
  </conditionalFormatting>
  <conditionalFormatting sqref="E10">
    <cfRule type="expression" dxfId="3279" priority="1448">
      <formula>AND(IF(OR($Q10=1,$Q10=2),1,0),IF($X10&lt;=20,1,0))</formula>
    </cfRule>
    <cfRule type="expression" dxfId="3278" priority="1449">
      <formula>AND(IF($Q10=2,1,0),IF($X10&lt;30,1,0))</formula>
    </cfRule>
    <cfRule type="expression" dxfId="3277" priority="1450">
      <formula>AND(IF($Q10=3,1,0),IF($X10&lt;30,1,0))</formula>
    </cfRule>
    <cfRule type="expression" dxfId="3276" priority="1451">
      <formula>AND(IF($Q10=3,1,IF($Q10=4,1,0)),IF($F10&lt;=85,1,0))</formula>
    </cfRule>
  </conditionalFormatting>
  <conditionalFormatting sqref="X10">
    <cfRule type="expression" dxfId="3275" priority="1444">
      <formula>AND(IF(OR($Q10=1,$Q10=2),1,0),IF($X10&lt;=20,1,0))</formula>
    </cfRule>
    <cfRule type="expression" dxfId="3274" priority="1445">
      <formula>AND(IF($Q10=2,1,0),IF($X10&lt;30,1,0))</formula>
    </cfRule>
    <cfRule type="expression" dxfId="3273" priority="1446">
      <formula>AND(IF($Q10=3,1,0),IF($X10&lt;30,1,0))</formula>
    </cfRule>
    <cfRule type="expression" dxfId="3272" priority="1447">
      <formula>AND(IF($Q10=3,1,IF($Q10=4,1,0)),IF($F10&lt;=85,1,0))</formula>
    </cfRule>
  </conditionalFormatting>
  <conditionalFormatting sqref="AI10">
    <cfRule type="expression" dxfId="3271" priority="1440">
      <formula>AND(IF(OR($Q10=1,$Q10=2),1,0),IF($X10&lt;=20,1,0))</formula>
    </cfRule>
    <cfRule type="expression" dxfId="3270" priority="1441">
      <formula>AND(IF($Q10=2,1,0),IF($X10&lt;30,1,0))</formula>
    </cfRule>
    <cfRule type="expression" dxfId="3269" priority="1442">
      <formula>AND(IF($Q10=3,1,0),IF($X10&lt;30,1,0))</formula>
    </cfRule>
    <cfRule type="expression" dxfId="3268" priority="1443">
      <formula>AND(IF($Q10=3,1,IF($Q10=4,1,0)),IF($F10&lt;=85,1,0))</formula>
    </cfRule>
  </conditionalFormatting>
  <conditionalFormatting sqref="AV11">
    <cfRule type="expression" dxfId="3267" priority="1438">
      <formula>AV11="X"</formula>
    </cfRule>
    <cfRule type="expression" dxfId="3266" priority="1439">
      <formula>AV11="후보"</formula>
    </cfRule>
  </conditionalFormatting>
  <conditionalFormatting sqref="AC11 N11">
    <cfRule type="cellIs" dxfId="3265" priority="1435" operator="greaterThan">
      <formula>0.9</formula>
    </cfRule>
    <cfRule type="cellIs" dxfId="3264" priority="1436" operator="greaterThan">
      <formula>0.85</formula>
    </cfRule>
  </conditionalFormatting>
  <conditionalFormatting sqref="AV12">
    <cfRule type="expression" dxfId="3263" priority="1433">
      <formula>AV12="X"</formula>
    </cfRule>
    <cfRule type="expression" dxfId="3262" priority="1434">
      <formula>AV12="후보"</formula>
    </cfRule>
  </conditionalFormatting>
  <conditionalFormatting sqref="AC12">
    <cfRule type="cellIs" dxfId="3261" priority="1430" operator="greaterThan">
      <formula>0.9</formula>
    </cfRule>
    <cfRule type="cellIs" dxfId="3260" priority="1431" operator="greaterThan">
      <formula>0.85</formula>
    </cfRule>
  </conditionalFormatting>
  <conditionalFormatting sqref="N12">
    <cfRule type="cellIs" dxfId="3259" priority="1428" operator="greaterThan">
      <formula>0.9</formula>
    </cfRule>
    <cfRule type="cellIs" dxfId="3258" priority="1429" operator="greaterThan">
      <formula>0.85</formula>
    </cfRule>
  </conditionalFormatting>
  <conditionalFormatting sqref="E12">
    <cfRule type="expression" dxfId="3257" priority="1424">
      <formula>AND(IF(OR($Q12=1,$Q12=2),1,0),IF($X12&lt;=20,1,0))</formula>
    </cfRule>
    <cfRule type="expression" dxfId="3256" priority="1425">
      <formula>AND(IF($Q12=2,1,0),IF($X12&lt;30,1,0))</formula>
    </cfRule>
    <cfRule type="expression" dxfId="3255" priority="1426">
      <formula>AND(IF($Q12=3,1,0),IF($X12&lt;30,1,0))</formula>
    </cfRule>
    <cfRule type="expression" dxfId="3254" priority="1427">
      <formula>AND(IF($Q12=3,1,IF($Q12=4,1,0)),IF($F12&lt;=85,1,0))</formula>
    </cfRule>
  </conditionalFormatting>
  <conditionalFormatting sqref="X12">
    <cfRule type="expression" dxfId="3253" priority="1420">
      <formula>AND(IF(OR($Q12=1,$Q12=2),1,0),IF($X12&lt;=20,1,0))</formula>
    </cfRule>
    <cfRule type="expression" dxfId="3252" priority="1421">
      <formula>AND(IF($Q12=2,1,0),IF($X12&lt;30,1,0))</formula>
    </cfRule>
    <cfRule type="expression" dxfId="3251" priority="1422">
      <formula>AND(IF($Q12=3,1,0),IF($X12&lt;30,1,0))</formula>
    </cfRule>
    <cfRule type="expression" dxfId="3250" priority="1423">
      <formula>AND(IF($Q12=3,1,IF($Q12=4,1,0)),IF($F12&lt;=85,1,0))</formula>
    </cfRule>
  </conditionalFormatting>
  <conditionalFormatting sqref="AI12">
    <cfRule type="expression" dxfId="3249" priority="1416">
      <formula>AND(IF(OR($Q12=1,$Q12=2),1,0),IF($X12&lt;=20,1,0))</formula>
    </cfRule>
    <cfRule type="expression" dxfId="3248" priority="1417">
      <formula>AND(IF($Q12=2,1,0),IF($X12&lt;30,1,0))</formula>
    </cfRule>
    <cfRule type="expression" dxfId="3247" priority="1418">
      <formula>AND(IF($Q12=3,1,0),IF($X12&lt;30,1,0))</formula>
    </cfRule>
    <cfRule type="expression" dxfId="3246" priority="1419">
      <formula>AND(IF($Q12=3,1,IF($Q12=4,1,0)),IF($F12&lt;=85,1,0))</formula>
    </cfRule>
  </conditionalFormatting>
  <conditionalFormatting sqref="AV13">
    <cfRule type="expression" dxfId="3245" priority="1414">
      <formula>AV13="X"</formula>
    </cfRule>
    <cfRule type="expression" dxfId="3244" priority="1415">
      <formula>AV13="후보"</formula>
    </cfRule>
  </conditionalFormatting>
  <conditionalFormatting sqref="AC13">
    <cfRule type="cellIs" dxfId="3243" priority="1411" operator="greaterThan">
      <formula>0.9</formula>
    </cfRule>
    <cfRule type="cellIs" dxfId="3242" priority="1412" operator="greaterThan">
      <formula>0.85</formula>
    </cfRule>
  </conditionalFormatting>
  <conditionalFormatting sqref="N13">
    <cfRule type="cellIs" dxfId="3241" priority="1409" operator="greaterThan">
      <formula>0.9</formula>
    </cfRule>
    <cfRule type="cellIs" dxfId="3240" priority="1410" operator="greaterThan">
      <formula>0.85</formula>
    </cfRule>
  </conditionalFormatting>
  <conditionalFormatting sqref="E13">
    <cfRule type="expression" dxfId="3239" priority="1405">
      <formula>AND(IF(OR($Q13=1,$Q13=2),1,0),IF($X13&lt;=20,1,0))</formula>
    </cfRule>
    <cfRule type="expression" dxfId="3238" priority="1406">
      <formula>AND(IF($Q13=2,1,0),IF($X13&lt;30,1,0))</formula>
    </cfRule>
    <cfRule type="expression" dxfId="3237" priority="1407">
      <formula>AND(IF($Q13=3,1,0),IF($X13&lt;30,1,0))</formula>
    </cfRule>
    <cfRule type="expression" dxfId="3236" priority="1408">
      <formula>AND(IF($Q13=3,1,IF($Q13=4,1,0)),IF($F13&lt;=85,1,0))</formula>
    </cfRule>
  </conditionalFormatting>
  <conditionalFormatting sqref="X13">
    <cfRule type="expression" dxfId="3235" priority="1401">
      <formula>AND(IF(OR($Q13=1,$Q13=2),1,0),IF($X13&lt;=20,1,0))</formula>
    </cfRule>
    <cfRule type="expression" dxfId="3234" priority="1402">
      <formula>AND(IF($Q13=2,1,0),IF($X13&lt;30,1,0))</formula>
    </cfRule>
    <cfRule type="expression" dxfId="3233" priority="1403">
      <formula>AND(IF($Q13=3,1,0),IF($X13&lt;30,1,0))</formula>
    </cfRule>
    <cfRule type="expression" dxfId="3232" priority="1404">
      <formula>AND(IF($Q13=3,1,IF($Q13=4,1,0)),IF($F13&lt;=85,1,0))</formula>
    </cfRule>
  </conditionalFormatting>
  <conditionalFormatting sqref="AI13">
    <cfRule type="expression" dxfId="3231" priority="1397">
      <formula>AND(IF(OR($Q13=1,$Q13=2),1,0),IF($X13&lt;=20,1,0))</formula>
    </cfRule>
    <cfRule type="expression" dxfId="3230" priority="1398">
      <formula>AND(IF($Q13=2,1,0),IF($X13&lt;30,1,0))</formula>
    </cfRule>
    <cfRule type="expression" dxfId="3229" priority="1399">
      <formula>AND(IF($Q13=3,1,0),IF($X13&lt;30,1,0))</formula>
    </cfRule>
    <cfRule type="expression" dxfId="3228" priority="1400">
      <formula>AND(IF($Q13=3,1,IF($Q13=4,1,0)),IF($F13&lt;=85,1,0))</formula>
    </cfRule>
  </conditionalFormatting>
  <conditionalFormatting sqref="AV14">
    <cfRule type="expression" dxfId="3227" priority="1395">
      <formula>AV14="X"</formula>
    </cfRule>
    <cfRule type="expression" dxfId="3226" priority="1396">
      <formula>AV14="후보"</formula>
    </cfRule>
  </conditionalFormatting>
  <conditionalFormatting sqref="AC14 N14">
    <cfRule type="cellIs" dxfId="3225" priority="1392" operator="greaterThan">
      <formula>0.9</formula>
    </cfRule>
    <cfRule type="cellIs" dxfId="3224" priority="1393" operator="greaterThan">
      <formula>0.85</formula>
    </cfRule>
  </conditionalFormatting>
  <conditionalFormatting sqref="AV15">
    <cfRule type="expression" dxfId="3223" priority="1390">
      <formula>AV15="X"</formula>
    </cfRule>
    <cfRule type="expression" dxfId="3222" priority="1391">
      <formula>AV15="후보"</formula>
    </cfRule>
  </conditionalFormatting>
  <conditionalFormatting sqref="AC15">
    <cfRule type="cellIs" dxfId="3221" priority="1387" operator="greaterThan">
      <formula>0.9</formula>
    </cfRule>
    <cfRule type="cellIs" dxfId="3220" priority="1388" operator="greaterThan">
      <formula>0.85</formula>
    </cfRule>
  </conditionalFormatting>
  <conditionalFormatting sqref="N15">
    <cfRule type="cellIs" dxfId="3219" priority="1385" operator="greaterThan">
      <formula>0.9</formula>
    </cfRule>
    <cfRule type="cellIs" dxfId="3218" priority="1386" operator="greaterThan">
      <formula>0.85</formula>
    </cfRule>
  </conditionalFormatting>
  <conditionalFormatting sqref="E15">
    <cfRule type="expression" dxfId="3217" priority="1381">
      <formula>AND(IF(OR($Q15=1,$Q15=2),1,0),IF($X15&lt;=20,1,0))</formula>
    </cfRule>
    <cfRule type="expression" dxfId="3216" priority="1382">
      <formula>AND(IF($Q15=2,1,0),IF($X15&lt;30,1,0))</formula>
    </cfRule>
    <cfRule type="expression" dxfId="3215" priority="1383">
      <formula>AND(IF($Q15=3,1,0),IF($X15&lt;30,1,0))</formula>
    </cfRule>
    <cfRule type="expression" dxfId="3214" priority="1384">
      <formula>AND(IF($Q15=3,1,IF($Q15=4,1,0)),IF($F15&lt;=85,1,0))</formula>
    </cfRule>
  </conditionalFormatting>
  <conditionalFormatting sqref="X15">
    <cfRule type="expression" dxfId="3213" priority="1377">
      <formula>AND(IF(OR($Q15=1,$Q15=2),1,0),IF($X15&lt;=20,1,0))</formula>
    </cfRule>
    <cfRule type="expression" dxfId="3212" priority="1378">
      <formula>AND(IF($Q15=2,1,0),IF($X15&lt;30,1,0))</formula>
    </cfRule>
    <cfRule type="expression" dxfId="3211" priority="1379">
      <formula>AND(IF($Q15=3,1,0),IF($X15&lt;30,1,0))</formula>
    </cfRule>
    <cfRule type="expression" dxfId="3210" priority="1380">
      <formula>AND(IF($Q15=3,1,IF($Q15=4,1,0)),IF($F15&lt;=85,1,0))</formula>
    </cfRule>
  </conditionalFormatting>
  <conditionalFormatting sqref="AI15">
    <cfRule type="expression" dxfId="3209" priority="1373">
      <formula>AND(IF(OR($Q15=1,$Q15=2),1,0),IF($X15&lt;=20,1,0))</formula>
    </cfRule>
    <cfRule type="expression" dxfId="3208" priority="1374">
      <formula>AND(IF($Q15=2,1,0),IF($X15&lt;30,1,0))</formula>
    </cfRule>
    <cfRule type="expression" dxfId="3207" priority="1375">
      <formula>AND(IF($Q15=3,1,0),IF($X15&lt;30,1,0))</formula>
    </cfRule>
    <cfRule type="expression" dxfId="3206" priority="1376">
      <formula>AND(IF($Q15=3,1,IF($Q15=4,1,0)),IF($F15&lt;=85,1,0))</formula>
    </cfRule>
  </conditionalFormatting>
  <conditionalFormatting sqref="AV16">
    <cfRule type="expression" dxfId="3205" priority="1371">
      <formula>AV16="X"</formula>
    </cfRule>
    <cfRule type="expression" dxfId="3204" priority="1372">
      <formula>AV16="후보"</formula>
    </cfRule>
  </conditionalFormatting>
  <conditionalFormatting sqref="AC16">
    <cfRule type="cellIs" dxfId="3203" priority="1368" operator="greaterThan">
      <formula>0.9</formula>
    </cfRule>
    <cfRule type="cellIs" dxfId="3202" priority="1369" operator="greaterThan">
      <formula>0.85</formula>
    </cfRule>
  </conditionalFormatting>
  <conditionalFormatting sqref="N16">
    <cfRule type="cellIs" dxfId="3201" priority="1366" operator="greaterThan">
      <formula>0.9</formula>
    </cfRule>
    <cfRule type="cellIs" dxfId="3200" priority="1367" operator="greaterThan">
      <formula>0.85</formula>
    </cfRule>
  </conditionalFormatting>
  <conditionalFormatting sqref="E16">
    <cfRule type="expression" dxfId="3199" priority="1362">
      <formula>AND(IF(OR($Q16=1,$Q16=2),1,0),IF($X16&lt;=20,1,0))</formula>
    </cfRule>
    <cfRule type="expression" dxfId="3198" priority="1363">
      <formula>AND(IF($Q16=2,1,0),IF($X16&lt;30,1,0))</formula>
    </cfRule>
    <cfRule type="expression" dxfId="3197" priority="1364">
      <formula>AND(IF($Q16=3,1,0),IF($X16&lt;30,1,0))</formula>
    </cfRule>
    <cfRule type="expression" dxfId="3196" priority="1365">
      <formula>AND(IF($Q16=3,1,IF($Q16=4,1,0)),IF($F16&lt;=85,1,0))</formula>
    </cfRule>
  </conditionalFormatting>
  <conditionalFormatting sqref="X16">
    <cfRule type="expression" dxfId="3195" priority="1358">
      <formula>AND(IF(OR($Q16=1,$Q16=2),1,0),IF($X16&lt;=20,1,0))</formula>
    </cfRule>
    <cfRule type="expression" dxfId="3194" priority="1359">
      <formula>AND(IF($Q16=2,1,0),IF($X16&lt;30,1,0))</formula>
    </cfRule>
    <cfRule type="expression" dxfId="3193" priority="1360">
      <formula>AND(IF($Q16=3,1,0),IF($X16&lt;30,1,0))</formula>
    </cfRule>
    <cfRule type="expression" dxfId="3192" priority="1361">
      <formula>AND(IF($Q16=3,1,IF($Q16=4,1,0)),IF($F16&lt;=85,1,0))</formula>
    </cfRule>
  </conditionalFormatting>
  <conditionalFormatting sqref="AI16">
    <cfRule type="expression" dxfId="3191" priority="1354">
      <formula>AND(IF(OR($Q16=1,$Q16=2),1,0),IF($X16&lt;=20,1,0))</formula>
    </cfRule>
    <cfRule type="expression" dxfId="3190" priority="1355">
      <formula>AND(IF($Q16=2,1,0),IF($X16&lt;30,1,0))</formula>
    </cfRule>
    <cfRule type="expression" dxfId="3189" priority="1356">
      <formula>AND(IF($Q16=3,1,0),IF($X16&lt;30,1,0))</formula>
    </cfRule>
    <cfRule type="expression" dxfId="3188" priority="1357">
      <formula>AND(IF($Q16=3,1,IF($Q16=4,1,0)),IF($F16&lt;=85,1,0))</formula>
    </cfRule>
  </conditionalFormatting>
  <conditionalFormatting sqref="AV17">
    <cfRule type="expression" dxfId="3187" priority="1352">
      <formula>AV17="X"</formula>
    </cfRule>
    <cfRule type="expression" dxfId="3186" priority="1353">
      <formula>AV17="후보"</formula>
    </cfRule>
  </conditionalFormatting>
  <conditionalFormatting sqref="AC17">
    <cfRule type="cellIs" dxfId="3185" priority="1349" operator="greaterThan">
      <formula>0.9</formula>
    </cfRule>
    <cfRule type="cellIs" dxfId="3184" priority="1350" operator="greaterThan">
      <formula>0.85</formula>
    </cfRule>
  </conditionalFormatting>
  <conditionalFormatting sqref="N17">
    <cfRule type="cellIs" dxfId="3183" priority="1347" operator="greaterThan">
      <formula>0.9</formula>
    </cfRule>
    <cfRule type="cellIs" dxfId="3182" priority="1348" operator="greaterThan">
      <formula>0.85</formula>
    </cfRule>
  </conditionalFormatting>
  <conditionalFormatting sqref="E17">
    <cfRule type="expression" dxfId="3181" priority="1343">
      <formula>AND(IF(OR($Q17=1,$Q17=2),1,0),IF($X17&lt;=20,1,0))</formula>
    </cfRule>
    <cfRule type="expression" dxfId="3180" priority="1344">
      <formula>AND(IF($Q17=2,1,0),IF($X17&lt;30,1,0))</formula>
    </cfRule>
    <cfRule type="expression" dxfId="3179" priority="1345">
      <formula>AND(IF($Q17=3,1,0),IF($X17&lt;30,1,0))</formula>
    </cfRule>
    <cfRule type="expression" dxfId="3178" priority="1346">
      <formula>AND(IF($Q17=3,1,IF($Q17=4,1,0)),IF($F17&lt;=85,1,0))</formula>
    </cfRule>
  </conditionalFormatting>
  <conditionalFormatting sqref="X17">
    <cfRule type="expression" dxfId="3177" priority="1339">
      <formula>AND(IF(OR($Q17=1,$Q17=2),1,0),IF($X17&lt;=20,1,0))</formula>
    </cfRule>
    <cfRule type="expression" dxfId="3176" priority="1340">
      <formula>AND(IF($Q17=2,1,0),IF($X17&lt;30,1,0))</formula>
    </cfRule>
    <cfRule type="expression" dxfId="3175" priority="1341">
      <formula>AND(IF($Q17=3,1,0),IF($X17&lt;30,1,0))</formula>
    </cfRule>
    <cfRule type="expression" dxfId="3174" priority="1342">
      <formula>AND(IF($Q17=3,1,IF($Q17=4,1,0)),IF($F17&lt;=85,1,0))</formula>
    </cfRule>
  </conditionalFormatting>
  <conditionalFormatting sqref="AI17">
    <cfRule type="expression" dxfId="3173" priority="1335">
      <formula>AND(IF(OR($Q17=1,$Q17=2),1,0),IF($X17&lt;=20,1,0))</formula>
    </cfRule>
    <cfRule type="expression" dxfId="3172" priority="1336">
      <formula>AND(IF($Q17=2,1,0),IF($X17&lt;30,1,0))</formula>
    </cfRule>
    <cfRule type="expression" dxfId="3171" priority="1337">
      <formula>AND(IF($Q17=3,1,0),IF($X17&lt;30,1,0))</formula>
    </cfRule>
    <cfRule type="expression" dxfId="3170" priority="1338">
      <formula>AND(IF($Q17=3,1,IF($Q17=4,1,0)),IF($F17&lt;=85,1,0))</formula>
    </cfRule>
  </conditionalFormatting>
  <conditionalFormatting sqref="AV18">
    <cfRule type="expression" dxfId="3169" priority="1333">
      <formula>AV18="X"</formula>
    </cfRule>
    <cfRule type="expression" dxfId="3168" priority="1334">
      <formula>AV18="후보"</formula>
    </cfRule>
  </conditionalFormatting>
  <conditionalFormatting sqref="AC18 N18">
    <cfRule type="cellIs" dxfId="3167" priority="1330" operator="greaterThan">
      <formula>0.9</formula>
    </cfRule>
    <cfRule type="cellIs" dxfId="3166" priority="1331" operator="greaterThan">
      <formula>0.85</formula>
    </cfRule>
  </conditionalFormatting>
  <conditionalFormatting sqref="AV19">
    <cfRule type="expression" dxfId="3165" priority="1328">
      <formula>AV19="X"</formula>
    </cfRule>
    <cfRule type="expression" dxfId="3164" priority="1329">
      <formula>AV19="후보"</formula>
    </cfRule>
  </conditionalFormatting>
  <conditionalFormatting sqref="AC19">
    <cfRule type="cellIs" dxfId="3163" priority="1325" operator="greaterThan">
      <formula>0.9</formula>
    </cfRule>
    <cfRule type="cellIs" dxfId="3162" priority="1326" operator="greaterThan">
      <formula>0.85</formula>
    </cfRule>
  </conditionalFormatting>
  <conditionalFormatting sqref="N19">
    <cfRule type="cellIs" dxfId="3161" priority="1323" operator="greaterThan">
      <formula>0.9</formula>
    </cfRule>
    <cfRule type="cellIs" dxfId="3160" priority="1324" operator="greaterThan">
      <formula>0.85</formula>
    </cfRule>
  </conditionalFormatting>
  <conditionalFormatting sqref="E19">
    <cfRule type="expression" dxfId="3159" priority="1319">
      <formula>AND(IF(OR($Q19=1,$Q19=2),1,0),IF($X19&lt;=20,1,0))</formula>
    </cfRule>
    <cfRule type="expression" dxfId="3158" priority="1320">
      <formula>AND(IF($Q19=2,1,0),IF($X19&lt;30,1,0))</formula>
    </cfRule>
    <cfRule type="expression" dxfId="3157" priority="1321">
      <formula>AND(IF($Q19=3,1,0),IF($X19&lt;30,1,0))</formula>
    </cfRule>
    <cfRule type="expression" dxfId="3156" priority="1322">
      <formula>AND(IF($Q19=3,1,IF($Q19=4,1,0)),IF($F19&lt;=85,1,0))</formula>
    </cfRule>
  </conditionalFormatting>
  <conditionalFormatting sqref="X19">
    <cfRule type="expression" dxfId="3155" priority="1315">
      <formula>AND(IF(OR($Q19=1,$Q19=2),1,0),IF($X19&lt;=20,1,0))</formula>
    </cfRule>
    <cfRule type="expression" dxfId="3154" priority="1316">
      <formula>AND(IF($Q19=2,1,0),IF($X19&lt;30,1,0))</formula>
    </cfRule>
    <cfRule type="expression" dxfId="3153" priority="1317">
      <formula>AND(IF($Q19=3,1,0),IF($X19&lt;30,1,0))</formula>
    </cfRule>
    <cfRule type="expression" dxfId="3152" priority="1318">
      <formula>AND(IF($Q19=3,1,IF($Q19=4,1,0)),IF($F19&lt;=85,1,0))</formula>
    </cfRule>
  </conditionalFormatting>
  <conditionalFormatting sqref="AI19">
    <cfRule type="expression" dxfId="3151" priority="1311">
      <formula>AND(IF(OR($Q19=1,$Q19=2),1,0),IF($X19&lt;=20,1,0))</formula>
    </cfRule>
    <cfRule type="expression" dxfId="3150" priority="1312">
      <formula>AND(IF($Q19=2,1,0),IF($X19&lt;30,1,0))</formula>
    </cfRule>
    <cfRule type="expression" dxfId="3149" priority="1313">
      <formula>AND(IF($Q19=3,1,0),IF($X19&lt;30,1,0))</formula>
    </cfRule>
    <cfRule type="expression" dxfId="3148" priority="1314">
      <formula>AND(IF($Q19=3,1,IF($Q19=4,1,0)),IF($F19&lt;=85,1,0))</formula>
    </cfRule>
  </conditionalFormatting>
  <conditionalFormatting sqref="AV20">
    <cfRule type="expression" dxfId="3147" priority="1309">
      <formula>AV20="X"</formula>
    </cfRule>
    <cfRule type="expression" dxfId="3146" priority="1310">
      <formula>AV20="후보"</formula>
    </cfRule>
  </conditionalFormatting>
  <conditionalFormatting sqref="AC20">
    <cfRule type="cellIs" dxfId="3145" priority="1306" operator="greaterThan">
      <formula>0.9</formula>
    </cfRule>
    <cfRule type="cellIs" dxfId="3144" priority="1307" operator="greaterThan">
      <formula>0.85</formula>
    </cfRule>
  </conditionalFormatting>
  <conditionalFormatting sqref="N20">
    <cfRule type="cellIs" dxfId="3143" priority="1304" operator="greaterThan">
      <formula>0.9</formula>
    </cfRule>
    <cfRule type="cellIs" dxfId="3142" priority="1305" operator="greaterThan">
      <formula>0.85</formula>
    </cfRule>
  </conditionalFormatting>
  <conditionalFormatting sqref="E20">
    <cfRule type="expression" dxfId="3141" priority="1300">
      <formula>AND(IF(OR($Q20=1,$Q20=2),1,0),IF($X20&lt;=20,1,0))</formula>
    </cfRule>
    <cfRule type="expression" dxfId="3140" priority="1301">
      <formula>AND(IF($Q20=2,1,0),IF($X20&lt;30,1,0))</formula>
    </cfRule>
    <cfRule type="expression" dxfId="3139" priority="1302">
      <formula>AND(IF($Q20=3,1,0),IF($X20&lt;30,1,0))</formula>
    </cfRule>
    <cfRule type="expression" dxfId="3138" priority="1303">
      <formula>AND(IF($Q20=3,1,IF($Q20=4,1,0)),IF($F20&lt;=85,1,0))</formula>
    </cfRule>
  </conditionalFormatting>
  <conditionalFormatting sqref="X20">
    <cfRule type="expression" dxfId="3137" priority="1296">
      <formula>AND(IF(OR($Q20=1,$Q20=2),1,0),IF($X20&lt;=20,1,0))</formula>
    </cfRule>
    <cfRule type="expression" dxfId="3136" priority="1297">
      <formula>AND(IF($Q20=2,1,0),IF($X20&lt;30,1,0))</formula>
    </cfRule>
    <cfRule type="expression" dxfId="3135" priority="1298">
      <formula>AND(IF($Q20=3,1,0),IF($X20&lt;30,1,0))</formula>
    </cfRule>
    <cfRule type="expression" dxfId="3134" priority="1299">
      <formula>AND(IF($Q20=3,1,IF($Q20=4,1,0)),IF($F20&lt;=85,1,0))</formula>
    </cfRule>
  </conditionalFormatting>
  <conditionalFormatting sqref="AI20">
    <cfRule type="expression" dxfId="3133" priority="1292">
      <formula>AND(IF(OR($Q20=1,$Q20=2),1,0),IF($X20&lt;=20,1,0))</formula>
    </cfRule>
    <cfRule type="expression" dxfId="3132" priority="1293">
      <formula>AND(IF($Q20=2,1,0),IF($X20&lt;30,1,0))</formula>
    </cfRule>
    <cfRule type="expression" dxfId="3131" priority="1294">
      <formula>AND(IF($Q20=3,1,0),IF($X20&lt;30,1,0))</formula>
    </cfRule>
    <cfRule type="expression" dxfId="3130" priority="1295">
      <formula>AND(IF($Q20=3,1,IF($Q20=4,1,0)),IF($F20&lt;=85,1,0))</formula>
    </cfRule>
  </conditionalFormatting>
  <conditionalFormatting sqref="AV21">
    <cfRule type="expression" dxfId="3129" priority="1290">
      <formula>AV21="X"</formula>
    </cfRule>
    <cfRule type="expression" dxfId="3128" priority="1291">
      <formula>AV21="후보"</formula>
    </cfRule>
  </conditionalFormatting>
  <conditionalFormatting sqref="AC21">
    <cfRule type="cellIs" dxfId="3127" priority="1287" operator="greaterThan">
      <formula>0.9</formula>
    </cfRule>
    <cfRule type="cellIs" dxfId="3126" priority="1288" operator="greaterThan">
      <formula>0.85</formula>
    </cfRule>
  </conditionalFormatting>
  <conditionalFormatting sqref="N21">
    <cfRule type="cellIs" dxfId="3125" priority="1285" operator="greaterThan">
      <formula>0.9</formula>
    </cfRule>
    <cfRule type="cellIs" dxfId="3124" priority="1286" operator="greaterThan">
      <formula>0.85</formula>
    </cfRule>
  </conditionalFormatting>
  <conditionalFormatting sqref="E21">
    <cfRule type="expression" dxfId="3123" priority="1281">
      <formula>AND(IF(OR($Q21=1,$Q21=2),1,0),IF($X21&lt;=20,1,0))</formula>
    </cfRule>
    <cfRule type="expression" dxfId="3122" priority="1282">
      <formula>AND(IF($Q21=2,1,0),IF($X21&lt;30,1,0))</formula>
    </cfRule>
    <cfRule type="expression" dxfId="3121" priority="1283">
      <formula>AND(IF($Q21=3,1,0),IF($X21&lt;30,1,0))</formula>
    </cfRule>
    <cfRule type="expression" dxfId="3120" priority="1284">
      <formula>AND(IF($Q21=3,1,IF($Q21=4,1,0)),IF($F21&lt;=85,1,0))</formula>
    </cfRule>
  </conditionalFormatting>
  <conditionalFormatting sqref="X21">
    <cfRule type="expression" dxfId="3119" priority="1277">
      <formula>AND(IF(OR($Q21=1,$Q21=2),1,0),IF($X21&lt;=20,1,0))</formula>
    </cfRule>
    <cfRule type="expression" dxfId="3118" priority="1278">
      <formula>AND(IF($Q21=2,1,0),IF($X21&lt;30,1,0))</formula>
    </cfRule>
    <cfRule type="expression" dxfId="3117" priority="1279">
      <formula>AND(IF($Q21=3,1,0),IF($X21&lt;30,1,0))</formula>
    </cfRule>
    <cfRule type="expression" dxfId="3116" priority="1280">
      <formula>AND(IF($Q21=3,1,IF($Q21=4,1,0)),IF($F21&lt;=85,1,0))</formula>
    </cfRule>
  </conditionalFormatting>
  <conditionalFormatting sqref="AI21">
    <cfRule type="expression" dxfId="3115" priority="1273">
      <formula>AND(IF(OR($Q21=1,$Q21=2),1,0),IF($X21&lt;=20,1,0))</formula>
    </cfRule>
    <cfRule type="expression" dxfId="3114" priority="1274">
      <formula>AND(IF($Q21=2,1,0),IF($X21&lt;30,1,0))</formula>
    </cfRule>
    <cfRule type="expression" dxfId="3113" priority="1275">
      <formula>AND(IF($Q21=3,1,0),IF($X21&lt;30,1,0))</formula>
    </cfRule>
    <cfRule type="expression" dxfId="3112" priority="1276">
      <formula>AND(IF($Q21=3,1,IF($Q21=4,1,0)),IF($F21&lt;=85,1,0))</formula>
    </cfRule>
  </conditionalFormatting>
  <conditionalFormatting sqref="AV22">
    <cfRule type="expression" dxfId="3111" priority="1271">
      <formula>AV22="X"</formula>
    </cfRule>
    <cfRule type="expression" dxfId="3110" priority="1272">
      <formula>AV22="후보"</formula>
    </cfRule>
  </conditionalFormatting>
  <conditionalFormatting sqref="AC22">
    <cfRule type="cellIs" dxfId="3109" priority="1268" operator="greaterThan">
      <formula>0.9</formula>
    </cfRule>
    <cfRule type="cellIs" dxfId="3108" priority="1269" operator="greaterThan">
      <formula>0.85</formula>
    </cfRule>
  </conditionalFormatting>
  <conditionalFormatting sqref="N22">
    <cfRule type="cellIs" dxfId="3107" priority="1266" operator="greaterThan">
      <formula>0.9</formula>
    </cfRule>
    <cfRule type="cellIs" dxfId="3106" priority="1267" operator="greaterThan">
      <formula>0.85</formula>
    </cfRule>
  </conditionalFormatting>
  <conditionalFormatting sqref="E22">
    <cfRule type="expression" dxfId="3105" priority="1262">
      <formula>AND(IF(OR($Q22=1,$Q22=2),1,0),IF($X22&lt;=20,1,0))</formula>
    </cfRule>
    <cfRule type="expression" dxfId="3104" priority="1263">
      <formula>AND(IF($Q22=2,1,0),IF($X22&lt;30,1,0))</formula>
    </cfRule>
    <cfRule type="expression" dxfId="3103" priority="1264">
      <formula>AND(IF($Q22=3,1,0),IF($X22&lt;30,1,0))</formula>
    </cfRule>
    <cfRule type="expression" dxfId="3102" priority="1265">
      <formula>AND(IF($Q22=3,1,IF($Q22=4,1,0)),IF($F22&lt;=85,1,0))</formula>
    </cfRule>
  </conditionalFormatting>
  <conditionalFormatting sqref="X22">
    <cfRule type="expression" dxfId="3101" priority="1258">
      <formula>AND(IF(OR($Q22=1,$Q22=2),1,0),IF($X22&lt;=20,1,0))</formula>
    </cfRule>
    <cfRule type="expression" dxfId="3100" priority="1259">
      <formula>AND(IF($Q22=2,1,0),IF($X22&lt;30,1,0))</formula>
    </cfRule>
    <cfRule type="expression" dxfId="3099" priority="1260">
      <formula>AND(IF($Q22=3,1,0),IF($X22&lt;30,1,0))</formula>
    </cfRule>
    <cfRule type="expression" dxfId="3098" priority="1261">
      <formula>AND(IF($Q22=3,1,IF($Q22=4,1,0)),IF($F22&lt;=85,1,0))</formula>
    </cfRule>
  </conditionalFormatting>
  <conditionalFormatting sqref="AI22">
    <cfRule type="expression" dxfId="3097" priority="1254">
      <formula>AND(IF(OR($Q22=1,$Q22=2),1,0),IF($X22&lt;=20,1,0))</formula>
    </cfRule>
    <cfRule type="expression" dxfId="3096" priority="1255">
      <formula>AND(IF($Q22=2,1,0),IF($X22&lt;30,1,0))</formula>
    </cfRule>
    <cfRule type="expression" dxfId="3095" priority="1256">
      <formula>AND(IF($Q22=3,1,0),IF($X22&lt;30,1,0))</formula>
    </cfRule>
    <cfRule type="expression" dxfId="3094" priority="1257">
      <formula>AND(IF($Q22=3,1,IF($Q22=4,1,0)),IF($F22&lt;=85,1,0))</formula>
    </cfRule>
  </conditionalFormatting>
  <conditionalFormatting sqref="AV23">
    <cfRule type="expression" dxfId="3093" priority="1252">
      <formula>AV23="X"</formula>
    </cfRule>
    <cfRule type="expression" dxfId="3092" priority="1253">
      <formula>AV23="후보"</formula>
    </cfRule>
  </conditionalFormatting>
  <conditionalFormatting sqref="AC23">
    <cfRule type="cellIs" dxfId="3091" priority="1249" operator="greaterThan">
      <formula>0.9</formula>
    </cfRule>
    <cfRule type="cellIs" dxfId="3090" priority="1250" operator="greaterThan">
      <formula>0.85</formula>
    </cfRule>
  </conditionalFormatting>
  <conditionalFormatting sqref="N23">
    <cfRule type="cellIs" dxfId="3089" priority="1247" operator="greaterThan">
      <formula>0.9</formula>
    </cfRule>
    <cfRule type="cellIs" dxfId="3088" priority="1248" operator="greaterThan">
      <formula>0.85</formula>
    </cfRule>
  </conditionalFormatting>
  <conditionalFormatting sqref="E23">
    <cfRule type="expression" dxfId="3087" priority="1243">
      <formula>AND(IF(OR($Q23=1,$Q23=2),1,0),IF($X23&lt;=20,1,0))</formula>
    </cfRule>
    <cfRule type="expression" dxfId="3086" priority="1244">
      <formula>AND(IF($Q23=2,1,0),IF($X23&lt;30,1,0))</formula>
    </cfRule>
    <cfRule type="expression" dxfId="3085" priority="1245">
      <formula>AND(IF($Q23=3,1,0),IF($X23&lt;30,1,0))</formula>
    </cfRule>
    <cfRule type="expression" dxfId="3084" priority="1246">
      <formula>AND(IF($Q23=3,1,IF($Q23=4,1,0)),IF($F23&lt;=85,1,0))</formula>
    </cfRule>
  </conditionalFormatting>
  <conditionalFormatting sqref="X23">
    <cfRule type="expression" dxfId="3083" priority="1239">
      <formula>AND(IF(OR($Q23=1,$Q23=2),1,0),IF($X23&lt;=20,1,0))</formula>
    </cfRule>
    <cfRule type="expression" dxfId="3082" priority="1240">
      <formula>AND(IF($Q23=2,1,0),IF($X23&lt;30,1,0))</formula>
    </cfRule>
    <cfRule type="expression" dxfId="3081" priority="1241">
      <formula>AND(IF($Q23=3,1,0),IF($X23&lt;30,1,0))</formula>
    </cfRule>
    <cfRule type="expression" dxfId="3080" priority="1242">
      <formula>AND(IF($Q23=3,1,IF($Q23=4,1,0)),IF($F23&lt;=85,1,0))</formula>
    </cfRule>
  </conditionalFormatting>
  <conditionalFormatting sqref="AI23">
    <cfRule type="expression" dxfId="3079" priority="1235">
      <formula>AND(IF(OR($Q23=1,$Q23=2),1,0),IF($X23&lt;=20,1,0))</formula>
    </cfRule>
    <cfRule type="expression" dxfId="3078" priority="1236">
      <formula>AND(IF($Q23=2,1,0),IF($X23&lt;30,1,0))</formula>
    </cfRule>
    <cfRule type="expression" dxfId="3077" priority="1237">
      <formula>AND(IF($Q23=3,1,0),IF($X23&lt;30,1,0))</formula>
    </cfRule>
    <cfRule type="expression" dxfId="3076" priority="1238">
      <formula>AND(IF($Q23=3,1,IF($Q23=4,1,0)),IF($F23&lt;=85,1,0))</formula>
    </cfRule>
  </conditionalFormatting>
  <conditionalFormatting sqref="AV24">
    <cfRule type="expression" dxfId="3075" priority="1233">
      <formula>AV24="X"</formula>
    </cfRule>
    <cfRule type="expression" dxfId="3074" priority="1234">
      <formula>AV24="후보"</formula>
    </cfRule>
  </conditionalFormatting>
  <conditionalFormatting sqref="AC24">
    <cfRule type="cellIs" dxfId="3073" priority="1230" operator="greaterThan">
      <formula>0.9</formula>
    </cfRule>
    <cfRule type="cellIs" dxfId="3072" priority="1231" operator="greaterThan">
      <formula>0.85</formula>
    </cfRule>
  </conditionalFormatting>
  <conditionalFormatting sqref="N24">
    <cfRule type="cellIs" dxfId="3071" priority="1228" operator="greaterThan">
      <formula>0.9</formula>
    </cfRule>
    <cfRule type="cellIs" dxfId="3070" priority="1229" operator="greaterThan">
      <formula>0.85</formula>
    </cfRule>
  </conditionalFormatting>
  <conditionalFormatting sqref="E24">
    <cfRule type="expression" dxfId="3069" priority="1224">
      <formula>AND(IF(OR($Q24=1,$Q24=2),1,0),IF($X24&lt;=20,1,0))</formula>
    </cfRule>
    <cfRule type="expression" dxfId="3068" priority="1225">
      <formula>AND(IF($Q24=2,1,0),IF($X24&lt;30,1,0))</formula>
    </cfRule>
    <cfRule type="expression" dxfId="3067" priority="1226">
      <formula>AND(IF($Q24=3,1,0),IF($X24&lt;30,1,0))</formula>
    </cfRule>
    <cfRule type="expression" dxfId="3066" priority="1227">
      <formula>AND(IF($Q24=3,1,IF($Q24=4,1,0)),IF($F24&lt;=85,1,0))</formula>
    </cfRule>
  </conditionalFormatting>
  <conditionalFormatting sqref="X24">
    <cfRule type="expression" dxfId="3065" priority="1220">
      <formula>AND(IF(OR($Q24=1,$Q24=2),1,0),IF($X24&lt;=20,1,0))</formula>
    </cfRule>
    <cfRule type="expression" dxfId="3064" priority="1221">
      <formula>AND(IF($Q24=2,1,0),IF($X24&lt;30,1,0))</formula>
    </cfRule>
    <cfRule type="expression" dxfId="3063" priority="1222">
      <formula>AND(IF($Q24=3,1,0),IF($X24&lt;30,1,0))</formula>
    </cfRule>
    <cfRule type="expression" dxfId="3062" priority="1223">
      <formula>AND(IF($Q24=3,1,IF($Q24=4,1,0)),IF($F24&lt;=85,1,0))</formula>
    </cfRule>
  </conditionalFormatting>
  <conditionalFormatting sqref="AI24">
    <cfRule type="expression" dxfId="3061" priority="1216">
      <formula>AND(IF(OR($Q24=1,$Q24=2),1,0),IF($X24&lt;=20,1,0))</formula>
    </cfRule>
    <cfRule type="expression" dxfId="3060" priority="1217">
      <formula>AND(IF($Q24=2,1,0),IF($X24&lt;30,1,0))</formula>
    </cfRule>
    <cfRule type="expression" dxfId="3059" priority="1218">
      <formula>AND(IF($Q24=3,1,0),IF($X24&lt;30,1,0))</formula>
    </cfRule>
    <cfRule type="expression" dxfId="3058" priority="1219">
      <formula>AND(IF($Q24=3,1,IF($Q24=4,1,0)),IF($F24&lt;=85,1,0))</formula>
    </cfRule>
  </conditionalFormatting>
  <conditionalFormatting sqref="AV25">
    <cfRule type="expression" dxfId="3057" priority="1214">
      <formula>AV25="X"</formula>
    </cfRule>
    <cfRule type="expression" dxfId="3056" priority="1215">
      <formula>AV25="후보"</formula>
    </cfRule>
  </conditionalFormatting>
  <conditionalFormatting sqref="AC25 N25">
    <cfRule type="cellIs" dxfId="3055" priority="1211" operator="greaterThan">
      <formula>0.9</formula>
    </cfRule>
    <cfRule type="cellIs" dxfId="3054" priority="1212" operator="greaterThan">
      <formula>0.85</formula>
    </cfRule>
  </conditionalFormatting>
  <conditionalFormatting sqref="AV26">
    <cfRule type="expression" dxfId="3053" priority="1209">
      <formula>AV26="X"</formula>
    </cfRule>
    <cfRule type="expression" dxfId="3052" priority="1210">
      <formula>AV26="후보"</formula>
    </cfRule>
  </conditionalFormatting>
  <conditionalFormatting sqref="AC26">
    <cfRule type="cellIs" dxfId="3051" priority="1206" operator="greaterThan">
      <formula>0.9</formula>
    </cfRule>
    <cfRule type="cellIs" dxfId="3050" priority="1207" operator="greaterThan">
      <formula>0.85</formula>
    </cfRule>
  </conditionalFormatting>
  <conditionalFormatting sqref="N26">
    <cfRule type="cellIs" dxfId="3049" priority="1204" operator="greaterThan">
      <formula>0.9</formula>
    </cfRule>
    <cfRule type="cellIs" dxfId="3048" priority="1205" operator="greaterThan">
      <formula>0.85</formula>
    </cfRule>
  </conditionalFormatting>
  <conditionalFormatting sqref="E26">
    <cfRule type="expression" dxfId="3047" priority="1200">
      <formula>AND(IF(OR($Q26=1,$Q26=2),1,0),IF($X26&lt;=20,1,0))</formula>
    </cfRule>
    <cfRule type="expression" dxfId="3046" priority="1201">
      <formula>AND(IF($Q26=2,1,0),IF($X26&lt;30,1,0))</formula>
    </cfRule>
    <cfRule type="expression" dxfId="3045" priority="1202">
      <formula>AND(IF($Q26=3,1,0),IF($X26&lt;30,1,0))</formula>
    </cfRule>
    <cfRule type="expression" dxfId="3044" priority="1203">
      <formula>AND(IF($Q26=3,1,IF($Q26=4,1,0)),IF($F26&lt;=85,1,0))</formula>
    </cfRule>
  </conditionalFormatting>
  <conditionalFormatting sqref="X26">
    <cfRule type="expression" dxfId="3043" priority="1196">
      <formula>AND(IF(OR($Q26=1,$Q26=2),1,0),IF($X26&lt;=20,1,0))</formula>
    </cfRule>
    <cfRule type="expression" dxfId="3042" priority="1197">
      <formula>AND(IF($Q26=2,1,0),IF($X26&lt;30,1,0))</formula>
    </cfRule>
    <cfRule type="expression" dxfId="3041" priority="1198">
      <formula>AND(IF($Q26=3,1,0),IF($X26&lt;30,1,0))</formula>
    </cfRule>
    <cfRule type="expression" dxfId="3040" priority="1199">
      <formula>AND(IF($Q26=3,1,IF($Q26=4,1,0)),IF($F26&lt;=85,1,0))</formula>
    </cfRule>
  </conditionalFormatting>
  <conditionalFormatting sqref="AI26">
    <cfRule type="expression" dxfId="3039" priority="1192">
      <formula>AND(IF(OR($Q26=1,$Q26=2),1,0),IF($X26&lt;=20,1,0))</formula>
    </cfRule>
    <cfRule type="expression" dxfId="3038" priority="1193">
      <formula>AND(IF($Q26=2,1,0),IF($X26&lt;30,1,0))</formula>
    </cfRule>
    <cfRule type="expression" dxfId="3037" priority="1194">
      <formula>AND(IF($Q26=3,1,0),IF($X26&lt;30,1,0))</formula>
    </cfRule>
    <cfRule type="expression" dxfId="3036" priority="1195">
      <formula>AND(IF($Q26=3,1,IF($Q26=4,1,0)),IF($F26&lt;=85,1,0))</formula>
    </cfRule>
  </conditionalFormatting>
  <conditionalFormatting sqref="AV27">
    <cfRule type="expression" dxfId="3035" priority="1190">
      <formula>AV27="X"</formula>
    </cfRule>
    <cfRule type="expression" dxfId="3034" priority="1191">
      <formula>AV27="후보"</formula>
    </cfRule>
  </conditionalFormatting>
  <conditionalFormatting sqref="AC27">
    <cfRule type="cellIs" dxfId="3033" priority="1187" operator="greaterThan">
      <formula>0.9</formula>
    </cfRule>
    <cfRule type="cellIs" dxfId="3032" priority="1188" operator="greaterThan">
      <formula>0.85</formula>
    </cfRule>
  </conditionalFormatting>
  <conditionalFormatting sqref="N27">
    <cfRule type="cellIs" dxfId="3031" priority="1185" operator="greaterThan">
      <formula>0.9</formula>
    </cfRule>
    <cfRule type="cellIs" dxfId="3030" priority="1186" operator="greaterThan">
      <formula>0.85</formula>
    </cfRule>
  </conditionalFormatting>
  <conditionalFormatting sqref="E27">
    <cfRule type="expression" dxfId="3029" priority="1181">
      <formula>AND(IF(OR($Q27=1,$Q27=2),1,0),IF($X27&lt;=20,1,0))</formula>
    </cfRule>
    <cfRule type="expression" dxfId="3028" priority="1182">
      <formula>AND(IF($Q27=2,1,0),IF($X27&lt;30,1,0))</formula>
    </cfRule>
    <cfRule type="expression" dxfId="3027" priority="1183">
      <formula>AND(IF($Q27=3,1,0),IF($X27&lt;30,1,0))</formula>
    </cfRule>
    <cfRule type="expression" dxfId="3026" priority="1184">
      <formula>AND(IF($Q27=3,1,IF($Q27=4,1,0)),IF($F27&lt;=85,1,0))</formula>
    </cfRule>
  </conditionalFormatting>
  <conditionalFormatting sqref="X27">
    <cfRule type="expression" dxfId="3025" priority="1177">
      <formula>AND(IF(OR($Q27=1,$Q27=2),1,0),IF($X27&lt;=20,1,0))</formula>
    </cfRule>
    <cfRule type="expression" dxfId="3024" priority="1178">
      <formula>AND(IF($Q27=2,1,0),IF($X27&lt;30,1,0))</formula>
    </cfRule>
    <cfRule type="expression" dxfId="3023" priority="1179">
      <formula>AND(IF($Q27=3,1,0),IF($X27&lt;30,1,0))</formula>
    </cfRule>
    <cfRule type="expression" dxfId="3022" priority="1180">
      <formula>AND(IF($Q27=3,1,IF($Q27=4,1,0)),IF($F27&lt;=85,1,0))</formula>
    </cfRule>
  </conditionalFormatting>
  <conditionalFormatting sqref="AI27">
    <cfRule type="expression" dxfId="3021" priority="1173">
      <formula>AND(IF(OR($Q27=1,$Q27=2),1,0),IF($X27&lt;=20,1,0))</formula>
    </cfRule>
    <cfRule type="expression" dxfId="3020" priority="1174">
      <formula>AND(IF($Q27=2,1,0),IF($X27&lt;30,1,0))</formula>
    </cfRule>
    <cfRule type="expression" dxfId="3019" priority="1175">
      <formula>AND(IF($Q27=3,1,0),IF($X27&lt;30,1,0))</formula>
    </cfRule>
    <cfRule type="expression" dxfId="3018" priority="1176">
      <formula>AND(IF($Q27=3,1,IF($Q27=4,1,0)),IF($F27&lt;=85,1,0))</formula>
    </cfRule>
  </conditionalFormatting>
  <conditionalFormatting sqref="AV28">
    <cfRule type="expression" dxfId="3017" priority="1171">
      <formula>AV28="X"</formula>
    </cfRule>
    <cfRule type="expression" dxfId="3016" priority="1172">
      <formula>AV28="후보"</formula>
    </cfRule>
  </conditionalFormatting>
  <conditionalFormatting sqref="AC28">
    <cfRule type="cellIs" dxfId="3015" priority="1168" operator="greaterThan">
      <formula>0.9</formula>
    </cfRule>
    <cfRule type="cellIs" dxfId="3014" priority="1169" operator="greaterThan">
      <formula>0.85</formula>
    </cfRule>
  </conditionalFormatting>
  <conditionalFormatting sqref="N28">
    <cfRule type="cellIs" dxfId="3013" priority="1166" operator="greaterThan">
      <formula>0.9</formula>
    </cfRule>
    <cfRule type="cellIs" dxfId="3012" priority="1167" operator="greaterThan">
      <formula>0.85</formula>
    </cfRule>
  </conditionalFormatting>
  <conditionalFormatting sqref="E28">
    <cfRule type="expression" dxfId="3011" priority="1162">
      <formula>AND(IF(OR($Q28=1,$Q28=2),1,0),IF($X28&lt;=20,1,0))</formula>
    </cfRule>
    <cfRule type="expression" dxfId="3010" priority="1163">
      <formula>AND(IF($Q28=2,1,0),IF($X28&lt;30,1,0))</formula>
    </cfRule>
    <cfRule type="expression" dxfId="3009" priority="1164">
      <formula>AND(IF($Q28=3,1,0),IF($X28&lt;30,1,0))</formula>
    </cfRule>
    <cfRule type="expression" dxfId="3008" priority="1165">
      <formula>AND(IF($Q28=3,1,IF($Q28=4,1,0)),IF($F28&lt;=85,1,0))</formula>
    </cfRule>
  </conditionalFormatting>
  <conditionalFormatting sqref="X28">
    <cfRule type="expression" dxfId="3007" priority="1158">
      <formula>AND(IF(OR($Q28=1,$Q28=2),1,0),IF($X28&lt;=20,1,0))</formula>
    </cfRule>
    <cfRule type="expression" dxfId="3006" priority="1159">
      <formula>AND(IF($Q28=2,1,0),IF($X28&lt;30,1,0))</formula>
    </cfRule>
    <cfRule type="expression" dxfId="3005" priority="1160">
      <formula>AND(IF($Q28=3,1,0),IF($X28&lt;30,1,0))</formula>
    </cfRule>
    <cfRule type="expression" dxfId="3004" priority="1161">
      <formula>AND(IF($Q28=3,1,IF($Q28=4,1,0)),IF($F28&lt;=85,1,0))</formula>
    </cfRule>
  </conditionalFormatting>
  <conditionalFormatting sqref="AI28">
    <cfRule type="expression" dxfId="3003" priority="1154">
      <formula>AND(IF(OR($Q28=1,$Q28=2),1,0),IF($X28&lt;=20,1,0))</formula>
    </cfRule>
    <cfRule type="expression" dxfId="3002" priority="1155">
      <formula>AND(IF($Q28=2,1,0),IF($X28&lt;30,1,0))</formula>
    </cfRule>
    <cfRule type="expression" dxfId="3001" priority="1156">
      <formula>AND(IF($Q28=3,1,0),IF($X28&lt;30,1,0))</formula>
    </cfRule>
    <cfRule type="expression" dxfId="3000" priority="1157">
      <formula>AND(IF($Q28=3,1,IF($Q28=4,1,0)),IF($F28&lt;=85,1,0))</formula>
    </cfRule>
  </conditionalFormatting>
  <conditionalFormatting sqref="AV29">
    <cfRule type="expression" dxfId="2999" priority="1152">
      <formula>AV29="X"</formula>
    </cfRule>
    <cfRule type="expression" dxfId="2998" priority="1153">
      <formula>AV29="후보"</formula>
    </cfRule>
  </conditionalFormatting>
  <conditionalFormatting sqref="AC29">
    <cfRule type="cellIs" dxfId="2997" priority="1149" operator="greaterThan">
      <formula>0.9</formula>
    </cfRule>
    <cfRule type="cellIs" dxfId="2996" priority="1150" operator="greaterThan">
      <formula>0.85</formula>
    </cfRule>
  </conditionalFormatting>
  <conditionalFormatting sqref="N29">
    <cfRule type="cellIs" dxfId="2995" priority="1147" operator="greaterThan">
      <formula>0.9</formula>
    </cfRule>
    <cfRule type="cellIs" dxfId="2994" priority="1148" operator="greaterThan">
      <formula>0.85</formula>
    </cfRule>
  </conditionalFormatting>
  <conditionalFormatting sqref="E29">
    <cfRule type="expression" dxfId="2993" priority="1143">
      <formula>AND(IF(OR($Q29=1,$Q29=2),1,0),IF($X29&lt;=20,1,0))</formula>
    </cfRule>
    <cfRule type="expression" dxfId="2992" priority="1144">
      <formula>AND(IF($Q29=2,1,0),IF($X29&lt;30,1,0))</formula>
    </cfRule>
    <cfRule type="expression" dxfId="2991" priority="1145">
      <formula>AND(IF($Q29=3,1,0),IF($X29&lt;30,1,0))</formula>
    </cfRule>
    <cfRule type="expression" dxfId="2990" priority="1146">
      <formula>AND(IF($Q29=3,1,IF($Q29=4,1,0)),IF($F29&lt;=85,1,0))</formula>
    </cfRule>
  </conditionalFormatting>
  <conditionalFormatting sqref="X29">
    <cfRule type="expression" dxfId="2989" priority="1139">
      <formula>AND(IF(OR($Q29=1,$Q29=2),1,0),IF($X29&lt;=20,1,0))</formula>
    </cfRule>
    <cfRule type="expression" dxfId="2988" priority="1140">
      <formula>AND(IF($Q29=2,1,0),IF($X29&lt;30,1,0))</formula>
    </cfRule>
    <cfRule type="expression" dxfId="2987" priority="1141">
      <formula>AND(IF($Q29=3,1,0),IF($X29&lt;30,1,0))</formula>
    </cfRule>
    <cfRule type="expression" dxfId="2986" priority="1142">
      <formula>AND(IF($Q29=3,1,IF($Q29=4,1,0)),IF($F29&lt;=85,1,0))</formula>
    </cfRule>
  </conditionalFormatting>
  <conditionalFormatting sqref="AI29">
    <cfRule type="expression" dxfId="2985" priority="1135">
      <formula>AND(IF(OR($Q29=1,$Q29=2),1,0),IF($X29&lt;=20,1,0))</formula>
    </cfRule>
    <cfRule type="expression" dxfId="2984" priority="1136">
      <formula>AND(IF($Q29=2,1,0),IF($X29&lt;30,1,0))</formula>
    </cfRule>
    <cfRule type="expression" dxfId="2983" priority="1137">
      <formula>AND(IF($Q29=3,1,0),IF($X29&lt;30,1,0))</formula>
    </cfRule>
    <cfRule type="expression" dxfId="2982" priority="1138">
      <formula>AND(IF($Q29=3,1,IF($Q29=4,1,0)),IF($F29&lt;=85,1,0))</formula>
    </cfRule>
  </conditionalFormatting>
  <conditionalFormatting sqref="AV30">
    <cfRule type="expression" dxfId="2981" priority="1133">
      <formula>AV30="X"</formula>
    </cfRule>
    <cfRule type="expression" dxfId="2980" priority="1134">
      <formula>AV30="후보"</formula>
    </cfRule>
  </conditionalFormatting>
  <conditionalFormatting sqref="AC30">
    <cfRule type="cellIs" dxfId="2979" priority="1130" operator="greaterThan">
      <formula>0.9</formula>
    </cfRule>
    <cfRule type="cellIs" dxfId="2978" priority="1131" operator="greaterThan">
      <formula>0.85</formula>
    </cfRule>
  </conditionalFormatting>
  <conditionalFormatting sqref="N30">
    <cfRule type="cellIs" dxfId="2977" priority="1128" operator="greaterThan">
      <formula>0.9</formula>
    </cfRule>
    <cfRule type="cellIs" dxfId="2976" priority="1129" operator="greaterThan">
      <formula>0.85</formula>
    </cfRule>
  </conditionalFormatting>
  <conditionalFormatting sqref="E30">
    <cfRule type="expression" dxfId="2975" priority="1124">
      <formula>AND(IF(OR($Q30=1,$Q30=2),1,0),IF($X30&lt;=20,1,0))</formula>
    </cfRule>
    <cfRule type="expression" dxfId="2974" priority="1125">
      <formula>AND(IF($Q30=2,1,0),IF($X30&lt;30,1,0))</formula>
    </cfRule>
    <cfRule type="expression" dxfId="2973" priority="1126">
      <formula>AND(IF($Q30=3,1,0),IF($X30&lt;30,1,0))</formula>
    </cfRule>
    <cfRule type="expression" dxfId="2972" priority="1127">
      <formula>AND(IF($Q30=3,1,IF($Q30=4,1,0)),IF($F30&lt;=85,1,0))</formula>
    </cfRule>
  </conditionalFormatting>
  <conditionalFormatting sqref="X30">
    <cfRule type="expression" dxfId="2971" priority="1120">
      <formula>AND(IF(OR($Q30=1,$Q30=2),1,0),IF($X30&lt;=20,1,0))</formula>
    </cfRule>
    <cfRule type="expression" dxfId="2970" priority="1121">
      <formula>AND(IF($Q30=2,1,0),IF($X30&lt;30,1,0))</formula>
    </cfRule>
    <cfRule type="expression" dxfId="2969" priority="1122">
      <formula>AND(IF($Q30=3,1,0),IF($X30&lt;30,1,0))</formula>
    </cfRule>
    <cfRule type="expression" dxfId="2968" priority="1123">
      <formula>AND(IF($Q30=3,1,IF($Q30=4,1,0)),IF($F30&lt;=85,1,0))</formula>
    </cfRule>
  </conditionalFormatting>
  <conditionalFormatting sqref="AI30">
    <cfRule type="expression" dxfId="2967" priority="1116">
      <formula>AND(IF(OR($Q30=1,$Q30=2),1,0),IF($X30&lt;=20,1,0))</formula>
    </cfRule>
    <cfRule type="expression" dxfId="2966" priority="1117">
      <formula>AND(IF($Q30=2,1,0),IF($X30&lt;30,1,0))</formula>
    </cfRule>
    <cfRule type="expression" dxfId="2965" priority="1118">
      <formula>AND(IF($Q30=3,1,0),IF($X30&lt;30,1,0))</formula>
    </cfRule>
    <cfRule type="expression" dxfId="2964" priority="1119">
      <formula>AND(IF($Q30=3,1,IF($Q30=4,1,0)),IF($F30&lt;=85,1,0))</formula>
    </cfRule>
  </conditionalFormatting>
  <conditionalFormatting sqref="AV31">
    <cfRule type="expression" dxfId="2963" priority="1114">
      <formula>AV31="X"</formula>
    </cfRule>
    <cfRule type="expression" dxfId="2962" priority="1115">
      <formula>AV31="후보"</formula>
    </cfRule>
  </conditionalFormatting>
  <conditionalFormatting sqref="AC31 N31">
    <cfRule type="cellIs" dxfId="2961" priority="1111" operator="greaterThan">
      <formula>0.9</formula>
    </cfRule>
    <cfRule type="cellIs" dxfId="2960" priority="1112" operator="greaterThan">
      <formula>0.85</formula>
    </cfRule>
  </conditionalFormatting>
  <conditionalFormatting sqref="AV32">
    <cfRule type="expression" dxfId="2959" priority="1109">
      <formula>AV32="X"</formula>
    </cfRule>
    <cfRule type="expression" dxfId="2958" priority="1110">
      <formula>AV32="후보"</formula>
    </cfRule>
  </conditionalFormatting>
  <conditionalFormatting sqref="AC32">
    <cfRule type="cellIs" dxfId="2957" priority="1106" operator="greaterThan">
      <formula>0.9</formula>
    </cfRule>
    <cfRule type="cellIs" dxfId="2956" priority="1107" operator="greaterThan">
      <formula>0.85</formula>
    </cfRule>
  </conditionalFormatting>
  <conditionalFormatting sqref="N32">
    <cfRule type="cellIs" dxfId="2955" priority="1104" operator="greaterThan">
      <formula>0.9</formula>
    </cfRule>
    <cfRule type="cellIs" dxfId="2954" priority="1105" operator="greaterThan">
      <formula>0.85</formula>
    </cfRule>
  </conditionalFormatting>
  <conditionalFormatting sqref="E32">
    <cfRule type="expression" dxfId="2953" priority="1100">
      <formula>AND(IF(OR($Q32=1,$Q32=2),1,0),IF($X32&lt;=20,1,0))</formula>
    </cfRule>
    <cfRule type="expression" dxfId="2952" priority="1101">
      <formula>AND(IF($Q32=2,1,0),IF($X32&lt;30,1,0))</formula>
    </cfRule>
    <cfRule type="expression" dxfId="2951" priority="1102">
      <formula>AND(IF($Q32=3,1,0),IF($X32&lt;30,1,0))</formula>
    </cfRule>
    <cfRule type="expression" dxfId="2950" priority="1103">
      <formula>AND(IF($Q32=3,1,IF($Q32=4,1,0)),IF($F32&lt;=85,1,0))</formula>
    </cfRule>
  </conditionalFormatting>
  <conditionalFormatting sqref="X32">
    <cfRule type="expression" dxfId="2949" priority="1096">
      <formula>AND(IF(OR($Q32=1,$Q32=2),1,0),IF($X32&lt;=20,1,0))</formula>
    </cfRule>
    <cfRule type="expression" dxfId="2948" priority="1097">
      <formula>AND(IF($Q32=2,1,0),IF($X32&lt;30,1,0))</formula>
    </cfRule>
    <cfRule type="expression" dxfId="2947" priority="1098">
      <formula>AND(IF($Q32=3,1,0),IF($X32&lt;30,1,0))</formula>
    </cfRule>
    <cfRule type="expression" dxfId="2946" priority="1099">
      <formula>AND(IF($Q32=3,1,IF($Q32=4,1,0)),IF($F32&lt;=85,1,0))</formula>
    </cfRule>
  </conditionalFormatting>
  <conditionalFormatting sqref="AI32">
    <cfRule type="expression" dxfId="2945" priority="1092">
      <formula>AND(IF(OR($Q32=1,$Q32=2),1,0),IF($X32&lt;=20,1,0))</formula>
    </cfRule>
    <cfRule type="expression" dxfId="2944" priority="1093">
      <formula>AND(IF($Q32=2,1,0),IF($X32&lt;30,1,0))</formula>
    </cfRule>
    <cfRule type="expression" dxfId="2943" priority="1094">
      <formula>AND(IF($Q32=3,1,0),IF($X32&lt;30,1,0))</formula>
    </cfRule>
    <cfRule type="expression" dxfId="2942" priority="1095">
      <formula>AND(IF($Q32=3,1,IF($Q32=4,1,0)),IF($F32&lt;=85,1,0))</formula>
    </cfRule>
  </conditionalFormatting>
  <conditionalFormatting sqref="AV33">
    <cfRule type="expression" dxfId="2941" priority="1090">
      <formula>AV33="X"</formula>
    </cfRule>
    <cfRule type="expression" dxfId="2940" priority="1091">
      <formula>AV33="후보"</formula>
    </cfRule>
  </conditionalFormatting>
  <conditionalFormatting sqref="AC33 N33">
    <cfRule type="cellIs" dxfId="2939" priority="1087" operator="greaterThan">
      <formula>0.9</formula>
    </cfRule>
    <cfRule type="cellIs" dxfId="2938" priority="1088" operator="greaterThan">
      <formula>0.85</formula>
    </cfRule>
  </conditionalFormatting>
  <conditionalFormatting sqref="AV34">
    <cfRule type="expression" dxfId="2937" priority="1085">
      <formula>AV34="X"</formula>
    </cfRule>
    <cfRule type="expression" dxfId="2936" priority="1086">
      <formula>AV34="후보"</formula>
    </cfRule>
  </conditionalFormatting>
  <conditionalFormatting sqref="AC34">
    <cfRule type="cellIs" dxfId="2935" priority="1082" operator="greaterThan">
      <formula>0.9</formula>
    </cfRule>
    <cfRule type="cellIs" dxfId="2934" priority="1083" operator="greaterThan">
      <formula>0.85</formula>
    </cfRule>
  </conditionalFormatting>
  <conditionalFormatting sqref="N34">
    <cfRule type="cellIs" dxfId="2933" priority="1080" operator="greaterThan">
      <formula>0.9</formula>
    </cfRule>
    <cfRule type="cellIs" dxfId="2932" priority="1081" operator="greaterThan">
      <formula>0.85</formula>
    </cfRule>
  </conditionalFormatting>
  <conditionalFormatting sqref="E34">
    <cfRule type="expression" dxfId="2931" priority="1076">
      <formula>AND(IF(OR($Q34=1,$Q34=2),1,0),IF($X34&lt;=20,1,0))</formula>
    </cfRule>
    <cfRule type="expression" dxfId="2930" priority="1077">
      <formula>AND(IF($Q34=2,1,0),IF($X34&lt;30,1,0))</formula>
    </cfRule>
    <cfRule type="expression" dxfId="2929" priority="1078">
      <formula>AND(IF($Q34=3,1,0),IF($X34&lt;30,1,0))</formula>
    </cfRule>
    <cfRule type="expression" dxfId="2928" priority="1079">
      <formula>AND(IF($Q34=3,1,IF($Q34=4,1,0)),IF($F34&lt;=85,1,0))</formula>
    </cfRule>
  </conditionalFormatting>
  <conditionalFormatting sqref="X34">
    <cfRule type="expression" dxfId="2927" priority="1072">
      <formula>AND(IF(OR($Q34=1,$Q34=2),1,0),IF($X34&lt;=20,1,0))</formula>
    </cfRule>
    <cfRule type="expression" dxfId="2926" priority="1073">
      <formula>AND(IF($Q34=2,1,0),IF($X34&lt;30,1,0))</formula>
    </cfRule>
    <cfRule type="expression" dxfId="2925" priority="1074">
      <formula>AND(IF($Q34=3,1,0),IF($X34&lt;30,1,0))</formula>
    </cfRule>
    <cfRule type="expression" dxfId="2924" priority="1075">
      <formula>AND(IF($Q34=3,1,IF($Q34=4,1,0)),IF($F34&lt;=85,1,0))</formula>
    </cfRule>
  </conditionalFormatting>
  <conditionalFormatting sqref="AI34">
    <cfRule type="expression" dxfId="2923" priority="1068">
      <formula>AND(IF(OR($Q34=1,$Q34=2),1,0),IF($X34&lt;=20,1,0))</formula>
    </cfRule>
    <cfRule type="expression" dxfId="2922" priority="1069">
      <formula>AND(IF($Q34=2,1,0),IF($X34&lt;30,1,0))</formula>
    </cfRule>
    <cfRule type="expression" dxfId="2921" priority="1070">
      <formula>AND(IF($Q34=3,1,0),IF($X34&lt;30,1,0))</formula>
    </cfRule>
    <cfRule type="expression" dxfId="2920" priority="1071">
      <formula>AND(IF($Q34=3,1,IF($Q34=4,1,0)),IF($F34&lt;=85,1,0))</formula>
    </cfRule>
  </conditionalFormatting>
  <conditionalFormatting sqref="AV35">
    <cfRule type="expression" dxfId="2919" priority="1066">
      <formula>AV35="X"</formula>
    </cfRule>
    <cfRule type="expression" dxfId="2918" priority="1067">
      <formula>AV35="후보"</formula>
    </cfRule>
  </conditionalFormatting>
  <conditionalFormatting sqref="AC35">
    <cfRule type="cellIs" dxfId="2917" priority="1063" operator="greaterThan">
      <formula>0.9</formula>
    </cfRule>
    <cfRule type="cellIs" dxfId="2916" priority="1064" operator="greaterThan">
      <formula>0.85</formula>
    </cfRule>
  </conditionalFormatting>
  <conditionalFormatting sqref="N35">
    <cfRule type="cellIs" dxfId="2915" priority="1061" operator="greaterThan">
      <formula>0.9</formula>
    </cfRule>
    <cfRule type="cellIs" dxfId="2914" priority="1062" operator="greaterThan">
      <formula>0.85</formula>
    </cfRule>
  </conditionalFormatting>
  <conditionalFormatting sqref="E35">
    <cfRule type="expression" dxfId="2913" priority="1057">
      <formula>AND(IF(OR($Q35=1,$Q35=2),1,0),IF($X35&lt;=20,1,0))</formula>
    </cfRule>
    <cfRule type="expression" dxfId="2912" priority="1058">
      <formula>AND(IF($Q35=2,1,0),IF($X35&lt;30,1,0))</formula>
    </cfRule>
    <cfRule type="expression" dxfId="2911" priority="1059">
      <formula>AND(IF($Q35=3,1,0),IF($X35&lt;30,1,0))</formula>
    </cfRule>
    <cfRule type="expression" dxfId="2910" priority="1060">
      <formula>AND(IF($Q35=3,1,IF($Q35=4,1,0)),IF($F35&lt;=85,1,0))</formula>
    </cfRule>
  </conditionalFormatting>
  <conditionalFormatting sqref="X35">
    <cfRule type="expression" dxfId="2909" priority="1053">
      <formula>AND(IF(OR($Q35=1,$Q35=2),1,0),IF($X35&lt;=20,1,0))</formula>
    </cfRule>
    <cfRule type="expression" dxfId="2908" priority="1054">
      <formula>AND(IF($Q35=2,1,0),IF($X35&lt;30,1,0))</formula>
    </cfRule>
    <cfRule type="expression" dxfId="2907" priority="1055">
      <formula>AND(IF($Q35=3,1,0),IF($X35&lt;30,1,0))</formula>
    </cfRule>
    <cfRule type="expression" dxfId="2906" priority="1056">
      <formula>AND(IF($Q35=3,1,IF($Q35=4,1,0)),IF($F35&lt;=85,1,0))</formula>
    </cfRule>
  </conditionalFormatting>
  <conditionalFormatting sqref="AI35">
    <cfRule type="expression" dxfId="2905" priority="1049">
      <formula>AND(IF(OR($Q35=1,$Q35=2),1,0),IF($X35&lt;=20,1,0))</formula>
    </cfRule>
    <cfRule type="expression" dxfId="2904" priority="1050">
      <formula>AND(IF($Q35=2,1,0),IF($X35&lt;30,1,0))</formula>
    </cfRule>
    <cfRule type="expression" dxfId="2903" priority="1051">
      <formula>AND(IF($Q35=3,1,0),IF($X35&lt;30,1,0))</formula>
    </cfRule>
    <cfRule type="expression" dxfId="2902" priority="1052">
      <formula>AND(IF($Q35=3,1,IF($Q35=4,1,0)),IF($F35&lt;=85,1,0))</formula>
    </cfRule>
  </conditionalFormatting>
  <conditionalFormatting sqref="AV36">
    <cfRule type="expression" dxfId="2901" priority="1047">
      <formula>AV36="X"</formula>
    </cfRule>
    <cfRule type="expression" dxfId="2900" priority="1048">
      <formula>AV36="후보"</formula>
    </cfRule>
  </conditionalFormatting>
  <conditionalFormatting sqref="AC36">
    <cfRule type="cellIs" dxfId="2899" priority="1044" operator="greaterThan">
      <formula>0.9</formula>
    </cfRule>
    <cfRule type="cellIs" dxfId="2898" priority="1045" operator="greaterThan">
      <formula>0.85</formula>
    </cfRule>
  </conditionalFormatting>
  <conditionalFormatting sqref="N36">
    <cfRule type="cellIs" dxfId="2897" priority="1042" operator="greaterThan">
      <formula>0.9</formula>
    </cfRule>
    <cfRule type="cellIs" dxfId="2896" priority="1043" operator="greaterThan">
      <formula>0.85</formula>
    </cfRule>
  </conditionalFormatting>
  <conditionalFormatting sqref="E36">
    <cfRule type="expression" dxfId="2895" priority="1038">
      <formula>AND(IF(OR($Q36=1,$Q36=2),1,0),IF($X36&lt;=20,1,0))</formula>
    </cfRule>
    <cfRule type="expression" dxfId="2894" priority="1039">
      <formula>AND(IF($Q36=2,1,0),IF($X36&lt;30,1,0))</formula>
    </cfRule>
    <cfRule type="expression" dxfId="2893" priority="1040">
      <formula>AND(IF($Q36=3,1,0),IF($X36&lt;30,1,0))</formula>
    </cfRule>
    <cfRule type="expression" dxfId="2892" priority="1041">
      <formula>AND(IF($Q36=3,1,IF($Q36=4,1,0)),IF($F36&lt;=85,1,0))</formula>
    </cfRule>
  </conditionalFormatting>
  <conditionalFormatting sqref="X36">
    <cfRule type="expression" dxfId="2891" priority="1034">
      <formula>AND(IF(OR($Q36=1,$Q36=2),1,0),IF($X36&lt;=20,1,0))</formula>
    </cfRule>
    <cfRule type="expression" dxfId="2890" priority="1035">
      <formula>AND(IF($Q36=2,1,0),IF($X36&lt;30,1,0))</formula>
    </cfRule>
    <cfRule type="expression" dxfId="2889" priority="1036">
      <formula>AND(IF($Q36=3,1,0),IF($X36&lt;30,1,0))</formula>
    </cfRule>
    <cfRule type="expression" dxfId="2888" priority="1037">
      <formula>AND(IF($Q36=3,1,IF($Q36=4,1,0)),IF($F36&lt;=85,1,0))</formula>
    </cfRule>
  </conditionalFormatting>
  <conditionalFormatting sqref="AI36">
    <cfRule type="expression" dxfId="2887" priority="1030">
      <formula>AND(IF(OR($Q36=1,$Q36=2),1,0),IF($X36&lt;=20,1,0))</formula>
    </cfRule>
    <cfRule type="expression" dxfId="2886" priority="1031">
      <formula>AND(IF($Q36=2,1,0),IF($X36&lt;30,1,0))</formula>
    </cfRule>
    <cfRule type="expression" dxfId="2885" priority="1032">
      <formula>AND(IF($Q36=3,1,0),IF($X36&lt;30,1,0))</formula>
    </cfRule>
    <cfRule type="expression" dxfId="2884" priority="1033">
      <formula>AND(IF($Q36=3,1,IF($Q36=4,1,0)),IF($F36&lt;=85,1,0))</formula>
    </cfRule>
  </conditionalFormatting>
  <conditionalFormatting sqref="AV37">
    <cfRule type="expression" dxfId="2883" priority="1028">
      <formula>AV37="X"</formula>
    </cfRule>
    <cfRule type="expression" dxfId="2882" priority="1029">
      <formula>AV37="후보"</formula>
    </cfRule>
  </conditionalFormatting>
  <conditionalFormatting sqref="AC37">
    <cfRule type="cellIs" dxfId="2881" priority="1025" operator="greaterThan">
      <formula>0.9</formula>
    </cfRule>
    <cfRule type="cellIs" dxfId="2880" priority="1026" operator="greaterThan">
      <formula>0.85</formula>
    </cfRule>
  </conditionalFormatting>
  <conditionalFormatting sqref="N37">
    <cfRule type="cellIs" dxfId="2879" priority="1023" operator="greaterThan">
      <formula>0.9</formula>
    </cfRule>
    <cfRule type="cellIs" dxfId="2878" priority="1024" operator="greaterThan">
      <formula>0.85</formula>
    </cfRule>
  </conditionalFormatting>
  <conditionalFormatting sqref="E37">
    <cfRule type="expression" dxfId="2877" priority="1019">
      <formula>AND(IF(OR($Q37=1,$Q37=2),1,0),IF($X37&lt;=20,1,0))</formula>
    </cfRule>
    <cfRule type="expression" dxfId="2876" priority="1020">
      <formula>AND(IF($Q37=2,1,0),IF($X37&lt;30,1,0))</formula>
    </cfRule>
    <cfRule type="expression" dxfId="2875" priority="1021">
      <formula>AND(IF($Q37=3,1,0),IF($X37&lt;30,1,0))</formula>
    </cfRule>
    <cfRule type="expression" dxfId="2874" priority="1022">
      <formula>AND(IF($Q37=3,1,IF($Q37=4,1,0)),IF($F37&lt;=85,1,0))</formula>
    </cfRule>
  </conditionalFormatting>
  <conditionalFormatting sqref="X37">
    <cfRule type="expression" dxfId="2873" priority="1015">
      <formula>AND(IF(OR($Q37=1,$Q37=2),1,0),IF($X37&lt;=20,1,0))</formula>
    </cfRule>
    <cfRule type="expression" dxfId="2872" priority="1016">
      <formula>AND(IF($Q37=2,1,0),IF($X37&lt;30,1,0))</formula>
    </cfRule>
    <cfRule type="expression" dxfId="2871" priority="1017">
      <formula>AND(IF($Q37=3,1,0),IF($X37&lt;30,1,0))</formula>
    </cfRule>
    <cfRule type="expression" dxfId="2870" priority="1018">
      <formula>AND(IF($Q37=3,1,IF($Q37=4,1,0)),IF($F37&lt;=85,1,0))</formula>
    </cfRule>
  </conditionalFormatting>
  <conditionalFormatting sqref="AI37">
    <cfRule type="expression" dxfId="2869" priority="1011">
      <formula>AND(IF(OR($Q37=1,$Q37=2),1,0),IF($X37&lt;=20,1,0))</formula>
    </cfRule>
    <cfRule type="expression" dxfId="2868" priority="1012">
      <formula>AND(IF($Q37=2,1,0),IF($X37&lt;30,1,0))</formula>
    </cfRule>
    <cfRule type="expression" dxfId="2867" priority="1013">
      <formula>AND(IF($Q37=3,1,0),IF($X37&lt;30,1,0))</formula>
    </cfRule>
    <cfRule type="expression" dxfId="2866" priority="1014">
      <formula>AND(IF($Q37=3,1,IF($Q37=4,1,0)),IF($F37&lt;=85,1,0))</formula>
    </cfRule>
  </conditionalFormatting>
  <conditionalFormatting sqref="AV38">
    <cfRule type="expression" dxfId="2865" priority="1009">
      <formula>AV38="X"</formula>
    </cfRule>
    <cfRule type="expression" dxfId="2864" priority="1010">
      <formula>AV38="후보"</formula>
    </cfRule>
  </conditionalFormatting>
  <conditionalFormatting sqref="AC38 N38">
    <cfRule type="cellIs" dxfId="2863" priority="1006" operator="greaterThan">
      <formula>0.9</formula>
    </cfRule>
    <cfRule type="cellIs" dxfId="2862" priority="1007" operator="greaterThan">
      <formula>0.85</formula>
    </cfRule>
  </conditionalFormatting>
  <conditionalFormatting sqref="AV39">
    <cfRule type="expression" dxfId="2861" priority="1004">
      <formula>AV39="X"</formula>
    </cfRule>
    <cfRule type="expression" dxfId="2860" priority="1005">
      <formula>AV39="후보"</formula>
    </cfRule>
  </conditionalFormatting>
  <conditionalFormatting sqref="AC39">
    <cfRule type="cellIs" dxfId="2859" priority="1001" operator="greaterThan">
      <formula>0.9</formula>
    </cfRule>
    <cfRule type="cellIs" dxfId="2858" priority="1002" operator="greaterThan">
      <formula>0.85</formula>
    </cfRule>
  </conditionalFormatting>
  <conditionalFormatting sqref="N39">
    <cfRule type="cellIs" dxfId="2857" priority="999" operator="greaterThan">
      <formula>0.9</formula>
    </cfRule>
    <cfRule type="cellIs" dxfId="2856" priority="1000" operator="greaterThan">
      <formula>0.85</formula>
    </cfRule>
  </conditionalFormatting>
  <conditionalFormatting sqref="E39">
    <cfRule type="expression" dxfId="2855" priority="995">
      <formula>AND(IF(OR($Q39=1,$Q39=2),1,0),IF($X39&lt;=20,1,0))</formula>
    </cfRule>
    <cfRule type="expression" dxfId="2854" priority="996">
      <formula>AND(IF($Q39=2,1,0),IF($X39&lt;30,1,0))</formula>
    </cfRule>
    <cfRule type="expression" dxfId="2853" priority="997">
      <formula>AND(IF($Q39=3,1,0),IF($X39&lt;30,1,0))</formula>
    </cfRule>
    <cfRule type="expression" dxfId="2852" priority="998">
      <formula>AND(IF($Q39=3,1,IF($Q39=4,1,0)),IF($F39&lt;=85,1,0))</formula>
    </cfRule>
  </conditionalFormatting>
  <conditionalFormatting sqref="X39">
    <cfRule type="expression" dxfId="2851" priority="991">
      <formula>AND(IF(OR($Q39=1,$Q39=2),1,0),IF($X39&lt;=20,1,0))</formula>
    </cfRule>
    <cfRule type="expression" dxfId="2850" priority="992">
      <formula>AND(IF($Q39=2,1,0),IF($X39&lt;30,1,0))</formula>
    </cfRule>
    <cfRule type="expression" dxfId="2849" priority="993">
      <formula>AND(IF($Q39=3,1,0),IF($X39&lt;30,1,0))</formula>
    </cfRule>
    <cfRule type="expression" dxfId="2848" priority="994">
      <formula>AND(IF($Q39=3,1,IF($Q39=4,1,0)),IF($F39&lt;=85,1,0))</formula>
    </cfRule>
  </conditionalFormatting>
  <conditionalFormatting sqref="AI39">
    <cfRule type="expression" dxfId="2847" priority="987">
      <formula>AND(IF(OR($Q39=1,$Q39=2),1,0),IF($X39&lt;=20,1,0))</formula>
    </cfRule>
    <cfRule type="expression" dxfId="2846" priority="988">
      <formula>AND(IF($Q39=2,1,0),IF($X39&lt;30,1,0))</formula>
    </cfRule>
    <cfRule type="expression" dxfId="2845" priority="989">
      <formula>AND(IF($Q39=3,1,0),IF($X39&lt;30,1,0))</formula>
    </cfRule>
    <cfRule type="expression" dxfId="2844" priority="990">
      <formula>AND(IF($Q39=3,1,IF($Q39=4,1,0)),IF($F39&lt;=85,1,0))</formula>
    </cfRule>
  </conditionalFormatting>
  <conditionalFormatting sqref="AV40">
    <cfRule type="expression" dxfId="2843" priority="985">
      <formula>AV40="X"</formula>
    </cfRule>
    <cfRule type="expression" dxfId="2842" priority="986">
      <formula>AV40="후보"</formula>
    </cfRule>
  </conditionalFormatting>
  <conditionalFormatting sqref="AC40">
    <cfRule type="cellIs" dxfId="2841" priority="982" operator="greaterThan">
      <formula>0.9</formula>
    </cfRule>
    <cfRule type="cellIs" dxfId="2840" priority="983" operator="greaterThan">
      <formula>0.85</formula>
    </cfRule>
  </conditionalFormatting>
  <conditionalFormatting sqref="N40">
    <cfRule type="cellIs" dxfId="2839" priority="980" operator="greaterThan">
      <formula>0.9</formula>
    </cfRule>
    <cfRule type="cellIs" dxfId="2838" priority="981" operator="greaterThan">
      <formula>0.85</formula>
    </cfRule>
  </conditionalFormatting>
  <conditionalFormatting sqref="E40">
    <cfRule type="expression" dxfId="2837" priority="976">
      <formula>AND(IF(OR($Q40=1,$Q40=2),1,0),IF($X40&lt;=20,1,0))</formula>
    </cfRule>
    <cfRule type="expression" dxfId="2836" priority="977">
      <formula>AND(IF($Q40=2,1,0),IF($X40&lt;30,1,0))</formula>
    </cfRule>
    <cfRule type="expression" dxfId="2835" priority="978">
      <formula>AND(IF($Q40=3,1,0),IF($X40&lt;30,1,0))</formula>
    </cfRule>
    <cfRule type="expression" dxfId="2834" priority="979">
      <formula>AND(IF($Q40=3,1,IF($Q40=4,1,0)),IF($F40&lt;=85,1,0))</formula>
    </cfRule>
  </conditionalFormatting>
  <conditionalFormatting sqref="X40">
    <cfRule type="expression" dxfId="2833" priority="972">
      <formula>AND(IF(OR($Q40=1,$Q40=2),1,0),IF($X40&lt;=20,1,0))</formula>
    </cfRule>
    <cfRule type="expression" dxfId="2832" priority="973">
      <formula>AND(IF($Q40=2,1,0),IF($X40&lt;30,1,0))</formula>
    </cfRule>
    <cfRule type="expression" dxfId="2831" priority="974">
      <formula>AND(IF($Q40=3,1,0),IF($X40&lt;30,1,0))</formula>
    </cfRule>
    <cfRule type="expression" dxfId="2830" priority="975">
      <formula>AND(IF($Q40=3,1,IF($Q40=4,1,0)),IF($F40&lt;=85,1,0))</formula>
    </cfRule>
  </conditionalFormatting>
  <conditionalFormatting sqref="AI40">
    <cfRule type="expression" dxfId="2829" priority="968">
      <formula>AND(IF(OR($Q40=1,$Q40=2),1,0),IF($X40&lt;=20,1,0))</formula>
    </cfRule>
    <cfRule type="expression" dxfId="2828" priority="969">
      <formula>AND(IF($Q40=2,1,0),IF($X40&lt;30,1,0))</formula>
    </cfRule>
    <cfRule type="expression" dxfId="2827" priority="970">
      <formula>AND(IF($Q40=3,1,0),IF($X40&lt;30,1,0))</formula>
    </cfRule>
    <cfRule type="expression" dxfId="2826" priority="971">
      <formula>AND(IF($Q40=3,1,IF($Q40=4,1,0)),IF($F40&lt;=85,1,0))</formula>
    </cfRule>
  </conditionalFormatting>
  <conditionalFormatting sqref="AV41">
    <cfRule type="expression" dxfId="2825" priority="966">
      <formula>AV41="X"</formula>
    </cfRule>
    <cfRule type="expression" dxfId="2824" priority="967">
      <formula>AV41="후보"</formula>
    </cfRule>
  </conditionalFormatting>
  <conditionalFormatting sqref="AC41">
    <cfRule type="cellIs" dxfId="2823" priority="963" operator="greaterThan">
      <formula>0.9</formula>
    </cfRule>
    <cfRule type="cellIs" dxfId="2822" priority="964" operator="greaterThan">
      <formula>0.85</formula>
    </cfRule>
  </conditionalFormatting>
  <conditionalFormatting sqref="N41">
    <cfRule type="cellIs" dxfId="2821" priority="961" operator="greaterThan">
      <formula>0.9</formula>
    </cfRule>
    <cfRule type="cellIs" dxfId="2820" priority="962" operator="greaterThan">
      <formula>0.85</formula>
    </cfRule>
  </conditionalFormatting>
  <conditionalFormatting sqref="E41">
    <cfRule type="expression" dxfId="2819" priority="957">
      <formula>AND(IF(OR($Q41=1,$Q41=2),1,0),IF($X41&lt;=20,1,0))</formula>
    </cfRule>
    <cfRule type="expression" dxfId="2818" priority="958">
      <formula>AND(IF($Q41=2,1,0),IF($X41&lt;30,1,0))</formula>
    </cfRule>
    <cfRule type="expression" dxfId="2817" priority="959">
      <formula>AND(IF($Q41=3,1,0),IF($X41&lt;30,1,0))</formula>
    </cfRule>
    <cfRule type="expression" dxfId="2816" priority="960">
      <formula>AND(IF($Q41=3,1,IF($Q41=4,1,0)),IF($F41&lt;=85,1,0))</formula>
    </cfRule>
  </conditionalFormatting>
  <conditionalFormatting sqref="X41">
    <cfRule type="expression" dxfId="2815" priority="953">
      <formula>AND(IF(OR($Q41=1,$Q41=2),1,0),IF($X41&lt;=20,1,0))</formula>
    </cfRule>
    <cfRule type="expression" dxfId="2814" priority="954">
      <formula>AND(IF($Q41=2,1,0),IF($X41&lt;30,1,0))</formula>
    </cfRule>
    <cfRule type="expression" dxfId="2813" priority="955">
      <formula>AND(IF($Q41=3,1,0),IF($X41&lt;30,1,0))</formula>
    </cfRule>
    <cfRule type="expression" dxfId="2812" priority="956">
      <formula>AND(IF($Q41=3,1,IF($Q41=4,1,0)),IF($F41&lt;=85,1,0))</formula>
    </cfRule>
  </conditionalFormatting>
  <conditionalFormatting sqref="AI41">
    <cfRule type="expression" dxfId="2811" priority="949">
      <formula>AND(IF(OR($Q41=1,$Q41=2),1,0),IF($X41&lt;=20,1,0))</formula>
    </cfRule>
    <cfRule type="expression" dxfId="2810" priority="950">
      <formula>AND(IF($Q41=2,1,0),IF($X41&lt;30,1,0))</formula>
    </cfRule>
    <cfRule type="expression" dxfId="2809" priority="951">
      <formula>AND(IF($Q41=3,1,0),IF($X41&lt;30,1,0))</formula>
    </cfRule>
    <cfRule type="expression" dxfId="2808" priority="952">
      <formula>AND(IF($Q41=3,1,IF($Q41=4,1,0)),IF($F41&lt;=85,1,0))</formula>
    </cfRule>
  </conditionalFormatting>
  <conditionalFormatting sqref="AV42">
    <cfRule type="expression" dxfId="2807" priority="947">
      <formula>AV42="X"</formula>
    </cfRule>
    <cfRule type="expression" dxfId="2806" priority="948">
      <formula>AV42="후보"</formula>
    </cfRule>
  </conditionalFormatting>
  <conditionalFormatting sqref="AC42">
    <cfRule type="cellIs" dxfId="2805" priority="944" operator="greaterThan">
      <formula>0.9</formula>
    </cfRule>
    <cfRule type="cellIs" dxfId="2804" priority="945" operator="greaterThan">
      <formula>0.85</formula>
    </cfRule>
  </conditionalFormatting>
  <conditionalFormatting sqref="N42">
    <cfRule type="cellIs" dxfId="2803" priority="942" operator="greaterThan">
      <formula>0.9</formula>
    </cfRule>
    <cfRule type="cellIs" dxfId="2802" priority="943" operator="greaterThan">
      <formula>0.85</formula>
    </cfRule>
  </conditionalFormatting>
  <conditionalFormatting sqref="E42">
    <cfRule type="expression" dxfId="2801" priority="938">
      <formula>AND(IF(OR($Q42=1,$Q42=2),1,0),IF($X42&lt;=20,1,0))</formula>
    </cfRule>
    <cfRule type="expression" dxfId="2800" priority="939">
      <formula>AND(IF($Q42=2,1,0),IF($X42&lt;30,1,0))</formula>
    </cfRule>
    <cfRule type="expression" dxfId="2799" priority="940">
      <formula>AND(IF($Q42=3,1,0),IF($X42&lt;30,1,0))</formula>
    </cfRule>
    <cfRule type="expression" dxfId="2798" priority="941">
      <formula>AND(IF($Q42=3,1,IF($Q42=4,1,0)),IF($F42&lt;=85,1,0))</formula>
    </cfRule>
  </conditionalFormatting>
  <conditionalFormatting sqref="X42">
    <cfRule type="expression" dxfId="2797" priority="934">
      <formula>AND(IF(OR($Q42=1,$Q42=2),1,0),IF($X42&lt;=20,1,0))</formula>
    </cfRule>
    <cfRule type="expression" dxfId="2796" priority="935">
      <formula>AND(IF($Q42=2,1,0),IF($X42&lt;30,1,0))</formula>
    </cfRule>
    <cfRule type="expression" dxfId="2795" priority="936">
      <formula>AND(IF($Q42=3,1,0),IF($X42&lt;30,1,0))</formula>
    </cfRule>
    <cfRule type="expression" dxfId="2794" priority="937">
      <formula>AND(IF($Q42=3,1,IF($Q42=4,1,0)),IF($F42&lt;=85,1,0))</formula>
    </cfRule>
  </conditionalFormatting>
  <conditionalFormatting sqref="AI42">
    <cfRule type="expression" dxfId="2793" priority="930">
      <formula>AND(IF(OR($Q42=1,$Q42=2),1,0),IF($X42&lt;=20,1,0))</formula>
    </cfRule>
    <cfRule type="expression" dxfId="2792" priority="931">
      <formula>AND(IF($Q42=2,1,0),IF($X42&lt;30,1,0))</formula>
    </cfRule>
    <cfRule type="expression" dxfId="2791" priority="932">
      <formula>AND(IF($Q42=3,1,0),IF($X42&lt;30,1,0))</formula>
    </cfRule>
    <cfRule type="expression" dxfId="2790" priority="933">
      <formula>AND(IF($Q42=3,1,IF($Q42=4,1,0)),IF($F42&lt;=85,1,0))</formula>
    </cfRule>
  </conditionalFormatting>
  <conditionalFormatting sqref="AV43">
    <cfRule type="expression" dxfId="2789" priority="928">
      <formula>AV43="X"</formula>
    </cfRule>
    <cfRule type="expression" dxfId="2788" priority="929">
      <formula>AV43="후보"</formula>
    </cfRule>
  </conditionalFormatting>
  <conditionalFormatting sqref="AC43">
    <cfRule type="cellIs" dxfId="2787" priority="925" operator="greaterThan">
      <formula>0.9</formula>
    </cfRule>
    <cfRule type="cellIs" dxfId="2786" priority="926" operator="greaterThan">
      <formula>0.85</formula>
    </cfRule>
  </conditionalFormatting>
  <conditionalFormatting sqref="N43">
    <cfRule type="cellIs" dxfId="2785" priority="923" operator="greaterThan">
      <formula>0.9</formula>
    </cfRule>
    <cfRule type="cellIs" dxfId="2784" priority="924" operator="greaterThan">
      <formula>0.85</formula>
    </cfRule>
  </conditionalFormatting>
  <conditionalFormatting sqref="E43">
    <cfRule type="expression" dxfId="2783" priority="919">
      <formula>AND(IF(OR($Q43=1,$Q43=2),1,0),IF($X43&lt;=20,1,0))</formula>
    </cfRule>
    <cfRule type="expression" dxfId="2782" priority="920">
      <formula>AND(IF($Q43=2,1,0),IF($X43&lt;30,1,0))</formula>
    </cfRule>
    <cfRule type="expression" dxfId="2781" priority="921">
      <formula>AND(IF($Q43=3,1,0),IF($X43&lt;30,1,0))</formula>
    </cfRule>
    <cfRule type="expression" dxfId="2780" priority="922">
      <formula>AND(IF($Q43=3,1,IF($Q43=4,1,0)),IF($F43&lt;=85,1,0))</formula>
    </cfRule>
  </conditionalFormatting>
  <conditionalFormatting sqref="X43">
    <cfRule type="expression" dxfId="2779" priority="915">
      <formula>AND(IF(OR($Q43=1,$Q43=2),1,0),IF($X43&lt;=20,1,0))</formula>
    </cfRule>
    <cfRule type="expression" dxfId="2778" priority="916">
      <formula>AND(IF($Q43=2,1,0),IF($X43&lt;30,1,0))</formula>
    </cfRule>
    <cfRule type="expression" dxfId="2777" priority="917">
      <formula>AND(IF($Q43=3,1,0),IF($X43&lt;30,1,0))</formula>
    </cfRule>
    <cfRule type="expression" dxfId="2776" priority="918">
      <formula>AND(IF($Q43=3,1,IF($Q43=4,1,0)),IF($F43&lt;=85,1,0))</formula>
    </cfRule>
  </conditionalFormatting>
  <conditionalFormatting sqref="AI43">
    <cfRule type="expression" dxfId="2775" priority="911">
      <formula>AND(IF(OR($Q43=1,$Q43=2),1,0),IF($X43&lt;=20,1,0))</formula>
    </cfRule>
    <cfRule type="expression" dxfId="2774" priority="912">
      <formula>AND(IF($Q43=2,1,0),IF($X43&lt;30,1,0))</formula>
    </cfRule>
    <cfRule type="expression" dxfId="2773" priority="913">
      <formula>AND(IF($Q43=3,1,0),IF($X43&lt;30,1,0))</formula>
    </cfRule>
    <cfRule type="expression" dxfId="2772" priority="914">
      <formula>AND(IF($Q43=3,1,IF($Q43=4,1,0)),IF($F43&lt;=85,1,0))</formula>
    </cfRule>
  </conditionalFormatting>
  <conditionalFormatting sqref="AV44">
    <cfRule type="expression" dxfId="2771" priority="909">
      <formula>AV44="X"</formula>
    </cfRule>
    <cfRule type="expression" dxfId="2770" priority="910">
      <formula>AV44="후보"</formula>
    </cfRule>
  </conditionalFormatting>
  <conditionalFormatting sqref="AC44">
    <cfRule type="cellIs" dxfId="2769" priority="906" operator="greaterThan">
      <formula>0.9</formula>
    </cfRule>
    <cfRule type="cellIs" dxfId="2768" priority="907" operator="greaterThan">
      <formula>0.85</formula>
    </cfRule>
  </conditionalFormatting>
  <conditionalFormatting sqref="N44">
    <cfRule type="cellIs" dxfId="2767" priority="904" operator="greaterThan">
      <formula>0.9</formula>
    </cfRule>
    <cfRule type="cellIs" dxfId="2766" priority="905" operator="greaterThan">
      <formula>0.85</formula>
    </cfRule>
  </conditionalFormatting>
  <conditionalFormatting sqref="E44">
    <cfRule type="expression" dxfId="2765" priority="900">
      <formula>AND(IF(OR($Q44=1,$Q44=2),1,0),IF($X44&lt;=20,1,0))</formula>
    </cfRule>
    <cfRule type="expression" dxfId="2764" priority="901">
      <formula>AND(IF($Q44=2,1,0),IF($X44&lt;30,1,0))</formula>
    </cfRule>
    <cfRule type="expression" dxfId="2763" priority="902">
      <formula>AND(IF($Q44=3,1,0),IF($X44&lt;30,1,0))</formula>
    </cfRule>
    <cfRule type="expression" dxfId="2762" priority="903">
      <formula>AND(IF($Q44=3,1,IF($Q44=4,1,0)),IF($F44&lt;=85,1,0))</formula>
    </cfRule>
  </conditionalFormatting>
  <conditionalFormatting sqref="X44">
    <cfRule type="expression" dxfId="2761" priority="896">
      <formula>AND(IF(OR($Q44=1,$Q44=2),1,0),IF($X44&lt;=20,1,0))</formula>
    </cfRule>
    <cfRule type="expression" dxfId="2760" priority="897">
      <formula>AND(IF($Q44=2,1,0),IF($X44&lt;30,1,0))</formula>
    </cfRule>
    <cfRule type="expression" dxfId="2759" priority="898">
      <formula>AND(IF($Q44=3,1,0),IF($X44&lt;30,1,0))</formula>
    </cfRule>
    <cfRule type="expression" dxfId="2758" priority="899">
      <formula>AND(IF($Q44=3,1,IF($Q44=4,1,0)),IF($F44&lt;=85,1,0))</formula>
    </cfRule>
  </conditionalFormatting>
  <conditionalFormatting sqref="AI44">
    <cfRule type="expression" dxfId="2757" priority="892">
      <formula>AND(IF(OR($Q44=1,$Q44=2),1,0),IF($X44&lt;=20,1,0))</formula>
    </cfRule>
    <cfRule type="expression" dxfId="2756" priority="893">
      <formula>AND(IF($Q44=2,1,0),IF($X44&lt;30,1,0))</formula>
    </cfRule>
    <cfRule type="expression" dxfId="2755" priority="894">
      <formula>AND(IF($Q44=3,1,0),IF($X44&lt;30,1,0))</formula>
    </cfRule>
    <cfRule type="expression" dxfId="2754" priority="895">
      <formula>AND(IF($Q44=3,1,IF($Q44=4,1,0)),IF($F44&lt;=85,1,0))</formula>
    </cfRule>
  </conditionalFormatting>
  <conditionalFormatting sqref="AV45">
    <cfRule type="expression" dxfId="2753" priority="890">
      <formula>AV45="X"</formula>
    </cfRule>
    <cfRule type="expression" dxfId="2752" priority="891">
      <formula>AV45="후보"</formula>
    </cfRule>
  </conditionalFormatting>
  <conditionalFormatting sqref="AC45">
    <cfRule type="cellIs" dxfId="2751" priority="887" operator="greaterThan">
      <formula>0.9</formula>
    </cfRule>
    <cfRule type="cellIs" dxfId="2750" priority="888" operator="greaterThan">
      <formula>0.85</formula>
    </cfRule>
  </conditionalFormatting>
  <conditionalFormatting sqref="N45">
    <cfRule type="cellIs" dxfId="2749" priority="885" operator="greaterThan">
      <formula>0.9</formula>
    </cfRule>
    <cfRule type="cellIs" dxfId="2748" priority="886" operator="greaterThan">
      <formula>0.85</formula>
    </cfRule>
  </conditionalFormatting>
  <conditionalFormatting sqref="E45">
    <cfRule type="expression" dxfId="2747" priority="881">
      <formula>AND(IF(OR($Q45=1,$Q45=2),1,0),IF($X45&lt;=20,1,0))</formula>
    </cfRule>
    <cfRule type="expression" dxfId="2746" priority="882">
      <formula>AND(IF($Q45=2,1,0),IF($X45&lt;30,1,0))</formula>
    </cfRule>
    <cfRule type="expression" dxfId="2745" priority="883">
      <formula>AND(IF($Q45=3,1,0),IF($X45&lt;30,1,0))</formula>
    </cfRule>
    <cfRule type="expression" dxfId="2744" priority="884">
      <formula>AND(IF($Q45=3,1,IF($Q45=4,1,0)),IF($F45&lt;=85,1,0))</formula>
    </cfRule>
  </conditionalFormatting>
  <conditionalFormatting sqref="X45">
    <cfRule type="expression" dxfId="2743" priority="877">
      <formula>AND(IF(OR($Q45=1,$Q45=2),1,0),IF($X45&lt;=20,1,0))</formula>
    </cfRule>
    <cfRule type="expression" dxfId="2742" priority="878">
      <formula>AND(IF($Q45=2,1,0),IF($X45&lt;30,1,0))</formula>
    </cfRule>
    <cfRule type="expression" dxfId="2741" priority="879">
      <formula>AND(IF($Q45=3,1,0),IF($X45&lt;30,1,0))</formula>
    </cfRule>
    <cfRule type="expression" dxfId="2740" priority="880">
      <formula>AND(IF($Q45=3,1,IF($Q45=4,1,0)),IF($F45&lt;=85,1,0))</formula>
    </cfRule>
  </conditionalFormatting>
  <conditionalFormatting sqref="AI45">
    <cfRule type="expression" dxfId="2739" priority="873">
      <formula>AND(IF(OR($Q45=1,$Q45=2),1,0),IF($X45&lt;=20,1,0))</formula>
    </cfRule>
    <cfRule type="expression" dxfId="2738" priority="874">
      <formula>AND(IF($Q45=2,1,0),IF($X45&lt;30,1,0))</formula>
    </cfRule>
    <cfRule type="expression" dxfId="2737" priority="875">
      <formula>AND(IF($Q45=3,1,0),IF($X45&lt;30,1,0))</formula>
    </cfRule>
    <cfRule type="expression" dxfId="2736" priority="876">
      <formula>AND(IF($Q45=3,1,IF($Q45=4,1,0)),IF($F45&lt;=85,1,0))</formula>
    </cfRule>
  </conditionalFormatting>
  <conditionalFormatting sqref="AV46">
    <cfRule type="expression" dxfId="2735" priority="871">
      <formula>AV46="X"</formula>
    </cfRule>
    <cfRule type="expression" dxfId="2734" priority="872">
      <formula>AV46="후보"</formula>
    </cfRule>
  </conditionalFormatting>
  <conditionalFormatting sqref="AC46 N46">
    <cfRule type="cellIs" dxfId="2733" priority="868" operator="greaterThan">
      <formula>0.9</formula>
    </cfRule>
    <cfRule type="cellIs" dxfId="2732" priority="869" operator="greaterThan">
      <formula>0.85</formula>
    </cfRule>
  </conditionalFormatting>
  <conditionalFormatting sqref="AV47">
    <cfRule type="expression" dxfId="2731" priority="866">
      <formula>AV47="X"</formula>
    </cfRule>
    <cfRule type="expression" dxfId="2730" priority="867">
      <formula>AV47="후보"</formula>
    </cfRule>
  </conditionalFormatting>
  <conditionalFormatting sqref="AC47">
    <cfRule type="cellIs" dxfId="2729" priority="863" operator="greaterThan">
      <formula>0.9</formula>
    </cfRule>
    <cfRule type="cellIs" dxfId="2728" priority="864" operator="greaterThan">
      <formula>0.85</formula>
    </cfRule>
  </conditionalFormatting>
  <conditionalFormatting sqref="N47">
    <cfRule type="cellIs" dxfId="2727" priority="861" operator="greaterThan">
      <formula>0.9</formula>
    </cfRule>
    <cfRule type="cellIs" dxfId="2726" priority="862" operator="greaterThan">
      <formula>0.85</formula>
    </cfRule>
  </conditionalFormatting>
  <conditionalFormatting sqref="E47">
    <cfRule type="expression" dxfId="2725" priority="857">
      <formula>AND(IF(OR($Q47=1,$Q47=2),1,0),IF($X47&lt;=20,1,0))</formula>
    </cfRule>
    <cfRule type="expression" dxfId="2724" priority="858">
      <formula>AND(IF($Q47=2,1,0),IF($X47&lt;30,1,0))</formula>
    </cfRule>
    <cfRule type="expression" dxfId="2723" priority="859">
      <formula>AND(IF($Q47=3,1,0),IF($X47&lt;30,1,0))</formula>
    </cfRule>
    <cfRule type="expression" dxfId="2722" priority="860">
      <formula>AND(IF($Q47=3,1,IF($Q47=4,1,0)),IF($F47&lt;=85,1,0))</formula>
    </cfRule>
  </conditionalFormatting>
  <conditionalFormatting sqref="X47">
    <cfRule type="expression" dxfId="2721" priority="853">
      <formula>AND(IF(OR($Q47=1,$Q47=2),1,0),IF($X47&lt;=20,1,0))</formula>
    </cfRule>
    <cfRule type="expression" dxfId="2720" priority="854">
      <formula>AND(IF($Q47=2,1,0),IF($X47&lt;30,1,0))</formula>
    </cfRule>
    <cfRule type="expression" dxfId="2719" priority="855">
      <formula>AND(IF($Q47=3,1,0),IF($X47&lt;30,1,0))</formula>
    </cfRule>
    <cfRule type="expression" dxfId="2718" priority="856">
      <formula>AND(IF($Q47=3,1,IF($Q47=4,1,0)),IF($F47&lt;=85,1,0))</formula>
    </cfRule>
  </conditionalFormatting>
  <conditionalFormatting sqref="AI47">
    <cfRule type="expression" dxfId="2717" priority="849">
      <formula>AND(IF(OR($Q47=1,$Q47=2),1,0),IF($X47&lt;=20,1,0))</formula>
    </cfRule>
    <cfRule type="expression" dxfId="2716" priority="850">
      <formula>AND(IF($Q47=2,1,0),IF($X47&lt;30,1,0))</formula>
    </cfRule>
    <cfRule type="expression" dxfId="2715" priority="851">
      <formula>AND(IF($Q47=3,1,0),IF($X47&lt;30,1,0))</formula>
    </cfRule>
    <cfRule type="expression" dxfId="2714" priority="852">
      <formula>AND(IF($Q47=3,1,IF($Q47=4,1,0)),IF($F47&lt;=85,1,0))</formula>
    </cfRule>
  </conditionalFormatting>
  <conditionalFormatting sqref="AV48">
    <cfRule type="expression" dxfId="2713" priority="847">
      <formula>AV48="X"</formula>
    </cfRule>
    <cfRule type="expression" dxfId="2712" priority="848">
      <formula>AV48="후보"</formula>
    </cfRule>
  </conditionalFormatting>
  <conditionalFormatting sqref="AC48">
    <cfRule type="cellIs" dxfId="2711" priority="844" operator="greaterThan">
      <formula>0.9</formula>
    </cfRule>
    <cfRule type="cellIs" dxfId="2710" priority="845" operator="greaterThan">
      <formula>0.85</formula>
    </cfRule>
  </conditionalFormatting>
  <conditionalFormatting sqref="N48">
    <cfRule type="cellIs" dxfId="2709" priority="842" operator="greaterThan">
      <formula>0.9</formula>
    </cfRule>
    <cfRule type="cellIs" dxfId="2708" priority="843" operator="greaterThan">
      <formula>0.85</formula>
    </cfRule>
  </conditionalFormatting>
  <conditionalFormatting sqref="E48">
    <cfRule type="expression" dxfId="2707" priority="838">
      <formula>AND(IF(OR($Q48=1,$Q48=2),1,0),IF($X48&lt;=20,1,0))</formula>
    </cfRule>
    <cfRule type="expression" dxfId="2706" priority="839">
      <formula>AND(IF($Q48=2,1,0),IF($X48&lt;30,1,0))</formula>
    </cfRule>
    <cfRule type="expression" dxfId="2705" priority="840">
      <formula>AND(IF($Q48=3,1,0),IF($X48&lt;30,1,0))</formula>
    </cfRule>
    <cfRule type="expression" dxfId="2704" priority="841">
      <formula>AND(IF($Q48=3,1,IF($Q48=4,1,0)),IF($F48&lt;=85,1,0))</formula>
    </cfRule>
  </conditionalFormatting>
  <conditionalFormatting sqref="X48">
    <cfRule type="expression" dxfId="2703" priority="834">
      <formula>AND(IF(OR($Q48=1,$Q48=2),1,0),IF($X48&lt;=20,1,0))</formula>
    </cfRule>
    <cfRule type="expression" dxfId="2702" priority="835">
      <formula>AND(IF($Q48=2,1,0),IF($X48&lt;30,1,0))</formula>
    </cfRule>
    <cfRule type="expression" dxfId="2701" priority="836">
      <formula>AND(IF($Q48=3,1,0),IF($X48&lt;30,1,0))</formula>
    </cfRule>
    <cfRule type="expression" dxfId="2700" priority="837">
      <formula>AND(IF($Q48=3,1,IF($Q48=4,1,0)),IF($F48&lt;=85,1,0))</formula>
    </cfRule>
  </conditionalFormatting>
  <conditionalFormatting sqref="AI48">
    <cfRule type="expression" dxfId="2699" priority="830">
      <formula>AND(IF(OR($Q48=1,$Q48=2),1,0),IF($X48&lt;=20,1,0))</formula>
    </cfRule>
    <cfRule type="expression" dxfId="2698" priority="831">
      <formula>AND(IF($Q48=2,1,0),IF($X48&lt;30,1,0))</formula>
    </cfRule>
    <cfRule type="expression" dxfId="2697" priority="832">
      <formula>AND(IF($Q48=3,1,0),IF($X48&lt;30,1,0))</formula>
    </cfRule>
    <cfRule type="expression" dxfId="2696" priority="833">
      <formula>AND(IF($Q48=3,1,IF($Q48=4,1,0)),IF($F48&lt;=85,1,0))</formula>
    </cfRule>
  </conditionalFormatting>
  <conditionalFormatting sqref="AV49">
    <cfRule type="expression" dxfId="2695" priority="828">
      <formula>AV49="X"</formula>
    </cfRule>
    <cfRule type="expression" dxfId="2694" priority="829">
      <formula>AV49="후보"</formula>
    </cfRule>
  </conditionalFormatting>
  <conditionalFormatting sqref="AC49">
    <cfRule type="cellIs" dxfId="2693" priority="825" operator="greaterThan">
      <formula>0.9</formula>
    </cfRule>
    <cfRule type="cellIs" dxfId="2692" priority="826" operator="greaterThan">
      <formula>0.85</formula>
    </cfRule>
  </conditionalFormatting>
  <conditionalFormatting sqref="N49">
    <cfRule type="cellIs" dxfId="2691" priority="823" operator="greaterThan">
      <formula>0.9</formula>
    </cfRule>
    <cfRule type="cellIs" dxfId="2690" priority="824" operator="greaterThan">
      <formula>0.85</formula>
    </cfRule>
  </conditionalFormatting>
  <conditionalFormatting sqref="E49">
    <cfRule type="expression" dxfId="2689" priority="819">
      <formula>AND(IF(OR($Q49=1,$Q49=2),1,0),IF($X49&lt;=20,1,0))</formula>
    </cfRule>
    <cfRule type="expression" dxfId="2688" priority="820">
      <formula>AND(IF($Q49=2,1,0),IF($X49&lt;30,1,0))</formula>
    </cfRule>
    <cfRule type="expression" dxfId="2687" priority="821">
      <formula>AND(IF($Q49=3,1,0),IF($X49&lt;30,1,0))</formula>
    </cfRule>
    <cfRule type="expression" dxfId="2686" priority="822">
      <formula>AND(IF($Q49=3,1,IF($Q49=4,1,0)),IF($F49&lt;=85,1,0))</formula>
    </cfRule>
  </conditionalFormatting>
  <conditionalFormatting sqref="X49">
    <cfRule type="expression" dxfId="2685" priority="815">
      <formula>AND(IF(OR($Q49=1,$Q49=2),1,0),IF($X49&lt;=20,1,0))</formula>
    </cfRule>
    <cfRule type="expression" dxfId="2684" priority="816">
      <formula>AND(IF($Q49=2,1,0),IF($X49&lt;30,1,0))</formula>
    </cfRule>
    <cfRule type="expression" dxfId="2683" priority="817">
      <formula>AND(IF($Q49=3,1,0),IF($X49&lt;30,1,0))</formula>
    </cfRule>
    <cfRule type="expression" dxfId="2682" priority="818">
      <formula>AND(IF($Q49=3,1,IF($Q49=4,1,0)),IF($F49&lt;=85,1,0))</formula>
    </cfRule>
  </conditionalFormatting>
  <conditionalFormatting sqref="AI49">
    <cfRule type="expression" dxfId="2681" priority="811">
      <formula>AND(IF(OR($Q49=1,$Q49=2),1,0),IF($X49&lt;=20,1,0))</formula>
    </cfRule>
    <cfRule type="expression" dxfId="2680" priority="812">
      <formula>AND(IF($Q49=2,1,0),IF($X49&lt;30,1,0))</formula>
    </cfRule>
    <cfRule type="expression" dxfId="2679" priority="813">
      <formula>AND(IF($Q49=3,1,0),IF($X49&lt;30,1,0))</formula>
    </cfRule>
    <cfRule type="expression" dxfId="2678" priority="814">
      <formula>AND(IF($Q49=3,1,IF($Q49=4,1,0)),IF($F49&lt;=85,1,0))</formula>
    </cfRule>
  </conditionalFormatting>
  <conditionalFormatting sqref="AV50">
    <cfRule type="expression" dxfId="2677" priority="809">
      <formula>AV50="X"</formula>
    </cfRule>
    <cfRule type="expression" dxfId="2676" priority="810">
      <formula>AV50="후보"</formula>
    </cfRule>
  </conditionalFormatting>
  <conditionalFormatting sqref="AC50">
    <cfRule type="cellIs" dxfId="2675" priority="806" operator="greaterThan">
      <formula>0.9</formula>
    </cfRule>
    <cfRule type="cellIs" dxfId="2674" priority="807" operator="greaterThan">
      <formula>0.85</formula>
    </cfRule>
  </conditionalFormatting>
  <conditionalFormatting sqref="N50">
    <cfRule type="cellIs" dxfId="2673" priority="804" operator="greaterThan">
      <formula>0.9</formula>
    </cfRule>
    <cfRule type="cellIs" dxfId="2672" priority="805" operator="greaterThan">
      <formula>0.85</formula>
    </cfRule>
  </conditionalFormatting>
  <conditionalFormatting sqref="E50">
    <cfRule type="expression" dxfId="2671" priority="800">
      <formula>AND(IF(OR($Q50=1,$Q50=2),1,0),IF($X50&lt;=20,1,0))</formula>
    </cfRule>
    <cfRule type="expression" dxfId="2670" priority="801">
      <formula>AND(IF($Q50=2,1,0),IF($X50&lt;30,1,0))</formula>
    </cfRule>
    <cfRule type="expression" dxfId="2669" priority="802">
      <formula>AND(IF($Q50=3,1,0),IF($X50&lt;30,1,0))</formula>
    </cfRule>
    <cfRule type="expression" dxfId="2668" priority="803">
      <formula>AND(IF($Q50=3,1,IF($Q50=4,1,0)),IF($F50&lt;=85,1,0))</formula>
    </cfRule>
  </conditionalFormatting>
  <conditionalFormatting sqref="X50">
    <cfRule type="expression" dxfId="2667" priority="796">
      <formula>AND(IF(OR($Q50=1,$Q50=2),1,0),IF($X50&lt;=20,1,0))</formula>
    </cfRule>
    <cfRule type="expression" dxfId="2666" priority="797">
      <formula>AND(IF($Q50=2,1,0),IF($X50&lt;30,1,0))</formula>
    </cfRule>
    <cfRule type="expression" dxfId="2665" priority="798">
      <formula>AND(IF($Q50=3,1,0),IF($X50&lt;30,1,0))</formula>
    </cfRule>
    <cfRule type="expression" dxfId="2664" priority="799">
      <formula>AND(IF($Q50=3,1,IF($Q50=4,1,0)),IF($F50&lt;=85,1,0))</formula>
    </cfRule>
  </conditionalFormatting>
  <conditionalFormatting sqref="AI50">
    <cfRule type="expression" dxfId="2663" priority="792">
      <formula>AND(IF(OR($Q50=1,$Q50=2),1,0),IF($X50&lt;=20,1,0))</formula>
    </cfRule>
    <cfRule type="expression" dxfId="2662" priority="793">
      <formula>AND(IF($Q50=2,1,0),IF($X50&lt;30,1,0))</formula>
    </cfRule>
    <cfRule type="expression" dxfId="2661" priority="794">
      <formula>AND(IF($Q50=3,1,0),IF($X50&lt;30,1,0))</formula>
    </cfRule>
    <cfRule type="expression" dxfId="2660" priority="795">
      <formula>AND(IF($Q50=3,1,IF($Q50=4,1,0)),IF($F50&lt;=85,1,0))</formula>
    </cfRule>
  </conditionalFormatting>
  <conditionalFormatting sqref="AV51">
    <cfRule type="expression" dxfId="2659" priority="790">
      <formula>AV51="X"</formula>
    </cfRule>
    <cfRule type="expression" dxfId="2658" priority="791">
      <formula>AV51="후보"</formula>
    </cfRule>
  </conditionalFormatting>
  <conditionalFormatting sqref="AC51">
    <cfRule type="cellIs" dxfId="2657" priority="787" operator="greaterThan">
      <formula>0.9</formula>
    </cfRule>
    <cfRule type="cellIs" dxfId="2656" priority="788" operator="greaterThan">
      <formula>0.85</formula>
    </cfRule>
  </conditionalFormatting>
  <conditionalFormatting sqref="N51">
    <cfRule type="cellIs" dxfId="2655" priority="785" operator="greaterThan">
      <formula>0.9</formula>
    </cfRule>
    <cfRule type="cellIs" dxfId="2654" priority="786" operator="greaterThan">
      <formula>0.85</formula>
    </cfRule>
  </conditionalFormatting>
  <conditionalFormatting sqref="E51">
    <cfRule type="expression" dxfId="2653" priority="781">
      <formula>AND(IF(OR($Q51=1,$Q51=2),1,0),IF($X51&lt;=20,1,0))</formula>
    </cfRule>
    <cfRule type="expression" dxfId="2652" priority="782">
      <formula>AND(IF($Q51=2,1,0),IF($X51&lt;30,1,0))</formula>
    </cfRule>
    <cfRule type="expression" dxfId="2651" priority="783">
      <formula>AND(IF($Q51=3,1,0),IF($X51&lt;30,1,0))</formula>
    </cfRule>
    <cfRule type="expression" dxfId="2650" priority="784">
      <formula>AND(IF($Q51=3,1,IF($Q51=4,1,0)),IF($F51&lt;=85,1,0))</formula>
    </cfRule>
  </conditionalFormatting>
  <conditionalFormatting sqref="X51">
    <cfRule type="expression" dxfId="2649" priority="777">
      <formula>AND(IF(OR($Q51=1,$Q51=2),1,0),IF($X51&lt;=20,1,0))</formula>
    </cfRule>
    <cfRule type="expression" dxfId="2648" priority="778">
      <formula>AND(IF($Q51=2,1,0),IF($X51&lt;30,1,0))</formula>
    </cfRule>
    <cfRule type="expression" dxfId="2647" priority="779">
      <formula>AND(IF($Q51=3,1,0),IF($X51&lt;30,1,0))</formula>
    </cfRule>
    <cfRule type="expression" dxfId="2646" priority="780">
      <formula>AND(IF($Q51=3,1,IF($Q51=4,1,0)),IF($F51&lt;=85,1,0))</formula>
    </cfRule>
  </conditionalFormatting>
  <conditionalFormatting sqref="AI51">
    <cfRule type="expression" dxfId="2645" priority="773">
      <formula>AND(IF(OR($Q51=1,$Q51=2),1,0),IF($X51&lt;=20,1,0))</formula>
    </cfRule>
    <cfRule type="expression" dxfId="2644" priority="774">
      <formula>AND(IF($Q51=2,1,0),IF($X51&lt;30,1,0))</formula>
    </cfRule>
    <cfRule type="expression" dxfId="2643" priority="775">
      <formula>AND(IF($Q51=3,1,0),IF($X51&lt;30,1,0))</formula>
    </cfRule>
    <cfRule type="expression" dxfId="2642" priority="776">
      <formula>AND(IF($Q51=3,1,IF($Q51=4,1,0)),IF($F51&lt;=85,1,0))</formula>
    </cfRule>
  </conditionalFormatting>
  <conditionalFormatting sqref="AV52">
    <cfRule type="expression" dxfId="2641" priority="771">
      <formula>AV52="X"</formula>
    </cfRule>
    <cfRule type="expression" dxfId="2640" priority="772">
      <formula>AV52="후보"</formula>
    </cfRule>
  </conditionalFormatting>
  <conditionalFormatting sqref="AC52">
    <cfRule type="cellIs" dxfId="2639" priority="768" operator="greaterThan">
      <formula>0.9</formula>
    </cfRule>
    <cfRule type="cellIs" dxfId="2638" priority="769" operator="greaterThan">
      <formula>0.85</formula>
    </cfRule>
  </conditionalFormatting>
  <conditionalFormatting sqref="N52">
    <cfRule type="cellIs" dxfId="2637" priority="766" operator="greaterThan">
      <formula>0.9</formula>
    </cfRule>
    <cfRule type="cellIs" dxfId="2636" priority="767" operator="greaterThan">
      <formula>0.85</formula>
    </cfRule>
  </conditionalFormatting>
  <conditionalFormatting sqref="E52">
    <cfRule type="expression" dxfId="2635" priority="762">
      <formula>AND(IF(OR($Q52=1,$Q52=2),1,0),IF($X52&lt;=20,1,0))</formula>
    </cfRule>
    <cfRule type="expression" dxfId="2634" priority="763">
      <formula>AND(IF($Q52=2,1,0),IF($X52&lt;30,1,0))</formula>
    </cfRule>
    <cfRule type="expression" dxfId="2633" priority="764">
      <formula>AND(IF($Q52=3,1,0),IF($X52&lt;30,1,0))</formula>
    </cfRule>
    <cfRule type="expression" dxfId="2632" priority="765">
      <formula>AND(IF($Q52=3,1,IF($Q52=4,1,0)),IF($F52&lt;=85,1,0))</formula>
    </cfRule>
  </conditionalFormatting>
  <conditionalFormatting sqref="X52">
    <cfRule type="expression" dxfId="2631" priority="758">
      <formula>AND(IF(OR($Q52=1,$Q52=2),1,0),IF($X52&lt;=20,1,0))</formula>
    </cfRule>
    <cfRule type="expression" dxfId="2630" priority="759">
      <formula>AND(IF($Q52=2,1,0),IF($X52&lt;30,1,0))</formula>
    </cfRule>
    <cfRule type="expression" dxfId="2629" priority="760">
      <formula>AND(IF($Q52=3,1,0),IF($X52&lt;30,1,0))</formula>
    </cfRule>
    <cfRule type="expression" dxfId="2628" priority="761">
      <formula>AND(IF($Q52=3,1,IF($Q52=4,1,0)),IF($F52&lt;=85,1,0))</formula>
    </cfRule>
  </conditionalFormatting>
  <conditionalFormatting sqref="AI52">
    <cfRule type="expression" dxfId="2627" priority="754">
      <formula>AND(IF(OR($Q52=1,$Q52=2),1,0),IF($X52&lt;=20,1,0))</formula>
    </cfRule>
    <cfRule type="expression" dxfId="2626" priority="755">
      <formula>AND(IF($Q52=2,1,0),IF($X52&lt;30,1,0))</formula>
    </cfRule>
    <cfRule type="expression" dxfId="2625" priority="756">
      <formula>AND(IF($Q52=3,1,0),IF($X52&lt;30,1,0))</formula>
    </cfRule>
    <cfRule type="expression" dxfId="2624" priority="757">
      <formula>AND(IF($Q52=3,1,IF($Q52=4,1,0)),IF($F52&lt;=85,1,0))</formula>
    </cfRule>
  </conditionalFormatting>
  <conditionalFormatting sqref="AV53">
    <cfRule type="expression" dxfId="2623" priority="752">
      <formula>AV53="X"</formula>
    </cfRule>
    <cfRule type="expression" dxfId="2622" priority="753">
      <formula>AV53="후보"</formula>
    </cfRule>
  </conditionalFormatting>
  <conditionalFormatting sqref="AC53">
    <cfRule type="cellIs" dxfId="2621" priority="749" operator="greaterThan">
      <formula>0.9</formula>
    </cfRule>
    <cfRule type="cellIs" dxfId="2620" priority="750" operator="greaterThan">
      <formula>0.85</formula>
    </cfRule>
  </conditionalFormatting>
  <conditionalFormatting sqref="N53">
    <cfRule type="cellIs" dxfId="2619" priority="747" operator="greaterThan">
      <formula>0.9</formula>
    </cfRule>
    <cfRule type="cellIs" dxfId="2618" priority="748" operator="greaterThan">
      <formula>0.85</formula>
    </cfRule>
  </conditionalFormatting>
  <conditionalFormatting sqref="E53">
    <cfRule type="expression" dxfId="2617" priority="743">
      <formula>AND(IF(OR($Q53=1,$Q53=2),1,0),IF($X53&lt;=20,1,0))</formula>
    </cfRule>
    <cfRule type="expression" dxfId="2616" priority="744">
      <formula>AND(IF($Q53=2,1,0),IF($X53&lt;30,1,0))</formula>
    </cfRule>
    <cfRule type="expression" dxfId="2615" priority="745">
      <formula>AND(IF($Q53=3,1,0),IF($X53&lt;30,1,0))</formula>
    </cfRule>
    <cfRule type="expression" dxfId="2614" priority="746">
      <formula>AND(IF($Q53=3,1,IF($Q53=4,1,0)),IF($F53&lt;=85,1,0))</formula>
    </cfRule>
  </conditionalFormatting>
  <conditionalFormatting sqref="X53">
    <cfRule type="expression" dxfId="2613" priority="739">
      <formula>AND(IF(OR($Q53=1,$Q53=2),1,0),IF($X53&lt;=20,1,0))</formula>
    </cfRule>
    <cfRule type="expression" dxfId="2612" priority="740">
      <formula>AND(IF($Q53=2,1,0),IF($X53&lt;30,1,0))</formula>
    </cfRule>
    <cfRule type="expression" dxfId="2611" priority="741">
      <formula>AND(IF($Q53=3,1,0),IF($X53&lt;30,1,0))</formula>
    </cfRule>
    <cfRule type="expression" dxfId="2610" priority="742">
      <formula>AND(IF($Q53=3,1,IF($Q53=4,1,0)),IF($F53&lt;=85,1,0))</formula>
    </cfRule>
  </conditionalFormatting>
  <conditionalFormatting sqref="AI53">
    <cfRule type="expression" dxfId="2609" priority="735">
      <formula>AND(IF(OR($Q53=1,$Q53=2),1,0),IF($X53&lt;=20,1,0))</formula>
    </cfRule>
    <cfRule type="expression" dxfId="2608" priority="736">
      <formula>AND(IF($Q53=2,1,0),IF($X53&lt;30,1,0))</formula>
    </cfRule>
    <cfRule type="expression" dxfId="2607" priority="737">
      <formula>AND(IF($Q53=3,1,0),IF($X53&lt;30,1,0))</formula>
    </cfRule>
    <cfRule type="expression" dxfId="2606" priority="738">
      <formula>AND(IF($Q53=3,1,IF($Q53=4,1,0)),IF($F53&lt;=85,1,0))</formula>
    </cfRule>
  </conditionalFormatting>
  <conditionalFormatting sqref="AV54">
    <cfRule type="expression" dxfId="2605" priority="733">
      <formula>AV54="X"</formula>
    </cfRule>
    <cfRule type="expression" dxfId="2604" priority="734">
      <formula>AV54="후보"</formula>
    </cfRule>
  </conditionalFormatting>
  <conditionalFormatting sqref="AC54">
    <cfRule type="cellIs" dxfId="2603" priority="730" operator="greaterThan">
      <formula>0.9</formula>
    </cfRule>
    <cfRule type="cellIs" dxfId="2602" priority="731" operator="greaterThan">
      <formula>0.85</formula>
    </cfRule>
  </conditionalFormatting>
  <conditionalFormatting sqref="N54">
    <cfRule type="cellIs" dxfId="2601" priority="728" operator="greaterThan">
      <formula>0.9</formula>
    </cfRule>
    <cfRule type="cellIs" dxfId="2600" priority="729" operator="greaterThan">
      <formula>0.85</formula>
    </cfRule>
  </conditionalFormatting>
  <conditionalFormatting sqref="E54">
    <cfRule type="expression" dxfId="2599" priority="724">
      <formula>AND(IF(OR($Q54=1,$Q54=2),1,0),IF($X54&lt;=20,1,0))</formula>
    </cfRule>
    <cfRule type="expression" dxfId="2598" priority="725">
      <formula>AND(IF($Q54=2,1,0),IF($X54&lt;30,1,0))</formula>
    </cfRule>
    <cfRule type="expression" dxfId="2597" priority="726">
      <formula>AND(IF($Q54=3,1,0),IF($X54&lt;30,1,0))</formula>
    </cfRule>
    <cfRule type="expression" dxfId="2596" priority="727">
      <formula>AND(IF($Q54=3,1,IF($Q54=4,1,0)),IF($F54&lt;=85,1,0))</formula>
    </cfRule>
  </conditionalFormatting>
  <conditionalFormatting sqref="X54">
    <cfRule type="expression" dxfId="2595" priority="720">
      <formula>AND(IF(OR($Q54=1,$Q54=2),1,0),IF($X54&lt;=20,1,0))</formula>
    </cfRule>
    <cfRule type="expression" dxfId="2594" priority="721">
      <formula>AND(IF($Q54=2,1,0),IF($X54&lt;30,1,0))</formula>
    </cfRule>
    <cfRule type="expression" dxfId="2593" priority="722">
      <formula>AND(IF($Q54=3,1,0),IF($X54&lt;30,1,0))</formula>
    </cfRule>
    <cfRule type="expression" dxfId="2592" priority="723">
      <formula>AND(IF($Q54=3,1,IF($Q54=4,1,0)),IF($F54&lt;=85,1,0))</formula>
    </cfRule>
  </conditionalFormatting>
  <conditionalFormatting sqref="AI54">
    <cfRule type="expression" dxfId="2591" priority="716">
      <formula>AND(IF(OR($Q54=1,$Q54=2),1,0),IF($X54&lt;=20,1,0))</formula>
    </cfRule>
    <cfRule type="expression" dxfId="2590" priority="717">
      <formula>AND(IF($Q54=2,1,0),IF($X54&lt;30,1,0))</formula>
    </cfRule>
    <cfRule type="expression" dxfId="2589" priority="718">
      <formula>AND(IF($Q54=3,1,0),IF($X54&lt;30,1,0))</formula>
    </cfRule>
    <cfRule type="expression" dxfId="2588" priority="719">
      <formula>AND(IF($Q54=3,1,IF($Q54=4,1,0)),IF($F54&lt;=85,1,0))</formula>
    </cfRule>
  </conditionalFormatting>
  <conditionalFormatting sqref="AV55">
    <cfRule type="expression" dxfId="2587" priority="714">
      <formula>AV55="X"</formula>
    </cfRule>
    <cfRule type="expression" dxfId="2586" priority="715">
      <formula>AV55="후보"</formula>
    </cfRule>
  </conditionalFormatting>
  <conditionalFormatting sqref="AC55">
    <cfRule type="cellIs" dxfId="2585" priority="711" operator="greaterThan">
      <formula>0.9</formula>
    </cfRule>
    <cfRule type="cellIs" dxfId="2584" priority="712" operator="greaterThan">
      <formula>0.85</formula>
    </cfRule>
  </conditionalFormatting>
  <conditionalFormatting sqref="N55">
    <cfRule type="cellIs" dxfId="2583" priority="709" operator="greaterThan">
      <formula>0.9</formula>
    </cfRule>
    <cfRule type="cellIs" dxfId="2582" priority="710" operator="greaterThan">
      <formula>0.85</formula>
    </cfRule>
  </conditionalFormatting>
  <conditionalFormatting sqref="E55">
    <cfRule type="expression" dxfId="2581" priority="705">
      <formula>AND(IF(OR($Q55=1,$Q55=2),1,0),IF($X55&lt;=20,1,0))</formula>
    </cfRule>
    <cfRule type="expression" dxfId="2580" priority="706">
      <formula>AND(IF($Q55=2,1,0),IF($X55&lt;30,1,0))</formula>
    </cfRule>
    <cfRule type="expression" dxfId="2579" priority="707">
      <formula>AND(IF($Q55=3,1,0),IF($X55&lt;30,1,0))</formula>
    </cfRule>
    <cfRule type="expression" dxfId="2578" priority="708">
      <formula>AND(IF($Q55=3,1,IF($Q55=4,1,0)),IF($F55&lt;=85,1,0))</formula>
    </cfRule>
  </conditionalFormatting>
  <conditionalFormatting sqref="X55">
    <cfRule type="expression" dxfId="2577" priority="701">
      <formula>AND(IF(OR($Q55=1,$Q55=2),1,0),IF($X55&lt;=20,1,0))</formula>
    </cfRule>
    <cfRule type="expression" dxfId="2576" priority="702">
      <formula>AND(IF($Q55=2,1,0),IF($X55&lt;30,1,0))</formula>
    </cfRule>
    <cfRule type="expression" dxfId="2575" priority="703">
      <formula>AND(IF($Q55=3,1,0),IF($X55&lt;30,1,0))</formula>
    </cfRule>
    <cfRule type="expression" dxfId="2574" priority="704">
      <formula>AND(IF($Q55=3,1,IF($Q55=4,1,0)),IF($F55&lt;=85,1,0))</formula>
    </cfRule>
  </conditionalFormatting>
  <conditionalFormatting sqref="AI55">
    <cfRule type="expression" dxfId="2573" priority="697">
      <formula>AND(IF(OR($Q55=1,$Q55=2),1,0),IF($X55&lt;=20,1,0))</formula>
    </cfRule>
    <cfRule type="expression" dxfId="2572" priority="698">
      <formula>AND(IF($Q55=2,1,0),IF($X55&lt;30,1,0))</formula>
    </cfRule>
    <cfRule type="expression" dxfId="2571" priority="699">
      <formula>AND(IF($Q55=3,1,0),IF($X55&lt;30,1,0))</formula>
    </cfRule>
    <cfRule type="expression" dxfId="2570" priority="700">
      <formula>AND(IF($Q55=3,1,IF($Q55=4,1,0)),IF($F55&lt;=85,1,0))</formula>
    </cfRule>
  </conditionalFormatting>
  <conditionalFormatting sqref="AV56">
    <cfRule type="expression" dxfId="2569" priority="695">
      <formula>AV56="X"</formula>
    </cfRule>
    <cfRule type="expression" dxfId="2568" priority="696">
      <formula>AV56="후보"</formula>
    </cfRule>
  </conditionalFormatting>
  <conditionalFormatting sqref="AC56">
    <cfRule type="cellIs" dxfId="2567" priority="692" operator="greaterThan">
      <formula>0.9</formula>
    </cfRule>
    <cfRule type="cellIs" dxfId="2566" priority="693" operator="greaterThan">
      <formula>0.85</formula>
    </cfRule>
  </conditionalFormatting>
  <conditionalFormatting sqref="N56">
    <cfRule type="cellIs" dxfId="2565" priority="690" operator="greaterThan">
      <formula>0.9</formula>
    </cfRule>
    <cfRule type="cellIs" dxfId="2564" priority="691" operator="greaterThan">
      <formula>0.85</formula>
    </cfRule>
  </conditionalFormatting>
  <conditionalFormatting sqref="E56">
    <cfRule type="expression" dxfId="2563" priority="686">
      <formula>AND(IF(OR($Q56=1,$Q56=2),1,0),IF($X56&lt;=20,1,0))</formula>
    </cfRule>
    <cfRule type="expression" dxfId="2562" priority="687">
      <formula>AND(IF($Q56=2,1,0),IF($X56&lt;30,1,0))</formula>
    </cfRule>
    <cfRule type="expression" dxfId="2561" priority="688">
      <formula>AND(IF($Q56=3,1,0),IF($X56&lt;30,1,0))</formula>
    </cfRule>
    <cfRule type="expression" dxfId="2560" priority="689">
      <formula>AND(IF($Q56=3,1,IF($Q56=4,1,0)),IF($F56&lt;=85,1,0))</formula>
    </cfRule>
  </conditionalFormatting>
  <conditionalFormatting sqref="X56">
    <cfRule type="expression" dxfId="2559" priority="682">
      <formula>AND(IF(OR($Q56=1,$Q56=2),1,0),IF($X56&lt;=20,1,0))</formula>
    </cfRule>
    <cfRule type="expression" dxfId="2558" priority="683">
      <formula>AND(IF($Q56=2,1,0),IF($X56&lt;30,1,0))</formula>
    </cfRule>
    <cfRule type="expression" dxfId="2557" priority="684">
      <formula>AND(IF($Q56=3,1,0),IF($X56&lt;30,1,0))</formula>
    </cfRule>
    <cfRule type="expression" dxfId="2556" priority="685">
      <formula>AND(IF($Q56=3,1,IF($Q56=4,1,0)),IF($F56&lt;=85,1,0))</formula>
    </cfRule>
  </conditionalFormatting>
  <conditionalFormatting sqref="AI56">
    <cfRule type="expression" dxfId="2555" priority="678">
      <formula>AND(IF(OR($Q56=1,$Q56=2),1,0),IF($X56&lt;=20,1,0))</formula>
    </cfRule>
    <cfRule type="expression" dxfId="2554" priority="679">
      <formula>AND(IF($Q56=2,1,0),IF($X56&lt;30,1,0))</formula>
    </cfRule>
    <cfRule type="expression" dxfId="2553" priority="680">
      <formula>AND(IF($Q56=3,1,0),IF($X56&lt;30,1,0))</formula>
    </cfRule>
    <cfRule type="expression" dxfId="2552" priority="681">
      <formula>AND(IF($Q56=3,1,IF($Q56=4,1,0)),IF($F56&lt;=85,1,0))</formula>
    </cfRule>
  </conditionalFormatting>
  <conditionalFormatting sqref="AV57">
    <cfRule type="expression" dxfId="2551" priority="676">
      <formula>AV57="X"</formula>
    </cfRule>
    <cfRule type="expression" dxfId="2550" priority="677">
      <formula>AV57="후보"</formula>
    </cfRule>
  </conditionalFormatting>
  <conditionalFormatting sqref="AC57">
    <cfRule type="cellIs" dxfId="2549" priority="673" operator="greaterThan">
      <formula>0.9</formula>
    </cfRule>
    <cfRule type="cellIs" dxfId="2548" priority="674" operator="greaterThan">
      <formula>0.85</formula>
    </cfRule>
  </conditionalFormatting>
  <conditionalFormatting sqref="N57">
    <cfRule type="cellIs" dxfId="2547" priority="671" operator="greaterThan">
      <formula>0.9</formula>
    </cfRule>
    <cfRule type="cellIs" dxfId="2546" priority="672" operator="greaterThan">
      <formula>0.85</formula>
    </cfRule>
  </conditionalFormatting>
  <conditionalFormatting sqref="E57">
    <cfRule type="expression" dxfId="2545" priority="667">
      <formula>AND(IF(OR($Q57=1,$Q57=2),1,0),IF($X57&lt;=20,1,0))</formula>
    </cfRule>
    <cfRule type="expression" dxfId="2544" priority="668">
      <formula>AND(IF($Q57=2,1,0),IF($X57&lt;30,1,0))</formula>
    </cfRule>
    <cfRule type="expression" dxfId="2543" priority="669">
      <formula>AND(IF($Q57=3,1,0),IF($X57&lt;30,1,0))</formula>
    </cfRule>
    <cfRule type="expression" dxfId="2542" priority="670">
      <formula>AND(IF($Q57=3,1,IF($Q57=4,1,0)),IF($F57&lt;=85,1,0))</formula>
    </cfRule>
  </conditionalFormatting>
  <conditionalFormatting sqref="X57">
    <cfRule type="expression" dxfId="2541" priority="663">
      <formula>AND(IF(OR($Q57=1,$Q57=2),1,0),IF($X57&lt;=20,1,0))</formula>
    </cfRule>
    <cfRule type="expression" dxfId="2540" priority="664">
      <formula>AND(IF($Q57=2,1,0),IF($X57&lt;30,1,0))</formula>
    </cfRule>
    <cfRule type="expression" dxfId="2539" priority="665">
      <formula>AND(IF($Q57=3,1,0),IF($X57&lt;30,1,0))</formula>
    </cfRule>
    <cfRule type="expression" dxfId="2538" priority="666">
      <formula>AND(IF($Q57=3,1,IF($Q57=4,1,0)),IF($F57&lt;=85,1,0))</formula>
    </cfRule>
  </conditionalFormatting>
  <conditionalFormatting sqref="AI57">
    <cfRule type="expression" dxfId="2537" priority="659">
      <formula>AND(IF(OR($Q57=1,$Q57=2),1,0),IF($X57&lt;=20,1,0))</formula>
    </cfRule>
    <cfRule type="expression" dxfId="2536" priority="660">
      <formula>AND(IF($Q57=2,1,0),IF($X57&lt;30,1,0))</formula>
    </cfRule>
    <cfRule type="expression" dxfId="2535" priority="661">
      <formula>AND(IF($Q57=3,1,0),IF($X57&lt;30,1,0))</formula>
    </cfRule>
    <cfRule type="expression" dxfId="2534" priority="662">
      <formula>AND(IF($Q57=3,1,IF($Q57=4,1,0)),IF($F57&lt;=85,1,0))</formula>
    </cfRule>
  </conditionalFormatting>
  <conditionalFormatting sqref="AV58">
    <cfRule type="expression" dxfId="2533" priority="657">
      <formula>AV58="X"</formula>
    </cfRule>
    <cfRule type="expression" dxfId="2532" priority="658">
      <formula>AV58="후보"</formula>
    </cfRule>
  </conditionalFormatting>
  <conditionalFormatting sqref="AC58">
    <cfRule type="cellIs" dxfId="2531" priority="654" operator="greaterThan">
      <formula>0.9</formula>
    </cfRule>
    <cfRule type="cellIs" dxfId="2530" priority="655" operator="greaterThan">
      <formula>0.85</formula>
    </cfRule>
  </conditionalFormatting>
  <conditionalFormatting sqref="N58">
    <cfRule type="cellIs" dxfId="2529" priority="652" operator="greaterThan">
      <formula>0.9</formula>
    </cfRule>
    <cfRule type="cellIs" dxfId="2528" priority="653" operator="greaterThan">
      <formula>0.85</formula>
    </cfRule>
  </conditionalFormatting>
  <conditionalFormatting sqref="E58">
    <cfRule type="expression" dxfId="2527" priority="648">
      <formula>AND(IF(OR($Q58=1,$Q58=2),1,0),IF($X58&lt;=20,1,0))</formula>
    </cfRule>
    <cfRule type="expression" dxfId="2526" priority="649">
      <formula>AND(IF($Q58=2,1,0),IF($X58&lt;30,1,0))</formula>
    </cfRule>
    <cfRule type="expression" dxfId="2525" priority="650">
      <formula>AND(IF($Q58=3,1,0),IF($X58&lt;30,1,0))</formula>
    </cfRule>
    <cfRule type="expression" dxfId="2524" priority="651">
      <formula>AND(IF($Q58=3,1,IF($Q58=4,1,0)),IF($F58&lt;=85,1,0))</formula>
    </cfRule>
  </conditionalFormatting>
  <conditionalFormatting sqref="X58">
    <cfRule type="expression" dxfId="2523" priority="644">
      <formula>AND(IF(OR($Q58=1,$Q58=2),1,0),IF($X58&lt;=20,1,0))</formula>
    </cfRule>
    <cfRule type="expression" dxfId="2522" priority="645">
      <formula>AND(IF($Q58=2,1,0),IF($X58&lt;30,1,0))</formula>
    </cfRule>
    <cfRule type="expression" dxfId="2521" priority="646">
      <formula>AND(IF($Q58=3,1,0),IF($X58&lt;30,1,0))</formula>
    </cfRule>
    <cfRule type="expression" dxfId="2520" priority="647">
      <formula>AND(IF($Q58=3,1,IF($Q58=4,1,0)),IF($F58&lt;=85,1,0))</formula>
    </cfRule>
  </conditionalFormatting>
  <conditionalFormatting sqref="AI58">
    <cfRule type="expression" dxfId="2519" priority="640">
      <formula>AND(IF(OR($Q58=1,$Q58=2),1,0),IF($X58&lt;=20,1,0))</formula>
    </cfRule>
    <cfRule type="expression" dxfId="2518" priority="641">
      <formula>AND(IF($Q58=2,1,0),IF($X58&lt;30,1,0))</formula>
    </cfRule>
    <cfRule type="expression" dxfId="2517" priority="642">
      <formula>AND(IF($Q58=3,1,0),IF($X58&lt;30,1,0))</formula>
    </cfRule>
    <cfRule type="expression" dxfId="2516" priority="643">
      <formula>AND(IF($Q58=3,1,IF($Q58=4,1,0)),IF($F58&lt;=85,1,0))</formula>
    </cfRule>
  </conditionalFormatting>
  <conditionalFormatting sqref="AV59">
    <cfRule type="expression" dxfId="2515" priority="638">
      <formula>AV59="X"</formula>
    </cfRule>
    <cfRule type="expression" dxfId="2514" priority="639">
      <formula>AV59="후보"</formula>
    </cfRule>
  </conditionalFormatting>
  <conditionalFormatting sqref="AC59">
    <cfRule type="cellIs" dxfId="2513" priority="635" operator="greaterThan">
      <formula>0.9</formula>
    </cfRule>
    <cfRule type="cellIs" dxfId="2512" priority="636" operator="greaterThan">
      <formula>0.85</formula>
    </cfRule>
  </conditionalFormatting>
  <conditionalFormatting sqref="N59">
    <cfRule type="cellIs" dxfId="2511" priority="633" operator="greaterThan">
      <formula>0.9</formula>
    </cfRule>
    <cfRule type="cellIs" dxfId="2510" priority="634" operator="greaterThan">
      <formula>0.85</formula>
    </cfRule>
  </conditionalFormatting>
  <conditionalFormatting sqref="E59">
    <cfRule type="expression" dxfId="2509" priority="629">
      <formula>AND(IF(OR($Q59=1,$Q59=2),1,0),IF($X59&lt;=20,1,0))</formula>
    </cfRule>
    <cfRule type="expression" dxfId="2508" priority="630">
      <formula>AND(IF($Q59=2,1,0),IF($X59&lt;30,1,0))</formula>
    </cfRule>
    <cfRule type="expression" dxfId="2507" priority="631">
      <formula>AND(IF($Q59=3,1,0),IF($X59&lt;30,1,0))</formula>
    </cfRule>
    <cfRule type="expression" dxfId="2506" priority="632">
      <formula>AND(IF($Q59=3,1,IF($Q59=4,1,0)),IF($F59&lt;=85,1,0))</formula>
    </cfRule>
  </conditionalFormatting>
  <conditionalFormatting sqref="X59">
    <cfRule type="expression" dxfId="2505" priority="625">
      <formula>AND(IF(OR($Q59=1,$Q59=2),1,0),IF($X59&lt;=20,1,0))</formula>
    </cfRule>
    <cfRule type="expression" dxfId="2504" priority="626">
      <formula>AND(IF($Q59=2,1,0),IF($X59&lt;30,1,0))</formula>
    </cfRule>
    <cfRule type="expression" dxfId="2503" priority="627">
      <formula>AND(IF($Q59=3,1,0),IF($X59&lt;30,1,0))</formula>
    </cfRule>
    <cfRule type="expression" dxfId="2502" priority="628">
      <formula>AND(IF($Q59=3,1,IF($Q59=4,1,0)),IF($F59&lt;=85,1,0))</formula>
    </cfRule>
  </conditionalFormatting>
  <conditionalFormatting sqref="AI59">
    <cfRule type="expression" dxfId="2501" priority="621">
      <formula>AND(IF(OR($Q59=1,$Q59=2),1,0),IF($X59&lt;=20,1,0))</formula>
    </cfRule>
    <cfRule type="expression" dxfId="2500" priority="622">
      <formula>AND(IF($Q59=2,1,0),IF($X59&lt;30,1,0))</formula>
    </cfRule>
    <cfRule type="expression" dxfId="2499" priority="623">
      <formula>AND(IF($Q59=3,1,0),IF($X59&lt;30,1,0))</formula>
    </cfRule>
    <cfRule type="expression" dxfId="2498" priority="624">
      <formula>AND(IF($Q59=3,1,IF($Q59=4,1,0)),IF($F59&lt;=85,1,0))</formula>
    </cfRule>
  </conditionalFormatting>
  <conditionalFormatting sqref="AV60">
    <cfRule type="expression" dxfId="2497" priority="619">
      <formula>AV60="X"</formula>
    </cfRule>
    <cfRule type="expression" dxfId="2496" priority="620">
      <formula>AV60="후보"</formula>
    </cfRule>
  </conditionalFormatting>
  <conditionalFormatting sqref="AC60">
    <cfRule type="cellIs" dxfId="2495" priority="616" operator="greaterThan">
      <formula>0.9</formula>
    </cfRule>
    <cfRule type="cellIs" dxfId="2494" priority="617" operator="greaterThan">
      <formula>0.85</formula>
    </cfRule>
  </conditionalFormatting>
  <conditionalFormatting sqref="N60">
    <cfRule type="cellIs" dxfId="2493" priority="614" operator="greaterThan">
      <formula>0.9</formula>
    </cfRule>
    <cfRule type="cellIs" dxfId="2492" priority="615" operator="greaterThan">
      <formula>0.85</formula>
    </cfRule>
  </conditionalFormatting>
  <conditionalFormatting sqref="E60">
    <cfRule type="expression" dxfId="2491" priority="610">
      <formula>AND(IF(OR($Q60=1,$Q60=2),1,0),IF($X60&lt;=20,1,0))</formula>
    </cfRule>
    <cfRule type="expression" dxfId="2490" priority="611">
      <formula>AND(IF($Q60=2,1,0),IF($X60&lt;30,1,0))</formula>
    </cfRule>
    <cfRule type="expression" dxfId="2489" priority="612">
      <formula>AND(IF($Q60=3,1,0),IF($X60&lt;30,1,0))</formula>
    </cfRule>
    <cfRule type="expression" dxfId="2488" priority="613">
      <formula>AND(IF($Q60=3,1,IF($Q60=4,1,0)),IF($F60&lt;=85,1,0))</formula>
    </cfRule>
  </conditionalFormatting>
  <conditionalFormatting sqref="X60">
    <cfRule type="expression" dxfId="2487" priority="606">
      <formula>AND(IF(OR($Q60=1,$Q60=2),1,0),IF($X60&lt;=20,1,0))</formula>
    </cfRule>
    <cfRule type="expression" dxfId="2486" priority="607">
      <formula>AND(IF($Q60=2,1,0),IF($X60&lt;30,1,0))</formula>
    </cfRule>
    <cfRule type="expression" dxfId="2485" priority="608">
      <formula>AND(IF($Q60=3,1,0),IF($X60&lt;30,1,0))</formula>
    </cfRule>
    <cfRule type="expression" dxfId="2484" priority="609">
      <formula>AND(IF($Q60=3,1,IF($Q60=4,1,0)),IF($F60&lt;=85,1,0))</formula>
    </cfRule>
  </conditionalFormatting>
  <conditionalFormatting sqref="AI60">
    <cfRule type="expression" dxfId="2483" priority="602">
      <formula>AND(IF(OR($Q60=1,$Q60=2),1,0),IF($X60&lt;=20,1,0))</formula>
    </cfRule>
    <cfRule type="expression" dxfId="2482" priority="603">
      <formula>AND(IF($Q60=2,1,0),IF($X60&lt;30,1,0))</formula>
    </cfRule>
    <cfRule type="expression" dxfId="2481" priority="604">
      <formula>AND(IF($Q60=3,1,0),IF($X60&lt;30,1,0))</formula>
    </cfRule>
    <cfRule type="expression" dxfId="2480" priority="605">
      <formula>AND(IF($Q60=3,1,IF($Q60=4,1,0)),IF($F60&lt;=85,1,0))</formula>
    </cfRule>
  </conditionalFormatting>
  <conditionalFormatting sqref="AV61">
    <cfRule type="expression" dxfId="2479" priority="600">
      <formula>AV61="X"</formula>
    </cfRule>
    <cfRule type="expression" dxfId="2478" priority="601">
      <formula>AV61="후보"</formula>
    </cfRule>
  </conditionalFormatting>
  <conditionalFormatting sqref="AC61 N61">
    <cfRule type="cellIs" dxfId="2477" priority="597" operator="greaterThan">
      <formula>0.9</formula>
    </cfRule>
    <cfRule type="cellIs" dxfId="2476" priority="598" operator="greaterThan">
      <formula>0.85</formula>
    </cfRule>
  </conditionalFormatting>
  <conditionalFormatting sqref="AV62">
    <cfRule type="expression" dxfId="2475" priority="595">
      <formula>AV62="X"</formula>
    </cfRule>
    <cfRule type="expression" dxfId="2474" priority="596">
      <formula>AV62="후보"</formula>
    </cfRule>
  </conditionalFormatting>
  <conditionalFormatting sqref="AC62">
    <cfRule type="cellIs" dxfId="2473" priority="592" operator="greaterThan">
      <formula>0.9</formula>
    </cfRule>
    <cfRule type="cellIs" dxfId="2472" priority="593" operator="greaterThan">
      <formula>0.85</formula>
    </cfRule>
  </conditionalFormatting>
  <conditionalFormatting sqref="N62">
    <cfRule type="cellIs" dxfId="2471" priority="590" operator="greaterThan">
      <formula>0.9</formula>
    </cfRule>
    <cfRule type="cellIs" dxfId="2470" priority="591" operator="greaterThan">
      <formula>0.85</formula>
    </cfRule>
  </conditionalFormatting>
  <conditionalFormatting sqref="E62">
    <cfRule type="expression" dxfId="2469" priority="586">
      <formula>AND(IF(OR($Q62=1,$Q62=2),1,0),IF($X62&lt;=20,1,0))</formula>
    </cfRule>
    <cfRule type="expression" dxfId="2468" priority="587">
      <formula>AND(IF($Q62=2,1,0),IF($X62&lt;30,1,0))</formula>
    </cfRule>
    <cfRule type="expression" dxfId="2467" priority="588">
      <formula>AND(IF($Q62=3,1,0),IF($X62&lt;30,1,0))</formula>
    </cfRule>
    <cfRule type="expression" dxfId="2466" priority="589">
      <formula>AND(IF($Q62=3,1,IF($Q62=4,1,0)),IF($F62&lt;=85,1,0))</formula>
    </cfRule>
  </conditionalFormatting>
  <conditionalFormatting sqref="X62">
    <cfRule type="expression" dxfId="2465" priority="582">
      <formula>AND(IF(OR($Q62=1,$Q62=2),1,0),IF($X62&lt;=20,1,0))</formula>
    </cfRule>
    <cfRule type="expression" dxfId="2464" priority="583">
      <formula>AND(IF($Q62=2,1,0),IF($X62&lt;30,1,0))</formula>
    </cfRule>
    <cfRule type="expression" dxfId="2463" priority="584">
      <formula>AND(IF($Q62=3,1,0),IF($X62&lt;30,1,0))</formula>
    </cfRule>
    <cfRule type="expression" dxfId="2462" priority="585">
      <formula>AND(IF($Q62=3,1,IF($Q62=4,1,0)),IF($F62&lt;=85,1,0))</formula>
    </cfRule>
  </conditionalFormatting>
  <conditionalFormatting sqref="AI62">
    <cfRule type="expression" dxfId="2461" priority="578">
      <formula>AND(IF(OR($Q62=1,$Q62=2),1,0),IF($X62&lt;=20,1,0))</formula>
    </cfRule>
    <cfRule type="expression" dxfId="2460" priority="579">
      <formula>AND(IF($Q62=2,1,0),IF($X62&lt;30,1,0))</formula>
    </cfRule>
    <cfRule type="expression" dxfId="2459" priority="580">
      <formula>AND(IF($Q62=3,1,0),IF($X62&lt;30,1,0))</formula>
    </cfRule>
    <cfRule type="expression" dxfId="2458" priority="581">
      <formula>AND(IF($Q62=3,1,IF($Q62=4,1,0)),IF($F62&lt;=85,1,0))</formula>
    </cfRule>
  </conditionalFormatting>
  <conditionalFormatting sqref="AV63">
    <cfRule type="expression" dxfId="2457" priority="576">
      <formula>AV63="X"</formula>
    </cfRule>
    <cfRule type="expression" dxfId="2456" priority="577">
      <formula>AV63="후보"</formula>
    </cfRule>
  </conditionalFormatting>
  <conditionalFormatting sqref="AC63">
    <cfRule type="cellIs" dxfId="2455" priority="573" operator="greaterThan">
      <formula>0.9</formula>
    </cfRule>
    <cfRule type="cellIs" dxfId="2454" priority="574" operator="greaterThan">
      <formula>0.85</formula>
    </cfRule>
  </conditionalFormatting>
  <conditionalFormatting sqref="N63">
    <cfRule type="cellIs" dxfId="2453" priority="571" operator="greaterThan">
      <formula>0.9</formula>
    </cfRule>
    <cfRule type="cellIs" dxfId="2452" priority="572" operator="greaterThan">
      <formula>0.85</formula>
    </cfRule>
  </conditionalFormatting>
  <conditionalFormatting sqref="E63">
    <cfRule type="expression" dxfId="2451" priority="567">
      <formula>AND(IF(OR($Q63=1,$Q63=2),1,0),IF($X63&lt;=20,1,0))</formula>
    </cfRule>
    <cfRule type="expression" dxfId="2450" priority="568">
      <formula>AND(IF($Q63=2,1,0),IF($X63&lt;30,1,0))</formula>
    </cfRule>
    <cfRule type="expression" dxfId="2449" priority="569">
      <formula>AND(IF($Q63=3,1,0),IF($X63&lt;30,1,0))</formula>
    </cfRule>
    <cfRule type="expression" dxfId="2448" priority="570">
      <formula>AND(IF($Q63=3,1,IF($Q63=4,1,0)),IF($F63&lt;=85,1,0))</formula>
    </cfRule>
  </conditionalFormatting>
  <conditionalFormatting sqref="X63">
    <cfRule type="expression" dxfId="2447" priority="563">
      <formula>AND(IF(OR($Q63=1,$Q63=2),1,0),IF($X63&lt;=20,1,0))</formula>
    </cfRule>
    <cfRule type="expression" dxfId="2446" priority="564">
      <formula>AND(IF($Q63=2,1,0),IF($X63&lt;30,1,0))</formula>
    </cfRule>
    <cfRule type="expression" dxfId="2445" priority="565">
      <formula>AND(IF($Q63=3,1,0),IF($X63&lt;30,1,0))</formula>
    </cfRule>
    <cfRule type="expression" dxfId="2444" priority="566">
      <formula>AND(IF($Q63=3,1,IF($Q63=4,1,0)),IF($F63&lt;=85,1,0))</formula>
    </cfRule>
  </conditionalFormatting>
  <conditionalFormatting sqref="AI63">
    <cfRule type="expression" dxfId="2443" priority="559">
      <formula>AND(IF(OR($Q63=1,$Q63=2),1,0),IF($X63&lt;=20,1,0))</formula>
    </cfRule>
    <cfRule type="expression" dxfId="2442" priority="560">
      <formula>AND(IF($Q63=2,1,0),IF($X63&lt;30,1,0))</formula>
    </cfRule>
    <cfRule type="expression" dxfId="2441" priority="561">
      <formula>AND(IF($Q63=3,1,0),IF($X63&lt;30,1,0))</formula>
    </cfRule>
    <cfRule type="expression" dxfId="2440" priority="562">
      <formula>AND(IF($Q63=3,1,IF($Q63=4,1,0)),IF($F63&lt;=85,1,0))</formula>
    </cfRule>
  </conditionalFormatting>
  <conditionalFormatting sqref="AV64">
    <cfRule type="expression" dxfId="2439" priority="557">
      <formula>AV64="X"</formula>
    </cfRule>
    <cfRule type="expression" dxfId="2438" priority="558">
      <formula>AV64="후보"</formula>
    </cfRule>
  </conditionalFormatting>
  <conditionalFormatting sqref="AC64">
    <cfRule type="cellIs" dxfId="2437" priority="554" operator="greaterThan">
      <formula>0.9</formula>
    </cfRule>
    <cfRule type="cellIs" dxfId="2436" priority="555" operator="greaterThan">
      <formula>0.85</formula>
    </cfRule>
  </conditionalFormatting>
  <conditionalFormatting sqref="N64">
    <cfRule type="cellIs" dxfId="2435" priority="552" operator="greaterThan">
      <formula>0.9</formula>
    </cfRule>
    <cfRule type="cellIs" dxfId="2434" priority="553" operator="greaterThan">
      <formula>0.85</formula>
    </cfRule>
  </conditionalFormatting>
  <conditionalFormatting sqref="E64">
    <cfRule type="expression" dxfId="2433" priority="548">
      <formula>AND(IF(OR($Q64=1,$Q64=2),1,0),IF($X64&lt;=20,1,0))</formula>
    </cfRule>
    <cfRule type="expression" dxfId="2432" priority="549">
      <formula>AND(IF($Q64=2,1,0),IF($X64&lt;30,1,0))</formula>
    </cfRule>
    <cfRule type="expression" dxfId="2431" priority="550">
      <formula>AND(IF($Q64=3,1,0),IF($X64&lt;30,1,0))</formula>
    </cfRule>
    <cfRule type="expression" dxfId="2430" priority="551">
      <formula>AND(IF($Q64=3,1,IF($Q64=4,1,0)),IF($F64&lt;=85,1,0))</formula>
    </cfRule>
  </conditionalFormatting>
  <conditionalFormatting sqref="X64">
    <cfRule type="expression" dxfId="2429" priority="544">
      <formula>AND(IF(OR($Q64=1,$Q64=2),1,0),IF($X64&lt;=20,1,0))</formula>
    </cfRule>
    <cfRule type="expression" dxfId="2428" priority="545">
      <formula>AND(IF($Q64=2,1,0),IF($X64&lt;30,1,0))</formula>
    </cfRule>
    <cfRule type="expression" dxfId="2427" priority="546">
      <formula>AND(IF($Q64=3,1,0),IF($X64&lt;30,1,0))</formula>
    </cfRule>
    <cfRule type="expression" dxfId="2426" priority="547">
      <formula>AND(IF($Q64=3,1,IF($Q64=4,1,0)),IF($F64&lt;=85,1,0))</formula>
    </cfRule>
  </conditionalFormatting>
  <conditionalFormatting sqref="AI64">
    <cfRule type="expression" dxfId="2425" priority="540">
      <formula>AND(IF(OR($Q64=1,$Q64=2),1,0),IF($X64&lt;=20,1,0))</formula>
    </cfRule>
    <cfRule type="expression" dxfId="2424" priority="541">
      <formula>AND(IF($Q64=2,1,0),IF($X64&lt;30,1,0))</formula>
    </cfRule>
    <cfRule type="expression" dxfId="2423" priority="542">
      <formula>AND(IF($Q64=3,1,0),IF($X64&lt;30,1,0))</formula>
    </cfRule>
    <cfRule type="expression" dxfId="2422" priority="543">
      <formula>AND(IF($Q64=3,1,IF($Q64=4,1,0)),IF($F64&lt;=85,1,0))</formula>
    </cfRule>
  </conditionalFormatting>
  <conditionalFormatting sqref="AV65">
    <cfRule type="expression" dxfId="2421" priority="538">
      <formula>AV65="X"</formula>
    </cfRule>
    <cfRule type="expression" dxfId="2420" priority="539">
      <formula>AV65="후보"</formula>
    </cfRule>
  </conditionalFormatting>
  <conditionalFormatting sqref="AC65 N65">
    <cfRule type="cellIs" dxfId="2419" priority="535" operator="greaterThan">
      <formula>0.9</formula>
    </cfRule>
    <cfRule type="cellIs" dxfId="2418" priority="536" operator="greaterThan">
      <formula>0.85</formula>
    </cfRule>
  </conditionalFormatting>
  <conditionalFormatting sqref="AV66">
    <cfRule type="expression" dxfId="2417" priority="533">
      <formula>AV66="X"</formula>
    </cfRule>
    <cfRule type="expression" dxfId="2416" priority="534">
      <formula>AV66="후보"</formula>
    </cfRule>
  </conditionalFormatting>
  <conditionalFormatting sqref="AC66">
    <cfRule type="cellIs" dxfId="2415" priority="530" operator="greaterThan">
      <formula>0.9</formula>
    </cfRule>
    <cfRule type="cellIs" dxfId="2414" priority="531" operator="greaterThan">
      <formula>0.85</formula>
    </cfRule>
  </conditionalFormatting>
  <conditionalFormatting sqref="N66">
    <cfRule type="cellIs" dxfId="2413" priority="528" operator="greaterThan">
      <formula>0.9</formula>
    </cfRule>
    <cfRule type="cellIs" dxfId="2412" priority="529" operator="greaterThan">
      <formula>0.85</formula>
    </cfRule>
  </conditionalFormatting>
  <conditionalFormatting sqref="E66">
    <cfRule type="expression" dxfId="2411" priority="524">
      <formula>AND(IF(OR($Q66=1,$Q66=2),1,0),IF($X66&lt;=20,1,0))</formula>
    </cfRule>
    <cfRule type="expression" dxfId="2410" priority="525">
      <formula>AND(IF($Q66=2,1,0),IF($X66&lt;30,1,0))</formula>
    </cfRule>
    <cfRule type="expression" dxfId="2409" priority="526">
      <formula>AND(IF($Q66=3,1,0),IF($X66&lt;30,1,0))</formula>
    </cfRule>
    <cfRule type="expression" dxfId="2408" priority="527">
      <formula>AND(IF($Q66=3,1,IF($Q66=4,1,0)),IF($F66&lt;=85,1,0))</formula>
    </cfRule>
  </conditionalFormatting>
  <conditionalFormatting sqref="X66">
    <cfRule type="expression" dxfId="2407" priority="520">
      <formula>AND(IF(OR($Q66=1,$Q66=2),1,0),IF($X66&lt;=20,1,0))</formula>
    </cfRule>
    <cfRule type="expression" dxfId="2406" priority="521">
      <formula>AND(IF($Q66=2,1,0),IF($X66&lt;30,1,0))</formula>
    </cfRule>
    <cfRule type="expression" dxfId="2405" priority="522">
      <formula>AND(IF($Q66=3,1,0),IF($X66&lt;30,1,0))</formula>
    </cfRule>
    <cfRule type="expression" dxfId="2404" priority="523">
      <formula>AND(IF($Q66=3,1,IF($Q66=4,1,0)),IF($F66&lt;=85,1,0))</formula>
    </cfRule>
  </conditionalFormatting>
  <conditionalFormatting sqref="AI66">
    <cfRule type="expression" dxfId="2403" priority="516">
      <formula>AND(IF(OR($Q66=1,$Q66=2),1,0),IF($X66&lt;=20,1,0))</formula>
    </cfRule>
    <cfRule type="expression" dxfId="2402" priority="517">
      <formula>AND(IF($Q66=2,1,0),IF($X66&lt;30,1,0))</formula>
    </cfRule>
    <cfRule type="expression" dxfId="2401" priority="518">
      <formula>AND(IF($Q66=3,1,0),IF($X66&lt;30,1,0))</formula>
    </cfRule>
    <cfRule type="expression" dxfId="2400" priority="519">
      <formula>AND(IF($Q66=3,1,IF($Q66=4,1,0)),IF($F66&lt;=85,1,0))</formula>
    </cfRule>
  </conditionalFormatting>
  <conditionalFormatting sqref="AV67">
    <cfRule type="expression" dxfId="2399" priority="514">
      <formula>AV67="X"</formula>
    </cfRule>
    <cfRule type="expression" dxfId="2398" priority="515">
      <formula>AV67="후보"</formula>
    </cfRule>
  </conditionalFormatting>
  <conditionalFormatting sqref="AC67">
    <cfRule type="cellIs" dxfId="2397" priority="511" operator="greaterThan">
      <formula>0.9</formula>
    </cfRule>
    <cfRule type="cellIs" dxfId="2396" priority="512" operator="greaterThan">
      <formula>0.85</formula>
    </cfRule>
  </conditionalFormatting>
  <conditionalFormatting sqref="N67">
    <cfRule type="cellIs" dxfId="2395" priority="509" operator="greaterThan">
      <formula>0.9</formula>
    </cfRule>
    <cfRule type="cellIs" dxfId="2394" priority="510" operator="greaterThan">
      <formula>0.85</formula>
    </cfRule>
  </conditionalFormatting>
  <conditionalFormatting sqref="E67">
    <cfRule type="expression" dxfId="2393" priority="505">
      <formula>AND(IF(OR($Q67=1,$Q67=2),1,0),IF($X67&lt;=20,1,0))</formula>
    </cfRule>
    <cfRule type="expression" dxfId="2392" priority="506">
      <formula>AND(IF($Q67=2,1,0),IF($X67&lt;30,1,0))</formula>
    </cfRule>
    <cfRule type="expression" dxfId="2391" priority="507">
      <formula>AND(IF($Q67=3,1,0),IF($X67&lt;30,1,0))</formula>
    </cfRule>
    <cfRule type="expression" dxfId="2390" priority="508">
      <formula>AND(IF($Q67=3,1,IF($Q67=4,1,0)),IF($F67&lt;=85,1,0))</formula>
    </cfRule>
  </conditionalFormatting>
  <conditionalFormatting sqref="X67">
    <cfRule type="expression" dxfId="2389" priority="501">
      <formula>AND(IF(OR($Q67=1,$Q67=2),1,0),IF($X67&lt;=20,1,0))</formula>
    </cfRule>
    <cfRule type="expression" dxfId="2388" priority="502">
      <formula>AND(IF($Q67=2,1,0),IF($X67&lt;30,1,0))</formula>
    </cfRule>
    <cfRule type="expression" dxfId="2387" priority="503">
      <formula>AND(IF($Q67=3,1,0),IF($X67&lt;30,1,0))</formula>
    </cfRule>
    <cfRule type="expression" dxfId="2386" priority="504">
      <formula>AND(IF($Q67=3,1,IF($Q67=4,1,0)),IF($F67&lt;=85,1,0))</formula>
    </cfRule>
  </conditionalFormatting>
  <conditionalFormatting sqref="AI67">
    <cfRule type="expression" dxfId="2385" priority="497">
      <formula>AND(IF(OR($Q67=1,$Q67=2),1,0),IF($X67&lt;=20,1,0))</formula>
    </cfRule>
    <cfRule type="expression" dxfId="2384" priority="498">
      <formula>AND(IF($Q67=2,1,0),IF($X67&lt;30,1,0))</formula>
    </cfRule>
    <cfRule type="expression" dxfId="2383" priority="499">
      <formula>AND(IF($Q67=3,1,0),IF($X67&lt;30,1,0))</formula>
    </cfRule>
    <cfRule type="expression" dxfId="2382" priority="500">
      <formula>AND(IF($Q67=3,1,IF($Q67=4,1,0)),IF($F67&lt;=85,1,0))</formula>
    </cfRule>
  </conditionalFormatting>
  <conditionalFormatting sqref="AV68">
    <cfRule type="expression" dxfId="2381" priority="495">
      <formula>AV68="X"</formula>
    </cfRule>
    <cfRule type="expression" dxfId="2380" priority="496">
      <formula>AV68="후보"</formula>
    </cfRule>
  </conditionalFormatting>
  <conditionalFormatting sqref="AC68 N68">
    <cfRule type="cellIs" dxfId="2379" priority="492" operator="greaterThan">
      <formula>0.9</formula>
    </cfRule>
    <cfRule type="cellIs" dxfId="2378" priority="493" operator="greaterThan">
      <formula>0.85</formula>
    </cfRule>
  </conditionalFormatting>
  <conditionalFormatting sqref="AV69">
    <cfRule type="expression" dxfId="2377" priority="490">
      <formula>AV69="X"</formula>
    </cfRule>
    <cfRule type="expression" dxfId="2376" priority="491">
      <formula>AV69="후보"</formula>
    </cfRule>
  </conditionalFormatting>
  <conditionalFormatting sqref="AC69">
    <cfRule type="cellIs" dxfId="2375" priority="487" operator="greaterThan">
      <formula>0.9</formula>
    </cfRule>
    <cfRule type="cellIs" dxfId="2374" priority="488" operator="greaterThan">
      <formula>0.85</formula>
    </cfRule>
  </conditionalFormatting>
  <conditionalFormatting sqref="N69">
    <cfRule type="cellIs" dxfId="2373" priority="485" operator="greaterThan">
      <formula>0.9</formula>
    </cfRule>
    <cfRule type="cellIs" dxfId="2372" priority="486" operator="greaterThan">
      <formula>0.85</formula>
    </cfRule>
  </conditionalFormatting>
  <conditionalFormatting sqref="E69">
    <cfRule type="expression" dxfId="2371" priority="481">
      <formula>AND(IF(OR($Q69=1,$Q69=2),1,0),IF($X69&lt;=20,1,0))</formula>
    </cfRule>
    <cfRule type="expression" dxfId="2370" priority="482">
      <formula>AND(IF($Q69=2,1,0),IF($X69&lt;30,1,0))</formula>
    </cfRule>
    <cfRule type="expression" dxfId="2369" priority="483">
      <formula>AND(IF($Q69=3,1,0),IF($X69&lt;30,1,0))</formula>
    </cfRule>
    <cfRule type="expression" dxfId="2368" priority="484">
      <formula>AND(IF($Q69=3,1,IF($Q69=4,1,0)),IF($F69&lt;=85,1,0))</formula>
    </cfRule>
  </conditionalFormatting>
  <conditionalFormatting sqref="X69">
    <cfRule type="expression" dxfId="2367" priority="477">
      <formula>AND(IF(OR($Q69=1,$Q69=2),1,0),IF($X69&lt;=20,1,0))</formula>
    </cfRule>
    <cfRule type="expression" dxfId="2366" priority="478">
      <formula>AND(IF($Q69=2,1,0),IF($X69&lt;30,1,0))</formula>
    </cfRule>
    <cfRule type="expression" dxfId="2365" priority="479">
      <formula>AND(IF($Q69=3,1,0),IF($X69&lt;30,1,0))</formula>
    </cfRule>
    <cfRule type="expression" dxfId="2364" priority="480">
      <formula>AND(IF($Q69=3,1,IF($Q69=4,1,0)),IF($F69&lt;=85,1,0))</formula>
    </cfRule>
  </conditionalFormatting>
  <conditionalFormatting sqref="AI69">
    <cfRule type="expression" dxfId="2363" priority="473">
      <formula>AND(IF(OR($Q69=1,$Q69=2),1,0),IF($X69&lt;=20,1,0))</formula>
    </cfRule>
    <cfRule type="expression" dxfId="2362" priority="474">
      <formula>AND(IF($Q69=2,1,0),IF($X69&lt;30,1,0))</formula>
    </cfRule>
    <cfRule type="expression" dxfId="2361" priority="475">
      <formula>AND(IF($Q69=3,1,0),IF($X69&lt;30,1,0))</formula>
    </cfRule>
    <cfRule type="expression" dxfId="2360" priority="476">
      <formula>AND(IF($Q69=3,1,IF($Q69=4,1,0)),IF($F69&lt;=85,1,0))</formula>
    </cfRule>
  </conditionalFormatting>
  <conditionalFormatting sqref="AV70">
    <cfRule type="expression" dxfId="2359" priority="471">
      <formula>AV70="X"</formula>
    </cfRule>
    <cfRule type="expression" dxfId="2358" priority="472">
      <formula>AV70="후보"</formula>
    </cfRule>
  </conditionalFormatting>
  <conditionalFormatting sqref="AC70">
    <cfRule type="cellIs" dxfId="2357" priority="468" operator="greaterThan">
      <formula>0.9</formula>
    </cfRule>
    <cfRule type="cellIs" dxfId="2356" priority="469" operator="greaterThan">
      <formula>0.85</formula>
    </cfRule>
  </conditionalFormatting>
  <conditionalFormatting sqref="N70">
    <cfRule type="cellIs" dxfId="2355" priority="466" operator="greaterThan">
      <formula>0.9</formula>
    </cfRule>
    <cfRule type="cellIs" dxfId="2354" priority="467" operator="greaterThan">
      <formula>0.85</formula>
    </cfRule>
  </conditionalFormatting>
  <conditionalFormatting sqref="E70">
    <cfRule type="expression" dxfId="2353" priority="462">
      <formula>AND(IF(OR($Q70=1,$Q70=2),1,0),IF($X70&lt;=20,1,0))</formula>
    </cfRule>
    <cfRule type="expression" dxfId="2352" priority="463">
      <formula>AND(IF($Q70=2,1,0),IF($X70&lt;30,1,0))</formula>
    </cfRule>
    <cfRule type="expression" dxfId="2351" priority="464">
      <formula>AND(IF($Q70=3,1,0),IF($X70&lt;30,1,0))</formula>
    </cfRule>
    <cfRule type="expression" dxfId="2350" priority="465">
      <formula>AND(IF($Q70=3,1,IF($Q70=4,1,0)),IF($F70&lt;=85,1,0))</formula>
    </cfRule>
  </conditionalFormatting>
  <conditionalFormatting sqref="X70">
    <cfRule type="expression" dxfId="2349" priority="458">
      <formula>AND(IF(OR($Q70=1,$Q70=2),1,0),IF($X70&lt;=20,1,0))</formula>
    </cfRule>
    <cfRule type="expression" dxfId="2348" priority="459">
      <formula>AND(IF($Q70=2,1,0),IF($X70&lt;30,1,0))</formula>
    </cfRule>
    <cfRule type="expression" dxfId="2347" priority="460">
      <formula>AND(IF($Q70=3,1,0),IF($X70&lt;30,1,0))</formula>
    </cfRule>
    <cfRule type="expression" dxfId="2346" priority="461">
      <formula>AND(IF($Q70=3,1,IF($Q70=4,1,0)),IF($F70&lt;=85,1,0))</formula>
    </cfRule>
  </conditionalFormatting>
  <conditionalFormatting sqref="AI70">
    <cfRule type="expression" dxfId="2345" priority="454">
      <formula>AND(IF(OR($Q70=1,$Q70=2),1,0),IF($X70&lt;=20,1,0))</formula>
    </cfRule>
    <cfRule type="expression" dxfId="2344" priority="455">
      <formula>AND(IF($Q70=2,1,0),IF($X70&lt;30,1,0))</formula>
    </cfRule>
    <cfRule type="expression" dxfId="2343" priority="456">
      <formula>AND(IF($Q70=3,1,0),IF($X70&lt;30,1,0))</formula>
    </cfRule>
    <cfRule type="expression" dxfId="2342" priority="457">
      <formula>AND(IF($Q70=3,1,IF($Q70=4,1,0)),IF($F70&lt;=85,1,0))</formula>
    </cfRule>
  </conditionalFormatting>
  <conditionalFormatting sqref="AV71">
    <cfRule type="expression" dxfId="2341" priority="452">
      <formula>AV71="X"</formula>
    </cfRule>
    <cfRule type="expression" dxfId="2340" priority="453">
      <formula>AV71="후보"</formula>
    </cfRule>
  </conditionalFormatting>
  <conditionalFormatting sqref="AC71">
    <cfRule type="cellIs" dxfId="2339" priority="449" operator="greaterThan">
      <formula>0.9</formula>
    </cfRule>
    <cfRule type="cellIs" dxfId="2338" priority="450" operator="greaterThan">
      <formula>0.85</formula>
    </cfRule>
  </conditionalFormatting>
  <conditionalFormatting sqref="N71">
    <cfRule type="cellIs" dxfId="2337" priority="447" operator="greaterThan">
      <formula>0.9</formula>
    </cfRule>
    <cfRule type="cellIs" dxfId="2336" priority="448" operator="greaterThan">
      <formula>0.85</formula>
    </cfRule>
  </conditionalFormatting>
  <conditionalFormatting sqref="E71">
    <cfRule type="expression" dxfId="2335" priority="443">
      <formula>AND(IF(OR($Q71=1,$Q71=2),1,0),IF($X71&lt;=20,1,0))</formula>
    </cfRule>
    <cfRule type="expression" dxfId="2334" priority="444">
      <formula>AND(IF($Q71=2,1,0),IF($X71&lt;30,1,0))</formula>
    </cfRule>
    <cfRule type="expression" dxfId="2333" priority="445">
      <formula>AND(IF($Q71=3,1,0),IF($X71&lt;30,1,0))</formula>
    </cfRule>
    <cfRule type="expression" dxfId="2332" priority="446">
      <formula>AND(IF($Q71=3,1,IF($Q71=4,1,0)),IF($F71&lt;=85,1,0))</formula>
    </cfRule>
  </conditionalFormatting>
  <conditionalFormatting sqref="X71">
    <cfRule type="expression" dxfId="2331" priority="439">
      <formula>AND(IF(OR($Q71=1,$Q71=2),1,0),IF($X71&lt;=20,1,0))</formula>
    </cfRule>
    <cfRule type="expression" dxfId="2330" priority="440">
      <formula>AND(IF($Q71=2,1,0),IF($X71&lt;30,1,0))</formula>
    </cfRule>
    <cfRule type="expression" dxfId="2329" priority="441">
      <formula>AND(IF($Q71=3,1,0),IF($X71&lt;30,1,0))</formula>
    </cfRule>
    <cfRule type="expression" dxfId="2328" priority="442">
      <formula>AND(IF($Q71=3,1,IF($Q71=4,1,0)),IF($F71&lt;=85,1,0))</formula>
    </cfRule>
  </conditionalFormatting>
  <conditionalFormatting sqref="AI71">
    <cfRule type="expression" dxfId="2327" priority="435">
      <formula>AND(IF(OR($Q71=1,$Q71=2),1,0),IF($X71&lt;=20,1,0))</formula>
    </cfRule>
    <cfRule type="expression" dxfId="2326" priority="436">
      <formula>AND(IF($Q71=2,1,0),IF($X71&lt;30,1,0))</formula>
    </cfRule>
    <cfRule type="expression" dxfId="2325" priority="437">
      <formula>AND(IF($Q71=3,1,0),IF($X71&lt;30,1,0))</formula>
    </cfRule>
    <cfRule type="expression" dxfId="2324" priority="438">
      <formula>AND(IF($Q71=3,1,IF($Q71=4,1,0)),IF($F71&lt;=85,1,0))</formula>
    </cfRule>
  </conditionalFormatting>
  <conditionalFormatting sqref="AV72">
    <cfRule type="expression" dxfId="2323" priority="433">
      <formula>AV72="X"</formula>
    </cfRule>
    <cfRule type="expression" dxfId="2322" priority="434">
      <formula>AV72="후보"</formula>
    </cfRule>
  </conditionalFormatting>
  <conditionalFormatting sqref="AC72">
    <cfRule type="cellIs" dxfId="2321" priority="430" operator="greaterThan">
      <formula>0.9</formula>
    </cfRule>
    <cfRule type="cellIs" dxfId="2320" priority="431" operator="greaterThan">
      <formula>0.85</formula>
    </cfRule>
  </conditionalFormatting>
  <conditionalFormatting sqref="N72">
    <cfRule type="cellIs" dxfId="2319" priority="428" operator="greaterThan">
      <formula>0.9</formula>
    </cfRule>
    <cfRule type="cellIs" dxfId="2318" priority="429" operator="greaterThan">
      <formula>0.85</formula>
    </cfRule>
  </conditionalFormatting>
  <conditionalFormatting sqref="E72">
    <cfRule type="expression" dxfId="2317" priority="424">
      <formula>AND(IF(OR($Q72=1,$Q72=2),1,0),IF($X72&lt;=20,1,0))</formula>
    </cfRule>
    <cfRule type="expression" dxfId="2316" priority="425">
      <formula>AND(IF($Q72=2,1,0),IF($X72&lt;30,1,0))</formula>
    </cfRule>
    <cfRule type="expression" dxfId="2315" priority="426">
      <formula>AND(IF($Q72=3,1,0),IF($X72&lt;30,1,0))</formula>
    </cfRule>
    <cfRule type="expression" dxfId="2314" priority="427">
      <formula>AND(IF($Q72=3,1,IF($Q72=4,1,0)),IF($F72&lt;=85,1,0))</formula>
    </cfRule>
  </conditionalFormatting>
  <conditionalFormatting sqref="X72">
    <cfRule type="expression" dxfId="2313" priority="420">
      <formula>AND(IF(OR($Q72=1,$Q72=2),1,0),IF($X72&lt;=20,1,0))</formula>
    </cfRule>
    <cfRule type="expression" dxfId="2312" priority="421">
      <formula>AND(IF($Q72=2,1,0),IF($X72&lt;30,1,0))</formula>
    </cfRule>
    <cfRule type="expression" dxfId="2311" priority="422">
      <formula>AND(IF($Q72=3,1,0),IF($X72&lt;30,1,0))</formula>
    </cfRule>
    <cfRule type="expression" dxfId="2310" priority="423">
      <formula>AND(IF($Q72=3,1,IF($Q72=4,1,0)),IF($F72&lt;=85,1,0))</formula>
    </cfRule>
  </conditionalFormatting>
  <conditionalFormatting sqref="AI72">
    <cfRule type="expression" dxfId="2309" priority="416">
      <formula>AND(IF(OR($Q72=1,$Q72=2),1,0),IF($X72&lt;=20,1,0))</formula>
    </cfRule>
    <cfRule type="expression" dxfId="2308" priority="417">
      <formula>AND(IF($Q72=2,1,0),IF($X72&lt;30,1,0))</formula>
    </cfRule>
    <cfRule type="expression" dxfId="2307" priority="418">
      <formula>AND(IF($Q72=3,1,0),IF($X72&lt;30,1,0))</formula>
    </cfRule>
    <cfRule type="expression" dxfId="2306" priority="419">
      <formula>AND(IF($Q72=3,1,IF($Q72=4,1,0)),IF($F72&lt;=85,1,0))</formula>
    </cfRule>
  </conditionalFormatting>
  <conditionalFormatting sqref="AV73">
    <cfRule type="expression" dxfId="2305" priority="414">
      <formula>AV73="X"</formula>
    </cfRule>
    <cfRule type="expression" dxfId="2304" priority="415">
      <formula>AV73="후보"</formula>
    </cfRule>
  </conditionalFormatting>
  <conditionalFormatting sqref="AC73">
    <cfRule type="cellIs" dxfId="2303" priority="411" operator="greaterThan">
      <formula>0.9</formula>
    </cfRule>
    <cfRule type="cellIs" dxfId="2302" priority="412" operator="greaterThan">
      <formula>0.85</formula>
    </cfRule>
  </conditionalFormatting>
  <conditionalFormatting sqref="N73">
    <cfRule type="cellIs" dxfId="2301" priority="409" operator="greaterThan">
      <formula>0.9</formula>
    </cfRule>
    <cfRule type="cellIs" dxfId="2300" priority="410" operator="greaterThan">
      <formula>0.85</formula>
    </cfRule>
  </conditionalFormatting>
  <conditionalFormatting sqref="E73">
    <cfRule type="expression" dxfId="2299" priority="405">
      <formula>AND(IF(OR($Q73=1,$Q73=2),1,0),IF($X73&lt;=20,1,0))</formula>
    </cfRule>
    <cfRule type="expression" dxfId="2298" priority="406">
      <formula>AND(IF($Q73=2,1,0),IF($X73&lt;30,1,0))</formula>
    </cfRule>
    <cfRule type="expression" dxfId="2297" priority="407">
      <formula>AND(IF($Q73=3,1,0),IF($X73&lt;30,1,0))</formula>
    </cfRule>
    <cfRule type="expression" dxfId="2296" priority="408">
      <formula>AND(IF($Q73=3,1,IF($Q73=4,1,0)),IF($F73&lt;=85,1,0))</formula>
    </cfRule>
  </conditionalFormatting>
  <conditionalFormatting sqref="X73">
    <cfRule type="expression" dxfId="2295" priority="401">
      <formula>AND(IF(OR($Q73=1,$Q73=2),1,0),IF($X73&lt;=20,1,0))</formula>
    </cfRule>
    <cfRule type="expression" dxfId="2294" priority="402">
      <formula>AND(IF($Q73=2,1,0),IF($X73&lt;30,1,0))</formula>
    </cfRule>
    <cfRule type="expression" dxfId="2293" priority="403">
      <formula>AND(IF($Q73=3,1,0),IF($X73&lt;30,1,0))</formula>
    </cfRule>
    <cfRule type="expression" dxfId="2292" priority="404">
      <formula>AND(IF($Q73=3,1,IF($Q73=4,1,0)),IF($F73&lt;=85,1,0))</formula>
    </cfRule>
  </conditionalFormatting>
  <conditionalFormatting sqref="AI73">
    <cfRule type="expression" dxfId="2291" priority="397">
      <formula>AND(IF(OR($Q73=1,$Q73=2),1,0),IF($X73&lt;=20,1,0))</formula>
    </cfRule>
    <cfRule type="expression" dxfId="2290" priority="398">
      <formula>AND(IF($Q73=2,1,0),IF($X73&lt;30,1,0))</formula>
    </cfRule>
    <cfRule type="expression" dxfId="2289" priority="399">
      <formula>AND(IF($Q73=3,1,0),IF($X73&lt;30,1,0))</formula>
    </cfRule>
    <cfRule type="expression" dxfId="2288" priority="400">
      <formula>AND(IF($Q73=3,1,IF($Q73=4,1,0)),IF($F73&lt;=85,1,0))</formula>
    </cfRule>
  </conditionalFormatting>
  <conditionalFormatting sqref="AV74">
    <cfRule type="expression" dxfId="2287" priority="395">
      <formula>AV74="X"</formula>
    </cfRule>
    <cfRule type="expression" dxfId="2286" priority="396">
      <formula>AV74="후보"</formula>
    </cfRule>
  </conditionalFormatting>
  <conditionalFormatting sqref="AC74">
    <cfRule type="cellIs" dxfId="2285" priority="392" operator="greaterThan">
      <formula>0.9</formula>
    </cfRule>
    <cfRule type="cellIs" dxfId="2284" priority="393" operator="greaterThan">
      <formula>0.85</formula>
    </cfRule>
  </conditionalFormatting>
  <conditionalFormatting sqref="N74">
    <cfRule type="cellIs" dxfId="2283" priority="390" operator="greaterThan">
      <formula>0.9</formula>
    </cfRule>
    <cfRule type="cellIs" dxfId="2282" priority="391" operator="greaterThan">
      <formula>0.85</formula>
    </cfRule>
  </conditionalFormatting>
  <conditionalFormatting sqref="E74">
    <cfRule type="expression" dxfId="2281" priority="386">
      <formula>AND(IF(OR($Q74=1,$Q74=2),1,0),IF($X74&lt;=20,1,0))</formula>
    </cfRule>
    <cfRule type="expression" dxfId="2280" priority="387">
      <formula>AND(IF($Q74=2,1,0),IF($X74&lt;30,1,0))</formula>
    </cfRule>
    <cfRule type="expression" dxfId="2279" priority="388">
      <formula>AND(IF($Q74=3,1,0),IF($X74&lt;30,1,0))</formula>
    </cfRule>
    <cfRule type="expression" dxfId="2278" priority="389">
      <formula>AND(IF($Q74=3,1,IF($Q74=4,1,0)),IF($F74&lt;=85,1,0))</formula>
    </cfRule>
  </conditionalFormatting>
  <conditionalFormatting sqref="X74">
    <cfRule type="expression" dxfId="2277" priority="382">
      <formula>AND(IF(OR($Q74=1,$Q74=2),1,0),IF($X74&lt;=20,1,0))</formula>
    </cfRule>
    <cfRule type="expression" dxfId="2276" priority="383">
      <formula>AND(IF($Q74=2,1,0),IF($X74&lt;30,1,0))</formula>
    </cfRule>
    <cfRule type="expression" dxfId="2275" priority="384">
      <formula>AND(IF($Q74=3,1,0),IF($X74&lt;30,1,0))</formula>
    </cfRule>
    <cfRule type="expression" dxfId="2274" priority="385">
      <formula>AND(IF($Q74=3,1,IF($Q74=4,1,0)),IF($F74&lt;=85,1,0))</formula>
    </cfRule>
  </conditionalFormatting>
  <conditionalFormatting sqref="AI74">
    <cfRule type="expression" dxfId="2273" priority="378">
      <formula>AND(IF(OR($Q74=1,$Q74=2),1,0),IF($X74&lt;=20,1,0))</formula>
    </cfRule>
    <cfRule type="expression" dxfId="2272" priority="379">
      <formula>AND(IF($Q74=2,1,0),IF($X74&lt;30,1,0))</formula>
    </cfRule>
    <cfRule type="expression" dxfId="2271" priority="380">
      <formula>AND(IF($Q74=3,1,0),IF($X74&lt;30,1,0))</formula>
    </cfRule>
    <cfRule type="expression" dxfId="2270" priority="381">
      <formula>AND(IF($Q74=3,1,IF($Q74=4,1,0)),IF($F74&lt;=85,1,0))</formula>
    </cfRule>
  </conditionalFormatting>
  <conditionalFormatting sqref="AV75">
    <cfRule type="expression" dxfId="2269" priority="376">
      <formula>AV75="X"</formula>
    </cfRule>
    <cfRule type="expression" dxfId="2268" priority="377">
      <formula>AV75="후보"</formula>
    </cfRule>
  </conditionalFormatting>
  <conditionalFormatting sqref="AC75">
    <cfRule type="cellIs" dxfId="2267" priority="373" operator="greaterThan">
      <formula>0.9</formula>
    </cfRule>
    <cfRule type="cellIs" dxfId="2266" priority="374" operator="greaterThan">
      <formula>0.85</formula>
    </cfRule>
  </conditionalFormatting>
  <conditionalFormatting sqref="N75">
    <cfRule type="cellIs" dxfId="2265" priority="371" operator="greaterThan">
      <formula>0.9</formula>
    </cfRule>
    <cfRule type="cellIs" dxfId="2264" priority="372" operator="greaterThan">
      <formula>0.85</formula>
    </cfRule>
  </conditionalFormatting>
  <conditionalFormatting sqref="E75">
    <cfRule type="expression" dxfId="2263" priority="367">
      <formula>AND(IF(OR($Q75=1,$Q75=2),1,0),IF($X75&lt;=20,1,0))</formula>
    </cfRule>
    <cfRule type="expression" dxfId="2262" priority="368">
      <formula>AND(IF($Q75=2,1,0),IF($X75&lt;30,1,0))</formula>
    </cfRule>
    <cfRule type="expression" dxfId="2261" priority="369">
      <formula>AND(IF($Q75=3,1,0),IF($X75&lt;30,1,0))</formula>
    </cfRule>
    <cfRule type="expression" dxfId="2260" priority="370">
      <formula>AND(IF($Q75=3,1,IF($Q75=4,1,0)),IF($F75&lt;=85,1,0))</formula>
    </cfRule>
  </conditionalFormatting>
  <conditionalFormatting sqref="X75">
    <cfRule type="expression" dxfId="2259" priority="363">
      <formula>AND(IF(OR($Q75=1,$Q75=2),1,0),IF($X75&lt;=20,1,0))</formula>
    </cfRule>
    <cfRule type="expression" dxfId="2258" priority="364">
      <formula>AND(IF($Q75=2,1,0),IF($X75&lt;30,1,0))</formula>
    </cfRule>
    <cfRule type="expression" dxfId="2257" priority="365">
      <formula>AND(IF($Q75=3,1,0),IF($X75&lt;30,1,0))</formula>
    </cfRule>
    <cfRule type="expression" dxfId="2256" priority="366">
      <formula>AND(IF($Q75=3,1,IF($Q75=4,1,0)),IF($F75&lt;=85,1,0))</formula>
    </cfRule>
  </conditionalFormatting>
  <conditionalFormatting sqref="AI75">
    <cfRule type="expression" dxfId="2255" priority="359">
      <formula>AND(IF(OR($Q75=1,$Q75=2),1,0),IF($X75&lt;=20,1,0))</formula>
    </cfRule>
    <cfRule type="expression" dxfId="2254" priority="360">
      <formula>AND(IF($Q75=2,1,0),IF($X75&lt;30,1,0))</formula>
    </cfRule>
    <cfRule type="expression" dxfId="2253" priority="361">
      <formula>AND(IF($Q75=3,1,0),IF($X75&lt;30,1,0))</formula>
    </cfRule>
    <cfRule type="expression" dxfId="2252" priority="362">
      <formula>AND(IF($Q75=3,1,IF($Q75=4,1,0)),IF($F75&lt;=85,1,0))</formula>
    </cfRule>
  </conditionalFormatting>
  <conditionalFormatting sqref="AV76">
    <cfRule type="expression" dxfId="2251" priority="357">
      <formula>AV76="X"</formula>
    </cfRule>
    <cfRule type="expression" dxfId="2250" priority="358">
      <formula>AV76="후보"</formula>
    </cfRule>
  </conditionalFormatting>
  <conditionalFormatting sqref="AC76">
    <cfRule type="cellIs" dxfId="2249" priority="354" operator="greaterThan">
      <formula>0.9</formula>
    </cfRule>
    <cfRule type="cellIs" dxfId="2248" priority="355" operator="greaterThan">
      <formula>0.85</formula>
    </cfRule>
  </conditionalFormatting>
  <conditionalFormatting sqref="N76">
    <cfRule type="cellIs" dxfId="2247" priority="352" operator="greaterThan">
      <formula>0.9</formula>
    </cfRule>
    <cfRule type="cellIs" dxfId="2246" priority="353" operator="greaterThan">
      <formula>0.85</formula>
    </cfRule>
  </conditionalFormatting>
  <conditionalFormatting sqref="E76">
    <cfRule type="expression" dxfId="2245" priority="348">
      <formula>AND(IF(OR($Q76=1,$Q76=2),1,0),IF($X76&lt;=20,1,0))</formula>
    </cfRule>
    <cfRule type="expression" dxfId="2244" priority="349">
      <formula>AND(IF($Q76=2,1,0),IF($X76&lt;30,1,0))</formula>
    </cfRule>
    <cfRule type="expression" dxfId="2243" priority="350">
      <formula>AND(IF($Q76=3,1,0),IF($X76&lt;30,1,0))</formula>
    </cfRule>
    <cfRule type="expression" dxfId="2242" priority="351">
      <formula>AND(IF($Q76=3,1,IF($Q76=4,1,0)),IF($F76&lt;=85,1,0))</formula>
    </cfRule>
  </conditionalFormatting>
  <conditionalFormatting sqref="X76">
    <cfRule type="expression" dxfId="2241" priority="344">
      <formula>AND(IF(OR($Q76=1,$Q76=2),1,0),IF($X76&lt;=20,1,0))</formula>
    </cfRule>
    <cfRule type="expression" dxfId="2240" priority="345">
      <formula>AND(IF($Q76=2,1,0),IF($X76&lt;30,1,0))</formula>
    </cfRule>
    <cfRule type="expression" dxfId="2239" priority="346">
      <formula>AND(IF($Q76=3,1,0),IF($X76&lt;30,1,0))</formula>
    </cfRule>
    <cfRule type="expression" dxfId="2238" priority="347">
      <formula>AND(IF($Q76=3,1,IF($Q76=4,1,0)),IF($F76&lt;=85,1,0))</formula>
    </cfRule>
  </conditionalFormatting>
  <conditionalFormatting sqref="AI76">
    <cfRule type="expression" dxfId="2237" priority="340">
      <formula>AND(IF(OR($Q76=1,$Q76=2),1,0),IF($X76&lt;=20,1,0))</formula>
    </cfRule>
    <cfRule type="expression" dxfId="2236" priority="341">
      <formula>AND(IF($Q76=2,1,0),IF($X76&lt;30,1,0))</formula>
    </cfRule>
    <cfRule type="expression" dxfId="2235" priority="342">
      <formula>AND(IF($Q76=3,1,0),IF($X76&lt;30,1,0))</formula>
    </cfRule>
    <cfRule type="expression" dxfId="2234" priority="343">
      <formula>AND(IF($Q76=3,1,IF($Q76=4,1,0)),IF($F76&lt;=85,1,0))</formula>
    </cfRule>
  </conditionalFormatting>
  <conditionalFormatting sqref="AV77">
    <cfRule type="expression" dxfId="2233" priority="338">
      <formula>AV77="X"</formula>
    </cfRule>
    <cfRule type="expression" dxfId="2232" priority="339">
      <formula>AV77="후보"</formula>
    </cfRule>
  </conditionalFormatting>
  <conditionalFormatting sqref="AC77 N77">
    <cfRule type="cellIs" dxfId="2231" priority="335" operator="greaterThan">
      <formula>0.9</formula>
    </cfRule>
    <cfRule type="cellIs" dxfId="2230" priority="336" operator="greaterThan">
      <formula>0.85</formula>
    </cfRule>
  </conditionalFormatting>
  <conditionalFormatting sqref="AV78">
    <cfRule type="expression" dxfId="2229" priority="333">
      <formula>AV78="X"</formula>
    </cfRule>
    <cfRule type="expression" dxfId="2228" priority="334">
      <formula>AV78="후보"</formula>
    </cfRule>
  </conditionalFormatting>
  <conditionalFormatting sqref="AC78">
    <cfRule type="cellIs" dxfId="2227" priority="330" operator="greaterThan">
      <formula>0.9</formula>
    </cfRule>
    <cfRule type="cellIs" dxfId="2226" priority="331" operator="greaterThan">
      <formula>0.85</formula>
    </cfRule>
  </conditionalFormatting>
  <conditionalFormatting sqref="N78">
    <cfRule type="cellIs" dxfId="2225" priority="328" operator="greaterThan">
      <formula>0.9</formula>
    </cfRule>
    <cfRule type="cellIs" dxfId="2224" priority="329" operator="greaterThan">
      <formula>0.85</formula>
    </cfRule>
  </conditionalFormatting>
  <conditionalFormatting sqref="E78">
    <cfRule type="expression" dxfId="2223" priority="324">
      <formula>AND(IF(OR($Q78=1,$Q78=2),1,0),IF($X78&lt;=20,1,0))</formula>
    </cfRule>
    <cfRule type="expression" dxfId="2222" priority="325">
      <formula>AND(IF($Q78=2,1,0),IF($X78&lt;30,1,0))</formula>
    </cfRule>
    <cfRule type="expression" dxfId="2221" priority="326">
      <formula>AND(IF($Q78=3,1,0),IF($X78&lt;30,1,0))</formula>
    </cfRule>
    <cfRule type="expression" dxfId="2220" priority="327">
      <formula>AND(IF($Q78=3,1,IF($Q78=4,1,0)),IF($F78&lt;=85,1,0))</formula>
    </cfRule>
  </conditionalFormatting>
  <conditionalFormatting sqref="X78">
    <cfRule type="expression" dxfId="2219" priority="320">
      <formula>AND(IF(OR($Q78=1,$Q78=2),1,0),IF($X78&lt;=20,1,0))</formula>
    </cfRule>
    <cfRule type="expression" dxfId="2218" priority="321">
      <formula>AND(IF($Q78=2,1,0),IF($X78&lt;30,1,0))</formula>
    </cfRule>
    <cfRule type="expression" dxfId="2217" priority="322">
      <formula>AND(IF($Q78=3,1,0),IF($X78&lt;30,1,0))</formula>
    </cfRule>
    <cfRule type="expression" dxfId="2216" priority="323">
      <formula>AND(IF($Q78=3,1,IF($Q78=4,1,0)),IF($F78&lt;=85,1,0))</formula>
    </cfRule>
  </conditionalFormatting>
  <conditionalFormatting sqref="AI78">
    <cfRule type="expression" dxfId="2215" priority="316">
      <formula>AND(IF(OR($Q78=1,$Q78=2),1,0),IF($X78&lt;=20,1,0))</formula>
    </cfRule>
    <cfRule type="expression" dxfId="2214" priority="317">
      <formula>AND(IF($Q78=2,1,0),IF($X78&lt;30,1,0))</formula>
    </cfRule>
    <cfRule type="expression" dxfId="2213" priority="318">
      <formula>AND(IF($Q78=3,1,0),IF($X78&lt;30,1,0))</formula>
    </cfRule>
    <cfRule type="expression" dxfId="2212" priority="319">
      <formula>AND(IF($Q78=3,1,IF($Q78=4,1,0)),IF($F78&lt;=85,1,0))</formula>
    </cfRule>
  </conditionalFormatting>
  <conditionalFormatting sqref="AV79">
    <cfRule type="expression" dxfId="2211" priority="314">
      <formula>AV79="X"</formula>
    </cfRule>
    <cfRule type="expression" dxfId="2210" priority="315">
      <formula>AV79="후보"</formula>
    </cfRule>
  </conditionalFormatting>
  <conditionalFormatting sqref="AC79">
    <cfRule type="cellIs" dxfId="2209" priority="311" operator="greaterThan">
      <formula>0.9</formula>
    </cfRule>
    <cfRule type="cellIs" dxfId="2208" priority="312" operator="greaterThan">
      <formula>0.85</formula>
    </cfRule>
  </conditionalFormatting>
  <conditionalFormatting sqref="N79">
    <cfRule type="cellIs" dxfId="2207" priority="309" operator="greaterThan">
      <formula>0.9</formula>
    </cfRule>
    <cfRule type="cellIs" dxfId="2206" priority="310" operator="greaterThan">
      <formula>0.85</formula>
    </cfRule>
  </conditionalFormatting>
  <conditionalFormatting sqref="E79">
    <cfRule type="expression" dxfId="2205" priority="305">
      <formula>AND(IF(OR($Q79=1,$Q79=2),1,0),IF($X79&lt;=20,1,0))</formula>
    </cfRule>
    <cfRule type="expression" dxfId="2204" priority="306">
      <formula>AND(IF($Q79=2,1,0),IF($X79&lt;30,1,0))</formula>
    </cfRule>
    <cfRule type="expression" dxfId="2203" priority="307">
      <formula>AND(IF($Q79=3,1,0),IF($X79&lt;30,1,0))</formula>
    </cfRule>
    <cfRule type="expression" dxfId="2202" priority="308">
      <formula>AND(IF($Q79=3,1,IF($Q79=4,1,0)),IF($F79&lt;=85,1,0))</formula>
    </cfRule>
  </conditionalFormatting>
  <conditionalFormatting sqref="X79">
    <cfRule type="expression" dxfId="2201" priority="301">
      <formula>AND(IF(OR($Q79=1,$Q79=2),1,0),IF($X79&lt;=20,1,0))</formula>
    </cfRule>
    <cfRule type="expression" dxfId="2200" priority="302">
      <formula>AND(IF($Q79=2,1,0),IF($X79&lt;30,1,0))</formula>
    </cfRule>
    <cfRule type="expression" dxfId="2199" priority="303">
      <formula>AND(IF($Q79=3,1,0),IF($X79&lt;30,1,0))</formula>
    </cfRule>
    <cfRule type="expression" dxfId="2198" priority="304">
      <formula>AND(IF($Q79=3,1,IF($Q79=4,1,0)),IF($F79&lt;=85,1,0))</formula>
    </cfRule>
  </conditionalFormatting>
  <conditionalFormatting sqref="AI79">
    <cfRule type="expression" dxfId="2197" priority="297">
      <formula>AND(IF(OR($Q79=1,$Q79=2),1,0),IF($X79&lt;=20,1,0))</formula>
    </cfRule>
    <cfRule type="expression" dxfId="2196" priority="298">
      <formula>AND(IF($Q79=2,1,0),IF($X79&lt;30,1,0))</formula>
    </cfRule>
    <cfRule type="expression" dxfId="2195" priority="299">
      <formula>AND(IF($Q79=3,1,0),IF($X79&lt;30,1,0))</formula>
    </cfRule>
    <cfRule type="expression" dxfId="2194" priority="300">
      <formula>AND(IF($Q79=3,1,IF($Q79=4,1,0)),IF($F79&lt;=85,1,0))</formula>
    </cfRule>
  </conditionalFormatting>
  <conditionalFormatting sqref="AV80">
    <cfRule type="expression" dxfId="2193" priority="295">
      <formula>AV80="X"</formula>
    </cfRule>
    <cfRule type="expression" dxfId="2192" priority="296">
      <formula>AV80="후보"</formula>
    </cfRule>
  </conditionalFormatting>
  <conditionalFormatting sqref="AC80 N80">
    <cfRule type="cellIs" dxfId="2191" priority="292" operator="greaterThan">
      <formula>0.9</formula>
    </cfRule>
    <cfRule type="cellIs" dxfId="2190" priority="293" operator="greaterThan">
      <formula>0.85</formula>
    </cfRule>
  </conditionalFormatting>
  <conditionalFormatting sqref="AV81">
    <cfRule type="expression" dxfId="2189" priority="290">
      <formula>AV81="X"</formula>
    </cfRule>
    <cfRule type="expression" dxfId="2188" priority="291">
      <formula>AV81="후보"</formula>
    </cfRule>
  </conditionalFormatting>
  <conditionalFormatting sqref="AC81">
    <cfRule type="cellIs" dxfId="2187" priority="287" operator="greaterThan">
      <formula>0.9</formula>
    </cfRule>
    <cfRule type="cellIs" dxfId="2186" priority="288" operator="greaterThan">
      <formula>0.85</formula>
    </cfRule>
  </conditionalFormatting>
  <conditionalFormatting sqref="N81">
    <cfRule type="cellIs" dxfId="2185" priority="285" operator="greaterThan">
      <formula>0.9</formula>
    </cfRule>
    <cfRule type="cellIs" dxfId="2184" priority="286" operator="greaterThan">
      <formula>0.85</formula>
    </cfRule>
  </conditionalFormatting>
  <conditionalFormatting sqref="E81">
    <cfRule type="expression" dxfId="2183" priority="281">
      <formula>AND(IF(OR($Q81=1,$Q81=2),1,0),IF($X81&lt;=20,1,0))</formula>
    </cfRule>
    <cfRule type="expression" dxfId="2182" priority="282">
      <formula>AND(IF($Q81=2,1,0),IF($X81&lt;30,1,0))</formula>
    </cfRule>
    <cfRule type="expression" dxfId="2181" priority="283">
      <formula>AND(IF($Q81=3,1,0),IF($X81&lt;30,1,0))</formula>
    </cfRule>
    <cfRule type="expression" dxfId="2180" priority="284">
      <formula>AND(IF($Q81=3,1,IF($Q81=4,1,0)),IF($F81&lt;=85,1,0))</formula>
    </cfRule>
  </conditionalFormatting>
  <conditionalFormatting sqref="X81">
    <cfRule type="expression" dxfId="2179" priority="277">
      <formula>AND(IF(OR($Q81=1,$Q81=2),1,0),IF($X81&lt;=20,1,0))</formula>
    </cfRule>
    <cfRule type="expression" dxfId="2178" priority="278">
      <formula>AND(IF($Q81=2,1,0),IF($X81&lt;30,1,0))</formula>
    </cfRule>
    <cfRule type="expression" dxfId="2177" priority="279">
      <formula>AND(IF($Q81=3,1,0),IF($X81&lt;30,1,0))</formula>
    </cfRule>
    <cfRule type="expression" dxfId="2176" priority="280">
      <formula>AND(IF($Q81=3,1,IF($Q81=4,1,0)),IF($F81&lt;=85,1,0))</formula>
    </cfRule>
  </conditionalFormatting>
  <conditionalFormatting sqref="AI81">
    <cfRule type="expression" dxfId="2175" priority="273">
      <formula>AND(IF(OR($Q81=1,$Q81=2),1,0),IF($X81&lt;=20,1,0))</formula>
    </cfRule>
    <cfRule type="expression" dxfId="2174" priority="274">
      <formula>AND(IF($Q81=2,1,0),IF($X81&lt;30,1,0))</formula>
    </cfRule>
    <cfRule type="expression" dxfId="2173" priority="275">
      <formula>AND(IF($Q81=3,1,0),IF($X81&lt;30,1,0))</formula>
    </cfRule>
    <cfRule type="expression" dxfId="2172" priority="276">
      <formula>AND(IF($Q81=3,1,IF($Q81=4,1,0)),IF($F81&lt;=85,1,0))</formula>
    </cfRule>
  </conditionalFormatting>
  <conditionalFormatting sqref="AV82">
    <cfRule type="expression" dxfId="2171" priority="271">
      <formula>AV82="X"</formula>
    </cfRule>
    <cfRule type="expression" dxfId="2170" priority="272">
      <formula>AV82="후보"</formula>
    </cfRule>
  </conditionalFormatting>
  <conditionalFormatting sqref="AC82 N82">
    <cfRule type="cellIs" dxfId="2169" priority="268" operator="greaterThan">
      <formula>0.9</formula>
    </cfRule>
    <cfRule type="cellIs" dxfId="2168" priority="269" operator="greaterThan">
      <formula>0.85</formula>
    </cfRule>
  </conditionalFormatting>
  <conditionalFormatting sqref="AV83">
    <cfRule type="expression" dxfId="2167" priority="266">
      <formula>AV83="X"</formula>
    </cfRule>
    <cfRule type="expression" dxfId="2166" priority="267">
      <formula>AV83="후보"</formula>
    </cfRule>
  </conditionalFormatting>
  <conditionalFormatting sqref="AC83">
    <cfRule type="cellIs" dxfId="2165" priority="263" operator="greaterThan">
      <formula>0.9</formula>
    </cfRule>
    <cfRule type="cellIs" dxfId="2164" priority="264" operator="greaterThan">
      <formula>0.85</formula>
    </cfRule>
  </conditionalFormatting>
  <conditionalFormatting sqref="N83">
    <cfRule type="cellIs" dxfId="2163" priority="261" operator="greaterThan">
      <formula>0.9</formula>
    </cfRule>
    <cfRule type="cellIs" dxfId="2162" priority="262" operator="greaterThan">
      <formula>0.85</formula>
    </cfRule>
  </conditionalFormatting>
  <conditionalFormatting sqref="E83">
    <cfRule type="expression" dxfId="2161" priority="257">
      <formula>AND(IF(OR($Q83=1,$Q83=2),1,0),IF($X83&lt;=20,1,0))</formula>
    </cfRule>
    <cfRule type="expression" dxfId="2160" priority="258">
      <formula>AND(IF($Q83=2,1,0),IF($X83&lt;30,1,0))</formula>
    </cfRule>
    <cfRule type="expression" dxfId="2159" priority="259">
      <formula>AND(IF($Q83=3,1,0),IF($X83&lt;30,1,0))</formula>
    </cfRule>
    <cfRule type="expression" dxfId="2158" priority="260">
      <formula>AND(IF($Q83=3,1,IF($Q83=4,1,0)),IF($F83&lt;=85,1,0))</formula>
    </cfRule>
  </conditionalFormatting>
  <conditionalFormatting sqref="X83">
    <cfRule type="expression" dxfId="2157" priority="253">
      <formula>AND(IF(OR($Q83=1,$Q83=2),1,0),IF($X83&lt;=20,1,0))</formula>
    </cfRule>
    <cfRule type="expression" dxfId="2156" priority="254">
      <formula>AND(IF($Q83=2,1,0),IF($X83&lt;30,1,0))</formula>
    </cfRule>
    <cfRule type="expression" dxfId="2155" priority="255">
      <formula>AND(IF($Q83=3,1,0),IF($X83&lt;30,1,0))</formula>
    </cfRule>
    <cfRule type="expression" dxfId="2154" priority="256">
      <formula>AND(IF($Q83=3,1,IF($Q83=4,1,0)),IF($F83&lt;=85,1,0))</formula>
    </cfRule>
  </conditionalFormatting>
  <conditionalFormatting sqref="AI83">
    <cfRule type="expression" dxfId="2153" priority="249">
      <formula>AND(IF(OR($Q83=1,$Q83=2),1,0),IF($X83&lt;=20,1,0))</formula>
    </cfRule>
    <cfRule type="expression" dxfId="2152" priority="250">
      <formula>AND(IF($Q83=2,1,0),IF($X83&lt;30,1,0))</formula>
    </cfRule>
    <cfRule type="expression" dxfId="2151" priority="251">
      <formula>AND(IF($Q83=3,1,0),IF($X83&lt;30,1,0))</formula>
    </cfRule>
    <cfRule type="expression" dxfId="2150" priority="252">
      <formula>AND(IF($Q83=3,1,IF($Q83=4,1,0)),IF($F83&lt;=85,1,0))</formula>
    </cfRule>
  </conditionalFormatting>
  <conditionalFormatting sqref="AV84">
    <cfRule type="expression" dxfId="2149" priority="247">
      <formula>AV84="X"</formula>
    </cfRule>
    <cfRule type="expression" dxfId="2148" priority="248">
      <formula>AV84="후보"</formula>
    </cfRule>
  </conditionalFormatting>
  <conditionalFormatting sqref="AC84">
    <cfRule type="cellIs" dxfId="2147" priority="244" operator="greaterThan">
      <formula>0.9</formula>
    </cfRule>
    <cfRule type="cellIs" dxfId="2146" priority="245" operator="greaterThan">
      <formula>0.85</formula>
    </cfRule>
  </conditionalFormatting>
  <conditionalFormatting sqref="N84">
    <cfRule type="cellIs" dxfId="2145" priority="242" operator="greaterThan">
      <formula>0.9</formula>
    </cfRule>
    <cfRule type="cellIs" dxfId="2144" priority="243" operator="greaterThan">
      <formula>0.85</formula>
    </cfRule>
  </conditionalFormatting>
  <conditionalFormatting sqref="E84">
    <cfRule type="expression" dxfId="2143" priority="238">
      <formula>AND(IF(OR($Q84=1,$Q84=2),1,0),IF($X84&lt;=20,1,0))</formula>
    </cfRule>
    <cfRule type="expression" dxfId="2142" priority="239">
      <formula>AND(IF($Q84=2,1,0),IF($X84&lt;30,1,0))</formula>
    </cfRule>
    <cfRule type="expression" dxfId="2141" priority="240">
      <formula>AND(IF($Q84=3,1,0),IF($X84&lt;30,1,0))</formula>
    </cfRule>
    <cfRule type="expression" dxfId="2140" priority="241">
      <formula>AND(IF($Q84=3,1,IF($Q84=4,1,0)),IF($F84&lt;=85,1,0))</formula>
    </cfRule>
  </conditionalFormatting>
  <conditionalFormatting sqref="X84">
    <cfRule type="expression" dxfId="2139" priority="234">
      <formula>AND(IF(OR($Q84=1,$Q84=2),1,0),IF($X84&lt;=20,1,0))</formula>
    </cfRule>
    <cfRule type="expression" dxfId="2138" priority="235">
      <formula>AND(IF($Q84=2,1,0),IF($X84&lt;30,1,0))</formula>
    </cfRule>
    <cfRule type="expression" dxfId="2137" priority="236">
      <formula>AND(IF($Q84=3,1,0),IF($X84&lt;30,1,0))</formula>
    </cfRule>
    <cfRule type="expression" dxfId="2136" priority="237">
      <formula>AND(IF($Q84=3,1,IF($Q84=4,1,0)),IF($F84&lt;=85,1,0))</formula>
    </cfRule>
  </conditionalFormatting>
  <conditionalFormatting sqref="AI84">
    <cfRule type="expression" dxfId="2135" priority="230">
      <formula>AND(IF(OR($Q84=1,$Q84=2),1,0),IF($X84&lt;=20,1,0))</formula>
    </cfRule>
    <cfRule type="expression" dxfId="2134" priority="231">
      <formula>AND(IF($Q84=2,1,0),IF($X84&lt;30,1,0))</formula>
    </cfRule>
    <cfRule type="expression" dxfId="2133" priority="232">
      <formula>AND(IF($Q84=3,1,0),IF($X84&lt;30,1,0))</formula>
    </cfRule>
    <cfRule type="expression" dxfId="2132" priority="233">
      <formula>AND(IF($Q84=3,1,IF($Q84=4,1,0)),IF($F84&lt;=85,1,0))</formula>
    </cfRule>
  </conditionalFormatting>
  <conditionalFormatting sqref="AV85">
    <cfRule type="expression" dxfId="2131" priority="228">
      <formula>AV85="X"</formula>
    </cfRule>
    <cfRule type="expression" dxfId="2130" priority="229">
      <formula>AV85="후보"</formula>
    </cfRule>
  </conditionalFormatting>
  <conditionalFormatting sqref="AC85">
    <cfRule type="cellIs" dxfId="2129" priority="225" operator="greaterThan">
      <formula>0.9</formula>
    </cfRule>
    <cfRule type="cellIs" dxfId="2128" priority="226" operator="greaterThan">
      <formula>0.85</formula>
    </cfRule>
  </conditionalFormatting>
  <conditionalFormatting sqref="N85">
    <cfRule type="cellIs" dxfId="2127" priority="223" operator="greaterThan">
      <formula>0.9</formula>
    </cfRule>
    <cfRule type="cellIs" dxfId="2126" priority="224" operator="greaterThan">
      <formula>0.85</formula>
    </cfRule>
  </conditionalFormatting>
  <conditionalFormatting sqref="E85">
    <cfRule type="expression" dxfId="2125" priority="219">
      <formula>AND(IF(OR($Q85=1,$Q85=2),1,0),IF($X85&lt;=20,1,0))</formula>
    </cfRule>
    <cfRule type="expression" dxfId="2124" priority="220">
      <formula>AND(IF($Q85=2,1,0),IF($X85&lt;30,1,0))</formula>
    </cfRule>
    <cfRule type="expression" dxfId="2123" priority="221">
      <formula>AND(IF($Q85=3,1,0),IF($X85&lt;30,1,0))</formula>
    </cfRule>
    <cfRule type="expression" dxfId="2122" priority="222">
      <formula>AND(IF($Q85=3,1,IF($Q85=4,1,0)),IF($F85&lt;=85,1,0))</formula>
    </cfRule>
  </conditionalFormatting>
  <conditionalFormatting sqref="X85">
    <cfRule type="expression" dxfId="2121" priority="215">
      <formula>AND(IF(OR($Q85=1,$Q85=2),1,0),IF($X85&lt;=20,1,0))</formula>
    </cfRule>
    <cfRule type="expression" dxfId="2120" priority="216">
      <formula>AND(IF($Q85=2,1,0),IF($X85&lt;30,1,0))</formula>
    </cfRule>
    <cfRule type="expression" dxfId="2119" priority="217">
      <formula>AND(IF($Q85=3,1,0),IF($X85&lt;30,1,0))</formula>
    </cfRule>
    <cfRule type="expression" dxfId="2118" priority="218">
      <formula>AND(IF($Q85=3,1,IF($Q85=4,1,0)),IF($F85&lt;=85,1,0))</formula>
    </cfRule>
  </conditionalFormatting>
  <conditionalFormatting sqref="AI85">
    <cfRule type="expression" dxfId="2117" priority="211">
      <formula>AND(IF(OR($Q85=1,$Q85=2),1,0),IF($X85&lt;=20,1,0))</formula>
    </cfRule>
    <cfRule type="expression" dxfId="2116" priority="212">
      <formula>AND(IF($Q85=2,1,0),IF($X85&lt;30,1,0))</formula>
    </cfRule>
    <cfRule type="expression" dxfId="2115" priority="213">
      <formula>AND(IF($Q85=3,1,0),IF($X85&lt;30,1,0))</formula>
    </cfRule>
    <cfRule type="expression" dxfId="2114" priority="214">
      <formula>AND(IF($Q85=3,1,IF($Q85=4,1,0)),IF($F85&lt;=85,1,0))</formula>
    </cfRule>
  </conditionalFormatting>
  <conditionalFormatting sqref="AV86">
    <cfRule type="expression" dxfId="2113" priority="209">
      <formula>AV86="X"</formula>
    </cfRule>
    <cfRule type="expression" dxfId="2112" priority="210">
      <formula>AV86="후보"</formula>
    </cfRule>
  </conditionalFormatting>
  <conditionalFormatting sqref="AC86 N86">
    <cfRule type="cellIs" dxfId="2111" priority="206" operator="greaterThan">
      <formula>0.9</formula>
    </cfRule>
    <cfRule type="cellIs" dxfId="2110" priority="207" operator="greaterThan">
      <formula>0.85</formula>
    </cfRule>
  </conditionalFormatting>
  <conditionalFormatting sqref="AV87">
    <cfRule type="expression" dxfId="2109" priority="204">
      <formula>AV87="X"</formula>
    </cfRule>
    <cfRule type="expression" dxfId="2108" priority="205">
      <formula>AV87="후보"</formula>
    </cfRule>
  </conditionalFormatting>
  <conditionalFormatting sqref="AC87">
    <cfRule type="cellIs" dxfId="2107" priority="201" operator="greaterThan">
      <formula>0.9</formula>
    </cfRule>
    <cfRule type="cellIs" dxfId="2106" priority="202" operator="greaterThan">
      <formula>0.85</formula>
    </cfRule>
  </conditionalFormatting>
  <conditionalFormatting sqref="N87">
    <cfRule type="cellIs" dxfId="2105" priority="199" operator="greaterThan">
      <formula>0.9</formula>
    </cfRule>
    <cfRule type="cellIs" dxfId="2104" priority="200" operator="greaterThan">
      <formula>0.85</formula>
    </cfRule>
  </conditionalFormatting>
  <conditionalFormatting sqref="E87">
    <cfRule type="expression" dxfId="2103" priority="195">
      <formula>AND(IF(OR($Q87=1,$Q87=2),1,0),IF($X87&lt;=20,1,0))</formula>
    </cfRule>
    <cfRule type="expression" dxfId="2102" priority="196">
      <formula>AND(IF($Q87=2,1,0),IF($X87&lt;30,1,0))</formula>
    </cfRule>
    <cfRule type="expression" dxfId="2101" priority="197">
      <formula>AND(IF($Q87=3,1,0),IF($X87&lt;30,1,0))</formula>
    </cfRule>
    <cfRule type="expression" dxfId="2100" priority="198">
      <formula>AND(IF($Q87=3,1,IF($Q87=4,1,0)),IF($F87&lt;=85,1,0))</formula>
    </cfRule>
  </conditionalFormatting>
  <conditionalFormatting sqref="X87">
    <cfRule type="expression" dxfId="2099" priority="191">
      <formula>AND(IF(OR($Q87=1,$Q87=2),1,0),IF($X87&lt;=20,1,0))</formula>
    </cfRule>
    <cfRule type="expression" dxfId="2098" priority="192">
      <formula>AND(IF($Q87=2,1,0),IF($X87&lt;30,1,0))</formula>
    </cfRule>
    <cfRule type="expression" dxfId="2097" priority="193">
      <formula>AND(IF($Q87=3,1,0),IF($X87&lt;30,1,0))</formula>
    </cfRule>
    <cfRule type="expression" dxfId="2096" priority="194">
      <formula>AND(IF($Q87=3,1,IF($Q87=4,1,0)),IF($F87&lt;=85,1,0))</formula>
    </cfRule>
  </conditionalFormatting>
  <conditionalFormatting sqref="AI87">
    <cfRule type="expression" dxfId="2095" priority="187">
      <formula>AND(IF(OR($Q87=1,$Q87=2),1,0),IF($X87&lt;=20,1,0))</formula>
    </cfRule>
    <cfRule type="expression" dxfId="2094" priority="188">
      <formula>AND(IF($Q87=2,1,0),IF($X87&lt;30,1,0))</formula>
    </cfRule>
    <cfRule type="expression" dxfId="2093" priority="189">
      <formula>AND(IF($Q87=3,1,0),IF($X87&lt;30,1,0))</formula>
    </cfRule>
    <cfRule type="expression" dxfId="2092" priority="190">
      <formula>AND(IF($Q87=3,1,IF($Q87=4,1,0)),IF($F87&lt;=85,1,0))</formula>
    </cfRule>
  </conditionalFormatting>
  <conditionalFormatting sqref="AV88">
    <cfRule type="expression" dxfId="2091" priority="185">
      <formula>AV88="X"</formula>
    </cfRule>
    <cfRule type="expression" dxfId="2090" priority="186">
      <formula>AV88="후보"</formula>
    </cfRule>
  </conditionalFormatting>
  <conditionalFormatting sqref="AC88">
    <cfRule type="cellIs" dxfId="2089" priority="182" operator="greaterThan">
      <formula>0.9</formula>
    </cfRule>
    <cfRule type="cellIs" dxfId="2088" priority="183" operator="greaterThan">
      <formula>0.85</formula>
    </cfRule>
  </conditionalFormatting>
  <conditionalFormatting sqref="N88">
    <cfRule type="cellIs" dxfId="2087" priority="180" operator="greaterThan">
      <formula>0.9</formula>
    </cfRule>
    <cfRule type="cellIs" dxfId="2086" priority="181" operator="greaterThan">
      <formula>0.85</formula>
    </cfRule>
  </conditionalFormatting>
  <conditionalFormatting sqref="E88">
    <cfRule type="expression" dxfId="2085" priority="176">
      <formula>AND(IF(OR($Q88=1,$Q88=2),1,0),IF($X88&lt;=20,1,0))</formula>
    </cfRule>
    <cfRule type="expression" dxfId="2084" priority="177">
      <formula>AND(IF($Q88=2,1,0),IF($X88&lt;30,1,0))</formula>
    </cfRule>
    <cfRule type="expression" dxfId="2083" priority="178">
      <formula>AND(IF($Q88=3,1,0),IF($X88&lt;30,1,0))</formula>
    </cfRule>
    <cfRule type="expression" dxfId="2082" priority="179">
      <formula>AND(IF($Q88=3,1,IF($Q88=4,1,0)),IF($F88&lt;=85,1,0))</formula>
    </cfRule>
  </conditionalFormatting>
  <conditionalFormatting sqref="X88">
    <cfRule type="expression" dxfId="2081" priority="172">
      <formula>AND(IF(OR($Q88=1,$Q88=2),1,0),IF($X88&lt;=20,1,0))</formula>
    </cfRule>
    <cfRule type="expression" dxfId="2080" priority="173">
      <formula>AND(IF($Q88=2,1,0),IF($X88&lt;30,1,0))</formula>
    </cfRule>
    <cfRule type="expression" dxfId="2079" priority="174">
      <formula>AND(IF($Q88=3,1,0),IF($X88&lt;30,1,0))</formula>
    </cfRule>
    <cfRule type="expression" dxfId="2078" priority="175">
      <formula>AND(IF($Q88=3,1,IF($Q88=4,1,0)),IF($F88&lt;=85,1,0))</formula>
    </cfRule>
  </conditionalFormatting>
  <conditionalFormatting sqref="AI88">
    <cfRule type="expression" dxfId="2077" priority="168">
      <formula>AND(IF(OR($Q88=1,$Q88=2),1,0),IF($X88&lt;=20,1,0))</formula>
    </cfRule>
    <cfRule type="expression" dxfId="2076" priority="169">
      <formula>AND(IF($Q88=2,1,0),IF($X88&lt;30,1,0))</formula>
    </cfRule>
    <cfRule type="expression" dxfId="2075" priority="170">
      <formula>AND(IF($Q88=3,1,0),IF($X88&lt;30,1,0))</formula>
    </cfRule>
    <cfRule type="expression" dxfId="2074" priority="171">
      <formula>AND(IF($Q88=3,1,IF($Q88=4,1,0)),IF($F88&lt;=85,1,0))</formula>
    </cfRule>
  </conditionalFormatting>
  <conditionalFormatting sqref="AV89">
    <cfRule type="expression" dxfId="2073" priority="166">
      <formula>AV89="X"</formula>
    </cfRule>
    <cfRule type="expression" dxfId="2072" priority="167">
      <formula>AV89="후보"</formula>
    </cfRule>
  </conditionalFormatting>
  <conditionalFormatting sqref="AC89 N89">
    <cfRule type="cellIs" dxfId="2071" priority="163" operator="greaterThan">
      <formula>0.9</formula>
    </cfRule>
    <cfRule type="cellIs" dxfId="2070" priority="164" operator="greaterThan">
      <formula>0.85</formula>
    </cfRule>
  </conditionalFormatting>
  <conditionalFormatting sqref="AV90">
    <cfRule type="expression" dxfId="2069" priority="161">
      <formula>AV90="X"</formula>
    </cfRule>
    <cfRule type="expression" dxfId="2068" priority="162">
      <formula>AV90="후보"</formula>
    </cfRule>
  </conditionalFormatting>
  <conditionalFormatting sqref="AC90">
    <cfRule type="cellIs" dxfId="2067" priority="158" operator="greaterThan">
      <formula>0.9</formula>
    </cfRule>
    <cfRule type="cellIs" dxfId="2066" priority="159" operator="greaterThan">
      <formula>0.85</formula>
    </cfRule>
  </conditionalFormatting>
  <conditionalFormatting sqref="N90">
    <cfRule type="cellIs" dxfId="2065" priority="156" operator="greaterThan">
      <formula>0.9</formula>
    </cfRule>
    <cfRule type="cellIs" dxfId="2064" priority="157" operator="greaterThan">
      <formula>0.85</formula>
    </cfRule>
  </conditionalFormatting>
  <conditionalFormatting sqref="E90">
    <cfRule type="expression" dxfId="2063" priority="152">
      <formula>AND(IF(OR($Q90=1,$Q90=2),1,0),IF($X90&lt;=20,1,0))</formula>
    </cfRule>
    <cfRule type="expression" dxfId="2062" priority="153">
      <formula>AND(IF($Q90=2,1,0),IF($X90&lt;30,1,0))</formula>
    </cfRule>
    <cfRule type="expression" dxfId="2061" priority="154">
      <formula>AND(IF($Q90=3,1,0),IF($X90&lt;30,1,0))</formula>
    </cfRule>
    <cfRule type="expression" dxfId="2060" priority="155">
      <formula>AND(IF($Q90=3,1,IF($Q90=4,1,0)),IF($F90&lt;=85,1,0))</formula>
    </cfRule>
  </conditionalFormatting>
  <conditionalFormatting sqref="X90">
    <cfRule type="expression" dxfId="2059" priority="148">
      <formula>AND(IF(OR($Q90=1,$Q90=2),1,0),IF($X90&lt;=20,1,0))</formula>
    </cfRule>
    <cfRule type="expression" dxfId="2058" priority="149">
      <formula>AND(IF($Q90=2,1,0),IF($X90&lt;30,1,0))</formula>
    </cfRule>
    <cfRule type="expression" dxfId="2057" priority="150">
      <formula>AND(IF($Q90=3,1,0),IF($X90&lt;30,1,0))</formula>
    </cfRule>
    <cfRule type="expression" dxfId="2056" priority="151">
      <formula>AND(IF($Q90=3,1,IF($Q90=4,1,0)),IF($F90&lt;=85,1,0))</formula>
    </cfRule>
  </conditionalFormatting>
  <conditionalFormatting sqref="AI90">
    <cfRule type="expression" dxfId="2055" priority="144">
      <formula>AND(IF(OR($Q90=1,$Q90=2),1,0),IF($X90&lt;=20,1,0))</formula>
    </cfRule>
    <cfRule type="expression" dxfId="2054" priority="145">
      <formula>AND(IF($Q90=2,1,0),IF($X90&lt;30,1,0))</formula>
    </cfRule>
    <cfRule type="expression" dxfId="2053" priority="146">
      <formula>AND(IF($Q90=3,1,0),IF($X90&lt;30,1,0))</formula>
    </cfRule>
    <cfRule type="expression" dxfId="2052" priority="147">
      <formula>AND(IF($Q90=3,1,IF($Q90=4,1,0)),IF($F90&lt;=85,1,0))</formula>
    </cfRule>
  </conditionalFormatting>
  <conditionalFormatting sqref="AV91">
    <cfRule type="expression" dxfId="2051" priority="142">
      <formula>AV91="X"</formula>
    </cfRule>
    <cfRule type="expression" dxfId="2050" priority="143">
      <formula>AV91="후보"</formula>
    </cfRule>
  </conditionalFormatting>
  <conditionalFormatting sqref="AC91">
    <cfRule type="cellIs" dxfId="2049" priority="139" operator="greaterThan">
      <formula>0.9</formula>
    </cfRule>
    <cfRule type="cellIs" dxfId="2048" priority="140" operator="greaterThan">
      <formula>0.85</formula>
    </cfRule>
  </conditionalFormatting>
  <conditionalFormatting sqref="N91">
    <cfRule type="cellIs" dxfId="2047" priority="137" operator="greaterThan">
      <formula>0.9</formula>
    </cfRule>
    <cfRule type="cellIs" dxfId="2046" priority="138" operator="greaterThan">
      <formula>0.85</formula>
    </cfRule>
  </conditionalFormatting>
  <conditionalFormatting sqref="E91">
    <cfRule type="expression" dxfId="2045" priority="133">
      <formula>AND(IF(OR($Q91=1,$Q91=2),1,0),IF($X91&lt;=20,1,0))</formula>
    </cfRule>
    <cfRule type="expression" dxfId="2044" priority="134">
      <formula>AND(IF($Q91=2,1,0),IF($X91&lt;30,1,0))</formula>
    </cfRule>
    <cfRule type="expression" dxfId="2043" priority="135">
      <formula>AND(IF($Q91=3,1,0),IF($X91&lt;30,1,0))</formula>
    </cfRule>
    <cfRule type="expression" dxfId="2042" priority="136">
      <formula>AND(IF($Q91=3,1,IF($Q91=4,1,0)),IF($F91&lt;=85,1,0))</formula>
    </cfRule>
  </conditionalFormatting>
  <conditionalFormatting sqref="X91">
    <cfRule type="expression" dxfId="2041" priority="129">
      <formula>AND(IF(OR($Q91=1,$Q91=2),1,0),IF($X91&lt;=20,1,0))</formula>
    </cfRule>
    <cfRule type="expression" dxfId="2040" priority="130">
      <formula>AND(IF($Q91=2,1,0),IF($X91&lt;30,1,0))</formula>
    </cfRule>
    <cfRule type="expression" dxfId="2039" priority="131">
      <formula>AND(IF($Q91=3,1,0),IF($X91&lt;30,1,0))</formula>
    </cfRule>
    <cfRule type="expression" dxfId="2038" priority="132">
      <formula>AND(IF($Q91=3,1,IF($Q91=4,1,0)),IF($F91&lt;=85,1,0))</formula>
    </cfRule>
  </conditionalFormatting>
  <conditionalFormatting sqref="AI91">
    <cfRule type="expression" dxfId="2037" priority="125">
      <formula>AND(IF(OR($Q91=1,$Q91=2),1,0),IF($X91&lt;=20,1,0))</formula>
    </cfRule>
    <cfRule type="expression" dxfId="2036" priority="126">
      <formula>AND(IF($Q91=2,1,0),IF($X91&lt;30,1,0))</formula>
    </cfRule>
    <cfRule type="expression" dxfId="2035" priority="127">
      <formula>AND(IF($Q91=3,1,0),IF($X91&lt;30,1,0))</formula>
    </cfRule>
    <cfRule type="expression" dxfId="2034" priority="128">
      <formula>AND(IF($Q91=3,1,IF($Q91=4,1,0)),IF($F91&lt;=85,1,0))</formula>
    </cfRule>
  </conditionalFormatting>
  <conditionalFormatting sqref="AV92">
    <cfRule type="expression" dxfId="2033" priority="123">
      <formula>AV92="X"</formula>
    </cfRule>
    <cfRule type="expression" dxfId="2032" priority="124">
      <formula>AV92="후보"</formula>
    </cfRule>
  </conditionalFormatting>
  <conditionalFormatting sqref="AC92 N92">
    <cfRule type="cellIs" dxfId="2031" priority="120" operator="greaterThan">
      <formula>0.9</formula>
    </cfRule>
    <cfRule type="cellIs" dxfId="2030" priority="121" operator="greaterThan">
      <formula>0.85</formula>
    </cfRule>
  </conditionalFormatting>
  <conditionalFormatting sqref="AV93">
    <cfRule type="expression" dxfId="2029" priority="118">
      <formula>AV93="X"</formula>
    </cfRule>
    <cfRule type="expression" dxfId="2028" priority="119">
      <formula>AV93="후보"</formula>
    </cfRule>
  </conditionalFormatting>
  <conditionalFormatting sqref="AC93">
    <cfRule type="cellIs" dxfId="2027" priority="115" operator="greaterThan">
      <formula>0.9</formula>
    </cfRule>
    <cfRule type="cellIs" dxfId="2026" priority="116" operator="greaterThan">
      <formula>0.85</formula>
    </cfRule>
  </conditionalFormatting>
  <conditionalFormatting sqref="N93">
    <cfRule type="cellIs" dxfId="2025" priority="113" operator="greaterThan">
      <formula>0.9</formula>
    </cfRule>
    <cfRule type="cellIs" dxfId="2024" priority="114" operator="greaterThan">
      <formula>0.85</formula>
    </cfRule>
  </conditionalFormatting>
  <conditionalFormatting sqref="E93">
    <cfRule type="expression" dxfId="2023" priority="109">
      <formula>AND(IF(OR($Q93=1,$Q93=2),1,0),IF($X93&lt;=20,1,0))</formula>
    </cfRule>
    <cfRule type="expression" dxfId="2022" priority="110">
      <formula>AND(IF($Q93=2,1,0),IF($X93&lt;30,1,0))</formula>
    </cfRule>
    <cfRule type="expression" dxfId="2021" priority="111">
      <formula>AND(IF($Q93=3,1,0),IF($X93&lt;30,1,0))</formula>
    </cfRule>
    <cfRule type="expression" dxfId="2020" priority="112">
      <formula>AND(IF($Q93=3,1,IF($Q93=4,1,0)),IF($F93&lt;=85,1,0))</formula>
    </cfRule>
  </conditionalFormatting>
  <conditionalFormatting sqref="X93">
    <cfRule type="expression" dxfId="2019" priority="105">
      <formula>AND(IF(OR($Q93=1,$Q93=2),1,0),IF($X93&lt;=20,1,0))</formula>
    </cfRule>
    <cfRule type="expression" dxfId="2018" priority="106">
      <formula>AND(IF($Q93=2,1,0),IF($X93&lt;30,1,0))</formula>
    </cfRule>
    <cfRule type="expression" dxfId="2017" priority="107">
      <formula>AND(IF($Q93=3,1,0),IF($X93&lt;30,1,0))</formula>
    </cfRule>
    <cfRule type="expression" dxfId="2016" priority="108">
      <formula>AND(IF($Q93=3,1,IF($Q93=4,1,0)),IF($F93&lt;=85,1,0))</formula>
    </cfRule>
  </conditionalFormatting>
  <conditionalFormatting sqref="AI93">
    <cfRule type="expression" dxfId="2015" priority="101">
      <formula>AND(IF(OR($Q93=1,$Q93=2),1,0),IF($X93&lt;=20,1,0))</formula>
    </cfRule>
    <cfRule type="expression" dxfId="2014" priority="102">
      <formula>AND(IF($Q93=2,1,0),IF($X93&lt;30,1,0))</formula>
    </cfRule>
    <cfRule type="expression" dxfId="2013" priority="103">
      <formula>AND(IF($Q93=3,1,0),IF($X93&lt;30,1,0))</formula>
    </cfRule>
    <cfRule type="expression" dxfId="2012" priority="104">
      <formula>AND(IF($Q93=3,1,IF($Q93=4,1,0)),IF($F93&lt;=85,1,0))</formula>
    </cfRule>
  </conditionalFormatting>
  <conditionalFormatting sqref="AV94">
    <cfRule type="expression" dxfId="2011" priority="99">
      <formula>AV94="X"</formula>
    </cfRule>
    <cfRule type="expression" dxfId="2010" priority="100">
      <formula>AV94="후보"</formula>
    </cfRule>
  </conditionalFormatting>
  <conditionalFormatting sqref="AC94">
    <cfRule type="cellIs" dxfId="2009" priority="96" operator="greaterThan">
      <formula>0.9</formula>
    </cfRule>
    <cfRule type="cellIs" dxfId="2008" priority="97" operator="greaterThan">
      <formula>0.85</formula>
    </cfRule>
  </conditionalFormatting>
  <conditionalFormatting sqref="N94">
    <cfRule type="cellIs" dxfId="2007" priority="94" operator="greaterThan">
      <formula>0.9</formula>
    </cfRule>
    <cfRule type="cellIs" dxfId="2006" priority="95" operator="greaterThan">
      <formula>0.85</formula>
    </cfRule>
  </conditionalFormatting>
  <conditionalFormatting sqref="E94">
    <cfRule type="expression" dxfId="2005" priority="90">
      <formula>AND(IF(OR($Q94=1,$Q94=2),1,0),IF($X94&lt;=20,1,0))</formula>
    </cfRule>
    <cfRule type="expression" dxfId="2004" priority="91">
      <formula>AND(IF($Q94=2,1,0),IF($X94&lt;30,1,0))</formula>
    </cfRule>
    <cfRule type="expression" dxfId="2003" priority="92">
      <formula>AND(IF($Q94=3,1,0),IF($X94&lt;30,1,0))</formula>
    </cfRule>
    <cfRule type="expression" dxfId="2002" priority="93">
      <formula>AND(IF($Q94=3,1,IF($Q94=4,1,0)),IF($F94&lt;=85,1,0))</formula>
    </cfRule>
  </conditionalFormatting>
  <conditionalFormatting sqref="X94">
    <cfRule type="expression" dxfId="2001" priority="86">
      <formula>AND(IF(OR($Q94=1,$Q94=2),1,0),IF($X94&lt;=20,1,0))</formula>
    </cfRule>
    <cfRule type="expression" dxfId="2000" priority="87">
      <formula>AND(IF($Q94=2,1,0),IF($X94&lt;30,1,0))</formula>
    </cfRule>
    <cfRule type="expression" dxfId="1999" priority="88">
      <formula>AND(IF($Q94=3,1,0),IF($X94&lt;30,1,0))</formula>
    </cfRule>
    <cfRule type="expression" dxfId="1998" priority="89">
      <formula>AND(IF($Q94=3,1,IF($Q94=4,1,0)),IF($F94&lt;=85,1,0))</formula>
    </cfRule>
  </conditionalFormatting>
  <conditionalFormatting sqref="AI94">
    <cfRule type="expression" dxfId="1997" priority="82">
      <formula>AND(IF(OR($Q94=1,$Q94=2),1,0),IF($X94&lt;=20,1,0))</formula>
    </cfRule>
    <cfRule type="expression" dxfId="1996" priority="83">
      <formula>AND(IF($Q94=2,1,0),IF($X94&lt;30,1,0))</formula>
    </cfRule>
    <cfRule type="expression" dxfId="1995" priority="84">
      <formula>AND(IF($Q94=3,1,0),IF($X94&lt;30,1,0))</formula>
    </cfRule>
    <cfRule type="expression" dxfId="1994" priority="85">
      <formula>AND(IF($Q94=3,1,IF($Q94=4,1,0)),IF($F94&lt;=85,1,0))</formula>
    </cfRule>
  </conditionalFormatting>
  <conditionalFormatting sqref="AV95">
    <cfRule type="expression" dxfId="1993" priority="80">
      <formula>AV95="X"</formula>
    </cfRule>
    <cfRule type="expression" dxfId="1992" priority="81">
      <formula>AV95="후보"</formula>
    </cfRule>
  </conditionalFormatting>
  <conditionalFormatting sqref="AC95">
    <cfRule type="cellIs" dxfId="1991" priority="77" operator="greaterThan">
      <formula>0.9</formula>
    </cfRule>
    <cfRule type="cellIs" dxfId="1990" priority="78" operator="greaterThan">
      <formula>0.85</formula>
    </cfRule>
  </conditionalFormatting>
  <conditionalFormatting sqref="N95">
    <cfRule type="cellIs" dxfId="1989" priority="75" operator="greaterThan">
      <formula>0.9</formula>
    </cfRule>
    <cfRule type="cellIs" dxfId="1988" priority="76" operator="greaterThan">
      <formula>0.85</formula>
    </cfRule>
  </conditionalFormatting>
  <conditionalFormatting sqref="E95">
    <cfRule type="expression" dxfId="1987" priority="71">
      <formula>AND(IF(OR($Q95=1,$Q95=2),1,0),IF($X95&lt;=20,1,0))</formula>
    </cfRule>
    <cfRule type="expression" dxfId="1986" priority="72">
      <formula>AND(IF($Q95=2,1,0),IF($X95&lt;30,1,0))</formula>
    </cfRule>
    <cfRule type="expression" dxfId="1985" priority="73">
      <formula>AND(IF($Q95=3,1,0),IF($X95&lt;30,1,0))</formula>
    </cfRule>
    <cfRule type="expression" dxfId="1984" priority="74">
      <formula>AND(IF($Q95=3,1,IF($Q95=4,1,0)),IF($F95&lt;=85,1,0))</formula>
    </cfRule>
  </conditionalFormatting>
  <conditionalFormatting sqref="X95">
    <cfRule type="expression" dxfId="1983" priority="67">
      <formula>AND(IF(OR($Q95=1,$Q95=2),1,0),IF($X95&lt;=20,1,0))</formula>
    </cfRule>
    <cfRule type="expression" dxfId="1982" priority="68">
      <formula>AND(IF($Q95=2,1,0),IF($X95&lt;30,1,0))</formula>
    </cfRule>
    <cfRule type="expression" dxfId="1981" priority="69">
      <formula>AND(IF($Q95=3,1,0),IF($X95&lt;30,1,0))</formula>
    </cfRule>
    <cfRule type="expression" dxfId="1980" priority="70">
      <formula>AND(IF($Q95=3,1,IF($Q95=4,1,0)),IF($F95&lt;=85,1,0))</formula>
    </cfRule>
  </conditionalFormatting>
  <conditionalFormatting sqref="AI95">
    <cfRule type="expression" dxfId="1979" priority="63">
      <formula>AND(IF(OR($Q95=1,$Q95=2),1,0),IF($X95&lt;=20,1,0))</formula>
    </cfRule>
    <cfRule type="expression" dxfId="1978" priority="64">
      <formula>AND(IF($Q95=2,1,0),IF($X95&lt;30,1,0))</formula>
    </cfRule>
    <cfRule type="expression" dxfId="1977" priority="65">
      <formula>AND(IF($Q95=3,1,0),IF($X95&lt;30,1,0))</formula>
    </cfRule>
    <cfRule type="expression" dxfId="1976" priority="66">
      <formula>AND(IF($Q95=3,1,IF($Q95=4,1,0)),IF($F95&lt;=85,1,0))</formula>
    </cfRule>
  </conditionalFormatting>
  <conditionalFormatting sqref="AV96">
    <cfRule type="expression" dxfId="1975" priority="61">
      <formula>AV96="X"</formula>
    </cfRule>
    <cfRule type="expression" dxfId="1974" priority="62">
      <formula>AV96="후보"</formula>
    </cfRule>
  </conditionalFormatting>
  <conditionalFormatting sqref="AC96 N96">
    <cfRule type="cellIs" dxfId="1973" priority="58" operator="greaterThan">
      <formula>0.9</formula>
    </cfRule>
    <cfRule type="cellIs" dxfId="1972" priority="59" operator="greaterThan">
      <formula>0.85</formula>
    </cfRule>
  </conditionalFormatting>
  <conditionalFormatting sqref="AV97">
    <cfRule type="expression" dxfId="1971" priority="56">
      <formula>AV97="X"</formula>
    </cfRule>
    <cfRule type="expression" dxfId="1970" priority="57">
      <formula>AV97="후보"</formula>
    </cfRule>
  </conditionalFormatting>
  <conditionalFormatting sqref="AC97">
    <cfRule type="cellIs" dxfId="1969" priority="53" operator="greaterThan">
      <formula>0.9</formula>
    </cfRule>
    <cfRule type="cellIs" dxfId="1968" priority="54" operator="greaterThan">
      <formula>0.85</formula>
    </cfRule>
  </conditionalFormatting>
  <conditionalFormatting sqref="N97">
    <cfRule type="cellIs" dxfId="1967" priority="51" operator="greaterThan">
      <formula>0.9</formula>
    </cfRule>
    <cfRule type="cellIs" dxfId="1966" priority="52" operator="greaterThan">
      <formula>0.85</formula>
    </cfRule>
  </conditionalFormatting>
  <conditionalFormatting sqref="E97">
    <cfRule type="expression" dxfId="1965" priority="47">
      <formula>AND(IF(OR($Q97=1,$Q97=2),1,0),IF($X97&lt;=20,1,0))</formula>
    </cfRule>
    <cfRule type="expression" dxfId="1964" priority="48">
      <formula>AND(IF($Q97=2,1,0),IF($X97&lt;30,1,0))</formula>
    </cfRule>
    <cfRule type="expression" dxfId="1963" priority="49">
      <formula>AND(IF($Q97=3,1,0),IF($X97&lt;30,1,0))</formula>
    </cfRule>
    <cfRule type="expression" dxfId="1962" priority="50">
      <formula>AND(IF($Q97=3,1,IF($Q97=4,1,0)),IF($F97&lt;=85,1,0))</formula>
    </cfRule>
  </conditionalFormatting>
  <conditionalFormatting sqref="X97">
    <cfRule type="expression" dxfId="1961" priority="43">
      <formula>AND(IF(OR($Q97=1,$Q97=2),1,0),IF($X97&lt;=20,1,0))</formula>
    </cfRule>
    <cfRule type="expression" dxfId="1960" priority="44">
      <formula>AND(IF($Q97=2,1,0),IF($X97&lt;30,1,0))</formula>
    </cfRule>
    <cfRule type="expression" dxfId="1959" priority="45">
      <formula>AND(IF($Q97=3,1,0),IF($X97&lt;30,1,0))</formula>
    </cfRule>
    <cfRule type="expression" dxfId="1958" priority="46">
      <formula>AND(IF($Q97=3,1,IF($Q97=4,1,0)),IF($F97&lt;=85,1,0))</formula>
    </cfRule>
  </conditionalFormatting>
  <conditionalFormatting sqref="AI97">
    <cfRule type="expression" dxfId="1957" priority="39">
      <formula>AND(IF(OR($Q97=1,$Q97=2),1,0),IF($X97&lt;=20,1,0))</formula>
    </cfRule>
    <cfRule type="expression" dxfId="1956" priority="40">
      <formula>AND(IF($Q97=2,1,0),IF($X97&lt;30,1,0))</formula>
    </cfRule>
    <cfRule type="expression" dxfId="1955" priority="41">
      <formula>AND(IF($Q97=3,1,0),IF($X97&lt;30,1,0))</formula>
    </cfRule>
    <cfRule type="expression" dxfId="1954" priority="42">
      <formula>AND(IF($Q97=3,1,IF($Q97=4,1,0)),IF($F97&lt;=85,1,0))</formula>
    </cfRule>
  </conditionalFormatting>
  <conditionalFormatting sqref="AV98">
    <cfRule type="expression" dxfId="1953" priority="37">
      <formula>AV98="X"</formula>
    </cfRule>
    <cfRule type="expression" dxfId="1952" priority="38">
      <formula>AV98="후보"</formula>
    </cfRule>
  </conditionalFormatting>
  <conditionalFormatting sqref="AC98">
    <cfRule type="cellIs" dxfId="1951" priority="34" operator="greaterThan">
      <formula>0.9</formula>
    </cfRule>
    <cfRule type="cellIs" dxfId="1950" priority="35" operator="greaterThan">
      <formula>0.85</formula>
    </cfRule>
  </conditionalFormatting>
  <conditionalFormatting sqref="N98">
    <cfRule type="cellIs" dxfId="1949" priority="32" operator="greaterThan">
      <formula>0.9</formula>
    </cfRule>
    <cfRule type="cellIs" dxfId="1948" priority="33" operator="greaterThan">
      <formula>0.85</formula>
    </cfRule>
  </conditionalFormatting>
  <conditionalFormatting sqref="E98">
    <cfRule type="expression" dxfId="1947" priority="28">
      <formula>AND(IF(OR($Q98=1,$Q98=2),1,0),IF($X98&lt;=20,1,0))</formula>
    </cfRule>
    <cfRule type="expression" dxfId="1946" priority="29">
      <formula>AND(IF($Q98=2,1,0),IF($X98&lt;30,1,0))</formula>
    </cfRule>
    <cfRule type="expression" dxfId="1945" priority="30">
      <formula>AND(IF($Q98=3,1,0),IF($X98&lt;30,1,0))</formula>
    </cfRule>
    <cfRule type="expression" dxfId="1944" priority="31">
      <formula>AND(IF($Q98=3,1,IF($Q98=4,1,0)),IF($F98&lt;=85,1,0))</formula>
    </cfRule>
  </conditionalFormatting>
  <conditionalFormatting sqref="X98">
    <cfRule type="expression" dxfId="1943" priority="24">
      <formula>AND(IF(OR($Q98=1,$Q98=2),1,0),IF($X98&lt;=20,1,0))</formula>
    </cfRule>
    <cfRule type="expression" dxfId="1942" priority="25">
      <formula>AND(IF($Q98=2,1,0),IF($X98&lt;30,1,0))</formula>
    </cfRule>
    <cfRule type="expression" dxfId="1941" priority="26">
      <formula>AND(IF($Q98=3,1,0),IF($X98&lt;30,1,0))</formula>
    </cfRule>
    <cfRule type="expression" dxfId="1940" priority="27">
      <formula>AND(IF($Q98=3,1,IF($Q98=4,1,0)),IF($F98&lt;=85,1,0))</formula>
    </cfRule>
  </conditionalFormatting>
  <conditionalFormatting sqref="AI98">
    <cfRule type="expression" dxfId="1939" priority="20">
      <formula>AND(IF(OR($Q98=1,$Q98=2),1,0),IF($X98&lt;=20,1,0))</formula>
    </cfRule>
    <cfRule type="expression" dxfId="1938" priority="21">
      <formula>AND(IF($Q98=2,1,0),IF($X98&lt;30,1,0))</formula>
    </cfRule>
    <cfRule type="expression" dxfId="1937" priority="22">
      <formula>AND(IF($Q98=3,1,0),IF($X98&lt;30,1,0))</formula>
    </cfRule>
    <cfRule type="expression" dxfId="1936" priority="23">
      <formula>AND(IF($Q98=3,1,IF($Q98=4,1,0)),IF($F98&lt;=85,1,0))</formula>
    </cfRule>
  </conditionalFormatting>
  <conditionalFormatting sqref="AV99">
    <cfRule type="expression" dxfId="1935" priority="18">
      <formula>AV99="X"</formula>
    </cfRule>
    <cfRule type="expression" dxfId="1934" priority="19">
      <formula>AV99="후보"</formula>
    </cfRule>
  </conditionalFormatting>
  <conditionalFormatting sqref="AC99">
    <cfRule type="cellIs" dxfId="1933" priority="15" operator="greaterThan">
      <formula>0.9</formula>
    </cfRule>
    <cfRule type="cellIs" dxfId="1932" priority="16" operator="greaterThan">
      <formula>0.85</formula>
    </cfRule>
  </conditionalFormatting>
  <conditionalFormatting sqref="N99">
    <cfRule type="cellIs" dxfId="1931" priority="13" operator="greaterThan">
      <formula>0.9</formula>
    </cfRule>
    <cfRule type="cellIs" dxfId="1930" priority="14" operator="greaterThan">
      <formula>0.85</formula>
    </cfRule>
  </conditionalFormatting>
  <conditionalFormatting sqref="E99">
    <cfRule type="expression" dxfId="1929" priority="9">
      <formula>AND(IF(OR($Q99=1,$Q99=2),1,0),IF($X99&lt;=20,1,0))</formula>
    </cfRule>
    <cfRule type="expression" dxfId="1928" priority="10">
      <formula>AND(IF($Q99=2,1,0),IF($X99&lt;30,1,0))</formula>
    </cfRule>
    <cfRule type="expression" dxfId="1927" priority="11">
      <formula>AND(IF($Q99=3,1,0),IF($X99&lt;30,1,0))</formula>
    </cfRule>
    <cfRule type="expression" dxfId="1926" priority="12">
      <formula>AND(IF($Q99=3,1,IF($Q99=4,1,0)),IF($F99&lt;=85,1,0))</formula>
    </cfRule>
  </conditionalFormatting>
  <conditionalFormatting sqref="X99">
    <cfRule type="expression" dxfId="1925" priority="5">
      <formula>AND(IF(OR($Q99=1,$Q99=2),1,0),IF($X99&lt;=20,1,0))</formula>
    </cfRule>
    <cfRule type="expression" dxfId="1924" priority="6">
      <formula>AND(IF($Q99=2,1,0),IF($X99&lt;30,1,0))</formula>
    </cfRule>
    <cfRule type="expression" dxfId="1923" priority="7">
      <formula>AND(IF($Q99=3,1,0),IF($X99&lt;30,1,0))</formula>
    </cfRule>
    <cfRule type="expression" dxfId="1922" priority="8">
      <formula>AND(IF($Q99=3,1,IF($Q99=4,1,0)),IF($F99&lt;=85,1,0))</formula>
    </cfRule>
  </conditionalFormatting>
  <conditionalFormatting sqref="AI99">
    <cfRule type="expression" dxfId="1921" priority="1">
      <formula>AND(IF(OR($Q99=1,$Q99=2),1,0),IF($X99&lt;=20,1,0))</formula>
    </cfRule>
    <cfRule type="expression" dxfId="1920" priority="2">
      <formula>AND(IF($Q99=2,1,0),IF($X99&lt;30,1,0))</formula>
    </cfRule>
    <cfRule type="expression" dxfId="1919" priority="3">
      <formula>AND(IF($Q99=3,1,0),IF($X99&lt;30,1,0))</formula>
    </cfRule>
    <cfRule type="expression" dxfId="1918" priority="4">
      <formula>AND(IF($Q99=3,1,IF($Q99=4,1,0)),IF($F99&lt;=85,1,0))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1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6" sqref="A16:XFD1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인후동2가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1275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인후동2가 인후에버파크('16.07.,250^)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1291</v>
      </c>
      <c r="B6" s="10" t="s">
        <v>1615</v>
      </c>
      <c r="C6" s="87">
        <v>250</v>
      </c>
      <c r="D6" s="85">
        <v>77.7</v>
      </c>
      <c r="E6" s="86">
        <v>24</v>
      </c>
      <c r="F6" s="85">
        <v>55.8</v>
      </c>
      <c r="G6" s="17">
        <v>17</v>
      </c>
      <c r="H6" s="87">
        <v>70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59</v>
      </c>
      <c r="T6" s="5">
        <v>77</v>
      </c>
      <c r="U6" s="9"/>
      <c r="W6" s="85">
        <f t="shared" ref="W6:X10" si="2">D6</f>
        <v>77.7</v>
      </c>
      <c r="X6" s="86">
        <f t="shared" si="2"/>
        <v>24</v>
      </c>
      <c r="Y6" s="91">
        <f t="shared" ref="Y6:Z10" si="3">H6</f>
        <v>70</v>
      </c>
      <c r="Z6" s="89">
        <f t="shared" si="3"/>
        <v>0</v>
      </c>
      <c r="AA6" s="89">
        <f>K6</f>
        <v>0</v>
      </c>
      <c r="AB6" s="89">
        <f t="shared" ref="AB6:AD10" si="4">M6</f>
        <v>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3/2</v>
      </c>
      <c r="AH6" s="20" t="str">
        <f t="shared" si="1"/>
        <v>인후에버파크</v>
      </c>
      <c r="AI6" s="86">
        <f t="shared" si="0"/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X</v>
      </c>
      <c r="AV6" s="78" t="str">
        <f>IF(AO6="","",IF(AND(AO6="O",AP6="O",AR6="O",AT6="O",AU6="O"),"후보","X"))</f>
        <v/>
      </c>
    </row>
    <row r="7" spans="1:48" x14ac:dyDescent="0.3">
      <c r="A7" s="9" t="s">
        <v>1291</v>
      </c>
      <c r="B7" s="10" t="s">
        <v>1615</v>
      </c>
      <c r="C7" s="87">
        <v>250</v>
      </c>
      <c r="D7" s="85">
        <v>83.3</v>
      </c>
      <c r="E7" s="86">
        <v>25</v>
      </c>
      <c r="F7" s="85">
        <v>57.9</v>
      </c>
      <c r="G7" s="17">
        <v>18</v>
      </c>
      <c r="H7" s="87">
        <v>15</v>
      </c>
      <c r="I7" s="88"/>
      <c r="J7" s="88"/>
      <c r="K7" s="88"/>
      <c r="L7" s="88"/>
      <c r="M7" s="89">
        <f>I7-K7</f>
        <v>0</v>
      </c>
      <c r="N7" s="4" t="str">
        <f>IF(ISERROR(K7/I7),"",K7/I7)</f>
        <v/>
      </c>
      <c r="O7" s="90">
        <f>I7/E7</f>
        <v>0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103</v>
      </c>
      <c r="U7" s="9"/>
      <c r="W7" s="85">
        <f t="shared" si="2"/>
        <v>83.3</v>
      </c>
      <c r="X7" s="86">
        <f t="shared" si="2"/>
        <v>25</v>
      </c>
      <c r="Y7" s="91">
        <f t="shared" si="3"/>
        <v>15</v>
      </c>
      <c r="Z7" s="89">
        <f t="shared" si="3"/>
        <v>0</v>
      </c>
      <c r="AA7" s="89">
        <f>K7</f>
        <v>0</v>
      </c>
      <c r="AB7" s="89">
        <f t="shared" si="4"/>
        <v>0</v>
      </c>
      <c r="AC7" s="4" t="str">
        <f t="shared" si="4"/>
        <v/>
      </c>
      <c r="AD7" s="90">
        <f t="shared" si="4"/>
        <v>0</v>
      </c>
      <c r="AE7" s="78" t="str">
        <f>S7</f>
        <v>계</v>
      </c>
      <c r="AF7" s="78" t="str">
        <f>Q7&amp;"/"&amp;R7</f>
        <v>3/2</v>
      </c>
      <c r="AH7" s="20" t="str">
        <f t="shared" si="1"/>
        <v>인후에버파크</v>
      </c>
      <c r="AI7" s="86">
        <f t="shared" si="0"/>
        <v>25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/>
      </c>
      <c r="AP7" s="78" t="str">
        <f>IF(I7="","",IF(I7&lt;=$AP$1,"O","X"))</f>
        <v/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X</v>
      </c>
      <c r="AV7" s="78" t="str">
        <f>IF(AO7="","",IF(AND(AO7="O",AP7="O",AR7="O",AT7="O",AU7="O"),"후보","X"))</f>
        <v/>
      </c>
    </row>
    <row r="8" spans="1:48" x14ac:dyDescent="0.3">
      <c r="A8" s="9" t="s">
        <v>1291</v>
      </c>
      <c r="B8" s="10" t="s">
        <v>1615</v>
      </c>
      <c r="C8" s="87">
        <v>250</v>
      </c>
      <c r="D8" s="85">
        <v>83.1</v>
      </c>
      <c r="E8" s="86">
        <v>25</v>
      </c>
      <c r="F8" s="85">
        <v>57.8</v>
      </c>
      <c r="G8" s="17">
        <v>17</v>
      </c>
      <c r="H8" s="87">
        <v>14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59</v>
      </c>
      <c r="T8" s="5" t="s">
        <v>112</v>
      </c>
      <c r="U8" s="9"/>
      <c r="W8" s="85">
        <f t="shared" si="2"/>
        <v>83.1</v>
      </c>
      <c r="X8" s="86">
        <f t="shared" si="2"/>
        <v>25</v>
      </c>
      <c r="Y8" s="91">
        <f t="shared" si="3"/>
        <v>14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인후에버파크</v>
      </c>
      <c r="AI8" s="86">
        <f t="shared" si="0"/>
        <v>25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X</v>
      </c>
      <c r="AV8" s="78" t="str">
        <f>IF(AO8="","",IF(AND(AO8="O",AP8="O",AR8="O",AT8="O",AU8="O"),"후보","X"))</f>
        <v/>
      </c>
    </row>
    <row r="9" spans="1:48" x14ac:dyDescent="0.3">
      <c r="A9" s="9" t="s">
        <v>1291</v>
      </c>
      <c r="B9" s="10" t="s">
        <v>1615</v>
      </c>
      <c r="C9" s="87">
        <v>250</v>
      </c>
      <c r="D9" s="85">
        <v>88</v>
      </c>
      <c r="E9" s="86">
        <v>27</v>
      </c>
      <c r="F9" s="85">
        <v>63.9</v>
      </c>
      <c r="G9" s="17">
        <v>19</v>
      </c>
      <c r="H9" s="87">
        <v>115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2</v>
      </c>
      <c r="S9" s="78" t="s">
        <v>59</v>
      </c>
      <c r="T9" s="5">
        <v>88</v>
      </c>
      <c r="U9" s="9"/>
      <c r="W9" s="85">
        <f t="shared" si="2"/>
        <v>88</v>
      </c>
      <c r="X9" s="86">
        <f t="shared" si="2"/>
        <v>27</v>
      </c>
      <c r="Y9" s="91">
        <f t="shared" si="3"/>
        <v>115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8" t="str">
        <f>S9</f>
        <v>계</v>
      </c>
      <c r="AF9" s="78" t="str">
        <f>Q9&amp;"/"&amp;R9</f>
        <v>3/2</v>
      </c>
      <c r="AH9" s="20" t="str">
        <f t="shared" si="1"/>
        <v>인후에버파크</v>
      </c>
      <c r="AI9" s="86">
        <f t="shared" si="0"/>
        <v>27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X</v>
      </c>
      <c r="AV9" s="78" t="str">
        <f>IF(AO9="","",IF(AND(AO9="O",AP9="O",AR9="O",AT9="O",AU9="O"),"후보","X"))</f>
        <v/>
      </c>
    </row>
    <row r="10" spans="1:48" x14ac:dyDescent="0.3">
      <c r="A10" s="9" t="s">
        <v>1291</v>
      </c>
      <c r="B10" s="10" t="s">
        <v>1615</v>
      </c>
      <c r="C10" s="87">
        <v>250</v>
      </c>
      <c r="D10" s="85">
        <v>101.4</v>
      </c>
      <c r="E10" s="86">
        <v>31</v>
      </c>
      <c r="F10" s="85">
        <v>73.3</v>
      </c>
      <c r="G10" s="17">
        <v>22</v>
      </c>
      <c r="H10" s="87">
        <v>36</v>
      </c>
      <c r="I10" s="88"/>
      <c r="J10" s="88"/>
      <c r="K10" s="88"/>
      <c r="L10" s="88"/>
      <c r="M10" s="89">
        <f>I10-K10</f>
        <v>0</v>
      </c>
      <c r="N10" s="4" t="str">
        <f>IF(ISERROR(K10/I10),"",K10/I10)</f>
        <v/>
      </c>
      <c r="O10" s="90">
        <f>I10/E10</f>
        <v>0</v>
      </c>
      <c r="P10" s="90">
        <f>K10/E10</f>
        <v>0</v>
      </c>
      <c r="Q10" s="78">
        <v>3</v>
      </c>
      <c r="R10" s="78">
        <v>2</v>
      </c>
      <c r="S10" s="78" t="s">
        <v>59</v>
      </c>
      <c r="T10" s="5">
        <v>101</v>
      </c>
      <c r="U10" s="9"/>
      <c r="W10" s="85">
        <f t="shared" si="2"/>
        <v>101.4</v>
      </c>
      <c r="X10" s="86">
        <f t="shared" si="2"/>
        <v>31</v>
      </c>
      <c r="Y10" s="91">
        <f t="shared" si="3"/>
        <v>36</v>
      </c>
      <c r="Z10" s="89">
        <f t="shared" si="3"/>
        <v>0</v>
      </c>
      <c r="AA10" s="89">
        <f>K10</f>
        <v>0</v>
      </c>
      <c r="AB10" s="89">
        <f t="shared" si="4"/>
        <v>0</v>
      </c>
      <c r="AC10" s="4" t="str">
        <f t="shared" si="4"/>
        <v/>
      </c>
      <c r="AD10" s="90">
        <f t="shared" si="4"/>
        <v>0</v>
      </c>
      <c r="AE10" s="78" t="str">
        <f>S10</f>
        <v>계</v>
      </c>
      <c r="AF10" s="78" t="str">
        <f>Q10&amp;"/"&amp;R10</f>
        <v>3/2</v>
      </c>
      <c r="AH10" s="20" t="str">
        <f t="shared" si="1"/>
        <v>인후에버파크</v>
      </c>
      <c r="AI10" s="86">
        <f t="shared" si="0"/>
        <v>31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/>
      </c>
      <c r="AP10" s="78" t="str">
        <f>IF(I10="","",IF(I10&lt;=$AP$1,"O","X"))</f>
        <v/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X</v>
      </c>
      <c r="AV10" s="78" t="str">
        <f>IF(AO10="","",IF(AND(AO10="O",AP10="O",AR10="O",AT10="O",AU10="O"),"후보","X"))</f>
        <v/>
      </c>
    </row>
    <row r="11" spans="1:48" x14ac:dyDescent="0.3">
      <c r="A11" s="9"/>
      <c r="B11" s="78"/>
      <c r="C11" s="6"/>
      <c r="D11" s="9"/>
      <c r="E11" s="14"/>
      <c r="F11" s="85"/>
      <c r="G11" s="9"/>
      <c r="H11" s="9"/>
      <c r="I11" s="9"/>
      <c r="J11" s="9"/>
      <c r="K11" s="9"/>
      <c r="L11" s="9"/>
      <c r="M11" s="9"/>
      <c r="N11" s="9"/>
      <c r="O11" s="90"/>
      <c r="P11" s="90"/>
      <c r="Q11" s="86"/>
      <c r="R11" s="86"/>
      <c r="S11" s="9"/>
      <c r="T11" s="47"/>
      <c r="U11" s="9"/>
      <c r="W11" s="67" t="str">
        <f>$A$4&amp;" "&amp;A12&amp;"("&amp;B12&amp;","&amp;C12&amp;"^)"</f>
        <v>인후동2가 건지산이지움('16.08.,371^)</v>
      </c>
      <c r="X11" s="68"/>
      <c r="Y11" s="68"/>
      <c r="Z11" s="68"/>
      <c r="AA11" s="68"/>
      <c r="AB11" s="68"/>
      <c r="AC11" s="68"/>
      <c r="AD11" s="68"/>
      <c r="AE11" s="68"/>
      <c r="AF11" s="69"/>
      <c r="AH11" s="20" t="str">
        <f t="shared" si="1"/>
        <v/>
      </c>
      <c r="AI11" s="108" t="str">
        <f t="shared" si="0"/>
        <v/>
      </c>
      <c r="AJ11" s="78"/>
      <c r="AK11" s="78"/>
      <c r="AL11" s="78"/>
      <c r="AM11" s="78"/>
      <c r="AN11" s="78"/>
      <c r="AO11" s="78"/>
      <c r="AP11" s="78"/>
      <c r="AQ11" s="78"/>
      <c r="AR11" s="78"/>
      <c r="AS11" s="78"/>
      <c r="AT11" s="78"/>
      <c r="AU11" s="78"/>
      <c r="AV11" s="78"/>
    </row>
    <row r="12" spans="1:48" x14ac:dyDescent="0.3">
      <c r="A12" s="9" t="s">
        <v>1319</v>
      </c>
      <c r="B12" s="10" t="s">
        <v>1616</v>
      </c>
      <c r="C12" s="87">
        <v>371</v>
      </c>
      <c r="D12" s="85">
        <v>83.7</v>
      </c>
      <c r="E12" s="86">
        <v>25</v>
      </c>
      <c r="F12" s="85">
        <v>59.9</v>
      </c>
      <c r="G12" s="17">
        <v>18</v>
      </c>
      <c r="H12" s="87">
        <v>179</v>
      </c>
      <c r="I12" s="88">
        <v>31000</v>
      </c>
      <c r="J12" s="88" t="s">
        <v>127</v>
      </c>
      <c r="K12" s="88"/>
      <c r="L12" s="88"/>
      <c r="M12" s="89">
        <f>I12-K12</f>
        <v>31000</v>
      </c>
      <c r="N12" s="4">
        <f>IF(ISERROR(K12/I12),"",K12/I12)</f>
        <v>0</v>
      </c>
      <c r="O12" s="90">
        <f>I12/E12</f>
        <v>1240</v>
      </c>
      <c r="P12" s="90">
        <f>K12/E12</f>
        <v>0</v>
      </c>
      <c r="Q12" s="78">
        <v>3</v>
      </c>
      <c r="R12" s="78">
        <v>2</v>
      </c>
      <c r="S12" s="78" t="s">
        <v>59</v>
      </c>
      <c r="T12" s="5" t="s">
        <v>112</v>
      </c>
      <c r="U12" s="9"/>
      <c r="W12" s="85">
        <f t="shared" ref="W12:X16" si="5">D12</f>
        <v>83.7</v>
      </c>
      <c r="X12" s="86">
        <f t="shared" si="5"/>
        <v>25</v>
      </c>
      <c r="Y12" s="91">
        <f t="shared" ref="Y12:Z16" si="6">H12</f>
        <v>179</v>
      </c>
      <c r="Z12" s="89">
        <f t="shared" si="6"/>
        <v>31000</v>
      </c>
      <c r="AA12" s="89">
        <f>K12</f>
        <v>0</v>
      </c>
      <c r="AB12" s="89">
        <f t="shared" ref="AB12:AD16" si="7">M12</f>
        <v>31000</v>
      </c>
      <c r="AC12" s="4">
        <f t="shared" si="7"/>
        <v>0</v>
      </c>
      <c r="AD12" s="90">
        <f t="shared" si="7"/>
        <v>1240</v>
      </c>
      <c r="AE12" s="78" t="str">
        <f>S12</f>
        <v>계</v>
      </c>
      <c r="AF12" s="78" t="str">
        <f>Q12&amp;"/"&amp;R12</f>
        <v>3/2</v>
      </c>
      <c r="AH12" s="20" t="str">
        <f t="shared" si="1"/>
        <v>건지산이지움</v>
      </c>
      <c r="AI12" s="86">
        <f t="shared" si="0"/>
        <v>25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1319</v>
      </c>
      <c r="B13" s="10" t="s">
        <v>1616</v>
      </c>
      <c r="C13" s="87">
        <v>371</v>
      </c>
      <c r="D13" s="85">
        <v>83.8</v>
      </c>
      <c r="E13" s="86">
        <v>25</v>
      </c>
      <c r="F13" s="85">
        <v>60</v>
      </c>
      <c r="G13" s="17">
        <v>18</v>
      </c>
      <c r="H13" s="87">
        <v>20</v>
      </c>
      <c r="I13" s="88">
        <v>30000</v>
      </c>
      <c r="J13" s="88" t="s">
        <v>69</v>
      </c>
      <c r="K13" s="88"/>
      <c r="L13" s="88"/>
      <c r="M13" s="89">
        <f>I13-K13</f>
        <v>30000</v>
      </c>
      <c r="N13" s="4">
        <f>IF(ISERROR(K13/I13),"",K13/I13)</f>
        <v>0</v>
      </c>
      <c r="O13" s="90">
        <f>I13/E13</f>
        <v>1200</v>
      </c>
      <c r="P13" s="90">
        <f>K13/E13</f>
        <v>0</v>
      </c>
      <c r="Q13" s="78">
        <v>3</v>
      </c>
      <c r="R13" s="78">
        <v>2</v>
      </c>
      <c r="S13" s="78" t="s">
        <v>59</v>
      </c>
      <c r="T13" s="5" t="s">
        <v>216</v>
      </c>
      <c r="U13" s="9"/>
      <c r="W13" s="85">
        <f t="shared" si="5"/>
        <v>83.8</v>
      </c>
      <c r="X13" s="86">
        <f t="shared" si="5"/>
        <v>25</v>
      </c>
      <c r="Y13" s="91">
        <f t="shared" si="6"/>
        <v>20</v>
      </c>
      <c r="Z13" s="89">
        <f t="shared" si="6"/>
        <v>30000</v>
      </c>
      <c r="AA13" s="89">
        <f>K13</f>
        <v>0</v>
      </c>
      <c r="AB13" s="89">
        <f t="shared" si="7"/>
        <v>30000</v>
      </c>
      <c r="AC13" s="4">
        <f t="shared" si="7"/>
        <v>0</v>
      </c>
      <c r="AD13" s="90">
        <f t="shared" si="7"/>
        <v>1200</v>
      </c>
      <c r="AE13" s="78" t="str">
        <f>S13</f>
        <v>계</v>
      </c>
      <c r="AF13" s="78" t="str">
        <f>Q13&amp;"/"&amp;R13</f>
        <v>3/2</v>
      </c>
      <c r="AH13" s="20" t="str">
        <f t="shared" si="1"/>
        <v>건지산이지움</v>
      </c>
      <c r="AI13" s="86">
        <f t="shared" si="0"/>
        <v>25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O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 t="s">
        <v>1319</v>
      </c>
      <c r="B14" s="10" t="s">
        <v>1616</v>
      </c>
      <c r="C14" s="87">
        <v>371</v>
      </c>
      <c r="D14" s="85">
        <v>84.4</v>
      </c>
      <c r="E14" s="86">
        <v>26</v>
      </c>
      <c r="F14" s="85">
        <v>60</v>
      </c>
      <c r="G14" s="17">
        <v>18</v>
      </c>
      <c r="H14" s="87">
        <v>86</v>
      </c>
      <c r="I14" s="88">
        <v>30000</v>
      </c>
      <c r="J14" s="88" t="s">
        <v>68</v>
      </c>
      <c r="K14" s="88">
        <v>25000</v>
      </c>
      <c r="L14" s="88" t="s">
        <v>68</v>
      </c>
      <c r="M14" s="89">
        <f>I14-K14</f>
        <v>5000</v>
      </c>
      <c r="N14" s="4">
        <f>IF(ISERROR(K14/I14),"",K14/I14)</f>
        <v>0.83333333333333337</v>
      </c>
      <c r="O14" s="90">
        <f>I14/E14</f>
        <v>1153.8461538461538</v>
      </c>
      <c r="P14" s="90">
        <f>K14/E14</f>
        <v>961.53846153846155</v>
      </c>
      <c r="Q14" s="78">
        <v>3</v>
      </c>
      <c r="R14" s="78">
        <v>2</v>
      </c>
      <c r="S14" s="78" t="s">
        <v>59</v>
      </c>
      <c r="T14" s="5" t="s">
        <v>217</v>
      </c>
      <c r="U14" s="9"/>
      <c r="W14" s="85">
        <f t="shared" si="5"/>
        <v>84.4</v>
      </c>
      <c r="X14" s="86">
        <f t="shared" si="5"/>
        <v>26</v>
      </c>
      <c r="Y14" s="91">
        <f t="shared" si="6"/>
        <v>86</v>
      </c>
      <c r="Z14" s="89">
        <f t="shared" si="6"/>
        <v>30000</v>
      </c>
      <c r="AA14" s="89">
        <f>K14</f>
        <v>25000</v>
      </c>
      <c r="AB14" s="89">
        <f t="shared" si="7"/>
        <v>5000</v>
      </c>
      <c r="AC14" s="4">
        <f t="shared" si="7"/>
        <v>0.83333333333333337</v>
      </c>
      <c r="AD14" s="90">
        <f t="shared" si="7"/>
        <v>1153.8461538461538</v>
      </c>
      <c r="AE14" s="78" t="str">
        <f>S14</f>
        <v>계</v>
      </c>
      <c r="AF14" s="78" t="str">
        <f>Q14&amp;"/"&amp;R14</f>
        <v>3/2</v>
      </c>
      <c r="AH14" s="20" t="str">
        <f t="shared" si="1"/>
        <v>건지산이지움</v>
      </c>
      <c r="AI14" s="86">
        <f t="shared" si="0"/>
        <v>26</v>
      </c>
      <c r="AJ14" s="78" t="str">
        <f>IF(AI14="","",$AJ$2)</f>
        <v>A-</v>
      </c>
      <c r="AK14" s="78" t="s">
        <v>13</v>
      </c>
      <c r="AL14" s="78" t="s">
        <v>61</v>
      </c>
      <c r="AM14" s="78" t="s">
        <v>62</v>
      </c>
      <c r="AN14" s="78" t="str">
        <f>IF(AI14="","",$AN$2)</f>
        <v>C</v>
      </c>
      <c r="AO14" s="78" t="str">
        <f>IF(N14="","",IF(N14&gt;=$AO$1/100,"O","X"))</f>
        <v>O</v>
      </c>
      <c r="AP14" s="78" t="str">
        <f>IF(I14="","",IF(I14&lt;=$AP$1,"O","X"))</f>
        <v>O</v>
      </c>
      <c r="AQ14" s="78" t="str">
        <f>IF(O14="","",IF(O14&lt;=$AQ$1,"O","X"))</f>
        <v>X</v>
      </c>
      <c r="AR14" s="78" t="str">
        <f>IF(M14="","",IF(M14&lt;=$AR$1,"O","X"))</f>
        <v>O</v>
      </c>
      <c r="AS14" s="78" t="s">
        <v>2</v>
      </c>
      <c r="AT14" s="78" t="str">
        <f>IF(OR(F14="",AI14=""),"",IF(AND((F14&lt;=85),(AI14&gt;=15)),"O","X"))</f>
        <v>O</v>
      </c>
      <c r="AU14" s="78" t="str">
        <f>IF(C14="","",IF(C14&gt;=$AU$1,"O","X"))</f>
        <v>O</v>
      </c>
      <c r="AV14" s="78" t="str">
        <f>IF(AO14="","",IF(AND(AO14="O",AP14="O",AR14="O",AT14="O",AU14="O"),"후보","X"))</f>
        <v>후보</v>
      </c>
    </row>
    <row r="15" spans="1:48" x14ac:dyDescent="0.3">
      <c r="A15" s="9" t="s">
        <v>1319</v>
      </c>
      <c r="B15" s="10" t="s">
        <v>1616</v>
      </c>
      <c r="C15" s="87">
        <v>371</v>
      </c>
      <c r="D15" s="85">
        <v>84</v>
      </c>
      <c r="E15" s="86">
        <v>25</v>
      </c>
      <c r="F15" s="85">
        <v>60</v>
      </c>
      <c r="G15" s="17">
        <v>18</v>
      </c>
      <c r="H15" s="87">
        <v>84</v>
      </c>
      <c r="I15" s="88">
        <v>31000</v>
      </c>
      <c r="J15" s="88" t="s">
        <v>68</v>
      </c>
      <c r="K15" s="88"/>
      <c r="L15" s="88"/>
      <c r="M15" s="89">
        <f>I15-K15</f>
        <v>31000</v>
      </c>
      <c r="N15" s="4">
        <f>IF(ISERROR(K15/I15),"",K15/I15)</f>
        <v>0</v>
      </c>
      <c r="O15" s="90">
        <f>I15/E15</f>
        <v>1240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 t="s">
        <v>63</v>
      </c>
      <c r="U15" s="9"/>
      <c r="W15" s="85">
        <f t="shared" si="5"/>
        <v>84</v>
      </c>
      <c r="X15" s="86">
        <f t="shared" si="5"/>
        <v>25</v>
      </c>
      <c r="Y15" s="91">
        <f t="shared" si="6"/>
        <v>84</v>
      </c>
      <c r="Z15" s="89">
        <f t="shared" si="6"/>
        <v>31000</v>
      </c>
      <c r="AA15" s="89">
        <f>K15</f>
        <v>0</v>
      </c>
      <c r="AB15" s="89">
        <f t="shared" si="7"/>
        <v>31000</v>
      </c>
      <c r="AC15" s="4">
        <f t="shared" si="7"/>
        <v>0</v>
      </c>
      <c r="AD15" s="90">
        <f t="shared" si="7"/>
        <v>1240</v>
      </c>
      <c r="AE15" s="78" t="str">
        <f>S15</f>
        <v>계</v>
      </c>
      <c r="AF15" s="78" t="str">
        <f>Q15&amp;"/"&amp;R15</f>
        <v>3/2</v>
      </c>
      <c r="AH15" s="20" t="str">
        <f t="shared" si="1"/>
        <v>건지산이지움</v>
      </c>
      <c r="AI15" s="86">
        <f t="shared" si="0"/>
        <v>25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1319</v>
      </c>
      <c r="B16" s="10" t="s">
        <v>1616</v>
      </c>
      <c r="C16" s="87">
        <v>371</v>
      </c>
      <c r="D16" s="85">
        <v>84.5</v>
      </c>
      <c r="E16" s="86">
        <v>26</v>
      </c>
      <c r="F16" s="85">
        <v>60</v>
      </c>
      <c r="G16" s="17">
        <v>18</v>
      </c>
      <c r="H16" s="87">
        <v>2</v>
      </c>
      <c r="I16" s="88"/>
      <c r="J16" s="88"/>
      <c r="K16" s="88"/>
      <c r="L16" s="88"/>
      <c r="M16" s="89">
        <f>I16-K16</f>
        <v>0</v>
      </c>
      <c r="N16" s="4" t="str">
        <f>IF(ISERROR(K16/I16),"",K16/I16)</f>
        <v/>
      </c>
      <c r="O16" s="90">
        <f>I16/E16</f>
        <v>0</v>
      </c>
      <c r="P16" s="90">
        <f>K16/E16</f>
        <v>0</v>
      </c>
      <c r="Q16" s="78">
        <v>3</v>
      </c>
      <c r="R16" s="78">
        <v>2</v>
      </c>
      <c r="S16" s="78" t="s">
        <v>59</v>
      </c>
      <c r="T16" s="5" t="s">
        <v>218</v>
      </c>
      <c r="U16" s="9"/>
      <c r="W16" s="85">
        <f t="shared" si="5"/>
        <v>84.5</v>
      </c>
      <c r="X16" s="86">
        <f t="shared" si="5"/>
        <v>26</v>
      </c>
      <c r="Y16" s="91">
        <f t="shared" si="6"/>
        <v>2</v>
      </c>
      <c r="Z16" s="89">
        <f t="shared" si="6"/>
        <v>0</v>
      </c>
      <c r="AA16" s="89">
        <f>K16</f>
        <v>0</v>
      </c>
      <c r="AB16" s="89">
        <f t="shared" si="7"/>
        <v>0</v>
      </c>
      <c r="AC16" s="4" t="str">
        <f t="shared" si="7"/>
        <v/>
      </c>
      <c r="AD16" s="90">
        <f t="shared" si="7"/>
        <v>0</v>
      </c>
      <c r="AE16" s="78" t="str">
        <f>S16</f>
        <v>계</v>
      </c>
      <c r="AF16" s="78" t="str">
        <f>Q16&amp;"/"&amp;R16</f>
        <v>3/2</v>
      </c>
      <c r="AH16" s="20" t="str">
        <f t="shared" si="1"/>
        <v>건지산이지움</v>
      </c>
      <c r="AI16" s="86">
        <f t="shared" si="0"/>
        <v>26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/>
      </c>
      <c r="AP16" s="78" t="str">
        <f>IF(I16="","",IF(I16&lt;=$AP$1,"O","X"))</f>
        <v/>
      </c>
      <c r="AQ16" s="78" t="str">
        <f>IF(O16="","",IF(O16&lt;=$AQ$1,"O","X"))</f>
        <v>O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/>
      </c>
    </row>
  </sheetData>
  <mergeCells count="1">
    <mergeCell ref="AJ1:AN1"/>
  </mergeCells>
  <phoneticPr fontId="2" type="noConversion"/>
  <conditionalFormatting sqref="AV4:AV6">
    <cfRule type="expression" dxfId="1917" priority="196">
      <formula>AV4="X"</formula>
    </cfRule>
    <cfRule type="expression" dxfId="1916" priority="197">
      <formula>AV4="후보"</formula>
    </cfRule>
  </conditionalFormatting>
  <conditionalFormatting sqref="AC1:AC2 AC4:AC6 N4:N5">
    <cfRule type="cellIs" dxfId="1915" priority="193" operator="greaterThan">
      <formula>0.9</formula>
    </cfRule>
    <cfRule type="cellIs" dxfId="1914" priority="194" operator="greaterThan">
      <formula>0.85</formula>
    </cfRule>
  </conditionalFormatting>
  <conditionalFormatting sqref="N1:N2">
    <cfRule type="cellIs" dxfId="1913" priority="191" operator="greaterThan">
      <formula>0.9</formula>
    </cfRule>
    <cfRule type="cellIs" dxfId="1912" priority="192" operator="greaterThan">
      <formula>0.85</formula>
    </cfRule>
  </conditionalFormatting>
  <conditionalFormatting sqref="N6">
    <cfRule type="cellIs" dxfId="1911" priority="189" operator="greaterThan">
      <formula>0.9</formula>
    </cfRule>
    <cfRule type="cellIs" dxfId="1910" priority="190" operator="greaterThan">
      <formula>0.85</formula>
    </cfRule>
  </conditionalFormatting>
  <conditionalFormatting sqref="E6">
    <cfRule type="expression" dxfId="1909" priority="185">
      <formula>AND(IF(OR($Q6=1,$Q6=2),1,0),IF($X6&lt;=20,1,0))</formula>
    </cfRule>
    <cfRule type="expression" dxfId="1908" priority="186">
      <formula>AND(IF($Q6=2,1,0),IF($X6&lt;30,1,0))</formula>
    </cfRule>
    <cfRule type="expression" dxfId="1907" priority="187">
      <formula>AND(IF($Q6=3,1,0),IF($X6&lt;30,1,0))</formula>
    </cfRule>
    <cfRule type="expression" dxfId="1906" priority="188">
      <formula>AND(IF($Q6=3,1,IF($Q6=4,1,0)),IF($F6&lt;=85,1,0))</formula>
    </cfRule>
  </conditionalFormatting>
  <conditionalFormatting sqref="X6">
    <cfRule type="expression" dxfId="1905" priority="181">
      <formula>AND(IF(OR($Q6=1,$Q6=2),1,0),IF($X6&lt;=20,1,0))</formula>
    </cfRule>
    <cfRule type="expression" dxfId="1904" priority="182">
      <formula>AND(IF($Q6=2,1,0),IF($X6&lt;30,1,0))</formula>
    </cfRule>
    <cfRule type="expression" dxfId="1903" priority="183">
      <formula>AND(IF($Q6=3,1,0),IF($X6&lt;30,1,0))</formula>
    </cfRule>
    <cfRule type="expression" dxfId="1902" priority="184">
      <formula>AND(IF($Q6=3,1,IF($Q6=4,1,0)),IF($F6&lt;=85,1,0))</formula>
    </cfRule>
  </conditionalFormatting>
  <conditionalFormatting sqref="AI6">
    <cfRule type="expression" dxfId="1901" priority="177">
      <formula>AND(IF(OR($Q6=1,$Q6=2),1,0),IF($X6&lt;=20,1,0))</formula>
    </cfRule>
    <cfRule type="expression" dxfId="1900" priority="178">
      <formula>AND(IF($Q6=2,1,0),IF($X6&lt;30,1,0))</formula>
    </cfRule>
    <cfRule type="expression" dxfId="1899" priority="179">
      <formula>AND(IF($Q6=3,1,0),IF($X6&lt;30,1,0))</formula>
    </cfRule>
    <cfRule type="expression" dxfId="1898" priority="180">
      <formula>AND(IF($Q6=3,1,IF($Q6=4,1,0)),IF($F6&lt;=85,1,0))</formula>
    </cfRule>
  </conditionalFormatting>
  <conditionalFormatting sqref="AV7">
    <cfRule type="expression" dxfId="1897" priority="175">
      <formula>AV7="X"</formula>
    </cfRule>
    <cfRule type="expression" dxfId="1896" priority="176">
      <formula>AV7="후보"</formula>
    </cfRule>
  </conditionalFormatting>
  <conditionalFormatting sqref="AC7">
    <cfRule type="cellIs" dxfId="1895" priority="172" operator="greaterThan">
      <formula>0.9</formula>
    </cfRule>
    <cfRule type="cellIs" dxfId="1894" priority="173" operator="greaterThan">
      <formula>0.85</formula>
    </cfRule>
  </conditionalFormatting>
  <conditionalFormatting sqref="N7">
    <cfRule type="cellIs" dxfId="1893" priority="170" operator="greaterThan">
      <formula>0.9</formula>
    </cfRule>
    <cfRule type="cellIs" dxfId="1892" priority="171" operator="greaterThan">
      <formula>0.85</formula>
    </cfRule>
  </conditionalFormatting>
  <conditionalFormatting sqref="E7">
    <cfRule type="expression" dxfId="1891" priority="166">
      <formula>AND(IF(OR($Q7=1,$Q7=2),1,0),IF($X7&lt;=20,1,0))</formula>
    </cfRule>
    <cfRule type="expression" dxfId="1890" priority="167">
      <formula>AND(IF($Q7=2,1,0),IF($X7&lt;30,1,0))</formula>
    </cfRule>
    <cfRule type="expression" dxfId="1889" priority="168">
      <formula>AND(IF($Q7=3,1,0),IF($X7&lt;30,1,0))</formula>
    </cfRule>
    <cfRule type="expression" dxfId="1888" priority="169">
      <formula>AND(IF($Q7=3,1,IF($Q7=4,1,0)),IF($F7&lt;=85,1,0))</formula>
    </cfRule>
  </conditionalFormatting>
  <conditionalFormatting sqref="X7">
    <cfRule type="expression" dxfId="1887" priority="162">
      <formula>AND(IF(OR($Q7=1,$Q7=2),1,0),IF($X7&lt;=20,1,0))</formula>
    </cfRule>
    <cfRule type="expression" dxfId="1886" priority="163">
      <formula>AND(IF($Q7=2,1,0),IF($X7&lt;30,1,0))</formula>
    </cfRule>
    <cfRule type="expression" dxfId="1885" priority="164">
      <formula>AND(IF($Q7=3,1,0),IF($X7&lt;30,1,0))</formula>
    </cfRule>
    <cfRule type="expression" dxfId="1884" priority="165">
      <formula>AND(IF($Q7=3,1,IF($Q7=4,1,0)),IF($F7&lt;=85,1,0))</formula>
    </cfRule>
  </conditionalFormatting>
  <conditionalFormatting sqref="AI7">
    <cfRule type="expression" dxfId="1883" priority="158">
      <formula>AND(IF(OR($Q7=1,$Q7=2),1,0),IF($X7&lt;=20,1,0))</formula>
    </cfRule>
    <cfRule type="expression" dxfId="1882" priority="159">
      <formula>AND(IF($Q7=2,1,0),IF($X7&lt;30,1,0))</formula>
    </cfRule>
    <cfRule type="expression" dxfId="1881" priority="160">
      <formula>AND(IF($Q7=3,1,0),IF($X7&lt;30,1,0))</formula>
    </cfRule>
    <cfRule type="expression" dxfId="1880" priority="161">
      <formula>AND(IF($Q7=3,1,IF($Q7=4,1,0)),IF($F7&lt;=85,1,0))</formula>
    </cfRule>
  </conditionalFormatting>
  <conditionalFormatting sqref="AV8">
    <cfRule type="expression" dxfId="1879" priority="156">
      <formula>AV8="X"</formula>
    </cfRule>
    <cfRule type="expression" dxfId="1878" priority="157">
      <formula>AV8="후보"</formula>
    </cfRule>
  </conditionalFormatting>
  <conditionalFormatting sqref="AC8">
    <cfRule type="cellIs" dxfId="1877" priority="153" operator="greaterThan">
      <formula>0.9</formula>
    </cfRule>
    <cfRule type="cellIs" dxfId="1876" priority="154" operator="greaterThan">
      <formula>0.85</formula>
    </cfRule>
  </conditionalFormatting>
  <conditionalFormatting sqref="N8">
    <cfRule type="cellIs" dxfId="1875" priority="151" operator="greaterThan">
      <formula>0.9</formula>
    </cfRule>
    <cfRule type="cellIs" dxfId="1874" priority="152" operator="greaterThan">
      <formula>0.85</formula>
    </cfRule>
  </conditionalFormatting>
  <conditionalFormatting sqref="E8">
    <cfRule type="expression" dxfId="1873" priority="147">
      <formula>AND(IF(OR($Q8=1,$Q8=2),1,0),IF($X8&lt;=20,1,0))</formula>
    </cfRule>
    <cfRule type="expression" dxfId="1872" priority="148">
      <formula>AND(IF($Q8=2,1,0),IF($X8&lt;30,1,0))</formula>
    </cfRule>
    <cfRule type="expression" dxfId="1871" priority="149">
      <formula>AND(IF($Q8=3,1,0),IF($X8&lt;30,1,0))</formula>
    </cfRule>
    <cfRule type="expression" dxfId="1870" priority="150">
      <formula>AND(IF($Q8=3,1,IF($Q8=4,1,0)),IF($F8&lt;=85,1,0))</formula>
    </cfRule>
  </conditionalFormatting>
  <conditionalFormatting sqref="X8">
    <cfRule type="expression" dxfId="1869" priority="143">
      <formula>AND(IF(OR($Q8=1,$Q8=2),1,0),IF($X8&lt;=20,1,0))</formula>
    </cfRule>
    <cfRule type="expression" dxfId="1868" priority="144">
      <formula>AND(IF($Q8=2,1,0),IF($X8&lt;30,1,0))</formula>
    </cfRule>
    <cfRule type="expression" dxfId="1867" priority="145">
      <formula>AND(IF($Q8=3,1,0),IF($X8&lt;30,1,0))</formula>
    </cfRule>
    <cfRule type="expression" dxfId="1866" priority="146">
      <formula>AND(IF($Q8=3,1,IF($Q8=4,1,0)),IF($F8&lt;=85,1,0))</formula>
    </cfRule>
  </conditionalFormatting>
  <conditionalFormatting sqref="AI8">
    <cfRule type="expression" dxfId="1865" priority="139">
      <formula>AND(IF(OR($Q8=1,$Q8=2),1,0),IF($X8&lt;=20,1,0))</formula>
    </cfRule>
    <cfRule type="expression" dxfId="1864" priority="140">
      <formula>AND(IF($Q8=2,1,0),IF($X8&lt;30,1,0))</formula>
    </cfRule>
    <cfRule type="expression" dxfId="1863" priority="141">
      <formula>AND(IF($Q8=3,1,0),IF($X8&lt;30,1,0))</formula>
    </cfRule>
    <cfRule type="expression" dxfId="1862" priority="142">
      <formula>AND(IF($Q8=3,1,IF($Q8=4,1,0)),IF($F8&lt;=85,1,0))</formula>
    </cfRule>
  </conditionalFormatting>
  <conditionalFormatting sqref="AV9">
    <cfRule type="expression" dxfId="1861" priority="137">
      <formula>AV9="X"</formula>
    </cfRule>
    <cfRule type="expression" dxfId="1860" priority="138">
      <formula>AV9="후보"</formula>
    </cfRule>
  </conditionalFormatting>
  <conditionalFormatting sqref="AC9">
    <cfRule type="cellIs" dxfId="1859" priority="134" operator="greaterThan">
      <formula>0.9</formula>
    </cfRule>
    <cfRule type="cellIs" dxfId="1858" priority="135" operator="greaterThan">
      <formula>0.85</formula>
    </cfRule>
  </conditionalFormatting>
  <conditionalFormatting sqref="N9">
    <cfRule type="cellIs" dxfId="1857" priority="132" operator="greaterThan">
      <formula>0.9</formula>
    </cfRule>
    <cfRule type="cellIs" dxfId="1856" priority="133" operator="greaterThan">
      <formula>0.85</formula>
    </cfRule>
  </conditionalFormatting>
  <conditionalFormatting sqref="E9">
    <cfRule type="expression" dxfId="1855" priority="128">
      <formula>AND(IF(OR($Q9=1,$Q9=2),1,0),IF($X9&lt;=20,1,0))</formula>
    </cfRule>
    <cfRule type="expression" dxfId="1854" priority="129">
      <formula>AND(IF($Q9=2,1,0),IF($X9&lt;30,1,0))</formula>
    </cfRule>
    <cfRule type="expression" dxfId="1853" priority="130">
      <formula>AND(IF($Q9=3,1,0),IF($X9&lt;30,1,0))</formula>
    </cfRule>
    <cfRule type="expression" dxfId="1852" priority="131">
      <formula>AND(IF($Q9=3,1,IF($Q9=4,1,0)),IF($F9&lt;=85,1,0))</formula>
    </cfRule>
  </conditionalFormatting>
  <conditionalFormatting sqref="X9">
    <cfRule type="expression" dxfId="1851" priority="124">
      <formula>AND(IF(OR($Q9=1,$Q9=2),1,0),IF($X9&lt;=20,1,0))</formula>
    </cfRule>
    <cfRule type="expression" dxfId="1850" priority="125">
      <formula>AND(IF($Q9=2,1,0),IF($X9&lt;30,1,0))</formula>
    </cfRule>
    <cfRule type="expression" dxfId="1849" priority="126">
      <formula>AND(IF($Q9=3,1,0),IF($X9&lt;30,1,0))</formula>
    </cfRule>
    <cfRule type="expression" dxfId="1848" priority="127">
      <formula>AND(IF($Q9=3,1,IF($Q9=4,1,0)),IF($F9&lt;=85,1,0))</formula>
    </cfRule>
  </conditionalFormatting>
  <conditionalFormatting sqref="AI9">
    <cfRule type="expression" dxfId="1847" priority="120">
      <formula>AND(IF(OR($Q9=1,$Q9=2),1,0),IF($X9&lt;=20,1,0))</formula>
    </cfRule>
    <cfRule type="expression" dxfId="1846" priority="121">
      <formula>AND(IF($Q9=2,1,0),IF($X9&lt;30,1,0))</formula>
    </cfRule>
    <cfRule type="expression" dxfId="1845" priority="122">
      <formula>AND(IF($Q9=3,1,0),IF($X9&lt;30,1,0))</formula>
    </cfRule>
    <cfRule type="expression" dxfId="1844" priority="123">
      <formula>AND(IF($Q9=3,1,IF($Q9=4,1,0)),IF($F9&lt;=85,1,0))</formula>
    </cfRule>
  </conditionalFormatting>
  <conditionalFormatting sqref="AV10">
    <cfRule type="expression" dxfId="1843" priority="118">
      <formula>AV10="X"</formula>
    </cfRule>
    <cfRule type="expression" dxfId="1842" priority="119">
      <formula>AV10="후보"</formula>
    </cfRule>
  </conditionalFormatting>
  <conditionalFormatting sqref="AC10">
    <cfRule type="cellIs" dxfId="1841" priority="115" operator="greaterThan">
      <formula>0.9</formula>
    </cfRule>
    <cfRule type="cellIs" dxfId="1840" priority="116" operator="greaterThan">
      <formula>0.85</formula>
    </cfRule>
  </conditionalFormatting>
  <conditionalFormatting sqref="N10">
    <cfRule type="cellIs" dxfId="1839" priority="113" operator="greaterThan">
      <formula>0.9</formula>
    </cfRule>
    <cfRule type="cellIs" dxfId="1838" priority="114" operator="greaterThan">
      <formula>0.85</formula>
    </cfRule>
  </conditionalFormatting>
  <conditionalFormatting sqref="E10">
    <cfRule type="expression" dxfId="1837" priority="109">
      <formula>AND(IF(OR($Q10=1,$Q10=2),1,0),IF($X10&lt;=20,1,0))</formula>
    </cfRule>
    <cfRule type="expression" dxfId="1836" priority="110">
      <formula>AND(IF($Q10=2,1,0),IF($X10&lt;30,1,0))</formula>
    </cfRule>
    <cfRule type="expression" dxfId="1835" priority="111">
      <formula>AND(IF($Q10=3,1,0),IF($X10&lt;30,1,0))</formula>
    </cfRule>
    <cfRule type="expression" dxfId="1834" priority="112">
      <formula>AND(IF($Q10=3,1,IF($Q10=4,1,0)),IF($F10&lt;=85,1,0))</formula>
    </cfRule>
  </conditionalFormatting>
  <conditionalFormatting sqref="X10">
    <cfRule type="expression" dxfId="1833" priority="105">
      <formula>AND(IF(OR($Q10=1,$Q10=2),1,0),IF($X10&lt;=20,1,0))</formula>
    </cfRule>
    <cfRule type="expression" dxfId="1832" priority="106">
      <formula>AND(IF($Q10=2,1,0),IF($X10&lt;30,1,0))</formula>
    </cfRule>
    <cfRule type="expression" dxfId="1831" priority="107">
      <formula>AND(IF($Q10=3,1,0),IF($X10&lt;30,1,0))</formula>
    </cfRule>
    <cfRule type="expression" dxfId="1830" priority="108">
      <formula>AND(IF($Q10=3,1,IF($Q10=4,1,0)),IF($F10&lt;=85,1,0))</formula>
    </cfRule>
  </conditionalFormatting>
  <conditionalFormatting sqref="AI10">
    <cfRule type="expression" dxfId="1829" priority="101">
      <formula>AND(IF(OR($Q10=1,$Q10=2),1,0),IF($X10&lt;=20,1,0))</formula>
    </cfRule>
    <cfRule type="expression" dxfId="1828" priority="102">
      <formula>AND(IF($Q10=2,1,0),IF($X10&lt;30,1,0))</formula>
    </cfRule>
    <cfRule type="expression" dxfId="1827" priority="103">
      <formula>AND(IF($Q10=3,1,0),IF($X10&lt;30,1,0))</formula>
    </cfRule>
    <cfRule type="expression" dxfId="1826" priority="104">
      <formula>AND(IF($Q10=3,1,IF($Q10=4,1,0)),IF($F10&lt;=85,1,0))</formula>
    </cfRule>
  </conditionalFormatting>
  <conditionalFormatting sqref="AV11">
    <cfRule type="expression" dxfId="1825" priority="99">
      <formula>AV11="X"</formula>
    </cfRule>
    <cfRule type="expression" dxfId="1824" priority="100">
      <formula>AV11="후보"</formula>
    </cfRule>
  </conditionalFormatting>
  <conditionalFormatting sqref="AC11 N11">
    <cfRule type="cellIs" dxfId="1823" priority="96" operator="greaterThan">
      <formula>0.9</formula>
    </cfRule>
    <cfRule type="cellIs" dxfId="1822" priority="97" operator="greaterThan">
      <formula>0.85</formula>
    </cfRule>
  </conditionalFormatting>
  <conditionalFormatting sqref="AV12">
    <cfRule type="expression" dxfId="1821" priority="94">
      <formula>AV12="X"</formula>
    </cfRule>
    <cfRule type="expression" dxfId="1820" priority="95">
      <formula>AV12="후보"</formula>
    </cfRule>
  </conditionalFormatting>
  <conditionalFormatting sqref="AC12">
    <cfRule type="cellIs" dxfId="1819" priority="91" operator="greaterThan">
      <formula>0.9</formula>
    </cfRule>
    <cfRule type="cellIs" dxfId="1818" priority="92" operator="greaterThan">
      <formula>0.85</formula>
    </cfRule>
  </conditionalFormatting>
  <conditionalFormatting sqref="N12">
    <cfRule type="cellIs" dxfId="1817" priority="89" operator="greaterThan">
      <formula>0.9</formula>
    </cfRule>
    <cfRule type="cellIs" dxfId="1816" priority="90" operator="greaterThan">
      <formula>0.85</formula>
    </cfRule>
  </conditionalFormatting>
  <conditionalFormatting sqref="E12">
    <cfRule type="expression" dxfId="1815" priority="85">
      <formula>AND(IF(OR($Q12=1,$Q12=2),1,0),IF($X12&lt;=20,1,0))</formula>
    </cfRule>
    <cfRule type="expression" dxfId="1814" priority="86">
      <formula>AND(IF($Q12=2,1,0),IF($X12&lt;30,1,0))</formula>
    </cfRule>
    <cfRule type="expression" dxfId="1813" priority="87">
      <formula>AND(IF($Q12=3,1,0),IF($X12&lt;30,1,0))</formula>
    </cfRule>
    <cfRule type="expression" dxfId="1812" priority="88">
      <formula>AND(IF($Q12=3,1,IF($Q12=4,1,0)),IF($F12&lt;=85,1,0))</formula>
    </cfRule>
  </conditionalFormatting>
  <conditionalFormatting sqref="X12">
    <cfRule type="expression" dxfId="1811" priority="81">
      <formula>AND(IF(OR($Q12=1,$Q12=2),1,0),IF($X12&lt;=20,1,0))</formula>
    </cfRule>
    <cfRule type="expression" dxfId="1810" priority="82">
      <formula>AND(IF($Q12=2,1,0),IF($X12&lt;30,1,0))</formula>
    </cfRule>
    <cfRule type="expression" dxfId="1809" priority="83">
      <formula>AND(IF($Q12=3,1,0),IF($X12&lt;30,1,0))</formula>
    </cfRule>
    <cfRule type="expression" dxfId="1808" priority="84">
      <formula>AND(IF($Q12=3,1,IF($Q12=4,1,0)),IF($F12&lt;=85,1,0))</formula>
    </cfRule>
  </conditionalFormatting>
  <conditionalFormatting sqref="AI12">
    <cfRule type="expression" dxfId="1807" priority="77">
      <formula>AND(IF(OR($Q12=1,$Q12=2),1,0),IF($X12&lt;=20,1,0))</formula>
    </cfRule>
    <cfRule type="expression" dxfId="1806" priority="78">
      <formula>AND(IF($Q12=2,1,0),IF($X12&lt;30,1,0))</formula>
    </cfRule>
    <cfRule type="expression" dxfId="1805" priority="79">
      <formula>AND(IF($Q12=3,1,0),IF($X12&lt;30,1,0))</formula>
    </cfRule>
    <cfRule type="expression" dxfId="1804" priority="80">
      <formula>AND(IF($Q12=3,1,IF($Q12=4,1,0)),IF($F12&lt;=85,1,0))</formula>
    </cfRule>
  </conditionalFormatting>
  <conditionalFormatting sqref="AV13">
    <cfRule type="expression" dxfId="1803" priority="75">
      <formula>AV13="X"</formula>
    </cfRule>
    <cfRule type="expression" dxfId="1802" priority="76">
      <formula>AV13="후보"</formula>
    </cfRule>
  </conditionalFormatting>
  <conditionalFormatting sqref="AC13">
    <cfRule type="cellIs" dxfId="1801" priority="72" operator="greaterThan">
      <formula>0.9</formula>
    </cfRule>
    <cfRule type="cellIs" dxfId="1800" priority="73" operator="greaterThan">
      <formula>0.85</formula>
    </cfRule>
  </conditionalFormatting>
  <conditionalFormatting sqref="N13">
    <cfRule type="cellIs" dxfId="1799" priority="70" operator="greaterThan">
      <formula>0.9</formula>
    </cfRule>
    <cfRule type="cellIs" dxfId="1798" priority="71" operator="greaterThan">
      <formula>0.85</formula>
    </cfRule>
  </conditionalFormatting>
  <conditionalFormatting sqref="E13">
    <cfRule type="expression" dxfId="1797" priority="66">
      <formula>AND(IF(OR($Q13=1,$Q13=2),1,0),IF($X13&lt;=20,1,0))</formula>
    </cfRule>
    <cfRule type="expression" dxfId="1796" priority="67">
      <formula>AND(IF($Q13=2,1,0),IF($X13&lt;30,1,0))</formula>
    </cfRule>
    <cfRule type="expression" dxfId="1795" priority="68">
      <formula>AND(IF($Q13=3,1,0),IF($X13&lt;30,1,0))</formula>
    </cfRule>
    <cfRule type="expression" dxfId="1794" priority="69">
      <formula>AND(IF($Q13=3,1,IF($Q13=4,1,0)),IF($F13&lt;=85,1,0))</formula>
    </cfRule>
  </conditionalFormatting>
  <conditionalFormatting sqref="X13">
    <cfRule type="expression" dxfId="1793" priority="62">
      <formula>AND(IF(OR($Q13=1,$Q13=2),1,0),IF($X13&lt;=20,1,0))</formula>
    </cfRule>
    <cfRule type="expression" dxfId="1792" priority="63">
      <formula>AND(IF($Q13=2,1,0),IF($X13&lt;30,1,0))</formula>
    </cfRule>
    <cfRule type="expression" dxfId="1791" priority="64">
      <formula>AND(IF($Q13=3,1,0),IF($X13&lt;30,1,0))</formula>
    </cfRule>
    <cfRule type="expression" dxfId="1790" priority="65">
      <formula>AND(IF($Q13=3,1,IF($Q13=4,1,0)),IF($F13&lt;=85,1,0))</formula>
    </cfRule>
  </conditionalFormatting>
  <conditionalFormatting sqref="AI13">
    <cfRule type="expression" dxfId="1789" priority="58">
      <formula>AND(IF(OR($Q13=1,$Q13=2),1,0),IF($X13&lt;=20,1,0))</formula>
    </cfRule>
    <cfRule type="expression" dxfId="1788" priority="59">
      <formula>AND(IF($Q13=2,1,0),IF($X13&lt;30,1,0))</formula>
    </cfRule>
    <cfRule type="expression" dxfId="1787" priority="60">
      <formula>AND(IF($Q13=3,1,0),IF($X13&lt;30,1,0))</formula>
    </cfRule>
    <cfRule type="expression" dxfId="1786" priority="61">
      <formula>AND(IF($Q13=3,1,IF($Q13=4,1,0)),IF($F13&lt;=85,1,0))</formula>
    </cfRule>
  </conditionalFormatting>
  <conditionalFormatting sqref="AV14">
    <cfRule type="expression" dxfId="1785" priority="56">
      <formula>AV14="X"</formula>
    </cfRule>
    <cfRule type="expression" dxfId="1784" priority="57">
      <formula>AV14="후보"</formula>
    </cfRule>
  </conditionalFormatting>
  <conditionalFormatting sqref="AC14">
    <cfRule type="cellIs" dxfId="1783" priority="53" operator="greaterThan">
      <formula>0.9</formula>
    </cfRule>
    <cfRule type="cellIs" dxfId="1782" priority="54" operator="greaterThan">
      <formula>0.85</formula>
    </cfRule>
  </conditionalFormatting>
  <conditionalFormatting sqref="N14">
    <cfRule type="cellIs" dxfId="1781" priority="51" operator="greaterThan">
      <formula>0.9</formula>
    </cfRule>
    <cfRule type="cellIs" dxfId="1780" priority="52" operator="greaterThan">
      <formula>0.85</formula>
    </cfRule>
  </conditionalFormatting>
  <conditionalFormatting sqref="E14">
    <cfRule type="expression" dxfId="1779" priority="47">
      <formula>AND(IF(OR($Q14=1,$Q14=2),1,0),IF($X14&lt;=20,1,0))</formula>
    </cfRule>
    <cfRule type="expression" dxfId="1778" priority="48">
      <formula>AND(IF($Q14=2,1,0),IF($X14&lt;30,1,0))</formula>
    </cfRule>
    <cfRule type="expression" dxfId="1777" priority="49">
      <formula>AND(IF($Q14=3,1,0),IF($X14&lt;30,1,0))</formula>
    </cfRule>
    <cfRule type="expression" dxfId="1776" priority="50">
      <formula>AND(IF($Q14=3,1,IF($Q14=4,1,0)),IF($F14&lt;=85,1,0))</formula>
    </cfRule>
  </conditionalFormatting>
  <conditionalFormatting sqref="X14">
    <cfRule type="expression" dxfId="1775" priority="43">
      <formula>AND(IF(OR($Q14=1,$Q14=2),1,0),IF($X14&lt;=20,1,0))</formula>
    </cfRule>
    <cfRule type="expression" dxfId="1774" priority="44">
      <formula>AND(IF($Q14=2,1,0),IF($X14&lt;30,1,0))</formula>
    </cfRule>
    <cfRule type="expression" dxfId="1773" priority="45">
      <formula>AND(IF($Q14=3,1,0),IF($X14&lt;30,1,0))</formula>
    </cfRule>
    <cfRule type="expression" dxfId="1772" priority="46">
      <formula>AND(IF($Q14=3,1,IF($Q14=4,1,0)),IF($F14&lt;=85,1,0))</formula>
    </cfRule>
  </conditionalFormatting>
  <conditionalFormatting sqref="AI14">
    <cfRule type="expression" dxfId="1771" priority="39">
      <formula>AND(IF(OR($Q14=1,$Q14=2),1,0),IF($X14&lt;=20,1,0))</formula>
    </cfRule>
    <cfRule type="expression" dxfId="1770" priority="40">
      <formula>AND(IF($Q14=2,1,0),IF($X14&lt;30,1,0))</formula>
    </cfRule>
    <cfRule type="expression" dxfId="1769" priority="41">
      <formula>AND(IF($Q14=3,1,0),IF($X14&lt;30,1,0))</formula>
    </cfRule>
    <cfRule type="expression" dxfId="1768" priority="42">
      <formula>AND(IF($Q14=3,1,IF($Q14=4,1,0)),IF($F14&lt;=85,1,0))</formula>
    </cfRule>
  </conditionalFormatting>
  <conditionalFormatting sqref="AV15">
    <cfRule type="expression" dxfId="1767" priority="37">
      <formula>AV15="X"</formula>
    </cfRule>
    <cfRule type="expression" dxfId="1766" priority="38">
      <formula>AV15="후보"</formula>
    </cfRule>
  </conditionalFormatting>
  <conditionalFormatting sqref="AC15">
    <cfRule type="cellIs" dxfId="1765" priority="34" operator="greaterThan">
      <formula>0.9</formula>
    </cfRule>
    <cfRule type="cellIs" dxfId="1764" priority="35" operator="greaterThan">
      <formula>0.85</formula>
    </cfRule>
  </conditionalFormatting>
  <conditionalFormatting sqref="N15">
    <cfRule type="cellIs" dxfId="1763" priority="32" operator="greaterThan">
      <formula>0.9</formula>
    </cfRule>
    <cfRule type="cellIs" dxfId="1762" priority="33" operator="greaterThan">
      <formula>0.85</formula>
    </cfRule>
  </conditionalFormatting>
  <conditionalFormatting sqref="E15">
    <cfRule type="expression" dxfId="1761" priority="28">
      <formula>AND(IF(OR($Q15=1,$Q15=2),1,0),IF($X15&lt;=20,1,0))</formula>
    </cfRule>
    <cfRule type="expression" dxfId="1760" priority="29">
      <formula>AND(IF($Q15=2,1,0),IF($X15&lt;30,1,0))</formula>
    </cfRule>
    <cfRule type="expression" dxfId="1759" priority="30">
      <formula>AND(IF($Q15=3,1,0),IF($X15&lt;30,1,0))</formula>
    </cfRule>
    <cfRule type="expression" dxfId="1758" priority="31">
      <formula>AND(IF($Q15=3,1,IF($Q15=4,1,0)),IF($F15&lt;=85,1,0))</formula>
    </cfRule>
  </conditionalFormatting>
  <conditionalFormatting sqref="X15">
    <cfRule type="expression" dxfId="1757" priority="24">
      <formula>AND(IF(OR($Q15=1,$Q15=2),1,0),IF($X15&lt;=20,1,0))</formula>
    </cfRule>
    <cfRule type="expression" dxfId="1756" priority="25">
      <formula>AND(IF($Q15=2,1,0),IF($X15&lt;30,1,0))</formula>
    </cfRule>
    <cfRule type="expression" dxfId="1755" priority="26">
      <formula>AND(IF($Q15=3,1,0),IF($X15&lt;30,1,0))</formula>
    </cfRule>
    <cfRule type="expression" dxfId="1754" priority="27">
      <formula>AND(IF($Q15=3,1,IF($Q15=4,1,0)),IF($F15&lt;=85,1,0))</formula>
    </cfRule>
  </conditionalFormatting>
  <conditionalFormatting sqref="AI15">
    <cfRule type="expression" dxfId="1753" priority="20">
      <formula>AND(IF(OR($Q15=1,$Q15=2),1,0),IF($X15&lt;=20,1,0))</formula>
    </cfRule>
    <cfRule type="expression" dxfId="1752" priority="21">
      <formula>AND(IF($Q15=2,1,0),IF($X15&lt;30,1,0))</formula>
    </cfRule>
    <cfRule type="expression" dxfId="1751" priority="22">
      <formula>AND(IF($Q15=3,1,0),IF($X15&lt;30,1,0))</formula>
    </cfRule>
    <cfRule type="expression" dxfId="1750" priority="23">
      <formula>AND(IF($Q15=3,1,IF($Q15=4,1,0)),IF($F15&lt;=85,1,0))</formula>
    </cfRule>
  </conditionalFormatting>
  <conditionalFormatting sqref="AV16">
    <cfRule type="expression" dxfId="1749" priority="18">
      <formula>AV16="X"</formula>
    </cfRule>
    <cfRule type="expression" dxfId="1748" priority="19">
      <formula>AV16="후보"</formula>
    </cfRule>
  </conditionalFormatting>
  <conditionalFormatting sqref="AC16">
    <cfRule type="cellIs" dxfId="1747" priority="15" operator="greaterThan">
      <formula>0.9</formula>
    </cfRule>
    <cfRule type="cellIs" dxfId="1746" priority="16" operator="greaterThan">
      <formula>0.85</formula>
    </cfRule>
  </conditionalFormatting>
  <conditionalFormatting sqref="N16">
    <cfRule type="cellIs" dxfId="1745" priority="13" operator="greaterThan">
      <formula>0.9</formula>
    </cfRule>
    <cfRule type="cellIs" dxfId="1744" priority="14" operator="greaterThan">
      <formula>0.85</formula>
    </cfRule>
  </conditionalFormatting>
  <conditionalFormatting sqref="E16">
    <cfRule type="expression" dxfId="1743" priority="9">
      <formula>AND(IF(OR($Q16=1,$Q16=2),1,0),IF($X16&lt;=20,1,0))</formula>
    </cfRule>
    <cfRule type="expression" dxfId="1742" priority="10">
      <formula>AND(IF($Q16=2,1,0),IF($X16&lt;30,1,0))</formula>
    </cfRule>
    <cfRule type="expression" dxfId="1741" priority="11">
      <formula>AND(IF($Q16=3,1,0),IF($X16&lt;30,1,0))</formula>
    </cfRule>
    <cfRule type="expression" dxfId="1740" priority="12">
      <formula>AND(IF($Q16=3,1,IF($Q16=4,1,0)),IF($F16&lt;=85,1,0))</formula>
    </cfRule>
  </conditionalFormatting>
  <conditionalFormatting sqref="X16">
    <cfRule type="expression" dxfId="1739" priority="5">
      <formula>AND(IF(OR($Q16=1,$Q16=2),1,0),IF($X16&lt;=20,1,0))</formula>
    </cfRule>
    <cfRule type="expression" dxfId="1738" priority="6">
      <formula>AND(IF($Q16=2,1,0),IF($X16&lt;30,1,0))</formula>
    </cfRule>
    <cfRule type="expression" dxfId="1737" priority="7">
      <formula>AND(IF($Q16=3,1,0),IF($X16&lt;30,1,0))</formula>
    </cfRule>
    <cfRule type="expression" dxfId="1736" priority="8">
      <formula>AND(IF($Q16=3,1,IF($Q16=4,1,0)),IF($F16&lt;=85,1,0))</formula>
    </cfRule>
  </conditionalFormatting>
  <conditionalFormatting sqref="AI16">
    <cfRule type="expression" dxfId="1735" priority="1">
      <formula>AND(IF(OR($Q16=1,$Q16=2),1,0),IF($X16&lt;=20,1,0))</formula>
    </cfRule>
    <cfRule type="expression" dxfId="1734" priority="2">
      <formula>AND(IF($Q16=2,1,0),IF($X16&lt;30,1,0))</formula>
    </cfRule>
    <cfRule type="expression" dxfId="1733" priority="3">
      <formula>AND(IF($Q16=3,1,0),IF($X16&lt;30,1,0))</formula>
    </cfRule>
    <cfRule type="expression" dxfId="1732" priority="4">
      <formula>AND(IF($Q16=3,1,IF($Q16=4,1,0)),IF($F16&lt;=85,1,0))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pageSetUpPr fitToPage="1"/>
  </sheetPr>
  <dimension ref="A1:AV3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6" sqref="A36:XFD36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36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245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장동 장동에코르('09.09.,470^)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36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1339</v>
      </c>
      <c r="B6" s="10" t="s">
        <v>1617</v>
      </c>
      <c r="C6" s="87">
        <v>470</v>
      </c>
      <c r="D6" s="85">
        <v>106.8</v>
      </c>
      <c r="E6" s="86">
        <v>32</v>
      </c>
      <c r="F6" s="85">
        <v>84.9</v>
      </c>
      <c r="G6" s="17">
        <v>26</v>
      </c>
      <c r="H6" s="87">
        <v>181</v>
      </c>
      <c r="I6" s="88">
        <v>20000</v>
      </c>
      <c r="J6" s="88" t="s">
        <v>68</v>
      </c>
      <c r="K6" s="88"/>
      <c r="L6" s="88"/>
      <c r="M6" s="89">
        <f>I6-K6</f>
        <v>20000</v>
      </c>
      <c r="N6" s="4">
        <f>IF(ISERROR(K6/I6),"",K6/I6)</f>
        <v>0</v>
      </c>
      <c r="O6" s="90">
        <f>I6/E6</f>
        <v>625</v>
      </c>
      <c r="P6" s="90">
        <f>K6/E6</f>
        <v>0</v>
      </c>
      <c r="Q6" s="78">
        <v>3</v>
      </c>
      <c r="R6" s="78">
        <v>2</v>
      </c>
      <c r="S6" s="78" t="s">
        <v>59</v>
      </c>
      <c r="T6" s="5" t="s">
        <v>209</v>
      </c>
      <c r="U6" s="9"/>
      <c r="W6" s="85">
        <f t="shared" ref="W6:X9" si="2">D6</f>
        <v>106.8</v>
      </c>
      <c r="X6" s="86">
        <f t="shared" si="2"/>
        <v>32</v>
      </c>
      <c r="Y6" s="91">
        <f t="shared" ref="Y6:Z9" si="3">H6</f>
        <v>181</v>
      </c>
      <c r="Z6" s="89">
        <f t="shared" si="3"/>
        <v>20000</v>
      </c>
      <c r="AA6" s="89">
        <f>K6</f>
        <v>0</v>
      </c>
      <c r="AB6" s="89">
        <f t="shared" ref="AB6:AD9" si="4">M6</f>
        <v>20000</v>
      </c>
      <c r="AC6" s="4">
        <f t="shared" si="4"/>
        <v>0</v>
      </c>
      <c r="AD6" s="90">
        <f t="shared" si="4"/>
        <v>625</v>
      </c>
      <c r="AE6" s="78" t="str">
        <f>S6</f>
        <v>계</v>
      </c>
      <c r="AF6" s="78" t="str">
        <f>Q6&amp;"/"&amp;R6</f>
        <v>3/2</v>
      </c>
      <c r="AH6" s="20" t="str">
        <f t="shared" si="1"/>
        <v>장동에코르</v>
      </c>
      <c r="AI6" s="86">
        <f t="shared" si="0"/>
        <v>32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1339</v>
      </c>
      <c r="B7" s="10" t="s">
        <v>1617</v>
      </c>
      <c r="C7" s="87">
        <v>470</v>
      </c>
      <c r="D7" s="85">
        <v>106.1</v>
      </c>
      <c r="E7" s="86">
        <v>32</v>
      </c>
      <c r="F7" s="85">
        <v>84.9</v>
      </c>
      <c r="G7" s="17">
        <v>26</v>
      </c>
      <c r="H7" s="87">
        <v>95</v>
      </c>
      <c r="I7" s="88">
        <v>20000</v>
      </c>
      <c r="J7" s="88" t="s">
        <v>83</v>
      </c>
      <c r="K7" s="88"/>
      <c r="L7" s="88"/>
      <c r="M7" s="89">
        <f>I7-K7</f>
        <v>20000</v>
      </c>
      <c r="N7" s="4">
        <f>IF(ISERROR(K7/I7),"",K7/I7)</f>
        <v>0</v>
      </c>
      <c r="O7" s="90">
        <f>I7/E7</f>
        <v>625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219</v>
      </c>
      <c r="U7" s="9"/>
      <c r="W7" s="85">
        <f t="shared" si="2"/>
        <v>106.1</v>
      </c>
      <c r="X7" s="86">
        <f t="shared" si="2"/>
        <v>32</v>
      </c>
      <c r="Y7" s="91">
        <f t="shared" si="3"/>
        <v>95</v>
      </c>
      <c r="Z7" s="89">
        <f t="shared" si="3"/>
        <v>20000</v>
      </c>
      <c r="AA7" s="89">
        <f>K7</f>
        <v>0</v>
      </c>
      <c r="AB7" s="89">
        <f t="shared" si="4"/>
        <v>20000</v>
      </c>
      <c r="AC7" s="4">
        <f t="shared" si="4"/>
        <v>0</v>
      </c>
      <c r="AD7" s="90">
        <f t="shared" si="4"/>
        <v>625</v>
      </c>
      <c r="AE7" s="78" t="str">
        <f>S7</f>
        <v>계</v>
      </c>
      <c r="AF7" s="78" t="str">
        <f>Q7&amp;"/"&amp;R7</f>
        <v>3/2</v>
      </c>
      <c r="AH7" s="20" t="str">
        <f t="shared" si="1"/>
        <v>장동에코르</v>
      </c>
      <c r="AI7" s="86">
        <f t="shared" si="0"/>
        <v>32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1339</v>
      </c>
      <c r="B8" s="10" t="s">
        <v>1617</v>
      </c>
      <c r="C8" s="87">
        <v>470</v>
      </c>
      <c r="D8" s="85">
        <v>106.9</v>
      </c>
      <c r="E8" s="86">
        <v>32</v>
      </c>
      <c r="F8" s="85">
        <v>84.9</v>
      </c>
      <c r="G8" s="17">
        <v>26</v>
      </c>
      <c r="H8" s="87">
        <v>7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59</v>
      </c>
      <c r="T8" s="5" t="s">
        <v>220</v>
      </c>
      <c r="U8" s="9"/>
      <c r="W8" s="85">
        <f t="shared" si="2"/>
        <v>106.9</v>
      </c>
      <c r="X8" s="86">
        <f t="shared" si="2"/>
        <v>32</v>
      </c>
      <c r="Y8" s="91">
        <f t="shared" si="3"/>
        <v>7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장동에코르</v>
      </c>
      <c r="AI8" s="86">
        <f t="shared" si="0"/>
        <v>32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48" x14ac:dyDescent="0.3">
      <c r="A9" s="9" t="s">
        <v>1339</v>
      </c>
      <c r="B9" s="10" t="s">
        <v>1617</v>
      </c>
      <c r="C9" s="87">
        <v>470</v>
      </c>
      <c r="D9" s="85">
        <v>107.6</v>
      </c>
      <c r="E9" s="86">
        <v>33</v>
      </c>
      <c r="F9" s="85">
        <v>84.9</v>
      </c>
      <c r="G9" s="17">
        <v>26</v>
      </c>
      <c r="H9" s="87">
        <v>187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3</v>
      </c>
      <c r="R9" s="78">
        <v>2</v>
      </c>
      <c r="S9" s="78" t="s">
        <v>59</v>
      </c>
      <c r="T9" s="5" t="s">
        <v>196</v>
      </c>
      <c r="U9" s="9"/>
      <c r="W9" s="85">
        <f t="shared" si="2"/>
        <v>107.6</v>
      </c>
      <c r="X9" s="86">
        <f t="shared" si="2"/>
        <v>33</v>
      </c>
      <c r="Y9" s="91">
        <f t="shared" si="3"/>
        <v>187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8" t="str">
        <f>S9</f>
        <v>계</v>
      </c>
      <c r="AF9" s="78" t="str">
        <f>Q9&amp;"/"&amp;R9</f>
        <v>3/2</v>
      </c>
      <c r="AH9" s="20" t="str">
        <f t="shared" si="1"/>
        <v>장동에코르</v>
      </c>
      <c r="AI9" s="86">
        <f t="shared" si="0"/>
        <v>33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O</v>
      </c>
      <c r="AU9" s="78" t="str">
        <f>IF(C9="","",IF(C9&gt;=$AU$1,"O","X"))</f>
        <v>O</v>
      </c>
      <c r="AV9" s="78" t="str">
        <f>IF(AO9="","",IF(AND(AO9="O",AP9="O",AR9="O",AT9="O",AU9="O"),"후보","X"))</f>
        <v/>
      </c>
    </row>
    <row r="10" spans="1:48" x14ac:dyDescent="0.3">
      <c r="A10" s="9"/>
      <c r="B10" s="78"/>
      <c r="C10" s="6"/>
      <c r="D10" s="9"/>
      <c r="E10" s="14"/>
      <c r="F10" s="85"/>
      <c r="G10" s="9"/>
      <c r="H10" s="9"/>
      <c r="I10" s="9"/>
      <c r="J10" s="9"/>
      <c r="K10" s="9"/>
      <c r="L10" s="9"/>
      <c r="M10" s="9"/>
      <c r="N10" s="9"/>
      <c r="O10" s="90"/>
      <c r="P10" s="90"/>
      <c r="Q10" s="86"/>
      <c r="R10" s="86"/>
      <c r="S10" s="9"/>
      <c r="T10" s="47"/>
      <c r="U10" s="9"/>
      <c r="W10" s="67" t="str">
        <f>$A$4&amp;" "&amp;A11&amp;"("&amp;B11&amp;","&amp;C11&amp;"^)"</f>
        <v>장동 전주혁신중흥에스클래스('16.10.,481^)</v>
      </c>
      <c r="X10" s="68"/>
      <c r="Y10" s="68"/>
      <c r="Z10" s="68"/>
      <c r="AA10" s="68"/>
      <c r="AB10" s="68"/>
      <c r="AC10" s="68"/>
      <c r="AD10" s="68"/>
      <c r="AE10" s="68"/>
      <c r="AF10" s="69"/>
      <c r="AH10" s="20" t="str">
        <f t="shared" si="1"/>
        <v/>
      </c>
      <c r="AI10" s="108" t="str">
        <f t="shared" si="0"/>
        <v/>
      </c>
      <c r="AJ10" s="78"/>
      <c r="AK10" s="78"/>
      <c r="AL10" s="78"/>
      <c r="AM10" s="78"/>
      <c r="AN10" s="78"/>
      <c r="AO10" s="78"/>
      <c r="AP10" s="78"/>
      <c r="AQ10" s="78"/>
      <c r="AR10" s="78"/>
      <c r="AS10" s="78"/>
      <c r="AT10" s="78"/>
      <c r="AU10" s="78"/>
      <c r="AV10" s="78"/>
    </row>
    <row r="11" spans="1:48" x14ac:dyDescent="0.3">
      <c r="A11" s="9" t="s">
        <v>1344</v>
      </c>
      <c r="B11" s="10" t="s">
        <v>1618</v>
      </c>
      <c r="C11" s="87">
        <v>481</v>
      </c>
      <c r="D11" s="85">
        <v>110.6</v>
      </c>
      <c r="E11" s="86">
        <v>33</v>
      </c>
      <c r="F11" s="85">
        <v>85</v>
      </c>
      <c r="G11" s="17">
        <v>26</v>
      </c>
      <c r="H11" s="87">
        <v>171</v>
      </c>
      <c r="I11" s="88">
        <v>60000</v>
      </c>
      <c r="J11" s="88" t="s">
        <v>182</v>
      </c>
      <c r="K11" s="88">
        <v>46000</v>
      </c>
      <c r="L11" s="88" t="s">
        <v>104</v>
      </c>
      <c r="M11" s="89">
        <f>I11-K11</f>
        <v>14000</v>
      </c>
      <c r="N11" s="4">
        <f>IF(ISERROR(K11/I11),"",K11/I11)</f>
        <v>0.76666666666666672</v>
      </c>
      <c r="O11" s="90">
        <f>I11/E11</f>
        <v>1818.1818181818182</v>
      </c>
      <c r="P11" s="90">
        <f>K11/E11</f>
        <v>1393.939393939394</v>
      </c>
      <c r="Q11" s="78">
        <v>3</v>
      </c>
      <c r="R11" s="78">
        <v>2</v>
      </c>
      <c r="S11" s="78" t="s">
        <v>59</v>
      </c>
      <c r="T11" s="5">
        <v>110</v>
      </c>
      <c r="U11" s="9"/>
      <c r="W11" s="85">
        <f t="shared" ref="W11:X13" si="5">D11</f>
        <v>110.6</v>
      </c>
      <c r="X11" s="86">
        <f t="shared" si="5"/>
        <v>33</v>
      </c>
      <c r="Y11" s="91">
        <f t="shared" ref="Y11:Z13" si="6">H11</f>
        <v>171</v>
      </c>
      <c r="Z11" s="89">
        <f t="shared" si="6"/>
        <v>60000</v>
      </c>
      <c r="AA11" s="89">
        <f>K11</f>
        <v>46000</v>
      </c>
      <c r="AB11" s="89">
        <f t="shared" ref="AB11:AD13" si="7">M11</f>
        <v>14000</v>
      </c>
      <c r="AC11" s="4">
        <f t="shared" si="7"/>
        <v>0.76666666666666672</v>
      </c>
      <c r="AD11" s="90">
        <f t="shared" si="7"/>
        <v>1818.1818181818182</v>
      </c>
      <c r="AE11" s="78" t="str">
        <f>S11</f>
        <v>계</v>
      </c>
      <c r="AF11" s="78" t="str">
        <f>Q11&amp;"/"&amp;R11</f>
        <v>3/2</v>
      </c>
      <c r="AH11" s="20" t="str">
        <f t="shared" si="1"/>
        <v>전주혁신중흥에스클래스</v>
      </c>
      <c r="AI11" s="86">
        <f t="shared" si="0"/>
        <v>33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>X</v>
      </c>
      <c r="AP11" s="78" t="str">
        <f>IF(I11="","",IF(I11&lt;=$AP$1,"O","X"))</f>
        <v>X</v>
      </c>
      <c r="AQ11" s="78" t="str">
        <f>IF(O11="","",IF(O11&lt;=$AQ$1,"O","X"))</f>
        <v>X</v>
      </c>
      <c r="AR11" s="78" t="str">
        <f>IF(M11="","",IF(M11&lt;=$AR$1,"O","X"))</f>
        <v>X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>X</v>
      </c>
    </row>
    <row r="12" spans="1:48" x14ac:dyDescent="0.3">
      <c r="A12" s="9" t="s">
        <v>1344</v>
      </c>
      <c r="B12" s="10" t="s">
        <v>1618</v>
      </c>
      <c r="C12" s="87">
        <v>481</v>
      </c>
      <c r="D12" s="85">
        <v>124.4</v>
      </c>
      <c r="E12" s="86">
        <v>38</v>
      </c>
      <c r="F12" s="85">
        <v>98.4</v>
      </c>
      <c r="G12" s="17">
        <v>30</v>
      </c>
      <c r="H12" s="87">
        <v>184</v>
      </c>
      <c r="I12" s="88">
        <v>68000</v>
      </c>
      <c r="J12" s="88" t="s">
        <v>127</v>
      </c>
      <c r="K12" s="88">
        <v>49000</v>
      </c>
      <c r="L12" s="88" t="s">
        <v>111</v>
      </c>
      <c r="M12" s="89">
        <f>I12-K12</f>
        <v>19000</v>
      </c>
      <c r="N12" s="4">
        <f>IF(ISERROR(K12/I12),"",K12/I12)</f>
        <v>0.72058823529411764</v>
      </c>
      <c r="O12" s="90">
        <f>I12/E12</f>
        <v>1789.4736842105262</v>
      </c>
      <c r="P12" s="90">
        <f>K12/E12</f>
        <v>1289.4736842105262</v>
      </c>
      <c r="Q12" s="78">
        <v>4</v>
      </c>
      <c r="R12" s="78">
        <v>2</v>
      </c>
      <c r="S12" s="78" t="s">
        <v>59</v>
      </c>
      <c r="T12" s="5">
        <v>124</v>
      </c>
      <c r="U12" s="9"/>
      <c r="W12" s="85">
        <f t="shared" si="5"/>
        <v>124.4</v>
      </c>
      <c r="X12" s="86">
        <f t="shared" si="5"/>
        <v>38</v>
      </c>
      <c r="Y12" s="91">
        <f t="shared" si="6"/>
        <v>184</v>
      </c>
      <c r="Z12" s="89">
        <f t="shared" si="6"/>
        <v>68000</v>
      </c>
      <c r="AA12" s="89">
        <f>K12</f>
        <v>49000</v>
      </c>
      <c r="AB12" s="89">
        <f t="shared" si="7"/>
        <v>19000</v>
      </c>
      <c r="AC12" s="4">
        <f t="shared" si="7"/>
        <v>0.72058823529411764</v>
      </c>
      <c r="AD12" s="90">
        <f t="shared" si="7"/>
        <v>1789.4736842105262</v>
      </c>
      <c r="AE12" s="78" t="str">
        <f>S12</f>
        <v>계</v>
      </c>
      <c r="AF12" s="78" t="str">
        <f>Q12&amp;"/"&amp;R12</f>
        <v>4/2</v>
      </c>
      <c r="AH12" s="20" t="str">
        <f t="shared" si="1"/>
        <v>전주혁신중흥에스클래스</v>
      </c>
      <c r="AI12" s="86">
        <f t="shared" si="0"/>
        <v>38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X</v>
      </c>
      <c r="AQ12" s="78" t="str">
        <f>IF(O12="","",IF(O12&lt;=$AQ$1,"O","X"))</f>
        <v>X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X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1344</v>
      </c>
      <c r="B13" s="10" t="s">
        <v>1618</v>
      </c>
      <c r="C13" s="87">
        <v>481</v>
      </c>
      <c r="D13" s="85">
        <v>140.69999999999999</v>
      </c>
      <c r="E13" s="86">
        <v>43</v>
      </c>
      <c r="F13" s="85">
        <v>115.1</v>
      </c>
      <c r="G13" s="17">
        <v>35</v>
      </c>
      <c r="H13" s="87">
        <v>126</v>
      </c>
      <c r="I13" s="88">
        <v>85000</v>
      </c>
      <c r="J13" s="88" t="s">
        <v>72</v>
      </c>
      <c r="K13" s="88">
        <v>60000</v>
      </c>
      <c r="L13" s="88" t="s">
        <v>69</v>
      </c>
      <c r="M13" s="89">
        <f>I13-K13</f>
        <v>25000</v>
      </c>
      <c r="N13" s="4">
        <f>IF(ISERROR(K13/I13),"",K13/I13)</f>
        <v>0.70588235294117652</v>
      </c>
      <c r="O13" s="90">
        <f>I13/E13</f>
        <v>1976.7441860465117</v>
      </c>
      <c r="P13" s="90">
        <f>K13/E13</f>
        <v>1395.3488372093022</v>
      </c>
      <c r="Q13" s="78">
        <v>4</v>
      </c>
      <c r="R13" s="78">
        <v>2</v>
      </c>
      <c r="S13" s="78" t="s">
        <v>59</v>
      </c>
      <c r="T13" s="5">
        <v>140</v>
      </c>
      <c r="U13" s="9"/>
      <c r="W13" s="85">
        <f t="shared" si="5"/>
        <v>140.69999999999999</v>
      </c>
      <c r="X13" s="86">
        <f t="shared" si="5"/>
        <v>43</v>
      </c>
      <c r="Y13" s="91">
        <f t="shared" si="6"/>
        <v>126</v>
      </c>
      <c r="Z13" s="89">
        <f t="shared" si="6"/>
        <v>85000</v>
      </c>
      <c r="AA13" s="89">
        <f>K13</f>
        <v>60000</v>
      </c>
      <c r="AB13" s="89">
        <f t="shared" si="7"/>
        <v>25000</v>
      </c>
      <c r="AC13" s="4">
        <f t="shared" si="7"/>
        <v>0.70588235294117652</v>
      </c>
      <c r="AD13" s="90">
        <f t="shared" si="7"/>
        <v>1976.7441860465117</v>
      </c>
      <c r="AE13" s="78" t="str">
        <f>S13</f>
        <v>계</v>
      </c>
      <c r="AF13" s="78" t="str">
        <f>Q13&amp;"/"&amp;R13</f>
        <v>4/2</v>
      </c>
      <c r="AH13" s="20" t="str">
        <f t="shared" si="1"/>
        <v>전주혁신중흥에스클래스</v>
      </c>
      <c r="AI13" s="86">
        <f t="shared" si="0"/>
        <v>43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X</v>
      </c>
      <c r="AQ13" s="78" t="str">
        <f>IF(O13="","",IF(O13&lt;=$AQ$1,"O","X"))</f>
        <v>X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장동 LH이노팰리스('13.12.,316^)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1349</v>
      </c>
      <c r="B15" s="10" t="s">
        <v>1619</v>
      </c>
      <c r="C15" s="87">
        <v>316</v>
      </c>
      <c r="D15" s="85">
        <v>97.6</v>
      </c>
      <c r="E15" s="86">
        <v>30</v>
      </c>
      <c r="F15" s="85">
        <v>75</v>
      </c>
      <c r="G15" s="17">
        <v>23</v>
      </c>
      <c r="H15" s="87">
        <v>60</v>
      </c>
      <c r="I15" s="88">
        <v>42000</v>
      </c>
      <c r="J15" s="88" t="s">
        <v>87</v>
      </c>
      <c r="K15" s="88"/>
      <c r="L15" s="88"/>
      <c r="M15" s="89">
        <f>I15-K15</f>
        <v>42000</v>
      </c>
      <c r="N15" s="4">
        <f>IF(ISERROR(K15/I15),"",K15/I15)</f>
        <v>0</v>
      </c>
      <c r="O15" s="90">
        <f>I15/E15</f>
        <v>1400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>
        <v>97</v>
      </c>
      <c r="U15" s="9"/>
      <c r="W15" s="85">
        <f t="shared" ref="W15:X17" si="8">D15</f>
        <v>97.6</v>
      </c>
      <c r="X15" s="86">
        <f t="shared" si="8"/>
        <v>30</v>
      </c>
      <c r="Y15" s="91">
        <f t="shared" ref="Y15:Z17" si="9">H15</f>
        <v>60</v>
      </c>
      <c r="Z15" s="89">
        <f t="shared" si="9"/>
        <v>42000</v>
      </c>
      <c r="AA15" s="89">
        <f>K15</f>
        <v>0</v>
      </c>
      <c r="AB15" s="89">
        <f t="shared" ref="AB15:AD17" si="10">M15</f>
        <v>42000</v>
      </c>
      <c r="AC15" s="4">
        <f t="shared" si="10"/>
        <v>0</v>
      </c>
      <c r="AD15" s="90">
        <f t="shared" si="10"/>
        <v>1400</v>
      </c>
      <c r="AE15" s="78" t="str">
        <f>S15</f>
        <v>계</v>
      </c>
      <c r="AF15" s="78" t="str">
        <f>Q15&amp;"/"&amp;R15</f>
        <v>3/2</v>
      </c>
      <c r="AH15" s="20" t="str">
        <f t="shared" si="1"/>
        <v>LH이노팰리스</v>
      </c>
      <c r="AI15" s="86">
        <f t="shared" si="0"/>
        <v>30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>X</v>
      </c>
      <c r="AP15" s="78" t="str">
        <f>IF(I15="","",IF(I15&lt;=$AP$1,"O","X"))</f>
        <v>O</v>
      </c>
      <c r="AQ15" s="78" t="str">
        <f>IF(O15="","",IF(O15&lt;=$AQ$1,"O","X"))</f>
        <v>X</v>
      </c>
      <c r="AR15" s="78" t="str">
        <f>IF(M15="","",IF(M15&lt;=$AR$1,"O","X"))</f>
        <v>X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>X</v>
      </c>
    </row>
    <row r="16" spans="1:48" x14ac:dyDescent="0.3">
      <c r="A16" s="9" t="s">
        <v>1349</v>
      </c>
      <c r="B16" s="10" t="s">
        <v>1619</v>
      </c>
      <c r="C16" s="87">
        <v>316</v>
      </c>
      <c r="D16" s="85">
        <v>110.7</v>
      </c>
      <c r="E16" s="86">
        <v>33</v>
      </c>
      <c r="F16" s="85">
        <v>85</v>
      </c>
      <c r="G16" s="17">
        <v>26</v>
      </c>
      <c r="H16" s="87">
        <v>181</v>
      </c>
      <c r="I16" s="88">
        <v>39000</v>
      </c>
      <c r="J16" s="88" t="s">
        <v>89</v>
      </c>
      <c r="K16" s="88">
        <v>33000</v>
      </c>
      <c r="L16" s="88" t="s">
        <v>89</v>
      </c>
      <c r="M16" s="89">
        <f>I16-K16</f>
        <v>6000</v>
      </c>
      <c r="N16" s="4">
        <f>IF(ISERROR(K16/I16),"",K16/I16)</f>
        <v>0.84615384615384615</v>
      </c>
      <c r="O16" s="90">
        <f>I16/E16</f>
        <v>1181.8181818181818</v>
      </c>
      <c r="P16" s="90">
        <f>K16/E16</f>
        <v>1000</v>
      </c>
      <c r="Q16" s="78">
        <v>3</v>
      </c>
      <c r="R16" s="78">
        <v>2</v>
      </c>
      <c r="S16" s="78" t="s">
        <v>59</v>
      </c>
      <c r="T16" s="5" t="s">
        <v>91</v>
      </c>
      <c r="U16" s="9"/>
      <c r="W16" s="85">
        <f t="shared" si="8"/>
        <v>110.7</v>
      </c>
      <c r="X16" s="86">
        <f t="shared" si="8"/>
        <v>33</v>
      </c>
      <c r="Y16" s="91">
        <f t="shared" si="9"/>
        <v>181</v>
      </c>
      <c r="Z16" s="89">
        <f t="shared" si="9"/>
        <v>39000</v>
      </c>
      <c r="AA16" s="89">
        <f>K16</f>
        <v>33000</v>
      </c>
      <c r="AB16" s="89">
        <f t="shared" si="10"/>
        <v>6000</v>
      </c>
      <c r="AC16" s="4">
        <f t="shared" si="10"/>
        <v>0.84615384615384615</v>
      </c>
      <c r="AD16" s="90">
        <f t="shared" si="10"/>
        <v>1181.8181818181818</v>
      </c>
      <c r="AE16" s="78" t="str">
        <f>S16</f>
        <v>계</v>
      </c>
      <c r="AF16" s="78" t="str">
        <f>Q16&amp;"/"&amp;R16</f>
        <v>3/2</v>
      </c>
      <c r="AH16" s="20" t="str">
        <f t="shared" si="1"/>
        <v>LH이노팰리스</v>
      </c>
      <c r="AI16" s="86">
        <f t="shared" si="0"/>
        <v>33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O</v>
      </c>
      <c r="AP16" s="78" t="str">
        <f>IF(I16="","",IF(I16&lt;=$AP$1,"O","X"))</f>
        <v>O</v>
      </c>
      <c r="AQ16" s="78" t="str">
        <f>IF(O16="","",IF(O16&lt;=$AQ$1,"O","X"))</f>
        <v>X</v>
      </c>
      <c r="AR16" s="78" t="str">
        <f>IF(M16="","",IF(M16&lt;=$AR$1,"O","X"))</f>
        <v>O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후보</v>
      </c>
    </row>
    <row r="17" spans="1:48" x14ac:dyDescent="0.3">
      <c r="A17" s="9" t="s">
        <v>1349</v>
      </c>
      <c r="B17" s="10" t="s">
        <v>1619</v>
      </c>
      <c r="C17" s="87">
        <v>316</v>
      </c>
      <c r="D17" s="85">
        <v>110.5</v>
      </c>
      <c r="E17" s="86">
        <v>33</v>
      </c>
      <c r="F17" s="85">
        <v>84.9</v>
      </c>
      <c r="G17" s="17">
        <v>26</v>
      </c>
      <c r="H17" s="87">
        <v>75</v>
      </c>
      <c r="I17" s="88">
        <v>43000</v>
      </c>
      <c r="J17" s="88" t="s">
        <v>93</v>
      </c>
      <c r="K17" s="88">
        <v>34000</v>
      </c>
      <c r="L17" s="88" t="s">
        <v>72</v>
      </c>
      <c r="M17" s="89">
        <f>I17-K17</f>
        <v>9000</v>
      </c>
      <c r="N17" s="4">
        <f>IF(ISERROR(K17/I17),"",K17/I17)</f>
        <v>0.79069767441860461</v>
      </c>
      <c r="O17" s="90">
        <f>I17/E17</f>
        <v>1303.030303030303</v>
      </c>
      <c r="P17" s="90">
        <f>K17/E17</f>
        <v>1030.3030303030303</v>
      </c>
      <c r="Q17" s="78">
        <v>3</v>
      </c>
      <c r="R17" s="78">
        <v>2</v>
      </c>
      <c r="S17" s="78" t="s">
        <v>59</v>
      </c>
      <c r="T17" s="5" t="s">
        <v>132</v>
      </c>
      <c r="U17" s="9"/>
      <c r="W17" s="85">
        <f t="shared" si="8"/>
        <v>110.5</v>
      </c>
      <c r="X17" s="86">
        <f t="shared" si="8"/>
        <v>33</v>
      </c>
      <c r="Y17" s="91">
        <f t="shared" si="9"/>
        <v>75</v>
      </c>
      <c r="Z17" s="89">
        <f t="shared" si="9"/>
        <v>43000</v>
      </c>
      <c r="AA17" s="89">
        <f>K17</f>
        <v>34000</v>
      </c>
      <c r="AB17" s="89">
        <f t="shared" si="10"/>
        <v>9000</v>
      </c>
      <c r="AC17" s="4">
        <f t="shared" si="10"/>
        <v>0.79069767441860461</v>
      </c>
      <c r="AD17" s="90">
        <f t="shared" si="10"/>
        <v>1303.030303030303</v>
      </c>
      <c r="AE17" s="78" t="str">
        <f>S17</f>
        <v>계</v>
      </c>
      <c r="AF17" s="78" t="str">
        <f>Q17&amp;"/"&amp;R17</f>
        <v>3/2</v>
      </c>
      <c r="AH17" s="20" t="str">
        <f t="shared" si="1"/>
        <v>LH이노팰리스</v>
      </c>
      <c r="AI17" s="86">
        <f t="shared" si="0"/>
        <v>33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O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O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장동 호반베르디움더센트럴1('16.06.,457^)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1354</v>
      </c>
      <c r="B19" s="10" t="s">
        <v>1620</v>
      </c>
      <c r="C19" s="87">
        <v>457</v>
      </c>
      <c r="D19" s="85">
        <v>112.6</v>
      </c>
      <c r="E19" s="86">
        <v>34</v>
      </c>
      <c r="F19" s="85">
        <v>84.8</v>
      </c>
      <c r="G19" s="17">
        <v>26</v>
      </c>
      <c r="H19" s="87">
        <v>256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4</v>
      </c>
      <c r="R19" s="78">
        <v>2</v>
      </c>
      <c r="S19" s="78" t="s">
        <v>59</v>
      </c>
      <c r="T19" s="5">
        <v>112</v>
      </c>
      <c r="U19" s="9"/>
      <c r="W19" s="85">
        <f>D19</f>
        <v>112.6</v>
      </c>
      <c r="X19" s="86">
        <f>E19</f>
        <v>34</v>
      </c>
      <c r="Y19" s="91">
        <f>H19</f>
        <v>256</v>
      </c>
      <c r="Z19" s="89">
        <f>I19</f>
        <v>0</v>
      </c>
      <c r="AA19" s="89">
        <f>K19</f>
        <v>0</v>
      </c>
      <c r="AB19" s="89">
        <f t="shared" ref="AB19:AD20" si="11">M19</f>
        <v>0</v>
      </c>
      <c r="AC19" s="4" t="str">
        <f t="shared" si="11"/>
        <v/>
      </c>
      <c r="AD19" s="90">
        <f t="shared" si="11"/>
        <v>0</v>
      </c>
      <c r="AE19" s="78" t="str">
        <f>S19</f>
        <v>계</v>
      </c>
      <c r="AF19" s="78" t="str">
        <f>Q19&amp;"/"&amp;R19</f>
        <v>4/2</v>
      </c>
      <c r="AH19" s="20" t="str">
        <f t="shared" si="1"/>
        <v>호반베르디움더센트럴1</v>
      </c>
      <c r="AI19" s="86">
        <f t="shared" si="0"/>
        <v>34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O</v>
      </c>
      <c r="AV19" s="78" t="str">
        <f>IF(AO19="","",IF(AND(AO19="O",AP19="O",AR19="O",AT19="O",AU19="O"),"후보","X"))</f>
        <v/>
      </c>
    </row>
    <row r="20" spans="1:48" x14ac:dyDescent="0.3">
      <c r="A20" s="9" t="s">
        <v>1354</v>
      </c>
      <c r="B20" s="10" t="s">
        <v>1620</v>
      </c>
      <c r="C20" s="87">
        <v>457</v>
      </c>
      <c r="D20" s="85">
        <v>139.4</v>
      </c>
      <c r="E20" s="86">
        <v>42</v>
      </c>
      <c r="F20" s="85">
        <v>111</v>
      </c>
      <c r="G20" s="17">
        <v>34</v>
      </c>
      <c r="H20" s="87">
        <v>201</v>
      </c>
      <c r="I20" s="88">
        <v>81000</v>
      </c>
      <c r="J20" s="88" t="s">
        <v>93</v>
      </c>
      <c r="K20" s="88">
        <v>50000</v>
      </c>
      <c r="L20" s="88" t="s">
        <v>72</v>
      </c>
      <c r="M20" s="89">
        <f>I20-K20</f>
        <v>31000</v>
      </c>
      <c r="N20" s="4">
        <f>IF(ISERROR(K20/I20),"",K20/I20)</f>
        <v>0.61728395061728392</v>
      </c>
      <c r="O20" s="90">
        <f>I20/E20</f>
        <v>1928.5714285714287</v>
      </c>
      <c r="P20" s="90">
        <f>K20/E20</f>
        <v>1190.4761904761904</v>
      </c>
      <c r="Q20" s="78">
        <v>4</v>
      </c>
      <c r="R20" s="78">
        <v>2</v>
      </c>
      <c r="S20" s="78" t="s">
        <v>59</v>
      </c>
      <c r="T20" s="5">
        <v>139</v>
      </c>
      <c r="U20" s="9"/>
      <c r="W20" s="85">
        <f>D20</f>
        <v>139.4</v>
      </c>
      <c r="X20" s="86">
        <f>E20</f>
        <v>42</v>
      </c>
      <c r="Y20" s="91">
        <f>H20</f>
        <v>201</v>
      </c>
      <c r="Z20" s="89">
        <f>I20</f>
        <v>81000</v>
      </c>
      <c r="AA20" s="89">
        <f>K20</f>
        <v>50000</v>
      </c>
      <c r="AB20" s="89">
        <f t="shared" si="11"/>
        <v>31000</v>
      </c>
      <c r="AC20" s="4">
        <f t="shared" si="11"/>
        <v>0.61728395061728392</v>
      </c>
      <c r="AD20" s="90">
        <f t="shared" si="11"/>
        <v>1928.5714285714287</v>
      </c>
      <c r="AE20" s="78" t="str">
        <f>S20</f>
        <v>계</v>
      </c>
      <c r="AF20" s="78" t="str">
        <f>Q20&amp;"/"&amp;R20</f>
        <v>4/2</v>
      </c>
      <c r="AH20" s="20" t="str">
        <f t="shared" si="1"/>
        <v>호반베르디움더센트럴1</v>
      </c>
      <c r="AI20" s="86">
        <f t="shared" si="0"/>
        <v>42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>X</v>
      </c>
      <c r="AP20" s="78" t="str">
        <f>IF(I20="","",IF(I20&lt;=$AP$1,"O","X"))</f>
        <v>X</v>
      </c>
      <c r="AQ20" s="78" t="str">
        <f>IF(O20="","",IF(O20&lt;=$AQ$1,"O","X"))</f>
        <v>X</v>
      </c>
      <c r="AR20" s="78" t="str">
        <f>IF(M20="","",IF(M20&lt;=$AR$1,"O","X"))</f>
        <v>X</v>
      </c>
      <c r="AS20" s="78" t="s">
        <v>2</v>
      </c>
      <c r="AT20" s="78" t="str">
        <f>IF(OR(F20="",AI20=""),"",IF(AND((F20&lt;=85),(AI20&gt;=15)),"O","X"))</f>
        <v>X</v>
      </c>
      <c r="AU20" s="78" t="str">
        <f>IF(C20="","",IF(C20&gt;=$AU$1,"O","X"))</f>
        <v>O</v>
      </c>
      <c r="AV20" s="78" t="str">
        <f>IF(AO20="","",IF(AND(AO20="O",AP20="O",AR20="O",AT20="O",AU20="O"),"후보","X"))</f>
        <v>X</v>
      </c>
    </row>
    <row r="21" spans="1:48" x14ac:dyDescent="0.3">
      <c r="A21" s="9"/>
      <c r="B21" s="78"/>
      <c r="C21" s="6"/>
      <c r="D21" s="9"/>
      <c r="E21" s="14"/>
      <c r="F21" s="85"/>
      <c r="G21" s="9"/>
      <c r="H21" s="9"/>
      <c r="I21" s="9"/>
      <c r="J21" s="9"/>
      <c r="K21" s="9"/>
      <c r="L21" s="9"/>
      <c r="M21" s="9"/>
      <c r="N21" s="9"/>
      <c r="O21" s="90"/>
      <c r="P21" s="90"/>
      <c r="Q21" s="86"/>
      <c r="R21" s="86"/>
      <c r="S21" s="9"/>
      <c r="T21" s="47"/>
      <c r="U21" s="9"/>
      <c r="W21" s="67" t="str">
        <f>$A$4&amp;" "&amp;A22&amp;"("&amp;B22&amp;","&amp;C22&amp;"^)"</f>
        <v>장동 전북혁신도시호반베르디움더클래스('14.06.,731^)</v>
      </c>
      <c r="X21" s="68"/>
      <c r="Y21" s="68"/>
      <c r="Z21" s="68"/>
      <c r="AA21" s="68"/>
      <c r="AB21" s="68"/>
      <c r="AC21" s="68"/>
      <c r="AD21" s="68"/>
      <c r="AE21" s="68"/>
      <c r="AF21" s="69"/>
      <c r="AH21" s="20" t="str">
        <f t="shared" si="1"/>
        <v/>
      </c>
      <c r="AI21" s="108" t="str">
        <f t="shared" si="0"/>
        <v/>
      </c>
      <c r="AJ21" s="78"/>
      <c r="AK21" s="78"/>
      <c r="AL21" s="78"/>
      <c r="AM21" s="78"/>
      <c r="AN21" s="78"/>
      <c r="AO21" s="78"/>
      <c r="AP21" s="78"/>
      <c r="AQ21" s="78"/>
      <c r="AR21" s="78"/>
      <c r="AS21" s="78"/>
      <c r="AT21" s="78"/>
      <c r="AU21" s="78"/>
      <c r="AV21" s="78"/>
    </row>
    <row r="22" spans="1:48" x14ac:dyDescent="0.3">
      <c r="A22" s="9" t="s">
        <v>1359</v>
      </c>
      <c r="B22" s="10" t="s">
        <v>1621</v>
      </c>
      <c r="C22" s="87">
        <v>731</v>
      </c>
      <c r="D22" s="85">
        <v>129.6</v>
      </c>
      <c r="E22" s="86">
        <v>39</v>
      </c>
      <c r="F22" s="85">
        <v>102.6</v>
      </c>
      <c r="G22" s="17">
        <v>31</v>
      </c>
      <c r="H22" s="87">
        <v>408</v>
      </c>
      <c r="I22" s="88">
        <v>67000</v>
      </c>
      <c r="J22" s="88" t="s">
        <v>89</v>
      </c>
      <c r="K22" s="88">
        <v>44000</v>
      </c>
      <c r="L22" s="88" t="s">
        <v>99</v>
      </c>
      <c r="M22" s="89">
        <f>I22-K22</f>
        <v>23000</v>
      </c>
      <c r="N22" s="4">
        <f>IF(ISERROR(K22/I22),"",K22/I22)</f>
        <v>0.65671641791044777</v>
      </c>
      <c r="O22" s="90">
        <f>I22/E22</f>
        <v>1717.948717948718</v>
      </c>
      <c r="P22" s="90">
        <f>K22/E22</f>
        <v>1128.2051282051282</v>
      </c>
      <c r="Q22" s="78">
        <v>4</v>
      </c>
      <c r="R22" s="78">
        <v>2</v>
      </c>
      <c r="S22" s="78" t="s">
        <v>59</v>
      </c>
      <c r="T22" s="5" t="s">
        <v>221</v>
      </c>
      <c r="U22" s="9"/>
      <c r="W22" s="85">
        <f t="shared" ref="W22:X24" si="12">D22</f>
        <v>129.6</v>
      </c>
      <c r="X22" s="86">
        <f t="shared" si="12"/>
        <v>39</v>
      </c>
      <c r="Y22" s="91">
        <f t="shared" ref="Y22:Z24" si="13">H22</f>
        <v>408</v>
      </c>
      <c r="Z22" s="89">
        <f t="shared" si="13"/>
        <v>67000</v>
      </c>
      <c r="AA22" s="89">
        <f>K22</f>
        <v>44000</v>
      </c>
      <c r="AB22" s="89">
        <f t="shared" ref="AB22:AD24" si="14">M22</f>
        <v>23000</v>
      </c>
      <c r="AC22" s="4">
        <f t="shared" si="14"/>
        <v>0.65671641791044777</v>
      </c>
      <c r="AD22" s="90">
        <f t="shared" si="14"/>
        <v>1717.948717948718</v>
      </c>
      <c r="AE22" s="78" t="str">
        <f>S22</f>
        <v>계</v>
      </c>
      <c r="AF22" s="78" t="str">
        <f>Q22&amp;"/"&amp;R22</f>
        <v>4/2</v>
      </c>
      <c r="AH22" s="20" t="str">
        <f t="shared" si="1"/>
        <v>전북혁신도시호반베르디움더클래스</v>
      </c>
      <c r="AI22" s="86">
        <f t="shared" si="0"/>
        <v>39</v>
      </c>
      <c r="AJ22" s="78" t="str">
        <f>IF(AI22="","",$AJ$2)</f>
        <v>A-</v>
      </c>
      <c r="AK22" s="78" t="s">
        <v>13</v>
      </c>
      <c r="AL22" s="78" t="s">
        <v>61</v>
      </c>
      <c r="AM22" s="78" t="s">
        <v>62</v>
      </c>
      <c r="AN22" s="78" t="str">
        <f>IF(AI22="","",$AN$2)</f>
        <v>C</v>
      </c>
      <c r="AO22" s="78" t="str">
        <f>IF(N22="","",IF(N22&gt;=$AO$1/100,"O","X"))</f>
        <v>X</v>
      </c>
      <c r="AP22" s="78" t="str">
        <f>IF(I22="","",IF(I22&lt;=$AP$1,"O","X"))</f>
        <v>X</v>
      </c>
      <c r="AQ22" s="78" t="str">
        <f>IF(O22="","",IF(O22&lt;=$AQ$1,"O","X"))</f>
        <v>X</v>
      </c>
      <c r="AR22" s="78" t="str">
        <f>IF(M22="","",IF(M22&lt;=$AR$1,"O","X"))</f>
        <v>X</v>
      </c>
      <c r="AS22" s="78" t="s">
        <v>2</v>
      </c>
      <c r="AT22" s="78" t="str">
        <f>IF(OR(F22="",AI22=""),"",IF(AND((F22&lt;=85),(AI22&gt;=15)),"O","X"))</f>
        <v>X</v>
      </c>
      <c r="AU22" s="78" t="str">
        <f>IF(C22="","",IF(C22&gt;=$AU$1,"O","X"))</f>
        <v>O</v>
      </c>
      <c r="AV22" s="78" t="str">
        <f>IF(AO22="","",IF(AND(AO22="O",AP22="O",AR22="O",AT22="O",AU22="O"),"후보","X"))</f>
        <v>X</v>
      </c>
    </row>
    <row r="23" spans="1:48" x14ac:dyDescent="0.3">
      <c r="A23" s="9" t="s">
        <v>1359</v>
      </c>
      <c r="B23" s="10" t="s">
        <v>1621</v>
      </c>
      <c r="C23" s="87">
        <v>731</v>
      </c>
      <c r="D23" s="85">
        <v>131.5</v>
      </c>
      <c r="E23" s="86">
        <v>40</v>
      </c>
      <c r="F23" s="85">
        <v>102.2</v>
      </c>
      <c r="G23" s="17">
        <v>31</v>
      </c>
      <c r="H23" s="87">
        <v>99</v>
      </c>
      <c r="I23" s="88">
        <v>66000</v>
      </c>
      <c r="J23" s="88" t="s">
        <v>82</v>
      </c>
      <c r="K23" s="88">
        <v>53000</v>
      </c>
      <c r="L23" s="88" t="s">
        <v>111</v>
      </c>
      <c r="M23" s="89">
        <f>I23-K23</f>
        <v>13000</v>
      </c>
      <c r="N23" s="4">
        <f>IF(ISERROR(K23/I23),"",K23/I23)</f>
        <v>0.80303030303030298</v>
      </c>
      <c r="O23" s="90">
        <f>I23/E23</f>
        <v>1650</v>
      </c>
      <c r="P23" s="90">
        <f>K23/E23</f>
        <v>1325</v>
      </c>
      <c r="Q23" s="78">
        <v>4</v>
      </c>
      <c r="R23" s="78">
        <v>2</v>
      </c>
      <c r="S23" s="78" t="s">
        <v>59</v>
      </c>
      <c r="T23" s="5" t="s">
        <v>181</v>
      </c>
      <c r="U23" s="9"/>
      <c r="W23" s="85">
        <f t="shared" si="12"/>
        <v>131.5</v>
      </c>
      <c r="X23" s="86">
        <f t="shared" si="12"/>
        <v>40</v>
      </c>
      <c r="Y23" s="91">
        <f t="shared" si="13"/>
        <v>99</v>
      </c>
      <c r="Z23" s="89">
        <f t="shared" si="13"/>
        <v>66000</v>
      </c>
      <c r="AA23" s="89">
        <f>K23</f>
        <v>53000</v>
      </c>
      <c r="AB23" s="89">
        <f t="shared" si="14"/>
        <v>13000</v>
      </c>
      <c r="AC23" s="4">
        <f t="shared" si="14"/>
        <v>0.80303030303030298</v>
      </c>
      <c r="AD23" s="90">
        <f t="shared" si="14"/>
        <v>1650</v>
      </c>
      <c r="AE23" s="78" t="str">
        <f>S23</f>
        <v>계</v>
      </c>
      <c r="AF23" s="78" t="str">
        <f>Q23&amp;"/"&amp;R23</f>
        <v>4/2</v>
      </c>
      <c r="AH23" s="20" t="str">
        <f t="shared" si="1"/>
        <v>전북혁신도시호반베르디움더클래스</v>
      </c>
      <c r="AI23" s="86">
        <f t="shared" si="0"/>
        <v>40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O</v>
      </c>
      <c r="AP23" s="78" t="str">
        <f>IF(I23="","",IF(I23&lt;=$AP$1,"O","X"))</f>
        <v>X</v>
      </c>
      <c r="AQ23" s="78" t="str">
        <f>IF(O23="","",IF(O23&lt;=$AQ$1,"O","X"))</f>
        <v>X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X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1359</v>
      </c>
      <c r="B24" s="10" t="s">
        <v>1621</v>
      </c>
      <c r="C24" s="87">
        <v>731</v>
      </c>
      <c r="D24" s="85">
        <v>143.80000000000001</v>
      </c>
      <c r="E24" s="86">
        <v>44</v>
      </c>
      <c r="F24" s="85">
        <v>118.2</v>
      </c>
      <c r="G24" s="17">
        <v>36</v>
      </c>
      <c r="H24" s="87">
        <v>224</v>
      </c>
      <c r="I24" s="88">
        <v>72000</v>
      </c>
      <c r="J24" s="88" t="s">
        <v>72</v>
      </c>
      <c r="K24" s="88">
        <v>48000</v>
      </c>
      <c r="L24" s="88" t="s">
        <v>72</v>
      </c>
      <c r="M24" s="89">
        <f>I24-K24</f>
        <v>24000</v>
      </c>
      <c r="N24" s="4">
        <f>IF(ISERROR(K24/I24),"",K24/I24)</f>
        <v>0.66666666666666663</v>
      </c>
      <c r="O24" s="90">
        <f>I24/E24</f>
        <v>1636.3636363636363</v>
      </c>
      <c r="P24" s="90">
        <f>K24/E24</f>
        <v>1090.909090909091</v>
      </c>
      <c r="Q24" s="78">
        <v>4</v>
      </c>
      <c r="R24" s="78">
        <v>2</v>
      </c>
      <c r="S24" s="78" t="s">
        <v>59</v>
      </c>
      <c r="T24" s="5" t="s">
        <v>222</v>
      </c>
      <c r="U24" s="9"/>
      <c r="W24" s="85">
        <f t="shared" si="12"/>
        <v>143.80000000000001</v>
      </c>
      <c r="X24" s="86">
        <f t="shared" si="12"/>
        <v>44</v>
      </c>
      <c r="Y24" s="91">
        <f t="shared" si="13"/>
        <v>224</v>
      </c>
      <c r="Z24" s="89">
        <f t="shared" si="13"/>
        <v>72000</v>
      </c>
      <c r="AA24" s="89">
        <f>K24</f>
        <v>48000</v>
      </c>
      <c r="AB24" s="89">
        <f t="shared" si="14"/>
        <v>24000</v>
      </c>
      <c r="AC24" s="4">
        <f t="shared" si="14"/>
        <v>0.66666666666666663</v>
      </c>
      <c r="AD24" s="90">
        <f t="shared" si="14"/>
        <v>1636.3636363636363</v>
      </c>
      <c r="AE24" s="78" t="str">
        <f>S24</f>
        <v>계</v>
      </c>
      <c r="AF24" s="78" t="str">
        <f>Q24&amp;"/"&amp;R24</f>
        <v>4/2</v>
      </c>
      <c r="AH24" s="20" t="str">
        <f t="shared" si="1"/>
        <v>전북혁신도시호반베르디움더클래스</v>
      </c>
      <c r="AI24" s="86">
        <f t="shared" si="0"/>
        <v>44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X</v>
      </c>
      <c r="AQ24" s="78" t="str">
        <f>IF(O24="","",IF(O24&lt;=$AQ$1,"O","X"))</f>
        <v>X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X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/>
      <c r="B25" s="78"/>
      <c r="C25" s="6"/>
      <c r="D25" s="9"/>
      <c r="E25" s="14"/>
      <c r="F25" s="85"/>
      <c r="G25" s="9"/>
      <c r="H25" s="9"/>
      <c r="I25" s="9"/>
      <c r="J25" s="9"/>
      <c r="K25" s="9"/>
      <c r="L25" s="9"/>
      <c r="M25" s="9"/>
      <c r="N25" s="9"/>
      <c r="O25" s="90"/>
      <c r="P25" s="90"/>
      <c r="Q25" s="86"/>
      <c r="R25" s="86"/>
      <c r="S25" s="9"/>
      <c r="T25" s="47"/>
      <c r="U25" s="9"/>
      <c r="W25" s="67" t="str">
        <f>$A$4&amp;" "&amp;A26&amp;"("&amp;B26&amp;","&amp;C26&amp;"^)"</f>
        <v>장동 전북혁신우미린2단지('13.12.,462^)</v>
      </c>
      <c r="X25" s="68"/>
      <c r="Y25" s="68"/>
      <c r="Z25" s="68"/>
      <c r="AA25" s="68"/>
      <c r="AB25" s="68"/>
      <c r="AC25" s="68"/>
      <c r="AD25" s="68"/>
      <c r="AE25" s="68"/>
      <c r="AF25" s="69"/>
      <c r="AH25" s="20" t="str">
        <f t="shared" si="1"/>
        <v/>
      </c>
      <c r="AI25" s="108" t="str">
        <f t="shared" si="0"/>
        <v/>
      </c>
      <c r="AJ25" s="78"/>
      <c r="AK25" s="78"/>
      <c r="AL25" s="78"/>
      <c r="AM25" s="78"/>
      <c r="AN25" s="78"/>
      <c r="AO25" s="78"/>
      <c r="AP25" s="78"/>
      <c r="AQ25" s="78"/>
      <c r="AR25" s="78"/>
      <c r="AS25" s="78"/>
      <c r="AT25" s="78"/>
      <c r="AU25" s="78"/>
      <c r="AV25" s="78"/>
    </row>
    <row r="26" spans="1:48" x14ac:dyDescent="0.3">
      <c r="A26" s="9" t="s">
        <v>1364</v>
      </c>
      <c r="B26" s="10" t="s">
        <v>1619</v>
      </c>
      <c r="C26" s="87">
        <v>462</v>
      </c>
      <c r="D26" s="85">
        <v>110.8</v>
      </c>
      <c r="E26" s="86">
        <v>34</v>
      </c>
      <c r="F26" s="85">
        <v>85</v>
      </c>
      <c r="G26" s="17">
        <v>26</v>
      </c>
      <c r="H26" s="87">
        <v>462</v>
      </c>
      <c r="I26" s="88">
        <v>49000</v>
      </c>
      <c r="J26" s="88" t="s">
        <v>89</v>
      </c>
      <c r="K26" s="88">
        <v>37000</v>
      </c>
      <c r="L26" s="88" t="s">
        <v>68</v>
      </c>
      <c r="M26" s="89">
        <f>I26-K26</f>
        <v>12000</v>
      </c>
      <c r="N26" s="4">
        <f>IF(ISERROR(K26/I26),"",K26/I26)</f>
        <v>0.75510204081632648</v>
      </c>
      <c r="O26" s="90">
        <f>I26/E26</f>
        <v>1441.1764705882354</v>
      </c>
      <c r="P26" s="90">
        <f>K26/E26</f>
        <v>1088.2352941176471</v>
      </c>
      <c r="Q26" s="78">
        <v>3</v>
      </c>
      <c r="R26" s="78">
        <v>2</v>
      </c>
      <c r="S26" s="78" t="s">
        <v>59</v>
      </c>
      <c r="T26" s="5">
        <v>110</v>
      </c>
      <c r="U26" s="9"/>
      <c r="W26" s="85">
        <f>D26</f>
        <v>110.8</v>
      </c>
      <c r="X26" s="86">
        <f>E26</f>
        <v>34</v>
      </c>
      <c r="Y26" s="91">
        <f>H26</f>
        <v>462</v>
      </c>
      <c r="Z26" s="89">
        <f>I26</f>
        <v>49000</v>
      </c>
      <c r="AA26" s="89">
        <f>K26</f>
        <v>37000</v>
      </c>
      <c r="AB26" s="89">
        <f>M26</f>
        <v>12000</v>
      </c>
      <c r="AC26" s="4">
        <f>N26</f>
        <v>0.75510204081632648</v>
      </c>
      <c r="AD26" s="90">
        <f>O26</f>
        <v>1441.1764705882354</v>
      </c>
      <c r="AE26" s="78" t="str">
        <f>S26</f>
        <v>계</v>
      </c>
      <c r="AF26" s="78" t="str">
        <f>Q26&amp;"/"&amp;R26</f>
        <v>3/2</v>
      </c>
      <c r="AH26" s="20" t="str">
        <f t="shared" si="1"/>
        <v>전북혁신우미린2단지</v>
      </c>
      <c r="AI26" s="86">
        <f t="shared" si="0"/>
        <v>34</v>
      </c>
      <c r="AJ26" s="78" t="str">
        <f>IF(AI26="","",$AJ$2)</f>
        <v>A-</v>
      </c>
      <c r="AK26" s="78" t="s">
        <v>13</v>
      </c>
      <c r="AL26" s="78" t="s">
        <v>61</v>
      </c>
      <c r="AM26" s="78" t="s">
        <v>62</v>
      </c>
      <c r="AN26" s="78" t="str">
        <f>IF(AI26="","",$AN$2)</f>
        <v>C</v>
      </c>
      <c r="AO26" s="78" t="str">
        <f>IF(N26="","",IF(N26&gt;=$AO$1/100,"O","X"))</f>
        <v>X</v>
      </c>
      <c r="AP26" s="78" t="str">
        <f>IF(I26="","",IF(I26&lt;=$AP$1,"O","X"))</f>
        <v>X</v>
      </c>
      <c r="AQ26" s="78" t="str">
        <f>IF(O26="","",IF(O26&lt;=$AQ$1,"O","X"))</f>
        <v>X</v>
      </c>
      <c r="AR26" s="78" t="str">
        <f>IF(M26="","",IF(M26&lt;=$AR$1,"O","X"))</f>
        <v>X</v>
      </c>
      <c r="AS26" s="78" t="s">
        <v>2</v>
      </c>
      <c r="AT26" s="78" t="str">
        <f>IF(OR(F26="",AI26=""),"",IF(AND((F26&lt;=85),(AI26&gt;=15)),"O","X"))</f>
        <v>O</v>
      </c>
      <c r="AU26" s="78" t="str">
        <f>IF(C26="","",IF(C26&gt;=$AU$1,"O","X"))</f>
        <v>O</v>
      </c>
      <c r="AV26" s="78" t="str">
        <f>IF(AO26="","",IF(AND(AO26="O",AP26="O",AR26="O",AT26="O",AU26="O"),"후보","X"))</f>
        <v>X</v>
      </c>
    </row>
    <row r="27" spans="1:48" x14ac:dyDescent="0.3">
      <c r="A27" s="9"/>
      <c r="B27" s="78"/>
      <c r="C27" s="6"/>
      <c r="D27" s="9"/>
      <c r="E27" s="14"/>
      <c r="F27" s="85"/>
      <c r="G27" s="9"/>
      <c r="H27" s="9"/>
      <c r="I27" s="9"/>
      <c r="J27" s="9"/>
      <c r="K27" s="9"/>
      <c r="L27" s="9"/>
      <c r="M27" s="9"/>
      <c r="N27" s="9"/>
      <c r="O27" s="90"/>
      <c r="P27" s="90"/>
      <c r="Q27" s="86"/>
      <c r="R27" s="86"/>
      <c r="S27" s="9"/>
      <c r="T27" s="47"/>
      <c r="U27" s="9"/>
      <c r="W27" s="67" t="str">
        <f>$A$4&amp;" "&amp;A28&amp;"("&amp;B28&amp;","&amp;C28&amp;"^)"</f>
        <v>장동 호반베르디움더센트럴2('16.06.,634^)</v>
      </c>
      <c r="X27" s="68"/>
      <c r="Y27" s="68"/>
      <c r="Z27" s="68"/>
      <c r="AA27" s="68"/>
      <c r="AB27" s="68"/>
      <c r="AC27" s="68"/>
      <c r="AD27" s="68"/>
      <c r="AE27" s="68"/>
      <c r="AF27" s="69"/>
      <c r="AH27" s="20" t="str">
        <f t="shared" si="1"/>
        <v/>
      </c>
      <c r="AI27" s="108" t="str">
        <f t="shared" si="0"/>
        <v/>
      </c>
      <c r="AJ27" s="78"/>
      <c r="AK27" s="78"/>
      <c r="AL27" s="78"/>
      <c r="AM27" s="78"/>
      <c r="AN27" s="78"/>
      <c r="AO27" s="78"/>
      <c r="AP27" s="78"/>
      <c r="AQ27" s="78"/>
      <c r="AR27" s="78"/>
      <c r="AS27" s="78"/>
      <c r="AT27" s="78"/>
      <c r="AU27" s="78"/>
      <c r="AV27" s="78"/>
    </row>
    <row r="28" spans="1:48" x14ac:dyDescent="0.3">
      <c r="A28" s="9" t="s">
        <v>1368</v>
      </c>
      <c r="B28" s="10" t="s">
        <v>1620</v>
      </c>
      <c r="C28" s="87">
        <v>634</v>
      </c>
      <c r="D28" s="85">
        <v>112.9</v>
      </c>
      <c r="E28" s="86">
        <v>34</v>
      </c>
      <c r="F28" s="85">
        <v>84.8</v>
      </c>
      <c r="G28" s="17">
        <v>26</v>
      </c>
      <c r="H28" s="87">
        <v>267</v>
      </c>
      <c r="I28" s="88">
        <v>52000</v>
      </c>
      <c r="J28" s="88" t="s">
        <v>69</v>
      </c>
      <c r="K28" s="88">
        <v>41000</v>
      </c>
      <c r="L28" s="88" t="s">
        <v>68</v>
      </c>
      <c r="M28" s="89">
        <f>I28-K28</f>
        <v>11000</v>
      </c>
      <c r="N28" s="4">
        <f>IF(ISERROR(K28/I28),"",K28/I28)</f>
        <v>0.78846153846153844</v>
      </c>
      <c r="O28" s="90">
        <f>I28/E28</f>
        <v>1529.4117647058824</v>
      </c>
      <c r="P28" s="90">
        <f>K28/E28</f>
        <v>1205.8823529411766</v>
      </c>
      <c r="Q28" s="78">
        <v>3</v>
      </c>
      <c r="R28" s="78">
        <v>2</v>
      </c>
      <c r="S28" s="78" t="s">
        <v>59</v>
      </c>
      <c r="T28" s="5" t="s">
        <v>101</v>
      </c>
      <c r="U28" s="9"/>
      <c r="W28" s="85">
        <f t="shared" ref="W28:X31" si="15">D28</f>
        <v>112.9</v>
      </c>
      <c r="X28" s="86">
        <f t="shared" si="15"/>
        <v>34</v>
      </c>
      <c r="Y28" s="91">
        <f t="shared" ref="Y28:Z31" si="16">H28</f>
        <v>267</v>
      </c>
      <c r="Z28" s="89">
        <f t="shared" si="16"/>
        <v>52000</v>
      </c>
      <c r="AA28" s="89">
        <f>K28</f>
        <v>41000</v>
      </c>
      <c r="AB28" s="89">
        <f t="shared" ref="AB28:AD31" si="17">M28</f>
        <v>11000</v>
      </c>
      <c r="AC28" s="4">
        <f t="shared" si="17"/>
        <v>0.78846153846153844</v>
      </c>
      <c r="AD28" s="90">
        <f t="shared" si="17"/>
        <v>1529.4117647058824</v>
      </c>
      <c r="AE28" s="78" t="str">
        <f>S28</f>
        <v>계</v>
      </c>
      <c r="AF28" s="78" t="str">
        <f>Q28&amp;"/"&amp;R28</f>
        <v>3/2</v>
      </c>
      <c r="AH28" s="20" t="str">
        <f t="shared" si="1"/>
        <v>호반베르디움더센트럴2</v>
      </c>
      <c r="AI28" s="86">
        <f t="shared" si="0"/>
        <v>34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>X</v>
      </c>
      <c r="AP28" s="78" t="str">
        <f>IF(I28="","",IF(I28&lt;=$AP$1,"O","X"))</f>
        <v>X</v>
      </c>
      <c r="AQ28" s="78" t="str">
        <f>IF(O28="","",IF(O28&lt;=$AQ$1,"O","X"))</f>
        <v>X</v>
      </c>
      <c r="AR28" s="78" t="str">
        <f>IF(M28="","",IF(M28&lt;=$AR$1,"O","X"))</f>
        <v>X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O</v>
      </c>
      <c r="AV28" s="78" t="str">
        <f>IF(AO28="","",IF(AND(AO28="O",AP28="O",AR28="O",AT28="O",AU28="O"),"후보","X"))</f>
        <v>X</v>
      </c>
    </row>
    <row r="29" spans="1:48" x14ac:dyDescent="0.3">
      <c r="A29" s="9" t="s">
        <v>1368</v>
      </c>
      <c r="B29" s="10" t="s">
        <v>1620</v>
      </c>
      <c r="C29" s="87">
        <v>634</v>
      </c>
      <c r="D29" s="85">
        <v>114.4</v>
      </c>
      <c r="E29" s="86">
        <v>35</v>
      </c>
      <c r="F29" s="85">
        <v>84.9</v>
      </c>
      <c r="G29" s="17">
        <v>26</v>
      </c>
      <c r="H29" s="87">
        <v>62</v>
      </c>
      <c r="I29" s="88">
        <v>57000</v>
      </c>
      <c r="J29" s="88" t="s">
        <v>131</v>
      </c>
      <c r="K29" s="88"/>
      <c r="L29" s="88"/>
      <c r="M29" s="89">
        <f>I29-K29</f>
        <v>57000</v>
      </c>
      <c r="N29" s="4">
        <f>IF(ISERROR(K29/I29),"",K29/I29)</f>
        <v>0</v>
      </c>
      <c r="O29" s="90">
        <f>I29/E29</f>
        <v>1628.5714285714287</v>
      </c>
      <c r="P29" s="90">
        <f>K29/E29</f>
        <v>0</v>
      </c>
      <c r="Q29" s="78">
        <v>3</v>
      </c>
      <c r="R29" s="78">
        <v>2</v>
      </c>
      <c r="S29" s="78" t="s">
        <v>59</v>
      </c>
      <c r="T29" s="5" t="s">
        <v>79</v>
      </c>
      <c r="U29" s="9"/>
      <c r="W29" s="85">
        <f t="shared" si="15"/>
        <v>114.4</v>
      </c>
      <c r="X29" s="86">
        <f t="shared" si="15"/>
        <v>35</v>
      </c>
      <c r="Y29" s="91">
        <f t="shared" si="16"/>
        <v>62</v>
      </c>
      <c r="Z29" s="89">
        <f t="shared" si="16"/>
        <v>57000</v>
      </c>
      <c r="AA29" s="89">
        <f>K29</f>
        <v>0</v>
      </c>
      <c r="AB29" s="89">
        <f t="shared" si="17"/>
        <v>57000</v>
      </c>
      <c r="AC29" s="4">
        <f t="shared" si="17"/>
        <v>0</v>
      </c>
      <c r="AD29" s="90">
        <f t="shared" si="17"/>
        <v>1628.5714285714287</v>
      </c>
      <c r="AE29" s="78" t="str">
        <f>S29</f>
        <v>계</v>
      </c>
      <c r="AF29" s="78" t="str">
        <f>Q29&amp;"/"&amp;R29</f>
        <v>3/2</v>
      </c>
      <c r="AH29" s="20" t="str">
        <f t="shared" si="1"/>
        <v>호반베르디움더센트럴2</v>
      </c>
      <c r="AI29" s="86">
        <f t="shared" si="0"/>
        <v>35</v>
      </c>
      <c r="AJ29" s="78" t="str">
        <f>IF(AI29="","",$AJ$2)</f>
        <v>A-</v>
      </c>
      <c r="AK29" s="78" t="s">
        <v>13</v>
      </c>
      <c r="AL29" s="78" t="s">
        <v>61</v>
      </c>
      <c r="AM29" s="78" t="s">
        <v>62</v>
      </c>
      <c r="AN29" s="78" t="str">
        <f>IF(AI29="","",$AN$2)</f>
        <v>C</v>
      </c>
      <c r="AO29" s="78" t="str">
        <f>IF(N29="","",IF(N29&gt;=$AO$1/100,"O","X"))</f>
        <v>X</v>
      </c>
      <c r="AP29" s="78" t="str">
        <f>IF(I29="","",IF(I29&lt;=$AP$1,"O","X"))</f>
        <v>X</v>
      </c>
      <c r="AQ29" s="78" t="str">
        <f>IF(O29="","",IF(O29&lt;=$AQ$1,"O","X"))</f>
        <v>X</v>
      </c>
      <c r="AR29" s="78" t="str">
        <f>IF(M29="","",IF(M29&lt;=$AR$1,"O","X"))</f>
        <v>X</v>
      </c>
      <c r="AS29" s="78" t="s">
        <v>2</v>
      </c>
      <c r="AT29" s="78" t="str">
        <f>IF(OR(F29="",AI29=""),"",IF(AND((F29&lt;=85),(AI29&gt;=15)),"O","X"))</f>
        <v>O</v>
      </c>
      <c r="AU29" s="78" t="str">
        <f>IF(C29="","",IF(C29&gt;=$AU$1,"O","X"))</f>
        <v>O</v>
      </c>
      <c r="AV29" s="78" t="str">
        <f>IF(AO29="","",IF(AND(AO29="O",AP29="O",AR29="O",AT29="O",AU29="O"),"후보","X"))</f>
        <v>X</v>
      </c>
    </row>
    <row r="30" spans="1:48" x14ac:dyDescent="0.3">
      <c r="A30" s="9" t="s">
        <v>1368</v>
      </c>
      <c r="B30" s="10" t="s">
        <v>1620</v>
      </c>
      <c r="C30" s="87">
        <v>634</v>
      </c>
      <c r="D30" s="85">
        <v>129</v>
      </c>
      <c r="E30" s="86">
        <v>39</v>
      </c>
      <c r="F30" s="85">
        <v>102</v>
      </c>
      <c r="G30" s="17">
        <v>31</v>
      </c>
      <c r="H30" s="87">
        <v>104</v>
      </c>
      <c r="I30" s="88">
        <v>69500</v>
      </c>
      <c r="J30" s="88" t="s">
        <v>68</v>
      </c>
      <c r="K30" s="88">
        <v>45000</v>
      </c>
      <c r="L30" s="88" t="s">
        <v>137</v>
      </c>
      <c r="M30" s="89">
        <f>I30-K30</f>
        <v>24500</v>
      </c>
      <c r="N30" s="4">
        <f>IF(ISERROR(K30/I30),"",K30/I30)</f>
        <v>0.64748201438848918</v>
      </c>
      <c r="O30" s="90">
        <f>I30/E30</f>
        <v>1782.051282051282</v>
      </c>
      <c r="P30" s="90">
        <f>K30/E30</f>
        <v>1153.8461538461538</v>
      </c>
      <c r="Q30" s="78">
        <v>4</v>
      </c>
      <c r="R30" s="78">
        <v>2</v>
      </c>
      <c r="S30" s="78" t="s">
        <v>59</v>
      </c>
      <c r="T30" s="5">
        <v>128</v>
      </c>
      <c r="U30" s="9"/>
      <c r="W30" s="85">
        <f t="shared" si="15"/>
        <v>129</v>
      </c>
      <c r="X30" s="86">
        <f t="shared" si="15"/>
        <v>39</v>
      </c>
      <c r="Y30" s="91">
        <f t="shared" si="16"/>
        <v>104</v>
      </c>
      <c r="Z30" s="89">
        <f t="shared" si="16"/>
        <v>69500</v>
      </c>
      <c r="AA30" s="89">
        <f>K30</f>
        <v>45000</v>
      </c>
      <c r="AB30" s="89">
        <f t="shared" si="17"/>
        <v>24500</v>
      </c>
      <c r="AC30" s="4">
        <f t="shared" si="17"/>
        <v>0.64748201438848918</v>
      </c>
      <c r="AD30" s="90">
        <f t="shared" si="17"/>
        <v>1782.051282051282</v>
      </c>
      <c r="AE30" s="78" t="str">
        <f>S30</f>
        <v>계</v>
      </c>
      <c r="AF30" s="78" t="str">
        <f>Q30&amp;"/"&amp;R30</f>
        <v>4/2</v>
      </c>
      <c r="AH30" s="20" t="str">
        <f t="shared" si="1"/>
        <v>호반베르디움더센트럴2</v>
      </c>
      <c r="AI30" s="86">
        <f t="shared" si="0"/>
        <v>39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1368</v>
      </c>
      <c r="B31" s="10" t="s">
        <v>1620</v>
      </c>
      <c r="C31" s="87">
        <v>634</v>
      </c>
      <c r="D31" s="85">
        <v>139.19999999999999</v>
      </c>
      <c r="E31" s="86">
        <v>42</v>
      </c>
      <c r="F31" s="85">
        <v>111</v>
      </c>
      <c r="G31" s="17">
        <v>34</v>
      </c>
      <c r="H31" s="87">
        <v>201</v>
      </c>
      <c r="I31" s="88">
        <v>79000</v>
      </c>
      <c r="J31" s="88" t="s">
        <v>131</v>
      </c>
      <c r="K31" s="88">
        <v>48000</v>
      </c>
      <c r="L31" s="88" t="s">
        <v>107</v>
      </c>
      <c r="M31" s="89">
        <f>I31-K31</f>
        <v>31000</v>
      </c>
      <c r="N31" s="4">
        <f>IF(ISERROR(K31/I31),"",K31/I31)</f>
        <v>0.60759493670886078</v>
      </c>
      <c r="O31" s="90">
        <f>I31/E31</f>
        <v>1880.952380952381</v>
      </c>
      <c r="P31" s="90">
        <f>K31/E31</f>
        <v>1142.8571428571429</v>
      </c>
      <c r="Q31" s="78">
        <v>4</v>
      </c>
      <c r="R31" s="78">
        <v>2</v>
      </c>
      <c r="S31" s="78" t="s">
        <v>59</v>
      </c>
      <c r="T31" s="5">
        <v>139</v>
      </c>
      <c r="U31" s="9"/>
      <c r="W31" s="85">
        <f t="shared" si="15"/>
        <v>139.19999999999999</v>
      </c>
      <c r="X31" s="86">
        <f t="shared" si="15"/>
        <v>42</v>
      </c>
      <c r="Y31" s="91">
        <f t="shared" si="16"/>
        <v>201</v>
      </c>
      <c r="Z31" s="89">
        <f t="shared" si="16"/>
        <v>79000</v>
      </c>
      <c r="AA31" s="89">
        <f>K31</f>
        <v>48000</v>
      </c>
      <c r="AB31" s="89">
        <f t="shared" si="17"/>
        <v>31000</v>
      </c>
      <c r="AC31" s="4">
        <f t="shared" si="17"/>
        <v>0.60759493670886078</v>
      </c>
      <c r="AD31" s="90">
        <f t="shared" si="17"/>
        <v>1880.952380952381</v>
      </c>
      <c r="AE31" s="78" t="str">
        <f>S31</f>
        <v>계</v>
      </c>
      <c r="AF31" s="78" t="str">
        <f>Q31&amp;"/"&amp;R31</f>
        <v>4/2</v>
      </c>
      <c r="AH31" s="20" t="str">
        <f t="shared" si="1"/>
        <v>호반베르디움더센트럴2</v>
      </c>
      <c r="AI31" s="86">
        <f t="shared" si="0"/>
        <v>42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>X</v>
      </c>
      <c r="AP31" s="78" t="str">
        <f>IF(I31="","",IF(I31&lt;=$AP$1,"O","X"))</f>
        <v>X</v>
      </c>
      <c r="AQ31" s="78" t="str">
        <f>IF(O31="","",IF(O31&lt;=$AQ$1,"O","X"))</f>
        <v>X</v>
      </c>
      <c r="AR31" s="78" t="str">
        <f>IF(M31="","",IF(M31&lt;=$AR$1,"O","X"))</f>
        <v>X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>X</v>
      </c>
    </row>
    <row r="32" spans="1:48" x14ac:dyDescent="0.3">
      <c r="A32" s="9"/>
      <c r="B32" s="78"/>
      <c r="C32" s="6"/>
      <c r="D32" s="9"/>
      <c r="E32" s="14"/>
      <c r="F32" s="85"/>
      <c r="G32" s="9"/>
      <c r="H32" s="9"/>
      <c r="I32" s="9"/>
      <c r="J32" s="9"/>
      <c r="K32" s="9"/>
      <c r="L32" s="9"/>
      <c r="M32" s="9"/>
      <c r="N32" s="9"/>
      <c r="O32" s="90"/>
      <c r="P32" s="90"/>
      <c r="Q32" s="86"/>
      <c r="R32" s="86"/>
      <c r="S32" s="9"/>
      <c r="T32" s="47"/>
      <c r="U32" s="9"/>
      <c r="W32" s="67" t="str">
        <f>$A$4&amp;" "&amp;A33&amp;"("&amp;B33&amp;","&amp;C33&amp;"^)"</f>
        <v>장동 대방디엠시티('20.08.,494^)</v>
      </c>
      <c r="X32" s="68"/>
      <c r="Y32" s="68"/>
      <c r="Z32" s="68"/>
      <c r="AA32" s="68"/>
      <c r="AB32" s="68"/>
      <c r="AC32" s="68"/>
      <c r="AD32" s="68"/>
      <c r="AE32" s="68"/>
      <c r="AF32" s="69"/>
      <c r="AH32" s="20" t="str">
        <f t="shared" si="1"/>
        <v/>
      </c>
      <c r="AI32" s="108" t="str">
        <f t="shared" si="0"/>
        <v/>
      </c>
      <c r="AJ32" s="78"/>
      <c r="AK32" s="78"/>
      <c r="AL32" s="78"/>
      <c r="AM32" s="78"/>
      <c r="AN32" s="78"/>
      <c r="AO32" s="78"/>
      <c r="AP32" s="78"/>
      <c r="AQ32" s="78"/>
      <c r="AR32" s="78"/>
      <c r="AS32" s="78"/>
      <c r="AT32" s="78"/>
      <c r="AU32" s="78"/>
      <c r="AV32" s="78"/>
    </row>
    <row r="33" spans="1:48" x14ac:dyDescent="0.3">
      <c r="A33" s="9" t="s">
        <v>1372</v>
      </c>
      <c r="B33" s="10" t="s">
        <v>1613</v>
      </c>
      <c r="C33" s="87">
        <v>494</v>
      </c>
      <c r="D33" s="85">
        <v>129.6</v>
      </c>
      <c r="E33" s="86">
        <v>39</v>
      </c>
      <c r="F33" s="85">
        <v>106</v>
      </c>
      <c r="G33" s="17">
        <v>32</v>
      </c>
      <c r="H33" s="87">
        <v>83</v>
      </c>
      <c r="I33" s="88"/>
      <c r="J33" s="88"/>
      <c r="K33" s="88"/>
      <c r="L33" s="88"/>
      <c r="M33" s="89">
        <f>I33-K33</f>
        <v>0</v>
      </c>
      <c r="N33" s="4" t="str">
        <f>IF(ISERROR(K33/I33),"",K33/I33)</f>
        <v/>
      </c>
      <c r="O33" s="90">
        <f>I33/E33</f>
        <v>0</v>
      </c>
      <c r="P33" s="90">
        <f>K33/E33</f>
        <v>0</v>
      </c>
      <c r="Q33" s="78">
        <v>4</v>
      </c>
      <c r="R33" s="78">
        <v>2</v>
      </c>
      <c r="S33" s="78" t="s">
        <v>59</v>
      </c>
      <c r="T33" s="5" t="s">
        <v>221</v>
      </c>
      <c r="U33" s="9"/>
      <c r="W33" s="85">
        <f t="shared" ref="W33:X36" si="18">D33</f>
        <v>129.6</v>
      </c>
      <c r="X33" s="86">
        <f t="shared" si="18"/>
        <v>39</v>
      </c>
      <c r="Y33" s="91">
        <f t="shared" ref="Y33:Z36" si="19">H33</f>
        <v>83</v>
      </c>
      <c r="Z33" s="89">
        <f t="shared" si="19"/>
        <v>0</v>
      </c>
      <c r="AA33" s="89">
        <f>K33</f>
        <v>0</v>
      </c>
      <c r="AB33" s="89">
        <f t="shared" ref="AB33:AD36" si="20">M33</f>
        <v>0</v>
      </c>
      <c r="AC33" s="4" t="str">
        <f t="shared" si="20"/>
        <v/>
      </c>
      <c r="AD33" s="90">
        <f t="shared" si="20"/>
        <v>0</v>
      </c>
      <c r="AE33" s="78" t="str">
        <f>S33</f>
        <v>계</v>
      </c>
      <c r="AF33" s="78" t="str">
        <f>Q33&amp;"/"&amp;R33</f>
        <v>4/2</v>
      </c>
      <c r="AH33" s="20" t="str">
        <f t="shared" si="1"/>
        <v>대방디엠시티</v>
      </c>
      <c r="AI33" s="86">
        <f t="shared" si="0"/>
        <v>39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/>
      </c>
      <c r="AP33" s="78" t="str">
        <f>IF(I33="","",IF(I33&lt;=$AP$1,"O","X"))</f>
        <v/>
      </c>
      <c r="AQ33" s="78" t="str">
        <f>IF(O33="","",IF(O33&lt;=$AQ$1,"O","X"))</f>
        <v>O</v>
      </c>
      <c r="AR33" s="78" t="str">
        <f>IF(M33="","",IF(M33&lt;=$AR$1,"O","X"))</f>
        <v>O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/>
      </c>
    </row>
    <row r="34" spans="1:48" x14ac:dyDescent="0.3">
      <c r="A34" s="9" t="s">
        <v>1372</v>
      </c>
      <c r="B34" s="10" t="s">
        <v>1613</v>
      </c>
      <c r="C34" s="87">
        <v>494</v>
      </c>
      <c r="D34" s="85">
        <v>129.69999999999999</v>
      </c>
      <c r="E34" s="86">
        <v>39</v>
      </c>
      <c r="F34" s="85">
        <v>106.2</v>
      </c>
      <c r="G34" s="17">
        <v>32</v>
      </c>
      <c r="H34" s="87">
        <v>83</v>
      </c>
      <c r="I34" s="88"/>
      <c r="J34" s="88"/>
      <c r="K34" s="88"/>
      <c r="L34" s="88"/>
      <c r="M34" s="89">
        <f>I34-K34</f>
        <v>0</v>
      </c>
      <c r="N34" s="4" t="str">
        <f>IF(ISERROR(K34/I34),"",K34/I34)</f>
        <v/>
      </c>
      <c r="O34" s="90">
        <f>I34/E34</f>
        <v>0</v>
      </c>
      <c r="P34" s="90">
        <f>K34/E34</f>
        <v>0</v>
      </c>
      <c r="Q34" s="78">
        <v>4</v>
      </c>
      <c r="R34" s="78">
        <v>2</v>
      </c>
      <c r="S34" s="78" t="s">
        <v>59</v>
      </c>
      <c r="T34" s="5" t="s">
        <v>223</v>
      </c>
      <c r="U34" s="9"/>
      <c r="W34" s="85">
        <f t="shared" si="18"/>
        <v>129.69999999999999</v>
      </c>
      <c r="X34" s="86">
        <f t="shared" si="18"/>
        <v>39</v>
      </c>
      <c r="Y34" s="91">
        <f t="shared" si="19"/>
        <v>83</v>
      </c>
      <c r="Z34" s="89">
        <f t="shared" si="19"/>
        <v>0</v>
      </c>
      <c r="AA34" s="89">
        <f>K34</f>
        <v>0</v>
      </c>
      <c r="AB34" s="89">
        <f t="shared" si="20"/>
        <v>0</v>
      </c>
      <c r="AC34" s="4" t="str">
        <f t="shared" si="20"/>
        <v/>
      </c>
      <c r="AD34" s="90">
        <f t="shared" si="20"/>
        <v>0</v>
      </c>
      <c r="AE34" s="78" t="str">
        <f>S34</f>
        <v>계</v>
      </c>
      <c r="AF34" s="78" t="str">
        <f>Q34&amp;"/"&amp;R34</f>
        <v>4/2</v>
      </c>
      <c r="AH34" s="20" t="str">
        <f t="shared" si="1"/>
        <v>대방디엠시티</v>
      </c>
      <c r="AI34" s="86">
        <f t="shared" si="0"/>
        <v>39</v>
      </c>
      <c r="AJ34" s="78" t="str">
        <f>IF(AI34="","",$AJ$2)</f>
        <v>A-</v>
      </c>
      <c r="AK34" s="78" t="s">
        <v>13</v>
      </c>
      <c r="AL34" s="78" t="s">
        <v>61</v>
      </c>
      <c r="AM34" s="78" t="s">
        <v>62</v>
      </c>
      <c r="AN34" s="78" t="str">
        <f>IF(AI34="","",$AN$2)</f>
        <v>C</v>
      </c>
      <c r="AO34" s="78" t="str">
        <f>IF(N34="","",IF(N34&gt;=$AO$1/100,"O","X"))</f>
        <v/>
      </c>
      <c r="AP34" s="78" t="str">
        <f>IF(I34="","",IF(I34&lt;=$AP$1,"O","X"))</f>
        <v/>
      </c>
      <c r="AQ34" s="78" t="str">
        <f>IF(O34="","",IF(O34&lt;=$AQ$1,"O","X"))</f>
        <v>O</v>
      </c>
      <c r="AR34" s="78" t="str">
        <f>IF(M34="","",IF(M34&lt;=$AR$1,"O","X"))</f>
        <v>O</v>
      </c>
      <c r="AS34" s="78" t="s">
        <v>2</v>
      </c>
      <c r="AT34" s="78" t="str">
        <f>IF(OR(F34="",AI34=""),"",IF(AND((F34&lt;=85),(AI34&gt;=15)),"O","X"))</f>
        <v>X</v>
      </c>
      <c r="AU34" s="78" t="str">
        <f>IF(C34="","",IF(C34&gt;=$AU$1,"O","X"))</f>
        <v>O</v>
      </c>
      <c r="AV34" s="78" t="str">
        <f>IF(AO34="","",IF(AND(AO34="O",AP34="O",AR34="O",AT34="O",AU34="O"),"후보","X"))</f>
        <v/>
      </c>
    </row>
    <row r="35" spans="1:48" x14ac:dyDescent="0.3">
      <c r="A35" s="9" t="s">
        <v>1372</v>
      </c>
      <c r="B35" s="10" t="s">
        <v>1613</v>
      </c>
      <c r="C35" s="87">
        <v>494</v>
      </c>
      <c r="D35" s="85">
        <v>143.6</v>
      </c>
      <c r="E35" s="86">
        <v>43</v>
      </c>
      <c r="F35" s="85">
        <v>119.5</v>
      </c>
      <c r="G35" s="17">
        <v>36</v>
      </c>
      <c r="H35" s="87">
        <v>165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5</v>
      </c>
      <c r="R35" s="78">
        <v>2</v>
      </c>
      <c r="S35" s="78" t="s">
        <v>59</v>
      </c>
      <c r="T35" s="5" t="s">
        <v>197</v>
      </c>
      <c r="U35" s="9"/>
      <c r="W35" s="85">
        <f t="shared" si="18"/>
        <v>143.6</v>
      </c>
      <c r="X35" s="86">
        <f t="shared" si="18"/>
        <v>43</v>
      </c>
      <c r="Y35" s="91">
        <f t="shared" si="19"/>
        <v>165</v>
      </c>
      <c r="Z35" s="89">
        <f t="shared" si="19"/>
        <v>0</v>
      </c>
      <c r="AA35" s="89">
        <f>K35</f>
        <v>0</v>
      </c>
      <c r="AB35" s="89">
        <f t="shared" si="20"/>
        <v>0</v>
      </c>
      <c r="AC35" s="4" t="str">
        <f t="shared" si="20"/>
        <v/>
      </c>
      <c r="AD35" s="90">
        <f t="shared" si="20"/>
        <v>0</v>
      </c>
      <c r="AE35" s="78" t="str">
        <f>S35</f>
        <v>계</v>
      </c>
      <c r="AF35" s="78" t="str">
        <f>Q35&amp;"/"&amp;R35</f>
        <v>5/2</v>
      </c>
      <c r="AH35" s="20" t="str">
        <f t="shared" si="1"/>
        <v>대방디엠시티</v>
      </c>
      <c r="AI35" s="86">
        <f t="shared" si="0"/>
        <v>43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X</v>
      </c>
      <c r="AU35" s="78" t="str">
        <f>IF(C35="","",IF(C35&gt;=$AU$1,"O","X"))</f>
        <v>O</v>
      </c>
      <c r="AV35" s="78" t="str">
        <f>IF(AO35="","",IF(AND(AO35="O",AP35="O",AR35="O",AT35="O",AU35="O"),"후보","X"))</f>
        <v/>
      </c>
    </row>
    <row r="36" spans="1:48" x14ac:dyDescent="0.3">
      <c r="A36" s="9" t="s">
        <v>1372</v>
      </c>
      <c r="B36" s="10" t="s">
        <v>1613</v>
      </c>
      <c r="C36" s="87">
        <v>494</v>
      </c>
      <c r="D36" s="85">
        <v>143.1</v>
      </c>
      <c r="E36" s="86">
        <v>43</v>
      </c>
      <c r="F36" s="85">
        <v>118.6</v>
      </c>
      <c r="G36" s="17">
        <v>36</v>
      </c>
      <c r="H36" s="87">
        <v>163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4</v>
      </c>
      <c r="R36" s="78">
        <v>2</v>
      </c>
      <c r="S36" s="78" t="s">
        <v>59</v>
      </c>
      <c r="T36" s="5" t="s">
        <v>198</v>
      </c>
      <c r="U36" s="9"/>
      <c r="W36" s="85">
        <f t="shared" si="18"/>
        <v>143.1</v>
      </c>
      <c r="X36" s="86">
        <f t="shared" si="18"/>
        <v>43</v>
      </c>
      <c r="Y36" s="91">
        <f t="shared" si="19"/>
        <v>163</v>
      </c>
      <c r="Z36" s="89">
        <f t="shared" si="19"/>
        <v>0</v>
      </c>
      <c r="AA36" s="89">
        <f>K36</f>
        <v>0</v>
      </c>
      <c r="AB36" s="89">
        <f t="shared" si="20"/>
        <v>0</v>
      </c>
      <c r="AC36" s="4" t="str">
        <f t="shared" si="20"/>
        <v/>
      </c>
      <c r="AD36" s="90">
        <f t="shared" si="20"/>
        <v>0</v>
      </c>
      <c r="AE36" s="78" t="str">
        <f>S36</f>
        <v>계</v>
      </c>
      <c r="AF36" s="78" t="str">
        <f>Q36&amp;"/"&amp;R36</f>
        <v>4/2</v>
      </c>
      <c r="AH36" s="20" t="str">
        <f t="shared" si="1"/>
        <v>대방디엠시티</v>
      </c>
      <c r="AI36" s="86">
        <f t="shared" si="0"/>
        <v>43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X</v>
      </c>
      <c r="AU36" s="78" t="str">
        <f>IF(C36="","",IF(C36&gt;=$AU$1,"O","X"))</f>
        <v>O</v>
      </c>
      <c r="AV36" s="78" t="str">
        <f>IF(AO36="","",IF(AND(AO36="O",AP36="O",AR36="O",AT36="O",AU36="O"),"후보","X"))</f>
        <v/>
      </c>
    </row>
  </sheetData>
  <mergeCells count="1">
    <mergeCell ref="AJ1:AN1"/>
  </mergeCells>
  <phoneticPr fontId="2" type="noConversion"/>
  <conditionalFormatting sqref="AV4:AV6">
    <cfRule type="expression" dxfId="1731" priority="492">
      <formula>AV4="X"</formula>
    </cfRule>
    <cfRule type="expression" dxfId="1730" priority="493">
      <formula>AV4="후보"</formula>
    </cfRule>
  </conditionalFormatting>
  <conditionalFormatting sqref="AC1:AC2 AC4:AC6 N4:N5">
    <cfRule type="cellIs" dxfId="1729" priority="489" operator="greaterThan">
      <formula>0.9</formula>
    </cfRule>
    <cfRule type="cellIs" dxfId="1728" priority="490" operator="greaterThan">
      <formula>0.85</formula>
    </cfRule>
  </conditionalFormatting>
  <conditionalFormatting sqref="N1:N2">
    <cfRule type="cellIs" dxfId="1727" priority="487" operator="greaterThan">
      <formula>0.9</formula>
    </cfRule>
    <cfRule type="cellIs" dxfId="1726" priority="488" operator="greaterThan">
      <formula>0.85</formula>
    </cfRule>
  </conditionalFormatting>
  <conditionalFormatting sqref="N6">
    <cfRule type="cellIs" dxfId="1725" priority="485" operator="greaterThan">
      <formula>0.9</formula>
    </cfRule>
    <cfRule type="cellIs" dxfId="1724" priority="486" operator="greaterThan">
      <formula>0.85</formula>
    </cfRule>
  </conditionalFormatting>
  <conditionalFormatting sqref="E6">
    <cfRule type="expression" dxfId="1723" priority="481">
      <formula>AND(IF(OR($Q6=1,$Q6=2),1,0),IF($X6&lt;=20,1,0))</formula>
    </cfRule>
    <cfRule type="expression" dxfId="1722" priority="482">
      <formula>AND(IF($Q6=2,1,0),IF($X6&lt;30,1,0))</formula>
    </cfRule>
    <cfRule type="expression" dxfId="1721" priority="483">
      <formula>AND(IF($Q6=3,1,0),IF($X6&lt;30,1,0))</formula>
    </cfRule>
    <cfRule type="expression" dxfId="1720" priority="484">
      <formula>AND(IF($Q6=3,1,IF($Q6=4,1,0)),IF($F6&lt;=85,1,0))</formula>
    </cfRule>
  </conditionalFormatting>
  <conditionalFormatting sqref="X6">
    <cfRule type="expression" dxfId="1719" priority="477">
      <formula>AND(IF(OR($Q6=1,$Q6=2),1,0),IF($X6&lt;=20,1,0))</formula>
    </cfRule>
    <cfRule type="expression" dxfId="1718" priority="478">
      <formula>AND(IF($Q6=2,1,0),IF($X6&lt;30,1,0))</formula>
    </cfRule>
    <cfRule type="expression" dxfId="1717" priority="479">
      <formula>AND(IF($Q6=3,1,0),IF($X6&lt;30,1,0))</formula>
    </cfRule>
    <cfRule type="expression" dxfId="1716" priority="480">
      <formula>AND(IF($Q6=3,1,IF($Q6=4,1,0)),IF($F6&lt;=85,1,0))</formula>
    </cfRule>
  </conditionalFormatting>
  <conditionalFormatting sqref="AI6">
    <cfRule type="expression" dxfId="1715" priority="473">
      <formula>AND(IF(OR($Q6=1,$Q6=2),1,0),IF($X6&lt;=20,1,0))</formula>
    </cfRule>
    <cfRule type="expression" dxfId="1714" priority="474">
      <formula>AND(IF($Q6=2,1,0),IF($X6&lt;30,1,0))</formula>
    </cfRule>
    <cfRule type="expression" dxfId="1713" priority="475">
      <formula>AND(IF($Q6=3,1,0),IF($X6&lt;30,1,0))</formula>
    </cfRule>
    <cfRule type="expression" dxfId="1712" priority="476">
      <formula>AND(IF($Q6=3,1,IF($Q6=4,1,0)),IF($F6&lt;=85,1,0))</formula>
    </cfRule>
  </conditionalFormatting>
  <conditionalFormatting sqref="AV7">
    <cfRule type="expression" dxfId="1711" priority="471">
      <formula>AV7="X"</formula>
    </cfRule>
    <cfRule type="expression" dxfId="1710" priority="472">
      <formula>AV7="후보"</formula>
    </cfRule>
  </conditionalFormatting>
  <conditionalFormatting sqref="AC7">
    <cfRule type="cellIs" dxfId="1709" priority="468" operator="greaterThan">
      <formula>0.9</formula>
    </cfRule>
    <cfRule type="cellIs" dxfId="1708" priority="469" operator="greaterThan">
      <formula>0.85</formula>
    </cfRule>
  </conditionalFormatting>
  <conditionalFormatting sqref="N7">
    <cfRule type="cellIs" dxfId="1707" priority="466" operator="greaterThan">
      <formula>0.9</formula>
    </cfRule>
    <cfRule type="cellIs" dxfId="1706" priority="467" operator="greaterThan">
      <formula>0.85</formula>
    </cfRule>
  </conditionalFormatting>
  <conditionalFormatting sqref="E7">
    <cfRule type="expression" dxfId="1705" priority="462">
      <formula>AND(IF(OR($Q7=1,$Q7=2),1,0),IF($X7&lt;=20,1,0))</formula>
    </cfRule>
    <cfRule type="expression" dxfId="1704" priority="463">
      <formula>AND(IF($Q7=2,1,0),IF($X7&lt;30,1,0))</formula>
    </cfRule>
    <cfRule type="expression" dxfId="1703" priority="464">
      <formula>AND(IF($Q7=3,1,0),IF($X7&lt;30,1,0))</formula>
    </cfRule>
    <cfRule type="expression" dxfId="1702" priority="465">
      <formula>AND(IF($Q7=3,1,IF($Q7=4,1,0)),IF($F7&lt;=85,1,0))</formula>
    </cfRule>
  </conditionalFormatting>
  <conditionalFormatting sqref="X7">
    <cfRule type="expression" dxfId="1701" priority="458">
      <formula>AND(IF(OR($Q7=1,$Q7=2),1,0),IF($X7&lt;=20,1,0))</formula>
    </cfRule>
    <cfRule type="expression" dxfId="1700" priority="459">
      <formula>AND(IF($Q7=2,1,0),IF($X7&lt;30,1,0))</formula>
    </cfRule>
    <cfRule type="expression" dxfId="1699" priority="460">
      <formula>AND(IF($Q7=3,1,0),IF($X7&lt;30,1,0))</formula>
    </cfRule>
    <cfRule type="expression" dxfId="1698" priority="461">
      <formula>AND(IF($Q7=3,1,IF($Q7=4,1,0)),IF($F7&lt;=85,1,0))</formula>
    </cfRule>
  </conditionalFormatting>
  <conditionalFormatting sqref="AI7">
    <cfRule type="expression" dxfId="1697" priority="454">
      <formula>AND(IF(OR($Q7=1,$Q7=2),1,0),IF($X7&lt;=20,1,0))</formula>
    </cfRule>
    <cfRule type="expression" dxfId="1696" priority="455">
      <formula>AND(IF($Q7=2,1,0),IF($X7&lt;30,1,0))</formula>
    </cfRule>
    <cfRule type="expression" dxfId="1695" priority="456">
      <formula>AND(IF($Q7=3,1,0),IF($X7&lt;30,1,0))</formula>
    </cfRule>
    <cfRule type="expression" dxfId="1694" priority="457">
      <formula>AND(IF($Q7=3,1,IF($Q7=4,1,0)),IF($F7&lt;=85,1,0))</formula>
    </cfRule>
  </conditionalFormatting>
  <conditionalFormatting sqref="AV8">
    <cfRule type="expression" dxfId="1693" priority="452">
      <formula>AV8="X"</formula>
    </cfRule>
    <cfRule type="expression" dxfId="1692" priority="453">
      <formula>AV8="후보"</formula>
    </cfRule>
  </conditionalFormatting>
  <conditionalFormatting sqref="AC8">
    <cfRule type="cellIs" dxfId="1691" priority="449" operator="greaterThan">
      <formula>0.9</formula>
    </cfRule>
    <cfRule type="cellIs" dxfId="1690" priority="450" operator="greaterThan">
      <formula>0.85</formula>
    </cfRule>
  </conditionalFormatting>
  <conditionalFormatting sqref="N8">
    <cfRule type="cellIs" dxfId="1689" priority="447" operator="greaterThan">
      <formula>0.9</formula>
    </cfRule>
    <cfRule type="cellIs" dxfId="1688" priority="448" operator="greaterThan">
      <formula>0.85</formula>
    </cfRule>
  </conditionalFormatting>
  <conditionalFormatting sqref="E8">
    <cfRule type="expression" dxfId="1687" priority="443">
      <formula>AND(IF(OR($Q8=1,$Q8=2),1,0),IF($X8&lt;=20,1,0))</formula>
    </cfRule>
    <cfRule type="expression" dxfId="1686" priority="444">
      <formula>AND(IF($Q8=2,1,0),IF($X8&lt;30,1,0))</formula>
    </cfRule>
    <cfRule type="expression" dxfId="1685" priority="445">
      <formula>AND(IF($Q8=3,1,0),IF($X8&lt;30,1,0))</formula>
    </cfRule>
    <cfRule type="expression" dxfId="1684" priority="446">
      <formula>AND(IF($Q8=3,1,IF($Q8=4,1,0)),IF($F8&lt;=85,1,0))</formula>
    </cfRule>
  </conditionalFormatting>
  <conditionalFormatting sqref="X8">
    <cfRule type="expression" dxfId="1683" priority="439">
      <formula>AND(IF(OR($Q8=1,$Q8=2),1,0),IF($X8&lt;=20,1,0))</formula>
    </cfRule>
    <cfRule type="expression" dxfId="1682" priority="440">
      <formula>AND(IF($Q8=2,1,0),IF($X8&lt;30,1,0))</formula>
    </cfRule>
    <cfRule type="expression" dxfId="1681" priority="441">
      <formula>AND(IF($Q8=3,1,0),IF($X8&lt;30,1,0))</formula>
    </cfRule>
    <cfRule type="expression" dxfId="1680" priority="442">
      <formula>AND(IF($Q8=3,1,IF($Q8=4,1,0)),IF($F8&lt;=85,1,0))</formula>
    </cfRule>
  </conditionalFormatting>
  <conditionalFormatting sqref="AI8">
    <cfRule type="expression" dxfId="1679" priority="435">
      <formula>AND(IF(OR($Q8=1,$Q8=2),1,0),IF($X8&lt;=20,1,0))</formula>
    </cfRule>
    <cfRule type="expression" dxfId="1678" priority="436">
      <formula>AND(IF($Q8=2,1,0),IF($X8&lt;30,1,0))</formula>
    </cfRule>
    <cfRule type="expression" dxfId="1677" priority="437">
      <formula>AND(IF($Q8=3,1,0),IF($X8&lt;30,1,0))</formula>
    </cfRule>
    <cfRule type="expression" dxfId="1676" priority="438">
      <formula>AND(IF($Q8=3,1,IF($Q8=4,1,0)),IF($F8&lt;=85,1,0))</formula>
    </cfRule>
  </conditionalFormatting>
  <conditionalFormatting sqref="AV9">
    <cfRule type="expression" dxfId="1675" priority="433">
      <formula>AV9="X"</formula>
    </cfRule>
    <cfRule type="expression" dxfId="1674" priority="434">
      <formula>AV9="후보"</formula>
    </cfRule>
  </conditionalFormatting>
  <conditionalFormatting sqref="AC9">
    <cfRule type="cellIs" dxfId="1673" priority="430" operator="greaterThan">
      <formula>0.9</formula>
    </cfRule>
    <cfRule type="cellIs" dxfId="1672" priority="431" operator="greaterThan">
      <formula>0.85</formula>
    </cfRule>
  </conditionalFormatting>
  <conditionalFormatting sqref="N9">
    <cfRule type="cellIs" dxfId="1671" priority="428" operator="greaterThan">
      <formula>0.9</formula>
    </cfRule>
    <cfRule type="cellIs" dxfId="1670" priority="429" operator="greaterThan">
      <formula>0.85</formula>
    </cfRule>
  </conditionalFormatting>
  <conditionalFormatting sqref="E9">
    <cfRule type="expression" dxfId="1669" priority="424">
      <formula>AND(IF(OR($Q9=1,$Q9=2),1,0),IF($X9&lt;=20,1,0))</formula>
    </cfRule>
    <cfRule type="expression" dxfId="1668" priority="425">
      <formula>AND(IF($Q9=2,1,0),IF($X9&lt;30,1,0))</formula>
    </cfRule>
    <cfRule type="expression" dxfId="1667" priority="426">
      <formula>AND(IF($Q9=3,1,0),IF($X9&lt;30,1,0))</formula>
    </cfRule>
    <cfRule type="expression" dxfId="1666" priority="427">
      <formula>AND(IF($Q9=3,1,IF($Q9=4,1,0)),IF($F9&lt;=85,1,0))</formula>
    </cfRule>
  </conditionalFormatting>
  <conditionalFormatting sqref="X9">
    <cfRule type="expression" dxfId="1665" priority="420">
      <formula>AND(IF(OR($Q9=1,$Q9=2),1,0),IF($X9&lt;=20,1,0))</formula>
    </cfRule>
    <cfRule type="expression" dxfId="1664" priority="421">
      <formula>AND(IF($Q9=2,1,0),IF($X9&lt;30,1,0))</formula>
    </cfRule>
    <cfRule type="expression" dxfId="1663" priority="422">
      <formula>AND(IF($Q9=3,1,0),IF($X9&lt;30,1,0))</formula>
    </cfRule>
    <cfRule type="expression" dxfId="1662" priority="423">
      <formula>AND(IF($Q9=3,1,IF($Q9=4,1,0)),IF($F9&lt;=85,1,0))</formula>
    </cfRule>
  </conditionalFormatting>
  <conditionalFormatting sqref="AI9">
    <cfRule type="expression" dxfId="1661" priority="416">
      <formula>AND(IF(OR($Q9=1,$Q9=2),1,0),IF($X9&lt;=20,1,0))</formula>
    </cfRule>
    <cfRule type="expression" dxfId="1660" priority="417">
      <formula>AND(IF($Q9=2,1,0),IF($X9&lt;30,1,0))</formula>
    </cfRule>
    <cfRule type="expression" dxfId="1659" priority="418">
      <formula>AND(IF($Q9=3,1,0),IF($X9&lt;30,1,0))</formula>
    </cfRule>
    <cfRule type="expression" dxfId="1658" priority="419">
      <formula>AND(IF($Q9=3,1,IF($Q9=4,1,0)),IF($F9&lt;=85,1,0))</formula>
    </cfRule>
  </conditionalFormatting>
  <conditionalFormatting sqref="AV10">
    <cfRule type="expression" dxfId="1657" priority="414">
      <formula>AV10="X"</formula>
    </cfRule>
    <cfRule type="expression" dxfId="1656" priority="415">
      <formula>AV10="후보"</formula>
    </cfRule>
  </conditionalFormatting>
  <conditionalFormatting sqref="AC10 N10">
    <cfRule type="cellIs" dxfId="1655" priority="411" operator="greaterThan">
      <formula>0.9</formula>
    </cfRule>
    <cfRule type="cellIs" dxfId="1654" priority="412" operator="greaterThan">
      <formula>0.85</formula>
    </cfRule>
  </conditionalFormatting>
  <conditionalFormatting sqref="AV11">
    <cfRule type="expression" dxfId="1653" priority="409">
      <formula>AV11="X"</formula>
    </cfRule>
    <cfRule type="expression" dxfId="1652" priority="410">
      <formula>AV11="후보"</formula>
    </cfRule>
  </conditionalFormatting>
  <conditionalFormatting sqref="AC11">
    <cfRule type="cellIs" dxfId="1651" priority="406" operator="greaterThan">
      <formula>0.9</formula>
    </cfRule>
    <cfRule type="cellIs" dxfId="1650" priority="407" operator="greaterThan">
      <formula>0.85</formula>
    </cfRule>
  </conditionalFormatting>
  <conditionalFormatting sqref="N11">
    <cfRule type="cellIs" dxfId="1649" priority="404" operator="greaterThan">
      <formula>0.9</formula>
    </cfRule>
    <cfRule type="cellIs" dxfId="1648" priority="405" operator="greaterThan">
      <formula>0.85</formula>
    </cfRule>
  </conditionalFormatting>
  <conditionalFormatting sqref="E11">
    <cfRule type="expression" dxfId="1647" priority="400">
      <formula>AND(IF(OR($Q11=1,$Q11=2),1,0),IF($X11&lt;=20,1,0))</formula>
    </cfRule>
    <cfRule type="expression" dxfId="1646" priority="401">
      <formula>AND(IF($Q11=2,1,0),IF($X11&lt;30,1,0))</formula>
    </cfRule>
    <cfRule type="expression" dxfId="1645" priority="402">
      <formula>AND(IF($Q11=3,1,0),IF($X11&lt;30,1,0))</formula>
    </cfRule>
    <cfRule type="expression" dxfId="1644" priority="403">
      <formula>AND(IF($Q11=3,1,IF($Q11=4,1,0)),IF($F11&lt;=85,1,0))</formula>
    </cfRule>
  </conditionalFormatting>
  <conditionalFormatting sqref="X11">
    <cfRule type="expression" dxfId="1643" priority="396">
      <formula>AND(IF(OR($Q11=1,$Q11=2),1,0),IF($X11&lt;=20,1,0))</formula>
    </cfRule>
    <cfRule type="expression" dxfId="1642" priority="397">
      <formula>AND(IF($Q11=2,1,0),IF($X11&lt;30,1,0))</formula>
    </cfRule>
    <cfRule type="expression" dxfId="1641" priority="398">
      <formula>AND(IF($Q11=3,1,0),IF($X11&lt;30,1,0))</formula>
    </cfRule>
    <cfRule type="expression" dxfId="1640" priority="399">
      <formula>AND(IF($Q11=3,1,IF($Q11=4,1,0)),IF($F11&lt;=85,1,0))</formula>
    </cfRule>
  </conditionalFormatting>
  <conditionalFormatting sqref="AI11">
    <cfRule type="expression" dxfId="1639" priority="392">
      <formula>AND(IF(OR($Q11=1,$Q11=2),1,0),IF($X11&lt;=20,1,0))</formula>
    </cfRule>
    <cfRule type="expression" dxfId="1638" priority="393">
      <formula>AND(IF($Q11=2,1,0),IF($X11&lt;30,1,0))</formula>
    </cfRule>
    <cfRule type="expression" dxfId="1637" priority="394">
      <formula>AND(IF($Q11=3,1,0),IF($X11&lt;30,1,0))</formula>
    </cfRule>
    <cfRule type="expression" dxfId="1636" priority="395">
      <formula>AND(IF($Q11=3,1,IF($Q11=4,1,0)),IF($F11&lt;=85,1,0))</formula>
    </cfRule>
  </conditionalFormatting>
  <conditionalFormatting sqref="AV12">
    <cfRule type="expression" dxfId="1635" priority="390">
      <formula>AV12="X"</formula>
    </cfRule>
    <cfRule type="expression" dxfId="1634" priority="391">
      <formula>AV12="후보"</formula>
    </cfRule>
  </conditionalFormatting>
  <conditionalFormatting sqref="AC12">
    <cfRule type="cellIs" dxfId="1633" priority="387" operator="greaterThan">
      <formula>0.9</formula>
    </cfRule>
    <cfRule type="cellIs" dxfId="1632" priority="388" operator="greaterThan">
      <formula>0.85</formula>
    </cfRule>
  </conditionalFormatting>
  <conditionalFormatting sqref="N12">
    <cfRule type="cellIs" dxfId="1631" priority="385" operator="greaterThan">
      <formula>0.9</formula>
    </cfRule>
    <cfRule type="cellIs" dxfId="1630" priority="386" operator="greaterThan">
      <formula>0.85</formula>
    </cfRule>
  </conditionalFormatting>
  <conditionalFormatting sqref="E12">
    <cfRule type="expression" dxfId="1629" priority="381">
      <formula>AND(IF(OR($Q12=1,$Q12=2),1,0),IF($X12&lt;=20,1,0))</formula>
    </cfRule>
    <cfRule type="expression" dxfId="1628" priority="382">
      <formula>AND(IF($Q12=2,1,0),IF($X12&lt;30,1,0))</formula>
    </cfRule>
    <cfRule type="expression" dxfId="1627" priority="383">
      <formula>AND(IF($Q12=3,1,0),IF($X12&lt;30,1,0))</formula>
    </cfRule>
    <cfRule type="expression" dxfId="1626" priority="384">
      <formula>AND(IF($Q12=3,1,IF($Q12=4,1,0)),IF($F12&lt;=85,1,0))</formula>
    </cfRule>
  </conditionalFormatting>
  <conditionalFormatting sqref="X12">
    <cfRule type="expression" dxfId="1625" priority="377">
      <formula>AND(IF(OR($Q12=1,$Q12=2),1,0),IF($X12&lt;=20,1,0))</formula>
    </cfRule>
    <cfRule type="expression" dxfId="1624" priority="378">
      <formula>AND(IF($Q12=2,1,0),IF($X12&lt;30,1,0))</formula>
    </cfRule>
    <cfRule type="expression" dxfId="1623" priority="379">
      <formula>AND(IF($Q12=3,1,0),IF($X12&lt;30,1,0))</formula>
    </cfRule>
    <cfRule type="expression" dxfId="1622" priority="380">
      <formula>AND(IF($Q12=3,1,IF($Q12=4,1,0)),IF($F12&lt;=85,1,0))</formula>
    </cfRule>
  </conditionalFormatting>
  <conditionalFormatting sqref="AI12">
    <cfRule type="expression" dxfId="1621" priority="373">
      <formula>AND(IF(OR($Q12=1,$Q12=2),1,0),IF($X12&lt;=20,1,0))</formula>
    </cfRule>
    <cfRule type="expression" dxfId="1620" priority="374">
      <formula>AND(IF($Q12=2,1,0),IF($X12&lt;30,1,0))</formula>
    </cfRule>
    <cfRule type="expression" dxfId="1619" priority="375">
      <formula>AND(IF($Q12=3,1,0),IF($X12&lt;30,1,0))</formula>
    </cfRule>
    <cfRule type="expression" dxfId="1618" priority="376">
      <formula>AND(IF($Q12=3,1,IF($Q12=4,1,0)),IF($F12&lt;=85,1,0))</formula>
    </cfRule>
  </conditionalFormatting>
  <conditionalFormatting sqref="AV13">
    <cfRule type="expression" dxfId="1617" priority="371">
      <formula>AV13="X"</formula>
    </cfRule>
    <cfRule type="expression" dxfId="1616" priority="372">
      <formula>AV13="후보"</formula>
    </cfRule>
  </conditionalFormatting>
  <conditionalFormatting sqref="AC13">
    <cfRule type="cellIs" dxfId="1615" priority="368" operator="greaterThan">
      <formula>0.9</formula>
    </cfRule>
    <cfRule type="cellIs" dxfId="1614" priority="369" operator="greaterThan">
      <formula>0.85</formula>
    </cfRule>
  </conditionalFormatting>
  <conditionalFormatting sqref="N13">
    <cfRule type="cellIs" dxfId="1613" priority="366" operator="greaterThan">
      <formula>0.9</formula>
    </cfRule>
    <cfRule type="cellIs" dxfId="1612" priority="367" operator="greaterThan">
      <formula>0.85</formula>
    </cfRule>
  </conditionalFormatting>
  <conditionalFormatting sqref="E13">
    <cfRule type="expression" dxfId="1611" priority="362">
      <formula>AND(IF(OR($Q13=1,$Q13=2),1,0),IF($X13&lt;=20,1,0))</formula>
    </cfRule>
    <cfRule type="expression" dxfId="1610" priority="363">
      <formula>AND(IF($Q13=2,1,0),IF($X13&lt;30,1,0))</formula>
    </cfRule>
    <cfRule type="expression" dxfId="1609" priority="364">
      <formula>AND(IF($Q13=3,1,0),IF($X13&lt;30,1,0))</formula>
    </cfRule>
    <cfRule type="expression" dxfId="1608" priority="365">
      <formula>AND(IF($Q13=3,1,IF($Q13=4,1,0)),IF($F13&lt;=85,1,0))</formula>
    </cfRule>
  </conditionalFormatting>
  <conditionalFormatting sqref="X13">
    <cfRule type="expression" dxfId="1607" priority="358">
      <formula>AND(IF(OR($Q13=1,$Q13=2),1,0),IF($X13&lt;=20,1,0))</formula>
    </cfRule>
    <cfRule type="expression" dxfId="1606" priority="359">
      <formula>AND(IF($Q13=2,1,0),IF($X13&lt;30,1,0))</formula>
    </cfRule>
    <cfRule type="expression" dxfId="1605" priority="360">
      <formula>AND(IF($Q13=3,1,0),IF($X13&lt;30,1,0))</formula>
    </cfRule>
    <cfRule type="expression" dxfId="1604" priority="361">
      <formula>AND(IF($Q13=3,1,IF($Q13=4,1,0)),IF($F13&lt;=85,1,0))</formula>
    </cfRule>
  </conditionalFormatting>
  <conditionalFormatting sqref="AI13">
    <cfRule type="expression" dxfId="1603" priority="354">
      <formula>AND(IF(OR($Q13=1,$Q13=2),1,0),IF($X13&lt;=20,1,0))</formula>
    </cfRule>
    <cfRule type="expression" dxfId="1602" priority="355">
      <formula>AND(IF($Q13=2,1,0),IF($X13&lt;30,1,0))</formula>
    </cfRule>
    <cfRule type="expression" dxfId="1601" priority="356">
      <formula>AND(IF($Q13=3,1,0),IF($X13&lt;30,1,0))</formula>
    </cfRule>
    <cfRule type="expression" dxfId="1600" priority="357">
      <formula>AND(IF($Q13=3,1,IF($Q13=4,1,0)),IF($F13&lt;=85,1,0))</formula>
    </cfRule>
  </conditionalFormatting>
  <conditionalFormatting sqref="AV14">
    <cfRule type="expression" dxfId="1599" priority="352">
      <formula>AV14="X"</formula>
    </cfRule>
    <cfRule type="expression" dxfId="1598" priority="353">
      <formula>AV14="후보"</formula>
    </cfRule>
  </conditionalFormatting>
  <conditionalFormatting sqref="AC14 N14">
    <cfRule type="cellIs" dxfId="1597" priority="349" operator="greaterThan">
      <formula>0.9</formula>
    </cfRule>
    <cfRule type="cellIs" dxfId="1596" priority="350" operator="greaterThan">
      <formula>0.85</formula>
    </cfRule>
  </conditionalFormatting>
  <conditionalFormatting sqref="AV15">
    <cfRule type="expression" dxfId="1595" priority="347">
      <formula>AV15="X"</formula>
    </cfRule>
    <cfRule type="expression" dxfId="1594" priority="348">
      <formula>AV15="후보"</formula>
    </cfRule>
  </conditionalFormatting>
  <conditionalFormatting sqref="AC15">
    <cfRule type="cellIs" dxfId="1593" priority="344" operator="greaterThan">
      <formula>0.9</formula>
    </cfRule>
    <cfRule type="cellIs" dxfId="1592" priority="345" operator="greaterThan">
      <formula>0.85</formula>
    </cfRule>
  </conditionalFormatting>
  <conditionalFormatting sqref="N15">
    <cfRule type="cellIs" dxfId="1591" priority="342" operator="greaterThan">
      <formula>0.9</formula>
    </cfRule>
    <cfRule type="cellIs" dxfId="1590" priority="343" operator="greaterThan">
      <formula>0.85</formula>
    </cfRule>
  </conditionalFormatting>
  <conditionalFormatting sqref="E15">
    <cfRule type="expression" dxfId="1589" priority="338">
      <formula>AND(IF(OR($Q15=1,$Q15=2),1,0),IF($X15&lt;=20,1,0))</formula>
    </cfRule>
    <cfRule type="expression" dxfId="1588" priority="339">
      <formula>AND(IF($Q15=2,1,0),IF($X15&lt;30,1,0))</formula>
    </cfRule>
    <cfRule type="expression" dxfId="1587" priority="340">
      <formula>AND(IF($Q15=3,1,0),IF($X15&lt;30,1,0))</formula>
    </cfRule>
    <cfRule type="expression" dxfId="1586" priority="341">
      <formula>AND(IF($Q15=3,1,IF($Q15=4,1,0)),IF($F15&lt;=85,1,0))</formula>
    </cfRule>
  </conditionalFormatting>
  <conditionalFormatting sqref="X15">
    <cfRule type="expression" dxfId="1585" priority="334">
      <formula>AND(IF(OR($Q15=1,$Q15=2),1,0),IF($X15&lt;=20,1,0))</formula>
    </cfRule>
    <cfRule type="expression" dxfId="1584" priority="335">
      <formula>AND(IF($Q15=2,1,0),IF($X15&lt;30,1,0))</formula>
    </cfRule>
    <cfRule type="expression" dxfId="1583" priority="336">
      <formula>AND(IF($Q15=3,1,0),IF($X15&lt;30,1,0))</formula>
    </cfRule>
    <cfRule type="expression" dxfId="1582" priority="337">
      <formula>AND(IF($Q15=3,1,IF($Q15=4,1,0)),IF($F15&lt;=85,1,0))</formula>
    </cfRule>
  </conditionalFormatting>
  <conditionalFormatting sqref="AI15">
    <cfRule type="expression" dxfId="1581" priority="330">
      <formula>AND(IF(OR($Q15=1,$Q15=2),1,0),IF($X15&lt;=20,1,0))</formula>
    </cfRule>
    <cfRule type="expression" dxfId="1580" priority="331">
      <formula>AND(IF($Q15=2,1,0),IF($X15&lt;30,1,0))</formula>
    </cfRule>
    <cfRule type="expression" dxfId="1579" priority="332">
      <formula>AND(IF($Q15=3,1,0),IF($X15&lt;30,1,0))</formula>
    </cfRule>
    <cfRule type="expression" dxfId="1578" priority="333">
      <formula>AND(IF($Q15=3,1,IF($Q15=4,1,0)),IF($F15&lt;=85,1,0))</formula>
    </cfRule>
  </conditionalFormatting>
  <conditionalFormatting sqref="AV16">
    <cfRule type="expression" dxfId="1577" priority="328">
      <formula>AV16="X"</formula>
    </cfRule>
    <cfRule type="expression" dxfId="1576" priority="329">
      <formula>AV16="후보"</formula>
    </cfRule>
  </conditionalFormatting>
  <conditionalFormatting sqref="AC16">
    <cfRule type="cellIs" dxfId="1575" priority="325" operator="greaterThan">
      <formula>0.9</formula>
    </cfRule>
    <cfRule type="cellIs" dxfId="1574" priority="326" operator="greaterThan">
      <formula>0.85</formula>
    </cfRule>
  </conditionalFormatting>
  <conditionalFormatting sqref="N16">
    <cfRule type="cellIs" dxfId="1573" priority="323" operator="greaterThan">
      <formula>0.9</formula>
    </cfRule>
    <cfRule type="cellIs" dxfId="1572" priority="324" operator="greaterThan">
      <formula>0.85</formula>
    </cfRule>
  </conditionalFormatting>
  <conditionalFormatting sqref="E16">
    <cfRule type="expression" dxfId="1571" priority="319">
      <formula>AND(IF(OR($Q16=1,$Q16=2),1,0),IF($X16&lt;=20,1,0))</formula>
    </cfRule>
    <cfRule type="expression" dxfId="1570" priority="320">
      <formula>AND(IF($Q16=2,1,0),IF($X16&lt;30,1,0))</formula>
    </cfRule>
    <cfRule type="expression" dxfId="1569" priority="321">
      <formula>AND(IF($Q16=3,1,0),IF($X16&lt;30,1,0))</formula>
    </cfRule>
    <cfRule type="expression" dxfId="1568" priority="322">
      <formula>AND(IF($Q16=3,1,IF($Q16=4,1,0)),IF($F16&lt;=85,1,0))</formula>
    </cfRule>
  </conditionalFormatting>
  <conditionalFormatting sqref="X16">
    <cfRule type="expression" dxfId="1567" priority="315">
      <formula>AND(IF(OR($Q16=1,$Q16=2),1,0),IF($X16&lt;=20,1,0))</formula>
    </cfRule>
    <cfRule type="expression" dxfId="1566" priority="316">
      <formula>AND(IF($Q16=2,1,0),IF($X16&lt;30,1,0))</formula>
    </cfRule>
    <cfRule type="expression" dxfId="1565" priority="317">
      <formula>AND(IF($Q16=3,1,0),IF($X16&lt;30,1,0))</formula>
    </cfRule>
    <cfRule type="expression" dxfId="1564" priority="318">
      <formula>AND(IF($Q16=3,1,IF($Q16=4,1,0)),IF($F16&lt;=85,1,0))</formula>
    </cfRule>
  </conditionalFormatting>
  <conditionalFormatting sqref="AI16">
    <cfRule type="expression" dxfId="1563" priority="311">
      <formula>AND(IF(OR($Q16=1,$Q16=2),1,0),IF($X16&lt;=20,1,0))</formula>
    </cfRule>
    <cfRule type="expression" dxfId="1562" priority="312">
      <formula>AND(IF($Q16=2,1,0),IF($X16&lt;30,1,0))</formula>
    </cfRule>
    <cfRule type="expression" dxfId="1561" priority="313">
      <formula>AND(IF($Q16=3,1,0),IF($X16&lt;30,1,0))</formula>
    </cfRule>
    <cfRule type="expression" dxfId="1560" priority="314">
      <formula>AND(IF($Q16=3,1,IF($Q16=4,1,0)),IF($F16&lt;=85,1,0))</formula>
    </cfRule>
  </conditionalFormatting>
  <conditionalFormatting sqref="AV17">
    <cfRule type="expression" dxfId="1559" priority="309">
      <formula>AV17="X"</formula>
    </cfRule>
    <cfRule type="expression" dxfId="1558" priority="310">
      <formula>AV17="후보"</formula>
    </cfRule>
  </conditionalFormatting>
  <conditionalFormatting sqref="AC17">
    <cfRule type="cellIs" dxfId="1557" priority="306" operator="greaterThan">
      <formula>0.9</formula>
    </cfRule>
    <cfRule type="cellIs" dxfId="1556" priority="307" operator="greaterThan">
      <formula>0.85</formula>
    </cfRule>
  </conditionalFormatting>
  <conditionalFormatting sqref="N17">
    <cfRule type="cellIs" dxfId="1555" priority="304" operator="greaterThan">
      <formula>0.9</formula>
    </cfRule>
    <cfRule type="cellIs" dxfId="1554" priority="305" operator="greaterThan">
      <formula>0.85</formula>
    </cfRule>
  </conditionalFormatting>
  <conditionalFormatting sqref="E17">
    <cfRule type="expression" dxfId="1553" priority="300">
      <formula>AND(IF(OR($Q17=1,$Q17=2),1,0),IF($X17&lt;=20,1,0))</formula>
    </cfRule>
    <cfRule type="expression" dxfId="1552" priority="301">
      <formula>AND(IF($Q17=2,1,0),IF($X17&lt;30,1,0))</formula>
    </cfRule>
    <cfRule type="expression" dxfId="1551" priority="302">
      <formula>AND(IF($Q17=3,1,0),IF($X17&lt;30,1,0))</formula>
    </cfRule>
    <cfRule type="expression" dxfId="1550" priority="303">
      <formula>AND(IF($Q17=3,1,IF($Q17=4,1,0)),IF($F17&lt;=85,1,0))</formula>
    </cfRule>
  </conditionalFormatting>
  <conditionalFormatting sqref="X17">
    <cfRule type="expression" dxfId="1549" priority="296">
      <formula>AND(IF(OR($Q17=1,$Q17=2),1,0),IF($X17&lt;=20,1,0))</formula>
    </cfRule>
    <cfRule type="expression" dxfId="1548" priority="297">
      <formula>AND(IF($Q17=2,1,0),IF($X17&lt;30,1,0))</formula>
    </cfRule>
    <cfRule type="expression" dxfId="1547" priority="298">
      <formula>AND(IF($Q17=3,1,0),IF($X17&lt;30,1,0))</formula>
    </cfRule>
    <cfRule type="expression" dxfId="1546" priority="299">
      <formula>AND(IF($Q17=3,1,IF($Q17=4,1,0)),IF($F17&lt;=85,1,0))</formula>
    </cfRule>
  </conditionalFormatting>
  <conditionalFormatting sqref="AI17">
    <cfRule type="expression" dxfId="1545" priority="292">
      <formula>AND(IF(OR($Q17=1,$Q17=2),1,0),IF($X17&lt;=20,1,0))</formula>
    </cfRule>
    <cfRule type="expression" dxfId="1544" priority="293">
      <formula>AND(IF($Q17=2,1,0),IF($X17&lt;30,1,0))</formula>
    </cfRule>
    <cfRule type="expression" dxfId="1543" priority="294">
      <formula>AND(IF($Q17=3,1,0),IF($X17&lt;30,1,0))</formula>
    </cfRule>
    <cfRule type="expression" dxfId="1542" priority="295">
      <formula>AND(IF($Q17=3,1,IF($Q17=4,1,0)),IF($F17&lt;=85,1,0))</formula>
    </cfRule>
  </conditionalFormatting>
  <conditionalFormatting sqref="AV18">
    <cfRule type="expression" dxfId="1541" priority="290">
      <formula>AV18="X"</formula>
    </cfRule>
    <cfRule type="expression" dxfId="1540" priority="291">
      <formula>AV18="후보"</formula>
    </cfRule>
  </conditionalFormatting>
  <conditionalFormatting sqref="AC18 N18">
    <cfRule type="cellIs" dxfId="1539" priority="287" operator="greaterThan">
      <formula>0.9</formula>
    </cfRule>
    <cfRule type="cellIs" dxfId="1538" priority="288" operator="greaterThan">
      <formula>0.85</formula>
    </cfRule>
  </conditionalFormatting>
  <conditionalFormatting sqref="AV19">
    <cfRule type="expression" dxfId="1537" priority="285">
      <formula>AV19="X"</formula>
    </cfRule>
    <cfRule type="expression" dxfId="1536" priority="286">
      <formula>AV19="후보"</formula>
    </cfRule>
  </conditionalFormatting>
  <conditionalFormatting sqref="AC19">
    <cfRule type="cellIs" dxfId="1535" priority="282" operator="greaterThan">
      <formula>0.9</formula>
    </cfRule>
    <cfRule type="cellIs" dxfId="1534" priority="283" operator="greaterThan">
      <formula>0.85</formula>
    </cfRule>
  </conditionalFormatting>
  <conditionalFormatting sqref="N19">
    <cfRule type="cellIs" dxfId="1533" priority="280" operator="greaterThan">
      <formula>0.9</formula>
    </cfRule>
    <cfRule type="cellIs" dxfId="1532" priority="281" operator="greaterThan">
      <formula>0.85</formula>
    </cfRule>
  </conditionalFormatting>
  <conditionalFormatting sqref="E19">
    <cfRule type="expression" dxfId="1531" priority="276">
      <formula>AND(IF(OR($Q19=1,$Q19=2),1,0),IF($X19&lt;=20,1,0))</formula>
    </cfRule>
    <cfRule type="expression" dxfId="1530" priority="277">
      <formula>AND(IF($Q19=2,1,0),IF($X19&lt;30,1,0))</formula>
    </cfRule>
    <cfRule type="expression" dxfId="1529" priority="278">
      <formula>AND(IF($Q19=3,1,0),IF($X19&lt;30,1,0))</formula>
    </cfRule>
    <cfRule type="expression" dxfId="1528" priority="279">
      <formula>AND(IF($Q19=3,1,IF($Q19=4,1,0)),IF($F19&lt;=85,1,0))</formula>
    </cfRule>
  </conditionalFormatting>
  <conditionalFormatting sqref="X19">
    <cfRule type="expression" dxfId="1527" priority="272">
      <formula>AND(IF(OR($Q19=1,$Q19=2),1,0),IF($X19&lt;=20,1,0))</formula>
    </cfRule>
    <cfRule type="expression" dxfId="1526" priority="273">
      <formula>AND(IF($Q19=2,1,0),IF($X19&lt;30,1,0))</formula>
    </cfRule>
    <cfRule type="expression" dxfId="1525" priority="274">
      <formula>AND(IF($Q19=3,1,0),IF($X19&lt;30,1,0))</formula>
    </cfRule>
    <cfRule type="expression" dxfId="1524" priority="275">
      <formula>AND(IF($Q19=3,1,IF($Q19=4,1,0)),IF($F19&lt;=85,1,0))</formula>
    </cfRule>
  </conditionalFormatting>
  <conditionalFormatting sqref="AI19">
    <cfRule type="expression" dxfId="1523" priority="268">
      <formula>AND(IF(OR($Q19=1,$Q19=2),1,0),IF($X19&lt;=20,1,0))</formula>
    </cfRule>
    <cfRule type="expression" dxfId="1522" priority="269">
      <formula>AND(IF($Q19=2,1,0),IF($X19&lt;30,1,0))</formula>
    </cfRule>
    <cfRule type="expression" dxfId="1521" priority="270">
      <formula>AND(IF($Q19=3,1,0),IF($X19&lt;30,1,0))</formula>
    </cfRule>
    <cfRule type="expression" dxfId="1520" priority="271">
      <formula>AND(IF($Q19=3,1,IF($Q19=4,1,0)),IF($F19&lt;=85,1,0))</formula>
    </cfRule>
  </conditionalFormatting>
  <conditionalFormatting sqref="AV20">
    <cfRule type="expression" dxfId="1519" priority="266">
      <formula>AV20="X"</formula>
    </cfRule>
    <cfRule type="expression" dxfId="1518" priority="267">
      <formula>AV20="후보"</formula>
    </cfRule>
  </conditionalFormatting>
  <conditionalFormatting sqref="AC20">
    <cfRule type="cellIs" dxfId="1517" priority="263" operator="greaterThan">
      <formula>0.9</formula>
    </cfRule>
    <cfRule type="cellIs" dxfId="1516" priority="264" operator="greaterThan">
      <formula>0.85</formula>
    </cfRule>
  </conditionalFormatting>
  <conditionalFormatting sqref="N20">
    <cfRule type="cellIs" dxfId="1515" priority="261" operator="greaterThan">
      <formula>0.9</formula>
    </cfRule>
    <cfRule type="cellIs" dxfId="1514" priority="262" operator="greaterThan">
      <formula>0.85</formula>
    </cfRule>
  </conditionalFormatting>
  <conditionalFormatting sqref="E20">
    <cfRule type="expression" dxfId="1513" priority="257">
      <formula>AND(IF(OR($Q20=1,$Q20=2),1,0),IF($X20&lt;=20,1,0))</formula>
    </cfRule>
    <cfRule type="expression" dxfId="1512" priority="258">
      <formula>AND(IF($Q20=2,1,0),IF($X20&lt;30,1,0))</formula>
    </cfRule>
    <cfRule type="expression" dxfId="1511" priority="259">
      <formula>AND(IF($Q20=3,1,0),IF($X20&lt;30,1,0))</formula>
    </cfRule>
    <cfRule type="expression" dxfId="1510" priority="260">
      <formula>AND(IF($Q20=3,1,IF($Q20=4,1,0)),IF($F20&lt;=85,1,0))</formula>
    </cfRule>
  </conditionalFormatting>
  <conditionalFormatting sqref="X20">
    <cfRule type="expression" dxfId="1509" priority="253">
      <formula>AND(IF(OR($Q20=1,$Q20=2),1,0),IF($X20&lt;=20,1,0))</formula>
    </cfRule>
    <cfRule type="expression" dxfId="1508" priority="254">
      <formula>AND(IF($Q20=2,1,0),IF($X20&lt;30,1,0))</formula>
    </cfRule>
    <cfRule type="expression" dxfId="1507" priority="255">
      <formula>AND(IF($Q20=3,1,0),IF($X20&lt;30,1,0))</formula>
    </cfRule>
    <cfRule type="expression" dxfId="1506" priority="256">
      <formula>AND(IF($Q20=3,1,IF($Q20=4,1,0)),IF($F20&lt;=85,1,0))</formula>
    </cfRule>
  </conditionalFormatting>
  <conditionalFormatting sqref="AI20">
    <cfRule type="expression" dxfId="1505" priority="249">
      <formula>AND(IF(OR($Q20=1,$Q20=2),1,0),IF($X20&lt;=20,1,0))</formula>
    </cfRule>
    <cfRule type="expression" dxfId="1504" priority="250">
      <formula>AND(IF($Q20=2,1,0),IF($X20&lt;30,1,0))</formula>
    </cfRule>
    <cfRule type="expression" dxfId="1503" priority="251">
      <formula>AND(IF($Q20=3,1,0),IF($X20&lt;30,1,0))</formula>
    </cfRule>
    <cfRule type="expression" dxfId="1502" priority="252">
      <formula>AND(IF($Q20=3,1,IF($Q20=4,1,0)),IF($F20&lt;=85,1,0))</formula>
    </cfRule>
  </conditionalFormatting>
  <conditionalFormatting sqref="AV21">
    <cfRule type="expression" dxfId="1501" priority="247">
      <formula>AV21="X"</formula>
    </cfRule>
    <cfRule type="expression" dxfId="1500" priority="248">
      <formula>AV21="후보"</formula>
    </cfRule>
  </conditionalFormatting>
  <conditionalFormatting sqref="AC21 N21">
    <cfRule type="cellIs" dxfId="1499" priority="244" operator="greaterThan">
      <formula>0.9</formula>
    </cfRule>
    <cfRule type="cellIs" dxfId="1498" priority="245" operator="greaterThan">
      <formula>0.85</formula>
    </cfRule>
  </conditionalFormatting>
  <conditionalFormatting sqref="AV22">
    <cfRule type="expression" dxfId="1497" priority="242">
      <formula>AV22="X"</formula>
    </cfRule>
    <cfRule type="expression" dxfId="1496" priority="243">
      <formula>AV22="후보"</formula>
    </cfRule>
  </conditionalFormatting>
  <conditionalFormatting sqref="AC22">
    <cfRule type="cellIs" dxfId="1495" priority="239" operator="greaterThan">
      <formula>0.9</formula>
    </cfRule>
    <cfRule type="cellIs" dxfId="1494" priority="240" operator="greaterThan">
      <formula>0.85</formula>
    </cfRule>
  </conditionalFormatting>
  <conditionalFormatting sqref="N22">
    <cfRule type="cellIs" dxfId="1493" priority="237" operator="greaterThan">
      <formula>0.9</formula>
    </cfRule>
    <cfRule type="cellIs" dxfId="1492" priority="238" operator="greaterThan">
      <formula>0.85</formula>
    </cfRule>
  </conditionalFormatting>
  <conditionalFormatting sqref="E22">
    <cfRule type="expression" dxfId="1491" priority="233">
      <formula>AND(IF(OR($Q22=1,$Q22=2),1,0),IF($X22&lt;=20,1,0))</formula>
    </cfRule>
    <cfRule type="expression" dxfId="1490" priority="234">
      <formula>AND(IF($Q22=2,1,0),IF($X22&lt;30,1,0))</formula>
    </cfRule>
    <cfRule type="expression" dxfId="1489" priority="235">
      <formula>AND(IF($Q22=3,1,0),IF($X22&lt;30,1,0))</formula>
    </cfRule>
    <cfRule type="expression" dxfId="1488" priority="236">
      <formula>AND(IF($Q22=3,1,IF($Q22=4,1,0)),IF($F22&lt;=85,1,0))</formula>
    </cfRule>
  </conditionalFormatting>
  <conditionalFormatting sqref="X22">
    <cfRule type="expression" dxfId="1487" priority="229">
      <formula>AND(IF(OR($Q22=1,$Q22=2),1,0),IF($X22&lt;=20,1,0))</formula>
    </cfRule>
    <cfRule type="expression" dxfId="1486" priority="230">
      <formula>AND(IF($Q22=2,1,0),IF($X22&lt;30,1,0))</formula>
    </cfRule>
    <cfRule type="expression" dxfId="1485" priority="231">
      <formula>AND(IF($Q22=3,1,0),IF($X22&lt;30,1,0))</formula>
    </cfRule>
    <cfRule type="expression" dxfId="1484" priority="232">
      <formula>AND(IF($Q22=3,1,IF($Q22=4,1,0)),IF($F22&lt;=85,1,0))</formula>
    </cfRule>
  </conditionalFormatting>
  <conditionalFormatting sqref="AI22">
    <cfRule type="expression" dxfId="1483" priority="225">
      <formula>AND(IF(OR($Q22=1,$Q22=2),1,0),IF($X22&lt;=20,1,0))</formula>
    </cfRule>
    <cfRule type="expression" dxfId="1482" priority="226">
      <formula>AND(IF($Q22=2,1,0),IF($X22&lt;30,1,0))</formula>
    </cfRule>
    <cfRule type="expression" dxfId="1481" priority="227">
      <formula>AND(IF($Q22=3,1,0),IF($X22&lt;30,1,0))</formula>
    </cfRule>
    <cfRule type="expression" dxfId="1480" priority="228">
      <formula>AND(IF($Q22=3,1,IF($Q22=4,1,0)),IF($F22&lt;=85,1,0))</formula>
    </cfRule>
  </conditionalFormatting>
  <conditionalFormatting sqref="AV23">
    <cfRule type="expression" dxfId="1479" priority="223">
      <formula>AV23="X"</formula>
    </cfRule>
    <cfRule type="expression" dxfId="1478" priority="224">
      <formula>AV23="후보"</formula>
    </cfRule>
  </conditionalFormatting>
  <conditionalFormatting sqref="AC23">
    <cfRule type="cellIs" dxfId="1477" priority="220" operator="greaterThan">
      <formula>0.9</formula>
    </cfRule>
    <cfRule type="cellIs" dxfId="1476" priority="221" operator="greaterThan">
      <formula>0.85</formula>
    </cfRule>
  </conditionalFormatting>
  <conditionalFormatting sqref="N23">
    <cfRule type="cellIs" dxfId="1475" priority="218" operator="greaterThan">
      <formula>0.9</formula>
    </cfRule>
    <cfRule type="cellIs" dxfId="1474" priority="219" operator="greaterThan">
      <formula>0.85</formula>
    </cfRule>
  </conditionalFormatting>
  <conditionalFormatting sqref="E23">
    <cfRule type="expression" dxfId="1473" priority="214">
      <formula>AND(IF(OR($Q23=1,$Q23=2),1,0),IF($X23&lt;=20,1,0))</formula>
    </cfRule>
    <cfRule type="expression" dxfId="1472" priority="215">
      <formula>AND(IF($Q23=2,1,0),IF($X23&lt;30,1,0))</formula>
    </cfRule>
    <cfRule type="expression" dxfId="1471" priority="216">
      <formula>AND(IF($Q23=3,1,0),IF($X23&lt;30,1,0))</formula>
    </cfRule>
    <cfRule type="expression" dxfId="1470" priority="217">
      <formula>AND(IF($Q23=3,1,IF($Q23=4,1,0)),IF($F23&lt;=85,1,0))</formula>
    </cfRule>
  </conditionalFormatting>
  <conditionalFormatting sqref="X23">
    <cfRule type="expression" dxfId="1469" priority="210">
      <formula>AND(IF(OR($Q23=1,$Q23=2),1,0),IF($X23&lt;=20,1,0))</formula>
    </cfRule>
    <cfRule type="expression" dxfId="1468" priority="211">
      <formula>AND(IF($Q23=2,1,0),IF($X23&lt;30,1,0))</formula>
    </cfRule>
    <cfRule type="expression" dxfId="1467" priority="212">
      <formula>AND(IF($Q23=3,1,0),IF($X23&lt;30,1,0))</formula>
    </cfRule>
    <cfRule type="expression" dxfId="1466" priority="213">
      <formula>AND(IF($Q23=3,1,IF($Q23=4,1,0)),IF($F23&lt;=85,1,0))</formula>
    </cfRule>
  </conditionalFormatting>
  <conditionalFormatting sqref="AI23">
    <cfRule type="expression" dxfId="1465" priority="206">
      <formula>AND(IF(OR($Q23=1,$Q23=2),1,0),IF($X23&lt;=20,1,0))</formula>
    </cfRule>
    <cfRule type="expression" dxfId="1464" priority="207">
      <formula>AND(IF($Q23=2,1,0),IF($X23&lt;30,1,0))</formula>
    </cfRule>
    <cfRule type="expression" dxfId="1463" priority="208">
      <formula>AND(IF($Q23=3,1,0),IF($X23&lt;30,1,0))</formula>
    </cfRule>
    <cfRule type="expression" dxfId="1462" priority="209">
      <formula>AND(IF($Q23=3,1,IF($Q23=4,1,0)),IF($F23&lt;=85,1,0))</formula>
    </cfRule>
  </conditionalFormatting>
  <conditionalFormatting sqref="AV24">
    <cfRule type="expression" dxfId="1461" priority="204">
      <formula>AV24="X"</formula>
    </cfRule>
    <cfRule type="expression" dxfId="1460" priority="205">
      <formula>AV24="후보"</formula>
    </cfRule>
  </conditionalFormatting>
  <conditionalFormatting sqref="AC24">
    <cfRule type="cellIs" dxfId="1459" priority="201" operator="greaterThan">
      <formula>0.9</formula>
    </cfRule>
    <cfRule type="cellIs" dxfId="1458" priority="202" operator="greaterThan">
      <formula>0.85</formula>
    </cfRule>
  </conditionalFormatting>
  <conditionalFormatting sqref="N24">
    <cfRule type="cellIs" dxfId="1457" priority="199" operator="greaterThan">
      <formula>0.9</formula>
    </cfRule>
    <cfRule type="cellIs" dxfId="1456" priority="200" operator="greaterThan">
      <formula>0.85</formula>
    </cfRule>
  </conditionalFormatting>
  <conditionalFormatting sqref="E24">
    <cfRule type="expression" dxfId="1455" priority="195">
      <formula>AND(IF(OR($Q24=1,$Q24=2),1,0),IF($X24&lt;=20,1,0))</formula>
    </cfRule>
    <cfRule type="expression" dxfId="1454" priority="196">
      <formula>AND(IF($Q24=2,1,0),IF($X24&lt;30,1,0))</formula>
    </cfRule>
    <cfRule type="expression" dxfId="1453" priority="197">
      <formula>AND(IF($Q24=3,1,0),IF($X24&lt;30,1,0))</formula>
    </cfRule>
    <cfRule type="expression" dxfId="1452" priority="198">
      <formula>AND(IF($Q24=3,1,IF($Q24=4,1,0)),IF($F24&lt;=85,1,0))</formula>
    </cfRule>
  </conditionalFormatting>
  <conditionalFormatting sqref="X24">
    <cfRule type="expression" dxfId="1451" priority="191">
      <formula>AND(IF(OR($Q24=1,$Q24=2),1,0),IF($X24&lt;=20,1,0))</formula>
    </cfRule>
    <cfRule type="expression" dxfId="1450" priority="192">
      <formula>AND(IF($Q24=2,1,0),IF($X24&lt;30,1,0))</formula>
    </cfRule>
    <cfRule type="expression" dxfId="1449" priority="193">
      <formula>AND(IF($Q24=3,1,0),IF($X24&lt;30,1,0))</formula>
    </cfRule>
    <cfRule type="expression" dxfId="1448" priority="194">
      <formula>AND(IF($Q24=3,1,IF($Q24=4,1,0)),IF($F24&lt;=85,1,0))</formula>
    </cfRule>
  </conditionalFormatting>
  <conditionalFormatting sqref="AI24">
    <cfRule type="expression" dxfId="1447" priority="187">
      <formula>AND(IF(OR($Q24=1,$Q24=2),1,0),IF($X24&lt;=20,1,0))</formula>
    </cfRule>
    <cfRule type="expression" dxfId="1446" priority="188">
      <formula>AND(IF($Q24=2,1,0),IF($X24&lt;30,1,0))</formula>
    </cfRule>
    <cfRule type="expression" dxfId="1445" priority="189">
      <formula>AND(IF($Q24=3,1,0),IF($X24&lt;30,1,0))</formula>
    </cfRule>
    <cfRule type="expression" dxfId="1444" priority="190">
      <formula>AND(IF($Q24=3,1,IF($Q24=4,1,0)),IF($F24&lt;=85,1,0))</formula>
    </cfRule>
  </conditionalFormatting>
  <conditionalFormatting sqref="AV25">
    <cfRule type="expression" dxfId="1443" priority="185">
      <formula>AV25="X"</formula>
    </cfRule>
    <cfRule type="expression" dxfId="1442" priority="186">
      <formula>AV25="후보"</formula>
    </cfRule>
  </conditionalFormatting>
  <conditionalFormatting sqref="AC25 N25">
    <cfRule type="cellIs" dxfId="1441" priority="182" operator="greaterThan">
      <formula>0.9</formula>
    </cfRule>
    <cfRule type="cellIs" dxfId="1440" priority="183" operator="greaterThan">
      <formula>0.85</formula>
    </cfRule>
  </conditionalFormatting>
  <conditionalFormatting sqref="AV26">
    <cfRule type="expression" dxfId="1439" priority="180">
      <formula>AV26="X"</formula>
    </cfRule>
    <cfRule type="expression" dxfId="1438" priority="181">
      <formula>AV26="후보"</formula>
    </cfRule>
  </conditionalFormatting>
  <conditionalFormatting sqref="AC26">
    <cfRule type="cellIs" dxfId="1437" priority="177" operator="greaterThan">
      <formula>0.9</formula>
    </cfRule>
    <cfRule type="cellIs" dxfId="1436" priority="178" operator="greaterThan">
      <formula>0.85</formula>
    </cfRule>
  </conditionalFormatting>
  <conditionalFormatting sqref="N26">
    <cfRule type="cellIs" dxfId="1435" priority="175" operator="greaterThan">
      <formula>0.9</formula>
    </cfRule>
    <cfRule type="cellIs" dxfId="1434" priority="176" operator="greaterThan">
      <formula>0.85</formula>
    </cfRule>
  </conditionalFormatting>
  <conditionalFormatting sqref="E26">
    <cfRule type="expression" dxfId="1433" priority="171">
      <formula>AND(IF(OR($Q26=1,$Q26=2),1,0),IF($X26&lt;=20,1,0))</formula>
    </cfRule>
    <cfRule type="expression" dxfId="1432" priority="172">
      <formula>AND(IF($Q26=2,1,0),IF($X26&lt;30,1,0))</formula>
    </cfRule>
    <cfRule type="expression" dxfId="1431" priority="173">
      <formula>AND(IF($Q26=3,1,0),IF($X26&lt;30,1,0))</formula>
    </cfRule>
    <cfRule type="expression" dxfId="1430" priority="174">
      <formula>AND(IF($Q26=3,1,IF($Q26=4,1,0)),IF($F26&lt;=85,1,0))</formula>
    </cfRule>
  </conditionalFormatting>
  <conditionalFormatting sqref="X26">
    <cfRule type="expression" dxfId="1429" priority="167">
      <formula>AND(IF(OR($Q26=1,$Q26=2),1,0),IF($X26&lt;=20,1,0))</formula>
    </cfRule>
    <cfRule type="expression" dxfId="1428" priority="168">
      <formula>AND(IF($Q26=2,1,0),IF($X26&lt;30,1,0))</formula>
    </cfRule>
    <cfRule type="expression" dxfId="1427" priority="169">
      <formula>AND(IF($Q26=3,1,0),IF($X26&lt;30,1,0))</formula>
    </cfRule>
    <cfRule type="expression" dxfId="1426" priority="170">
      <formula>AND(IF($Q26=3,1,IF($Q26=4,1,0)),IF($F26&lt;=85,1,0))</formula>
    </cfRule>
  </conditionalFormatting>
  <conditionalFormatting sqref="AI26">
    <cfRule type="expression" dxfId="1425" priority="163">
      <formula>AND(IF(OR($Q26=1,$Q26=2),1,0),IF($X26&lt;=20,1,0))</formula>
    </cfRule>
    <cfRule type="expression" dxfId="1424" priority="164">
      <formula>AND(IF($Q26=2,1,0),IF($X26&lt;30,1,0))</formula>
    </cfRule>
    <cfRule type="expression" dxfId="1423" priority="165">
      <formula>AND(IF($Q26=3,1,0),IF($X26&lt;30,1,0))</formula>
    </cfRule>
    <cfRule type="expression" dxfId="1422" priority="166">
      <formula>AND(IF($Q26=3,1,IF($Q26=4,1,0)),IF($F26&lt;=85,1,0))</formula>
    </cfRule>
  </conditionalFormatting>
  <conditionalFormatting sqref="AV27">
    <cfRule type="expression" dxfId="1421" priority="161">
      <formula>AV27="X"</formula>
    </cfRule>
    <cfRule type="expression" dxfId="1420" priority="162">
      <formula>AV27="후보"</formula>
    </cfRule>
  </conditionalFormatting>
  <conditionalFormatting sqref="AC27 N27">
    <cfRule type="cellIs" dxfId="1419" priority="158" operator="greaterThan">
      <formula>0.9</formula>
    </cfRule>
    <cfRule type="cellIs" dxfId="1418" priority="159" operator="greaterThan">
      <formula>0.85</formula>
    </cfRule>
  </conditionalFormatting>
  <conditionalFormatting sqref="AV28">
    <cfRule type="expression" dxfId="1417" priority="156">
      <formula>AV28="X"</formula>
    </cfRule>
    <cfRule type="expression" dxfId="1416" priority="157">
      <formula>AV28="후보"</formula>
    </cfRule>
  </conditionalFormatting>
  <conditionalFormatting sqref="AC28">
    <cfRule type="cellIs" dxfId="1415" priority="153" operator="greaterThan">
      <formula>0.9</formula>
    </cfRule>
    <cfRule type="cellIs" dxfId="1414" priority="154" operator="greaterThan">
      <formula>0.85</formula>
    </cfRule>
  </conditionalFormatting>
  <conditionalFormatting sqref="N28">
    <cfRule type="cellIs" dxfId="1413" priority="151" operator="greaterThan">
      <formula>0.9</formula>
    </cfRule>
    <cfRule type="cellIs" dxfId="1412" priority="152" operator="greaterThan">
      <formula>0.85</formula>
    </cfRule>
  </conditionalFormatting>
  <conditionalFormatting sqref="E28">
    <cfRule type="expression" dxfId="1411" priority="147">
      <formula>AND(IF(OR($Q28=1,$Q28=2),1,0),IF($X28&lt;=20,1,0))</formula>
    </cfRule>
    <cfRule type="expression" dxfId="1410" priority="148">
      <formula>AND(IF($Q28=2,1,0),IF($X28&lt;30,1,0))</formula>
    </cfRule>
    <cfRule type="expression" dxfId="1409" priority="149">
      <formula>AND(IF($Q28=3,1,0),IF($X28&lt;30,1,0))</formula>
    </cfRule>
    <cfRule type="expression" dxfId="1408" priority="150">
      <formula>AND(IF($Q28=3,1,IF($Q28=4,1,0)),IF($F28&lt;=85,1,0))</formula>
    </cfRule>
  </conditionalFormatting>
  <conditionalFormatting sqref="X28">
    <cfRule type="expression" dxfId="1407" priority="143">
      <formula>AND(IF(OR($Q28=1,$Q28=2),1,0),IF($X28&lt;=20,1,0))</formula>
    </cfRule>
    <cfRule type="expression" dxfId="1406" priority="144">
      <formula>AND(IF($Q28=2,1,0),IF($X28&lt;30,1,0))</formula>
    </cfRule>
    <cfRule type="expression" dxfId="1405" priority="145">
      <formula>AND(IF($Q28=3,1,0),IF($X28&lt;30,1,0))</formula>
    </cfRule>
    <cfRule type="expression" dxfId="1404" priority="146">
      <formula>AND(IF($Q28=3,1,IF($Q28=4,1,0)),IF($F28&lt;=85,1,0))</formula>
    </cfRule>
  </conditionalFormatting>
  <conditionalFormatting sqref="AI28">
    <cfRule type="expression" dxfId="1403" priority="139">
      <formula>AND(IF(OR($Q28=1,$Q28=2),1,0),IF($X28&lt;=20,1,0))</formula>
    </cfRule>
    <cfRule type="expression" dxfId="1402" priority="140">
      <formula>AND(IF($Q28=2,1,0),IF($X28&lt;30,1,0))</formula>
    </cfRule>
    <cfRule type="expression" dxfId="1401" priority="141">
      <formula>AND(IF($Q28=3,1,0),IF($X28&lt;30,1,0))</formula>
    </cfRule>
    <cfRule type="expression" dxfId="1400" priority="142">
      <formula>AND(IF($Q28=3,1,IF($Q28=4,1,0)),IF($F28&lt;=85,1,0))</formula>
    </cfRule>
  </conditionalFormatting>
  <conditionalFormatting sqref="AV29">
    <cfRule type="expression" dxfId="1399" priority="137">
      <formula>AV29="X"</formula>
    </cfRule>
    <cfRule type="expression" dxfId="1398" priority="138">
      <formula>AV29="후보"</formula>
    </cfRule>
  </conditionalFormatting>
  <conditionalFormatting sqref="AC29">
    <cfRule type="cellIs" dxfId="1397" priority="134" operator="greaterThan">
      <formula>0.9</formula>
    </cfRule>
    <cfRule type="cellIs" dxfId="1396" priority="135" operator="greaterThan">
      <formula>0.85</formula>
    </cfRule>
  </conditionalFormatting>
  <conditionalFormatting sqref="N29">
    <cfRule type="cellIs" dxfId="1395" priority="132" operator="greaterThan">
      <formula>0.9</formula>
    </cfRule>
    <cfRule type="cellIs" dxfId="1394" priority="133" operator="greaterThan">
      <formula>0.85</formula>
    </cfRule>
  </conditionalFormatting>
  <conditionalFormatting sqref="E29">
    <cfRule type="expression" dxfId="1393" priority="128">
      <formula>AND(IF(OR($Q29=1,$Q29=2),1,0),IF($X29&lt;=20,1,0))</formula>
    </cfRule>
    <cfRule type="expression" dxfId="1392" priority="129">
      <formula>AND(IF($Q29=2,1,0),IF($X29&lt;30,1,0))</formula>
    </cfRule>
    <cfRule type="expression" dxfId="1391" priority="130">
      <formula>AND(IF($Q29=3,1,0),IF($X29&lt;30,1,0))</formula>
    </cfRule>
    <cfRule type="expression" dxfId="1390" priority="131">
      <formula>AND(IF($Q29=3,1,IF($Q29=4,1,0)),IF($F29&lt;=85,1,0))</formula>
    </cfRule>
  </conditionalFormatting>
  <conditionalFormatting sqref="X29">
    <cfRule type="expression" dxfId="1389" priority="124">
      <formula>AND(IF(OR($Q29=1,$Q29=2),1,0),IF($X29&lt;=20,1,0))</formula>
    </cfRule>
    <cfRule type="expression" dxfId="1388" priority="125">
      <formula>AND(IF($Q29=2,1,0),IF($X29&lt;30,1,0))</formula>
    </cfRule>
    <cfRule type="expression" dxfId="1387" priority="126">
      <formula>AND(IF($Q29=3,1,0),IF($X29&lt;30,1,0))</formula>
    </cfRule>
    <cfRule type="expression" dxfId="1386" priority="127">
      <formula>AND(IF($Q29=3,1,IF($Q29=4,1,0)),IF($F29&lt;=85,1,0))</formula>
    </cfRule>
  </conditionalFormatting>
  <conditionalFormatting sqref="AI29">
    <cfRule type="expression" dxfId="1385" priority="120">
      <formula>AND(IF(OR($Q29=1,$Q29=2),1,0),IF($X29&lt;=20,1,0))</formula>
    </cfRule>
    <cfRule type="expression" dxfId="1384" priority="121">
      <formula>AND(IF($Q29=2,1,0),IF($X29&lt;30,1,0))</formula>
    </cfRule>
    <cfRule type="expression" dxfId="1383" priority="122">
      <formula>AND(IF($Q29=3,1,0),IF($X29&lt;30,1,0))</formula>
    </cfRule>
    <cfRule type="expression" dxfId="1382" priority="123">
      <formula>AND(IF($Q29=3,1,IF($Q29=4,1,0)),IF($F29&lt;=85,1,0))</formula>
    </cfRule>
  </conditionalFormatting>
  <conditionalFormatting sqref="AV30">
    <cfRule type="expression" dxfId="1381" priority="118">
      <formula>AV30="X"</formula>
    </cfRule>
    <cfRule type="expression" dxfId="1380" priority="119">
      <formula>AV30="후보"</formula>
    </cfRule>
  </conditionalFormatting>
  <conditionalFormatting sqref="AC30">
    <cfRule type="cellIs" dxfId="1379" priority="115" operator="greaterThan">
      <formula>0.9</formula>
    </cfRule>
    <cfRule type="cellIs" dxfId="1378" priority="116" operator="greaterThan">
      <formula>0.85</formula>
    </cfRule>
  </conditionalFormatting>
  <conditionalFormatting sqref="N30">
    <cfRule type="cellIs" dxfId="1377" priority="113" operator="greaterThan">
      <formula>0.9</formula>
    </cfRule>
    <cfRule type="cellIs" dxfId="1376" priority="114" operator="greaterThan">
      <formula>0.85</formula>
    </cfRule>
  </conditionalFormatting>
  <conditionalFormatting sqref="E30">
    <cfRule type="expression" dxfId="1375" priority="109">
      <formula>AND(IF(OR($Q30=1,$Q30=2),1,0),IF($X30&lt;=20,1,0))</formula>
    </cfRule>
    <cfRule type="expression" dxfId="1374" priority="110">
      <formula>AND(IF($Q30=2,1,0),IF($X30&lt;30,1,0))</formula>
    </cfRule>
    <cfRule type="expression" dxfId="1373" priority="111">
      <formula>AND(IF($Q30=3,1,0),IF($X30&lt;30,1,0))</formula>
    </cfRule>
    <cfRule type="expression" dxfId="1372" priority="112">
      <formula>AND(IF($Q30=3,1,IF($Q30=4,1,0)),IF($F30&lt;=85,1,0))</formula>
    </cfRule>
  </conditionalFormatting>
  <conditionalFormatting sqref="X30">
    <cfRule type="expression" dxfId="1371" priority="105">
      <formula>AND(IF(OR($Q30=1,$Q30=2),1,0),IF($X30&lt;=20,1,0))</formula>
    </cfRule>
    <cfRule type="expression" dxfId="1370" priority="106">
      <formula>AND(IF($Q30=2,1,0),IF($X30&lt;30,1,0))</formula>
    </cfRule>
    <cfRule type="expression" dxfId="1369" priority="107">
      <formula>AND(IF($Q30=3,1,0),IF($X30&lt;30,1,0))</formula>
    </cfRule>
    <cfRule type="expression" dxfId="1368" priority="108">
      <formula>AND(IF($Q30=3,1,IF($Q30=4,1,0)),IF($F30&lt;=85,1,0))</formula>
    </cfRule>
  </conditionalFormatting>
  <conditionalFormatting sqref="AI30">
    <cfRule type="expression" dxfId="1367" priority="101">
      <formula>AND(IF(OR($Q30=1,$Q30=2),1,0),IF($X30&lt;=20,1,0))</formula>
    </cfRule>
    <cfRule type="expression" dxfId="1366" priority="102">
      <formula>AND(IF($Q30=2,1,0),IF($X30&lt;30,1,0))</formula>
    </cfRule>
    <cfRule type="expression" dxfId="1365" priority="103">
      <formula>AND(IF($Q30=3,1,0),IF($X30&lt;30,1,0))</formula>
    </cfRule>
    <cfRule type="expression" dxfId="1364" priority="104">
      <formula>AND(IF($Q30=3,1,IF($Q30=4,1,0)),IF($F30&lt;=85,1,0))</formula>
    </cfRule>
  </conditionalFormatting>
  <conditionalFormatting sqref="AV31">
    <cfRule type="expression" dxfId="1363" priority="99">
      <formula>AV31="X"</formula>
    </cfRule>
    <cfRule type="expression" dxfId="1362" priority="100">
      <formula>AV31="후보"</formula>
    </cfRule>
  </conditionalFormatting>
  <conditionalFormatting sqref="AC31">
    <cfRule type="cellIs" dxfId="1361" priority="96" operator="greaterThan">
      <formula>0.9</formula>
    </cfRule>
    <cfRule type="cellIs" dxfId="1360" priority="97" operator="greaterThan">
      <formula>0.85</formula>
    </cfRule>
  </conditionalFormatting>
  <conditionalFormatting sqref="N31">
    <cfRule type="cellIs" dxfId="1359" priority="94" operator="greaterThan">
      <formula>0.9</formula>
    </cfRule>
    <cfRule type="cellIs" dxfId="1358" priority="95" operator="greaterThan">
      <formula>0.85</formula>
    </cfRule>
  </conditionalFormatting>
  <conditionalFormatting sqref="E31">
    <cfRule type="expression" dxfId="1357" priority="90">
      <formula>AND(IF(OR($Q31=1,$Q31=2),1,0),IF($X31&lt;=20,1,0))</formula>
    </cfRule>
    <cfRule type="expression" dxfId="1356" priority="91">
      <formula>AND(IF($Q31=2,1,0),IF($X31&lt;30,1,0))</formula>
    </cfRule>
    <cfRule type="expression" dxfId="1355" priority="92">
      <formula>AND(IF($Q31=3,1,0),IF($X31&lt;30,1,0))</formula>
    </cfRule>
    <cfRule type="expression" dxfId="1354" priority="93">
      <formula>AND(IF($Q31=3,1,IF($Q31=4,1,0)),IF($F31&lt;=85,1,0))</formula>
    </cfRule>
  </conditionalFormatting>
  <conditionalFormatting sqref="X31">
    <cfRule type="expression" dxfId="1353" priority="86">
      <formula>AND(IF(OR($Q31=1,$Q31=2),1,0),IF($X31&lt;=20,1,0))</formula>
    </cfRule>
    <cfRule type="expression" dxfId="1352" priority="87">
      <formula>AND(IF($Q31=2,1,0),IF($X31&lt;30,1,0))</formula>
    </cfRule>
    <cfRule type="expression" dxfId="1351" priority="88">
      <formula>AND(IF($Q31=3,1,0),IF($X31&lt;30,1,0))</formula>
    </cfRule>
    <cfRule type="expression" dxfId="1350" priority="89">
      <formula>AND(IF($Q31=3,1,IF($Q31=4,1,0)),IF($F31&lt;=85,1,0))</formula>
    </cfRule>
  </conditionalFormatting>
  <conditionalFormatting sqref="AI31">
    <cfRule type="expression" dxfId="1349" priority="82">
      <formula>AND(IF(OR($Q31=1,$Q31=2),1,0),IF($X31&lt;=20,1,0))</formula>
    </cfRule>
    <cfRule type="expression" dxfId="1348" priority="83">
      <formula>AND(IF($Q31=2,1,0),IF($X31&lt;30,1,0))</formula>
    </cfRule>
    <cfRule type="expression" dxfId="1347" priority="84">
      <formula>AND(IF($Q31=3,1,0),IF($X31&lt;30,1,0))</formula>
    </cfRule>
    <cfRule type="expression" dxfId="1346" priority="85">
      <formula>AND(IF($Q31=3,1,IF($Q31=4,1,0)),IF($F31&lt;=85,1,0))</formula>
    </cfRule>
  </conditionalFormatting>
  <conditionalFormatting sqref="AV32">
    <cfRule type="expression" dxfId="1345" priority="80">
      <formula>AV32="X"</formula>
    </cfRule>
    <cfRule type="expression" dxfId="1344" priority="81">
      <formula>AV32="후보"</formula>
    </cfRule>
  </conditionalFormatting>
  <conditionalFormatting sqref="AC32 N32">
    <cfRule type="cellIs" dxfId="1343" priority="77" operator="greaterThan">
      <formula>0.9</formula>
    </cfRule>
    <cfRule type="cellIs" dxfId="1342" priority="78" operator="greaterThan">
      <formula>0.85</formula>
    </cfRule>
  </conditionalFormatting>
  <conditionalFormatting sqref="AV33">
    <cfRule type="expression" dxfId="1341" priority="75">
      <formula>AV33="X"</formula>
    </cfRule>
    <cfRule type="expression" dxfId="1340" priority="76">
      <formula>AV33="후보"</formula>
    </cfRule>
  </conditionalFormatting>
  <conditionalFormatting sqref="AC33">
    <cfRule type="cellIs" dxfId="1339" priority="72" operator="greaterThan">
      <formula>0.9</formula>
    </cfRule>
    <cfRule type="cellIs" dxfId="1338" priority="73" operator="greaterThan">
      <formula>0.85</formula>
    </cfRule>
  </conditionalFormatting>
  <conditionalFormatting sqref="N33">
    <cfRule type="cellIs" dxfId="1337" priority="70" operator="greaterThan">
      <formula>0.9</formula>
    </cfRule>
    <cfRule type="cellIs" dxfId="1336" priority="71" operator="greaterThan">
      <formula>0.85</formula>
    </cfRule>
  </conditionalFormatting>
  <conditionalFormatting sqref="E33">
    <cfRule type="expression" dxfId="1335" priority="66">
      <formula>AND(IF(OR($Q33=1,$Q33=2),1,0),IF($X33&lt;=20,1,0))</formula>
    </cfRule>
    <cfRule type="expression" dxfId="1334" priority="67">
      <formula>AND(IF($Q33=2,1,0),IF($X33&lt;30,1,0))</formula>
    </cfRule>
    <cfRule type="expression" dxfId="1333" priority="68">
      <formula>AND(IF($Q33=3,1,0),IF($X33&lt;30,1,0))</formula>
    </cfRule>
    <cfRule type="expression" dxfId="1332" priority="69">
      <formula>AND(IF($Q33=3,1,IF($Q33=4,1,0)),IF($F33&lt;=85,1,0))</formula>
    </cfRule>
  </conditionalFormatting>
  <conditionalFormatting sqref="X33">
    <cfRule type="expression" dxfId="1331" priority="62">
      <formula>AND(IF(OR($Q33=1,$Q33=2),1,0),IF($X33&lt;=20,1,0))</formula>
    </cfRule>
    <cfRule type="expression" dxfId="1330" priority="63">
      <formula>AND(IF($Q33=2,1,0),IF($X33&lt;30,1,0))</formula>
    </cfRule>
    <cfRule type="expression" dxfId="1329" priority="64">
      <formula>AND(IF($Q33=3,1,0),IF($X33&lt;30,1,0))</formula>
    </cfRule>
    <cfRule type="expression" dxfId="1328" priority="65">
      <formula>AND(IF($Q33=3,1,IF($Q33=4,1,0)),IF($F33&lt;=85,1,0))</formula>
    </cfRule>
  </conditionalFormatting>
  <conditionalFormatting sqref="AI33">
    <cfRule type="expression" dxfId="1327" priority="58">
      <formula>AND(IF(OR($Q33=1,$Q33=2),1,0),IF($X33&lt;=20,1,0))</formula>
    </cfRule>
    <cfRule type="expression" dxfId="1326" priority="59">
      <formula>AND(IF($Q33=2,1,0),IF($X33&lt;30,1,0))</formula>
    </cfRule>
    <cfRule type="expression" dxfId="1325" priority="60">
      <formula>AND(IF($Q33=3,1,0),IF($X33&lt;30,1,0))</formula>
    </cfRule>
    <cfRule type="expression" dxfId="1324" priority="61">
      <formula>AND(IF($Q33=3,1,IF($Q33=4,1,0)),IF($F33&lt;=85,1,0))</formula>
    </cfRule>
  </conditionalFormatting>
  <conditionalFormatting sqref="AV34">
    <cfRule type="expression" dxfId="1323" priority="56">
      <formula>AV34="X"</formula>
    </cfRule>
    <cfRule type="expression" dxfId="1322" priority="57">
      <formula>AV34="후보"</formula>
    </cfRule>
  </conditionalFormatting>
  <conditionalFormatting sqref="AC34">
    <cfRule type="cellIs" dxfId="1321" priority="53" operator="greaterThan">
      <formula>0.9</formula>
    </cfRule>
    <cfRule type="cellIs" dxfId="1320" priority="54" operator="greaterThan">
      <formula>0.85</formula>
    </cfRule>
  </conditionalFormatting>
  <conditionalFormatting sqref="N34">
    <cfRule type="cellIs" dxfId="1319" priority="51" operator="greaterThan">
      <formula>0.9</formula>
    </cfRule>
    <cfRule type="cellIs" dxfId="1318" priority="52" operator="greaterThan">
      <formula>0.85</formula>
    </cfRule>
  </conditionalFormatting>
  <conditionalFormatting sqref="E34">
    <cfRule type="expression" dxfId="1317" priority="47">
      <formula>AND(IF(OR($Q34=1,$Q34=2),1,0),IF($X34&lt;=20,1,0))</formula>
    </cfRule>
    <cfRule type="expression" dxfId="1316" priority="48">
      <formula>AND(IF($Q34=2,1,0),IF($X34&lt;30,1,0))</formula>
    </cfRule>
    <cfRule type="expression" dxfId="1315" priority="49">
      <formula>AND(IF($Q34=3,1,0),IF($X34&lt;30,1,0))</formula>
    </cfRule>
    <cfRule type="expression" dxfId="1314" priority="50">
      <formula>AND(IF($Q34=3,1,IF($Q34=4,1,0)),IF($F34&lt;=85,1,0))</formula>
    </cfRule>
  </conditionalFormatting>
  <conditionalFormatting sqref="X34">
    <cfRule type="expression" dxfId="1313" priority="43">
      <formula>AND(IF(OR($Q34=1,$Q34=2),1,0),IF($X34&lt;=20,1,0))</formula>
    </cfRule>
    <cfRule type="expression" dxfId="1312" priority="44">
      <formula>AND(IF($Q34=2,1,0),IF($X34&lt;30,1,0))</formula>
    </cfRule>
    <cfRule type="expression" dxfId="1311" priority="45">
      <formula>AND(IF($Q34=3,1,0),IF($X34&lt;30,1,0))</formula>
    </cfRule>
    <cfRule type="expression" dxfId="1310" priority="46">
      <formula>AND(IF($Q34=3,1,IF($Q34=4,1,0)),IF($F34&lt;=85,1,0))</formula>
    </cfRule>
  </conditionalFormatting>
  <conditionalFormatting sqref="AI34">
    <cfRule type="expression" dxfId="1309" priority="39">
      <formula>AND(IF(OR($Q34=1,$Q34=2),1,0),IF($X34&lt;=20,1,0))</formula>
    </cfRule>
    <cfRule type="expression" dxfId="1308" priority="40">
      <formula>AND(IF($Q34=2,1,0),IF($X34&lt;30,1,0))</formula>
    </cfRule>
    <cfRule type="expression" dxfId="1307" priority="41">
      <formula>AND(IF($Q34=3,1,0),IF($X34&lt;30,1,0))</formula>
    </cfRule>
    <cfRule type="expression" dxfId="1306" priority="42">
      <formula>AND(IF($Q34=3,1,IF($Q34=4,1,0)),IF($F34&lt;=85,1,0))</formula>
    </cfRule>
  </conditionalFormatting>
  <conditionalFormatting sqref="AV35">
    <cfRule type="expression" dxfId="1305" priority="37">
      <formula>AV35="X"</formula>
    </cfRule>
    <cfRule type="expression" dxfId="1304" priority="38">
      <formula>AV35="후보"</formula>
    </cfRule>
  </conditionalFormatting>
  <conditionalFormatting sqref="AC35">
    <cfRule type="cellIs" dxfId="1303" priority="34" operator="greaterThan">
      <formula>0.9</formula>
    </cfRule>
    <cfRule type="cellIs" dxfId="1302" priority="35" operator="greaterThan">
      <formula>0.85</formula>
    </cfRule>
  </conditionalFormatting>
  <conditionalFormatting sqref="N35">
    <cfRule type="cellIs" dxfId="1301" priority="32" operator="greaterThan">
      <formula>0.9</formula>
    </cfRule>
    <cfRule type="cellIs" dxfId="1300" priority="33" operator="greaterThan">
      <formula>0.85</formula>
    </cfRule>
  </conditionalFormatting>
  <conditionalFormatting sqref="E35">
    <cfRule type="expression" dxfId="1299" priority="28">
      <formula>AND(IF(OR($Q35=1,$Q35=2),1,0),IF($X35&lt;=20,1,0))</formula>
    </cfRule>
    <cfRule type="expression" dxfId="1298" priority="29">
      <formula>AND(IF($Q35=2,1,0),IF($X35&lt;30,1,0))</formula>
    </cfRule>
    <cfRule type="expression" dxfId="1297" priority="30">
      <formula>AND(IF($Q35=3,1,0),IF($X35&lt;30,1,0))</formula>
    </cfRule>
    <cfRule type="expression" dxfId="1296" priority="31">
      <formula>AND(IF($Q35=3,1,IF($Q35=4,1,0)),IF($F35&lt;=85,1,0))</formula>
    </cfRule>
  </conditionalFormatting>
  <conditionalFormatting sqref="X35">
    <cfRule type="expression" dxfId="1295" priority="24">
      <formula>AND(IF(OR($Q35=1,$Q35=2),1,0),IF($X35&lt;=20,1,0))</formula>
    </cfRule>
    <cfRule type="expression" dxfId="1294" priority="25">
      <formula>AND(IF($Q35=2,1,0),IF($X35&lt;30,1,0))</formula>
    </cfRule>
    <cfRule type="expression" dxfId="1293" priority="26">
      <formula>AND(IF($Q35=3,1,0),IF($X35&lt;30,1,0))</formula>
    </cfRule>
    <cfRule type="expression" dxfId="1292" priority="27">
      <formula>AND(IF($Q35=3,1,IF($Q35=4,1,0)),IF($F35&lt;=85,1,0))</formula>
    </cfRule>
  </conditionalFormatting>
  <conditionalFormatting sqref="AI35">
    <cfRule type="expression" dxfId="1291" priority="20">
      <formula>AND(IF(OR($Q35=1,$Q35=2),1,0),IF($X35&lt;=20,1,0))</formula>
    </cfRule>
    <cfRule type="expression" dxfId="1290" priority="21">
      <formula>AND(IF($Q35=2,1,0),IF($X35&lt;30,1,0))</formula>
    </cfRule>
    <cfRule type="expression" dxfId="1289" priority="22">
      <formula>AND(IF($Q35=3,1,0),IF($X35&lt;30,1,0))</formula>
    </cfRule>
    <cfRule type="expression" dxfId="1288" priority="23">
      <formula>AND(IF($Q35=3,1,IF($Q35=4,1,0)),IF($F35&lt;=85,1,0))</formula>
    </cfRule>
  </conditionalFormatting>
  <conditionalFormatting sqref="AV36">
    <cfRule type="expression" dxfId="1287" priority="18">
      <formula>AV36="X"</formula>
    </cfRule>
    <cfRule type="expression" dxfId="1286" priority="19">
      <formula>AV36="후보"</formula>
    </cfRule>
  </conditionalFormatting>
  <conditionalFormatting sqref="AC36">
    <cfRule type="cellIs" dxfId="1285" priority="15" operator="greaterThan">
      <formula>0.9</formula>
    </cfRule>
    <cfRule type="cellIs" dxfId="1284" priority="16" operator="greaterThan">
      <formula>0.85</formula>
    </cfRule>
  </conditionalFormatting>
  <conditionalFormatting sqref="N36">
    <cfRule type="cellIs" dxfId="1283" priority="13" operator="greaterThan">
      <formula>0.9</formula>
    </cfRule>
    <cfRule type="cellIs" dxfId="1282" priority="14" operator="greaterThan">
      <formula>0.85</formula>
    </cfRule>
  </conditionalFormatting>
  <conditionalFormatting sqref="E36">
    <cfRule type="expression" dxfId="1281" priority="9">
      <formula>AND(IF(OR($Q36=1,$Q36=2),1,0),IF($X36&lt;=20,1,0))</formula>
    </cfRule>
    <cfRule type="expression" dxfId="1280" priority="10">
      <formula>AND(IF($Q36=2,1,0),IF($X36&lt;30,1,0))</formula>
    </cfRule>
    <cfRule type="expression" dxfId="1279" priority="11">
      <formula>AND(IF($Q36=3,1,0),IF($X36&lt;30,1,0))</formula>
    </cfRule>
    <cfRule type="expression" dxfId="1278" priority="12">
      <formula>AND(IF($Q36=3,1,IF($Q36=4,1,0)),IF($F36&lt;=85,1,0))</formula>
    </cfRule>
  </conditionalFormatting>
  <conditionalFormatting sqref="X36">
    <cfRule type="expression" dxfId="1277" priority="5">
      <formula>AND(IF(OR($Q36=1,$Q36=2),1,0),IF($X36&lt;=20,1,0))</formula>
    </cfRule>
    <cfRule type="expression" dxfId="1276" priority="6">
      <formula>AND(IF($Q36=2,1,0),IF($X36&lt;30,1,0))</formula>
    </cfRule>
    <cfRule type="expression" dxfId="1275" priority="7">
      <formula>AND(IF($Q36=3,1,0),IF($X36&lt;30,1,0))</formula>
    </cfRule>
    <cfRule type="expression" dxfId="1274" priority="8">
      <formula>AND(IF($Q36=3,1,IF($Q36=4,1,0)),IF($F36&lt;=85,1,0))</formula>
    </cfRule>
  </conditionalFormatting>
  <conditionalFormatting sqref="AI36">
    <cfRule type="expression" dxfId="1273" priority="1">
      <formula>AND(IF(OR($Q36=1,$Q36=2),1,0),IF($X36&lt;=20,1,0))</formula>
    </cfRule>
    <cfRule type="expression" dxfId="1272" priority="2">
      <formula>AND(IF($Q36=2,1,0),IF($X36&lt;30,1,0))</formula>
    </cfRule>
    <cfRule type="expression" dxfId="1271" priority="3">
      <formula>AND(IF($Q36=3,1,0),IF($X36&lt;30,1,0))</formula>
    </cfRule>
    <cfRule type="expression" dxfId="1270" priority="4">
      <formula>AND(IF($Q36=3,1,IF($Q36=4,1,0)),IF($F36&lt;=85,1,0))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>
    <pageSetUpPr fitToPage="1"/>
  </sheetPr>
  <dimension ref="A1:AV1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9" sqref="A19:XFD19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9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239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중동 전북혁신도시호반베르디움(B-11BL)('13.12.,808^)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9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1377</v>
      </c>
      <c r="B6" s="10" t="s">
        <v>1619</v>
      </c>
      <c r="C6" s="87">
        <v>808</v>
      </c>
      <c r="D6" s="85">
        <v>110.3</v>
      </c>
      <c r="E6" s="86">
        <v>33</v>
      </c>
      <c r="F6" s="85">
        <v>84.9</v>
      </c>
      <c r="G6" s="17">
        <v>26</v>
      </c>
      <c r="H6" s="87">
        <v>472</v>
      </c>
      <c r="I6" s="88">
        <v>53000</v>
      </c>
      <c r="J6" s="88" t="s">
        <v>89</v>
      </c>
      <c r="K6" s="88">
        <v>40000</v>
      </c>
      <c r="L6" s="88" t="s">
        <v>69</v>
      </c>
      <c r="M6" s="89">
        <f>I6-K6</f>
        <v>13000</v>
      </c>
      <c r="N6" s="4">
        <f>IF(ISERROR(K6/I6),"",K6/I6)</f>
        <v>0.75471698113207553</v>
      </c>
      <c r="O6" s="90">
        <f>I6/E6</f>
        <v>1606.060606060606</v>
      </c>
      <c r="P6" s="90">
        <f>K6/E6</f>
        <v>1212.121212121212</v>
      </c>
      <c r="Q6" s="78">
        <v>4</v>
      </c>
      <c r="R6" s="78">
        <v>2</v>
      </c>
      <c r="S6" s="78" t="s">
        <v>59</v>
      </c>
      <c r="T6" s="5" t="s">
        <v>91</v>
      </c>
      <c r="U6" s="9"/>
      <c r="W6" s="85">
        <f t="shared" ref="W6:X8" si="2">D6</f>
        <v>110.3</v>
      </c>
      <c r="X6" s="86">
        <f t="shared" si="2"/>
        <v>33</v>
      </c>
      <c r="Y6" s="91">
        <f t="shared" ref="Y6:Z8" si="3">H6</f>
        <v>472</v>
      </c>
      <c r="Z6" s="89">
        <f t="shared" si="3"/>
        <v>53000</v>
      </c>
      <c r="AA6" s="89">
        <f>K6</f>
        <v>40000</v>
      </c>
      <c r="AB6" s="89">
        <f t="shared" ref="AB6:AD8" si="4">M6</f>
        <v>13000</v>
      </c>
      <c r="AC6" s="4">
        <f t="shared" si="4"/>
        <v>0.75471698113207553</v>
      </c>
      <c r="AD6" s="90">
        <f t="shared" si="4"/>
        <v>1606.060606060606</v>
      </c>
      <c r="AE6" s="78" t="str">
        <f>S6</f>
        <v>계</v>
      </c>
      <c r="AF6" s="78" t="str">
        <f>Q6&amp;"/"&amp;R6</f>
        <v>4/2</v>
      </c>
      <c r="AH6" s="20" t="str">
        <f t="shared" si="1"/>
        <v>전북혁신도시호반베르디움(B-11BL)</v>
      </c>
      <c r="AI6" s="86">
        <f t="shared" si="0"/>
        <v>33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X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1377</v>
      </c>
      <c r="B7" s="10" t="s">
        <v>1619</v>
      </c>
      <c r="C7" s="87">
        <v>808</v>
      </c>
      <c r="D7" s="85">
        <v>111.6</v>
      </c>
      <c r="E7" s="86">
        <v>34</v>
      </c>
      <c r="F7" s="85">
        <v>85</v>
      </c>
      <c r="G7" s="17">
        <v>26</v>
      </c>
      <c r="H7" s="87">
        <v>60</v>
      </c>
      <c r="I7" s="88">
        <v>75000</v>
      </c>
      <c r="J7" s="88" t="s">
        <v>126</v>
      </c>
      <c r="K7" s="88"/>
      <c r="L7" s="88"/>
      <c r="M7" s="89">
        <f>I7-K7</f>
        <v>75000</v>
      </c>
      <c r="N7" s="4">
        <f>IF(ISERROR(K7/I7),"",K7/I7)</f>
        <v>0</v>
      </c>
      <c r="O7" s="90">
        <f>I7/E7</f>
        <v>2205.8823529411766</v>
      </c>
      <c r="P7" s="90">
        <f>K7/E7</f>
        <v>0</v>
      </c>
      <c r="Q7" s="78">
        <v>3</v>
      </c>
      <c r="R7" s="78">
        <v>2</v>
      </c>
      <c r="S7" s="78" t="s">
        <v>59</v>
      </c>
      <c r="T7" s="5" t="s">
        <v>148</v>
      </c>
      <c r="U7" s="9"/>
      <c r="W7" s="85">
        <f t="shared" si="2"/>
        <v>111.6</v>
      </c>
      <c r="X7" s="86">
        <f t="shared" si="2"/>
        <v>34</v>
      </c>
      <c r="Y7" s="91">
        <f t="shared" si="3"/>
        <v>60</v>
      </c>
      <c r="Z7" s="89">
        <f t="shared" si="3"/>
        <v>75000</v>
      </c>
      <c r="AA7" s="89">
        <f>K7</f>
        <v>0</v>
      </c>
      <c r="AB7" s="89">
        <f t="shared" si="4"/>
        <v>75000</v>
      </c>
      <c r="AC7" s="4">
        <f t="shared" si="4"/>
        <v>0</v>
      </c>
      <c r="AD7" s="90">
        <f t="shared" si="4"/>
        <v>2205.8823529411766</v>
      </c>
      <c r="AE7" s="78" t="str">
        <f>S7</f>
        <v>계</v>
      </c>
      <c r="AF7" s="78" t="str">
        <f>Q7&amp;"/"&amp;R7</f>
        <v>3/2</v>
      </c>
      <c r="AH7" s="20" t="str">
        <f t="shared" si="1"/>
        <v>전북혁신도시호반베르디움(B-11BL)</v>
      </c>
      <c r="AI7" s="86">
        <f t="shared" si="0"/>
        <v>34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X</v>
      </c>
      <c r="AQ7" s="78" t="str">
        <f>IF(O7="","",IF(O7&lt;=$AQ$1,"O","X"))</f>
        <v>X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1377</v>
      </c>
      <c r="B8" s="10" t="s">
        <v>1619</v>
      </c>
      <c r="C8" s="87">
        <v>808</v>
      </c>
      <c r="D8" s="85">
        <v>112.3</v>
      </c>
      <c r="E8" s="86">
        <v>34</v>
      </c>
      <c r="F8" s="85">
        <v>84.9</v>
      </c>
      <c r="G8" s="17">
        <v>26</v>
      </c>
      <c r="H8" s="87">
        <v>276</v>
      </c>
      <c r="I8" s="88"/>
      <c r="J8" s="88"/>
      <c r="K8" s="88"/>
      <c r="L8" s="88"/>
      <c r="M8" s="89">
        <f>I8-K8</f>
        <v>0</v>
      </c>
      <c r="N8" s="4" t="str">
        <f>IF(ISERROR(K8/I8),"",K8/I8)</f>
        <v/>
      </c>
      <c r="O8" s="90">
        <f>I8/E8</f>
        <v>0</v>
      </c>
      <c r="P8" s="90">
        <f>K8/E8</f>
        <v>0</v>
      </c>
      <c r="Q8" s="78">
        <v>3</v>
      </c>
      <c r="R8" s="78">
        <v>2</v>
      </c>
      <c r="S8" s="78" t="s">
        <v>59</v>
      </c>
      <c r="T8" s="5" t="s">
        <v>160</v>
      </c>
      <c r="U8" s="9"/>
      <c r="W8" s="85">
        <f t="shared" si="2"/>
        <v>112.3</v>
      </c>
      <c r="X8" s="86">
        <f t="shared" si="2"/>
        <v>34</v>
      </c>
      <c r="Y8" s="91">
        <f t="shared" si="3"/>
        <v>276</v>
      </c>
      <c r="Z8" s="89">
        <f t="shared" si="3"/>
        <v>0</v>
      </c>
      <c r="AA8" s="89">
        <f>K8</f>
        <v>0</v>
      </c>
      <c r="AB8" s="89">
        <f t="shared" si="4"/>
        <v>0</v>
      </c>
      <c r="AC8" s="4" t="str">
        <f t="shared" si="4"/>
        <v/>
      </c>
      <c r="AD8" s="90">
        <f t="shared" si="4"/>
        <v>0</v>
      </c>
      <c r="AE8" s="78" t="str">
        <f>S8</f>
        <v>계</v>
      </c>
      <c r="AF8" s="78" t="str">
        <f>Q8&amp;"/"&amp;R8</f>
        <v>3/2</v>
      </c>
      <c r="AH8" s="20" t="str">
        <f t="shared" si="1"/>
        <v>전북혁신도시호반베르디움(B-11BL)</v>
      </c>
      <c r="AI8" s="86">
        <f t="shared" si="0"/>
        <v>34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/>
      </c>
      <c r="AP8" s="78" t="str">
        <f>IF(I8="","",IF(I8&lt;=$AP$1,"O","X"))</f>
        <v/>
      </c>
      <c r="AQ8" s="78" t="str">
        <f>IF(O8="","",IF(O8&lt;=$AQ$1,"O","X"))</f>
        <v>O</v>
      </c>
      <c r="AR8" s="78" t="str">
        <f>IF(M8="","",IF(M8&lt;=$AR$1,"O","X"))</f>
        <v>O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/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중동 전북혁신우미린1단지('13.12.,680^)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1381</v>
      </c>
      <c r="B10" s="10" t="s">
        <v>1619</v>
      </c>
      <c r="C10" s="87">
        <v>680</v>
      </c>
      <c r="D10" s="85">
        <v>108.9</v>
      </c>
      <c r="E10" s="86">
        <v>33</v>
      </c>
      <c r="F10" s="85">
        <v>83.8</v>
      </c>
      <c r="G10" s="17">
        <v>25</v>
      </c>
      <c r="H10" s="87">
        <v>188</v>
      </c>
      <c r="I10" s="88">
        <v>49000</v>
      </c>
      <c r="J10" s="88" t="s">
        <v>127</v>
      </c>
      <c r="K10" s="88">
        <v>40000</v>
      </c>
      <c r="L10" s="88" t="s">
        <v>82</v>
      </c>
      <c r="M10" s="89">
        <f t="shared" ref="M10:M15" si="5">I10-K10</f>
        <v>9000</v>
      </c>
      <c r="N10" s="4">
        <f t="shared" ref="N10:N15" si="6">IF(ISERROR(K10/I10),"",K10/I10)</f>
        <v>0.81632653061224492</v>
      </c>
      <c r="O10" s="90">
        <f t="shared" ref="O10:O15" si="7">I10/E10</f>
        <v>1484.8484848484848</v>
      </c>
      <c r="P10" s="90">
        <f t="shared" ref="P10:P15" si="8">K10/E10</f>
        <v>1212.121212121212</v>
      </c>
      <c r="Q10" s="78">
        <v>3</v>
      </c>
      <c r="R10" s="78">
        <v>2</v>
      </c>
      <c r="S10" s="78" t="s">
        <v>59</v>
      </c>
      <c r="T10" s="5">
        <v>108</v>
      </c>
      <c r="U10" s="9"/>
      <c r="W10" s="85">
        <f t="shared" ref="W10:X15" si="9">D10</f>
        <v>108.9</v>
      </c>
      <c r="X10" s="86">
        <f t="shared" si="9"/>
        <v>33</v>
      </c>
      <c r="Y10" s="91">
        <f t="shared" ref="Y10:Z15" si="10">H10</f>
        <v>188</v>
      </c>
      <c r="Z10" s="89">
        <f t="shared" si="10"/>
        <v>49000</v>
      </c>
      <c r="AA10" s="89">
        <f t="shared" ref="AA10:AA15" si="11">K10</f>
        <v>40000</v>
      </c>
      <c r="AB10" s="89">
        <f t="shared" ref="AB10:AD15" si="12">M10</f>
        <v>9000</v>
      </c>
      <c r="AC10" s="4">
        <f t="shared" si="12"/>
        <v>0.81632653061224492</v>
      </c>
      <c r="AD10" s="90">
        <f t="shared" si="12"/>
        <v>1484.8484848484848</v>
      </c>
      <c r="AE10" s="78" t="str">
        <f t="shared" ref="AE10:AE15" si="13">S10</f>
        <v>계</v>
      </c>
      <c r="AF10" s="78" t="str">
        <f t="shared" ref="AF10:AF15" si="14">Q10&amp;"/"&amp;R10</f>
        <v>3/2</v>
      </c>
      <c r="AH10" s="20" t="str">
        <f t="shared" si="1"/>
        <v>전북혁신우미린1단지</v>
      </c>
      <c r="AI10" s="86">
        <f t="shared" si="0"/>
        <v>33</v>
      </c>
      <c r="AJ10" s="78" t="str">
        <f t="shared" ref="AJ10:AJ15" si="15"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 t="shared" ref="AN10:AN15" si="16">IF(AI10="","",$AN$2)</f>
        <v>C</v>
      </c>
      <c r="AO10" s="78" t="str">
        <f t="shared" ref="AO10:AO15" si="17">IF(N10="","",IF(N10&gt;=$AO$1/100,"O","X"))</f>
        <v>O</v>
      </c>
      <c r="AP10" s="78" t="str">
        <f t="shared" ref="AP10:AP15" si="18">IF(I10="","",IF(I10&lt;=$AP$1,"O","X"))</f>
        <v>X</v>
      </c>
      <c r="AQ10" s="78" t="str">
        <f t="shared" ref="AQ10:AQ15" si="19">IF(O10="","",IF(O10&lt;=$AQ$1,"O","X"))</f>
        <v>X</v>
      </c>
      <c r="AR10" s="78" t="str">
        <f t="shared" ref="AR10:AR15" si="20">IF(M10="","",IF(M10&lt;=$AR$1,"O","X"))</f>
        <v>X</v>
      </c>
      <c r="AS10" s="78" t="s">
        <v>2</v>
      </c>
      <c r="AT10" s="78" t="str">
        <f t="shared" ref="AT10:AT15" si="21">IF(OR(F10="",AI10=""),"",IF(AND((F10&lt;=85),(AI10&gt;=15)),"O","X"))</f>
        <v>O</v>
      </c>
      <c r="AU10" s="78" t="str">
        <f t="shared" ref="AU10:AU15" si="22">IF(C10="","",IF(C10&gt;=$AU$1,"O","X"))</f>
        <v>O</v>
      </c>
      <c r="AV10" s="78" t="str">
        <f t="shared" ref="AV10:AV15" si="23">IF(AO10="","",IF(AND(AO10="O",AP10="O",AR10="O",AT10="O",AU10="O"),"후보","X"))</f>
        <v>X</v>
      </c>
    </row>
    <row r="11" spans="1:48" x14ac:dyDescent="0.3">
      <c r="A11" s="9" t="s">
        <v>1381</v>
      </c>
      <c r="B11" s="10" t="s">
        <v>1619</v>
      </c>
      <c r="C11" s="87">
        <v>680</v>
      </c>
      <c r="D11" s="85">
        <v>111.9</v>
      </c>
      <c r="E11" s="86">
        <v>34</v>
      </c>
      <c r="F11" s="85">
        <v>85</v>
      </c>
      <c r="G11" s="17">
        <v>26</v>
      </c>
      <c r="H11" s="87">
        <v>100</v>
      </c>
      <c r="I11" s="88">
        <v>52000</v>
      </c>
      <c r="J11" s="88" t="s">
        <v>155</v>
      </c>
      <c r="K11" s="88"/>
      <c r="L11" s="88"/>
      <c r="M11" s="89">
        <f t="shared" si="5"/>
        <v>52000</v>
      </c>
      <c r="N11" s="4">
        <f t="shared" si="6"/>
        <v>0</v>
      </c>
      <c r="O11" s="90">
        <f t="shared" si="7"/>
        <v>1529.4117647058824</v>
      </c>
      <c r="P11" s="90">
        <f t="shared" si="8"/>
        <v>0</v>
      </c>
      <c r="Q11" s="78">
        <v>3</v>
      </c>
      <c r="R11" s="78">
        <v>2</v>
      </c>
      <c r="S11" s="78" t="s">
        <v>59</v>
      </c>
      <c r="T11" s="5" t="s">
        <v>224</v>
      </c>
      <c r="U11" s="9"/>
      <c r="W11" s="85">
        <f t="shared" si="9"/>
        <v>111.9</v>
      </c>
      <c r="X11" s="86">
        <f t="shared" si="9"/>
        <v>34</v>
      </c>
      <c r="Y11" s="91">
        <f t="shared" si="10"/>
        <v>100</v>
      </c>
      <c r="Z11" s="89">
        <f t="shared" si="10"/>
        <v>52000</v>
      </c>
      <c r="AA11" s="89">
        <f t="shared" si="11"/>
        <v>0</v>
      </c>
      <c r="AB11" s="89">
        <f t="shared" si="12"/>
        <v>52000</v>
      </c>
      <c r="AC11" s="4">
        <f t="shared" si="12"/>
        <v>0</v>
      </c>
      <c r="AD11" s="90">
        <f t="shared" si="12"/>
        <v>1529.4117647058824</v>
      </c>
      <c r="AE11" s="78" t="str">
        <f t="shared" si="13"/>
        <v>계</v>
      </c>
      <c r="AF11" s="78" t="str">
        <f t="shared" si="14"/>
        <v>3/2</v>
      </c>
      <c r="AH11" s="20" t="str">
        <f t="shared" si="1"/>
        <v>전북혁신우미린1단지</v>
      </c>
      <c r="AI11" s="86">
        <f t="shared" si="0"/>
        <v>34</v>
      </c>
      <c r="AJ11" s="78" t="str">
        <f t="shared" si="15"/>
        <v>A-</v>
      </c>
      <c r="AK11" s="78" t="s">
        <v>13</v>
      </c>
      <c r="AL11" s="78" t="s">
        <v>61</v>
      </c>
      <c r="AM11" s="78" t="s">
        <v>62</v>
      </c>
      <c r="AN11" s="78" t="str">
        <f t="shared" si="16"/>
        <v>C</v>
      </c>
      <c r="AO11" s="78" t="str">
        <f t="shared" si="17"/>
        <v>X</v>
      </c>
      <c r="AP11" s="78" t="str">
        <f t="shared" si="18"/>
        <v>X</v>
      </c>
      <c r="AQ11" s="78" t="str">
        <f t="shared" si="19"/>
        <v>X</v>
      </c>
      <c r="AR11" s="78" t="str">
        <f t="shared" si="20"/>
        <v>X</v>
      </c>
      <c r="AS11" s="78" t="s">
        <v>2</v>
      </c>
      <c r="AT11" s="78" t="str">
        <f t="shared" si="21"/>
        <v>O</v>
      </c>
      <c r="AU11" s="78" t="str">
        <f t="shared" si="22"/>
        <v>O</v>
      </c>
      <c r="AV11" s="78" t="str">
        <f t="shared" si="23"/>
        <v>X</v>
      </c>
    </row>
    <row r="12" spans="1:48" x14ac:dyDescent="0.3">
      <c r="A12" s="9" t="s">
        <v>1381</v>
      </c>
      <c r="B12" s="10" t="s">
        <v>1619</v>
      </c>
      <c r="C12" s="87">
        <v>680</v>
      </c>
      <c r="D12" s="85">
        <v>111.1</v>
      </c>
      <c r="E12" s="86">
        <v>34</v>
      </c>
      <c r="F12" s="85">
        <v>85</v>
      </c>
      <c r="G12" s="17">
        <v>26</v>
      </c>
      <c r="H12" s="87">
        <v>98</v>
      </c>
      <c r="I12" s="88">
        <v>52000</v>
      </c>
      <c r="J12" s="88" t="s">
        <v>108</v>
      </c>
      <c r="K12" s="88">
        <v>40000</v>
      </c>
      <c r="L12" s="88" t="s">
        <v>179</v>
      </c>
      <c r="M12" s="89">
        <f t="shared" si="5"/>
        <v>12000</v>
      </c>
      <c r="N12" s="4">
        <f t="shared" si="6"/>
        <v>0.76923076923076927</v>
      </c>
      <c r="O12" s="90">
        <f t="shared" si="7"/>
        <v>1529.4117647058824</v>
      </c>
      <c r="P12" s="90">
        <f t="shared" si="8"/>
        <v>1176.4705882352941</v>
      </c>
      <c r="Q12" s="78">
        <v>3</v>
      </c>
      <c r="R12" s="78">
        <v>2</v>
      </c>
      <c r="S12" s="78" t="s">
        <v>59</v>
      </c>
      <c r="T12" s="5" t="s">
        <v>109</v>
      </c>
      <c r="U12" s="9"/>
      <c r="W12" s="85">
        <f t="shared" si="9"/>
        <v>111.1</v>
      </c>
      <c r="X12" s="86">
        <f t="shared" si="9"/>
        <v>34</v>
      </c>
      <c r="Y12" s="91">
        <f t="shared" si="10"/>
        <v>98</v>
      </c>
      <c r="Z12" s="89">
        <f t="shared" si="10"/>
        <v>52000</v>
      </c>
      <c r="AA12" s="89">
        <f t="shared" si="11"/>
        <v>40000</v>
      </c>
      <c r="AB12" s="89">
        <f t="shared" si="12"/>
        <v>12000</v>
      </c>
      <c r="AC12" s="4">
        <f t="shared" si="12"/>
        <v>0.76923076923076927</v>
      </c>
      <c r="AD12" s="90">
        <f t="shared" si="12"/>
        <v>1529.4117647058824</v>
      </c>
      <c r="AE12" s="78" t="str">
        <f t="shared" si="13"/>
        <v>계</v>
      </c>
      <c r="AF12" s="78" t="str">
        <f t="shared" si="14"/>
        <v>3/2</v>
      </c>
      <c r="AH12" s="20" t="str">
        <f t="shared" si="1"/>
        <v>전북혁신우미린1단지</v>
      </c>
      <c r="AI12" s="86">
        <f t="shared" si="0"/>
        <v>34</v>
      </c>
      <c r="AJ12" s="78" t="str">
        <f t="shared" si="15"/>
        <v>A-</v>
      </c>
      <c r="AK12" s="78" t="s">
        <v>13</v>
      </c>
      <c r="AL12" s="78" t="s">
        <v>61</v>
      </c>
      <c r="AM12" s="78" t="s">
        <v>62</v>
      </c>
      <c r="AN12" s="78" t="str">
        <f t="shared" si="16"/>
        <v>C</v>
      </c>
      <c r="AO12" s="78" t="str">
        <f t="shared" si="17"/>
        <v>X</v>
      </c>
      <c r="AP12" s="78" t="str">
        <f t="shared" si="18"/>
        <v>X</v>
      </c>
      <c r="AQ12" s="78" t="str">
        <f t="shared" si="19"/>
        <v>X</v>
      </c>
      <c r="AR12" s="78" t="str">
        <f t="shared" si="20"/>
        <v>X</v>
      </c>
      <c r="AS12" s="78" t="s">
        <v>2</v>
      </c>
      <c r="AT12" s="78" t="str">
        <f t="shared" si="21"/>
        <v>O</v>
      </c>
      <c r="AU12" s="78" t="str">
        <f t="shared" si="22"/>
        <v>O</v>
      </c>
      <c r="AV12" s="78" t="str">
        <f t="shared" si="23"/>
        <v>X</v>
      </c>
    </row>
    <row r="13" spans="1:48" x14ac:dyDescent="0.3">
      <c r="A13" s="9" t="s">
        <v>1381</v>
      </c>
      <c r="B13" s="10" t="s">
        <v>1619</v>
      </c>
      <c r="C13" s="87">
        <v>680</v>
      </c>
      <c r="D13" s="85">
        <v>111.3</v>
      </c>
      <c r="E13" s="86">
        <v>34</v>
      </c>
      <c r="F13" s="85">
        <v>85</v>
      </c>
      <c r="G13" s="17">
        <v>26</v>
      </c>
      <c r="H13" s="87">
        <v>98</v>
      </c>
      <c r="I13" s="88">
        <v>52000</v>
      </c>
      <c r="J13" s="88" t="s">
        <v>141</v>
      </c>
      <c r="K13" s="88">
        <v>40000</v>
      </c>
      <c r="L13" s="88" t="s">
        <v>182</v>
      </c>
      <c r="M13" s="89">
        <f t="shared" si="5"/>
        <v>12000</v>
      </c>
      <c r="N13" s="4">
        <f t="shared" si="6"/>
        <v>0.76923076923076927</v>
      </c>
      <c r="O13" s="90">
        <f t="shared" si="7"/>
        <v>1529.4117647058824</v>
      </c>
      <c r="P13" s="90">
        <f t="shared" si="8"/>
        <v>1176.4705882352941</v>
      </c>
      <c r="Q13" s="78">
        <v>3</v>
      </c>
      <c r="R13" s="78">
        <v>2</v>
      </c>
      <c r="S13" s="78" t="s">
        <v>59</v>
      </c>
      <c r="T13" s="5" t="s">
        <v>148</v>
      </c>
      <c r="U13" s="9"/>
      <c r="W13" s="85">
        <f t="shared" si="9"/>
        <v>111.3</v>
      </c>
      <c r="X13" s="86">
        <f t="shared" si="9"/>
        <v>34</v>
      </c>
      <c r="Y13" s="91">
        <f t="shared" si="10"/>
        <v>98</v>
      </c>
      <c r="Z13" s="89">
        <f t="shared" si="10"/>
        <v>52000</v>
      </c>
      <c r="AA13" s="89">
        <f t="shared" si="11"/>
        <v>40000</v>
      </c>
      <c r="AB13" s="89">
        <f t="shared" si="12"/>
        <v>12000</v>
      </c>
      <c r="AC13" s="4">
        <f t="shared" si="12"/>
        <v>0.76923076923076927</v>
      </c>
      <c r="AD13" s="90">
        <f t="shared" si="12"/>
        <v>1529.4117647058824</v>
      </c>
      <c r="AE13" s="78" t="str">
        <f t="shared" si="13"/>
        <v>계</v>
      </c>
      <c r="AF13" s="78" t="str">
        <f t="shared" si="14"/>
        <v>3/2</v>
      </c>
      <c r="AH13" s="20" t="str">
        <f t="shared" si="1"/>
        <v>전북혁신우미린1단지</v>
      </c>
      <c r="AI13" s="86">
        <f t="shared" si="0"/>
        <v>34</v>
      </c>
      <c r="AJ13" s="78" t="str">
        <f t="shared" si="15"/>
        <v>A-</v>
      </c>
      <c r="AK13" s="78" t="s">
        <v>13</v>
      </c>
      <c r="AL13" s="78" t="s">
        <v>61</v>
      </c>
      <c r="AM13" s="78" t="s">
        <v>62</v>
      </c>
      <c r="AN13" s="78" t="str">
        <f t="shared" si="16"/>
        <v>C</v>
      </c>
      <c r="AO13" s="78" t="str">
        <f t="shared" si="17"/>
        <v>X</v>
      </c>
      <c r="AP13" s="78" t="str">
        <f t="shared" si="18"/>
        <v>X</v>
      </c>
      <c r="AQ13" s="78" t="str">
        <f t="shared" si="19"/>
        <v>X</v>
      </c>
      <c r="AR13" s="78" t="str">
        <f t="shared" si="20"/>
        <v>X</v>
      </c>
      <c r="AS13" s="78" t="s">
        <v>2</v>
      </c>
      <c r="AT13" s="78" t="str">
        <f t="shared" si="21"/>
        <v>O</v>
      </c>
      <c r="AU13" s="78" t="str">
        <f t="shared" si="22"/>
        <v>O</v>
      </c>
      <c r="AV13" s="78" t="str">
        <f t="shared" si="23"/>
        <v>X</v>
      </c>
    </row>
    <row r="14" spans="1:48" x14ac:dyDescent="0.3">
      <c r="A14" s="9" t="s">
        <v>1381</v>
      </c>
      <c r="B14" s="10" t="s">
        <v>1619</v>
      </c>
      <c r="C14" s="87">
        <v>680</v>
      </c>
      <c r="D14" s="85">
        <v>111.4</v>
      </c>
      <c r="E14" s="86">
        <v>34</v>
      </c>
      <c r="F14" s="85">
        <v>85</v>
      </c>
      <c r="G14" s="17">
        <v>26</v>
      </c>
      <c r="H14" s="87">
        <v>96</v>
      </c>
      <c r="I14" s="88">
        <v>52000</v>
      </c>
      <c r="J14" s="88" t="s">
        <v>111</v>
      </c>
      <c r="K14" s="88">
        <v>38000</v>
      </c>
      <c r="L14" s="88" t="s">
        <v>137</v>
      </c>
      <c r="M14" s="89">
        <f t="shared" si="5"/>
        <v>14000</v>
      </c>
      <c r="N14" s="4">
        <f t="shared" si="6"/>
        <v>0.73076923076923073</v>
      </c>
      <c r="O14" s="90">
        <f t="shared" si="7"/>
        <v>1529.4117647058824</v>
      </c>
      <c r="P14" s="90">
        <f t="shared" si="8"/>
        <v>1117.6470588235295</v>
      </c>
      <c r="Q14" s="78">
        <v>3</v>
      </c>
      <c r="R14" s="78">
        <v>2</v>
      </c>
      <c r="S14" s="78" t="s">
        <v>59</v>
      </c>
      <c r="T14" s="5" t="s">
        <v>225</v>
      </c>
      <c r="U14" s="9"/>
      <c r="W14" s="85">
        <f t="shared" si="9"/>
        <v>111.4</v>
      </c>
      <c r="X14" s="86">
        <f t="shared" si="9"/>
        <v>34</v>
      </c>
      <c r="Y14" s="91">
        <f t="shared" si="10"/>
        <v>96</v>
      </c>
      <c r="Z14" s="89">
        <f t="shared" si="10"/>
        <v>52000</v>
      </c>
      <c r="AA14" s="89">
        <f t="shared" si="11"/>
        <v>38000</v>
      </c>
      <c r="AB14" s="89">
        <f t="shared" si="12"/>
        <v>14000</v>
      </c>
      <c r="AC14" s="4">
        <f t="shared" si="12"/>
        <v>0.73076923076923073</v>
      </c>
      <c r="AD14" s="90">
        <f t="shared" si="12"/>
        <v>1529.4117647058824</v>
      </c>
      <c r="AE14" s="78" t="str">
        <f t="shared" si="13"/>
        <v>계</v>
      </c>
      <c r="AF14" s="78" t="str">
        <f t="shared" si="14"/>
        <v>3/2</v>
      </c>
      <c r="AH14" s="20" t="str">
        <f t="shared" si="1"/>
        <v>전북혁신우미린1단지</v>
      </c>
      <c r="AI14" s="86">
        <f t="shared" si="0"/>
        <v>34</v>
      </c>
      <c r="AJ14" s="78" t="str">
        <f t="shared" si="15"/>
        <v>A-</v>
      </c>
      <c r="AK14" s="78" t="s">
        <v>13</v>
      </c>
      <c r="AL14" s="78" t="s">
        <v>61</v>
      </c>
      <c r="AM14" s="78" t="s">
        <v>62</v>
      </c>
      <c r="AN14" s="78" t="str">
        <f t="shared" si="16"/>
        <v>C</v>
      </c>
      <c r="AO14" s="78" t="str">
        <f t="shared" si="17"/>
        <v>X</v>
      </c>
      <c r="AP14" s="78" t="str">
        <f t="shared" si="18"/>
        <v>X</v>
      </c>
      <c r="AQ14" s="78" t="str">
        <f t="shared" si="19"/>
        <v>X</v>
      </c>
      <c r="AR14" s="78" t="str">
        <f t="shared" si="20"/>
        <v>X</v>
      </c>
      <c r="AS14" s="78" t="s">
        <v>2</v>
      </c>
      <c r="AT14" s="78" t="str">
        <f t="shared" si="21"/>
        <v>O</v>
      </c>
      <c r="AU14" s="78" t="str">
        <f t="shared" si="22"/>
        <v>O</v>
      </c>
      <c r="AV14" s="78" t="str">
        <f t="shared" si="23"/>
        <v>X</v>
      </c>
    </row>
    <row r="15" spans="1:48" x14ac:dyDescent="0.3">
      <c r="A15" s="9" t="s">
        <v>1381</v>
      </c>
      <c r="B15" s="10" t="s">
        <v>1619</v>
      </c>
      <c r="C15" s="87">
        <v>680</v>
      </c>
      <c r="D15" s="85">
        <v>112.3</v>
      </c>
      <c r="E15" s="86">
        <v>34</v>
      </c>
      <c r="F15" s="85">
        <v>85</v>
      </c>
      <c r="G15" s="17">
        <v>26</v>
      </c>
      <c r="H15" s="87">
        <v>100</v>
      </c>
      <c r="I15" s="88">
        <v>50500</v>
      </c>
      <c r="J15" s="88" t="s">
        <v>107</v>
      </c>
      <c r="K15" s="88">
        <v>40000</v>
      </c>
      <c r="L15" s="88" t="s">
        <v>127</v>
      </c>
      <c r="M15" s="89">
        <f t="shared" si="5"/>
        <v>10500</v>
      </c>
      <c r="N15" s="4">
        <f t="shared" si="6"/>
        <v>0.79207920792079212</v>
      </c>
      <c r="O15" s="90">
        <f t="shared" si="7"/>
        <v>1485.2941176470588</v>
      </c>
      <c r="P15" s="90">
        <f t="shared" si="8"/>
        <v>1176.4705882352941</v>
      </c>
      <c r="Q15" s="78">
        <v>3</v>
      </c>
      <c r="R15" s="78">
        <v>2</v>
      </c>
      <c r="S15" s="78" t="s">
        <v>59</v>
      </c>
      <c r="T15" s="5" t="s">
        <v>160</v>
      </c>
      <c r="U15" s="9"/>
      <c r="W15" s="85">
        <f t="shared" si="9"/>
        <v>112.3</v>
      </c>
      <c r="X15" s="86">
        <f t="shared" si="9"/>
        <v>34</v>
      </c>
      <c r="Y15" s="91">
        <f t="shared" si="10"/>
        <v>100</v>
      </c>
      <c r="Z15" s="89">
        <f t="shared" si="10"/>
        <v>50500</v>
      </c>
      <c r="AA15" s="89">
        <f t="shared" si="11"/>
        <v>40000</v>
      </c>
      <c r="AB15" s="89">
        <f t="shared" si="12"/>
        <v>10500</v>
      </c>
      <c r="AC15" s="4">
        <f t="shared" si="12"/>
        <v>0.79207920792079212</v>
      </c>
      <c r="AD15" s="90">
        <f t="shared" si="12"/>
        <v>1485.2941176470588</v>
      </c>
      <c r="AE15" s="78" t="str">
        <f t="shared" si="13"/>
        <v>계</v>
      </c>
      <c r="AF15" s="78" t="str">
        <f t="shared" si="14"/>
        <v>3/2</v>
      </c>
      <c r="AH15" s="20" t="str">
        <f t="shared" si="1"/>
        <v>전북혁신우미린1단지</v>
      </c>
      <c r="AI15" s="86">
        <f t="shared" si="0"/>
        <v>34</v>
      </c>
      <c r="AJ15" s="78" t="str">
        <f t="shared" si="15"/>
        <v>A-</v>
      </c>
      <c r="AK15" s="78" t="s">
        <v>13</v>
      </c>
      <c r="AL15" s="78" t="s">
        <v>61</v>
      </c>
      <c r="AM15" s="78" t="s">
        <v>62</v>
      </c>
      <c r="AN15" s="78" t="str">
        <f t="shared" si="16"/>
        <v>C</v>
      </c>
      <c r="AO15" s="78" t="str">
        <f t="shared" si="17"/>
        <v>X</v>
      </c>
      <c r="AP15" s="78" t="str">
        <f t="shared" si="18"/>
        <v>X</v>
      </c>
      <c r="AQ15" s="78" t="str">
        <f t="shared" si="19"/>
        <v>X</v>
      </c>
      <c r="AR15" s="78" t="str">
        <f t="shared" si="20"/>
        <v>X</v>
      </c>
      <c r="AS15" s="78" t="s">
        <v>2</v>
      </c>
      <c r="AT15" s="78" t="str">
        <f t="shared" si="21"/>
        <v>O</v>
      </c>
      <c r="AU15" s="78" t="str">
        <f t="shared" si="22"/>
        <v>O</v>
      </c>
      <c r="AV15" s="78" t="str">
        <f t="shared" si="23"/>
        <v>X</v>
      </c>
    </row>
    <row r="16" spans="1:48" x14ac:dyDescent="0.3">
      <c r="A16" s="9"/>
      <c r="B16" s="78"/>
      <c r="C16" s="6"/>
      <c r="D16" s="9"/>
      <c r="E16" s="14"/>
      <c r="F16" s="85"/>
      <c r="G16" s="9"/>
      <c r="H16" s="9"/>
      <c r="I16" s="9"/>
      <c r="J16" s="9"/>
      <c r="K16" s="9"/>
      <c r="L16" s="9"/>
      <c r="M16" s="9"/>
      <c r="N16" s="9"/>
      <c r="O16" s="90"/>
      <c r="P16" s="90"/>
      <c r="Q16" s="86"/>
      <c r="R16" s="86"/>
      <c r="S16" s="9"/>
      <c r="T16" s="47"/>
      <c r="U16" s="9"/>
      <c r="W16" s="67" t="str">
        <f>$A$4&amp;" "&amp;A17&amp;"("&amp;B17&amp;","&amp;C17&amp;"^)"</f>
        <v>중동 전북혁신호반건설더클래스2('14.10.,455^)</v>
      </c>
      <c r="X16" s="68"/>
      <c r="Y16" s="68"/>
      <c r="Z16" s="68"/>
      <c r="AA16" s="68"/>
      <c r="AB16" s="68"/>
      <c r="AC16" s="68"/>
      <c r="AD16" s="68"/>
      <c r="AE16" s="68"/>
      <c r="AF16" s="69"/>
      <c r="AH16" s="20" t="str">
        <f t="shared" si="1"/>
        <v/>
      </c>
      <c r="AI16" s="108" t="str">
        <f t="shared" si="0"/>
        <v/>
      </c>
      <c r="AJ16" s="78"/>
      <c r="AK16" s="78"/>
      <c r="AL16" s="78"/>
      <c r="AM16" s="78"/>
      <c r="AN16" s="78"/>
      <c r="AO16" s="78"/>
      <c r="AP16" s="78"/>
      <c r="AQ16" s="78"/>
      <c r="AR16" s="78"/>
      <c r="AS16" s="78"/>
      <c r="AT16" s="78"/>
      <c r="AU16" s="78"/>
      <c r="AV16" s="78"/>
    </row>
    <row r="17" spans="1:48" x14ac:dyDescent="0.3">
      <c r="A17" s="9" t="s">
        <v>1385</v>
      </c>
      <c r="B17" s="10" t="s">
        <v>1622</v>
      </c>
      <c r="C17" s="87">
        <v>455</v>
      </c>
      <c r="D17" s="85">
        <v>131.69999999999999</v>
      </c>
      <c r="E17" s="86">
        <v>40</v>
      </c>
      <c r="F17" s="85">
        <v>102</v>
      </c>
      <c r="G17" s="17">
        <v>31</v>
      </c>
      <c r="H17" s="87">
        <v>304</v>
      </c>
      <c r="I17" s="88">
        <v>75000</v>
      </c>
      <c r="J17" s="88" t="s">
        <v>93</v>
      </c>
      <c r="K17" s="88">
        <v>48000</v>
      </c>
      <c r="L17" s="88" t="s">
        <v>127</v>
      </c>
      <c r="M17" s="89">
        <f>I17-K17</f>
        <v>27000</v>
      </c>
      <c r="N17" s="4">
        <f>IF(ISERROR(K17/I17),"",K17/I17)</f>
        <v>0.64</v>
      </c>
      <c r="O17" s="90">
        <f>I17/E17</f>
        <v>1875</v>
      </c>
      <c r="P17" s="90">
        <f>K17/E17</f>
        <v>1200</v>
      </c>
      <c r="Q17" s="78">
        <v>3</v>
      </c>
      <c r="R17" s="78">
        <v>2</v>
      </c>
      <c r="S17" s="78" t="s">
        <v>59</v>
      </c>
      <c r="T17" s="5" t="s">
        <v>226</v>
      </c>
      <c r="U17" s="9"/>
      <c r="W17" s="85">
        <f t="shared" ref="W17:X19" si="24">D17</f>
        <v>131.69999999999999</v>
      </c>
      <c r="X17" s="86">
        <f t="shared" si="24"/>
        <v>40</v>
      </c>
      <c r="Y17" s="91">
        <f t="shared" ref="Y17:Z19" si="25">H17</f>
        <v>304</v>
      </c>
      <c r="Z17" s="89">
        <f t="shared" si="25"/>
        <v>75000</v>
      </c>
      <c r="AA17" s="89">
        <f>K17</f>
        <v>48000</v>
      </c>
      <c r="AB17" s="89">
        <f t="shared" ref="AB17:AD19" si="26">M17</f>
        <v>27000</v>
      </c>
      <c r="AC17" s="4">
        <f t="shared" si="26"/>
        <v>0.64</v>
      </c>
      <c r="AD17" s="90">
        <f t="shared" si="26"/>
        <v>1875</v>
      </c>
      <c r="AE17" s="78" t="str">
        <f>S17</f>
        <v>계</v>
      </c>
      <c r="AF17" s="78" t="str">
        <f>Q17&amp;"/"&amp;R17</f>
        <v>3/2</v>
      </c>
      <c r="AH17" s="20" t="str">
        <f t="shared" si="1"/>
        <v>전북혁신호반건설더클래스2</v>
      </c>
      <c r="AI17" s="86">
        <f t="shared" si="0"/>
        <v>40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>X</v>
      </c>
      <c r="AP17" s="78" t="str">
        <f>IF(I17="","",IF(I17&lt;=$AP$1,"O","X"))</f>
        <v>X</v>
      </c>
      <c r="AQ17" s="78" t="str">
        <f>IF(O17="","",IF(O17&lt;=$AQ$1,"O","X"))</f>
        <v>X</v>
      </c>
      <c r="AR17" s="78" t="str">
        <f>IF(M17="","",IF(M17&lt;=$AR$1,"O","X"))</f>
        <v>X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>X</v>
      </c>
    </row>
    <row r="18" spans="1:48" x14ac:dyDescent="0.3">
      <c r="A18" s="9" t="s">
        <v>1385</v>
      </c>
      <c r="B18" s="10" t="s">
        <v>1622</v>
      </c>
      <c r="C18" s="87">
        <v>455</v>
      </c>
      <c r="D18" s="85">
        <v>133.4</v>
      </c>
      <c r="E18" s="86">
        <v>40</v>
      </c>
      <c r="F18" s="85">
        <v>101.9</v>
      </c>
      <c r="G18" s="17">
        <v>31</v>
      </c>
      <c r="H18" s="87">
        <v>64</v>
      </c>
      <c r="I18" s="88">
        <v>72000</v>
      </c>
      <c r="J18" s="88" t="s">
        <v>87</v>
      </c>
      <c r="K18" s="88">
        <v>45000</v>
      </c>
      <c r="L18" s="88" t="s">
        <v>87</v>
      </c>
      <c r="M18" s="89">
        <f>I18-K18</f>
        <v>27000</v>
      </c>
      <c r="N18" s="4">
        <f>IF(ISERROR(K18/I18),"",K18/I18)</f>
        <v>0.625</v>
      </c>
      <c r="O18" s="90">
        <f>I18/E18</f>
        <v>1800</v>
      </c>
      <c r="P18" s="90">
        <f>K18/E18</f>
        <v>1125</v>
      </c>
      <c r="Q18" s="78">
        <v>3</v>
      </c>
      <c r="R18" s="78">
        <v>2</v>
      </c>
      <c r="S18" s="78" t="s">
        <v>59</v>
      </c>
      <c r="T18" s="5" t="s">
        <v>227</v>
      </c>
      <c r="U18" s="9"/>
      <c r="W18" s="85">
        <f t="shared" si="24"/>
        <v>133.4</v>
      </c>
      <c r="X18" s="86">
        <f t="shared" si="24"/>
        <v>40</v>
      </c>
      <c r="Y18" s="91">
        <f t="shared" si="25"/>
        <v>64</v>
      </c>
      <c r="Z18" s="89">
        <f t="shared" si="25"/>
        <v>72000</v>
      </c>
      <c r="AA18" s="89">
        <f>K18</f>
        <v>45000</v>
      </c>
      <c r="AB18" s="89">
        <f t="shared" si="26"/>
        <v>27000</v>
      </c>
      <c r="AC18" s="4">
        <f t="shared" si="26"/>
        <v>0.625</v>
      </c>
      <c r="AD18" s="90">
        <f t="shared" si="26"/>
        <v>1800</v>
      </c>
      <c r="AE18" s="78" t="str">
        <f>S18</f>
        <v>계</v>
      </c>
      <c r="AF18" s="78" t="str">
        <f>Q18&amp;"/"&amp;R18</f>
        <v>3/2</v>
      </c>
      <c r="AH18" s="20" t="str">
        <f t="shared" si="1"/>
        <v>전북혁신호반건설더클래스2</v>
      </c>
      <c r="AI18" s="86">
        <f t="shared" si="0"/>
        <v>40</v>
      </c>
      <c r="AJ18" s="78" t="str">
        <f>IF(AI18="","",$AJ$2)</f>
        <v>A-</v>
      </c>
      <c r="AK18" s="78" t="s">
        <v>13</v>
      </c>
      <c r="AL18" s="78" t="s">
        <v>61</v>
      </c>
      <c r="AM18" s="78" t="s">
        <v>62</v>
      </c>
      <c r="AN18" s="78" t="str">
        <f>IF(AI18="","",$AN$2)</f>
        <v>C</v>
      </c>
      <c r="AO18" s="78" t="str">
        <f>IF(N18="","",IF(N18&gt;=$AO$1/100,"O","X"))</f>
        <v>X</v>
      </c>
      <c r="AP18" s="78" t="str">
        <f>IF(I18="","",IF(I18&lt;=$AP$1,"O","X"))</f>
        <v>X</v>
      </c>
      <c r="AQ18" s="78" t="str">
        <f>IF(O18="","",IF(O18&lt;=$AQ$1,"O","X"))</f>
        <v>X</v>
      </c>
      <c r="AR18" s="78" t="str">
        <f>IF(M18="","",IF(M18&lt;=$AR$1,"O","X"))</f>
        <v>X</v>
      </c>
      <c r="AS18" s="78" t="s">
        <v>2</v>
      </c>
      <c r="AT18" s="78" t="str">
        <f>IF(OR(F18="",AI18=""),"",IF(AND((F18&lt;=85),(AI18&gt;=15)),"O","X"))</f>
        <v>X</v>
      </c>
      <c r="AU18" s="78" t="str">
        <f>IF(C18="","",IF(C18&gt;=$AU$1,"O","X"))</f>
        <v>O</v>
      </c>
      <c r="AV18" s="78" t="str">
        <f>IF(AO18="","",IF(AND(AO18="O",AP18="O",AR18="O",AT18="O",AU18="O"),"후보","X"))</f>
        <v>X</v>
      </c>
    </row>
    <row r="19" spans="1:48" x14ac:dyDescent="0.3">
      <c r="A19" s="9" t="s">
        <v>1385</v>
      </c>
      <c r="B19" s="10" t="s">
        <v>1622</v>
      </c>
      <c r="C19" s="87">
        <v>455</v>
      </c>
      <c r="D19" s="85">
        <v>146.6</v>
      </c>
      <c r="E19" s="86">
        <v>44</v>
      </c>
      <c r="F19" s="85">
        <v>118.2</v>
      </c>
      <c r="G19" s="17">
        <v>36</v>
      </c>
      <c r="H19" s="87">
        <v>87</v>
      </c>
      <c r="I19" s="88">
        <v>100000</v>
      </c>
      <c r="J19" s="88" t="s">
        <v>89</v>
      </c>
      <c r="K19" s="88"/>
      <c r="L19" s="88"/>
      <c r="M19" s="89">
        <f>I19-K19</f>
        <v>100000</v>
      </c>
      <c r="N19" s="4">
        <f>IF(ISERROR(K19/I19),"",K19/I19)</f>
        <v>0</v>
      </c>
      <c r="O19" s="90">
        <f>I19/E19</f>
        <v>2272.7272727272725</v>
      </c>
      <c r="P19" s="90">
        <f>K19/E19</f>
        <v>0</v>
      </c>
      <c r="Q19" s="78">
        <v>4</v>
      </c>
      <c r="R19" s="78">
        <v>2</v>
      </c>
      <c r="S19" s="78" t="s">
        <v>59</v>
      </c>
      <c r="T19" s="5">
        <v>146</v>
      </c>
      <c r="U19" s="9"/>
      <c r="W19" s="85">
        <f t="shared" si="24"/>
        <v>146.6</v>
      </c>
      <c r="X19" s="86">
        <f t="shared" si="24"/>
        <v>44</v>
      </c>
      <c r="Y19" s="91">
        <f t="shared" si="25"/>
        <v>87</v>
      </c>
      <c r="Z19" s="89">
        <f t="shared" si="25"/>
        <v>100000</v>
      </c>
      <c r="AA19" s="89">
        <f>K19</f>
        <v>0</v>
      </c>
      <c r="AB19" s="89">
        <f t="shared" si="26"/>
        <v>100000</v>
      </c>
      <c r="AC19" s="4">
        <f t="shared" si="26"/>
        <v>0</v>
      </c>
      <c r="AD19" s="90">
        <f t="shared" si="26"/>
        <v>2272.7272727272725</v>
      </c>
      <c r="AE19" s="78" t="str">
        <f>S19</f>
        <v>계</v>
      </c>
      <c r="AF19" s="78" t="str">
        <f>Q19&amp;"/"&amp;R19</f>
        <v>4/2</v>
      </c>
      <c r="AH19" s="20" t="str">
        <f t="shared" si="1"/>
        <v>전북혁신호반건설더클래스2</v>
      </c>
      <c r="AI19" s="86">
        <f t="shared" si="0"/>
        <v>44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>X</v>
      </c>
      <c r="AP19" s="78" t="str">
        <f>IF(I19="","",IF(I19&lt;=$AP$1,"O","X"))</f>
        <v>X</v>
      </c>
      <c r="AQ19" s="78" t="str">
        <f>IF(O19="","",IF(O19&lt;=$AQ$1,"O","X"))</f>
        <v>X</v>
      </c>
      <c r="AR19" s="78" t="str">
        <f>IF(M19="","",IF(M19&lt;=$AR$1,"O","X"))</f>
        <v>X</v>
      </c>
      <c r="AS19" s="78" t="s">
        <v>2</v>
      </c>
      <c r="AT19" s="78" t="str">
        <f>IF(OR(F19="",AI19=""),"",IF(AND((F19&lt;=85),(AI19&gt;=15)),"O","X"))</f>
        <v>X</v>
      </c>
      <c r="AU19" s="78" t="str">
        <f>IF(C19="","",IF(C19&gt;=$AU$1,"O","X"))</f>
        <v>O</v>
      </c>
      <c r="AV19" s="78" t="str">
        <f>IF(AO19="","",IF(AND(AO19="O",AP19="O",AR19="O",AT19="O",AU19="O"),"후보","X"))</f>
        <v>X</v>
      </c>
    </row>
  </sheetData>
  <mergeCells count="1">
    <mergeCell ref="AJ1:AN1"/>
  </mergeCells>
  <phoneticPr fontId="2" type="noConversion"/>
  <conditionalFormatting sqref="AV4:AV6">
    <cfRule type="expression" dxfId="1269" priority="239">
      <formula>AV4="X"</formula>
    </cfRule>
    <cfRule type="expression" dxfId="1268" priority="240">
      <formula>AV4="후보"</formula>
    </cfRule>
  </conditionalFormatting>
  <conditionalFormatting sqref="AC1:AC2 AC4:AC6 N4:N5">
    <cfRule type="cellIs" dxfId="1267" priority="236" operator="greaterThan">
      <formula>0.9</formula>
    </cfRule>
    <cfRule type="cellIs" dxfId="1266" priority="237" operator="greaterThan">
      <formula>0.85</formula>
    </cfRule>
  </conditionalFormatting>
  <conditionalFormatting sqref="N1:N2">
    <cfRule type="cellIs" dxfId="1265" priority="234" operator="greaterThan">
      <formula>0.9</formula>
    </cfRule>
    <cfRule type="cellIs" dxfId="1264" priority="235" operator="greaterThan">
      <formula>0.85</formula>
    </cfRule>
  </conditionalFormatting>
  <conditionalFormatting sqref="N6">
    <cfRule type="cellIs" dxfId="1263" priority="232" operator="greaterThan">
      <formula>0.9</formula>
    </cfRule>
    <cfRule type="cellIs" dxfId="1262" priority="233" operator="greaterThan">
      <formula>0.85</formula>
    </cfRule>
  </conditionalFormatting>
  <conditionalFormatting sqref="E6">
    <cfRule type="expression" dxfId="1261" priority="228">
      <formula>AND(IF(OR($Q6=1,$Q6=2),1,0),IF($X6&lt;=20,1,0))</formula>
    </cfRule>
    <cfRule type="expression" dxfId="1260" priority="229">
      <formula>AND(IF($Q6=2,1,0),IF($X6&lt;30,1,0))</formula>
    </cfRule>
    <cfRule type="expression" dxfId="1259" priority="230">
      <formula>AND(IF($Q6=3,1,0),IF($X6&lt;30,1,0))</formula>
    </cfRule>
    <cfRule type="expression" dxfId="1258" priority="231">
      <formula>AND(IF($Q6=3,1,IF($Q6=4,1,0)),IF($F6&lt;=85,1,0))</formula>
    </cfRule>
  </conditionalFormatting>
  <conditionalFormatting sqref="X6">
    <cfRule type="expression" dxfId="1257" priority="224">
      <formula>AND(IF(OR($Q6=1,$Q6=2),1,0),IF($X6&lt;=20,1,0))</formula>
    </cfRule>
    <cfRule type="expression" dxfId="1256" priority="225">
      <formula>AND(IF($Q6=2,1,0),IF($X6&lt;30,1,0))</formula>
    </cfRule>
    <cfRule type="expression" dxfId="1255" priority="226">
      <formula>AND(IF($Q6=3,1,0),IF($X6&lt;30,1,0))</formula>
    </cfRule>
    <cfRule type="expression" dxfId="1254" priority="227">
      <formula>AND(IF($Q6=3,1,IF($Q6=4,1,0)),IF($F6&lt;=85,1,0))</formula>
    </cfRule>
  </conditionalFormatting>
  <conditionalFormatting sqref="AI6">
    <cfRule type="expression" dxfId="1253" priority="220">
      <formula>AND(IF(OR($Q6=1,$Q6=2),1,0),IF($X6&lt;=20,1,0))</formula>
    </cfRule>
    <cfRule type="expression" dxfId="1252" priority="221">
      <formula>AND(IF($Q6=2,1,0),IF($X6&lt;30,1,0))</formula>
    </cfRule>
    <cfRule type="expression" dxfId="1251" priority="222">
      <formula>AND(IF($Q6=3,1,0),IF($X6&lt;30,1,0))</formula>
    </cfRule>
    <cfRule type="expression" dxfId="1250" priority="223">
      <formula>AND(IF($Q6=3,1,IF($Q6=4,1,0)),IF($F6&lt;=85,1,0))</formula>
    </cfRule>
  </conditionalFormatting>
  <conditionalFormatting sqref="AV7">
    <cfRule type="expression" dxfId="1249" priority="218">
      <formula>AV7="X"</formula>
    </cfRule>
    <cfRule type="expression" dxfId="1248" priority="219">
      <formula>AV7="후보"</formula>
    </cfRule>
  </conditionalFormatting>
  <conditionalFormatting sqref="AC7">
    <cfRule type="cellIs" dxfId="1247" priority="215" operator="greaterThan">
      <formula>0.9</formula>
    </cfRule>
    <cfRule type="cellIs" dxfId="1246" priority="216" operator="greaterThan">
      <formula>0.85</formula>
    </cfRule>
  </conditionalFormatting>
  <conditionalFormatting sqref="N7">
    <cfRule type="cellIs" dxfId="1245" priority="213" operator="greaterThan">
      <formula>0.9</formula>
    </cfRule>
    <cfRule type="cellIs" dxfId="1244" priority="214" operator="greaterThan">
      <formula>0.85</formula>
    </cfRule>
  </conditionalFormatting>
  <conditionalFormatting sqref="E7">
    <cfRule type="expression" dxfId="1243" priority="209">
      <formula>AND(IF(OR($Q7=1,$Q7=2),1,0),IF($X7&lt;=20,1,0))</formula>
    </cfRule>
    <cfRule type="expression" dxfId="1242" priority="210">
      <formula>AND(IF($Q7=2,1,0),IF($X7&lt;30,1,0))</formula>
    </cfRule>
    <cfRule type="expression" dxfId="1241" priority="211">
      <formula>AND(IF($Q7=3,1,0),IF($X7&lt;30,1,0))</formula>
    </cfRule>
    <cfRule type="expression" dxfId="1240" priority="212">
      <formula>AND(IF($Q7=3,1,IF($Q7=4,1,0)),IF($F7&lt;=85,1,0))</formula>
    </cfRule>
  </conditionalFormatting>
  <conditionalFormatting sqref="X7">
    <cfRule type="expression" dxfId="1239" priority="205">
      <formula>AND(IF(OR($Q7=1,$Q7=2),1,0),IF($X7&lt;=20,1,0))</formula>
    </cfRule>
    <cfRule type="expression" dxfId="1238" priority="206">
      <formula>AND(IF($Q7=2,1,0),IF($X7&lt;30,1,0))</formula>
    </cfRule>
    <cfRule type="expression" dxfId="1237" priority="207">
      <formula>AND(IF($Q7=3,1,0),IF($X7&lt;30,1,0))</formula>
    </cfRule>
    <cfRule type="expression" dxfId="1236" priority="208">
      <formula>AND(IF($Q7=3,1,IF($Q7=4,1,0)),IF($F7&lt;=85,1,0))</formula>
    </cfRule>
  </conditionalFormatting>
  <conditionalFormatting sqref="AI7">
    <cfRule type="expression" dxfId="1235" priority="201">
      <formula>AND(IF(OR($Q7=1,$Q7=2),1,0),IF($X7&lt;=20,1,0))</formula>
    </cfRule>
    <cfRule type="expression" dxfId="1234" priority="202">
      <formula>AND(IF($Q7=2,1,0),IF($X7&lt;30,1,0))</formula>
    </cfRule>
    <cfRule type="expression" dxfId="1233" priority="203">
      <formula>AND(IF($Q7=3,1,0),IF($X7&lt;30,1,0))</formula>
    </cfRule>
    <cfRule type="expression" dxfId="1232" priority="204">
      <formula>AND(IF($Q7=3,1,IF($Q7=4,1,0)),IF($F7&lt;=85,1,0))</formula>
    </cfRule>
  </conditionalFormatting>
  <conditionalFormatting sqref="AV8">
    <cfRule type="expression" dxfId="1231" priority="199">
      <formula>AV8="X"</formula>
    </cfRule>
    <cfRule type="expression" dxfId="1230" priority="200">
      <formula>AV8="후보"</formula>
    </cfRule>
  </conditionalFormatting>
  <conditionalFormatting sqref="AC8">
    <cfRule type="cellIs" dxfId="1229" priority="196" operator="greaterThan">
      <formula>0.9</formula>
    </cfRule>
    <cfRule type="cellIs" dxfId="1228" priority="197" operator="greaterThan">
      <formula>0.85</formula>
    </cfRule>
  </conditionalFormatting>
  <conditionalFormatting sqref="N8">
    <cfRule type="cellIs" dxfId="1227" priority="194" operator="greaterThan">
      <formula>0.9</formula>
    </cfRule>
    <cfRule type="cellIs" dxfId="1226" priority="195" operator="greaterThan">
      <formula>0.85</formula>
    </cfRule>
  </conditionalFormatting>
  <conditionalFormatting sqref="E8">
    <cfRule type="expression" dxfId="1225" priority="190">
      <formula>AND(IF(OR($Q8=1,$Q8=2),1,0),IF($X8&lt;=20,1,0))</formula>
    </cfRule>
    <cfRule type="expression" dxfId="1224" priority="191">
      <formula>AND(IF($Q8=2,1,0),IF($X8&lt;30,1,0))</formula>
    </cfRule>
    <cfRule type="expression" dxfId="1223" priority="192">
      <formula>AND(IF($Q8=3,1,0),IF($X8&lt;30,1,0))</formula>
    </cfRule>
    <cfRule type="expression" dxfId="1222" priority="193">
      <formula>AND(IF($Q8=3,1,IF($Q8=4,1,0)),IF($F8&lt;=85,1,0))</formula>
    </cfRule>
  </conditionalFormatting>
  <conditionalFormatting sqref="X8">
    <cfRule type="expression" dxfId="1221" priority="186">
      <formula>AND(IF(OR($Q8=1,$Q8=2),1,0),IF($X8&lt;=20,1,0))</formula>
    </cfRule>
    <cfRule type="expression" dxfId="1220" priority="187">
      <formula>AND(IF($Q8=2,1,0),IF($X8&lt;30,1,0))</formula>
    </cfRule>
    <cfRule type="expression" dxfId="1219" priority="188">
      <formula>AND(IF($Q8=3,1,0),IF($X8&lt;30,1,0))</formula>
    </cfRule>
    <cfRule type="expression" dxfId="1218" priority="189">
      <formula>AND(IF($Q8=3,1,IF($Q8=4,1,0)),IF($F8&lt;=85,1,0))</formula>
    </cfRule>
  </conditionalFormatting>
  <conditionalFormatting sqref="AI8">
    <cfRule type="expression" dxfId="1217" priority="182">
      <formula>AND(IF(OR($Q8=1,$Q8=2),1,0),IF($X8&lt;=20,1,0))</formula>
    </cfRule>
    <cfRule type="expression" dxfId="1216" priority="183">
      <formula>AND(IF($Q8=2,1,0),IF($X8&lt;30,1,0))</formula>
    </cfRule>
    <cfRule type="expression" dxfId="1215" priority="184">
      <formula>AND(IF($Q8=3,1,0),IF($X8&lt;30,1,0))</formula>
    </cfRule>
    <cfRule type="expression" dxfId="1214" priority="185">
      <formula>AND(IF($Q8=3,1,IF($Q8=4,1,0)),IF($F8&lt;=85,1,0))</formula>
    </cfRule>
  </conditionalFormatting>
  <conditionalFormatting sqref="AV9">
    <cfRule type="expression" dxfId="1213" priority="180">
      <formula>AV9="X"</formula>
    </cfRule>
    <cfRule type="expression" dxfId="1212" priority="181">
      <formula>AV9="후보"</formula>
    </cfRule>
  </conditionalFormatting>
  <conditionalFormatting sqref="AC9 N9">
    <cfRule type="cellIs" dxfId="1211" priority="177" operator="greaterThan">
      <formula>0.9</formula>
    </cfRule>
    <cfRule type="cellIs" dxfId="1210" priority="178" operator="greaterThan">
      <formula>0.85</formula>
    </cfRule>
  </conditionalFormatting>
  <conditionalFormatting sqref="AV10">
    <cfRule type="expression" dxfId="1209" priority="175">
      <formula>AV10="X"</formula>
    </cfRule>
    <cfRule type="expression" dxfId="1208" priority="176">
      <formula>AV10="후보"</formula>
    </cfRule>
  </conditionalFormatting>
  <conditionalFormatting sqref="AC10">
    <cfRule type="cellIs" dxfId="1207" priority="172" operator="greaterThan">
      <formula>0.9</formula>
    </cfRule>
    <cfRule type="cellIs" dxfId="1206" priority="173" operator="greaterThan">
      <formula>0.85</formula>
    </cfRule>
  </conditionalFormatting>
  <conditionalFormatting sqref="N10">
    <cfRule type="cellIs" dxfId="1205" priority="170" operator="greaterThan">
      <formula>0.9</formula>
    </cfRule>
    <cfRule type="cellIs" dxfId="1204" priority="171" operator="greaterThan">
      <formula>0.85</formula>
    </cfRule>
  </conditionalFormatting>
  <conditionalFormatting sqref="E10">
    <cfRule type="expression" dxfId="1203" priority="166">
      <formula>AND(IF(OR($Q10=1,$Q10=2),1,0),IF($X10&lt;=20,1,0))</formula>
    </cfRule>
    <cfRule type="expression" dxfId="1202" priority="167">
      <formula>AND(IF($Q10=2,1,0),IF($X10&lt;30,1,0))</formula>
    </cfRule>
    <cfRule type="expression" dxfId="1201" priority="168">
      <formula>AND(IF($Q10=3,1,0),IF($X10&lt;30,1,0))</formula>
    </cfRule>
    <cfRule type="expression" dxfId="1200" priority="169">
      <formula>AND(IF($Q10=3,1,IF($Q10=4,1,0)),IF($F10&lt;=85,1,0))</formula>
    </cfRule>
  </conditionalFormatting>
  <conditionalFormatting sqref="X10">
    <cfRule type="expression" dxfId="1199" priority="162">
      <formula>AND(IF(OR($Q10=1,$Q10=2),1,0),IF($X10&lt;=20,1,0))</formula>
    </cfRule>
    <cfRule type="expression" dxfId="1198" priority="163">
      <formula>AND(IF($Q10=2,1,0),IF($X10&lt;30,1,0))</formula>
    </cfRule>
    <cfRule type="expression" dxfId="1197" priority="164">
      <formula>AND(IF($Q10=3,1,0),IF($X10&lt;30,1,0))</formula>
    </cfRule>
    <cfRule type="expression" dxfId="1196" priority="165">
      <formula>AND(IF($Q10=3,1,IF($Q10=4,1,0)),IF($F10&lt;=85,1,0))</formula>
    </cfRule>
  </conditionalFormatting>
  <conditionalFormatting sqref="AI10">
    <cfRule type="expression" dxfId="1195" priority="158">
      <formula>AND(IF(OR($Q10=1,$Q10=2),1,0),IF($X10&lt;=20,1,0))</formula>
    </cfRule>
    <cfRule type="expression" dxfId="1194" priority="159">
      <formula>AND(IF($Q10=2,1,0),IF($X10&lt;30,1,0))</formula>
    </cfRule>
    <cfRule type="expression" dxfId="1193" priority="160">
      <formula>AND(IF($Q10=3,1,0),IF($X10&lt;30,1,0))</formula>
    </cfRule>
    <cfRule type="expression" dxfId="1192" priority="161">
      <formula>AND(IF($Q10=3,1,IF($Q10=4,1,0)),IF($F10&lt;=85,1,0))</formula>
    </cfRule>
  </conditionalFormatting>
  <conditionalFormatting sqref="AV11">
    <cfRule type="expression" dxfId="1191" priority="156">
      <formula>AV11="X"</formula>
    </cfRule>
    <cfRule type="expression" dxfId="1190" priority="157">
      <formula>AV11="후보"</formula>
    </cfRule>
  </conditionalFormatting>
  <conditionalFormatting sqref="AC11">
    <cfRule type="cellIs" dxfId="1189" priority="153" operator="greaterThan">
      <formula>0.9</formula>
    </cfRule>
    <cfRule type="cellIs" dxfId="1188" priority="154" operator="greaterThan">
      <formula>0.85</formula>
    </cfRule>
  </conditionalFormatting>
  <conditionalFormatting sqref="N11">
    <cfRule type="cellIs" dxfId="1187" priority="151" operator="greaterThan">
      <formula>0.9</formula>
    </cfRule>
    <cfRule type="cellIs" dxfId="1186" priority="152" operator="greaterThan">
      <formula>0.85</formula>
    </cfRule>
  </conditionalFormatting>
  <conditionalFormatting sqref="E11">
    <cfRule type="expression" dxfId="1185" priority="147">
      <formula>AND(IF(OR($Q11=1,$Q11=2),1,0),IF($X11&lt;=20,1,0))</formula>
    </cfRule>
    <cfRule type="expression" dxfId="1184" priority="148">
      <formula>AND(IF($Q11=2,1,0),IF($X11&lt;30,1,0))</formula>
    </cfRule>
    <cfRule type="expression" dxfId="1183" priority="149">
      <formula>AND(IF($Q11=3,1,0),IF($X11&lt;30,1,0))</formula>
    </cfRule>
    <cfRule type="expression" dxfId="1182" priority="150">
      <formula>AND(IF($Q11=3,1,IF($Q11=4,1,0)),IF($F11&lt;=85,1,0))</formula>
    </cfRule>
  </conditionalFormatting>
  <conditionalFormatting sqref="X11">
    <cfRule type="expression" dxfId="1181" priority="143">
      <formula>AND(IF(OR($Q11=1,$Q11=2),1,0),IF($X11&lt;=20,1,0))</formula>
    </cfRule>
    <cfRule type="expression" dxfId="1180" priority="144">
      <formula>AND(IF($Q11=2,1,0),IF($X11&lt;30,1,0))</formula>
    </cfRule>
    <cfRule type="expression" dxfId="1179" priority="145">
      <formula>AND(IF($Q11=3,1,0),IF($X11&lt;30,1,0))</formula>
    </cfRule>
    <cfRule type="expression" dxfId="1178" priority="146">
      <formula>AND(IF($Q11=3,1,IF($Q11=4,1,0)),IF($F11&lt;=85,1,0))</formula>
    </cfRule>
  </conditionalFormatting>
  <conditionalFormatting sqref="AI11">
    <cfRule type="expression" dxfId="1177" priority="139">
      <formula>AND(IF(OR($Q11=1,$Q11=2),1,0),IF($X11&lt;=20,1,0))</formula>
    </cfRule>
    <cfRule type="expression" dxfId="1176" priority="140">
      <formula>AND(IF($Q11=2,1,0),IF($X11&lt;30,1,0))</formula>
    </cfRule>
    <cfRule type="expression" dxfId="1175" priority="141">
      <formula>AND(IF($Q11=3,1,0),IF($X11&lt;30,1,0))</formula>
    </cfRule>
    <cfRule type="expression" dxfId="1174" priority="142">
      <formula>AND(IF($Q11=3,1,IF($Q11=4,1,0)),IF($F11&lt;=85,1,0))</formula>
    </cfRule>
  </conditionalFormatting>
  <conditionalFormatting sqref="AV12">
    <cfRule type="expression" dxfId="1173" priority="137">
      <formula>AV12="X"</formula>
    </cfRule>
    <cfRule type="expression" dxfId="1172" priority="138">
      <formula>AV12="후보"</formula>
    </cfRule>
  </conditionalFormatting>
  <conditionalFormatting sqref="AC12">
    <cfRule type="cellIs" dxfId="1171" priority="134" operator="greaterThan">
      <formula>0.9</formula>
    </cfRule>
    <cfRule type="cellIs" dxfId="1170" priority="135" operator="greaterThan">
      <formula>0.85</formula>
    </cfRule>
  </conditionalFormatting>
  <conditionalFormatting sqref="N12">
    <cfRule type="cellIs" dxfId="1169" priority="132" operator="greaterThan">
      <formula>0.9</formula>
    </cfRule>
    <cfRule type="cellIs" dxfId="1168" priority="133" operator="greaterThan">
      <formula>0.85</formula>
    </cfRule>
  </conditionalFormatting>
  <conditionalFormatting sqref="E12">
    <cfRule type="expression" dxfId="1167" priority="128">
      <formula>AND(IF(OR($Q12=1,$Q12=2),1,0),IF($X12&lt;=20,1,0))</formula>
    </cfRule>
    <cfRule type="expression" dxfId="1166" priority="129">
      <formula>AND(IF($Q12=2,1,0),IF($X12&lt;30,1,0))</formula>
    </cfRule>
    <cfRule type="expression" dxfId="1165" priority="130">
      <formula>AND(IF($Q12=3,1,0),IF($X12&lt;30,1,0))</formula>
    </cfRule>
    <cfRule type="expression" dxfId="1164" priority="131">
      <formula>AND(IF($Q12=3,1,IF($Q12=4,1,0)),IF($F12&lt;=85,1,0))</formula>
    </cfRule>
  </conditionalFormatting>
  <conditionalFormatting sqref="X12">
    <cfRule type="expression" dxfId="1163" priority="124">
      <formula>AND(IF(OR($Q12=1,$Q12=2),1,0),IF($X12&lt;=20,1,0))</formula>
    </cfRule>
    <cfRule type="expression" dxfId="1162" priority="125">
      <formula>AND(IF($Q12=2,1,0),IF($X12&lt;30,1,0))</formula>
    </cfRule>
    <cfRule type="expression" dxfId="1161" priority="126">
      <formula>AND(IF($Q12=3,1,0),IF($X12&lt;30,1,0))</formula>
    </cfRule>
    <cfRule type="expression" dxfId="1160" priority="127">
      <formula>AND(IF($Q12=3,1,IF($Q12=4,1,0)),IF($F12&lt;=85,1,0))</formula>
    </cfRule>
  </conditionalFormatting>
  <conditionalFormatting sqref="AI12">
    <cfRule type="expression" dxfId="1159" priority="120">
      <formula>AND(IF(OR($Q12=1,$Q12=2),1,0),IF($X12&lt;=20,1,0))</formula>
    </cfRule>
    <cfRule type="expression" dxfId="1158" priority="121">
      <formula>AND(IF($Q12=2,1,0),IF($X12&lt;30,1,0))</formula>
    </cfRule>
    <cfRule type="expression" dxfId="1157" priority="122">
      <formula>AND(IF($Q12=3,1,0),IF($X12&lt;30,1,0))</formula>
    </cfRule>
    <cfRule type="expression" dxfId="1156" priority="123">
      <formula>AND(IF($Q12=3,1,IF($Q12=4,1,0)),IF($F12&lt;=85,1,0))</formula>
    </cfRule>
  </conditionalFormatting>
  <conditionalFormatting sqref="AV13">
    <cfRule type="expression" dxfId="1155" priority="118">
      <formula>AV13="X"</formula>
    </cfRule>
    <cfRule type="expression" dxfId="1154" priority="119">
      <formula>AV13="후보"</formula>
    </cfRule>
  </conditionalFormatting>
  <conditionalFormatting sqref="AC13">
    <cfRule type="cellIs" dxfId="1153" priority="115" operator="greaterThan">
      <formula>0.9</formula>
    </cfRule>
    <cfRule type="cellIs" dxfId="1152" priority="116" operator="greaterThan">
      <formula>0.85</formula>
    </cfRule>
  </conditionalFormatting>
  <conditionalFormatting sqref="N13">
    <cfRule type="cellIs" dxfId="1151" priority="113" operator="greaterThan">
      <formula>0.9</formula>
    </cfRule>
    <cfRule type="cellIs" dxfId="1150" priority="114" operator="greaterThan">
      <formula>0.85</formula>
    </cfRule>
  </conditionalFormatting>
  <conditionalFormatting sqref="E13">
    <cfRule type="expression" dxfId="1149" priority="109">
      <formula>AND(IF(OR($Q13=1,$Q13=2),1,0),IF($X13&lt;=20,1,0))</formula>
    </cfRule>
    <cfRule type="expression" dxfId="1148" priority="110">
      <formula>AND(IF($Q13=2,1,0),IF($X13&lt;30,1,0))</formula>
    </cfRule>
    <cfRule type="expression" dxfId="1147" priority="111">
      <formula>AND(IF($Q13=3,1,0),IF($X13&lt;30,1,0))</formula>
    </cfRule>
    <cfRule type="expression" dxfId="1146" priority="112">
      <formula>AND(IF($Q13=3,1,IF($Q13=4,1,0)),IF($F13&lt;=85,1,0))</formula>
    </cfRule>
  </conditionalFormatting>
  <conditionalFormatting sqref="X13">
    <cfRule type="expression" dxfId="1145" priority="105">
      <formula>AND(IF(OR($Q13=1,$Q13=2),1,0),IF($X13&lt;=20,1,0))</formula>
    </cfRule>
    <cfRule type="expression" dxfId="1144" priority="106">
      <formula>AND(IF($Q13=2,1,0),IF($X13&lt;30,1,0))</formula>
    </cfRule>
    <cfRule type="expression" dxfId="1143" priority="107">
      <formula>AND(IF($Q13=3,1,0),IF($X13&lt;30,1,0))</formula>
    </cfRule>
    <cfRule type="expression" dxfId="1142" priority="108">
      <formula>AND(IF($Q13=3,1,IF($Q13=4,1,0)),IF($F13&lt;=85,1,0))</formula>
    </cfRule>
  </conditionalFormatting>
  <conditionalFormatting sqref="AI13">
    <cfRule type="expression" dxfId="1141" priority="101">
      <formula>AND(IF(OR($Q13=1,$Q13=2),1,0),IF($X13&lt;=20,1,0))</formula>
    </cfRule>
    <cfRule type="expression" dxfId="1140" priority="102">
      <formula>AND(IF($Q13=2,1,0),IF($X13&lt;30,1,0))</formula>
    </cfRule>
    <cfRule type="expression" dxfId="1139" priority="103">
      <formula>AND(IF($Q13=3,1,0),IF($X13&lt;30,1,0))</formula>
    </cfRule>
    <cfRule type="expression" dxfId="1138" priority="104">
      <formula>AND(IF($Q13=3,1,IF($Q13=4,1,0)),IF($F13&lt;=85,1,0))</formula>
    </cfRule>
  </conditionalFormatting>
  <conditionalFormatting sqref="AV14">
    <cfRule type="expression" dxfId="1137" priority="99">
      <formula>AV14="X"</formula>
    </cfRule>
    <cfRule type="expression" dxfId="1136" priority="100">
      <formula>AV14="후보"</formula>
    </cfRule>
  </conditionalFormatting>
  <conditionalFormatting sqref="AC14">
    <cfRule type="cellIs" dxfId="1135" priority="96" operator="greaterThan">
      <formula>0.9</formula>
    </cfRule>
    <cfRule type="cellIs" dxfId="1134" priority="97" operator="greaterThan">
      <formula>0.85</formula>
    </cfRule>
  </conditionalFormatting>
  <conditionalFormatting sqref="N14">
    <cfRule type="cellIs" dxfId="1133" priority="94" operator="greaterThan">
      <formula>0.9</formula>
    </cfRule>
    <cfRule type="cellIs" dxfId="1132" priority="95" operator="greaterThan">
      <formula>0.85</formula>
    </cfRule>
  </conditionalFormatting>
  <conditionalFormatting sqref="E14">
    <cfRule type="expression" dxfId="1131" priority="90">
      <formula>AND(IF(OR($Q14=1,$Q14=2),1,0),IF($X14&lt;=20,1,0))</formula>
    </cfRule>
    <cfRule type="expression" dxfId="1130" priority="91">
      <formula>AND(IF($Q14=2,1,0),IF($X14&lt;30,1,0))</formula>
    </cfRule>
    <cfRule type="expression" dxfId="1129" priority="92">
      <formula>AND(IF($Q14=3,1,0),IF($X14&lt;30,1,0))</formula>
    </cfRule>
    <cfRule type="expression" dxfId="1128" priority="93">
      <formula>AND(IF($Q14=3,1,IF($Q14=4,1,0)),IF($F14&lt;=85,1,0))</formula>
    </cfRule>
  </conditionalFormatting>
  <conditionalFormatting sqref="X14">
    <cfRule type="expression" dxfId="1127" priority="86">
      <formula>AND(IF(OR($Q14=1,$Q14=2),1,0),IF($X14&lt;=20,1,0))</formula>
    </cfRule>
    <cfRule type="expression" dxfId="1126" priority="87">
      <formula>AND(IF($Q14=2,1,0),IF($X14&lt;30,1,0))</formula>
    </cfRule>
    <cfRule type="expression" dxfId="1125" priority="88">
      <formula>AND(IF($Q14=3,1,0),IF($X14&lt;30,1,0))</formula>
    </cfRule>
    <cfRule type="expression" dxfId="1124" priority="89">
      <formula>AND(IF($Q14=3,1,IF($Q14=4,1,0)),IF($F14&lt;=85,1,0))</formula>
    </cfRule>
  </conditionalFormatting>
  <conditionalFormatting sqref="AI14">
    <cfRule type="expression" dxfId="1123" priority="82">
      <formula>AND(IF(OR($Q14=1,$Q14=2),1,0),IF($X14&lt;=20,1,0))</formula>
    </cfRule>
    <cfRule type="expression" dxfId="1122" priority="83">
      <formula>AND(IF($Q14=2,1,0),IF($X14&lt;30,1,0))</formula>
    </cfRule>
    <cfRule type="expression" dxfId="1121" priority="84">
      <formula>AND(IF($Q14=3,1,0),IF($X14&lt;30,1,0))</formula>
    </cfRule>
    <cfRule type="expression" dxfId="1120" priority="85">
      <formula>AND(IF($Q14=3,1,IF($Q14=4,1,0)),IF($F14&lt;=85,1,0))</formula>
    </cfRule>
  </conditionalFormatting>
  <conditionalFormatting sqref="AV15">
    <cfRule type="expression" dxfId="1119" priority="80">
      <formula>AV15="X"</formula>
    </cfRule>
    <cfRule type="expression" dxfId="1118" priority="81">
      <formula>AV15="후보"</formula>
    </cfRule>
  </conditionalFormatting>
  <conditionalFormatting sqref="AC15">
    <cfRule type="cellIs" dxfId="1117" priority="77" operator="greaterThan">
      <formula>0.9</formula>
    </cfRule>
    <cfRule type="cellIs" dxfId="1116" priority="78" operator="greaterThan">
      <formula>0.85</formula>
    </cfRule>
  </conditionalFormatting>
  <conditionalFormatting sqref="N15">
    <cfRule type="cellIs" dxfId="1115" priority="75" operator="greaterThan">
      <formula>0.9</formula>
    </cfRule>
    <cfRule type="cellIs" dxfId="1114" priority="76" operator="greaterThan">
      <formula>0.85</formula>
    </cfRule>
  </conditionalFormatting>
  <conditionalFormatting sqref="E15">
    <cfRule type="expression" dxfId="1113" priority="71">
      <formula>AND(IF(OR($Q15=1,$Q15=2),1,0),IF($X15&lt;=20,1,0))</formula>
    </cfRule>
    <cfRule type="expression" dxfId="1112" priority="72">
      <formula>AND(IF($Q15=2,1,0),IF($X15&lt;30,1,0))</formula>
    </cfRule>
    <cfRule type="expression" dxfId="1111" priority="73">
      <formula>AND(IF($Q15=3,1,0),IF($X15&lt;30,1,0))</formula>
    </cfRule>
    <cfRule type="expression" dxfId="1110" priority="74">
      <formula>AND(IF($Q15=3,1,IF($Q15=4,1,0)),IF($F15&lt;=85,1,0))</formula>
    </cfRule>
  </conditionalFormatting>
  <conditionalFormatting sqref="X15">
    <cfRule type="expression" dxfId="1109" priority="67">
      <formula>AND(IF(OR($Q15=1,$Q15=2),1,0),IF($X15&lt;=20,1,0))</formula>
    </cfRule>
    <cfRule type="expression" dxfId="1108" priority="68">
      <formula>AND(IF($Q15=2,1,0),IF($X15&lt;30,1,0))</formula>
    </cfRule>
    <cfRule type="expression" dxfId="1107" priority="69">
      <formula>AND(IF($Q15=3,1,0),IF($X15&lt;30,1,0))</formula>
    </cfRule>
    <cfRule type="expression" dxfId="1106" priority="70">
      <formula>AND(IF($Q15=3,1,IF($Q15=4,1,0)),IF($F15&lt;=85,1,0))</formula>
    </cfRule>
  </conditionalFormatting>
  <conditionalFormatting sqref="AI15">
    <cfRule type="expression" dxfId="1105" priority="63">
      <formula>AND(IF(OR($Q15=1,$Q15=2),1,0),IF($X15&lt;=20,1,0))</formula>
    </cfRule>
    <cfRule type="expression" dxfId="1104" priority="64">
      <formula>AND(IF($Q15=2,1,0),IF($X15&lt;30,1,0))</formula>
    </cfRule>
    <cfRule type="expression" dxfId="1103" priority="65">
      <formula>AND(IF($Q15=3,1,0),IF($X15&lt;30,1,0))</formula>
    </cfRule>
    <cfRule type="expression" dxfId="1102" priority="66">
      <formula>AND(IF($Q15=3,1,IF($Q15=4,1,0)),IF($F15&lt;=85,1,0))</formula>
    </cfRule>
  </conditionalFormatting>
  <conditionalFormatting sqref="AV16">
    <cfRule type="expression" dxfId="1101" priority="61">
      <formula>AV16="X"</formula>
    </cfRule>
    <cfRule type="expression" dxfId="1100" priority="62">
      <formula>AV16="후보"</formula>
    </cfRule>
  </conditionalFormatting>
  <conditionalFormatting sqref="AC16 N16">
    <cfRule type="cellIs" dxfId="1099" priority="58" operator="greaterThan">
      <formula>0.9</formula>
    </cfRule>
    <cfRule type="cellIs" dxfId="1098" priority="59" operator="greaterThan">
      <formula>0.85</formula>
    </cfRule>
  </conditionalFormatting>
  <conditionalFormatting sqref="AV17">
    <cfRule type="expression" dxfId="1097" priority="56">
      <formula>AV17="X"</formula>
    </cfRule>
    <cfRule type="expression" dxfId="1096" priority="57">
      <formula>AV17="후보"</formula>
    </cfRule>
  </conditionalFormatting>
  <conditionalFormatting sqref="AC17">
    <cfRule type="cellIs" dxfId="1095" priority="53" operator="greaterThan">
      <formula>0.9</formula>
    </cfRule>
    <cfRule type="cellIs" dxfId="1094" priority="54" operator="greaterThan">
      <formula>0.85</formula>
    </cfRule>
  </conditionalFormatting>
  <conditionalFormatting sqref="N17">
    <cfRule type="cellIs" dxfId="1093" priority="51" operator="greaterThan">
      <formula>0.9</formula>
    </cfRule>
    <cfRule type="cellIs" dxfId="1092" priority="52" operator="greaterThan">
      <formula>0.85</formula>
    </cfRule>
  </conditionalFormatting>
  <conditionalFormatting sqref="E17">
    <cfRule type="expression" dxfId="1091" priority="47">
      <formula>AND(IF(OR($Q17=1,$Q17=2),1,0),IF($X17&lt;=20,1,0))</formula>
    </cfRule>
    <cfRule type="expression" dxfId="1090" priority="48">
      <formula>AND(IF($Q17=2,1,0),IF($X17&lt;30,1,0))</formula>
    </cfRule>
    <cfRule type="expression" dxfId="1089" priority="49">
      <formula>AND(IF($Q17=3,1,0),IF($X17&lt;30,1,0))</formula>
    </cfRule>
    <cfRule type="expression" dxfId="1088" priority="50">
      <formula>AND(IF($Q17=3,1,IF($Q17=4,1,0)),IF($F17&lt;=85,1,0))</formula>
    </cfRule>
  </conditionalFormatting>
  <conditionalFormatting sqref="X17">
    <cfRule type="expression" dxfId="1087" priority="43">
      <formula>AND(IF(OR($Q17=1,$Q17=2),1,0),IF($X17&lt;=20,1,0))</formula>
    </cfRule>
    <cfRule type="expression" dxfId="1086" priority="44">
      <formula>AND(IF($Q17=2,1,0),IF($X17&lt;30,1,0))</formula>
    </cfRule>
    <cfRule type="expression" dxfId="1085" priority="45">
      <formula>AND(IF($Q17=3,1,0),IF($X17&lt;30,1,0))</formula>
    </cfRule>
    <cfRule type="expression" dxfId="1084" priority="46">
      <formula>AND(IF($Q17=3,1,IF($Q17=4,1,0)),IF($F17&lt;=85,1,0))</formula>
    </cfRule>
  </conditionalFormatting>
  <conditionalFormatting sqref="AI17">
    <cfRule type="expression" dxfId="1083" priority="39">
      <formula>AND(IF(OR($Q17=1,$Q17=2),1,0),IF($X17&lt;=20,1,0))</formula>
    </cfRule>
    <cfRule type="expression" dxfId="1082" priority="40">
      <formula>AND(IF($Q17=2,1,0),IF($X17&lt;30,1,0))</formula>
    </cfRule>
    <cfRule type="expression" dxfId="1081" priority="41">
      <formula>AND(IF($Q17=3,1,0),IF($X17&lt;30,1,0))</formula>
    </cfRule>
    <cfRule type="expression" dxfId="1080" priority="42">
      <formula>AND(IF($Q17=3,1,IF($Q17=4,1,0)),IF($F17&lt;=85,1,0))</formula>
    </cfRule>
  </conditionalFormatting>
  <conditionalFormatting sqref="AV18">
    <cfRule type="expression" dxfId="1079" priority="37">
      <formula>AV18="X"</formula>
    </cfRule>
    <cfRule type="expression" dxfId="1078" priority="38">
      <formula>AV18="후보"</formula>
    </cfRule>
  </conditionalFormatting>
  <conditionalFormatting sqref="AC18">
    <cfRule type="cellIs" dxfId="1077" priority="34" operator="greaterThan">
      <formula>0.9</formula>
    </cfRule>
    <cfRule type="cellIs" dxfId="1076" priority="35" operator="greaterThan">
      <formula>0.85</formula>
    </cfRule>
  </conditionalFormatting>
  <conditionalFormatting sqref="N18">
    <cfRule type="cellIs" dxfId="1075" priority="32" operator="greaterThan">
      <formula>0.9</formula>
    </cfRule>
    <cfRule type="cellIs" dxfId="1074" priority="33" operator="greaterThan">
      <formula>0.85</formula>
    </cfRule>
  </conditionalFormatting>
  <conditionalFormatting sqref="E18">
    <cfRule type="expression" dxfId="1073" priority="28">
      <formula>AND(IF(OR($Q18=1,$Q18=2),1,0),IF($X18&lt;=20,1,0))</formula>
    </cfRule>
    <cfRule type="expression" dxfId="1072" priority="29">
      <formula>AND(IF($Q18=2,1,0),IF($X18&lt;30,1,0))</formula>
    </cfRule>
    <cfRule type="expression" dxfId="1071" priority="30">
      <formula>AND(IF($Q18=3,1,0),IF($X18&lt;30,1,0))</formula>
    </cfRule>
    <cfRule type="expression" dxfId="1070" priority="31">
      <formula>AND(IF($Q18=3,1,IF($Q18=4,1,0)),IF($F18&lt;=85,1,0))</formula>
    </cfRule>
  </conditionalFormatting>
  <conditionalFormatting sqref="X18">
    <cfRule type="expression" dxfId="1069" priority="24">
      <formula>AND(IF(OR($Q18=1,$Q18=2),1,0),IF($X18&lt;=20,1,0))</formula>
    </cfRule>
    <cfRule type="expression" dxfId="1068" priority="25">
      <formula>AND(IF($Q18=2,1,0),IF($X18&lt;30,1,0))</formula>
    </cfRule>
    <cfRule type="expression" dxfId="1067" priority="26">
      <formula>AND(IF($Q18=3,1,0),IF($X18&lt;30,1,0))</formula>
    </cfRule>
    <cfRule type="expression" dxfId="1066" priority="27">
      <formula>AND(IF($Q18=3,1,IF($Q18=4,1,0)),IF($F18&lt;=85,1,0))</formula>
    </cfRule>
  </conditionalFormatting>
  <conditionalFormatting sqref="AI18">
    <cfRule type="expression" dxfId="1065" priority="20">
      <formula>AND(IF(OR($Q18=1,$Q18=2),1,0),IF($X18&lt;=20,1,0))</formula>
    </cfRule>
    <cfRule type="expression" dxfId="1064" priority="21">
      <formula>AND(IF($Q18=2,1,0),IF($X18&lt;30,1,0))</formula>
    </cfRule>
    <cfRule type="expression" dxfId="1063" priority="22">
      <formula>AND(IF($Q18=3,1,0),IF($X18&lt;30,1,0))</formula>
    </cfRule>
    <cfRule type="expression" dxfId="1062" priority="23">
      <formula>AND(IF($Q18=3,1,IF($Q18=4,1,0)),IF($F18&lt;=85,1,0))</formula>
    </cfRule>
  </conditionalFormatting>
  <conditionalFormatting sqref="AV19">
    <cfRule type="expression" dxfId="1061" priority="18">
      <formula>AV19="X"</formula>
    </cfRule>
    <cfRule type="expression" dxfId="1060" priority="19">
      <formula>AV19="후보"</formula>
    </cfRule>
  </conditionalFormatting>
  <conditionalFormatting sqref="AC19">
    <cfRule type="cellIs" dxfId="1059" priority="15" operator="greaterThan">
      <formula>0.9</formula>
    </cfRule>
    <cfRule type="cellIs" dxfId="1058" priority="16" operator="greaterThan">
      <formula>0.85</formula>
    </cfRule>
  </conditionalFormatting>
  <conditionalFormatting sqref="N19">
    <cfRule type="cellIs" dxfId="1057" priority="13" operator="greaterThan">
      <formula>0.9</formula>
    </cfRule>
    <cfRule type="cellIs" dxfId="1056" priority="14" operator="greaterThan">
      <formula>0.85</formula>
    </cfRule>
  </conditionalFormatting>
  <conditionalFormatting sqref="E19">
    <cfRule type="expression" dxfId="1055" priority="9">
      <formula>AND(IF(OR($Q19=1,$Q19=2),1,0),IF($X19&lt;=20,1,0))</formula>
    </cfRule>
    <cfRule type="expression" dxfId="1054" priority="10">
      <formula>AND(IF($Q19=2,1,0),IF($X19&lt;30,1,0))</formula>
    </cfRule>
    <cfRule type="expression" dxfId="1053" priority="11">
      <formula>AND(IF($Q19=3,1,0),IF($X19&lt;30,1,0))</formula>
    </cfRule>
    <cfRule type="expression" dxfId="1052" priority="12">
      <formula>AND(IF($Q19=3,1,IF($Q19=4,1,0)),IF($F19&lt;=85,1,0))</formula>
    </cfRule>
  </conditionalFormatting>
  <conditionalFormatting sqref="X19">
    <cfRule type="expression" dxfId="1051" priority="5">
      <formula>AND(IF(OR($Q19=1,$Q19=2),1,0),IF($X19&lt;=20,1,0))</formula>
    </cfRule>
    <cfRule type="expression" dxfId="1050" priority="6">
      <formula>AND(IF($Q19=2,1,0),IF($X19&lt;30,1,0))</formula>
    </cfRule>
    <cfRule type="expression" dxfId="1049" priority="7">
      <formula>AND(IF($Q19=3,1,0),IF($X19&lt;30,1,0))</formula>
    </cfRule>
    <cfRule type="expression" dxfId="1048" priority="8">
      <formula>AND(IF($Q19=3,1,IF($Q19=4,1,0)),IF($F19&lt;=85,1,0))</formula>
    </cfRule>
  </conditionalFormatting>
  <conditionalFormatting sqref="AI19">
    <cfRule type="expression" dxfId="1047" priority="1">
      <formula>AND(IF(OR($Q19=1,$Q19=2),1,0),IF($X19&lt;=20,1,0))</formula>
    </cfRule>
    <cfRule type="expression" dxfId="1046" priority="2">
      <formula>AND(IF($Q19=2,1,0),IF($X19&lt;30,1,0))</formula>
    </cfRule>
    <cfRule type="expression" dxfId="1045" priority="3">
      <formula>AND(IF($Q19=3,1,0),IF($X19&lt;30,1,0))</formula>
    </cfRule>
    <cfRule type="expression" dxfId="1044" priority="4">
      <formula>AND(IF($Q19=3,1,IF($Q19=4,1,0)),IF($F19&lt;=85,1,0))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진북동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1395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진북동 동국해성('95.10.,643^)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8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1402</v>
      </c>
      <c r="B6" s="10" t="s">
        <v>1623</v>
      </c>
      <c r="C6" s="87">
        <v>643</v>
      </c>
      <c r="D6" s="85">
        <v>80.099999999999994</v>
      </c>
      <c r="E6" s="86">
        <v>24</v>
      </c>
      <c r="F6" s="85">
        <v>59.5</v>
      </c>
      <c r="G6" s="17">
        <v>18</v>
      </c>
      <c r="H6" s="87">
        <v>264</v>
      </c>
      <c r="I6" s="88">
        <v>11500</v>
      </c>
      <c r="J6" s="88" t="s">
        <v>72</v>
      </c>
      <c r="K6" s="88"/>
      <c r="L6" s="88"/>
      <c r="M6" s="89">
        <f t="shared" ref="M6:M11" si="2">I6-K6</f>
        <v>11500</v>
      </c>
      <c r="N6" s="4">
        <f t="shared" ref="N6:N11" si="3">IF(ISERROR(K6/I6),"",K6/I6)</f>
        <v>0</v>
      </c>
      <c r="O6" s="90">
        <f t="shared" ref="O6:O11" si="4">I6/E6</f>
        <v>479.16666666666669</v>
      </c>
      <c r="P6" s="90">
        <f t="shared" ref="P6:P11" si="5">K6/E6</f>
        <v>0</v>
      </c>
      <c r="Q6" s="78">
        <v>2</v>
      </c>
      <c r="R6" s="78">
        <v>1</v>
      </c>
      <c r="S6" s="78" t="s">
        <v>65</v>
      </c>
      <c r="T6" s="5" t="s">
        <v>81</v>
      </c>
      <c r="U6" s="9"/>
      <c r="W6" s="85">
        <f t="shared" ref="W6:X11" si="6">D6</f>
        <v>80.099999999999994</v>
      </c>
      <c r="X6" s="86">
        <f t="shared" si="6"/>
        <v>24</v>
      </c>
      <c r="Y6" s="91">
        <f t="shared" ref="Y6:Z11" si="7">H6</f>
        <v>264</v>
      </c>
      <c r="Z6" s="89">
        <f t="shared" si="7"/>
        <v>11500</v>
      </c>
      <c r="AA6" s="89">
        <f t="shared" ref="AA6:AA11" si="8">K6</f>
        <v>0</v>
      </c>
      <c r="AB6" s="89">
        <f t="shared" ref="AB6:AD11" si="9">M6</f>
        <v>11500</v>
      </c>
      <c r="AC6" s="4">
        <f t="shared" si="9"/>
        <v>0</v>
      </c>
      <c r="AD6" s="90">
        <f t="shared" si="9"/>
        <v>479.16666666666669</v>
      </c>
      <c r="AE6" s="78" t="str">
        <f t="shared" ref="AE6:AE11" si="10">S6</f>
        <v>복</v>
      </c>
      <c r="AF6" s="78" t="str">
        <f t="shared" ref="AF6:AF11" si="11">Q6&amp;"/"&amp;R6</f>
        <v>2/1</v>
      </c>
      <c r="AH6" s="20" t="str">
        <f t="shared" si="1"/>
        <v>동국해성</v>
      </c>
      <c r="AI6" s="86">
        <f t="shared" si="0"/>
        <v>24</v>
      </c>
      <c r="AJ6" s="78" t="str">
        <f t="shared" ref="AJ6:AJ11" si="12">IF(AI6="","",$AJ$2)</f>
        <v>A-</v>
      </c>
      <c r="AK6" s="78" t="s">
        <v>13</v>
      </c>
      <c r="AL6" s="78" t="s">
        <v>61</v>
      </c>
      <c r="AM6" s="78" t="s">
        <v>62</v>
      </c>
      <c r="AN6" s="78" t="str">
        <f t="shared" ref="AN6:AN11" si="13">IF(AI6="","",$AN$2)</f>
        <v>C</v>
      </c>
      <c r="AO6" s="78" t="str">
        <f t="shared" ref="AO6:AO11" si="14">IF(N6="","",IF(N6&gt;=$AO$1/100,"O","X"))</f>
        <v>X</v>
      </c>
      <c r="AP6" s="78" t="str">
        <f t="shared" ref="AP6:AP11" si="15">IF(I6="","",IF(I6&lt;=$AP$1,"O","X"))</f>
        <v>O</v>
      </c>
      <c r="AQ6" s="78" t="str">
        <f t="shared" ref="AQ6:AQ11" si="16">IF(O6="","",IF(O6&lt;=$AQ$1,"O","X"))</f>
        <v>O</v>
      </c>
      <c r="AR6" s="78" t="str">
        <f t="shared" ref="AR6:AR11" si="17">IF(M6="","",IF(M6&lt;=$AR$1,"O","X"))</f>
        <v>X</v>
      </c>
      <c r="AS6" s="78" t="s">
        <v>2</v>
      </c>
      <c r="AT6" s="78" t="str">
        <f t="shared" ref="AT6:AT11" si="18">IF(OR(F6="",AI6=""),"",IF(AND((F6&lt;=85),(AI6&gt;=15)),"O","X"))</f>
        <v>O</v>
      </c>
      <c r="AU6" s="78" t="str">
        <f t="shared" ref="AU6:AU11" si="19">IF(C6="","",IF(C6&gt;=$AU$1,"O","X"))</f>
        <v>O</v>
      </c>
      <c r="AV6" s="78" t="str">
        <f t="shared" ref="AV6:AV11" si="20">IF(AO6="","",IF(AND(AO6="O",AP6="O",AR6="O",AT6="O",AU6="O"),"후보","X"))</f>
        <v>X</v>
      </c>
    </row>
    <row r="7" spans="1:48" x14ac:dyDescent="0.3">
      <c r="A7" s="9" t="s">
        <v>1402</v>
      </c>
      <c r="B7" s="10" t="s">
        <v>1623</v>
      </c>
      <c r="C7" s="87">
        <v>643</v>
      </c>
      <c r="D7" s="85">
        <v>80.3</v>
      </c>
      <c r="E7" s="86">
        <v>24</v>
      </c>
      <c r="F7" s="85">
        <v>59.9</v>
      </c>
      <c r="G7" s="17">
        <v>18</v>
      </c>
      <c r="H7" s="87">
        <v>7</v>
      </c>
      <c r="I7" s="88"/>
      <c r="J7" s="88"/>
      <c r="K7" s="88"/>
      <c r="L7" s="88"/>
      <c r="M7" s="89">
        <f t="shared" si="2"/>
        <v>0</v>
      </c>
      <c r="N7" s="4" t="str">
        <f t="shared" si="3"/>
        <v/>
      </c>
      <c r="O7" s="90">
        <f t="shared" si="4"/>
        <v>0</v>
      </c>
      <c r="P7" s="90">
        <f t="shared" si="5"/>
        <v>0</v>
      </c>
      <c r="Q7" s="78">
        <v>3</v>
      </c>
      <c r="R7" s="78">
        <v>1</v>
      </c>
      <c r="S7" s="78" t="s">
        <v>65</v>
      </c>
      <c r="T7" s="5" t="s">
        <v>85</v>
      </c>
      <c r="U7" s="9"/>
      <c r="W7" s="85">
        <f t="shared" si="6"/>
        <v>80.3</v>
      </c>
      <c r="X7" s="86">
        <f t="shared" si="6"/>
        <v>24</v>
      </c>
      <c r="Y7" s="91">
        <f t="shared" si="7"/>
        <v>7</v>
      </c>
      <c r="Z7" s="89">
        <f t="shared" si="7"/>
        <v>0</v>
      </c>
      <c r="AA7" s="89">
        <f t="shared" si="8"/>
        <v>0</v>
      </c>
      <c r="AB7" s="89">
        <f t="shared" si="9"/>
        <v>0</v>
      </c>
      <c r="AC7" s="4" t="str">
        <f t="shared" si="9"/>
        <v/>
      </c>
      <c r="AD7" s="90">
        <f t="shared" si="9"/>
        <v>0</v>
      </c>
      <c r="AE7" s="78" t="str">
        <f t="shared" si="10"/>
        <v>복</v>
      </c>
      <c r="AF7" s="78" t="str">
        <f t="shared" si="11"/>
        <v>3/1</v>
      </c>
      <c r="AH7" s="20" t="str">
        <f t="shared" si="1"/>
        <v>동국해성</v>
      </c>
      <c r="AI7" s="86">
        <f t="shared" si="0"/>
        <v>24</v>
      </c>
      <c r="AJ7" s="78" t="str">
        <f t="shared" si="12"/>
        <v>A-</v>
      </c>
      <c r="AK7" s="78" t="s">
        <v>13</v>
      </c>
      <c r="AL7" s="78" t="s">
        <v>61</v>
      </c>
      <c r="AM7" s="78" t="s">
        <v>62</v>
      </c>
      <c r="AN7" s="78" t="str">
        <f t="shared" si="13"/>
        <v>C</v>
      </c>
      <c r="AO7" s="78" t="str">
        <f t="shared" si="14"/>
        <v/>
      </c>
      <c r="AP7" s="78" t="str">
        <f t="shared" si="15"/>
        <v/>
      </c>
      <c r="AQ7" s="78" t="str">
        <f t="shared" si="16"/>
        <v>O</v>
      </c>
      <c r="AR7" s="78" t="str">
        <f t="shared" si="17"/>
        <v>O</v>
      </c>
      <c r="AS7" s="78" t="s">
        <v>2</v>
      </c>
      <c r="AT7" s="78" t="str">
        <f t="shared" si="18"/>
        <v>O</v>
      </c>
      <c r="AU7" s="78" t="str">
        <f t="shared" si="19"/>
        <v>O</v>
      </c>
      <c r="AV7" s="78" t="str">
        <f t="shared" si="20"/>
        <v/>
      </c>
    </row>
    <row r="8" spans="1:48" x14ac:dyDescent="0.3">
      <c r="A8" s="9" t="s">
        <v>1402</v>
      </c>
      <c r="B8" s="10" t="s">
        <v>1623</v>
      </c>
      <c r="C8" s="87">
        <v>643</v>
      </c>
      <c r="D8" s="85">
        <v>86.2</v>
      </c>
      <c r="E8" s="86">
        <v>26</v>
      </c>
      <c r="F8" s="85">
        <v>64.3</v>
      </c>
      <c r="G8" s="17">
        <v>19</v>
      </c>
      <c r="H8" s="87">
        <v>12</v>
      </c>
      <c r="I8" s="88"/>
      <c r="J8" s="88"/>
      <c r="K8" s="88"/>
      <c r="L8" s="88"/>
      <c r="M8" s="89">
        <f t="shared" si="2"/>
        <v>0</v>
      </c>
      <c r="N8" s="4" t="str">
        <f t="shared" si="3"/>
        <v/>
      </c>
      <c r="O8" s="90">
        <f t="shared" si="4"/>
        <v>0</v>
      </c>
      <c r="P8" s="90">
        <f t="shared" si="5"/>
        <v>0</v>
      </c>
      <c r="Q8" s="78">
        <v>2</v>
      </c>
      <c r="R8" s="78">
        <v>1</v>
      </c>
      <c r="S8" s="78" t="s">
        <v>59</v>
      </c>
      <c r="T8" s="5">
        <v>86</v>
      </c>
      <c r="U8" s="9"/>
      <c r="W8" s="85">
        <f t="shared" si="6"/>
        <v>86.2</v>
      </c>
      <c r="X8" s="86">
        <f t="shared" si="6"/>
        <v>26</v>
      </c>
      <c r="Y8" s="91">
        <f t="shared" si="7"/>
        <v>12</v>
      </c>
      <c r="Z8" s="89">
        <f t="shared" si="7"/>
        <v>0</v>
      </c>
      <c r="AA8" s="89">
        <f t="shared" si="8"/>
        <v>0</v>
      </c>
      <c r="AB8" s="89">
        <f t="shared" si="9"/>
        <v>0</v>
      </c>
      <c r="AC8" s="4" t="str">
        <f t="shared" si="9"/>
        <v/>
      </c>
      <c r="AD8" s="90">
        <f t="shared" si="9"/>
        <v>0</v>
      </c>
      <c r="AE8" s="78" t="str">
        <f t="shared" si="10"/>
        <v>계</v>
      </c>
      <c r="AF8" s="78" t="str">
        <f t="shared" si="11"/>
        <v>2/1</v>
      </c>
      <c r="AH8" s="20" t="str">
        <f t="shared" si="1"/>
        <v>동국해성</v>
      </c>
      <c r="AI8" s="86">
        <f t="shared" si="0"/>
        <v>26</v>
      </c>
      <c r="AJ8" s="78" t="str">
        <f t="shared" si="12"/>
        <v>A-</v>
      </c>
      <c r="AK8" s="78" t="s">
        <v>13</v>
      </c>
      <c r="AL8" s="78" t="s">
        <v>61</v>
      </c>
      <c r="AM8" s="78" t="s">
        <v>62</v>
      </c>
      <c r="AN8" s="78" t="str">
        <f t="shared" si="13"/>
        <v>C</v>
      </c>
      <c r="AO8" s="78" t="str">
        <f t="shared" si="14"/>
        <v/>
      </c>
      <c r="AP8" s="78" t="str">
        <f t="shared" si="15"/>
        <v/>
      </c>
      <c r="AQ8" s="78" t="str">
        <f t="shared" si="16"/>
        <v>O</v>
      </c>
      <c r="AR8" s="78" t="str">
        <f t="shared" si="17"/>
        <v>O</v>
      </c>
      <c r="AS8" s="78" t="s">
        <v>2</v>
      </c>
      <c r="AT8" s="78" t="str">
        <f t="shared" si="18"/>
        <v>O</v>
      </c>
      <c r="AU8" s="78" t="str">
        <f t="shared" si="19"/>
        <v>O</v>
      </c>
      <c r="AV8" s="78" t="str">
        <f t="shared" si="20"/>
        <v/>
      </c>
    </row>
    <row r="9" spans="1:48" x14ac:dyDescent="0.3">
      <c r="A9" s="9" t="s">
        <v>1402</v>
      </c>
      <c r="B9" s="10" t="s">
        <v>1623</v>
      </c>
      <c r="C9" s="87">
        <v>643</v>
      </c>
      <c r="D9" s="85">
        <v>104.4</v>
      </c>
      <c r="E9" s="86">
        <v>32</v>
      </c>
      <c r="F9" s="85">
        <v>85</v>
      </c>
      <c r="G9" s="17">
        <v>26</v>
      </c>
      <c r="H9" s="87">
        <v>264</v>
      </c>
      <c r="I9" s="88"/>
      <c r="J9" s="88"/>
      <c r="K9" s="88"/>
      <c r="L9" s="88"/>
      <c r="M9" s="89">
        <f t="shared" si="2"/>
        <v>0</v>
      </c>
      <c r="N9" s="4" t="str">
        <f t="shared" si="3"/>
        <v/>
      </c>
      <c r="O9" s="90">
        <f t="shared" si="4"/>
        <v>0</v>
      </c>
      <c r="P9" s="90">
        <f t="shared" si="5"/>
        <v>0</v>
      </c>
      <c r="Q9" s="78">
        <v>3</v>
      </c>
      <c r="R9" s="78">
        <v>2</v>
      </c>
      <c r="S9" s="78" t="s">
        <v>59</v>
      </c>
      <c r="T9" s="5">
        <v>104</v>
      </c>
      <c r="U9" s="9"/>
      <c r="W9" s="85">
        <f t="shared" si="6"/>
        <v>104.4</v>
      </c>
      <c r="X9" s="86">
        <f t="shared" si="6"/>
        <v>32</v>
      </c>
      <c r="Y9" s="91">
        <f t="shared" si="7"/>
        <v>264</v>
      </c>
      <c r="Z9" s="89">
        <f t="shared" si="7"/>
        <v>0</v>
      </c>
      <c r="AA9" s="89">
        <f t="shared" si="8"/>
        <v>0</v>
      </c>
      <c r="AB9" s="89">
        <f t="shared" si="9"/>
        <v>0</v>
      </c>
      <c r="AC9" s="4" t="str">
        <f t="shared" si="9"/>
        <v/>
      </c>
      <c r="AD9" s="90">
        <f t="shared" si="9"/>
        <v>0</v>
      </c>
      <c r="AE9" s="78" t="str">
        <f t="shared" si="10"/>
        <v>계</v>
      </c>
      <c r="AF9" s="78" t="str">
        <f t="shared" si="11"/>
        <v>3/2</v>
      </c>
      <c r="AH9" s="20" t="str">
        <f t="shared" si="1"/>
        <v>동국해성</v>
      </c>
      <c r="AI9" s="86">
        <f t="shared" si="0"/>
        <v>32</v>
      </c>
      <c r="AJ9" s="78" t="str">
        <f t="shared" si="12"/>
        <v>A-</v>
      </c>
      <c r="AK9" s="78" t="s">
        <v>13</v>
      </c>
      <c r="AL9" s="78" t="s">
        <v>61</v>
      </c>
      <c r="AM9" s="78" t="s">
        <v>62</v>
      </c>
      <c r="AN9" s="78" t="str">
        <f t="shared" si="13"/>
        <v>C</v>
      </c>
      <c r="AO9" s="78" t="str">
        <f t="shared" si="14"/>
        <v/>
      </c>
      <c r="AP9" s="78" t="str">
        <f t="shared" si="15"/>
        <v/>
      </c>
      <c r="AQ9" s="78" t="str">
        <f t="shared" si="16"/>
        <v>O</v>
      </c>
      <c r="AR9" s="78" t="str">
        <f t="shared" si="17"/>
        <v>O</v>
      </c>
      <c r="AS9" s="78" t="s">
        <v>2</v>
      </c>
      <c r="AT9" s="78" t="str">
        <f t="shared" si="18"/>
        <v>O</v>
      </c>
      <c r="AU9" s="78" t="str">
        <f t="shared" si="19"/>
        <v>O</v>
      </c>
      <c r="AV9" s="78" t="str">
        <f t="shared" si="20"/>
        <v/>
      </c>
    </row>
    <row r="10" spans="1:48" x14ac:dyDescent="0.3">
      <c r="A10" s="9" t="s">
        <v>1402</v>
      </c>
      <c r="B10" s="10" t="s">
        <v>1623</v>
      </c>
      <c r="C10" s="87">
        <v>643</v>
      </c>
      <c r="D10" s="85">
        <v>123.8</v>
      </c>
      <c r="E10" s="86">
        <v>37</v>
      </c>
      <c r="F10" s="85">
        <v>101.9</v>
      </c>
      <c r="G10" s="17">
        <v>31</v>
      </c>
      <c r="H10" s="87">
        <v>36</v>
      </c>
      <c r="I10" s="88"/>
      <c r="J10" s="88"/>
      <c r="K10" s="88"/>
      <c r="L10" s="88"/>
      <c r="M10" s="89">
        <f t="shared" si="2"/>
        <v>0</v>
      </c>
      <c r="N10" s="4" t="str">
        <f t="shared" si="3"/>
        <v/>
      </c>
      <c r="O10" s="90">
        <f t="shared" si="4"/>
        <v>0</v>
      </c>
      <c r="P10" s="90">
        <f t="shared" si="5"/>
        <v>0</v>
      </c>
      <c r="Q10" s="78">
        <v>4</v>
      </c>
      <c r="R10" s="78">
        <v>2</v>
      </c>
      <c r="S10" s="78" t="s">
        <v>59</v>
      </c>
      <c r="T10" s="5">
        <v>123</v>
      </c>
      <c r="U10" s="9"/>
      <c r="W10" s="85">
        <f t="shared" si="6"/>
        <v>123.8</v>
      </c>
      <c r="X10" s="86">
        <f t="shared" si="6"/>
        <v>37</v>
      </c>
      <c r="Y10" s="91">
        <f t="shared" si="7"/>
        <v>36</v>
      </c>
      <c r="Z10" s="89">
        <f t="shared" si="7"/>
        <v>0</v>
      </c>
      <c r="AA10" s="89">
        <f t="shared" si="8"/>
        <v>0</v>
      </c>
      <c r="AB10" s="89">
        <f t="shared" si="9"/>
        <v>0</v>
      </c>
      <c r="AC10" s="4" t="str">
        <f t="shared" si="9"/>
        <v/>
      </c>
      <c r="AD10" s="90">
        <f t="shared" si="9"/>
        <v>0</v>
      </c>
      <c r="AE10" s="78" t="str">
        <f t="shared" si="10"/>
        <v>계</v>
      </c>
      <c r="AF10" s="78" t="str">
        <f t="shared" si="11"/>
        <v>4/2</v>
      </c>
      <c r="AH10" s="20" t="str">
        <f t="shared" si="1"/>
        <v>동국해성</v>
      </c>
      <c r="AI10" s="86">
        <f t="shared" si="0"/>
        <v>37</v>
      </c>
      <c r="AJ10" s="78" t="str">
        <f t="shared" si="12"/>
        <v>A-</v>
      </c>
      <c r="AK10" s="78" t="s">
        <v>13</v>
      </c>
      <c r="AL10" s="78" t="s">
        <v>61</v>
      </c>
      <c r="AM10" s="78" t="s">
        <v>62</v>
      </c>
      <c r="AN10" s="78" t="str">
        <f t="shared" si="13"/>
        <v>C</v>
      </c>
      <c r="AO10" s="78" t="str">
        <f t="shared" si="14"/>
        <v/>
      </c>
      <c r="AP10" s="78" t="str">
        <f t="shared" si="15"/>
        <v/>
      </c>
      <c r="AQ10" s="78" t="str">
        <f t="shared" si="16"/>
        <v>O</v>
      </c>
      <c r="AR10" s="78" t="str">
        <f t="shared" si="17"/>
        <v>O</v>
      </c>
      <c r="AS10" s="78" t="s">
        <v>2</v>
      </c>
      <c r="AT10" s="78" t="str">
        <f t="shared" si="18"/>
        <v>X</v>
      </c>
      <c r="AU10" s="78" t="str">
        <f t="shared" si="19"/>
        <v>O</v>
      </c>
      <c r="AV10" s="78" t="str">
        <f t="shared" si="20"/>
        <v/>
      </c>
    </row>
    <row r="11" spans="1:48" x14ac:dyDescent="0.3">
      <c r="A11" s="9" t="s">
        <v>1402</v>
      </c>
      <c r="B11" s="10" t="s">
        <v>1623</v>
      </c>
      <c r="C11" s="87">
        <v>643</v>
      </c>
      <c r="D11" s="85">
        <v>158.80000000000001</v>
      </c>
      <c r="E11" s="86">
        <v>48</v>
      </c>
      <c r="F11" s="85">
        <v>134.9</v>
      </c>
      <c r="G11" s="17">
        <v>41</v>
      </c>
      <c r="H11" s="87">
        <v>60</v>
      </c>
      <c r="I11" s="88">
        <v>27000</v>
      </c>
      <c r="J11" s="88" t="s">
        <v>69</v>
      </c>
      <c r="K11" s="88"/>
      <c r="L11" s="88"/>
      <c r="M11" s="89">
        <f t="shared" si="2"/>
        <v>27000</v>
      </c>
      <c r="N11" s="4">
        <f t="shared" si="3"/>
        <v>0</v>
      </c>
      <c r="O11" s="90">
        <f t="shared" si="4"/>
        <v>562.5</v>
      </c>
      <c r="P11" s="90">
        <f t="shared" si="5"/>
        <v>0</v>
      </c>
      <c r="Q11" s="78">
        <v>4</v>
      </c>
      <c r="R11" s="78">
        <v>2</v>
      </c>
      <c r="S11" s="78" t="s">
        <v>59</v>
      </c>
      <c r="T11" s="5">
        <v>158</v>
      </c>
      <c r="U11" s="9"/>
      <c r="W11" s="85">
        <f t="shared" si="6"/>
        <v>158.80000000000001</v>
      </c>
      <c r="X11" s="86">
        <f t="shared" si="6"/>
        <v>48</v>
      </c>
      <c r="Y11" s="91">
        <f t="shared" si="7"/>
        <v>60</v>
      </c>
      <c r="Z11" s="89">
        <f t="shared" si="7"/>
        <v>27000</v>
      </c>
      <c r="AA11" s="89">
        <f t="shared" si="8"/>
        <v>0</v>
      </c>
      <c r="AB11" s="89">
        <f t="shared" si="9"/>
        <v>27000</v>
      </c>
      <c r="AC11" s="4">
        <f t="shared" si="9"/>
        <v>0</v>
      </c>
      <c r="AD11" s="90">
        <f t="shared" si="9"/>
        <v>562.5</v>
      </c>
      <c r="AE11" s="78" t="str">
        <f t="shared" si="10"/>
        <v>계</v>
      </c>
      <c r="AF11" s="78" t="str">
        <f t="shared" si="11"/>
        <v>4/2</v>
      </c>
      <c r="AH11" s="20" t="str">
        <f t="shared" si="1"/>
        <v>동국해성</v>
      </c>
      <c r="AI11" s="86">
        <f t="shared" si="0"/>
        <v>48</v>
      </c>
      <c r="AJ11" s="78" t="str">
        <f t="shared" si="12"/>
        <v>A-</v>
      </c>
      <c r="AK11" s="78" t="s">
        <v>13</v>
      </c>
      <c r="AL11" s="78" t="s">
        <v>61</v>
      </c>
      <c r="AM11" s="78" t="s">
        <v>62</v>
      </c>
      <c r="AN11" s="78" t="str">
        <f t="shared" si="13"/>
        <v>C</v>
      </c>
      <c r="AO11" s="78" t="str">
        <f t="shared" si="14"/>
        <v>X</v>
      </c>
      <c r="AP11" s="78" t="str">
        <f t="shared" si="15"/>
        <v>O</v>
      </c>
      <c r="AQ11" s="78" t="str">
        <f t="shared" si="16"/>
        <v>O</v>
      </c>
      <c r="AR11" s="78" t="str">
        <f t="shared" si="17"/>
        <v>X</v>
      </c>
      <c r="AS11" s="78" t="s">
        <v>2</v>
      </c>
      <c r="AT11" s="78" t="str">
        <f t="shared" si="18"/>
        <v>X</v>
      </c>
      <c r="AU11" s="78" t="str">
        <f t="shared" si="19"/>
        <v>O</v>
      </c>
      <c r="AV11" s="78" t="str">
        <f t="shared" si="20"/>
        <v>X</v>
      </c>
    </row>
    <row r="12" spans="1:48" x14ac:dyDescent="0.3">
      <c r="A12" s="9"/>
      <c r="B12" s="78"/>
      <c r="C12" s="6"/>
      <c r="D12" s="9"/>
      <c r="E12" s="14"/>
      <c r="F12" s="85"/>
      <c r="G12" s="9"/>
      <c r="H12" s="9"/>
      <c r="I12" s="9"/>
      <c r="J12" s="9"/>
      <c r="K12" s="9"/>
      <c r="L12" s="9"/>
      <c r="M12" s="9"/>
      <c r="N12" s="9"/>
      <c r="O12" s="90"/>
      <c r="P12" s="90"/>
      <c r="Q12" s="86"/>
      <c r="R12" s="86"/>
      <c r="S12" s="9"/>
      <c r="T12" s="47"/>
      <c r="U12" s="9"/>
      <c r="W12" s="67" t="str">
        <f>$A$4&amp;" "&amp;A13&amp;"("&amp;B13&amp;","&amp;C13&amp;"^)"</f>
        <v>진북동 우성('95.10.,2102^)</v>
      </c>
      <c r="X12" s="68"/>
      <c r="Y12" s="68"/>
      <c r="Z12" s="68"/>
      <c r="AA12" s="68"/>
      <c r="AB12" s="68"/>
      <c r="AC12" s="68"/>
      <c r="AD12" s="68"/>
      <c r="AE12" s="68"/>
      <c r="AF12" s="69"/>
      <c r="AH12" s="20" t="str">
        <f t="shared" si="1"/>
        <v/>
      </c>
      <c r="AI12" s="108" t="str">
        <f t="shared" si="0"/>
        <v/>
      </c>
      <c r="AJ12" s="78"/>
      <c r="AK12" s="78"/>
      <c r="AL12" s="78"/>
      <c r="AM12" s="78"/>
      <c r="AN12" s="78"/>
      <c r="AO12" s="78"/>
      <c r="AP12" s="78"/>
      <c r="AQ12" s="78"/>
      <c r="AR12" s="78"/>
      <c r="AS12" s="78"/>
      <c r="AT12" s="78"/>
      <c r="AU12" s="78"/>
      <c r="AV12" s="78"/>
    </row>
    <row r="13" spans="1:48" x14ac:dyDescent="0.3">
      <c r="A13" s="9" t="s">
        <v>1069</v>
      </c>
      <c r="B13" s="10" t="s">
        <v>1623</v>
      </c>
      <c r="C13" s="87">
        <v>2102</v>
      </c>
      <c r="D13" s="85">
        <v>79.2</v>
      </c>
      <c r="E13" s="86">
        <v>24</v>
      </c>
      <c r="F13" s="85">
        <v>59.8</v>
      </c>
      <c r="G13" s="17">
        <v>18</v>
      </c>
      <c r="H13" s="87">
        <v>884</v>
      </c>
      <c r="I13" s="88">
        <v>10700</v>
      </c>
      <c r="J13" s="88" t="s">
        <v>127</v>
      </c>
      <c r="K13" s="88">
        <v>10500</v>
      </c>
      <c r="L13" s="88" t="s">
        <v>87</v>
      </c>
      <c r="M13" s="89">
        <f t="shared" ref="M13:M18" si="21">I13-K13</f>
        <v>200</v>
      </c>
      <c r="N13" s="4">
        <f t="shared" ref="N13:N18" si="22">IF(ISERROR(K13/I13),"",K13/I13)</f>
        <v>0.98130841121495327</v>
      </c>
      <c r="O13" s="90">
        <f t="shared" ref="O13:O18" si="23">I13/E13</f>
        <v>445.83333333333331</v>
      </c>
      <c r="P13" s="90">
        <f t="shared" ref="P13:P18" si="24">K13/E13</f>
        <v>437.5</v>
      </c>
      <c r="Q13" s="78">
        <v>3</v>
      </c>
      <c r="R13" s="78">
        <v>1</v>
      </c>
      <c r="S13" s="78" t="s">
        <v>65</v>
      </c>
      <c r="T13" s="5">
        <v>79</v>
      </c>
      <c r="U13" s="9"/>
      <c r="W13" s="85">
        <f t="shared" ref="W13:X18" si="25">D13</f>
        <v>79.2</v>
      </c>
      <c r="X13" s="86">
        <f t="shared" si="25"/>
        <v>24</v>
      </c>
      <c r="Y13" s="91">
        <f t="shared" ref="Y13:Z18" si="26">H13</f>
        <v>884</v>
      </c>
      <c r="Z13" s="89">
        <f t="shared" si="26"/>
        <v>10700</v>
      </c>
      <c r="AA13" s="89">
        <f t="shared" ref="AA13:AA18" si="27">K13</f>
        <v>10500</v>
      </c>
      <c r="AB13" s="89">
        <f t="shared" ref="AB13:AD18" si="28">M13</f>
        <v>200</v>
      </c>
      <c r="AC13" s="4">
        <f t="shared" si="28"/>
        <v>0.98130841121495327</v>
      </c>
      <c r="AD13" s="90">
        <f t="shared" si="28"/>
        <v>445.83333333333331</v>
      </c>
      <c r="AE13" s="78" t="str">
        <f t="shared" ref="AE13:AE18" si="29">S13</f>
        <v>복</v>
      </c>
      <c r="AF13" s="78" t="str">
        <f t="shared" ref="AF13:AF18" si="30">Q13&amp;"/"&amp;R13</f>
        <v>3/1</v>
      </c>
      <c r="AH13" s="20" t="str">
        <f t="shared" si="1"/>
        <v>우성</v>
      </c>
      <c r="AI13" s="86">
        <f t="shared" si="0"/>
        <v>24</v>
      </c>
      <c r="AJ13" s="78" t="str">
        <f t="shared" ref="AJ13:AJ18" si="31"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 t="shared" ref="AN13:AN18" si="32">IF(AI13="","",$AN$2)</f>
        <v>C</v>
      </c>
      <c r="AO13" s="78" t="str">
        <f t="shared" ref="AO13:AO18" si="33">IF(N13="","",IF(N13&gt;=$AO$1/100,"O","X"))</f>
        <v>O</v>
      </c>
      <c r="AP13" s="78" t="str">
        <f t="shared" ref="AP13:AP18" si="34">IF(I13="","",IF(I13&lt;=$AP$1,"O","X"))</f>
        <v>O</v>
      </c>
      <c r="AQ13" s="78" t="str">
        <f t="shared" ref="AQ13:AQ18" si="35">IF(O13="","",IF(O13&lt;=$AQ$1,"O","X"))</f>
        <v>O</v>
      </c>
      <c r="AR13" s="78" t="str">
        <f t="shared" ref="AR13:AR18" si="36">IF(M13="","",IF(M13&lt;=$AR$1,"O","X"))</f>
        <v>O</v>
      </c>
      <c r="AS13" s="78" t="s">
        <v>2</v>
      </c>
      <c r="AT13" s="78" t="str">
        <f t="shared" ref="AT13:AT18" si="37">IF(OR(F13="",AI13=""),"",IF(AND((F13&lt;=85),(AI13&gt;=15)),"O","X"))</f>
        <v>O</v>
      </c>
      <c r="AU13" s="78" t="str">
        <f t="shared" ref="AU13:AU18" si="38">IF(C13="","",IF(C13&gt;=$AU$1,"O","X"))</f>
        <v>O</v>
      </c>
      <c r="AV13" s="78" t="str">
        <f t="shared" ref="AV13:AV18" si="39">IF(AO13="","",IF(AND(AO13="O",AP13="O",AR13="O",AT13="O",AU13="O"),"후보","X"))</f>
        <v>후보</v>
      </c>
    </row>
    <row r="14" spans="1:48" x14ac:dyDescent="0.3">
      <c r="A14" s="9" t="s">
        <v>1069</v>
      </c>
      <c r="B14" s="10" t="s">
        <v>1623</v>
      </c>
      <c r="C14" s="87">
        <v>2102</v>
      </c>
      <c r="D14" s="85">
        <v>105</v>
      </c>
      <c r="E14" s="86">
        <v>32</v>
      </c>
      <c r="F14" s="85">
        <v>85</v>
      </c>
      <c r="G14" s="17">
        <v>26</v>
      </c>
      <c r="H14" s="87">
        <v>750</v>
      </c>
      <c r="I14" s="88">
        <v>20300</v>
      </c>
      <c r="J14" s="88" t="s">
        <v>99</v>
      </c>
      <c r="K14" s="88">
        <v>17000</v>
      </c>
      <c r="L14" s="88" t="s">
        <v>99</v>
      </c>
      <c r="M14" s="89">
        <f t="shared" si="21"/>
        <v>3300</v>
      </c>
      <c r="N14" s="4">
        <f t="shared" si="22"/>
        <v>0.83743842364532017</v>
      </c>
      <c r="O14" s="90">
        <f t="shared" si="23"/>
        <v>634.375</v>
      </c>
      <c r="P14" s="90">
        <f t="shared" si="24"/>
        <v>531.25</v>
      </c>
      <c r="Q14" s="78">
        <v>3</v>
      </c>
      <c r="R14" s="78">
        <v>2</v>
      </c>
      <c r="S14" s="78" t="s">
        <v>59</v>
      </c>
      <c r="T14" s="5">
        <v>104</v>
      </c>
      <c r="U14" s="9"/>
      <c r="W14" s="85">
        <f t="shared" si="25"/>
        <v>105</v>
      </c>
      <c r="X14" s="86">
        <f t="shared" si="25"/>
        <v>32</v>
      </c>
      <c r="Y14" s="91">
        <f t="shared" si="26"/>
        <v>750</v>
      </c>
      <c r="Z14" s="89">
        <f t="shared" si="26"/>
        <v>20300</v>
      </c>
      <c r="AA14" s="89">
        <f t="shared" si="27"/>
        <v>17000</v>
      </c>
      <c r="AB14" s="89">
        <f t="shared" si="28"/>
        <v>3300</v>
      </c>
      <c r="AC14" s="4">
        <f t="shared" si="28"/>
        <v>0.83743842364532017</v>
      </c>
      <c r="AD14" s="90">
        <f t="shared" si="28"/>
        <v>634.375</v>
      </c>
      <c r="AE14" s="78" t="str">
        <f t="shared" si="29"/>
        <v>계</v>
      </c>
      <c r="AF14" s="78" t="str">
        <f t="shared" si="30"/>
        <v>3/2</v>
      </c>
      <c r="AH14" s="20" t="str">
        <f t="shared" si="1"/>
        <v>우성</v>
      </c>
      <c r="AI14" s="86">
        <f t="shared" si="0"/>
        <v>32</v>
      </c>
      <c r="AJ14" s="78" t="str">
        <f t="shared" si="31"/>
        <v>A-</v>
      </c>
      <c r="AK14" s="78" t="s">
        <v>13</v>
      </c>
      <c r="AL14" s="78" t="s">
        <v>61</v>
      </c>
      <c r="AM14" s="78" t="s">
        <v>62</v>
      </c>
      <c r="AN14" s="78" t="str">
        <f t="shared" si="32"/>
        <v>C</v>
      </c>
      <c r="AO14" s="78" t="str">
        <f t="shared" si="33"/>
        <v>O</v>
      </c>
      <c r="AP14" s="78" t="str">
        <f t="shared" si="34"/>
        <v>O</v>
      </c>
      <c r="AQ14" s="78" t="str">
        <f t="shared" si="35"/>
        <v>O</v>
      </c>
      <c r="AR14" s="78" t="str">
        <f t="shared" si="36"/>
        <v>O</v>
      </c>
      <c r="AS14" s="78" t="s">
        <v>2</v>
      </c>
      <c r="AT14" s="78" t="str">
        <f t="shared" si="37"/>
        <v>O</v>
      </c>
      <c r="AU14" s="78" t="str">
        <f t="shared" si="38"/>
        <v>O</v>
      </c>
      <c r="AV14" s="78" t="str">
        <f t="shared" si="39"/>
        <v>후보</v>
      </c>
    </row>
    <row r="15" spans="1:48" x14ac:dyDescent="0.3">
      <c r="A15" s="9" t="s">
        <v>1069</v>
      </c>
      <c r="B15" s="10" t="s">
        <v>1623</v>
      </c>
      <c r="C15" s="87">
        <v>2102</v>
      </c>
      <c r="D15" s="85">
        <v>122.8</v>
      </c>
      <c r="E15" s="86">
        <v>37</v>
      </c>
      <c r="F15" s="85">
        <v>101.9</v>
      </c>
      <c r="G15" s="17">
        <v>31</v>
      </c>
      <c r="H15" s="87">
        <v>80</v>
      </c>
      <c r="I15" s="88"/>
      <c r="J15" s="88"/>
      <c r="K15" s="88"/>
      <c r="L15" s="88"/>
      <c r="M15" s="89">
        <f t="shared" si="21"/>
        <v>0</v>
      </c>
      <c r="N15" s="4" t="str">
        <f t="shared" si="22"/>
        <v/>
      </c>
      <c r="O15" s="90">
        <f t="shared" si="23"/>
        <v>0</v>
      </c>
      <c r="P15" s="90">
        <f t="shared" si="24"/>
        <v>0</v>
      </c>
      <c r="Q15" s="78">
        <v>4</v>
      </c>
      <c r="R15" s="78">
        <v>2</v>
      </c>
      <c r="S15" s="78" t="s">
        <v>59</v>
      </c>
      <c r="T15" s="5">
        <v>122</v>
      </c>
      <c r="U15" s="9"/>
      <c r="W15" s="85">
        <f t="shared" si="25"/>
        <v>122.8</v>
      </c>
      <c r="X15" s="86">
        <f t="shared" si="25"/>
        <v>37</v>
      </c>
      <c r="Y15" s="91">
        <f t="shared" si="26"/>
        <v>80</v>
      </c>
      <c r="Z15" s="89">
        <f t="shared" si="26"/>
        <v>0</v>
      </c>
      <c r="AA15" s="89">
        <f t="shared" si="27"/>
        <v>0</v>
      </c>
      <c r="AB15" s="89">
        <f t="shared" si="28"/>
        <v>0</v>
      </c>
      <c r="AC15" s="4" t="str">
        <f t="shared" si="28"/>
        <v/>
      </c>
      <c r="AD15" s="90">
        <f t="shared" si="28"/>
        <v>0</v>
      </c>
      <c r="AE15" s="78" t="str">
        <f t="shared" si="29"/>
        <v>계</v>
      </c>
      <c r="AF15" s="78" t="str">
        <f t="shared" si="30"/>
        <v>4/2</v>
      </c>
      <c r="AH15" s="20" t="str">
        <f t="shared" si="1"/>
        <v>우성</v>
      </c>
      <c r="AI15" s="86">
        <f t="shared" si="0"/>
        <v>37</v>
      </c>
      <c r="AJ15" s="78" t="str">
        <f t="shared" si="31"/>
        <v>A-</v>
      </c>
      <c r="AK15" s="78" t="s">
        <v>13</v>
      </c>
      <c r="AL15" s="78" t="s">
        <v>61</v>
      </c>
      <c r="AM15" s="78" t="s">
        <v>62</v>
      </c>
      <c r="AN15" s="78" t="str">
        <f t="shared" si="32"/>
        <v>C</v>
      </c>
      <c r="AO15" s="78" t="str">
        <f t="shared" si="33"/>
        <v/>
      </c>
      <c r="AP15" s="78" t="str">
        <f t="shared" si="34"/>
        <v/>
      </c>
      <c r="AQ15" s="78" t="str">
        <f t="shared" si="35"/>
        <v>O</v>
      </c>
      <c r="AR15" s="78" t="str">
        <f t="shared" si="36"/>
        <v>O</v>
      </c>
      <c r="AS15" s="78" t="s">
        <v>2</v>
      </c>
      <c r="AT15" s="78" t="str">
        <f t="shared" si="37"/>
        <v>X</v>
      </c>
      <c r="AU15" s="78" t="str">
        <f t="shared" si="38"/>
        <v>O</v>
      </c>
      <c r="AV15" s="78" t="str">
        <f t="shared" si="39"/>
        <v/>
      </c>
    </row>
    <row r="16" spans="1:48" x14ac:dyDescent="0.3">
      <c r="A16" s="9" t="s">
        <v>1069</v>
      </c>
      <c r="B16" s="10" t="s">
        <v>1623</v>
      </c>
      <c r="C16" s="87">
        <v>2102</v>
      </c>
      <c r="D16" s="85">
        <v>157.30000000000001</v>
      </c>
      <c r="E16" s="86">
        <v>48</v>
      </c>
      <c r="F16" s="85">
        <v>134.30000000000001</v>
      </c>
      <c r="G16" s="17">
        <v>41</v>
      </c>
      <c r="H16" s="87">
        <v>240</v>
      </c>
      <c r="I16" s="88"/>
      <c r="J16" s="88"/>
      <c r="K16" s="88"/>
      <c r="L16" s="88"/>
      <c r="M16" s="89">
        <f t="shared" si="21"/>
        <v>0</v>
      </c>
      <c r="N16" s="4" t="str">
        <f t="shared" si="22"/>
        <v/>
      </c>
      <c r="O16" s="90">
        <f t="shared" si="23"/>
        <v>0</v>
      </c>
      <c r="P16" s="90">
        <f t="shared" si="24"/>
        <v>0</v>
      </c>
      <c r="Q16" s="78">
        <v>4</v>
      </c>
      <c r="R16" s="78">
        <v>2</v>
      </c>
      <c r="S16" s="78" t="s">
        <v>59</v>
      </c>
      <c r="T16" s="5">
        <v>157</v>
      </c>
      <c r="U16" s="9"/>
      <c r="W16" s="85">
        <f t="shared" si="25"/>
        <v>157.30000000000001</v>
      </c>
      <c r="X16" s="86">
        <f t="shared" si="25"/>
        <v>48</v>
      </c>
      <c r="Y16" s="91">
        <f t="shared" si="26"/>
        <v>240</v>
      </c>
      <c r="Z16" s="89">
        <f t="shared" si="26"/>
        <v>0</v>
      </c>
      <c r="AA16" s="89">
        <f t="shared" si="27"/>
        <v>0</v>
      </c>
      <c r="AB16" s="89">
        <f t="shared" si="28"/>
        <v>0</v>
      </c>
      <c r="AC16" s="4" t="str">
        <f t="shared" si="28"/>
        <v/>
      </c>
      <c r="AD16" s="90">
        <f t="shared" si="28"/>
        <v>0</v>
      </c>
      <c r="AE16" s="78" t="str">
        <f t="shared" si="29"/>
        <v>계</v>
      </c>
      <c r="AF16" s="78" t="str">
        <f t="shared" si="30"/>
        <v>4/2</v>
      </c>
      <c r="AH16" s="20" t="str">
        <f t="shared" si="1"/>
        <v>우성</v>
      </c>
      <c r="AI16" s="86">
        <f t="shared" si="0"/>
        <v>48</v>
      </c>
      <c r="AJ16" s="78" t="str">
        <f t="shared" si="31"/>
        <v>A-</v>
      </c>
      <c r="AK16" s="78" t="s">
        <v>13</v>
      </c>
      <c r="AL16" s="78" t="s">
        <v>61</v>
      </c>
      <c r="AM16" s="78" t="s">
        <v>62</v>
      </c>
      <c r="AN16" s="78" t="str">
        <f t="shared" si="32"/>
        <v>C</v>
      </c>
      <c r="AO16" s="78" t="str">
        <f t="shared" si="33"/>
        <v/>
      </c>
      <c r="AP16" s="78" t="str">
        <f t="shared" si="34"/>
        <v/>
      </c>
      <c r="AQ16" s="78" t="str">
        <f t="shared" si="35"/>
        <v>O</v>
      </c>
      <c r="AR16" s="78" t="str">
        <f t="shared" si="36"/>
        <v>O</v>
      </c>
      <c r="AS16" s="78" t="s">
        <v>2</v>
      </c>
      <c r="AT16" s="78" t="str">
        <f t="shared" si="37"/>
        <v>X</v>
      </c>
      <c r="AU16" s="78" t="str">
        <f t="shared" si="38"/>
        <v>O</v>
      </c>
      <c r="AV16" s="78" t="str">
        <f t="shared" si="39"/>
        <v/>
      </c>
    </row>
    <row r="17" spans="1:48" x14ac:dyDescent="0.3">
      <c r="A17" s="9" t="s">
        <v>1069</v>
      </c>
      <c r="B17" s="10" t="s">
        <v>1623</v>
      </c>
      <c r="C17" s="87">
        <v>2102</v>
      </c>
      <c r="D17" s="85">
        <v>192.5</v>
      </c>
      <c r="E17" s="86">
        <v>58</v>
      </c>
      <c r="F17" s="85">
        <v>165.5</v>
      </c>
      <c r="G17" s="17">
        <v>50</v>
      </c>
      <c r="H17" s="87">
        <v>80</v>
      </c>
      <c r="I17" s="88">
        <v>25500</v>
      </c>
      <c r="J17" s="88" t="s">
        <v>69</v>
      </c>
      <c r="K17" s="88"/>
      <c r="L17" s="88"/>
      <c r="M17" s="89">
        <f t="shared" si="21"/>
        <v>25500</v>
      </c>
      <c r="N17" s="4">
        <f t="shared" si="22"/>
        <v>0</v>
      </c>
      <c r="O17" s="90">
        <f t="shared" si="23"/>
        <v>439.65517241379308</v>
      </c>
      <c r="P17" s="90">
        <f t="shared" si="24"/>
        <v>0</v>
      </c>
      <c r="Q17" s="78">
        <v>4</v>
      </c>
      <c r="R17" s="78">
        <v>2</v>
      </c>
      <c r="S17" s="78" t="s">
        <v>59</v>
      </c>
      <c r="T17" s="5">
        <v>192</v>
      </c>
      <c r="U17" s="9"/>
      <c r="W17" s="85">
        <f t="shared" si="25"/>
        <v>192.5</v>
      </c>
      <c r="X17" s="86">
        <f t="shared" si="25"/>
        <v>58</v>
      </c>
      <c r="Y17" s="91">
        <f t="shared" si="26"/>
        <v>80</v>
      </c>
      <c r="Z17" s="89">
        <f t="shared" si="26"/>
        <v>25500</v>
      </c>
      <c r="AA17" s="89">
        <f t="shared" si="27"/>
        <v>0</v>
      </c>
      <c r="AB17" s="89">
        <f t="shared" si="28"/>
        <v>25500</v>
      </c>
      <c r="AC17" s="4">
        <f t="shared" si="28"/>
        <v>0</v>
      </c>
      <c r="AD17" s="90">
        <f t="shared" si="28"/>
        <v>439.65517241379308</v>
      </c>
      <c r="AE17" s="78" t="str">
        <f t="shared" si="29"/>
        <v>계</v>
      </c>
      <c r="AF17" s="78" t="str">
        <f t="shared" si="30"/>
        <v>4/2</v>
      </c>
      <c r="AH17" s="20" t="str">
        <f t="shared" si="1"/>
        <v>우성</v>
      </c>
      <c r="AI17" s="86">
        <f t="shared" si="0"/>
        <v>58</v>
      </c>
      <c r="AJ17" s="78" t="str">
        <f t="shared" si="31"/>
        <v>A-</v>
      </c>
      <c r="AK17" s="78" t="s">
        <v>13</v>
      </c>
      <c r="AL17" s="78" t="s">
        <v>61</v>
      </c>
      <c r="AM17" s="78" t="s">
        <v>62</v>
      </c>
      <c r="AN17" s="78" t="str">
        <f t="shared" si="32"/>
        <v>C</v>
      </c>
      <c r="AO17" s="78" t="str">
        <f t="shared" si="33"/>
        <v>X</v>
      </c>
      <c r="AP17" s="78" t="str">
        <f t="shared" si="34"/>
        <v>O</v>
      </c>
      <c r="AQ17" s="78" t="str">
        <f t="shared" si="35"/>
        <v>O</v>
      </c>
      <c r="AR17" s="78" t="str">
        <f t="shared" si="36"/>
        <v>X</v>
      </c>
      <c r="AS17" s="78" t="s">
        <v>2</v>
      </c>
      <c r="AT17" s="78" t="str">
        <f t="shared" si="37"/>
        <v>X</v>
      </c>
      <c r="AU17" s="78" t="str">
        <f t="shared" si="38"/>
        <v>O</v>
      </c>
      <c r="AV17" s="78" t="str">
        <f t="shared" si="39"/>
        <v>X</v>
      </c>
    </row>
    <row r="18" spans="1:48" x14ac:dyDescent="0.3">
      <c r="A18" s="9" t="s">
        <v>1069</v>
      </c>
      <c r="B18" s="10" t="s">
        <v>1623</v>
      </c>
      <c r="C18" s="87">
        <v>2102</v>
      </c>
      <c r="D18" s="85">
        <v>216.9</v>
      </c>
      <c r="E18" s="86">
        <v>66</v>
      </c>
      <c r="F18" s="85">
        <v>188</v>
      </c>
      <c r="G18" s="17">
        <v>57</v>
      </c>
      <c r="H18" s="87">
        <v>68</v>
      </c>
      <c r="I18" s="88"/>
      <c r="J18" s="88"/>
      <c r="K18" s="88"/>
      <c r="L18" s="88"/>
      <c r="M18" s="89">
        <f t="shared" si="21"/>
        <v>0</v>
      </c>
      <c r="N18" s="4" t="str">
        <f t="shared" si="22"/>
        <v/>
      </c>
      <c r="O18" s="90">
        <f t="shared" si="23"/>
        <v>0</v>
      </c>
      <c r="P18" s="90">
        <f t="shared" si="24"/>
        <v>0</v>
      </c>
      <c r="Q18" s="78">
        <v>4</v>
      </c>
      <c r="R18" s="78">
        <v>2</v>
      </c>
      <c r="S18" s="78" t="s">
        <v>59</v>
      </c>
      <c r="T18" s="5">
        <v>216</v>
      </c>
      <c r="U18" s="9"/>
      <c r="W18" s="85">
        <f t="shared" si="25"/>
        <v>216.9</v>
      </c>
      <c r="X18" s="86">
        <f t="shared" si="25"/>
        <v>66</v>
      </c>
      <c r="Y18" s="91">
        <f t="shared" si="26"/>
        <v>68</v>
      </c>
      <c r="Z18" s="89">
        <f t="shared" si="26"/>
        <v>0</v>
      </c>
      <c r="AA18" s="89">
        <f t="shared" si="27"/>
        <v>0</v>
      </c>
      <c r="AB18" s="89">
        <f t="shared" si="28"/>
        <v>0</v>
      </c>
      <c r="AC18" s="4" t="str">
        <f t="shared" si="28"/>
        <v/>
      </c>
      <c r="AD18" s="90">
        <f t="shared" si="28"/>
        <v>0</v>
      </c>
      <c r="AE18" s="78" t="str">
        <f t="shared" si="29"/>
        <v>계</v>
      </c>
      <c r="AF18" s="78" t="str">
        <f t="shared" si="30"/>
        <v>4/2</v>
      </c>
      <c r="AH18" s="20" t="str">
        <f t="shared" si="1"/>
        <v>우성</v>
      </c>
      <c r="AI18" s="86">
        <f t="shared" si="0"/>
        <v>66</v>
      </c>
      <c r="AJ18" s="78" t="str">
        <f t="shared" si="31"/>
        <v>A-</v>
      </c>
      <c r="AK18" s="78" t="s">
        <v>13</v>
      </c>
      <c r="AL18" s="78" t="s">
        <v>61</v>
      </c>
      <c r="AM18" s="78" t="s">
        <v>62</v>
      </c>
      <c r="AN18" s="78" t="str">
        <f t="shared" si="32"/>
        <v>C</v>
      </c>
      <c r="AO18" s="78" t="str">
        <f t="shared" si="33"/>
        <v/>
      </c>
      <c r="AP18" s="78" t="str">
        <f t="shared" si="34"/>
        <v/>
      </c>
      <c r="AQ18" s="78" t="str">
        <f t="shared" si="35"/>
        <v>O</v>
      </c>
      <c r="AR18" s="78" t="str">
        <f t="shared" si="36"/>
        <v>O</v>
      </c>
      <c r="AS18" s="78" t="s">
        <v>2</v>
      </c>
      <c r="AT18" s="78" t="str">
        <f t="shared" si="37"/>
        <v>X</v>
      </c>
      <c r="AU18" s="78" t="str">
        <f t="shared" si="38"/>
        <v>O</v>
      </c>
      <c r="AV18" s="78" t="str">
        <f t="shared" si="39"/>
        <v/>
      </c>
    </row>
  </sheetData>
  <mergeCells count="1">
    <mergeCell ref="AJ1:AN1"/>
  </mergeCells>
  <phoneticPr fontId="2" type="noConversion"/>
  <conditionalFormatting sqref="AV4:AV6">
    <cfRule type="expression" dxfId="1043" priority="234">
      <formula>AV4="X"</formula>
    </cfRule>
    <cfRule type="expression" dxfId="1042" priority="235">
      <formula>AV4="후보"</formula>
    </cfRule>
  </conditionalFormatting>
  <conditionalFormatting sqref="AC1:AC2 AC4:AC6 N4:N5">
    <cfRule type="cellIs" dxfId="1041" priority="231" operator="greaterThan">
      <formula>0.9</formula>
    </cfRule>
    <cfRule type="cellIs" dxfId="1040" priority="232" operator="greaterThan">
      <formula>0.85</formula>
    </cfRule>
  </conditionalFormatting>
  <conditionalFormatting sqref="N1:N2">
    <cfRule type="cellIs" dxfId="1039" priority="229" operator="greaterThan">
      <formula>0.9</formula>
    </cfRule>
    <cfRule type="cellIs" dxfId="1038" priority="230" operator="greaterThan">
      <formula>0.85</formula>
    </cfRule>
  </conditionalFormatting>
  <conditionalFormatting sqref="N6">
    <cfRule type="cellIs" dxfId="1037" priority="227" operator="greaterThan">
      <formula>0.9</formula>
    </cfRule>
    <cfRule type="cellIs" dxfId="1036" priority="228" operator="greaterThan">
      <formula>0.85</formula>
    </cfRule>
  </conditionalFormatting>
  <conditionalFormatting sqref="E6">
    <cfRule type="expression" dxfId="1035" priority="223">
      <formula>AND(IF(OR($Q6=1,$Q6=2),1,0),IF($X6&lt;=20,1,0))</formula>
    </cfRule>
    <cfRule type="expression" dxfId="1034" priority="224">
      <formula>AND(IF($Q6=2,1,0),IF($X6&lt;30,1,0))</formula>
    </cfRule>
    <cfRule type="expression" dxfId="1033" priority="225">
      <formula>AND(IF($Q6=3,1,0),IF($X6&lt;30,1,0))</formula>
    </cfRule>
    <cfRule type="expression" dxfId="1032" priority="226">
      <formula>AND(IF($Q6=3,1,IF($Q6=4,1,0)),IF($F6&lt;=85,1,0))</formula>
    </cfRule>
  </conditionalFormatting>
  <conditionalFormatting sqref="X6">
    <cfRule type="expression" dxfId="1031" priority="219">
      <formula>AND(IF(OR($Q6=1,$Q6=2),1,0),IF($X6&lt;=20,1,0))</formula>
    </cfRule>
    <cfRule type="expression" dxfId="1030" priority="220">
      <formula>AND(IF($Q6=2,1,0),IF($X6&lt;30,1,0))</formula>
    </cfRule>
    <cfRule type="expression" dxfId="1029" priority="221">
      <formula>AND(IF($Q6=3,1,0),IF($X6&lt;30,1,0))</formula>
    </cfRule>
    <cfRule type="expression" dxfId="1028" priority="222">
      <formula>AND(IF($Q6=3,1,IF($Q6=4,1,0)),IF($F6&lt;=85,1,0))</formula>
    </cfRule>
  </conditionalFormatting>
  <conditionalFormatting sqref="AI6">
    <cfRule type="expression" dxfId="1027" priority="215">
      <formula>AND(IF(OR($Q6=1,$Q6=2),1,0),IF($X6&lt;=20,1,0))</formula>
    </cfRule>
    <cfRule type="expression" dxfId="1026" priority="216">
      <formula>AND(IF($Q6=2,1,0),IF($X6&lt;30,1,0))</formula>
    </cfRule>
    <cfRule type="expression" dxfId="1025" priority="217">
      <formula>AND(IF($Q6=3,1,0),IF($X6&lt;30,1,0))</formula>
    </cfRule>
    <cfRule type="expression" dxfId="1024" priority="218">
      <formula>AND(IF($Q6=3,1,IF($Q6=4,1,0)),IF($F6&lt;=85,1,0))</formula>
    </cfRule>
  </conditionalFormatting>
  <conditionalFormatting sqref="AV7">
    <cfRule type="expression" dxfId="1023" priority="213">
      <formula>AV7="X"</formula>
    </cfRule>
    <cfRule type="expression" dxfId="1022" priority="214">
      <formula>AV7="후보"</formula>
    </cfRule>
  </conditionalFormatting>
  <conditionalFormatting sqref="AC7">
    <cfRule type="cellIs" dxfId="1021" priority="210" operator="greaterThan">
      <formula>0.9</formula>
    </cfRule>
    <cfRule type="cellIs" dxfId="1020" priority="211" operator="greaterThan">
      <formula>0.85</formula>
    </cfRule>
  </conditionalFormatting>
  <conditionalFormatting sqref="N7">
    <cfRule type="cellIs" dxfId="1019" priority="208" operator="greaterThan">
      <formula>0.9</formula>
    </cfRule>
    <cfRule type="cellIs" dxfId="1018" priority="209" operator="greaterThan">
      <formula>0.85</formula>
    </cfRule>
  </conditionalFormatting>
  <conditionalFormatting sqref="E7">
    <cfRule type="expression" dxfId="1017" priority="204">
      <formula>AND(IF(OR($Q7=1,$Q7=2),1,0),IF($X7&lt;=20,1,0))</formula>
    </cfRule>
    <cfRule type="expression" dxfId="1016" priority="205">
      <formula>AND(IF($Q7=2,1,0),IF($X7&lt;30,1,0))</formula>
    </cfRule>
    <cfRule type="expression" dxfId="1015" priority="206">
      <formula>AND(IF($Q7=3,1,0),IF($X7&lt;30,1,0))</formula>
    </cfRule>
    <cfRule type="expression" dxfId="1014" priority="207">
      <formula>AND(IF($Q7=3,1,IF($Q7=4,1,0)),IF($F7&lt;=85,1,0))</formula>
    </cfRule>
  </conditionalFormatting>
  <conditionalFormatting sqref="X7">
    <cfRule type="expression" dxfId="1013" priority="200">
      <formula>AND(IF(OR($Q7=1,$Q7=2),1,0),IF($X7&lt;=20,1,0))</formula>
    </cfRule>
    <cfRule type="expression" dxfId="1012" priority="201">
      <formula>AND(IF($Q7=2,1,0),IF($X7&lt;30,1,0))</formula>
    </cfRule>
    <cfRule type="expression" dxfId="1011" priority="202">
      <formula>AND(IF($Q7=3,1,0),IF($X7&lt;30,1,0))</formula>
    </cfRule>
    <cfRule type="expression" dxfId="1010" priority="203">
      <formula>AND(IF($Q7=3,1,IF($Q7=4,1,0)),IF($F7&lt;=85,1,0))</formula>
    </cfRule>
  </conditionalFormatting>
  <conditionalFormatting sqref="AI7">
    <cfRule type="expression" dxfId="1009" priority="196">
      <formula>AND(IF(OR($Q7=1,$Q7=2),1,0),IF($X7&lt;=20,1,0))</formula>
    </cfRule>
    <cfRule type="expression" dxfId="1008" priority="197">
      <formula>AND(IF($Q7=2,1,0),IF($X7&lt;30,1,0))</formula>
    </cfRule>
    <cfRule type="expression" dxfId="1007" priority="198">
      <formula>AND(IF($Q7=3,1,0),IF($X7&lt;30,1,0))</formula>
    </cfRule>
    <cfRule type="expression" dxfId="1006" priority="199">
      <formula>AND(IF($Q7=3,1,IF($Q7=4,1,0)),IF($F7&lt;=85,1,0))</formula>
    </cfRule>
  </conditionalFormatting>
  <conditionalFormatting sqref="AV8">
    <cfRule type="expression" dxfId="1005" priority="194">
      <formula>AV8="X"</formula>
    </cfRule>
    <cfRule type="expression" dxfId="1004" priority="195">
      <formula>AV8="후보"</formula>
    </cfRule>
  </conditionalFormatting>
  <conditionalFormatting sqref="AC8">
    <cfRule type="cellIs" dxfId="1003" priority="191" operator="greaterThan">
      <formula>0.9</formula>
    </cfRule>
    <cfRule type="cellIs" dxfId="1002" priority="192" operator="greaterThan">
      <formula>0.85</formula>
    </cfRule>
  </conditionalFormatting>
  <conditionalFormatting sqref="N8">
    <cfRule type="cellIs" dxfId="1001" priority="189" operator="greaterThan">
      <formula>0.9</formula>
    </cfRule>
    <cfRule type="cellIs" dxfId="1000" priority="190" operator="greaterThan">
      <formula>0.85</formula>
    </cfRule>
  </conditionalFormatting>
  <conditionalFormatting sqref="E8">
    <cfRule type="expression" dxfId="999" priority="185">
      <formula>AND(IF(OR($Q8=1,$Q8=2),1,0),IF($X8&lt;=20,1,0))</formula>
    </cfRule>
    <cfRule type="expression" dxfId="998" priority="186">
      <formula>AND(IF($Q8=2,1,0),IF($X8&lt;30,1,0))</formula>
    </cfRule>
    <cfRule type="expression" dxfId="997" priority="187">
      <formula>AND(IF($Q8=3,1,0),IF($X8&lt;30,1,0))</formula>
    </cfRule>
    <cfRule type="expression" dxfId="996" priority="188">
      <formula>AND(IF($Q8=3,1,IF($Q8=4,1,0)),IF($F8&lt;=85,1,0))</formula>
    </cfRule>
  </conditionalFormatting>
  <conditionalFormatting sqref="X8">
    <cfRule type="expression" dxfId="995" priority="181">
      <formula>AND(IF(OR($Q8=1,$Q8=2),1,0),IF($X8&lt;=20,1,0))</formula>
    </cfRule>
    <cfRule type="expression" dxfId="994" priority="182">
      <formula>AND(IF($Q8=2,1,0),IF($X8&lt;30,1,0))</formula>
    </cfRule>
    <cfRule type="expression" dxfId="993" priority="183">
      <formula>AND(IF($Q8=3,1,0),IF($X8&lt;30,1,0))</formula>
    </cfRule>
    <cfRule type="expression" dxfId="992" priority="184">
      <formula>AND(IF($Q8=3,1,IF($Q8=4,1,0)),IF($F8&lt;=85,1,0))</formula>
    </cfRule>
  </conditionalFormatting>
  <conditionalFormatting sqref="AI8">
    <cfRule type="expression" dxfId="991" priority="177">
      <formula>AND(IF(OR($Q8=1,$Q8=2),1,0),IF($X8&lt;=20,1,0))</formula>
    </cfRule>
    <cfRule type="expression" dxfId="990" priority="178">
      <formula>AND(IF($Q8=2,1,0),IF($X8&lt;30,1,0))</formula>
    </cfRule>
    <cfRule type="expression" dxfId="989" priority="179">
      <formula>AND(IF($Q8=3,1,0),IF($X8&lt;30,1,0))</formula>
    </cfRule>
    <cfRule type="expression" dxfId="988" priority="180">
      <formula>AND(IF($Q8=3,1,IF($Q8=4,1,0)),IF($F8&lt;=85,1,0))</formula>
    </cfRule>
  </conditionalFormatting>
  <conditionalFormatting sqref="AV9">
    <cfRule type="expression" dxfId="987" priority="175">
      <formula>AV9="X"</formula>
    </cfRule>
    <cfRule type="expression" dxfId="986" priority="176">
      <formula>AV9="후보"</formula>
    </cfRule>
  </conditionalFormatting>
  <conditionalFormatting sqref="AC9">
    <cfRule type="cellIs" dxfId="985" priority="172" operator="greaterThan">
      <formula>0.9</formula>
    </cfRule>
    <cfRule type="cellIs" dxfId="984" priority="173" operator="greaterThan">
      <formula>0.85</formula>
    </cfRule>
  </conditionalFormatting>
  <conditionalFormatting sqref="N9">
    <cfRule type="cellIs" dxfId="983" priority="170" operator="greaterThan">
      <formula>0.9</formula>
    </cfRule>
    <cfRule type="cellIs" dxfId="982" priority="171" operator="greaterThan">
      <formula>0.85</formula>
    </cfRule>
  </conditionalFormatting>
  <conditionalFormatting sqref="E9">
    <cfRule type="expression" dxfId="981" priority="166">
      <formula>AND(IF(OR($Q9=1,$Q9=2),1,0),IF($X9&lt;=20,1,0))</formula>
    </cfRule>
    <cfRule type="expression" dxfId="980" priority="167">
      <formula>AND(IF($Q9=2,1,0),IF($X9&lt;30,1,0))</formula>
    </cfRule>
    <cfRule type="expression" dxfId="979" priority="168">
      <formula>AND(IF($Q9=3,1,0),IF($X9&lt;30,1,0))</formula>
    </cfRule>
    <cfRule type="expression" dxfId="978" priority="169">
      <formula>AND(IF($Q9=3,1,IF($Q9=4,1,0)),IF($F9&lt;=85,1,0))</formula>
    </cfRule>
  </conditionalFormatting>
  <conditionalFormatting sqref="X9">
    <cfRule type="expression" dxfId="977" priority="162">
      <formula>AND(IF(OR($Q9=1,$Q9=2),1,0),IF($X9&lt;=20,1,0))</formula>
    </cfRule>
    <cfRule type="expression" dxfId="976" priority="163">
      <formula>AND(IF($Q9=2,1,0),IF($X9&lt;30,1,0))</formula>
    </cfRule>
    <cfRule type="expression" dxfId="975" priority="164">
      <formula>AND(IF($Q9=3,1,0),IF($X9&lt;30,1,0))</formula>
    </cfRule>
    <cfRule type="expression" dxfId="974" priority="165">
      <formula>AND(IF($Q9=3,1,IF($Q9=4,1,0)),IF($F9&lt;=85,1,0))</formula>
    </cfRule>
  </conditionalFormatting>
  <conditionalFormatting sqref="AI9">
    <cfRule type="expression" dxfId="973" priority="158">
      <formula>AND(IF(OR($Q9=1,$Q9=2),1,0),IF($X9&lt;=20,1,0))</formula>
    </cfRule>
    <cfRule type="expression" dxfId="972" priority="159">
      <formula>AND(IF($Q9=2,1,0),IF($X9&lt;30,1,0))</formula>
    </cfRule>
    <cfRule type="expression" dxfId="971" priority="160">
      <formula>AND(IF($Q9=3,1,0),IF($X9&lt;30,1,0))</formula>
    </cfRule>
    <cfRule type="expression" dxfId="970" priority="161">
      <formula>AND(IF($Q9=3,1,IF($Q9=4,1,0)),IF($F9&lt;=85,1,0))</formula>
    </cfRule>
  </conditionalFormatting>
  <conditionalFormatting sqref="AV10">
    <cfRule type="expression" dxfId="969" priority="156">
      <formula>AV10="X"</formula>
    </cfRule>
    <cfRule type="expression" dxfId="968" priority="157">
      <formula>AV10="후보"</formula>
    </cfRule>
  </conditionalFormatting>
  <conditionalFormatting sqref="AC10">
    <cfRule type="cellIs" dxfId="967" priority="153" operator="greaterThan">
      <formula>0.9</formula>
    </cfRule>
    <cfRule type="cellIs" dxfId="966" priority="154" operator="greaterThan">
      <formula>0.85</formula>
    </cfRule>
  </conditionalFormatting>
  <conditionalFormatting sqref="N10">
    <cfRule type="cellIs" dxfId="965" priority="151" operator="greaterThan">
      <formula>0.9</formula>
    </cfRule>
    <cfRule type="cellIs" dxfId="964" priority="152" operator="greaterThan">
      <formula>0.85</formula>
    </cfRule>
  </conditionalFormatting>
  <conditionalFormatting sqref="E10">
    <cfRule type="expression" dxfId="963" priority="147">
      <formula>AND(IF(OR($Q10=1,$Q10=2),1,0),IF($X10&lt;=20,1,0))</formula>
    </cfRule>
    <cfRule type="expression" dxfId="962" priority="148">
      <formula>AND(IF($Q10=2,1,0),IF($X10&lt;30,1,0))</formula>
    </cfRule>
    <cfRule type="expression" dxfId="961" priority="149">
      <formula>AND(IF($Q10=3,1,0),IF($X10&lt;30,1,0))</formula>
    </cfRule>
    <cfRule type="expression" dxfId="960" priority="150">
      <formula>AND(IF($Q10=3,1,IF($Q10=4,1,0)),IF($F10&lt;=85,1,0))</formula>
    </cfRule>
  </conditionalFormatting>
  <conditionalFormatting sqref="X10">
    <cfRule type="expression" dxfId="959" priority="143">
      <formula>AND(IF(OR($Q10=1,$Q10=2),1,0),IF($X10&lt;=20,1,0))</formula>
    </cfRule>
    <cfRule type="expression" dxfId="958" priority="144">
      <formula>AND(IF($Q10=2,1,0),IF($X10&lt;30,1,0))</formula>
    </cfRule>
    <cfRule type="expression" dxfId="957" priority="145">
      <formula>AND(IF($Q10=3,1,0),IF($X10&lt;30,1,0))</formula>
    </cfRule>
    <cfRule type="expression" dxfId="956" priority="146">
      <formula>AND(IF($Q10=3,1,IF($Q10=4,1,0)),IF($F10&lt;=85,1,0))</formula>
    </cfRule>
  </conditionalFormatting>
  <conditionalFormatting sqref="AI10">
    <cfRule type="expression" dxfId="955" priority="139">
      <formula>AND(IF(OR($Q10=1,$Q10=2),1,0),IF($X10&lt;=20,1,0))</formula>
    </cfRule>
    <cfRule type="expression" dxfId="954" priority="140">
      <formula>AND(IF($Q10=2,1,0),IF($X10&lt;30,1,0))</formula>
    </cfRule>
    <cfRule type="expression" dxfId="953" priority="141">
      <formula>AND(IF($Q10=3,1,0),IF($X10&lt;30,1,0))</formula>
    </cfRule>
    <cfRule type="expression" dxfId="952" priority="142">
      <formula>AND(IF($Q10=3,1,IF($Q10=4,1,0)),IF($F10&lt;=85,1,0))</formula>
    </cfRule>
  </conditionalFormatting>
  <conditionalFormatting sqref="AV11">
    <cfRule type="expression" dxfId="951" priority="137">
      <formula>AV11="X"</formula>
    </cfRule>
    <cfRule type="expression" dxfId="950" priority="138">
      <formula>AV11="후보"</formula>
    </cfRule>
  </conditionalFormatting>
  <conditionalFormatting sqref="AC11">
    <cfRule type="cellIs" dxfId="949" priority="134" operator="greaterThan">
      <formula>0.9</formula>
    </cfRule>
    <cfRule type="cellIs" dxfId="948" priority="135" operator="greaterThan">
      <formula>0.85</formula>
    </cfRule>
  </conditionalFormatting>
  <conditionalFormatting sqref="N11">
    <cfRule type="cellIs" dxfId="947" priority="132" operator="greaterThan">
      <formula>0.9</formula>
    </cfRule>
    <cfRule type="cellIs" dxfId="946" priority="133" operator="greaterThan">
      <formula>0.85</formula>
    </cfRule>
  </conditionalFormatting>
  <conditionalFormatting sqref="E11">
    <cfRule type="expression" dxfId="945" priority="128">
      <formula>AND(IF(OR($Q11=1,$Q11=2),1,0),IF($X11&lt;=20,1,0))</formula>
    </cfRule>
    <cfRule type="expression" dxfId="944" priority="129">
      <formula>AND(IF($Q11=2,1,0),IF($X11&lt;30,1,0))</formula>
    </cfRule>
    <cfRule type="expression" dxfId="943" priority="130">
      <formula>AND(IF($Q11=3,1,0),IF($X11&lt;30,1,0))</formula>
    </cfRule>
    <cfRule type="expression" dxfId="942" priority="131">
      <formula>AND(IF($Q11=3,1,IF($Q11=4,1,0)),IF($F11&lt;=85,1,0))</formula>
    </cfRule>
  </conditionalFormatting>
  <conditionalFormatting sqref="X11">
    <cfRule type="expression" dxfId="941" priority="124">
      <formula>AND(IF(OR($Q11=1,$Q11=2),1,0),IF($X11&lt;=20,1,0))</formula>
    </cfRule>
    <cfRule type="expression" dxfId="940" priority="125">
      <formula>AND(IF($Q11=2,1,0),IF($X11&lt;30,1,0))</formula>
    </cfRule>
    <cfRule type="expression" dxfId="939" priority="126">
      <formula>AND(IF($Q11=3,1,0),IF($X11&lt;30,1,0))</formula>
    </cfRule>
    <cfRule type="expression" dxfId="938" priority="127">
      <formula>AND(IF($Q11=3,1,IF($Q11=4,1,0)),IF($F11&lt;=85,1,0))</formula>
    </cfRule>
  </conditionalFormatting>
  <conditionalFormatting sqref="AI11">
    <cfRule type="expression" dxfId="937" priority="120">
      <formula>AND(IF(OR($Q11=1,$Q11=2),1,0),IF($X11&lt;=20,1,0))</formula>
    </cfRule>
    <cfRule type="expression" dxfId="936" priority="121">
      <formula>AND(IF($Q11=2,1,0),IF($X11&lt;30,1,0))</formula>
    </cfRule>
    <cfRule type="expression" dxfId="935" priority="122">
      <formula>AND(IF($Q11=3,1,0),IF($X11&lt;30,1,0))</formula>
    </cfRule>
    <cfRule type="expression" dxfId="934" priority="123">
      <formula>AND(IF($Q11=3,1,IF($Q11=4,1,0)),IF($F11&lt;=85,1,0))</formula>
    </cfRule>
  </conditionalFormatting>
  <conditionalFormatting sqref="AV12">
    <cfRule type="expression" dxfId="933" priority="118">
      <formula>AV12="X"</formula>
    </cfRule>
    <cfRule type="expression" dxfId="932" priority="119">
      <formula>AV12="후보"</formula>
    </cfRule>
  </conditionalFormatting>
  <conditionalFormatting sqref="AC12 N12">
    <cfRule type="cellIs" dxfId="931" priority="115" operator="greaterThan">
      <formula>0.9</formula>
    </cfRule>
    <cfRule type="cellIs" dxfId="930" priority="116" operator="greaterThan">
      <formula>0.85</formula>
    </cfRule>
  </conditionalFormatting>
  <conditionalFormatting sqref="AV13">
    <cfRule type="expression" dxfId="929" priority="113">
      <formula>AV13="X"</formula>
    </cfRule>
    <cfRule type="expression" dxfId="928" priority="114">
      <formula>AV13="후보"</formula>
    </cfRule>
  </conditionalFormatting>
  <conditionalFormatting sqref="AC13">
    <cfRule type="cellIs" dxfId="927" priority="110" operator="greaterThan">
      <formula>0.9</formula>
    </cfRule>
    <cfRule type="cellIs" dxfId="926" priority="111" operator="greaterThan">
      <formula>0.85</formula>
    </cfRule>
  </conditionalFormatting>
  <conditionalFormatting sqref="N13">
    <cfRule type="cellIs" dxfId="925" priority="108" operator="greaterThan">
      <formula>0.9</formula>
    </cfRule>
    <cfRule type="cellIs" dxfId="924" priority="109" operator="greaterThan">
      <formula>0.85</formula>
    </cfRule>
  </conditionalFormatting>
  <conditionalFormatting sqref="E13">
    <cfRule type="expression" dxfId="923" priority="104">
      <formula>AND(IF(OR($Q13=1,$Q13=2),1,0),IF($X13&lt;=20,1,0))</formula>
    </cfRule>
    <cfRule type="expression" dxfId="922" priority="105">
      <formula>AND(IF($Q13=2,1,0),IF($X13&lt;30,1,0))</formula>
    </cfRule>
    <cfRule type="expression" dxfId="921" priority="106">
      <formula>AND(IF($Q13=3,1,0),IF($X13&lt;30,1,0))</formula>
    </cfRule>
    <cfRule type="expression" dxfId="920" priority="107">
      <formula>AND(IF($Q13=3,1,IF($Q13=4,1,0)),IF($F13&lt;=85,1,0))</formula>
    </cfRule>
  </conditionalFormatting>
  <conditionalFormatting sqref="X13">
    <cfRule type="expression" dxfId="919" priority="100">
      <formula>AND(IF(OR($Q13=1,$Q13=2),1,0),IF($X13&lt;=20,1,0))</formula>
    </cfRule>
    <cfRule type="expression" dxfId="918" priority="101">
      <formula>AND(IF($Q13=2,1,0),IF($X13&lt;30,1,0))</formula>
    </cfRule>
    <cfRule type="expression" dxfId="917" priority="102">
      <formula>AND(IF($Q13=3,1,0),IF($X13&lt;30,1,0))</formula>
    </cfRule>
    <cfRule type="expression" dxfId="916" priority="103">
      <formula>AND(IF($Q13=3,1,IF($Q13=4,1,0)),IF($F13&lt;=85,1,0))</formula>
    </cfRule>
  </conditionalFormatting>
  <conditionalFormatting sqref="AI13">
    <cfRule type="expression" dxfId="915" priority="96">
      <formula>AND(IF(OR($Q13=1,$Q13=2),1,0),IF($X13&lt;=20,1,0))</formula>
    </cfRule>
    <cfRule type="expression" dxfId="914" priority="97">
      <formula>AND(IF($Q13=2,1,0),IF($X13&lt;30,1,0))</formula>
    </cfRule>
    <cfRule type="expression" dxfId="913" priority="98">
      <formula>AND(IF($Q13=3,1,0),IF($X13&lt;30,1,0))</formula>
    </cfRule>
    <cfRule type="expression" dxfId="912" priority="99">
      <formula>AND(IF($Q13=3,1,IF($Q13=4,1,0)),IF($F13&lt;=85,1,0))</formula>
    </cfRule>
  </conditionalFormatting>
  <conditionalFormatting sqref="AV14">
    <cfRule type="expression" dxfId="911" priority="94">
      <formula>AV14="X"</formula>
    </cfRule>
    <cfRule type="expression" dxfId="910" priority="95">
      <formula>AV14="후보"</formula>
    </cfRule>
  </conditionalFormatting>
  <conditionalFormatting sqref="AC14">
    <cfRule type="cellIs" dxfId="909" priority="91" operator="greaterThan">
      <formula>0.9</formula>
    </cfRule>
    <cfRule type="cellIs" dxfId="908" priority="92" operator="greaterThan">
      <formula>0.85</formula>
    </cfRule>
  </conditionalFormatting>
  <conditionalFormatting sqref="N14">
    <cfRule type="cellIs" dxfId="907" priority="89" operator="greaterThan">
      <formula>0.9</formula>
    </cfRule>
    <cfRule type="cellIs" dxfId="906" priority="90" operator="greaterThan">
      <formula>0.85</formula>
    </cfRule>
  </conditionalFormatting>
  <conditionalFormatting sqref="E14">
    <cfRule type="expression" dxfId="905" priority="85">
      <formula>AND(IF(OR($Q14=1,$Q14=2),1,0),IF($X14&lt;=20,1,0))</formula>
    </cfRule>
    <cfRule type="expression" dxfId="904" priority="86">
      <formula>AND(IF($Q14=2,1,0),IF($X14&lt;30,1,0))</formula>
    </cfRule>
    <cfRule type="expression" dxfId="903" priority="87">
      <formula>AND(IF($Q14=3,1,0),IF($X14&lt;30,1,0))</formula>
    </cfRule>
    <cfRule type="expression" dxfId="902" priority="88">
      <formula>AND(IF($Q14=3,1,IF($Q14=4,1,0)),IF($F14&lt;=85,1,0))</formula>
    </cfRule>
  </conditionalFormatting>
  <conditionalFormatting sqref="X14">
    <cfRule type="expression" dxfId="901" priority="81">
      <formula>AND(IF(OR($Q14=1,$Q14=2),1,0),IF($X14&lt;=20,1,0))</formula>
    </cfRule>
    <cfRule type="expression" dxfId="900" priority="82">
      <formula>AND(IF($Q14=2,1,0),IF($X14&lt;30,1,0))</formula>
    </cfRule>
    <cfRule type="expression" dxfId="899" priority="83">
      <formula>AND(IF($Q14=3,1,0),IF($X14&lt;30,1,0))</formula>
    </cfRule>
    <cfRule type="expression" dxfId="898" priority="84">
      <formula>AND(IF($Q14=3,1,IF($Q14=4,1,0)),IF($F14&lt;=85,1,0))</formula>
    </cfRule>
  </conditionalFormatting>
  <conditionalFormatting sqref="AI14">
    <cfRule type="expression" dxfId="897" priority="77">
      <formula>AND(IF(OR($Q14=1,$Q14=2),1,0),IF($X14&lt;=20,1,0))</formula>
    </cfRule>
    <cfRule type="expression" dxfId="896" priority="78">
      <formula>AND(IF($Q14=2,1,0),IF($X14&lt;30,1,0))</formula>
    </cfRule>
    <cfRule type="expression" dxfId="895" priority="79">
      <formula>AND(IF($Q14=3,1,0),IF($X14&lt;30,1,0))</formula>
    </cfRule>
    <cfRule type="expression" dxfId="894" priority="80">
      <formula>AND(IF($Q14=3,1,IF($Q14=4,1,0)),IF($F14&lt;=85,1,0))</formula>
    </cfRule>
  </conditionalFormatting>
  <conditionalFormatting sqref="AV15">
    <cfRule type="expression" dxfId="893" priority="75">
      <formula>AV15="X"</formula>
    </cfRule>
    <cfRule type="expression" dxfId="892" priority="76">
      <formula>AV15="후보"</formula>
    </cfRule>
  </conditionalFormatting>
  <conditionalFormatting sqref="AC15">
    <cfRule type="cellIs" dxfId="891" priority="72" operator="greaterThan">
      <formula>0.9</formula>
    </cfRule>
    <cfRule type="cellIs" dxfId="890" priority="73" operator="greaterThan">
      <formula>0.85</formula>
    </cfRule>
  </conditionalFormatting>
  <conditionalFormatting sqref="N15">
    <cfRule type="cellIs" dxfId="889" priority="70" operator="greaterThan">
      <formula>0.9</formula>
    </cfRule>
    <cfRule type="cellIs" dxfId="888" priority="71" operator="greaterThan">
      <formula>0.85</formula>
    </cfRule>
  </conditionalFormatting>
  <conditionalFormatting sqref="E15">
    <cfRule type="expression" dxfId="887" priority="66">
      <formula>AND(IF(OR($Q15=1,$Q15=2),1,0),IF($X15&lt;=20,1,0))</formula>
    </cfRule>
    <cfRule type="expression" dxfId="886" priority="67">
      <formula>AND(IF($Q15=2,1,0),IF($X15&lt;30,1,0))</formula>
    </cfRule>
    <cfRule type="expression" dxfId="885" priority="68">
      <formula>AND(IF($Q15=3,1,0),IF($X15&lt;30,1,0))</formula>
    </cfRule>
    <cfRule type="expression" dxfId="884" priority="69">
      <formula>AND(IF($Q15=3,1,IF($Q15=4,1,0)),IF($F15&lt;=85,1,0))</formula>
    </cfRule>
  </conditionalFormatting>
  <conditionalFormatting sqref="X15">
    <cfRule type="expression" dxfId="883" priority="62">
      <formula>AND(IF(OR($Q15=1,$Q15=2),1,0),IF($X15&lt;=20,1,0))</formula>
    </cfRule>
    <cfRule type="expression" dxfId="882" priority="63">
      <formula>AND(IF($Q15=2,1,0),IF($X15&lt;30,1,0))</formula>
    </cfRule>
    <cfRule type="expression" dxfId="881" priority="64">
      <formula>AND(IF($Q15=3,1,0),IF($X15&lt;30,1,0))</formula>
    </cfRule>
    <cfRule type="expression" dxfId="880" priority="65">
      <formula>AND(IF($Q15=3,1,IF($Q15=4,1,0)),IF($F15&lt;=85,1,0))</formula>
    </cfRule>
  </conditionalFormatting>
  <conditionalFormatting sqref="AI15">
    <cfRule type="expression" dxfId="879" priority="58">
      <formula>AND(IF(OR($Q15=1,$Q15=2),1,0),IF($X15&lt;=20,1,0))</formula>
    </cfRule>
    <cfRule type="expression" dxfId="878" priority="59">
      <formula>AND(IF($Q15=2,1,0),IF($X15&lt;30,1,0))</formula>
    </cfRule>
    <cfRule type="expression" dxfId="877" priority="60">
      <formula>AND(IF($Q15=3,1,0),IF($X15&lt;30,1,0))</formula>
    </cfRule>
    <cfRule type="expression" dxfId="876" priority="61">
      <formula>AND(IF($Q15=3,1,IF($Q15=4,1,0)),IF($F15&lt;=85,1,0))</formula>
    </cfRule>
  </conditionalFormatting>
  <conditionalFormatting sqref="AV16">
    <cfRule type="expression" dxfId="875" priority="56">
      <formula>AV16="X"</formula>
    </cfRule>
    <cfRule type="expression" dxfId="874" priority="57">
      <formula>AV16="후보"</formula>
    </cfRule>
  </conditionalFormatting>
  <conditionalFormatting sqref="AC16">
    <cfRule type="cellIs" dxfId="873" priority="53" operator="greaterThan">
      <formula>0.9</formula>
    </cfRule>
    <cfRule type="cellIs" dxfId="872" priority="54" operator="greaterThan">
      <formula>0.85</formula>
    </cfRule>
  </conditionalFormatting>
  <conditionalFormatting sqref="N16">
    <cfRule type="cellIs" dxfId="871" priority="51" operator="greaterThan">
      <formula>0.9</formula>
    </cfRule>
    <cfRule type="cellIs" dxfId="870" priority="52" operator="greaterThan">
      <formula>0.85</formula>
    </cfRule>
  </conditionalFormatting>
  <conditionalFormatting sqref="E16">
    <cfRule type="expression" dxfId="869" priority="47">
      <formula>AND(IF(OR($Q16=1,$Q16=2),1,0),IF($X16&lt;=20,1,0))</formula>
    </cfRule>
    <cfRule type="expression" dxfId="868" priority="48">
      <formula>AND(IF($Q16=2,1,0),IF($X16&lt;30,1,0))</formula>
    </cfRule>
    <cfRule type="expression" dxfId="867" priority="49">
      <formula>AND(IF($Q16=3,1,0),IF($X16&lt;30,1,0))</formula>
    </cfRule>
    <cfRule type="expression" dxfId="866" priority="50">
      <formula>AND(IF($Q16=3,1,IF($Q16=4,1,0)),IF($F16&lt;=85,1,0))</formula>
    </cfRule>
  </conditionalFormatting>
  <conditionalFormatting sqref="X16">
    <cfRule type="expression" dxfId="865" priority="43">
      <formula>AND(IF(OR($Q16=1,$Q16=2),1,0),IF($X16&lt;=20,1,0))</formula>
    </cfRule>
    <cfRule type="expression" dxfId="864" priority="44">
      <formula>AND(IF($Q16=2,1,0),IF($X16&lt;30,1,0))</formula>
    </cfRule>
    <cfRule type="expression" dxfId="863" priority="45">
      <formula>AND(IF($Q16=3,1,0),IF($X16&lt;30,1,0))</formula>
    </cfRule>
    <cfRule type="expression" dxfId="862" priority="46">
      <formula>AND(IF($Q16=3,1,IF($Q16=4,1,0)),IF($F16&lt;=85,1,0))</formula>
    </cfRule>
  </conditionalFormatting>
  <conditionalFormatting sqref="AI16">
    <cfRule type="expression" dxfId="861" priority="39">
      <formula>AND(IF(OR($Q16=1,$Q16=2),1,0),IF($X16&lt;=20,1,0))</formula>
    </cfRule>
    <cfRule type="expression" dxfId="860" priority="40">
      <formula>AND(IF($Q16=2,1,0),IF($X16&lt;30,1,0))</formula>
    </cfRule>
    <cfRule type="expression" dxfId="859" priority="41">
      <formula>AND(IF($Q16=3,1,0),IF($X16&lt;30,1,0))</formula>
    </cfRule>
    <cfRule type="expression" dxfId="858" priority="42">
      <formula>AND(IF($Q16=3,1,IF($Q16=4,1,0)),IF($F16&lt;=85,1,0))</formula>
    </cfRule>
  </conditionalFormatting>
  <conditionalFormatting sqref="AV17">
    <cfRule type="expression" dxfId="857" priority="37">
      <formula>AV17="X"</formula>
    </cfRule>
    <cfRule type="expression" dxfId="856" priority="38">
      <formula>AV17="후보"</formula>
    </cfRule>
  </conditionalFormatting>
  <conditionalFormatting sqref="AC17">
    <cfRule type="cellIs" dxfId="855" priority="34" operator="greaterThan">
      <formula>0.9</formula>
    </cfRule>
    <cfRule type="cellIs" dxfId="854" priority="35" operator="greaterThan">
      <formula>0.85</formula>
    </cfRule>
  </conditionalFormatting>
  <conditionalFormatting sqref="N17">
    <cfRule type="cellIs" dxfId="853" priority="32" operator="greaterThan">
      <formula>0.9</formula>
    </cfRule>
    <cfRule type="cellIs" dxfId="852" priority="33" operator="greaterThan">
      <formula>0.85</formula>
    </cfRule>
  </conditionalFormatting>
  <conditionalFormatting sqref="E17">
    <cfRule type="expression" dxfId="851" priority="28">
      <formula>AND(IF(OR($Q17=1,$Q17=2),1,0),IF($X17&lt;=20,1,0))</formula>
    </cfRule>
    <cfRule type="expression" dxfId="850" priority="29">
      <formula>AND(IF($Q17=2,1,0),IF($X17&lt;30,1,0))</formula>
    </cfRule>
    <cfRule type="expression" dxfId="849" priority="30">
      <formula>AND(IF($Q17=3,1,0),IF($X17&lt;30,1,0))</formula>
    </cfRule>
    <cfRule type="expression" dxfId="848" priority="31">
      <formula>AND(IF($Q17=3,1,IF($Q17=4,1,0)),IF($F17&lt;=85,1,0))</formula>
    </cfRule>
  </conditionalFormatting>
  <conditionalFormatting sqref="X17">
    <cfRule type="expression" dxfId="847" priority="24">
      <formula>AND(IF(OR($Q17=1,$Q17=2),1,0),IF($X17&lt;=20,1,0))</formula>
    </cfRule>
    <cfRule type="expression" dxfId="846" priority="25">
      <formula>AND(IF($Q17=2,1,0),IF($X17&lt;30,1,0))</formula>
    </cfRule>
    <cfRule type="expression" dxfId="845" priority="26">
      <formula>AND(IF($Q17=3,1,0),IF($X17&lt;30,1,0))</formula>
    </cfRule>
    <cfRule type="expression" dxfId="844" priority="27">
      <formula>AND(IF($Q17=3,1,IF($Q17=4,1,0)),IF($F17&lt;=85,1,0))</formula>
    </cfRule>
  </conditionalFormatting>
  <conditionalFormatting sqref="AI17">
    <cfRule type="expression" dxfId="843" priority="20">
      <formula>AND(IF(OR($Q17=1,$Q17=2),1,0),IF($X17&lt;=20,1,0))</formula>
    </cfRule>
    <cfRule type="expression" dxfId="842" priority="21">
      <formula>AND(IF($Q17=2,1,0),IF($X17&lt;30,1,0))</formula>
    </cfRule>
    <cfRule type="expression" dxfId="841" priority="22">
      <formula>AND(IF($Q17=3,1,0),IF($X17&lt;30,1,0))</formula>
    </cfRule>
    <cfRule type="expression" dxfId="840" priority="23">
      <formula>AND(IF($Q17=3,1,IF($Q17=4,1,0)),IF($F17&lt;=85,1,0))</formula>
    </cfRule>
  </conditionalFormatting>
  <conditionalFormatting sqref="AV18">
    <cfRule type="expression" dxfId="839" priority="18">
      <formula>AV18="X"</formula>
    </cfRule>
    <cfRule type="expression" dxfId="838" priority="19">
      <formula>AV18="후보"</formula>
    </cfRule>
  </conditionalFormatting>
  <conditionalFormatting sqref="AC18">
    <cfRule type="cellIs" dxfId="837" priority="15" operator="greaterThan">
      <formula>0.9</formula>
    </cfRule>
    <cfRule type="cellIs" dxfId="836" priority="16" operator="greaterThan">
      <formula>0.85</formula>
    </cfRule>
  </conditionalFormatting>
  <conditionalFormatting sqref="N18">
    <cfRule type="cellIs" dxfId="835" priority="13" operator="greaterThan">
      <formula>0.9</formula>
    </cfRule>
    <cfRule type="cellIs" dxfId="834" priority="14" operator="greaterThan">
      <formula>0.85</formula>
    </cfRule>
  </conditionalFormatting>
  <conditionalFormatting sqref="E18">
    <cfRule type="expression" dxfId="833" priority="9">
      <formula>AND(IF(OR($Q18=1,$Q18=2),1,0),IF($X18&lt;=20,1,0))</formula>
    </cfRule>
    <cfRule type="expression" dxfId="832" priority="10">
      <formula>AND(IF($Q18=2,1,0),IF($X18&lt;30,1,0))</formula>
    </cfRule>
    <cfRule type="expression" dxfId="831" priority="11">
      <formula>AND(IF($Q18=3,1,0),IF($X18&lt;30,1,0))</formula>
    </cfRule>
    <cfRule type="expression" dxfId="830" priority="12">
      <formula>AND(IF($Q18=3,1,IF($Q18=4,1,0)),IF($F18&lt;=85,1,0))</formula>
    </cfRule>
  </conditionalFormatting>
  <conditionalFormatting sqref="X18">
    <cfRule type="expression" dxfId="829" priority="5">
      <formula>AND(IF(OR($Q18=1,$Q18=2),1,0),IF($X18&lt;=20,1,0))</formula>
    </cfRule>
    <cfRule type="expression" dxfId="828" priority="6">
      <formula>AND(IF($Q18=2,1,0),IF($X18&lt;30,1,0))</formula>
    </cfRule>
    <cfRule type="expression" dxfId="827" priority="7">
      <formula>AND(IF($Q18=3,1,0),IF($X18&lt;30,1,0))</formula>
    </cfRule>
    <cfRule type="expression" dxfId="826" priority="8">
      <formula>AND(IF($Q18=3,1,IF($Q18=4,1,0)),IF($F18&lt;=85,1,0))</formula>
    </cfRule>
  </conditionalFormatting>
  <conditionalFormatting sqref="AI18">
    <cfRule type="expression" dxfId="825" priority="1">
      <formula>AND(IF(OR($Q18=1,$Q18=2),1,0),IF($X18&lt;=20,1,0))</formula>
    </cfRule>
    <cfRule type="expression" dxfId="824" priority="2">
      <formula>AND(IF($Q18=2,1,0),IF($X18&lt;30,1,0))</formula>
    </cfRule>
    <cfRule type="expression" dxfId="823" priority="3">
      <formula>AND(IF($Q18=3,1,0),IF($X18&lt;30,1,0))</formula>
    </cfRule>
    <cfRule type="expression" dxfId="822" priority="4">
      <formula>AND(IF($Q18=3,1,IF($Q18=4,1,0)),IF($F18&lt;=85,1,0))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팔복동2가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1445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팔복동2가 팔복남양('99.05.,659^)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1447</v>
      </c>
      <c r="B6" s="10" t="s">
        <v>1624</v>
      </c>
      <c r="C6" s="87">
        <v>659</v>
      </c>
      <c r="D6" s="85">
        <v>56.6</v>
      </c>
      <c r="E6" s="86">
        <v>17</v>
      </c>
      <c r="F6" s="85">
        <v>37.799999999999997</v>
      </c>
      <c r="G6" s="17">
        <v>11</v>
      </c>
      <c r="H6" s="87">
        <v>95</v>
      </c>
      <c r="I6" s="88">
        <v>5100</v>
      </c>
      <c r="J6" s="88" t="s">
        <v>68</v>
      </c>
      <c r="K6" s="88"/>
      <c r="L6" s="88"/>
      <c r="M6" s="89">
        <f>I6-K6</f>
        <v>5100</v>
      </c>
      <c r="N6" s="4">
        <f>IF(ISERROR(K6/I6),"",K6/I6)</f>
        <v>0</v>
      </c>
      <c r="O6" s="90">
        <f>I6/E6</f>
        <v>300</v>
      </c>
      <c r="P6" s="90">
        <f>K6/E6</f>
        <v>0</v>
      </c>
      <c r="Q6" s="78">
        <v>1</v>
      </c>
      <c r="R6" s="78">
        <v>1</v>
      </c>
      <c r="S6" s="78" t="s">
        <v>65</v>
      </c>
      <c r="T6" s="5">
        <v>56</v>
      </c>
      <c r="U6" s="9"/>
      <c r="W6" s="85">
        <f t="shared" ref="W6:X8" si="1">D6</f>
        <v>56.6</v>
      </c>
      <c r="X6" s="86">
        <f t="shared" si="1"/>
        <v>17</v>
      </c>
      <c r="Y6" s="91">
        <f t="shared" ref="Y6:Z8" si="2">H6</f>
        <v>95</v>
      </c>
      <c r="Z6" s="89">
        <f t="shared" si="2"/>
        <v>5100</v>
      </c>
      <c r="AA6" s="89">
        <f>K6</f>
        <v>0</v>
      </c>
      <c r="AB6" s="89">
        <f t="shared" ref="AB6:AD8" si="3">M6</f>
        <v>5100</v>
      </c>
      <c r="AC6" s="4">
        <f t="shared" si="3"/>
        <v>0</v>
      </c>
      <c r="AD6" s="90">
        <f t="shared" si="3"/>
        <v>300</v>
      </c>
      <c r="AE6" s="78" t="str">
        <f>S6</f>
        <v>복</v>
      </c>
      <c r="AF6" s="78" t="str">
        <f>Q6&amp;"/"&amp;R6</f>
        <v>1/1</v>
      </c>
      <c r="AH6" s="20" t="str">
        <f>IF(A6="","",A6)</f>
        <v>팔복남양</v>
      </c>
      <c r="AI6" s="86">
        <f t="shared" si="0"/>
        <v>17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1447</v>
      </c>
      <c r="B7" s="10" t="s">
        <v>1624</v>
      </c>
      <c r="C7" s="87">
        <v>659</v>
      </c>
      <c r="D7" s="85">
        <v>70.900000000000006</v>
      </c>
      <c r="E7" s="86">
        <v>21</v>
      </c>
      <c r="F7" s="85">
        <v>49.5</v>
      </c>
      <c r="G7" s="17">
        <v>15</v>
      </c>
      <c r="H7" s="87">
        <v>122</v>
      </c>
      <c r="I7" s="88">
        <v>6000</v>
      </c>
      <c r="J7" s="88" t="s">
        <v>141</v>
      </c>
      <c r="K7" s="88"/>
      <c r="L7" s="88"/>
      <c r="M7" s="89">
        <f>I7-K7</f>
        <v>6000</v>
      </c>
      <c r="N7" s="4">
        <f>IF(ISERROR(K7/I7),"",K7/I7)</f>
        <v>0</v>
      </c>
      <c r="O7" s="90">
        <f>I7/E7</f>
        <v>285.71428571428572</v>
      </c>
      <c r="P7" s="90">
        <f>K7/E7</f>
        <v>0</v>
      </c>
      <c r="Q7" s="78">
        <v>2</v>
      </c>
      <c r="R7" s="78">
        <v>1</v>
      </c>
      <c r="S7" s="78" t="s">
        <v>65</v>
      </c>
      <c r="T7" s="5">
        <v>70</v>
      </c>
      <c r="U7" s="9"/>
      <c r="W7" s="85">
        <f t="shared" si="1"/>
        <v>70.900000000000006</v>
      </c>
      <c r="X7" s="86">
        <f t="shared" si="1"/>
        <v>21</v>
      </c>
      <c r="Y7" s="91">
        <f t="shared" si="2"/>
        <v>122</v>
      </c>
      <c r="Z7" s="89">
        <f t="shared" si="2"/>
        <v>6000</v>
      </c>
      <c r="AA7" s="89">
        <f>K7</f>
        <v>0</v>
      </c>
      <c r="AB7" s="89">
        <f t="shared" si="3"/>
        <v>6000</v>
      </c>
      <c r="AC7" s="4">
        <f t="shared" si="3"/>
        <v>0</v>
      </c>
      <c r="AD7" s="90">
        <f t="shared" si="3"/>
        <v>285.71428571428572</v>
      </c>
      <c r="AE7" s="78" t="str">
        <f>S7</f>
        <v>복</v>
      </c>
      <c r="AF7" s="78" t="str">
        <f>Q7&amp;"/"&amp;R7</f>
        <v>2/1</v>
      </c>
      <c r="AH7" s="20" t="str">
        <f>IF(A7="","",A7)</f>
        <v>팔복남양</v>
      </c>
      <c r="AI7" s="86">
        <f t="shared" si="0"/>
        <v>21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O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1447</v>
      </c>
      <c r="B8" s="10" t="s">
        <v>1624</v>
      </c>
      <c r="C8" s="87">
        <v>659</v>
      </c>
      <c r="D8" s="85">
        <v>77.5</v>
      </c>
      <c r="E8" s="86">
        <v>23</v>
      </c>
      <c r="F8" s="85">
        <v>60</v>
      </c>
      <c r="G8" s="17">
        <v>18</v>
      </c>
      <c r="H8" s="87">
        <v>281</v>
      </c>
      <c r="I8" s="88">
        <v>9000</v>
      </c>
      <c r="J8" s="88" t="s">
        <v>104</v>
      </c>
      <c r="K8" s="88"/>
      <c r="L8" s="88"/>
      <c r="M8" s="89">
        <f>I8-K8</f>
        <v>9000</v>
      </c>
      <c r="N8" s="4">
        <f>IF(ISERROR(K8/I8),"",K8/I8)</f>
        <v>0</v>
      </c>
      <c r="O8" s="90">
        <f>I8/E8</f>
        <v>391.30434782608694</v>
      </c>
      <c r="P8" s="90">
        <f>K8/E8</f>
        <v>0</v>
      </c>
      <c r="Q8" s="78">
        <v>3</v>
      </c>
      <c r="R8" s="78">
        <v>1</v>
      </c>
      <c r="S8" s="78" t="s">
        <v>59</v>
      </c>
      <c r="T8" s="5">
        <v>77</v>
      </c>
      <c r="U8" s="9"/>
      <c r="W8" s="85">
        <f t="shared" si="1"/>
        <v>77.5</v>
      </c>
      <c r="X8" s="86">
        <f t="shared" si="1"/>
        <v>23</v>
      </c>
      <c r="Y8" s="91">
        <f t="shared" si="2"/>
        <v>281</v>
      </c>
      <c r="Z8" s="89">
        <f t="shared" si="2"/>
        <v>9000</v>
      </c>
      <c r="AA8" s="89">
        <f>K8</f>
        <v>0</v>
      </c>
      <c r="AB8" s="89">
        <f t="shared" si="3"/>
        <v>9000</v>
      </c>
      <c r="AC8" s="4">
        <f t="shared" si="3"/>
        <v>0</v>
      </c>
      <c r="AD8" s="90">
        <f t="shared" si="3"/>
        <v>391.30434782608694</v>
      </c>
      <c r="AE8" s="78" t="str">
        <f>S8</f>
        <v>계</v>
      </c>
      <c r="AF8" s="78" t="str">
        <f>Q8&amp;"/"&amp;R8</f>
        <v>3/1</v>
      </c>
      <c r="AH8" s="20" t="str">
        <f>IF(A8="","",A8)</f>
        <v>팔복남양</v>
      </c>
      <c r="AI8" s="86">
        <f t="shared" si="0"/>
        <v>23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</sheetData>
  <mergeCells count="1">
    <mergeCell ref="AJ1:AN1"/>
  </mergeCells>
  <phoneticPr fontId="2" type="noConversion"/>
  <conditionalFormatting sqref="AV4:AV6">
    <cfRule type="expression" dxfId="821" priority="58">
      <formula>AV4="X"</formula>
    </cfRule>
    <cfRule type="expression" dxfId="820" priority="59">
      <formula>AV4="후보"</formula>
    </cfRule>
  </conditionalFormatting>
  <conditionalFormatting sqref="AC1:AC2 AC4:AC6 N4:N5">
    <cfRule type="cellIs" dxfId="819" priority="55" operator="greaterThan">
      <formula>0.9</formula>
    </cfRule>
    <cfRule type="cellIs" dxfId="818" priority="56" operator="greaterThan">
      <formula>0.85</formula>
    </cfRule>
  </conditionalFormatting>
  <conditionalFormatting sqref="N1:N2">
    <cfRule type="cellIs" dxfId="817" priority="53" operator="greaterThan">
      <formula>0.9</formula>
    </cfRule>
    <cfRule type="cellIs" dxfId="816" priority="54" operator="greaterThan">
      <formula>0.85</formula>
    </cfRule>
  </conditionalFormatting>
  <conditionalFormatting sqref="N6">
    <cfRule type="cellIs" dxfId="815" priority="51" operator="greaterThan">
      <formula>0.9</formula>
    </cfRule>
    <cfRule type="cellIs" dxfId="814" priority="52" operator="greaterThan">
      <formula>0.85</formula>
    </cfRule>
  </conditionalFormatting>
  <conditionalFormatting sqref="E6">
    <cfRule type="expression" dxfId="813" priority="47">
      <formula>AND(IF(OR($Q6=1,$Q6=2),1,0),IF($X6&lt;=20,1,0))</formula>
    </cfRule>
    <cfRule type="expression" dxfId="812" priority="48">
      <formula>AND(IF($Q6=2,1,0),IF($X6&lt;30,1,0))</formula>
    </cfRule>
    <cfRule type="expression" dxfId="811" priority="49">
      <formula>AND(IF($Q6=3,1,0),IF($X6&lt;30,1,0))</formula>
    </cfRule>
    <cfRule type="expression" dxfId="810" priority="50">
      <formula>AND(IF($Q6=3,1,IF($Q6=4,1,0)),IF($F6&lt;=85,1,0))</formula>
    </cfRule>
  </conditionalFormatting>
  <conditionalFormatting sqref="X6">
    <cfRule type="expression" dxfId="809" priority="43">
      <formula>AND(IF(OR($Q6=1,$Q6=2),1,0),IF($X6&lt;=20,1,0))</formula>
    </cfRule>
    <cfRule type="expression" dxfId="808" priority="44">
      <formula>AND(IF($Q6=2,1,0),IF($X6&lt;30,1,0))</formula>
    </cfRule>
    <cfRule type="expression" dxfId="807" priority="45">
      <formula>AND(IF($Q6=3,1,0),IF($X6&lt;30,1,0))</formula>
    </cfRule>
    <cfRule type="expression" dxfId="806" priority="46">
      <formula>AND(IF($Q6=3,1,IF($Q6=4,1,0)),IF($F6&lt;=85,1,0))</formula>
    </cfRule>
  </conditionalFormatting>
  <conditionalFormatting sqref="AI6">
    <cfRule type="expression" dxfId="805" priority="39">
      <formula>AND(IF(OR($Q6=1,$Q6=2),1,0),IF($X6&lt;=20,1,0))</formula>
    </cfRule>
    <cfRule type="expression" dxfId="804" priority="40">
      <formula>AND(IF($Q6=2,1,0),IF($X6&lt;30,1,0))</formula>
    </cfRule>
    <cfRule type="expression" dxfId="803" priority="41">
      <formula>AND(IF($Q6=3,1,0),IF($X6&lt;30,1,0))</formula>
    </cfRule>
    <cfRule type="expression" dxfId="802" priority="42">
      <formula>AND(IF($Q6=3,1,IF($Q6=4,1,0)),IF($F6&lt;=85,1,0))</formula>
    </cfRule>
  </conditionalFormatting>
  <conditionalFormatting sqref="AV7">
    <cfRule type="expression" dxfId="801" priority="37">
      <formula>AV7="X"</formula>
    </cfRule>
    <cfRule type="expression" dxfId="800" priority="38">
      <formula>AV7="후보"</formula>
    </cfRule>
  </conditionalFormatting>
  <conditionalFormatting sqref="AC7">
    <cfRule type="cellIs" dxfId="799" priority="34" operator="greaterThan">
      <formula>0.9</formula>
    </cfRule>
    <cfRule type="cellIs" dxfId="798" priority="35" operator="greaterThan">
      <formula>0.85</formula>
    </cfRule>
  </conditionalFormatting>
  <conditionalFormatting sqref="N7">
    <cfRule type="cellIs" dxfId="797" priority="32" operator="greaterThan">
      <formula>0.9</formula>
    </cfRule>
    <cfRule type="cellIs" dxfId="796" priority="33" operator="greaterThan">
      <formula>0.85</formula>
    </cfRule>
  </conditionalFormatting>
  <conditionalFormatting sqref="E7">
    <cfRule type="expression" dxfId="795" priority="28">
      <formula>AND(IF(OR($Q7=1,$Q7=2),1,0),IF($X7&lt;=20,1,0))</formula>
    </cfRule>
    <cfRule type="expression" dxfId="794" priority="29">
      <formula>AND(IF($Q7=2,1,0),IF($X7&lt;30,1,0))</formula>
    </cfRule>
    <cfRule type="expression" dxfId="793" priority="30">
      <formula>AND(IF($Q7=3,1,0),IF($X7&lt;30,1,0))</formula>
    </cfRule>
    <cfRule type="expression" dxfId="792" priority="31">
      <formula>AND(IF($Q7=3,1,IF($Q7=4,1,0)),IF($F7&lt;=85,1,0))</formula>
    </cfRule>
  </conditionalFormatting>
  <conditionalFormatting sqref="X7">
    <cfRule type="expression" dxfId="791" priority="24">
      <formula>AND(IF(OR($Q7=1,$Q7=2),1,0),IF($X7&lt;=20,1,0))</formula>
    </cfRule>
    <cfRule type="expression" dxfId="790" priority="25">
      <formula>AND(IF($Q7=2,1,0),IF($X7&lt;30,1,0))</formula>
    </cfRule>
    <cfRule type="expression" dxfId="789" priority="26">
      <formula>AND(IF($Q7=3,1,0),IF($X7&lt;30,1,0))</formula>
    </cfRule>
    <cfRule type="expression" dxfId="788" priority="27">
      <formula>AND(IF($Q7=3,1,IF($Q7=4,1,0)),IF($F7&lt;=85,1,0))</formula>
    </cfRule>
  </conditionalFormatting>
  <conditionalFormatting sqref="AI7">
    <cfRule type="expression" dxfId="787" priority="20">
      <formula>AND(IF(OR($Q7=1,$Q7=2),1,0),IF($X7&lt;=20,1,0))</formula>
    </cfRule>
    <cfRule type="expression" dxfId="786" priority="21">
      <formula>AND(IF($Q7=2,1,0),IF($X7&lt;30,1,0))</formula>
    </cfRule>
    <cfRule type="expression" dxfId="785" priority="22">
      <formula>AND(IF($Q7=3,1,0),IF($X7&lt;30,1,0))</formula>
    </cfRule>
    <cfRule type="expression" dxfId="784" priority="23">
      <formula>AND(IF($Q7=3,1,IF($Q7=4,1,0)),IF($F7&lt;=85,1,0))</formula>
    </cfRule>
  </conditionalFormatting>
  <conditionalFormatting sqref="AV8">
    <cfRule type="expression" dxfId="783" priority="18">
      <formula>AV8="X"</formula>
    </cfRule>
    <cfRule type="expression" dxfId="782" priority="19">
      <formula>AV8="후보"</formula>
    </cfRule>
  </conditionalFormatting>
  <conditionalFormatting sqref="AC8">
    <cfRule type="cellIs" dxfId="781" priority="15" operator="greaterThan">
      <formula>0.9</formula>
    </cfRule>
    <cfRule type="cellIs" dxfId="780" priority="16" operator="greaterThan">
      <formula>0.85</formula>
    </cfRule>
  </conditionalFormatting>
  <conditionalFormatting sqref="N8">
    <cfRule type="cellIs" dxfId="779" priority="13" operator="greaterThan">
      <formula>0.9</formula>
    </cfRule>
    <cfRule type="cellIs" dxfId="778" priority="14" operator="greaterThan">
      <formula>0.85</formula>
    </cfRule>
  </conditionalFormatting>
  <conditionalFormatting sqref="E8">
    <cfRule type="expression" dxfId="777" priority="9">
      <formula>AND(IF(OR($Q8=1,$Q8=2),1,0),IF($X8&lt;=20,1,0))</formula>
    </cfRule>
    <cfRule type="expression" dxfId="776" priority="10">
      <formula>AND(IF($Q8=2,1,0),IF($X8&lt;30,1,0))</formula>
    </cfRule>
    <cfRule type="expression" dxfId="775" priority="11">
      <formula>AND(IF($Q8=3,1,0),IF($X8&lt;30,1,0))</formula>
    </cfRule>
    <cfRule type="expression" dxfId="774" priority="12">
      <formula>AND(IF($Q8=3,1,IF($Q8=4,1,0)),IF($F8&lt;=85,1,0))</formula>
    </cfRule>
  </conditionalFormatting>
  <conditionalFormatting sqref="X8">
    <cfRule type="expression" dxfId="773" priority="5">
      <formula>AND(IF(OR($Q8=1,$Q8=2),1,0),IF($X8&lt;=20,1,0))</formula>
    </cfRule>
    <cfRule type="expression" dxfId="772" priority="6">
      <formula>AND(IF($Q8=2,1,0),IF($X8&lt;30,1,0))</formula>
    </cfRule>
    <cfRule type="expression" dxfId="771" priority="7">
      <formula>AND(IF($Q8=3,1,0),IF($X8&lt;30,1,0))</formula>
    </cfRule>
    <cfRule type="expression" dxfId="770" priority="8">
      <formula>AND(IF($Q8=3,1,IF($Q8=4,1,0)),IF($F8&lt;=85,1,0))</formula>
    </cfRule>
  </conditionalFormatting>
  <conditionalFormatting sqref="AI8">
    <cfRule type="expression" dxfId="769" priority="1">
      <formula>AND(IF(OR($Q8=1,$Q8=2),1,0),IF($X8&lt;=20,1,0))</formula>
    </cfRule>
    <cfRule type="expression" dxfId="768" priority="2">
      <formula>AND(IF($Q8=2,1,0),IF($X8&lt;30,1,0))</formula>
    </cfRule>
    <cfRule type="expression" dxfId="767" priority="3">
      <formula>AND(IF($Q8=3,1,0),IF($X8&lt;30,1,0))</formula>
    </cfRule>
    <cfRule type="expression" dxfId="766" priority="4">
      <formula>AND(IF($Q8=3,1,IF($Q8=4,1,0)),IF($F8&lt;=85,1,0))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호성동1가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1465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호성동1가 신동아1차('89.08.,320^)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48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1461</v>
      </c>
      <c r="B6" s="10" t="s">
        <v>1625</v>
      </c>
      <c r="C6" s="87">
        <v>320</v>
      </c>
      <c r="D6" s="85">
        <v>70</v>
      </c>
      <c r="E6" s="86">
        <v>21</v>
      </c>
      <c r="F6" s="85">
        <v>59.4</v>
      </c>
      <c r="G6" s="17">
        <v>18</v>
      </c>
      <c r="H6" s="87">
        <v>100</v>
      </c>
      <c r="I6" s="88"/>
      <c r="J6" s="88"/>
      <c r="K6" s="88">
        <v>6000</v>
      </c>
      <c r="L6" s="88" t="s">
        <v>89</v>
      </c>
      <c r="M6" s="89">
        <f>I6-K6</f>
        <v>-6000</v>
      </c>
      <c r="N6" s="4" t="str">
        <f>IF(ISERROR(K6/I6),"",K6/I6)</f>
        <v/>
      </c>
      <c r="O6" s="90">
        <f>I6/E6</f>
        <v>0</v>
      </c>
      <c r="P6" s="90">
        <f>K6/E6</f>
        <v>285.71428571428572</v>
      </c>
      <c r="Q6" s="78">
        <v>3</v>
      </c>
      <c r="R6" s="78">
        <v>1</v>
      </c>
      <c r="S6" s="78" t="s">
        <v>59</v>
      </c>
      <c r="T6" s="5" t="s">
        <v>124</v>
      </c>
      <c r="U6" s="9"/>
      <c r="W6" s="85">
        <f t="shared" ref="W6:X8" si="2">D6</f>
        <v>70</v>
      </c>
      <c r="X6" s="86">
        <f t="shared" si="2"/>
        <v>21</v>
      </c>
      <c r="Y6" s="91">
        <f t="shared" ref="Y6:Z8" si="3">H6</f>
        <v>100</v>
      </c>
      <c r="Z6" s="89">
        <f t="shared" si="3"/>
        <v>0</v>
      </c>
      <c r="AA6" s="89">
        <f>K6</f>
        <v>6000</v>
      </c>
      <c r="AB6" s="89">
        <f t="shared" ref="AB6:AD8" si="4">M6</f>
        <v>-6000</v>
      </c>
      <c r="AC6" s="4" t="str">
        <f t="shared" si="4"/>
        <v/>
      </c>
      <c r="AD6" s="90">
        <f t="shared" si="4"/>
        <v>0</v>
      </c>
      <c r="AE6" s="78" t="str">
        <f>S6</f>
        <v>계</v>
      </c>
      <c r="AF6" s="78" t="str">
        <f>Q6&amp;"/"&amp;R6</f>
        <v>3/1</v>
      </c>
      <c r="AH6" s="20" t="str">
        <f t="shared" si="1"/>
        <v>신동아1차</v>
      </c>
      <c r="AI6" s="86">
        <f t="shared" si="0"/>
        <v>21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  <row r="7" spans="1:48" x14ac:dyDescent="0.3">
      <c r="A7" s="9" t="s">
        <v>1461</v>
      </c>
      <c r="B7" s="10" t="s">
        <v>1625</v>
      </c>
      <c r="C7" s="87">
        <v>320</v>
      </c>
      <c r="D7" s="85">
        <v>70</v>
      </c>
      <c r="E7" s="86">
        <v>21</v>
      </c>
      <c r="F7" s="85">
        <v>59.5</v>
      </c>
      <c r="G7" s="17">
        <v>18</v>
      </c>
      <c r="H7" s="87">
        <v>95</v>
      </c>
      <c r="I7" s="88">
        <v>12000</v>
      </c>
      <c r="J7" s="88" t="s">
        <v>89</v>
      </c>
      <c r="K7" s="88">
        <v>5000</v>
      </c>
      <c r="L7" s="88" t="s">
        <v>89</v>
      </c>
      <c r="M7" s="89">
        <f>I7-K7</f>
        <v>7000</v>
      </c>
      <c r="N7" s="4">
        <f>IF(ISERROR(K7/I7),"",K7/I7)</f>
        <v>0.41666666666666669</v>
      </c>
      <c r="O7" s="90">
        <f>I7/E7</f>
        <v>571.42857142857144</v>
      </c>
      <c r="P7" s="90">
        <f>K7/E7</f>
        <v>238.0952380952381</v>
      </c>
      <c r="Q7" s="78">
        <v>3</v>
      </c>
      <c r="R7" s="78">
        <v>1</v>
      </c>
      <c r="S7" s="78" t="s">
        <v>59</v>
      </c>
      <c r="T7" s="5" t="s">
        <v>125</v>
      </c>
      <c r="U7" s="9"/>
      <c r="W7" s="85">
        <f t="shared" si="2"/>
        <v>70</v>
      </c>
      <c r="X7" s="86">
        <f t="shared" si="2"/>
        <v>21</v>
      </c>
      <c r="Y7" s="91">
        <f t="shared" si="3"/>
        <v>95</v>
      </c>
      <c r="Z7" s="89">
        <f t="shared" si="3"/>
        <v>12000</v>
      </c>
      <c r="AA7" s="89">
        <f>K7</f>
        <v>5000</v>
      </c>
      <c r="AB7" s="89">
        <f t="shared" si="4"/>
        <v>7000</v>
      </c>
      <c r="AC7" s="4">
        <f t="shared" si="4"/>
        <v>0.41666666666666669</v>
      </c>
      <c r="AD7" s="90">
        <f t="shared" si="4"/>
        <v>571.42857142857144</v>
      </c>
      <c r="AE7" s="78" t="str">
        <f>S7</f>
        <v>계</v>
      </c>
      <c r="AF7" s="78" t="str">
        <f>Q7&amp;"/"&amp;R7</f>
        <v>3/1</v>
      </c>
      <c r="AH7" s="20" t="str">
        <f t="shared" si="1"/>
        <v>신동아1차</v>
      </c>
      <c r="AI7" s="86">
        <f t="shared" si="0"/>
        <v>21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O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1461</v>
      </c>
      <c r="B8" s="10" t="s">
        <v>1625</v>
      </c>
      <c r="C8" s="87">
        <v>320</v>
      </c>
      <c r="D8" s="85">
        <v>76.2</v>
      </c>
      <c r="E8" s="86">
        <v>23</v>
      </c>
      <c r="F8" s="85">
        <v>59.5</v>
      </c>
      <c r="G8" s="17">
        <v>18</v>
      </c>
      <c r="H8" s="87">
        <v>125</v>
      </c>
      <c r="I8" s="88">
        <v>11800</v>
      </c>
      <c r="J8" s="88" t="s">
        <v>68</v>
      </c>
      <c r="K8" s="88"/>
      <c r="L8" s="88"/>
      <c r="M8" s="89">
        <f>I8-K8</f>
        <v>11800</v>
      </c>
      <c r="N8" s="4">
        <f>IF(ISERROR(K8/I8),"",K8/I8)</f>
        <v>0</v>
      </c>
      <c r="O8" s="90">
        <f>I8/E8</f>
        <v>513.04347826086962</v>
      </c>
      <c r="P8" s="90">
        <f>K8/E8</f>
        <v>0</v>
      </c>
      <c r="Q8" s="78">
        <v>3</v>
      </c>
      <c r="R8" s="78">
        <v>1</v>
      </c>
      <c r="S8" s="78" t="s">
        <v>59</v>
      </c>
      <c r="T8" s="5">
        <v>76</v>
      </c>
      <c r="U8" s="9"/>
      <c r="W8" s="85">
        <f t="shared" si="2"/>
        <v>76.2</v>
      </c>
      <c r="X8" s="86">
        <f t="shared" si="2"/>
        <v>23</v>
      </c>
      <c r="Y8" s="91">
        <f t="shared" si="3"/>
        <v>125</v>
      </c>
      <c r="Z8" s="89">
        <f t="shared" si="3"/>
        <v>11800</v>
      </c>
      <c r="AA8" s="89">
        <f>K8</f>
        <v>0</v>
      </c>
      <c r="AB8" s="89">
        <f t="shared" si="4"/>
        <v>11800</v>
      </c>
      <c r="AC8" s="4">
        <f t="shared" si="4"/>
        <v>0</v>
      </c>
      <c r="AD8" s="90">
        <f t="shared" si="4"/>
        <v>513.04347826086962</v>
      </c>
      <c r="AE8" s="78" t="str">
        <f>S8</f>
        <v>계</v>
      </c>
      <c r="AF8" s="78" t="str">
        <f>Q8&amp;"/"&amp;R8</f>
        <v>3/1</v>
      </c>
      <c r="AH8" s="20" t="str">
        <f t="shared" si="1"/>
        <v>신동아1차</v>
      </c>
      <c r="AI8" s="86">
        <f t="shared" si="0"/>
        <v>23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O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/>
      <c r="B9" s="78"/>
      <c r="C9" s="6"/>
      <c r="D9" s="9"/>
      <c r="E9" s="14"/>
      <c r="F9" s="85"/>
      <c r="G9" s="9"/>
      <c r="H9" s="9"/>
      <c r="I9" s="9"/>
      <c r="J9" s="9"/>
      <c r="K9" s="9"/>
      <c r="L9" s="9"/>
      <c r="M9" s="9"/>
      <c r="N9" s="9"/>
      <c r="O9" s="90"/>
      <c r="P9" s="90"/>
      <c r="Q9" s="86"/>
      <c r="R9" s="86"/>
      <c r="S9" s="9"/>
      <c r="T9" s="47"/>
      <c r="U9" s="9"/>
      <c r="W9" s="67" t="str">
        <f>$A$4&amp;" "&amp;A10&amp;"("&amp;B10&amp;","&amp;C10&amp;"^)"</f>
        <v>호성동1가 동아('94.12.,684^)</v>
      </c>
      <c r="X9" s="68"/>
      <c r="Y9" s="68"/>
      <c r="Z9" s="68"/>
      <c r="AA9" s="68"/>
      <c r="AB9" s="68"/>
      <c r="AC9" s="68"/>
      <c r="AD9" s="68"/>
      <c r="AE9" s="68"/>
      <c r="AF9" s="69"/>
      <c r="AH9" s="20" t="str">
        <f t="shared" si="1"/>
        <v/>
      </c>
      <c r="AI9" s="108" t="str">
        <f t="shared" si="0"/>
        <v/>
      </c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</row>
    <row r="10" spans="1:48" x14ac:dyDescent="0.3">
      <c r="A10" s="9" t="s">
        <v>1467</v>
      </c>
      <c r="B10" s="10" t="s">
        <v>1626</v>
      </c>
      <c r="C10" s="87">
        <v>684</v>
      </c>
      <c r="D10" s="85">
        <v>84.8</v>
      </c>
      <c r="E10" s="86">
        <v>26</v>
      </c>
      <c r="F10" s="85">
        <v>60</v>
      </c>
      <c r="G10" s="17">
        <v>18</v>
      </c>
      <c r="H10" s="87">
        <v>240</v>
      </c>
      <c r="I10" s="88">
        <v>9300</v>
      </c>
      <c r="J10" s="88" t="s">
        <v>69</v>
      </c>
      <c r="K10" s="88">
        <v>9000</v>
      </c>
      <c r="L10" s="88" t="s">
        <v>131</v>
      </c>
      <c r="M10" s="89">
        <f>I10-K10</f>
        <v>300</v>
      </c>
      <c r="N10" s="4">
        <f>IF(ISERROR(K10/I10),"",K10/I10)</f>
        <v>0.967741935483871</v>
      </c>
      <c r="O10" s="90">
        <f>I10/E10</f>
        <v>357.69230769230768</v>
      </c>
      <c r="P10" s="90">
        <f>K10/E10</f>
        <v>346.15384615384613</v>
      </c>
      <c r="Q10" s="78">
        <v>2</v>
      </c>
      <c r="R10" s="78">
        <v>1</v>
      </c>
      <c r="S10" s="78" t="s">
        <v>65</v>
      </c>
      <c r="T10" s="5">
        <v>84</v>
      </c>
      <c r="U10" s="9"/>
      <c r="W10" s="85">
        <f t="shared" ref="W10:X13" si="5">D10</f>
        <v>84.8</v>
      </c>
      <c r="X10" s="86">
        <f t="shared" si="5"/>
        <v>26</v>
      </c>
      <c r="Y10" s="91">
        <f t="shared" ref="Y10:Z13" si="6">H10</f>
        <v>240</v>
      </c>
      <c r="Z10" s="89">
        <f t="shared" si="6"/>
        <v>9300</v>
      </c>
      <c r="AA10" s="89">
        <f>K10</f>
        <v>9000</v>
      </c>
      <c r="AB10" s="89">
        <f t="shared" ref="AB10:AD13" si="7">M10</f>
        <v>300</v>
      </c>
      <c r="AC10" s="4">
        <f t="shared" si="7"/>
        <v>0.967741935483871</v>
      </c>
      <c r="AD10" s="90">
        <f t="shared" si="7"/>
        <v>357.69230769230768</v>
      </c>
      <c r="AE10" s="78" t="str">
        <f>S10</f>
        <v>복</v>
      </c>
      <c r="AF10" s="78" t="str">
        <f>Q10&amp;"/"&amp;R10</f>
        <v>2/1</v>
      </c>
      <c r="AH10" s="20" t="str">
        <f t="shared" si="1"/>
        <v>동아</v>
      </c>
      <c r="AI10" s="86">
        <f t="shared" si="0"/>
        <v>26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O</v>
      </c>
      <c r="AP10" s="78" t="str">
        <f>IF(I10="","",IF(I10&lt;=$AP$1,"O","X"))</f>
        <v>O</v>
      </c>
      <c r="AQ10" s="78" t="str">
        <f>IF(O10="","",IF(O10&lt;=$AQ$1,"O","X"))</f>
        <v>O</v>
      </c>
      <c r="AR10" s="78" t="str">
        <f>IF(M10="","",IF(M10&lt;=$AR$1,"O","X"))</f>
        <v>O</v>
      </c>
      <c r="AS10" s="78" t="s">
        <v>2</v>
      </c>
      <c r="AT10" s="78" t="str">
        <f>IF(OR(F10="",AI10=""),"",IF(AND((F10&lt;=85),(AI10&gt;=15)),"O","X"))</f>
        <v>O</v>
      </c>
      <c r="AU10" s="78" t="str">
        <f>IF(C10="","",IF(C10&gt;=$AU$1,"O","X"))</f>
        <v>O</v>
      </c>
      <c r="AV10" s="78" t="str">
        <f>IF(AO10="","",IF(AND(AO10="O",AP10="O",AR10="O",AT10="O",AU10="O"),"후보","X"))</f>
        <v>후보</v>
      </c>
    </row>
    <row r="11" spans="1:48" x14ac:dyDescent="0.3">
      <c r="A11" s="9" t="s">
        <v>1467</v>
      </c>
      <c r="B11" s="10" t="s">
        <v>1626</v>
      </c>
      <c r="C11" s="87">
        <v>684</v>
      </c>
      <c r="D11" s="85">
        <v>103.4</v>
      </c>
      <c r="E11" s="86">
        <v>31</v>
      </c>
      <c r="F11" s="85">
        <v>84.9</v>
      </c>
      <c r="G11" s="17">
        <v>26</v>
      </c>
      <c r="H11" s="87">
        <v>160</v>
      </c>
      <c r="I11" s="88"/>
      <c r="J11" s="88"/>
      <c r="K11" s="88">
        <v>18000</v>
      </c>
      <c r="L11" s="88" t="s">
        <v>82</v>
      </c>
      <c r="M11" s="89">
        <f>I11-K11</f>
        <v>-18000</v>
      </c>
      <c r="N11" s="4" t="str">
        <f>IF(ISERROR(K11/I11),"",K11/I11)</f>
        <v/>
      </c>
      <c r="O11" s="90">
        <f>I11/E11</f>
        <v>0</v>
      </c>
      <c r="P11" s="90">
        <f>K11/E11</f>
        <v>580.64516129032256</v>
      </c>
      <c r="Q11" s="78">
        <v>3</v>
      </c>
      <c r="R11" s="78">
        <v>2</v>
      </c>
      <c r="S11" s="78" t="s">
        <v>59</v>
      </c>
      <c r="T11" s="5">
        <v>103</v>
      </c>
      <c r="U11" s="9"/>
      <c r="W11" s="85">
        <f t="shared" si="5"/>
        <v>103.4</v>
      </c>
      <c r="X11" s="86">
        <f t="shared" si="5"/>
        <v>31</v>
      </c>
      <c r="Y11" s="91">
        <f t="shared" si="6"/>
        <v>160</v>
      </c>
      <c r="Z11" s="89">
        <f t="shared" si="6"/>
        <v>0</v>
      </c>
      <c r="AA11" s="89">
        <f>K11</f>
        <v>18000</v>
      </c>
      <c r="AB11" s="89">
        <f t="shared" si="7"/>
        <v>-18000</v>
      </c>
      <c r="AC11" s="4" t="str">
        <f t="shared" si="7"/>
        <v/>
      </c>
      <c r="AD11" s="90">
        <f t="shared" si="7"/>
        <v>0</v>
      </c>
      <c r="AE11" s="78" t="str">
        <f>S11</f>
        <v>계</v>
      </c>
      <c r="AF11" s="78" t="str">
        <f>Q11&amp;"/"&amp;R11</f>
        <v>3/2</v>
      </c>
      <c r="AH11" s="20" t="str">
        <f t="shared" si="1"/>
        <v>동아</v>
      </c>
      <c r="AI11" s="86">
        <f t="shared" si="0"/>
        <v>31</v>
      </c>
      <c r="AJ11" s="78" t="str">
        <f>IF(AI11="","",$AJ$2)</f>
        <v>A-</v>
      </c>
      <c r="AK11" s="78" t="s">
        <v>13</v>
      </c>
      <c r="AL11" s="78" t="s">
        <v>61</v>
      </c>
      <c r="AM11" s="78" t="s">
        <v>62</v>
      </c>
      <c r="AN11" s="78" t="str">
        <f>IF(AI11="","",$AN$2)</f>
        <v>C</v>
      </c>
      <c r="AO11" s="78" t="str">
        <f>IF(N11="","",IF(N11&gt;=$AO$1/100,"O","X"))</f>
        <v/>
      </c>
      <c r="AP11" s="78" t="str">
        <f>IF(I11="","",IF(I11&lt;=$AP$1,"O","X"))</f>
        <v/>
      </c>
      <c r="AQ11" s="78" t="str">
        <f>IF(O11="","",IF(O11&lt;=$AQ$1,"O","X"))</f>
        <v>O</v>
      </c>
      <c r="AR11" s="78" t="str">
        <f>IF(M11="","",IF(M11&lt;=$AR$1,"O","X"))</f>
        <v>O</v>
      </c>
      <c r="AS11" s="78" t="s">
        <v>2</v>
      </c>
      <c r="AT11" s="78" t="str">
        <f>IF(OR(F11="",AI11=""),"",IF(AND((F11&lt;=85),(AI11&gt;=15)),"O","X"))</f>
        <v>O</v>
      </c>
      <c r="AU11" s="78" t="str">
        <f>IF(C11="","",IF(C11&gt;=$AU$1,"O","X"))</f>
        <v>O</v>
      </c>
      <c r="AV11" s="78" t="str">
        <f>IF(AO11="","",IF(AND(AO11="O",AP11="O",AR11="O",AT11="O",AU11="O"),"후보","X"))</f>
        <v/>
      </c>
    </row>
    <row r="12" spans="1:48" x14ac:dyDescent="0.3">
      <c r="A12" s="9" t="s">
        <v>1467</v>
      </c>
      <c r="B12" s="10" t="s">
        <v>1626</v>
      </c>
      <c r="C12" s="87">
        <v>684</v>
      </c>
      <c r="D12" s="85">
        <v>105.5</v>
      </c>
      <c r="E12" s="86">
        <v>32</v>
      </c>
      <c r="F12" s="85">
        <v>84.9</v>
      </c>
      <c r="G12" s="17">
        <v>26</v>
      </c>
      <c r="H12" s="87">
        <v>224</v>
      </c>
      <c r="I12" s="88">
        <v>17000</v>
      </c>
      <c r="J12" s="88" t="s">
        <v>87</v>
      </c>
      <c r="K12" s="88"/>
      <c r="L12" s="88"/>
      <c r="M12" s="89">
        <f>I12-K12</f>
        <v>17000</v>
      </c>
      <c r="N12" s="4">
        <f>IF(ISERROR(K12/I12),"",K12/I12)</f>
        <v>0</v>
      </c>
      <c r="O12" s="90">
        <f>I12/E12</f>
        <v>531.25</v>
      </c>
      <c r="P12" s="90">
        <f>K12/E12</f>
        <v>0</v>
      </c>
      <c r="Q12" s="78">
        <v>3</v>
      </c>
      <c r="R12" s="78">
        <v>2</v>
      </c>
      <c r="S12" s="78" t="s">
        <v>59</v>
      </c>
      <c r="T12" s="5">
        <v>105</v>
      </c>
      <c r="U12" s="9"/>
      <c r="W12" s="85">
        <f t="shared" si="5"/>
        <v>105.5</v>
      </c>
      <c r="X12" s="86">
        <f t="shared" si="5"/>
        <v>32</v>
      </c>
      <c r="Y12" s="91">
        <f t="shared" si="6"/>
        <v>224</v>
      </c>
      <c r="Z12" s="89">
        <f t="shared" si="6"/>
        <v>17000</v>
      </c>
      <c r="AA12" s="89">
        <f>K12</f>
        <v>0</v>
      </c>
      <c r="AB12" s="89">
        <f t="shared" si="7"/>
        <v>17000</v>
      </c>
      <c r="AC12" s="4">
        <f t="shared" si="7"/>
        <v>0</v>
      </c>
      <c r="AD12" s="90">
        <f t="shared" si="7"/>
        <v>531.25</v>
      </c>
      <c r="AE12" s="78" t="str">
        <f>S12</f>
        <v>계</v>
      </c>
      <c r="AF12" s="78" t="str">
        <f>Q12&amp;"/"&amp;R12</f>
        <v>3/2</v>
      </c>
      <c r="AH12" s="20" t="str">
        <f t="shared" si="1"/>
        <v>동아</v>
      </c>
      <c r="AI12" s="86">
        <f t="shared" si="0"/>
        <v>32</v>
      </c>
      <c r="AJ12" s="78" t="str">
        <f>IF(AI12="","",$AJ$2)</f>
        <v>A-</v>
      </c>
      <c r="AK12" s="78" t="s">
        <v>13</v>
      </c>
      <c r="AL12" s="78" t="s">
        <v>61</v>
      </c>
      <c r="AM12" s="78" t="s">
        <v>62</v>
      </c>
      <c r="AN12" s="78" t="str">
        <f>IF(AI12="","",$AN$2)</f>
        <v>C</v>
      </c>
      <c r="AO12" s="78" t="str">
        <f>IF(N12="","",IF(N12&gt;=$AO$1/100,"O","X"))</f>
        <v>X</v>
      </c>
      <c r="AP12" s="78" t="str">
        <f>IF(I12="","",IF(I12&lt;=$AP$1,"O","X"))</f>
        <v>O</v>
      </c>
      <c r="AQ12" s="78" t="str">
        <f>IF(O12="","",IF(O12&lt;=$AQ$1,"O","X"))</f>
        <v>O</v>
      </c>
      <c r="AR12" s="78" t="str">
        <f>IF(M12="","",IF(M12&lt;=$AR$1,"O","X"))</f>
        <v>X</v>
      </c>
      <c r="AS12" s="78" t="s">
        <v>2</v>
      </c>
      <c r="AT12" s="78" t="str">
        <f>IF(OR(F12="",AI12=""),"",IF(AND((F12&lt;=85),(AI12&gt;=15)),"O","X"))</f>
        <v>O</v>
      </c>
      <c r="AU12" s="78" t="str">
        <f>IF(C12="","",IF(C12&gt;=$AU$1,"O","X"))</f>
        <v>O</v>
      </c>
      <c r="AV12" s="78" t="str">
        <f>IF(AO12="","",IF(AND(AO12="O",AP12="O",AR12="O",AT12="O",AU12="O"),"후보","X"))</f>
        <v>X</v>
      </c>
    </row>
    <row r="13" spans="1:48" x14ac:dyDescent="0.3">
      <c r="A13" s="9" t="s">
        <v>1467</v>
      </c>
      <c r="B13" s="10" t="s">
        <v>1626</v>
      </c>
      <c r="C13" s="87">
        <v>684</v>
      </c>
      <c r="D13" s="85">
        <v>149.1</v>
      </c>
      <c r="E13" s="86">
        <v>45</v>
      </c>
      <c r="F13" s="85">
        <v>128</v>
      </c>
      <c r="G13" s="17">
        <v>39</v>
      </c>
      <c r="H13" s="87">
        <v>60</v>
      </c>
      <c r="I13" s="88">
        <v>22000</v>
      </c>
      <c r="J13" s="88" t="s">
        <v>69</v>
      </c>
      <c r="K13" s="88"/>
      <c r="L13" s="88"/>
      <c r="M13" s="89">
        <f>I13-K13</f>
        <v>22000</v>
      </c>
      <c r="N13" s="4">
        <f>IF(ISERROR(K13/I13),"",K13/I13)</f>
        <v>0</v>
      </c>
      <c r="O13" s="90">
        <f>I13/E13</f>
        <v>488.88888888888891</v>
      </c>
      <c r="P13" s="90">
        <f>K13/E13</f>
        <v>0</v>
      </c>
      <c r="Q13" s="78">
        <v>4</v>
      </c>
      <c r="R13" s="78">
        <v>2</v>
      </c>
      <c r="S13" s="78" t="s">
        <v>59</v>
      </c>
      <c r="T13" s="5">
        <v>149</v>
      </c>
      <c r="U13" s="9"/>
      <c r="W13" s="85">
        <f t="shared" si="5"/>
        <v>149.1</v>
      </c>
      <c r="X13" s="86">
        <f t="shared" si="5"/>
        <v>45</v>
      </c>
      <c r="Y13" s="91">
        <f t="shared" si="6"/>
        <v>60</v>
      </c>
      <c r="Z13" s="89">
        <f t="shared" si="6"/>
        <v>22000</v>
      </c>
      <c r="AA13" s="89">
        <f>K13</f>
        <v>0</v>
      </c>
      <c r="AB13" s="89">
        <f t="shared" si="7"/>
        <v>22000</v>
      </c>
      <c r="AC13" s="4">
        <f t="shared" si="7"/>
        <v>0</v>
      </c>
      <c r="AD13" s="90">
        <f t="shared" si="7"/>
        <v>488.88888888888891</v>
      </c>
      <c r="AE13" s="78" t="str">
        <f>S13</f>
        <v>계</v>
      </c>
      <c r="AF13" s="78" t="str">
        <f>Q13&amp;"/"&amp;R13</f>
        <v>4/2</v>
      </c>
      <c r="AH13" s="20" t="str">
        <f t="shared" si="1"/>
        <v>동아</v>
      </c>
      <c r="AI13" s="86">
        <f t="shared" si="0"/>
        <v>45</v>
      </c>
      <c r="AJ13" s="78" t="str">
        <f>IF(AI13="","",$AJ$2)</f>
        <v>A-</v>
      </c>
      <c r="AK13" s="78" t="s">
        <v>13</v>
      </c>
      <c r="AL13" s="78" t="s">
        <v>61</v>
      </c>
      <c r="AM13" s="78" t="s">
        <v>62</v>
      </c>
      <c r="AN13" s="78" t="str">
        <f>IF(AI13="","",$AN$2)</f>
        <v>C</v>
      </c>
      <c r="AO13" s="78" t="str">
        <f>IF(N13="","",IF(N13&gt;=$AO$1/100,"O","X"))</f>
        <v>X</v>
      </c>
      <c r="AP13" s="78" t="str">
        <f>IF(I13="","",IF(I13&lt;=$AP$1,"O","X"))</f>
        <v>O</v>
      </c>
      <c r="AQ13" s="78" t="str">
        <f>IF(O13="","",IF(O13&lt;=$AQ$1,"O","X"))</f>
        <v>O</v>
      </c>
      <c r="AR13" s="78" t="str">
        <f>IF(M13="","",IF(M13&lt;=$AR$1,"O","X"))</f>
        <v>X</v>
      </c>
      <c r="AS13" s="78" t="s">
        <v>2</v>
      </c>
      <c r="AT13" s="78" t="str">
        <f>IF(OR(F13="",AI13=""),"",IF(AND((F13&lt;=85),(AI13&gt;=15)),"O","X"))</f>
        <v>X</v>
      </c>
      <c r="AU13" s="78" t="str">
        <f>IF(C13="","",IF(C13&gt;=$AU$1,"O","X"))</f>
        <v>O</v>
      </c>
      <c r="AV13" s="78" t="str">
        <f>IF(AO13="","",IF(AND(AO13="O",AP13="O",AR13="O",AT13="O",AU13="O"),"후보","X"))</f>
        <v>X</v>
      </c>
    </row>
    <row r="14" spans="1:48" x14ac:dyDescent="0.3">
      <c r="A14" s="9"/>
      <c r="B14" s="78"/>
      <c r="C14" s="6"/>
      <c r="D14" s="9"/>
      <c r="E14" s="14"/>
      <c r="F14" s="85"/>
      <c r="G14" s="9"/>
      <c r="H14" s="9"/>
      <c r="I14" s="9"/>
      <c r="J14" s="9"/>
      <c r="K14" s="9"/>
      <c r="L14" s="9"/>
      <c r="M14" s="9"/>
      <c r="N14" s="9"/>
      <c r="O14" s="90"/>
      <c r="P14" s="90"/>
      <c r="Q14" s="86"/>
      <c r="R14" s="86"/>
      <c r="S14" s="9"/>
      <c r="T14" s="47"/>
      <c r="U14" s="9"/>
      <c r="W14" s="67" t="str">
        <f>$A$4&amp;" "&amp;A15&amp;"("&amp;B15&amp;","&amp;C15&amp;"^)"</f>
        <v>호성동1가 진흥더블파크2단지('05.11.,720^)</v>
      </c>
      <c r="X14" s="68"/>
      <c r="Y14" s="68"/>
      <c r="Z14" s="68"/>
      <c r="AA14" s="68"/>
      <c r="AB14" s="68"/>
      <c r="AC14" s="68"/>
      <c r="AD14" s="68"/>
      <c r="AE14" s="68"/>
      <c r="AF14" s="69"/>
      <c r="AH14" s="20" t="str">
        <f t="shared" si="1"/>
        <v/>
      </c>
      <c r="AI14" s="108" t="str">
        <f t="shared" si="0"/>
        <v/>
      </c>
      <c r="AJ14" s="78"/>
      <c r="AK14" s="78"/>
      <c r="AL14" s="78"/>
      <c r="AM14" s="78"/>
      <c r="AN14" s="78"/>
      <c r="AO14" s="78"/>
      <c r="AP14" s="78"/>
      <c r="AQ14" s="78"/>
      <c r="AR14" s="78"/>
      <c r="AS14" s="78"/>
      <c r="AT14" s="78"/>
      <c r="AU14" s="78"/>
      <c r="AV14" s="78"/>
    </row>
    <row r="15" spans="1:48" x14ac:dyDescent="0.3">
      <c r="A15" s="9" t="s">
        <v>1481</v>
      </c>
      <c r="B15" s="10" t="s">
        <v>1627</v>
      </c>
      <c r="C15" s="87">
        <v>720</v>
      </c>
      <c r="D15" s="85">
        <v>110.4</v>
      </c>
      <c r="E15" s="86">
        <v>33</v>
      </c>
      <c r="F15" s="85">
        <v>84.8</v>
      </c>
      <c r="G15" s="17">
        <v>26</v>
      </c>
      <c r="H15" s="87">
        <v>352</v>
      </c>
      <c r="I15" s="88"/>
      <c r="J15" s="88"/>
      <c r="K15" s="88"/>
      <c r="L15" s="88"/>
      <c r="M15" s="89">
        <f>I15-K15</f>
        <v>0</v>
      </c>
      <c r="N15" s="4" t="str">
        <f>IF(ISERROR(K15/I15),"",K15/I15)</f>
        <v/>
      </c>
      <c r="O15" s="90">
        <f>I15/E15</f>
        <v>0</v>
      </c>
      <c r="P15" s="90">
        <f>K15/E15</f>
        <v>0</v>
      </c>
      <c r="Q15" s="78">
        <v>3</v>
      </c>
      <c r="R15" s="78">
        <v>2</v>
      </c>
      <c r="S15" s="78" t="s">
        <v>59</v>
      </c>
      <c r="T15" s="5">
        <v>110</v>
      </c>
      <c r="U15" s="9"/>
      <c r="W15" s="85">
        <f t="shared" ref="W15:X17" si="8">D15</f>
        <v>110.4</v>
      </c>
      <c r="X15" s="86">
        <f t="shared" si="8"/>
        <v>33</v>
      </c>
      <c r="Y15" s="91">
        <f t="shared" ref="Y15:Z17" si="9">H15</f>
        <v>352</v>
      </c>
      <c r="Z15" s="89">
        <f t="shared" si="9"/>
        <v>0</v>
      </c>
      <c r="AA15" s="89">
        <f>K15</f>
        <v>0</v>
      </c>
      <c r="AB15" s="89">
        <f t="shared" ref="AB15:AD17" si="10">M15</f>
        <v>0</v>
      </c>
      <c r="AC15" s="4" t="str">
        <f t="shared" si="10"/>
        <v/>
      </c>
      <c r="AD15" s="90">
        <f t="shared" si="10"/>
        <v>0</v>
      </c>
      <c r="AE15" s="78" t="str">
        <f>S15</f>
        <v>계</v>
      </c>
      <c r="AF15" s="78" t="str">
        <f>Q15&amp;"/"&amp;R15</f>
        <v>3/2</v>
      </c>
      <c r="AH15" s="20" t="str">
        <f t="shared" si="1"/>
        <v>진흥더블파크2단지</v>
      </c>
      <c r="AI15" s="86">
        <f t="shared" si="0"/>
        <v>33</v>
      </c>
      <c r="AJ15" s="78" t="str">
        <f>IF(AI15="","",$AJ$2)</f>
        <v>A-</v>
      </c>
      <c r="AK15" s="78" t="s">
        <v>13</v>
      </c>
      <c r="AL15" s="78" t="s">
        <v>61</v>
      </c>
      <c r="AM15" s="78" t="s">
        <v>62</v>
      </c>
      <c r="AN15" s="78" t="str">
        <f>IF(AI15="","",$AN$2)</f>
        <v>C</v>
      </c>
      <c r="AO15" s="78" t="str">
        <f>IF(N15="","",IF(N15&gt;=$AO$1/100,"O","X"))</f>
        <v/>
      </c>
      <c r="AP15" s="78" t="str">
        <f>IF(I15="","",IF(I15&lt;=$AP$1,"O","X"))</f>
        <v/>
      </c>
      <c r="AQ15" s="78" t="str">
        <f>IF(O15="","",IF(O15&lt;=$AQ$1,"O","X"))</f>
        <v>O</v>
      </c>
      <c r="AR15" s="78" t="str">
        <f>IF(M15="","",IF(M15&lt;=$AR$1,"O","X"))</f>
        <v>O</v>
      </c>
      <c r="AS15" s="78" t="s">
        <v>2</v>
      </c>
      <c r="AT15" s="78" t="str">
        <f>IF(OR(F15="",AI15=""),"",IF(AND((F15&lt;=85),(AI15&gt;=15)),"O","X"))</f>
        <v>O</v>
      </c>
      <c r="AU15" s="78" t="str">
        <f>IF(C15="","",IF(C15&gt;=$AU$1,"O","X"))</f>
        <v>O</v>
      </c>
      <c r="AV15" s="78" t="str">
        <f>IF(AO15="","",IF(AND(AO15="O",AP15="O",AR15="O",AT15="O",AU15="O"),"후보","X"))</f>
        <v/>
      </c>
    </row>
    <row r="16" spans="1:48" x14ac:dyDescent="0.3">
      <c r="A16" s="9" t="s">
        <v>1481</v>
      </c>
      <c r="B16" s="10" t="s">
        <v>1627</v>
      </c>
      <c r="C16" s="87">
        <v>720</v>
      </c>
      <c r="D16" s="85">
        <v>111.7</v>
      </c>
      <c r="E16" s="86">
        <v>34</v>
      </c>
      <c r="F16" s="85">
        <v>84.6</v>
      </c>
      <c r="G16" s="17">
        <v>26</v>
      </c>
      <c r="H16" s="87">
        <v>80</v>
      </c>
      <c r="I16" s="88">
        <v>30000</v>
      </c>
      <c r="J16" s="88" t="s">
        <v>93</v>
      </c>
      <c r="K16" s="88"/>
      <c r="L16" s="88"/>
      <c r="M16" s="89">
        <f>I16-K16</f>
        <v>30000</v>
      </c>
      <c r="N16" s="4">
        <f>IF(ISERROR(K16/I16),"",K16/I16)</f>
        <v>0</v>
      </c>
      <c r="O16" s="90">
        <f>I16/E16</f>
        <v>882.35294117647061</v>
      </c>
      <c r="P16" s="90">
        <f>K16/E16</f>
        <v>0</v>
      </c>
      <c r="Q16" s="78">
        <v>2</v>
      </c>
      <c r="R16" s="78">
        <v>2</v>
      </c>
      <c r="S16" s="78" t="s">
        <v>59</v>
      </c>
      <c r="T16" s="5">
        <v>111</v>
      </c>
      <c r="U16" s="9"/>
      <c r="W16" s="85">
        <f t="shared" si="8"/>
        <v>111.7</v>
      </c>
      <c r="X16" s="86">
        <f t="shared" si="8"/>
        <v>34</v>
      </c>
      <c r="Y16" s="91">
        <f t="shared" si="9"/>
        <v>80</v>
      </c>
      <c r="Z16" s="89">
        <f t="shared" si="9"/>
        <v>30000</v>
      </c>
      <c r="AA16" s="89">
        <f>K16</f>
        <v>0</v>
      </c>
      <c r="AB16" s="89">
        <f t="shared" si="10"/>
        <v>30000</v>
      </c>
      <c r="AC16" s="4">
        <f t="shared" si="10"/>
        <v>0</v>
      </c>
      <c r="AD16" s="90">
        <f t="shared" si="10"/>
        <v>882.35294117647061</v>
      </c>
      <c r="AE16" s="78" t="str">
        <f>S16</f>
        <v>계</v>
      </c>
      <c r="AF16" s="78" t="str">
        <f>Q16&amp;"/"&amp;R16</f>
        <v>2/2</v>
      </c>
      <c r="AH16" s="20" t="str">
        <f t="shared" si="1"/>
        <v>진흥더블파크2단지</v>
      </c>
      <c r="AI16" s="86">
        <f t="shared" si="0"/>
        <v>34</v>
      </c>
      <c r="AJ16" s="78" t="str">
        <f>IF(AI16="","",$AJ$2)</f>
        <v>A-</v>
      </c>
      <c r="AK16" s="78" t="s">
        <v>13</v>
      </c>
      <c r="AL16" s="78" t="s">
        <v>61</v>
      </c>
      <c r="AM16" s="78" t="s">
        <v>62</v>
      </c>
      <c r="AN16" s="78" t="str">
        <f>IF(AI16="","",$AN$2)</f>
        <v>C</v>
      </c>
      <c r="AO16" s="78" t="str">
        <f>IF(N16="","",IF(N16&gt;=$AO$1/100,"O","X"))</f>
        <v>X</v>
      </c>
      <c r="AP16" s="78" t="str">
        <f>IF(I16="","",IF(I16&lt;=$AP$1,"O","X"))</f>
        <v>O</v>
      </c>
      <c r="AQ16" s="78" t="str">
        <f>IF(O16="","",IF(O16&lt;=$AQ$1,"O","X"))</f>
        <v>O</v>
      </c>
      <c r="AR16" s="78" t="str">
        <f>IF(M16="","",IF(M16&lt;=$AR$1,"O","X"))</f>
        <v>X</v>
      </c>
      <c r="AS16" s="78" t="s">
        <v>2</v>
      </c>
      <c r="AT16" s="78" t="str">
        <f>IF(OR(F16="",AI16=""),"",IF(AND((F16&lt;=85),(AI16&gt;=15)),"O","X"))</f>
        <v>O</v>
      </c>
      <c r="AU16" s="78" t="str">
        <f>IF(C16="","",IF(C16&gt;=$AU$1,"O","X"))</f>
        <v>O</v>
      </c>
      <c r="AV16" s="78" t="str">
        <f>IF(AO16="","",IF(AND(AO16="O",AP16="O",AR16="O",AT16="O",AU16="O"),"후보","X"))</f>
        <v>X</v>
      </c>
    </row>
    <row r="17" spans="1:48" x14ac:dyDescent="0.3">
      <c r="A17" s="9" t="s">
        <v>1481</v>
      </c>
      <c r="B17" s="10" t="s">
        <v>1627</v>
      </c>
      <c r="C17" s="87">
        <v>720</v>
      </c>
      <c r="D17" s="85">
        <v>157.69999999999999</v>
      </c>
      <c r="E17" s="86">
        <v>48</v>
      </c>
      <c r="F17" s="85">
        <v>126.1</v>
      </c>
      <c r="G17" s="17">
        <v>38</v>
      </c>
      <c r="H17" s="87">
        <v>288</v>
      </c>
      <c r="I17" s="88"/>
      <c r="J17" s="88"/>
      <c r="K17" s="88"/>
      <c r="L17" s="88"/>
      <c r="M17" s="89">
        <f>I17-K17</f>
        <v>0</v>
      </c>
      <c r="N17" s="4" t="str">
        <f>IF(ISERROR(K17/I17),"",K17/I17)</f>
        <v/>
      </c>
      <c r="O17" s="90">
        <f>I17/E17</f>
        <v>0</v>
      </c>
      <c r="P17" s="90">
        <f>K17/E17</f>
        <v>0</v>
      </c>
      <c r="Q17" s="78">
        <v>4</v>
      </c>
      <c r="R17" s="78">
        <v>2</v>
      </c>
      <c r="S17" s="78" t="s">
        <v>59</v>
      </c>
      <c r="T17" s="5">
        <v>157</v>
      </c>
      <c r="U17" s="9"/>
      <c r="W17" s="85">
        <f t="shared" si="8"/>
        <v>157.69999999999999</v>
      </c>
      <c r="X17" s="86">
        <f t="shared" si="8"/>
        <v>48</v>
      </c>
      <c r="Y17" s="91">
        <f t="shared" si="9"/>
        <v>288</v>
      </c>
      <c r="Z17" s="89">
        <f t="shared" si="9"/>
        <v>0</v>
      </c>
      <c r="AA17" s="89">
        <f>K17</f>
        <v>0</v>
      </c>
      <c r="AB17" s="89">
        <f t="shared" si="10"/>
        <v>0</v>
      </c>
      <c r="AC17" s="4" t="str">
        <f t="shared" si="10"/>
        <v/>
      </c>
      <c r="AD17" s="90">
        <f t="shared" si="10"/>
        <v>0</v>
      </c>
      <c r="AE17" s="78" t="str">
        <f>S17</f>
        <v>계</v>
      </c>
      <c r="AF17" s="78" t="str">
        <f>Q17&amp;"/"&amp;R17</f>
        <v>4/2</v>
      </c>
      <c r="AH17" s="20" t="str">
        <f t="shared" si="1"/>
        <v>진흥더블파크2단지</v>
      </c>
      <c r="AI17" s="86">
        <f t="shared" si="0"/>
        <v>48</v>
      </c>
      <c r="AJ17" s="78" t="str">
        <f>IF(AI17="","",$AJ$2)</f>
        <v>A-</v>
      </c>
      <c r="AK17" s="78" t="s">
        <v>13</v>
      </c>
      <c r="AL17" s="78" t="s">
        <v>61</v>
      </c>
      <c r="AM17" s="78" t="s">
        <v>62</v>
      </c>
      <c r="AN17" s="78" t="str">
        <f>IF(AI17="","",$AN$2)</f>
        <v>C</v>
      </c>
      <c r="AO17" s="78" t="str">
        <f>IF(N17="","",IF(N17&gt;=$AO$1/100,"O","X"))</f>
        <v/>
      </c>
      <c r="AP17" s="78" t="str">
        <f>IF(I17="","",IF(I17&lt;=$AP$1,"O","X"))</f>
        <v/>
      </c>
      <c r="AQ17" s="78" t="str">
        <f>IF(O17="","",IF(O17&lt;=$AQ$1,"O","X"))</f>
        <v>O</v>
      </c>
      <c r="AR17" s="78" t="str">
        <f>IF(M17="","",IF(M17&lt;=$AR$1,"O","X"))</f>
        <v>O</v>
      </c>
      <c r="AS17" s="78" t="s">
        <v>2</v>
      </c>
      <c r="AT17" s="78" t="str">
        <f>IF(OR(F17="",AI17=""),"",IF(AND((F17&lt;=85),(AI17&gt;=15)),"O","X"))</f>
        <v>X</v>
      </c>
      <c r="AU17" s="78" t="str">
        <f>IF(C17="","",IF(C17&gt;=$AU$1,"O","X"))</f>
        <v>O</v>
      </c>
      <c r="AV17" s="78" t="str">
        <f>IF(AO17="","",IF(AND(AO17="O",AP17="O",AR17="O",AT17="O",AU17="O"),"후보","X"))</f>
        <v/>
      </c>
    </row>
    <row r="18" spans="1:48" x14ac:dyDescent="0.3">
      <c r="A18" s="9"/>
      <c r="B18" s="78"/>
      <c r="C18" s="6"/>
      <c r="D18" s="9"/>
      <c r="E18" s="14"/>
      <c r="F18" s="85"/>
      <c r="G18" s="9"/>
      <c r="H18" s="9"/>
      <c r="I18" s="9"/>
      <c r="J18" s="9"/>
      <c r="K18" s="9"/>
      <c r="L18" s="9"/>
      <c r="M18" s="9"/>
      <c r="N18" s="9"/>
      <c r="O18" s="90"/>
      <c r="P18" s="90"/>
      <c r="Q18" s="86"/>
      <c r="R18" s="86"/>
      <c r="S18" s="9"/>
      <c r="T18" s="47"/>
      <c r="U18" s="9"/>
      <c r="W18" s="67" t="str">
        <f>$A$4&amp;" "&amp;A19&amp;"("&amp;B19&amp;","&amp;C19&amp;"^)"</f>
        <v>호성동1가 유원파크맨션('91.07.,220^)</v>
      </c>
      <c r="X18" s="68"/>
      <c r="Y18" s="68"/>
      <c r="Z18" s="68"/>
      <c r="AA18" s="68"/>
      <c r="AB18" s="68"/>
      <c r="AC18" s="68"/>
      <c r="AD18" s="68"/>
      <c r="AE18" s="68"/>
      <c r="AF18" s="69"/>
      <c r="AH18" s="20" t="str">
        <f t="shared" si="1"/>
        <v/>
      </c>
      <c r="AI18" s="108" t="str">
        <f t="shared" si="0"/>
        <v/>
      </c>
      <c r="AJ18" s="78"/>
      <c r="AK18" s="78"/>
      <c r="AL18" s="78"/>
      <c r="AM18" s="78"/>
      <c r="AN18" s="78"/>
      <c r="AO18" s="78"/>
      <c r="AP18" s="78"/>
      <c r="AQ18" s="78"/>
      <c r="AR18" s="78"/>
      <c r="AS18" s="78"/>
      <c r="AT18" s="78"/>
      <c r="AU18" s="78"/>
      <c r="AV18" s="78"/>
    </row>
    <row r="19" spans="1:48" x14ac:dyDescent="0.3">
      <c r="A19" s="9" t="s">
        <v>1486</v>
      </c>
      <c r="B19" s="10" t="s">
        <v>1628</v>
      </c>
      <c r="C19" s="87">
        <v>220</v>
      </c>
      <c r="D19" s="85">
        <v>101.8</v>
      </c>
      <c r="E19" s="86">
        <v>31</v>
      </c>
      <c r="F19" s="85">
        <v>84.5</v>
      </c>
      <c r="G19" s="17">
        <v>26</v>
      </c>
      <c r="H19" s="87">
        <v>54</v>
      </c>
      <c r="I19" s="88"/>
      <c r="J19" s="88"/>
      <c r="K19" s="88"/>
      <c r="L19" s="88"/>
      <c r="M19" s="89">
        <f>I19-K19</f>
        <v>0</v>
      </c>
      <c r="N19" s="4" t="str">
        <f>IF(ISERROR(K19/I19),"",K19/I19)</f>
        <v/>
      </c>
      <c r="O19" s="90">
        <f>I19/E19</f>
        <v>0</v>
      </c>
      <c r="P19" s="90">
        <f>K19/E19</f>
        <v>0</v>
      </c>
      <c r="Q19" s="78">
        <v>3</v>
      </c>
      <c r="R19" s="78">
        <v>2</v>
      </c>
      <c r="S19" s="78" t="s">
        <v>59</v>
      </c>
      <c r="T19" s="5" t="s">
        <v>142</v>
      </c>
      <c r="U19" s="9"/>
      <c r="W19" s="85">
        <f t="shared" ref="W19:X21" si="11">D19</f>
        <v>101.8</v>
      </c>
      <c r="X19" s="86">
        <f t="shared" si="11"/>
        <v>31</v>
      </c>
      <c r="Y19" s="91">
        <f t="shared" ref="Y19:Z21" si="12">H19</f>
        <v>54</v>
      </c>
      <c r="Z19" s="89">
        <f t="shared" si="12"/>
        <v>0</v>
      </c>
      <c r="AA19" s="89">
        <f>K19</f>
        <v>0</v>
      </c>
      <c r="AB19" s="89">
        <f t="shared" ref="AB19:AD21" si="13">M19</f>
        <v>0</v>
      </c>
      <c r="AC19" s="4" t="str">
        <f t="shared" si="13"/>
        <v/>
      </c>
      <c r="AD19" s="90">
        <f t="shared" si="13"/>
        <v>0</v>
      </c>
      <c r="AE19" s="78" t="str">
        <f>S19</f>
        <v>계</v>
      </c>
      <c r="AF19" s="78" t="str">
        <f>Q19&amp;"/"&amp;R19</f>
        <v>3/2</v>
      </c>
      <c r="AH19" s="20" t="str">
        <f t="shared" si="1"/>
        <v>유원파크맨션</v>
      </c>
      <c r="AI19" s="86">
        <f t="shared" si="0"/>
        <v>31</v>
      </c>
      <c r="AJ19" s="78" t="str">
        <f>IF(AI19="","",$AJ$2)</f>
        <v>A-</v>
      </c>
      <c r="AK19" s="78" t="s">
        <v>13</v>
      </c>
      <c r="AL19" s="78" t="s">
        <v>61</v>
      </c>
      <c r="AM19" s="78" t="s">
        <v>62</v>
      </c>
      <c r="AN19" s="78" t="str">
        <f>IF(AI19="","",$AN$2)</f>
        <v>C</v>
      </c>
      <c r="AO19" s="78" t="str">
        <f>IF(N19="","",IF(N19&gt;=$AO$1/100,"O","X"))</f>
        <v/>
      </c>
      <c r="AP19" s="78" t="str">
        <f>IF(I19="","",IF(I19&lt;=$AP$1,"O","X"))</f>
        <v/>
      </c>
      <c r="AQ19" s="78" t="str">
        <f>IF(O19="","",IF(O19&lt;=$AQ$1,"O","X"))</f>
        <v>O</v>
      </c>
      <c r="AR19" s="78" t="str">
        <f>IF(M19="","",IF(M19&lt;=$AR$1,"O","X"))</f>
        <v>O</v>
      </c>
      <c r="AS19" s="78" t="s">
        <v>2</v>
      </c>
      <c r="AT19" s="78" t="str">
        <f>IF(OR(F19="",AI19=""),"",IF(AND((F19&lt;=85),(AI19&gt;=15)),"O","X"))</f>
        <v>O</v>
      </c>
      <c r="AU19" s="78" t="str">
        <f>IF(C19="","",IF(C19&gt;=$AU$1,"O","X"))</f>
        <v>X</v>
      </c>
      <c r="AV19" s="78" t="str">
        <f>IF(AO19="","",IF(AND(AO19="O",AP19="O",AR19="O",AT19="O",AU19="O"),"후보","X"))</f>
        <v/>
      </c>
    </row>
    <row r="20" spans="1:48" x14ac:dyDescent="0.3">
      <c r="A20" s="9" t="s">
        <v>1486</v>
      </c>
      <c r="B20" s="10" t="s">
        <v>1628</v>
      </c>
      <c r="C20" s="87">
        <v>220</v>
      </c>
      <c r="D20" s="85">
        <v>102.4</v>
      </c>
      <c r="E20" s="86">
        <v>31</v>
      </c>
      <c r="F20" s="85">
        <v>85</v>
      </c>
      <c r="G20" s="17">
        <v>26</v>
      </c>
      <c r="H20" s="87">
        <v>111</v>
      </c>
      <c r="I20" s="88"/>
      <c r="J20" s="88"/>
      <c r="K20" s="88"/>
      <c r="L20" s="88"/>
      <c r="M20" s="89">
        <f>I20-K20</f>
        <v>0</v>
      </c>
      <c r="N20" s="4" t="str">
        <f>IF(ISERROR(K20/I20),"",K20/I20)</f>
        <v/>
      </c>
      <c r="O20" s="90">
        <f>I20/E20</f>
        <v>0</v>
      </c>
      <c r="P20" s="90">
        <f>K20/E20</f>
        <v>0</v>
      </c>
      <c r="Q20" s="78">
        <v>3</v>
      </c>
      <c r="R20" s="78">
        <v>2</v>
      </c>
      <c r="S20" s="78" t="s">
        <v>59</v>
      </c>
      <c r="T20" s="5" t="s">
        <v>135</v>
      </c>
      <c r="U20" s="9"/>
      <c r="W20" s="85">
        <f t="shared" si="11"/>
        <v>102.4</v>
      </c>
      <c r="X20" s="86">
        <f t="shared" si="11"/>
        <v>31</v>
      </c>
      <c r="Y20" s="91">
        <f t="shared" si="12"/>
        <v>111</v>
      </c>
      <c r="Z20" s="89">
        <f t="shared" si="12"/>
        <v>0</v>
      </c>
      <c r="AA20" s="89">
        <f>K20</f>
        <v>0</v>
      </c>
      <c r="AB20" s="89">
        <f t="shared" si="13"/>
        <v>0</v>
      </c>
      <c r="AC20" s="4" t="str">
        <f t="shared" si="13"/>
        <v/>
      </c>
      <c r="AD20" s="90">
        <f t="shared" si="13"/>
        <v>0</v>
      </c>
      <c r="AE20" s="78" t="str">
        <f>S20</f>
        <v>계</v>
      </c>
      <c r="AF20" s="78" t="str">
        <f>Q20&amp;"/"&amp;R20</f>
        <v>3/2</v>
      </c>
      <c r="AH20" s="20" t="str">
        <f t="shared" si="1"/>
        <v>유원파크맨션</v>
      </c>
      <c r="AI20" s="86">
        <f t="shared" si="0"/>
        <v>31</v>
      </c>
      <c r="AJ20" s="78" t="str">
        <f>IF(AI20="","",$AJ$2)</f>
        <v>A-</v>
      </c>
      <c r="AK20" s="78" t="s">
        <v>13</v>
      </c>
      <c r="AL20" s="78" t="s">
        <v>61</v>
      </c>
      <c r="AM20" s="78" t="s">
        <v>62</v>
      </c>
      <c r="AN20" s="78" t="str">
        <f>IF(AI20="","",$AN$2)</f>
        <v>C</v>
      </c>
      <c r="AO20" s="78" t="str">
        <f>IF(N20="","",IF(N20&gt;=$AO$1/100,"O","X"))</f>
        <v/>
      </c>
      <c r="AP20" s="78" t="str">
        <f>IF(I20="","",IF(I20&lt;=$AP$1,"O","X"))</f>
        <v/>
      </c>
      <c r="AQ20" s="78" t="str">
        <f>IF(O20="","",IF(O20&lt;=$AQ$1,"O","X"))</f>
        <v>O</v>
      </c>
      <c r="AR20" s="78" t="str">
        <f>IF(M20="","",IF(M20&lt;=$AR$1,"O","X"))</f>
        <v>O</v>
      </c>
      <c r="AS20" s="78" t="s">
        <v>2</v>
      </c>
      <c r="AT20" s="78" t="str">
        <f>IF(OR(F20="",AI20=""),"",IF(AND((F20&lt;=85),(AI20&gt;=15)),"O","X"))</f>
        <v>O</v>
      </c>
      <c r="AU20" s="78" t="str">
        <f>IF(C20="","",IF(C20&gt;=$AU$1,"O","X"))</f>
        <v>X</v>
      </c>
      <c r="AV20" s="78" t="str">
        <f>IF(AO20="","",IF(AND(AO20="O",AP20="O",AR20="O",AT20="O",AU20="O"),"후보","X"))</f>
        <v/>
      </c>
    </row>
    <row r="21" spans="1:48" x14ac:dyDescent="0.3">
      <c r="A21" s="9" t="s">
        <v>1486</v>
      </c>
      <c r="B21" s="10" t="s">
        <v>1628</v>
      </c>
      <c r="C21" s="87">
        <v>220</v>
      </c>
      <c r="D21" s="85">
        <v>148.6</v>
      </c>
      <c r="E21" s="86">
        <v>45</v>
      </c>
      <c r="F21" s="85">
        <v>127.9</v>
      </c>
      <c r="G21" s="17">
        <v>39</v>
      </c>
      <c r="H21" s="87">
        <v>55</v>
      </c>
      <c r="I21" s="88"/>
      <c r="J21" s="88"/>
      <c r="K21" s="88"/>
      <c r="L21" s="88"/>
      <c r="M21" s="89">
        <f>I21-K21</f>
        <v>0</v>
      </c>
      <c r="N21" s="4" t="str">
        <f>IF(ISERROR(K21/I21),"",K21/I21)</f>
        <v/>
      </c>
      <c r="O21" s="90">
        <f>I21/E21</f>
        <v>0</v>
      </c>
      <c r="P21" s="90">
        <f>K21/E21</f>
        <v>0</v>
      </c>
      <c r="Q21" s="78">
        <v>4</v>
      </c>
      <c r="R21" s="78">
        <v>2</v>
      </c>
      <c r="S21" s="78" t="s">
        <v>59</v>
      </c>
      <c r="T21" s="5">
        <v>148</v>
      </c>
      <c r="U21" s="9"/>
      <c r="W21" s="85">
        <f t="shared" si="11"/>
        <v>148.6</v>
      </c>
      <c r="X21" s="86">
        <f t="shared" si="11"/>
        <v>45</v>
      </c>
      <c r="Y21" s="91">
        <f t="shared" si="12"/>
        <v>55</v>
      </c>
      <c r="Z21" s="89">
        <f t="shared" si="12"/>
        <v>0</v>
      </c>
      <c r="AA21" s="89">
        <f>K21</f>
        <v>0</v>
      </c>
      <c r="AB21" s="89">
        <f t="shared" si="13"/>
        <v>0</v>
      </c>
      <c r="AC21" s="4" t="str">
        <f t="shared" si="13"/>
        <v/>
      </c>
      <c r="AD21" s="90">
        <f t="shared" si="13"/>
        <v>0</v>
      </c>
      <c r="AE21" s="78" t="str">
        <f>S21</f>
        <v>계</v>
      </c>
      <c r="AF21" s="78" t="str">
        <f>Q21&amp;"/"&amp;R21</f>
        <v>4/2</v>
      </c>
      <c r="AH21" s="20" t="str">
        <f t="shared" si="1"/>
        <v>유원파크맨션</v>
      </c>
      <c r="AI21" s="86">
        <f t="shared" si="0"/>
        <v>45</v>
      </c>
      <c r="AJ21" s="78" t="str">
        <f>IF(AI21="","",$AJ$2)</f>
        <v>A-</v>
      </c>
      <c r="AK21" s="78" t="s">
        <v>13</v>
      </c>
      <c r="AL21" s="78" t="s">
        <v>61</v>
      </c>
      <c r="AM21" s="78" t="s">
        <v>62</v>
      </c>
      <c r="AN21" s="78" t="str">
        <f>IF(AI21="","",$AN$2)</f>
        <v>C</v>
      </c>
      <c r="AO21" s="78" t="str">
        <f>IF(N21="","",IF(N21&gt;=$AO$1/100,"O","X"))</f>
        <v/>
      </c>
      <c r="AP21" s="78" t="str">
        <f>IF(I21="","",IF(I21&lt;=$AP$1,"O","X"))</f>
        <v/>
      </c>
      <c r="AQ21" s="78" t="str">
        <f>IF(O21="","",IF(O21&lt;=$AQ$1,"O","X"))</f>
        <v>O</v>
      </c>
      <c r="AR21" s="78" t="str">
        <f>IF(M21="","",IF(M21&lt;=$AR$1,"O","X"))</f>
        <v>O</v>
      </c>
      <c r="AS21" s="78" t="s">
        <v>2</v>
      </c>
      <c r="AT21" s="78" t="str">
        <f>IF(OR(F21="",AI21=""),"",IF(AND((F21&lt;=85),(AI21&gt;=15)),"O","X"))</f>
        <v>X</v>
      </c>
      <c r="AU21" s="78" t="str">
        <f>IF(C21="","",IF(C21&gt;=$AU$1,"O","X"))</f>
        <v>X</v>
      </c>
      <c r="AV21" s="78" t="str">
        <f>IF(AO21="","",IF(AND(AO21="O",AP21="O",AR21="O",AT21="O",AU21="O"),"후보","X"))</f>
        <v/>
      </c>
    </row>
    <row r="22" spans="1:48" x14ac:dyDescent="0.3">
      <c r="A22" s="9"/>
      <c r="B22" s="78"/>
      <c r="C22" s="6"/>
      <c r="D22" s="9"/>
      <c r="E22" s="14"/>
      <c r="F22" s="85"/>
      <c r="G22" s="9"/>
      <c r="H22" s="9"/>
      <c r="I22" s="9"/>
      <c r="J22" s="9"/>
      <c r="K22" s="9"/>
      <c r="L22" s="9"/>
      <c r="M22" s="9"/>
      <c r="N22" s="9"/>
      <c r="O22" s="90"/>
      <c r="P22" s="90"/>
      <c r="Q22" s="86"/>
      <c r="R22" s="86"/>
      <c r="S22" s="9"/>
      <c r="T22" s="47"/>
      <c r="U22" s="9"/>
      <c r="W22" s="67" t="str">
        <f>$A$4&amp;" "&amp;A23&amp;"("&amp;B23&amp;","&amp;C23&amp;"^)"</f>
        <v>호성동1가 LG동아('95.04.,796^)</v>
      </c>
      <c r="X22" s="68"/>
      <c r="Y22" s="68"/>
      <c r="Z22" s="68"/>
      <c r="AA22" s="68"/>
      <c r="AB22" s="68"/>
      <c r="AC22" s="68"/>
      <c r="AD22" s="68"/>
      <c r="AE22" s="68"/>
      <c r="AF22" s="69"/>
      <c r="AH22" s="20" t="str">
        <f t="shared" si="1"/>
        <v/>
      </c>
      <c r="AI22" s="108" t="str">
        <f t="shared" si="0"/>
        <v/>
      </c>
      <c r="AJ22" s="78"/>
      <c r="AK22" s="78"/>
      <c r="AL22" s="78"/>
      <c r="AM22" s="78"/>
      <c r="AN22" s="78"/>
      <c r="AO22" s="78"/>
      <c r="AP22" s="78"/>
      <c r="AQ22" s="78"/>
      <c r="AR22" s="78"/>
      <c r="AS22" s="78"/>
      <c r="AT22" s="78"/>
      <c r="AU22" s="78"/>
      <c r="AV22" s="78"/>
    </row>
    <row r="23" spans="1:48" x14ac:dyDescent="0.3">
      <c r="A23" s="9" t="s">
        <v>1491</v>
      </c>
      <c r="B23" s="10" t="s">
        <v>1629</v>
      </c>
      <c r="C23" s="87">
        <v>796</v>
      </c>
      <c r="D23" s="85">
        <v>79.2</v>
      </c>
      <c r="E23" s="86">
        <v>24</v>
      </c>
      <c r="F23" s="85">
        <v>60</v>
      </c>
      <c r="G23" s="17">
        <v>18</v>
      </c>
      <c r="H23" s="87">
        <v>288</v>
      </c>
      <c r="I23" s="88">
        <v>14500</v>
      </c>
      <c r="J23" s="88" t="s">
        <v>68</v>
      </c>
      <c r="K23" s="88"/>
      <c r="L23" s="88"/>
      <c r="M23" s="89">
        <f>I23-K23</f>
        <v>14500</v>
      </c>
      <c r="N23" s="4">
        <f>IF(ISERROR(K23/I23),"",K23/I23)</f>
        <v>0</v>
      </c>
      <c r="O23" s="90">
        <f>I23/E23</f>
        <v>604.16666666666663</v>
      </c>
      <c r="P23" s="90">
        <f>K23/E23</f>
        <v>0</v>
      </c>
      <c r="Q23" s="78">
        <v>3</v>
      </c>
      <c r="R23" s="78">
        <v>1</v>
      </c>
      <c r="S23" s="78" t="s">
        <v>59</v>
      </c>
      <c r="T23" s="5">
        <v>79</v>
      </c>
      <c r="U23" s="9"/>
      <c r="W23" s="85">
        <f t="shared" ref="W23:X25" si="14">D23</f>
        <v>79.2</v>
      </c>
      <c r="X23" s="86">
        <f t="shared" si="14"/>
        <v>24</v>
      </c>
      <c r="Y23" s="91">
        <f t="shared" ref="Y23:Z25" si="15">H23</f>
        <v>288</v>
      </c>
      <c r="Z23" s="89">
        <f t="shared" si="15"/>
        <v>14500</v>
      </c>
      <c r="AA23" s="89">
        <f>K23</f>
        <v>0</v>
      </c>
      <c r="AB23" s="89">
        <f t="shared" ref="AB23:AD25" si="16">M23</f>
        <v>14500</v>
      </c>
      <c r="AC23" s="4">
        <f t="shared" si="16"/>
        <v>0</v>
      </c>
      <c r="AD23" s="90">
        <f t="shared" si="16"/>
        <v>604.16666666666663</v>
      </c>
      <c r="AE23" s="78" t="str">
        <f>S23</f>
        <v>계</v>
      </c>
      <c r="AF23" s="78" t="str">
        <f>Q23&amp;"/"&amp;R23</f>
        <v>3/1</v>
      </c>
      <c r="AH23" s="20" t="str">
        <f t="shared" si="1"/>
        <v>LG동아</v>
      </c>
      <c r="AI23" s="86">
        <f t="shared" si="0"/>
        <v>24</v>
      </c>
      <c r="AJ23" s="78" t="str">
        <f>IF(AI23="","",$AJ$2)</f>
        <v>A-</v>
      </c>
      <c r="AK23" s="78" t="s">
        <v>13</v>
      </c>
      <c r="AL23" s="78" t="s">
        <v>61</v>
      </c>
      <c r="AM23" s="78" t="s">
        <v>62</v>
      </c>
      <c r="AN23" s="78" t="str">
        <f>IF(AI23="","",$AN$2)</f>
        <v>C</v>
      </c>
      <c r="AO23" s="78" t="str">
        <f>IF(N23="","",IF(N23&gt;=$AO$1/100,"O","X"))</f>
        <v>X</v>
      </c>
      <c r="AP23" s="78" t="str">
        <f>IF(I23="","",IF(I23&lt;=$AP$1,"O","X"))</f>
        <v>O</v>
      </c>
      <c r="AQ23" s="78" t="str">
        <f>IF(O23="","",IF(O23&lt;=$AQ$1,"O","X"))</f>
        <v>O</v>
      </c>
      <c r="AR23" s="78" t="str">
        <f>IF(M23="","",IF(M23&lt;=$AR$1,"O","X"))</f>
        <v>X</v>
      </c>
      <c r="AS23" s="78" t="s">
        <v>2</v>
      </c>
      <c r="AT23" s="78" t="str">
        <f>IF(OR(F23="",AI23=""),"",IF(AND((F23&lt;=85),(AI23&gt;=15)),"O","X"))</f>
        <v>O</v>
      </c>
      <c r="AU23" s="78" t="str">
        <f>IF(C23="","",IF(C23&gt;=$AU$1,"O","X"))</f>
        <v>O</v>
      </c>
      <c r="AV23" s="78" t="str">
        <f>IF(AO23="","",IF(AND(AO23="O",AP23="O",AR23="O",AT23="O",AU23="O"),"후보","X"))</f>
        <v>X</v>
      </c>
    </row>
    <row r="24" spans="1:48" x14ac:dyDescent="0.3">
      <c r="A24" s="9" t="s">
        <v>1491</v>
      </c>
      <c r="B24" s="10" t="s">
        <v>1629</v>
      </c>
      <c r="C24" s="87">
        <v>796</v>
      </c>
      <c r="D24" s="85">
        <v>106.1</v>
      </c>
      <c r="E24" s="86">
        <v>32</v>
      </c>
      <c r="F24" s="85">
        <v>84.9</v>
      </c>
      <c r="G24" s="17">
        <v>26</v>
      </c>
      <c r="H24" s="87">
        <v>336</v>
      </c>
      <c r="I24" s="88">
        <v>18000</v>
      </c>
      <c r="J24" s="88" t="s">
        <v>82</v>
      </c>
      <c r="K24" s="88"/>
      <c r="L24" s="88"/>
      <c r="M24" s="89">
        <f>I24-K24</f>
        <v>18000</v>
      </c>
      <c r="N24" s="4">
        <f>IF(ISERROR(K24/I24),"",K24/I24)</f>
        <v>0</v>
      </c>
      <c r="O24" s="90">
        <f>I24/E24</f>
        <v>562.5</v>
      </c>
      <c r="P24" s="90">
        <f>K24/E24</f>
        <v>0</v>
      </c>
      <c r="Q24" s="78">
        <v>3</v>
      </c>
      <c r="R24" s="78">
        <v>2</v>
      </c>
      <c r="S24" s="78" t="s">
        <v>59</v>
      </c>
      <c r="T24" s="5">
        <v>106</v>
      </c>
      <c r="U24" s="9"/>
      <c r="W24" s="85">
        <f t="shared" si="14"/>
        <v>106.1</v>
      </c>
      <c r="X24" s="86">
        <f t="shared" si="14"/>
        <v>32</v>
      </c>
      <c r="Y24" s="91">
        <f t="shared" si="15"/>
        <v>336</v>
      </c>
      <c r="Z24" s="89">
        <f t="shared" si="15"/>
        <v>18000</v>
      </c>
      <c r="AA24" s="89">
        <f>K24</f>
        <v>0</v>
      </c>
      <c r="AB24" s="89">
        <f t="shared" si="16"/>
        <v>18000</v>
      </c>
      <c r="AC24" s="4">
        <f t="shared" si="16"/>
        <v>0</v>
      </c>
      <c r="AD24" s="90">
        <f t="shared" si="16"/>
        <v>562.5</v>
      </c>
      <c r="AE24" s="78" t="str">
        <f>S24</f>
        <v>계</v>
      </c>
      <c r="AF24" s="78" t="str">
        <f>Q24&amp;"/"&amp;R24</f>
        <v>3/2</v>
      </c>
      <c r="AH24" s="20" t="str">
        <f t="shared" si="1"/>
        <v>LG동아</v>
      </c>
      <c r="AI24" s="86">
        <f t="shared" si="0"/>
        <v>32</v>
      </c>
      <c r="AJ24" s="78" t="str">
        <f>IF(AI24="","",$AJ$2)</f>
        <v>A-</v>
      </c>
      <c r="AK24" s="78" t="s">
        <v>13</v>
      </c>
      <c r="AL24" s="78" t="s">
        <v>61</v>
      </c>
      <c r="AM24" s="78" t="s">
        <v>62</v>
      </c>
      <c r="AN24" s="78" t="str">
        <f>IF(AI24="","",$AN$2)</f>
        <v>C</v>
      </c>
      <c r="AO24" s="78" t="str">
        <f>IF(N24="","",IF(N24&gt;=$AO$1/100,"O","X"))</f>
        <v>X</v>
      </c>
      <c r="AP24" s="78" t="str">
        <f>IF(I24="","",IF(I24&lt;=$AP$1,"O","X"))</f>
        <v>O</v>
      </c>
      <c r="AQ24" s="78" t="str">
        <f>IF(O24="","",IF(O24&lt;=$AQ$1,"O","X"))</f>
        <v>O</v>
      </c>
      <c r="AR24" s="78" t="str">
        <f>IF(M24="","",IF(M24&lt;=$AR$1,"O","X"))</f>
        <v>X</v>
      </c>
      <c r="AS24" s="78" t="s">
        <v>2</v>
      </c>
      <c r="AT24" s="78" t="str">
        <f>IF(OR(F24="",AI24=""),"",IF(AND((F24&lt;=85),(AI24&gt;=15)),"O","X"))</f>
        <v>O</v>
      </c>
      <c r="AU24" s="78" t="str">
        <f>IF(C24="","",IF(C24&gt;=$AU$1,"O","X"))</f>
        <v>O</v>
      </c>
      <c r="AV24" s="78" t="str">
        <f>IF(AO24="","",IF(AND(AO24="O",AP24="O",AR24="O",AT24="O",AU24="O"),"후보","X"))</f>
        <v>X</v>
      </c>
    </row>
    <row r="25" spans="1:48" x14ac:dyDescent="0.3">
      <c r="A25" s="9" t="s">
        <v>1491</v>
      </c>
      <c r="B25" s="10" t="s">
        <v>1629</v>
      </c>
      <c r="C25" s="87">
        <v>796</v>
      </c>
      <c r="D25" s="85">
        <v>150.6</v>
      </c>
      <c r="E25" s="86">
        <v>46</v>
      </c>
      <c r="F25" s="85">
        <v>126.3</v>
      </c>
      <c r="G25" s="17">
        <v>38</v>
      </c>
      <c r="H25" s="87">
        <v>172</v>
      </c>
      <c r="I25" s="88">
        <v>27000</v>
      </c>
      <c r="J25" s="88" t="s">
        <v>141</v>
      </c>
      <c r="K25" s="88"/>
      <c r="L25" s="88"/>
      <c r="M25" s="89">
        <f>I25-K25</f>
        <v>27000</v>
      </c>
      <c r="N25" s="4">
        <f>IF(ISERROR(K25/I25),"",K25/I25)</f>
        <v>0</v>
      </c>
      <c r="O25" s="90">
        <f>I25/E25</f>
        <v>586.95652173913038</v>
      </c>
      <c r="P25" s="90">
        <f>K25/E25</f>
        <v>0</v>
      </c>
      <c r="Q25" s="78">
        <v>4</v>
      </c>
      <c r="R25" s="78">
        <v>2</v>
      </c>
      <c r="S25" s="78" t="s">
        <v>59</v>
      </c>
      <c r="T25" s="5">
        <v>150</v>
      </c>
      <c r="U25" s="9"/>
      <c r="W25" s="85">
        <f t="shared" si="14"/>
        <v>150.6</v>
      </c>
      <c r="X25" s="86">
        <f t="shared" si="14"/>
        <v>46</v>
      </c>
      <c r="Y25" s="91">
        <f t="shared" si="15"/>
        <v>172</v>
      </c>
      <c r="Z25" s="89">
        <f t="shared" si="15"/>
        <v>27000</v>
      </c>
      <c r="AA25" s="89">
        <f>K25</f>
        <v>0</v>
      </c>
      <c r="AB25" s="89">
        <f t="shared" si="16"/>
        <v>27000</v>
      </c>
      <c r="AC25" s="4">
        <f t="shared" si="16"/>
        <v>0</v>
      </c>
      <c r="AD25" s="90">
        <f t="shared" si="16"/>
        <v>586.95652173913038</v>
      </c>
      <c r="AE25" s="78" t="str">
        <f>S25</f>
        <v>계</v>
      </c>
      <c r="AF25" s="78" t="str">
        <f>Q25&amp;"/"&amp;R25</f>
        <v>4/2</v>
      </c>
      <c r="AH25" s="20" t="str">
        <f t="shared" si="1"/>
        <v>LG동아</v>
      </c>
      <c r="AI25" s="86">
        <f t="shared" si="0"/>
        <v>46</v>
      </c>
      <c r="AJ25" s="78" t="str">
        <f>IF(AI25="","",$AJ$2)</f>
        <v>A-</v>
      </c>
      <c r="AK25" s="78" t="s">
        <v>13</v>
      </c>
      <c r="AL25" s="78" t="s">
        <v>61</v>
      </c>
      <c r="AM25" s="78" t="s">
        <v>62</v>
      </c>
      <c r="AN25" s="78" t="str">
        <f>IF(AI25="","",$AN$2)</f>
        <v>C</v>
      </c>
      <c r="AO25" s="78" t="str">
        <f>IF(N25="","",IF(N25&gt;=$AO$1/100,"O","X"))</f>
        <v>X</v>
      </c>
      <c r="AP25" s="78" t="str">
        <f>IF(I25="","",IF(I25&lt;=$AP$1,"O","X"))</f>
        <v>O</v>
      </c>
      <c r="AQ25" s="78" t="str">
        <f>IF(O25="","",IF(O25&lt;=$AQ$1,"O","X"))</f>
        <v>O</v>
      </c>
      <c r="AR25" s="78" t="str">
        <f>IF(M25="","",IF(M25&lt;=$AR$1,"O","X"))</f>
        <v>X</v>
      </c>
      <c r="AS25" s="78" t="s">
        <v>2</v>
      </c>
      <c r="AT25" s="78" t="str">
        <f>IF(OR(F25="",AI25=""),"",IF(AND((F25&lt;=85),(AI25&gt;=15)),"O","X"))</f>
        <v>X</v>
      </c>
      <c r="AU25" s="78" t="str">
        <f>IF(C25="","",IF(C25&gt;=$AU$1,"O","X"))</f>
        <v>O</v>
      </c>
      <c r="AV25" s="78" t="str">
        <f>IF(AO25="","",IF(AND(AO25="O",AP25="O",AR25="O",AT25="O",AU25="O"),"후보","X"))</f>
        <v>X</v>
      </c>
    </row>
    <row r="26" spans="1:48" x14ac:dyDescent="0.3">
      <c r="A26" s="9"/>
      <c r="B26" s="78"/>
      <c r="C26" s="6"/>
      <c r="D26" s="9"/>
      <c r="E26" s="14"/>
      <c r="F26" s="85"/>
      <c r="G26" s="9"/>
      <c r="H26" s="9"/>
      <c r="I26" s="9"/>
      <c r="J26" s="9"/>
      <c r="K26" s="9"/>
      <c r="L26" s="9"/>
      <c r="M26" s="9"/>
      <c r="N26" s="9"/>
      <c r="O26" s="90"/>
      <c r="P26" s="90"/>
      <c r="Q26" s="86"/>
      <c r="R26" s="86"/>
      <c r="S26" s="9"/>
      <c r="T26" s="47"/>
      <c r="U26" s="9"/>
      <c r="W26" s="67" t="str">
        <f>$A$4&amp;" "&amp;A27&amp;"("&amp;B27&amp;","&amp;C27&amp;"^)"</f>
        <v>호성동1가 우신호성('89.07.,244^)</v>
      </c>
      <c r="X26" s="68"/>
      <c r="Y26" s="68"/>
      <c r="Z26" s="68"/>
      <c r="AA26" s="68"/>
      <c r="AB26" s="68"/>
      <c r="AC26" s="68"/>
      <c r="AD26" s="68"/>
      <c r="AE26" s="68"/>
      <c r="AF26" s="69"/>
      <c r="AH26" s="20" t="str">
        <f t="shared" si="1"/>
        <v/>
      </c>
      <c r="AI26" s="108" t="str">
        <f t="shared" si="0"/>
        <v/>
      </c>
      <c r="AJ26" s="78"/>
      <c r="AK26" s="78"/>
      <c r="AL26" s="78"/>
      <c r="AM26" s="78"/>
      <c r="AN26" s="78"/>
      <c r="AO26" s="78"/>
      <c r="AP26" s="78"/>
      <c r="AQ26" s="78"/>
      <c r="AR26" s="78"/>
      <c r="AS26" s="78"/>
      <c r="AT26" s="78"/>
      <c r="AU26" s="78"/>
      <c r="AV26" s="78"/>
    </row>
    <row r="27" spans="1:48" x14ac:dyDescent="0.3">
      <c r="A27" s="9" t="s">
        <v>1496</v>
      </c>
      <c r="B27" s="10" t="s">
        <v>1630</v>
      </c>
      <c r="C27" s="87">
        <v>244</v>
      </c>
      <c r="D27" s="85">
        <v>71.400000000000006</v>
      </c>
      <c r="E27" s="86">
        <v>22</v>
      </c>
      <c r="F27" s="85">
        <v>59.3</v>
      </c>
      <c r="G27" s="17">
        <v>18</v>
      </c>
      <c r="H27" s="87">
        <v>105</v>
      </c>
      <c r="I27" s="88"/>
      <c r="J27" s="88"/>
      <c r="K27" s="88"/>
      <c r="L27" s="88"/>
      <c r="M27" s="89">
        <f>I27-K27</f>
        <v>0</v>
      </c>
      <c r="N27" s="4" t="str">
        <f>IF(ISERROR(K27/I27),"",K27/I27)</f>
        <v/>
      </c>
      <c r="O27" s="90">
        <f>I27/E27</f>
        <v>0</v>
      </c>
      <c r="P27" s="90">
        <f>K27/E27</f>
        <v>0</v>
      </c>
      <c r="Q27" s="78">
        <v>2</v>
      </c>
      <c r="R27" s="78">
        <v>1</v>
      </c>
      <c r="S27" s="78" t="s">
        <v>65</v>
      </c>
      <c r="T27" s="5">
        <v>71</v>
      </c>
      <c r="U27" s="9"/>
      <c r="W27" s="85">
        <f>D27</f>
        <v>71.400000000000006</v>
      </c>
      <c r="X27" s="86">
        <f>E27</f>
        <v>22</v>
      </c>
      <c r="Y27" s="91">
        <f>H27</f>
        <v>105</v>
      </c>
      <c r="Z27" s="89">
        <f>I27</f>
        <v>0</v>
      </c>
      <c r="AA27" s="89">
        <f>K27</f>
        <v>0</v>
      </c>
      <c r="AB27" s="89">
        <f t="shared" ref="AB27:AD28" si="17">M27</f>
        <v>0</v>
      </c>
      <c r="AC27" s="4" t="str">
        <f t="shared" si="17"/>
        <v/>
      </c>
      <c r="AD27" s="90">
        <f t="shared" si="17"/>
        <v>0</v>
      </c>
      <c r="AE27" s="78" t="str">
        <f>S27</f>
        <v>복</v>
      </c>
      <c r="AF27" s="78" t="str">
        <f>Q27&amp;"/"&amp;R27</f>
        <v>2/1</v>
      </c>
      <c r="AH27" s="20" t="str">
        <f t="shared" si="1"/>
        <v>우신호성</v>
      </c>
      <c r="AI27" s="86">
        <f t="shared" si="0"/>
        <v>22</v>
      </c>
      <c r="AJ27" s="78" t="str">
        <f>IF(AI27="","",$AJ$2)</f>
        <v>A-</v>
      </c>
      <c r="AK27" s="78" t="s">
        <v>13</v>
      </c>
      <c r="AL27" s="78" t="s">
        <v>61</v>
      </c>
      <c r="AM27" s="78" t="s">
        <v>62</v>
      </c>
      <c r="AN27" s="78" t="str">
        <f>IF(AI27="","",$AN$2)</f>
        <v>C</v>
      </c>
      <c r="AO27" s="78" t="str">
        <f>IF(N27="","",IF(N27&gt;=$AO$1/100,"O","X"))</f>
        <v/>
      </c>
      <c r="AP27" s="78" t="str">
        <f>IF(I27="","",IF(I27&lt;=$AP$1,"O","X"))</f>
        <v/>
      </c>
      <c r="AQ27" s="78" t="str">
        <f>IF(O27="","",IF(O27&lt;=$AQ$1,"O","X"))</f>
        <v>O</v>
      </c>
      <c r="AR27" s="78" t="str">
        <f>IF(M27="","",IF(M27&lt;=$AR$1,"O","X"))</f>
        <v>O</v>
      </c>
      <c r="AS27" s="78" t="s">
        <v>2</v>
      </c>
      <c r="AT27" s="78" t="str">
        <f>IF(OR(F27="",AI27=""),"",IF(AND((F27&lt;=85),(AI27&gt;=15)),"O","X"))</f>
        <v>O</v>
      </c>
      <c r="AU27" s="78" t="str">
        <f>IF(C27="","",IF(C27&gt;=$AU$1,"O","X"))</f>
        <v>X</v>
      </c>
      <c r="AV27" s="78" t="str">
        <f>IF(AO27="","",IF(AND(AO27="O",AP27="O",AR27="O",AT27="O",AU27="O"),"후보","X"))</f>
        <v/>
      </c>
    </row>
    <row r="28" spans="1:48" x14ac:dyDescent="0.3">
      <c r="A28" s="9" t="s">
        <v>1496</v>
      </c>
      <c r="B28" s="10" t="s">
        <v>1630</v>
      </c>
      <c r="C28" s="87">
        <v>244</v>
      </c>
      <c r="D28" s="85">
        <v>76.099999999999994</v>
      </c>
      <c r="E28" s="86">
        <v>23</v>
      </c>
      <c r="F28" s="85">
        <v>58.3</v>
      </c>
      <c r="G28" s="17">
        <v>18</v>
      </c>
      <c r="H28" s="87">
        <v>139</v>
      </c>
      <c r="I28" s="88"/>
      <c r="J28" s="88"/>
      <c r="K28" s="88"/>
      <c r="L28" s="88"/>
      <c r="M28" s="89">
        <f>I28-K28</f>
        <v>0</v>
      </c>
      <c r="N28" s="4" t="str">
        <f>IF(ISERROR(K28/I28),"",K28/I28)</f>
        <v/>
      </c>
      <c r="O28" s="90">
        <f>I28/E28</f>
        <v>0</v>
      </c>
      <c r="P28" s="90">
        <f>K28/E28</f>
        <v>0</v>
      </c>
      <c r="Q28" s="78">
        <v>3</v>
      </c>
      <c r="R28" s="78">
        <v>1</v>
      </c>
      <c r="S28" s="78" t="s">
        <v>59</v>
      </c>
      <c r="T28" s="5">
        <v>76</v>
      </c>
      <c r="U28" s="9"/>
      <c r="W28" s="85">
        <f>D28</f>
        <v>76.099999999999994</v>
      </c>
      <c r="X28" s="86">
        <f>E28</f>
        <v>23</v>
      </c>
      <c r="Y28" s="91">
        <f>H28</f>
        <v>139</v>
      </c>
      <c r="Z28" s="89">
        <f>I28</f>
        <v>0</v>
      </c>
      <c r="AA28" s="89">
        <f>K28</f>
        <v>0</v>
      </c>
      <c r="AB28" s="89">
        <f t="shared" si="17"/>
        <v>0</v>
      </c>
      <c r="AC28" s="4" t="str">
        <f t="shared" si="17"/>
        <v/>
      </c>
      <c r="AD28" s="90">
        <f t="shared" si="17"/>
        <v>0</v>
      </c>
      <c r="AE28" s="78" t="str">
        <f>S28</f>
        <v>계</v>
      </c>
      <c r="AF28" s="78" t="str">
        <f>Q28&amp;"/"&amp;R28</f>
        <v>3/1</v>
      </c>
      <c r="AH28" s="20" t="str">
        <f t="shared" si="1"/>
        <v>우신호성</v>
      </c>
      <c r="AI28" s="86">
        <f t="shared" si="0"/>
        <v>23</v>
      </c>
      <c r="AJ28" s="78" t="str">
        <f>IF(AI28="","",$AJ$2)</f>
        <v>A-</v>
      </c>
      <c r="AK28" s="78" t="s">
        <v>13</v>
      </c>
      <c r="AL28" s="78" t="s">
        <v>61</v>
      </c>
      <c r="AM28" s="78" t="s">
        <v>62</v>
      </c>
      <c r="AN28" s="78" t="str">
        <f>IF(AI28="","",$AN$2)</f>
        <v>C</v>
      </c>
      <c r="AO28" s="78" t="str">
        <f>IF(N28="","",IF(N28&gt;=$AO$1/100,"O","X"))</f>
        <v/>
      </c>
      <c r="AP28" s="78" t="str">
        <f>IF(I28="","",IF(I28&lt;=$AP$1,"O","X"))</f>
        <v/>
      </c>
      <c r="AQ28" s="78" t="str">
        <f>IF(O28="","",IF(O28&lt;=$AQ$1,"O","X"))</f>
        <v>O</v>
      </c>
      <c r="AR28" s="78" t="str">
        <f>IF(M28="","",IF(M28&lt;=$AR$1,"O","X"))</f>
        <v>O</v>
      </c>
      <c r="AS28" s="78" t="s">
        <v>2</v>
      </c>
      <c r="AT28" s="78" t="str">
        <f>IF(OR(F28="",AI28=""),"",IF(AND((F28&lt;=85),(AI28&gt;=15)),"O","X"))</f>
        <v>O</v>
      </c>
      <c r="AU28" s="78" t="str">
        <f>IF(C28="","",IF(C28&gt;=$AU$1,"O","X"))</f>
        <v>X</v>
      </c>
      <c r="AV28" s="78" t="str">
        <f>IF(AO28="","",IF(AND(AO28="O",AP28="O",AR28="O",AT28="O",AU28="O"),"후보","X"))</f>
        <v/>
      </c>
    </row>
    <row r="29" spans="1:48" x14ac:dyDescent="0.3">
      <c r="A29" s="9"/>
      <c r="B29" s="78"/>
      <c r="C29" s="6"/>
      <c r="D29" s="9"/>
      <c r="E29" s="14"/>
      <c r="F29" s="85"/>
      <c r="G29" s="9"/>
      <c r="H29" s="9"/>
      <c r="I29" s="9"/>
      <c r="J29" s="9"/>
      <c r="K29" s="9"/>
      <c r="L29" s="9"/>
      <c r="M29" s="9"/>
      <c r="N29" s="9"/>
      <c r="O29" s="90"/>
      <c r="P29" s="90"/>
      <c r="Q29" s="86"/>
      <c r="R29" s="86"/>
      <c r="S29" s="9"/>
      <c r="T29" s="47"/>
      <c r="U29" s="9"/>
      <c r="W29" s="67" t="str">
        <f>$A$4&amp;" "&amp;A30&amp;"("&amp;B30&amp;","&amp;C30&amp;"^)"</f>
        <v>호성동1가 진흥더블파크1단지('05.11.,644^)</v>
      </c>
      <c r="X29" s="68"/>
      <c r="Y29" s="68"/>
      <c r="Z29" s="68"/>
      <c r="AA29" s="68"/>
      <c r="AB29" s="68"/>
      <c r="AC29" s="68"/>
      <c r="AD29" s="68"/>
      <c r="AE29" s="68"/>
      <c r="AF29" s="69"/>
      <c r="AH29" s="20" t="str">
        <f t="shared" si="1"/>
        <v/>
      </c>
      <c r="AI29" s="108" t="str">
        <f t="shared" si="0"/>
        <v/>
      </c>
      <c r="AJ29" s="78"/>
      <c r="AK29" s="78"/>
      <c r="AL29" s="78"/>
      <c r="AM29" s="78"/>
      <c r="AN29" s="78"/>
      <c r="AO29" s="78"/>
      <c r="AP29" s="78"/>
      <c r="AQ29" s="78"/>
      <c r="AR29" s="78"/>
      <c r="AS29" s="78"/>
      <c r="AT29" s="78"/>
      <c r="AU29" s="78"/>
      <c r="AV29" s="78"/>
    </row>
    <row r="30" spans="1:48" x14ac:dyDescent="0.3">
      <c r="A30" s="9" t="s">
        <v>1500</v>
      </c>
      <c r="B30" s="10" t="s">
        <v>1627</v>
      </c>
      <c r="C30" s="87">
        <v>644</v>
      </c>
      <c r="D30" s="85">
        <v>149</v>
      </c>
      <c r="E30" s="86">
        <v>45</v>
      </c>
      <c r="F30" s="85">
        <v>117.9</v>
      </c>
      <c r="G30" s="17">
        <v>36</v>
      </c>
      <c r="H30" s="87">
        <v>192</v>
      </c>
      <c r="I30" s="88">
        <v>47000</v>
      </c>
      <c r="J30" s="88" t="s">
        <v>104</v>
      </c>
      <c r="K30" s="88"/>
      <c r="L30" s="88"/>
      <c r="M30" s="89">
        <f>I30-K30</f>
        <v>47000</v>
      </c>
      <c r="N30" s="4">
        <f>IF(ISERROR(K30/I30),"",K30/I30)</f>
        <v>0</v>
      </c>
      <c r="O30" s="90">
        <f>I30/E30</f>
        <v>1044.4444444444443</v>
      </c>
      <c r="P30" s="90">
        <f>K30/E30</f>
        <v>0</v>
      </c>
      <c r="Q30" s="78">
        <v>4</v>
      </c>
      <c r="R30" s="78">
        <v>2</v>
      </c>
      <c r="S30" s="78" t="s">
        <v>59</v>
      </c>
      <c r="T30" s="5">
        <v>149</v>
      </c>
      <c r="U30" s="9"/>
      <c r="W30" s="85">
        <f t="shared" ref="W30:X33" si="18">D30</f>
        <v>149</v>
      </c>
      <c r="X30" s="86">
        <f t="shared" si="18"/>
        <v>45</v>
      </c>
      <c r="Y30" s="91">
        <f t="shared" ref="Y30:Z33" si="19">H30</f>
        <v>192</v>
      </c>
      <c r="Z30" s="89">
        <f t="shared" si="19"/>
        <v>47000</v>
      </c>
      <c r="AA30" s="89">
        <f>K30</f>
        <v>0</v>
      </c>
      <c r="AB30" s="89">
        <f t="shared" ref="AB30:AD33" si="20">M30</f>
        <v>47000</v>
      </c>
      <c r="AC30" s="4">
        <f t="shared" si="20"/>
        <v>0</v>
      </c>
      <c r="AD30" s="90">
        <f t="shared" si="20"/>
        <v>1044.4444444444443</v>
      </c>
      <c r="AE30" s="78" t="str">
        <f>S30</f>
        <v>계</v>
      </c>
      <c r="AF30" s="78" t="str">
        <f>Q30&amp;"/"&amp;R30</f>
        <v>4/2</v>
      </c>
      <c r="AH30" s="20" t="str">
        <f t="shared" si="1"/>
        <v>진흥더블파크1단지</v>
      </c>
      <c r="AI30" s="86">
        <f t="shared" si="0"/>
        <v>45</v>
      </c>
      <c r="AJ30" s="78" t="str">
        <f>IF(AI30="","",$AJ$2)</f>
        <v>A-</v>
      </c>
      <c r="AK30" s="78" t="s">
        <v>13</v>
      </c>
      <c r="AL30" s="78" t="s">
        <v>61</v>
      </c>
      <c r="AM30" s="78" t="s">
        <v>62</v>
      </c>
      <c r="AN30" s="78" t="str">
        <f>IF(AI30="","",$AN$2)</f>
        <v>C</v>
      </c>
      <c r="AO30" s="78" t="str">
        <f>IF(N30="","",IF(N30&gt;=$AO$1/100,"O","X"))</f>
        <v>X</v>
      </c>
      <c r="AP30" s="78" t="str">
        <f>IF(I30="","",IF(I30&lt;=$AP$1,"O","X"))</f>
        <v>X</v>
      </c>
      <c r="AQ30" s="78" t="str">
        <f>IF(O30="","",IF(O30&lt;=$AQ$1,"O","X"))</f>
        <v>X</v>
      </c>
      <c r="AR30" s="78" t="str">
        <f>IF(M30="","",IF(M30&lt;=$AR$1,"O","X"))</f>
        <v>X</v>
      </c>
      <c r="AS30" s="78" t="s">
        <v>2</v>
      </c>
      <c r="AT30" s="78" t="str">
        <f>IF(OR(F30="",AI30=""),"",IF(AND((F30&lt;=85),(AI30&gt;=15)),"O","X"))</f>
        <v>X</v>
      </c>
      <c r="AU30" s="78" t="str">
        <f>IF(C30="","",IF(C30&gt;=$AU$1,"O","X"))</f>
        <v>O</v>
      </c>
      <c r="AV30" s="78" t="str">
        <f>IF(AO30="","",IF(AND(AO30="O",AP30="O",AR30="O",AT30="O",AU30="O"),"후보","X"))</f>
        <v>X</v>
      </c>
    </row>
    <row r="31" spans="1:48" x14ac:dyDescent="0.3">
      <c r="A31" s="9" t="s">
        <v>1500</v>
      </c>
      <c r="B31" s="10" t="s">
        <v>1627</v>
      </c>
      <c r="C31" s="87">
        <v>644</v>
      </c>
      <c r="D31" s="85">
        <v>157.6</v>
      </c>
      <c r="E31" s="86">
        <v>48</v>
      </c>
      <c r="F31" s="85">
        <v>126.1</v>
      </c>
      <c r="G31" s="17">
        <v>38</v>
      </c>
      <c r="H31" s="87">
        <v>192</v>
      </c>
      <c r="I31" s="88"/>
      <c r="J31" s="88"/>
      <c r="K31" s="88"/>
      <c r="L31" s="88"/>
      <c r="M31" s="89">
        <f>I31-K31</f>
        <v>0</v>
      </c>
      <c r="N31" s="4" t="str">
        <f>IF(ISERROR(K31/I31),"",K31/I31)</f>
        <v/>
      </c>
      <c r="O31" s="90">
        <f>I31/E31</f>
        <v>0</v>
      </c>
      <c r="P31" s="90">
        <f>K31/E31</f>
        <v>0</v>
      </c>
      <c r="Q31" s="78">
        <v>4</v>
      </c>
      <c r="R31" s="78">
        <v>2</v>
      </c>
      <c r="S31" s="78" t="s">
        <v>59</v>
      </c>
      <c r="T31" s="5">
        <v>157</v>
      </c>
      <c r="U31" s="9"/>
      <c r="W31" s="85">
        <f t="shared" si="18"/>
        <v>157.6</v>
      </c>
      <c r="X31" s="86">
        <f t="shared" si="18"/>
        <v>48</v>
      </c>
      <c r="Y31" s="91">
        <f t="shared" si="19"/>
        <v>192</v>
      </c>
      <c r="Z31" s="89">
        <f t="shared" si="19"/>
        <v>0</v>
      </c>
      <c r="AA31" s="89">
        <f>K31</f>
        <v>0</v>
      </c>
      <c r="AB31" s="89">
        <f t="shared" si="20"/>
        <v>0</v>
      </c>
      <c r="AC31" s="4" t="str">
        <f t="shared" si="20"/>
        <v/>
      </c>
      <c r="AD31" s="90">
        <f t="shared" si="20"/>
        <v>0</v>
      </c>
      <c r="AE31" s="78" t="str">
        <f>S31</f>
        <v>계</v>
      </c>
      <c r="AF31" s="78" t="str">
        <f>Q31&amp;"/"&amp;R31</f>
        <v>4/2</v>
      </c>
      <c r="AH31" s="20" t="str">
        <f t="shared" si="1"/>
        <v>진흥더블파크1단지</v>
      </c>
      <c r="AI31" s="86">
        <f t="shared" si="0"/>
        <v>48</v>
      </c>
      <c r="AJ31" s="78" t="str">
        <f>IF(AI31="","",$AJ$2)</f>
        <v>A-</v>
      </c>
      <c r="AK31" s="78" t="s">
        <v>13</v>
      </c>
      <c r="AL31" s="78" t="s">
        <v>61</v>
      </c>
      <c r="AM31" s="78" t="s">
        <v>62</v>
      </c>
      <c r="AN31" s="78" t="str">
        <f>IF(AI31="","",$AN$2)</f>
        <v>C</v>
      </c>
      <c r="AO31" s="78" t="str">
        <f>IF(N31="","",IF(N31&gt;=$AO$1/100,"O","X"))</f>
        <v/>
      </c>
      <c r="AP31" s="78" t="str">
        <f>IF(I31="","",IF(I31&lt;=$AP$1,"O","X"))</f>
        <v/>
      </c>
      <c r="AQ31" s="78" t="str">
        <f>IF(O31="","",IF(O31&lt;=$AQ$1,"O","X"))</f>
        <v>O</v>
      </c>
      <c r="AR31" s="78" t="str">
        <f>IF(M31="","",IF(M31&lt;=$AR$1,"O","X"))</f>
        <v>O</v>
      </c>
      <c r="AS31" s="78" t="s">
        <v>2</v>
      </c>
      <c r="AT31" s="78" t="str">
        <f>IF(OR(F31="",AI31=""),"",IF(AND((F31&lt;=85),(AI31&gt;=15)),"O","X"))</f>
        <v>X</v>
      </c>
      <c r="AU31" s="78" t="str">
        <f>IF(C31="","",IF(C31&gt;=$AU$1,"O","X"))</f>
        <v>O</v>
      </c>
      <c r="AV31" s="78" t="str">
        <f>IF(AO31="","",IF(AND(AO31="O",AP31="O",AR31="O",AT31="O",AU31="O"),"후보","X"))</f>
        <v/>
      </c>
    </row>
    <row r="32" spans="1:48" x14ac:dyDescent="0.3">
      <c r="A32" s="9" t="s">
        <v>1500</v>
      </c>
      <c r="B32" s="10" t="s">
        <v>1627</v>
      </c>
      <c r="C32" s="87">
        <v>644</v>
      </c>
      <c r="D32" s="85">
        <v>175.3</v>
      </c>
      <c r="E32" s="86">
        <v>53</v>
      </c>
      <c r="F32" s="85">
        <v>144.6</v>
      </c>
      <c r="G32" s="17">
        <v>44</v>
      </c>
      <c r="H32" s="87">
        <v>166</v>
      </c>
      <c r="I32" s="88">
        <v>50000</v>
      </c>
      <c r="J32" s="88" t="s">
        <v>89</v>
      </c>
      <c r="K32" s="88"/>
      <c r="L32" s="88"/>
      <c r="M32" s="89">
        <f>I32-K32</f>
        <v>50000</v>
      </c>
      <c r="N32" s="4">
        <f>IF(ISERROR(K32/I32),"",K32/I32)</f>
        <v>0</v>
      </c>
      <c r="O32" s="90">
        <f>I32/E32</f>
        <v>943.39622641509436</v>
      </c>
      <c r="P32" s="90">
        <f>K32/E32</f>
        <v>0</v>
      </c>
      <c r="Q32" s="78">
        <v>4</v>
      </c>
      <c r="R32" s="78">
        <v>2</v>
      </c>
      <c r="S32" s="78" t="s">
        <v>59</v>
      </c>
      <c r="T32" s="5" t="s">
        <v>228</v>
      </c>
      <c r="U32" s="9"/>
      <c r="W32" s="85">
        <f t="shared" si="18"/>
        <v>175.3</v>
      </c>
      <c r="X32" s="86">
        <f t="shared" si="18"/>
        <v>53</v>
      </c>
      <c r="Y32" s="91">
        <f t="shared" si="19"/>
        <v>166</v>
      </c>
      <c r="Z32" s="89">
        <f t="shared" si="19"/>
        <v>50000</v>
      </c>
      <c r="AA32" s="89">
        <f>K32</f>
        <v>0</v>
      </c>
      <c r="AB32" s="89">
        <f t="shared" si="20"/>
        <v>50000</v>
      </c>
      <c r="AC32" s="4">
        <f t="shared" si="20"/>
        <v>0</v>
      </c>
      <c r="AD32" s="90">
        <f t="shared" si="20"/>
        <v>943.39622641509436</v>
      </c>
      <c r="AE32" s="78" t="str">
        <f>S32</f>
        <v>계</v>
      </c>
      <c r="AF32" s="78" t="str">
        <f>Q32&amp;"/"&amp;R32</f>
        <v>4/2</v>
      </c>
      <c r="AH32" s="20" t="str">
        <f t="shared" si="1"/>
        <v>진흥더블파크1단지</v>
      </c>
      <c r="AI32" s="86">
        <f t="shared" si="0"/>
        <v>53</v>
      </c>
      <c r="AJ32" s="78" t="str">
        <f>IF(AI32="","",$AJ$2)</f>
        <v>A-</v>
      </c>
      <c r="AK32" s="78" t="s">
        <v>13</v>
      </c>
      <c r="AL32" s="78" t="s">
        <v>61</v>
      </c>
      <c r="AM32" s="78" t="s">
        <v>62</v>
      </c>
      <c r="AN32" s="78" t="str">
        <f>IF(AI32="","",$AN$2)</f>
        <v>C</v>
      </c>
      <c r="AO32" s="78" t="str">
        <f>IF(N32="","",IF(N32&gt;=$AO$1/100,"O","X"))</f>
        <v>X</v>
      </c>
      <c r="AP32" s="78" t="str">
        <f>IF(I32="","",IF(I32&lt;=$AP$1,"O","X"))</f>
        <v>X</v>
      </c>
      <c r="AQ32" s="78" t="str">
        <f>IF(O32="","",IF(O32&lt;=$AQ$1,"O","X"))</f>
        <v>O</v>
      </c>
      <c r="AR32" s="78" t="str">
        <f>IF(M32="","",IF(M32&lt;=$AR$1,"O","X"))</f>
        <v>X</v>
      </c>
      <c r="AS32" s="78" t="s">
        <v>2</v>
      </c>
      <c r="AT32" s="78" t="str">
        <f>IF(OR(F32="",AI32=""),"",IF(AND((F32&lt;=85),(AI32&gt;=15)),"O","X"))</f>
        <v>X</v>
      </c>
      <c r="AU32" s="78" t="str">
        <f>IF(C32="","",IF(C32&gt;=$AU$1,"O","X"))</f>
        <v>O</v>
      </c>
      <c r="AV32" s="78" t="str">
        <f>IF(AO32="","",IF(AND(AO32="O",AP32="O",AR32="O",AT32="O",AU32="O"),"후보","X"))</f>
        <v>X</v>
      </c>
    </row>
    <row r="33" spans="1:48" x14ac:dyDescent="0.3">
      <c r="A33" s="9" t="s">
        <v>1500</v>
      </c>
      <c r="B33" s="10" t="s">
        <v>1627</v>
      </c>
      <c r="C33" s="87">
        <v>644</v>
      </c>
      <c r="D33" s="85">
        <v>176.7</v>
      </c>
      <c r="E33" s="86">
        <v>53</v>
      </c>
      <c r="F33" s="85">
        <v>145.80000000000001</v>
      </c>
      <c r="G33" s="17">
        <v>44</v>
      </c>
      <c r="H33" s="87">
        <v>94</v>
      </c>
      <c r="I33" s="88">
        <v>50000</v>
      </c>
      <c r="J33" s="88" t="s">
        <v>69</v>
      </c>
      <c r="K33" s="88"/>
      <c r="L33" s="88"/>
      <c r="M33" s="89">
        <f>I33-K33</f>
        <v>50000</v>
      </c>
      <c r="N33" s="4">
        <f>IF(ISERROR(K33/I33),"",K33/I33)</f>
        <v>0</v>
      </c>
      <c r="O33" s="90">
        <f>I33/E33</f>
        <v>943.39622641509436</v>
      </c>
      <c r="P33" s="90">
        <f>K33/E33</f>
        <v>0</v>
      </c>
      <c r="Q33" s="78">
        <v>4</v>
      </c>
      <c r="R33" s="78">
        <v>2</v>
      </c>
      <c r="S33" s="78" t="s">
        <v>59</v>
      </c>
      <c r="T33" s="5" t="s">
        <v>229</v>
      </c>
      <c r="U33" s="9"/>
      <c r="W33" s="85">
        <f t="shared" si="18"/>
        <v>176.7</v>
      </c>
      <c r="X33" s="86">
        <f t="shared" si="18"/>
        <v>53</v>
      </c>
      <c r="Y33" s="91">
        <f t="shared" si="19"/>
        <v>94</v>
      </c>
      <c r="Z33" s="89">
        <f t="shared" si="19"/>
        <v>50000</v>
      </c>
      <c r="AA33" s="89">
        <f>K33</f>
        <v>0</v>
      </c>
      <c r="AB33" s="89">
        <f t="shared" si="20"/>
        <v>50000</v>
      </c>
      <c r="AC33" s="4">
        <f t="shared" si="20"/>
        <v>0</v>
      </c>
      <c r="AD33" s="90">
        <f t="shared" si="20"/>
        <v>943.39622641509436</v>
      </c>
      <c r="AE33" s="78" t="str">
        <f>S33</f>
        <v>계</v>
      </c>
      <c r="AF33" s="78" t="str">
        <f>Q33&amp;"/"&amp;R33</f>
        <v>4/2</v>
      </c>
      <c r="AH33" s="20" t="str">
        <f t="shared" si="1"/>
        <v>진흥더블파크1단지</v>
      </c>
      <c r="AI33" s="86">
        <f t="shared" si="0"/>
        <v>53</v>
      </c>
      <c r="AJ33" s="78" t="str">
        <f>IF(AI33="","",$AJ$2)</f>
        <v>A-</v>
      </c>
      <c r="AK33" s="78" t="s">
        <v>13</v>
      </c>
      <c r="AL33" s="78" t="s">
        <v>61</v>
      </c>
      <c r="AM33" s="78" t="s">
        <v>62</v>
      </c>
      <c r="AN33" s="78" t="str">
        <f>IF(AI33="","",$AN$2)</f>
        <v>C</v>
      </c>
      <c r="AO33" s="78" t="str">
        <f>IF(N33="","",IF(N33&gt;=$AO$1/100,"O","X"))</f>
        <v>X</v>
      </c>
      <c r="AP33" s="78" t="str">
        <f>IF(I33="","",IF(I33&lt;=$AP$1,"O","X"))</f>
        <v>X</v>
      </c>
      <c r="AQ33" s="78" t="str">
        <f>IF(O33="","",IF(O33&lt;=$AQ$1,"O","X"))</f>
        <v>O</v>
      </c>
      <c r="AR33" s="78" t="str">
        <f>IF(M33="","",IF(M33&lt;=$AR$1,"O","X"))</f>
        <v>X</v>
      </c>
      <c r="AS33" s="78" t="s">
        <v>2</v>
      </c>
      <c r="AT33" s="78" t="str">
        <f>IF(OR(F33="",AI33=""),"",IF(AND((F33&lt;=85),(AI33&gt;=15)),"O","X"))</f>
        <v>X</v>
      </c>
      <c r="AU33" s="78" t="str">
        <f>IF(C33="","",IF(C33&gt;=$AU$1,"O","X"))</f>
        <v>O</v>
      </c>
      <c r="AV33" s="78" t="str">
        <f>IF(AO33="","",IF(AND(AO33="O",AP33="O",AR33="O",AT33="O",AU33="O"),"후보","X"))</f>
        <v>X</v>
      </c>
    </row>
    <row r="34" spans="1:48" x14ac:dyDescent="0.3">
      <c r="A34" s="9"/>
      <c r="B34" s="78"/>
      <c r="C34" s="6"/>
      <c r="D34" s="9"/>
      <c r="E34" s="14"/>
      <c r="F34" s="85"/>
      <c r="G34" s="9"/>
      <c r="H34" s="9"/>
      <c r="I34" s="9"/>
      <c r="J34" s="9"/>
      <c r="K34" s="9"/>
      <c r="L34" s="9"/>
      <c r="M34" s="9"/>
      <c r="N34" s="9"/>
      <c r="O34" s="90"/>
      <c r="P34" s="90"/>
      <c r="Q34" s="86"/>
      <c r="R34" s="86"/>
      <c r="S34" s="9"/>
      <c r="T34" s="47"/>
      <c r="U34" s="9"/>
      <c r="W34" s="67" t="str">
        <f>$A$4&amp;" "&amp;A35&amp;"("&amp;B35&amp;","&amp;C35&amp;"^)"</f>
        <v>호성동1가 동신3차('94.05.,248^)</v>
      </c>
      <c r="X34" s="68"/>
      <c r="Y34" s="68"/>
      <c r="Z34" s="68"/>
      <c r="AA34" s="68"/>
      <c r="AB34" s="68"/>
      <c r="AC34" s="68"/>
      <c r="AD34" s="68"/>
      <c r="AE34" s="68"/>
      <c r="AF34" s="69"/>
      <c r="AH34" s="20" t="str">
        <f t="shared" si="1"/>
        <v/>
      </c>
      <c r="AI34" s="108" t="str">
        <f t="shared" si="0"/>
        <v/>
      </c>
      <c r="AJ34" s="78"/>
      <c r="AK34" s="78"/>
      <c r="AL34" s="78"/>
      <c r="AM34" s="78"/>
      <c r="AN34" s="78"/>
      <c r="AO34" s="78"/>
      <c r="AP34" s="78"/>
      <c r="AQ34" s="78"/>
      <c r="AR34" s="78"/>
      <c r="AS34" s="78"/>
      <c r="AT34" s="78"/>
      <c r="AU34" s="78"/>
      <c r="AV34" s="78"/>
    </row>
    <row r="35" spans="1:48" x14ac:dyDescent="0.3">
      <c r="A35" s="9" t="s">
        <v>1504</v>
      </c>
      <c r="B35" s="10" t="s">
        <v>1631</v>
      </c>
      <c r="C35" s="87">
        <v>248</v>
      </c>
      <c r="D35" s="85">
        <v>51.4</v>
      </c>
      <c r="E35" s="86">
        <v>16</v>
      </c>
      <c r="F35" s="85">
        <v>37.9</v>
      </c>
      <c r="G35" s="17">
        <v>11</v>
      </c>
      <c r="H35" s="87">
        <v>34</v>
      </c>
      <c r="I35" s="88"/>
      <c r="J35" s="88"/>
      <c r="K35" s="88"/>
      <c r="L35" s="88"/>
      <c r="M35" s="89">
        <f>I35-K35</f>
        <v>0</v>
      </c>
      <c r="N35" s="4" t="str">
        <f>IF(ISERROR(K35/I35),"",K35/I35)</f>
        <v/>
      </c>
      <c r="O35" s="90">
        <f>I35/E35</f>
        <v>0</v>
      </c>
      <c r="P35" s="90">
        <f>K35/E35</f>
        <v>0</v>
      </c>
      <c r="Q35" s="78">
        <v>2</v>
      </c>
      <c r="R35" s="78">
        <v>1</v>
      </c>
      <c r="S35" s="78" t="s">
        <v>65</v>
      </c>
      <c r="T35" s="5">
        <v>51</v>
      </c>
      <c r="U35" s="9"/>
      <c r="W35" s="85">
        <f t="shared" ref="W35:X39" si="21">D35</f>
        <v>51.4</v>
      </c>
      <c r="X35" s="86">
        <f t="shared" si="21"/>
        <v>16</v>
      </c>
      <c r="Y35" s="91">
        <f t="shared" ref="Y35:Z39" si="22">H35</f>
        <v>34</v>
      </c>
      <c r="Z35" s="89">
        <f t="shared" si="22"/>
        <v>0</v>
      </c>
      <c r="AA35" s="89">
        <f>K35</f>
        <v>0</v>
      </c>
      <c r="AB35" s="89">
        <f t="shared" ref="AB35:AD39" si="23">M35</f>
        <v>0</v>
      </c>
      <c r="AC35" s="4" t="str">
        <f t="shared" si="23"/>
        <v/>
      </c>
      <c r="AD35" s="90">
        <f t="shared" si="23"/>
        <v>0</v>
      </c>
      <c r="AE35" s="78" t="str">
        <f>S35</f>
        <v>복</v>
      </c>
      <c r="AF35" s="78" t="str">
        <f>Q35&amp;"/"&amp;R35</f>
        <v>2/1</v>
      </c>
      <c r="AH35" s="20" t="str">
        <f t="shared" si="1"/>
        <v>동신3차</v>
      </c>
      <c r="AI35" s="86">
        <f t="shared" si="0"/>
        <v>16</v>
      </c>
      <c r="AJ35" s="78" t="str">
        <f>IF(AI35="","",$AJ$2)</f>
        <v>A-</v>
      </c>
      <c r="AK35" s="78" t="s">
        <v>13</v>
      </c>
      <c r="AL35" s="78" t="s">
        <v>61</v>
      </c>
      <c r="AM35" s="78" t="s">
        <v>62</v>
      </c>
      <c r="AN35" s="78" t="str">
        <f>IF(AI35="","",$AN$2)</f>
        <v>C</v>
      </c>
      <c r="AO35" s="78" t="str">
        <f>IF(N35="","",IF(N35&gt;=$AO$1/100,"O","X"))</f>
        <v/>
      </c>
      <c r="AP35" s="78" t="str">
        <f>IF(I35="","",IF(I35&lt;=$AP$1,"O","X"))</f>
        <v/>
      </c>
      <c r="AQ35" s="78" t="str">
        <f>IF(O35="","",IF(O35&lt;=$AQ$1,"O","X"))</f>
        <v>O</v>
      </c>
      <c r="AR35" s="78" t="str">
        <f>IF(M35="","",IF(M35&lt;=$AR$1,"O","X"))</f>
        <v>O</v>
      </c>
      <c r="AS35" s="78" t="s">
        <v>2</v>
      </c>
      <c r="AT35" s="78" t="str">
        <f>IF(OR(F35="",AI35=""),"",IF(AND((F35&lt;=85),(AI35&gt;=15)),"O","X"))</f>
        <v>O</v>
      </c>
      <c r="AU35" s="78" t="str">
        <f>IF(C35="","",IF(C35&gt;=$AU$1,"O","X"))</f>
        <v>X</v>
      </c>
      <c r="AV35" s="78" t="str">
        <f>IF(AO35="","",IF(AND(AO35="O",AP35="O",AR35="O",AT35="O",AU35="O"),"후보","X"))</f>
        <v/>
      </c>
    </row>
    <row r="36" spans="1:48" x14ac:dyDescent="0.3">
      <c r="A36" s="9" t="s">
        <v>1504</v>
      </c>
      <c r="B36" s="10" t="s">
        <v>1631</v>
      </c>
      <c r="C36" s="87">
        <v>248</v>
      </c>
      <c r="D36" s="85">
        <v>79.8</v>
      </c>
      <c r="E36" s="86">
        <v>24</v>
      </c>
      <c r="F36" s="85">
        <v>58.5</v>
      </c>
      <c r="G36" s="17">
        <v>18</v>
      </c>
      <c r="H36" s="87">
        <v>68</v>
      </c>
      <c r="I36" s="88"/>
      <c r="J36" s="88"/>
      <c r="K36" s="88"/>
      <c r="L36" s="88"/>
      <c r="M36" s="89">
        <f>I36-K36</f>
        <v>0</v>
      </c>
      <c r="N36" s="4" t="str">
        <f>IF(ISERROR(K36/I36),"",K36/I36)</f>
        <v/>
      </c>
      <c r="O36" s="90">
        <f>I36/E36</f>
        <v>0</v>
      </c>
      <c r="P36" s="90">
        <f>K36/E36</f>
        <v>0</v>
      </c>
      <c r="Q36" s="78">
        <v>2</v>
      </c>
      <c r="R36" s="78">
        <v>1</v>
      </c>
      <c r="S36" s="78" t="s">
        <v>65</v>
      </c>
      <c r="T36" s="5">
        <v>79</v>
      </c>
      <c r="U36" s="9"/>
      <c r="W36" s="85">
        <f t="shared" si="21"/>
        <v>79.8</v>
      </c>
      <c r="X36" s="86">
        <f t="shared" si="21"/>
        <v>24</v>
      </c>
      <c r="Y36" s="91">
        <f t="shared" si="22"/>
        <v>68</v>
      </c>
      <c r="Z36" s="89">
        <f t="shared" si="22"/>
        <v>0</v>
      </c>
      <c r="AA36" s="89">
        <f>K36</f>
        <v>0</v>
      </c>
      <c r="AB36" s="89">
        <f t="shared" si="23"/>
        <v>0</v>
      </c>
      <c r="AC36" s="4" t="str">
        <f t="shared" si="23"/>
        <v/>
      </c>
      <c r="AD36" s="90">
        <f t="shared" si="23"/>
        <v>0</v>
      </c>
      <c r="AE36" s="78" t="str">
        <f>S36</f>
        <v>복</v>
      </c>
      <c r="AF36" s="78" t="str">
        <f>Q36&amp;"/"&amp;R36</f>
        <v>2/1</v>
      </c>
      <c r="AH36" s="20" t="str">
        <f t="shared" si="1"/>
        <v>동신3차</v>
      </c>
      <c r="AI36" s="86">
        <f t="shared" si="0"/>
        <v>24</v>
      </c>
      <c r="AJ36" s="78" t="str">
        <f>IF(AI36="","",$AJ$2)</f>
        <v>A-</v>
      </c>
      <c r="AK36" s="78" t="s">
        <v>13</v>
      </c>
      <c r="AL36" s="78" t="s">
        <v>61</v>
      </c>
      <c r="AM36" s="78" t="s">
        <v>62</v>
      </c>
      <c r="AN36" s="78" t="str">
        <f>IF(AI36="","",$AN$2)</f>
        <v>C</v>
      </c>
      <c r="AO36" s="78" t="str">
        <f>IF(N36="","",IF(N36&gt;=$AO$1/100,"O","X"))</f>
        <v/>
      </c>
      <c r="AP36" s="78" t="str">
        <f>IF(I36="","",IF(I36&lt;=$AP$1,"O","X"))</f>
        <v/>
      </c>
      <c r="AQ36" s="78" t="str">
        <f>IF(O36="","",IF(O36&lt;=$AQ$1,"O","X"))</f>
        <v>O</v>
      </c>
      <c r="AR36" s="78" t="str">
        <f>IF(M36="","",IF(M36&lt;=$AR$1,"O","X"))</f>
        <v>O</v>
      </c>
      <c r="AS36" s="78" t="s">
        <v>2</v>
      </c>
      <c r="AT36" s="78" t="str">
        <f>IF(OR(F36="",AI36=""),"",IF(AND((F36&lt;=85),(AI36&gt;=15)),"O","X"))</f>
        <v>O</v>
      </c>
      <c r="AU36" s="78" t="str">
        <f>IF(C36="","",IF(C36&gt;=$AU$1,"O","X"))</f>
        <v>X</v>
      </c>
      <c r="AV36" s="78" t="str">
        <f>IF(AO36="","",IF(AND(AO36="O",AP36="O",AR36="O",AT36="O",AU36="O"),"후보","X"))</f>
        <v/>
      </c>
    </row>
    <row r="37" spans="1:48" x14ac:dyDescent="0.3">
      <c r="A37" s="9" t="s">
        <v>1504</v>
      </c>
      <c r="B37" s="10" t="s">
        <v>1631</v>
      </c>
      <c r="C37" s="87">
        <v>248</v>
      </c>
      <c r="D37" s="85">
        <v>97.5</v>
      </c>
      <c r="E37" s="86">
        <v>29</v>
      </c>
      <c r="F37" s="85">
        <v>74.599999999999994</v>
      </c>
      <c r="G37" s="17">
        <v>23</v>
      </c>
      <c r="H37" s="87">
        <v>60</v>
      </c>
      <c r="I37" s="88"/>
      <c r="J37" s="88"/>
      <c r="K37" s="88"/>
      <c r="L37" s="88"/>
      <c r="M37" s="89">
        <f>I37-K37</f>
        <v>0</v>
      </c>
      <c r="N37" s="4" t="str">
        <f>IF(ISERROR(K37/I37),"",K37/I37)</f>
        <v/>
      </c>
      <c r="O37" s="90">
        <f>I37/E37</f>
        <v>0</v>
      </c>
      <c r="P37" s="90">
        <f>K37/E37</f>
        <v>0</v>
      </c>
      <c r="Q37" s="78">
        <v>3</v>
      </c>
      <c r="R37" s="78">
        <v>1</v>
      </c>
      <c r="S37" s="78" t="s">
        <v>65</v>
      </c>
      <c r="T37" s="5">
        <v>97</v>
      </c>
      <c r="U37" s="9"/>
      <c r="W37" s="85">
        <f t="shared" si="21"/>
        <v>97.5</v>
      </c>
      <c r="X37" s="86">
        <f t="shared" si="21"/>
        <v>29</v>
      </c>
      <c r="Y37" s="91">
        <f t="shared" si="22"/>
        <v>60</v>
      </c>
      <c r="Z37" s="89">
        <f t="shared" si="22"/>
        <v>0</v>
      </c>
      <c r="AA37" s="89">
        <f>K37</f>
        <v>0</v>
      </c>
      <c r="AB37" s="89">
        <f t="shared" si="23"/>
        <v>0</v>
      </c>
      <c r="AC37" s="4" t="str">
        <f t="shared" si="23"/>
        <v/>
      </c>
      <c r="AD37" s="90">
        <f t="shared" si="23"/>
        <v>0</v>
      </c>
      <c r="AE37" s="78" t="str">
        <f>S37</f>
        <v>복</v>
      </c>
      <c r="AF37" s="78" t="str">
        <f>Q37&amp;"/"&amp;R37</f>
        <v>3/1</v>
      </c>
      <c r="AH37" s="20" t="str">
        <f t="shared" si="1"/>
        <v>동신3차</v>
      </c>
      <c r="AI37" s="86">
        <f t="shared" si="0"/>
        <v>29</v>
      </c>
      <c r="AJ37" s="78" t="str">
        <f>IF(AI37="","",$AJ$2)</f>
        <v>A-</v>
      </c>
      <c r="AK37" s="78" t="s">
        <v>13</v>
      </c>
      <c r="AL37" s="78" t="s">
        <v>61</v>
      </c>
      <c r="AM37" s="78" t="s">
        <v>62</v>
      </c>
      <c r="AN37" s="78" t="str">
        <f>IF(AI37="","",$AN$2)</f>
        <v>C</v>
      </c>
      <c r="AO37" s="78" t="str">
        <f>IF(N37="","",IF(N37&gt;=$AO$1/100,"O","X"))</f>
        <v/>
      </c>
      <c r="AP37" s="78" t="str">
        <f>IF(I37="","",IF(I37&lt;=$AP$1,"O","X"))</f>
        <v/>
      </c>
      <c r="AQ37" s="78" t="str">
        <f>IF(O37="","",IF(O37&lt;=$AQ$1,"O","X"))</f>
        <v>O</v>
      </c>
      <c r="AR37" s="78" t="str">
        <f>IF(M37="","",IF(M37&lt;=$AR$1,"O","X"))</f>
        <v>O</v>
      </c>
      <c r="AS37" s="78" t="s">
        <v>2</v>
      </c>
      <c r="AT37" s="78" t="str">
        <f>IF(OR(F37="",AI37=""),"",IF(AND((F37&lt;=85),(AI37&gt;=15)),"O","X"))</f>
        <v>O</v>
      </c>
      <c r="AU37" s="78" t="str">
        <f>IF(C37="","",IF(C37&gt;=$AU$1,"O","X"))</f>
        <v>X</v>
      </c>
      <c r="AV37" s="78" t="str">
        <f>IF(AO37="","",IF(AND(AO37="O",AP37="O",AR37="O",AT37="O",AU37="O"),"후보","X"))</f>
        <v/>
      </c>
    </row>
    <row r="38" spans="1:48" x14ac:dyDescent="0.3">
      <c r="A38" s="9" t="s">
        <v>1504</v>
      </c>
      <c r="B38" s="10" t="s">
        <v>1631</v>
      </c>
      <c r="C38" s="87">
        <v>248</v>
      </c>
      <c r="D38" s="85">
        <v>106.5</v>
      </c>
      <c r="E38" s="86">
        <v>32</v>
      </c>
      <c r="F38" s="85">
        <v>84.7</v>
      </c>
      <c r="G38" s="17">
        <v>26</v>
      </c>
      <c r="H38" s="87">
        <v>38</v>
      </c>
      <c r="I38" s="88"/>
      <c r="J38" s="88"/>
      <c r="K38" s="88"/>
      <c r="L38" s="88"/>
      <c r="M38" s="89">
        <f>I38-K38</f>
        <v>0</v>
      </c>
      <c r="N38" s="4" t="str">
        <f>IF(ISERROR(K38/I38),"",K38/I38)</f>
        <v/>
      </c>
      <c r="O38" s="90">
        <f>I38/E38</f>
        <v>0</v>
      </c>
      <c r="P38" s="90">
        <f>K38/E38</f>
        <v>0</v>
      </c>
      <c r="Q38" s="78">
        <v>3</v>
      </c>
      <c r="R38" s="78">
        <v>2</v>
      </c>
      <c r="S38" s="78" t="s">
        <v>59</v>
      </c>
      <c r="T38" s="5">
        <v>106</v>
      </c>
      <c r="U38" s="9"/>
      <c r="W38" s="85">
        <f t="shared" si="21"/>
        <v>106.5</v>
      </c>
      <c r="X38" s="86">
        <f t="shared" si="21"/>
        <v>32</v>
      </c>
      <c r="Y38" s="91">
        <f t="shared" si="22"/>
        <v>38</v>
      </c>
      <c r="Z38" s="89">
        <f t="shared" si="22"/>
        <v>0</v>
      </c>
      <c r="AA38" s="89">
        <f>K38</f>
        <v>0</v>
      </c>
      <c r="AB38" s="89">
        <f t="shared" si="23"/>
        <v>0</v>
      </c>
      <c r="AC38" s="4" t="str">
        <f t="shared" si="23"/>
        <v/>
      </c>
      <c r="AD38" s="90">
        <f t="shared" si="23"/>
        <v>0</v>
      </c>
      <c r="AE38" s="78" t="str">
        <f>S38</f>
        <v>계</v>
      </c>
      <c r="AF38" s="78" t="str">
        <f>Q38&amp;"/"&amp;R38</f>
        <v>3/2</v>
      </c>
      <c r="AH38" s="20" t="str">
        <f t="shared" si="1"/>
        <v>동신3차</v>
      </c>
      <c r="AI38" s="86">
        <f t="shared" si="0"/>
        <v>32</v>
      </c>
      <c r="AJ38" s="78" t="str">
        <f>IF(AI38="","",$AJ$2)</f>
        <v>A-</v>
      </c>
      <c r="AK38" s="78" t="s">
        <v>13</v>
      </c>
      <c r="AL38" s="78" t="s">
        <v>61</v>
      </c>
      <c r="AM38" s="78" t="s">
        <v>62</v>
      </c>
      <c r="AN38" s="78" t="str">
        <f>IF(AI38="","",$AN$2)</f>
        <v>C</v>
      </c>
      <c r="AO38" s="78" t="str">
        <f>IF(N38="","",IF(N38&gt;=$AO$1/100,"O","X"))</f>
        <v/>
      </c>
      <c r="AP38" s="78" t="str">
        <f>IF(I38="","",IF(I38&lt;=$AP$1,"O","X"))</f>
        <v/>
      </c>
      <c r="AQ38" s="78" t="str">
        <f>IF(O38="","",IF(O38&lt;=$AQ$1,"O","X"))</f>
        <v>O</v>
      </c>
      <c r="AR38" s="78" t="str">
        <f>IF(M38="","",IF(M38&lt;=$AR$1,"O","X"))</f>
        <v>O</v>
      </c>
      <c r="AS38" s="78" t="s">
        <v>2</v>
      </c>
      <c r="AT38" s="78" t="str">
        <f>IF(OR(F38="",AI38=""),"",IF(AND((F38&lt;=85),(AI38&gt;=15)),"O","X"))</f>
        <v>O</v>
      </c>
      <c r="AU38" s="78" t="str">
        <f>IF(C38="","",IF(C38&gt;=$AU$1,"O","X"))</f>
        <v>X</v>
      </c>
      <c r="AV38" s="78" t="str">
        <f>IF(AO38="","",IF(AND(AO38="O",AP38="O",AR38="O",AT38="O",AU38="O"),"후보","X"))</f>
        <v/>
      </c>
    </row>
    <row r="39" spans="1:48" x14ac:dyDescent="0.3">
      <c r="A39" s="9" t="s">
        <v>1504</v>
      </c>
      <c r="B39" s="10" t="s">
        <v>1631</v>
      </c>
      <c r="C39" s="87">
        <v>248</v>
      </c>
      <c r="D39" s="85">
        <v>143.5</v>
      </c>
      <c r="E39" s="86">
        <v>43</v>
      </c>
      <c r="F39" s="85">
        <v>120</v>
      </c>
      <c r="G39" s="17">
        <v>36</v>
      </c>
      <c r="H39" s="87">
        <v>48</v>
      </c>
      <c r="I39" s="88"/>
      <c r="J39" s="88"/>
      <c r="K39" s="88"/>
      <c r="L39" s="88"/>
      <c r="M39" s="89">
        <f>I39-K39</f>
        <v>0</v>
      </c>
      <c r="N39" s="4" t="str">
        <f>IF(ISERROR(K39/I39),"",K39/I39)</f>
        <v/>
      </c>
      <c r="O39" s="90">
        <f>I39/E39</f>
        <v>0</v>
      </c>
      <c r="P39" s="90">
        <f>K39/E39</f>
        <v>0</v>
      </c>
      <c r="Q39" s="78">
        <v>4</v>
      </c>
      <c r="R39" s="78">
        <v>2</v>
      </c>
      <c r="S39" s="78" t="s">
        <v>59</v>
      </c>
      <c r="T39" s="5">
        <v>143</v>
      </c>
      <c r="U39" s="9"/>
      <c r="W39" s="85">
        <f t="shared" si="21"/>
        <v>143.5</v>
      </c>
      <c r="X39" s="86">
        <f t="shared" si="21"/>
        <v>43</v>
      </c>
      <c r="Y39" s="91">
        <f t="shared" si="22"/>
        <v>48</v>
      </c>
      <c r="Z39" s="89">
        <f t="shared" si="22"/>
        <v>0</v>
      </c>
      <c r="AA39" s="89">
        <f>K39</f>
        <v>0</v>
      </c>
      <c r="AB39" s="89">
        <f t="shared" si="23"/>
        <v>0</v>
      </c>
      <c r="AC39" s="4" t="str">
        <f t="shared" si="23"/>
        <v/>
      </c>
      <c r="AD39" s="90">
        <f t="shared" si="23"/>
        <v>0</v>
      </c>
      <c r="AE39" s="78" t="str">
        <f>S39</f>
        <v>계</v>
      </c>
      <c r="AF39" s="78" t="str">
        <f>Q39&amp;"/"&amp;R39</f>
        <v>4/2</v>
      </c>
      <c r="AH39" s="20" t="str">
        <f t="shared" si="1"/>
        <v>동신3차</v>
      </c>
      <c r="AI39" s="86">
        <f t="shared" si="0"/>
        <v>43</v>
      </c>
      <c r="AJ39" s="78" t="str">
        <f>IF(AI39="","",$AJ$2)</f>
        <v>A-</v>
      </c>
      <c r="AK39" s="78" t="s">
        <v>13</v>
      </c>
      <c r="AL39" s="78" t="s">
        <v>61</v>
      </c>
      <c r="AM39" s="78" t="s">
        <v>62</v>
      </c>
      <c r="AN39" s="78" t="str">
        <f>IF(AI39="","",$AN$2)</f>
        <v>C</v>
      </c>
      <c r="AO39" s="78" t="str">
        <f>IF(N39="","",IF(N39&gt;=$AO$1/100,"O","X"))</f>
        <v/>
      </c>
      <c r="AP39" s="78" t="str">
        <f>IF(I39="","",IF(I39&lt;=$AP$1,"O","X"))</f>
        <v/>
      </c>
      <c r="AQ39" s="78" t="str">
        <f>IF(O39="","",IF(O39&lt;=$AQ$1,"O","X"))</f>
        <v>O</v>
      </c>
      <c r="AR39" s="78" t="str">
        <f>IF(M39="","",IF(M39&lt;=$AR$1,"O","X"))</f>
        <v>O</v>
      </c>
      <c r="AS39" s="78" t="s">
        <v>2</v>
      </c>
      <c r="AT39" s="78" t="str">
        <f>IF(OR(F39="",AI39=""),"",IF(AND((F39&lt;=85),(AI39&gt;=15)),"O","X"))</f>
        <v>X</v>
      </c>
      <c r="AU39" s="78" t="str">
        <f>IF(C39="","",IF(C39&gt;=$AU$1,"O","X"))</f>
        <v>X</v>
      </c>
      <c r="AV39" s="78" t="str">
        <f>IF(AO39="","",IF(AND(AO39="O",AP39="O",AR39="O",AT39="O",AU39="O"),"후보","X"))</f>
        <v/>
      </c>
    </row>
    <row r="40" spans="1:48" x14ac:dyDescent="0.3">
      <c r="A40" s="9"/>
      <c r="B40" s="78"/>
      <c r="C40" s="6"/>
      <c r="D40" s="9"/>
      <c r="E40" s="14"/>
      <c r="F40" s="85"/>
      <c r="G40" s="9"/>
      <c r="H40" s="9"/>
      <c r="I40" s="9"/>
      <c r="J40" s="9"/>
      <c r="K40" s="9"/>
      <c r="L40" s="9"/>
      <c r="M40" s="9"/>
      <c r="N40" s="9"/>
      <c r="O40" s="90"/>
      <c r="P40" s="90"/>
      <c r="Q40" s="86"/>
      <c r="R40" s="86"/>
      <c r="S40" s="9"/>
      <c r="T40" s="47"/>
      <c r="U40" s="9"/>
      <c r="W40" s="67" t="str">
        <f>$A$4&amp;" "&amp;A41&amp;"("&amp;B41&amp;","&amp;C41&amp;"^)"</f>
        <v>호성동1가 호성동신('91.09.,530^)</v>
      </c>
      <c r="X40" s="68"/>
      <c r="Y40" s="68"/>
      <c r="Z40" s="68"/>
      <c r="AA40" s="68"/>
      <c r="AB40" s="68"/>
      <c r="AC40" s="68"/>
      <c r="AD40" s="68"/>
      <c r="AE40" s="68"/>
      <c r="AF40" s="69"/>
      <c r="AH40" s="20" t="str">
        <f t="shared" si="1"/>
        <v/>
      </c>
      <c r="AI40" s="108" t="str">
        <f t="shared" si="0"/>
        <v/>
      </c>
      <c r="AJ40" s="78"/>
      <c r="AK40" s="78"/>
      <c r="AL40" s="78"/>
      <c r="AM40" s="78"/>
      <c r="AN40" s="78"/>
      <c r="AO40" s="78"/>
      <c r="AP40" s="78"/>
      <c r="AQ40" s="78"/>
      <c r="AR40" s="78"/>
      <c r="AS40" s="78"/>
      <c r="AT40" s="78"/>
      <c r="AU40" s="78"/>
      <c r="AV40" s="78"/>
    </row>
    <row r="41" spans="1:48" x14ac:dyDescent="0.3">
      <c r="A41" s="9" t="s">
        <v>1514</v>
      </c>
      <c r="B41" s="10" t="s">
        <v>1632</v>
      </c>
      <c r="C41" s="87">
        <v>530</v>
      </c>
      <c r="D41" s="85">
        <v>85.8</v>
      </c>
      <c r="E41" s="86">
        <v>26</v>
      </c>
      <c r="F41" s="85">
        <v>70.3</v>
      </c>
      <c r="G41" s="17">
        <v>21</v>
      </c>
      <c r="H41" s="87">
        <v>118</v>
      </c>
      <c r="I41" s="88">
        <v>10000</v>
      </c>
      <c r="J41" s="88" t="s">
        <v>87</v>
      </c>
      <c r="K41" s="88"/>
      <c r="L41" s="88"/>
      <c r="M41" s="89">
        <f>I41-K41</f>
        <v>10000</v>
      </c>
      <c r="N41" s="4">
        <f>IF(ISERROR(K41/I41),"",K41/I41)</f>
        <v>0</v>
      </c>
      <c r="O41" s="90">
        <f>I41/E41</f>
        <v>384.61538461538464</v>
      </c>
      <c r="P41" s="90">
        <f>K41/E41</f>
        <v>0</v>
      </c>
      <c r="Q41" s="78">
        <v>3</v>
      </c>
      <c r="R41" s="78">
        <v>1</v>
      </c>
      <c r="S41" s="78" t="s">
        <v>65</v>
      </c>
      <c r="T41" s="5">
        <v>85</v>
      </c>
      <c r="U41" s="9"/>
      <c r="W41" s="85">
        <f t="shared" ref="W41:X43" si="24">D41</f>
        <v>85.8</v>
      </c>
      <c r="X41" s="86">
        <f t="shared" si="24"/>
        <v>26</v>
      </c>
      <c r="Y41" s="91">
        <f t="shared" ref="Y41:Z43" si="25">H41</f>
        <v>118</v>
      </c>
      <c r="Z41" s="89">
        <f t="shared" si="25"/>
        <v>10000</v>
      </c>
      <c r="AA41" s="89">
        <f>K41</f>
        <v>0</v>
      </c>
      <c r="AB41" s="89">
        <f t="shared" ref="AB41:AD43" si="26">M41</f>
        <v>10000</v>
      </c>
      <c r="AC41" s="4">
        <f t="shared" si="26"/>
        <v>0</v>
      </c>
      <c r="AD41" s="90">
        <f t="shared" si="26"/>
        <v>384.61538461538464</v>
      </c>
      <c r="AE41" s="78" t="str">
        <f>S41</f>
        <v>복</v>
      </c>
      <c r="AF41" s="78" t="str">
        <f>Q41&amp;"/"&amp;R41</f>
        <v>3/1</v>
      </c>
      <c r="AH41" s="20" t="str">
        <f t="shared" si="1"/>
        <v>호성동신</v>
      </c>
      <c r="AI41" s="86">
        <f t="shared" si="0"/>
        <v>26</v>
      </c>
      <c r="AJ41" s="78" t="str">
        <f>IF(AI41="","",$AJ$2)</f>
        <v>A-</v>
      </c>
      <c r="AK41" s="78" t="s">
        <v>13</v>
      </c>
      <c r="AL41" s="78" t="s">
        <v>61</v>
      </c>
      <c r="AM41" s="78" t="s">
        <v>62</v>
      </c>
      <c r="AN41" s="78" t="str">
        <f>IF(AI41="","",$AN$2)</f>
        <v>C</v>
      </c>
      <c r="AO41" s="78" t="str">
        <f>IF(N41="","",IF(N41&gt;=$AO$1/100,"O","X"))</f>
        <v>X</v>
      </c>
      <c r="AP41" s="78" t="str">
        <f>IF(I41="","",IF(I41&lt;=$AP$1,"O","X"))</f>
        <v>O</v>
      </c>
      <c r="AQ41" s="78" t="str">
        <f>IF(O41="","",IF(O41&lt;=$AQ$1,"O","X"))</f>
        <v>O</v>
      </c>
      <c r="AR41" s="78" t="str">
        <f>IF(M41="","",IF(M41&lt;=$AR$1,"O","X"))</f>
        <v>X</v>
      </c>
      <c r="AS41" s="78" t="s">
        <v>2</v>
      </c>
      <c r="AT41" s="78" t="str">
        <f>IF(OR(F41="",AI41=""),"",IF(AND((F41&lt;=85),(AI41&gt;=15)),"O","X"))</f>
        <v>O</v>
      </c>
      <c r="AU41" s="78" t="str">
        <f>IF(C41="","",IF(C41&gt;=$AU$1,"O","X"))</f>
        <v>O</v>
      </c>
      <c r="AV41" s="78" t="str">
        <f>IF(AO41="","",IF(AND(AO41="O",AP41="O",AR41="O",AT41="O",AU41="O"),"후보","X"))</f>
        <v>X</v>
      </c>
    </row>
    <row r="42" spans="1:48" x14ac:dyDescent="0.3">
      <c r="A42" s="9" t="s">
        <v>1514</v>
      </c>
      <c r="B42" s="10" t="s">
        <v>1632</v>
      </c>
      <c r="C42" s="87">
        <v>530</v>
      </c>
      <c r="D42" s="85">
        <v>96.4</v>
      </c>
      <c r="E42" s="86">
        <v>29</v>
      </c>
      <c r="F42" s="85">
        <v>78.5</v>
      </c>
      <c r="G42" s="17">
        <v>24</v>
      </c>
      <c r="H42" s="87">
        <v>150</v>
      </c>
      <c r="I42" s="88">
        <v>13000</v>
      </c>
      <c r="J42" s="88" t="s">
        <v>72</v>
      </c>
      <c r="K42" s="88"/>
      <c r="L42" s="88"/>
      <c r="M42" s="89">
        <f>I42-K42</f>
        <v>13000</v>
      </c>
      <c r="N42" s="4">
        <f>IF(ISERROR(K42/I42),"",K42/I42)</f>
        <v>0</v>
      </c>
      <c r="O42" s="90">
        <f>I42/E42</f>
        <v>448.27586206896552</v>
      </c>
      <c r="P42" s="90">
        <f>K42/E42</f>
        <v>0</v>
      </c>
      <c r="Q42" s="78">
        <v>3</v>
      </c>
      <c r="R42" s="78">
        <v>1</v>
      </c>
      <c r="S42" s="78" t="s">
        <v>59</v>
      </c>
      <c r="T42" s="5">
        <v>96</v>
      </c>
      <c r="U42" s="9"/>
      <c r="W42" s="85">
        <f t="shared" si="24"/>
        <v>96.4</v>
      </c>
      <c r="X42" s="86">
        <f t="shared" si="24"/>
        <v>29</v>
      </c>
      <c r="Y42" s="91">
        <f t="shared" si="25"/>
        <v>150</v>
      </c>
      <c r="Z42" s="89">
        <f t="shared" si="25"/>
        <v>13000</v>
      </c>
      <c r="AA42" s="89">
        <f>K42</f>
        <v>0</v>
      </c>
      <c r="AB42" s="89">
        <f t="shared" si="26"/>
        <v>13000</v>
      </c>
      <c r="AC42" s="4">
        <f t="shared" si="26"/>
        <v>0</v>
      </c>
      <c r="AD42" s="90">
        <f t="shared" si="26"/>
        <v>448.27586206896552</v>
      </c>
      <c r="AE42" s="78" t="str">
        <f>S42</f>
        <v>계</v>
      </c>
      <c r="AF42" s="78" t="str">
        <f>Q42&amp;"/"&amp;R42</f>
        <v>3/1</v>
      </c>
      <c r="AH42" s="20" t="str">
        <f t="shared" si="1"/>
        <v>호성동신</v>
      </c>
      <c r="AI42" s="86">
        <f t="shared" si="0"/>
        <v>29</v>
      </c>
      <c r="AJ42" s="78" t="str">
        <f>IF(AI42="","",$AJ$2)</f>
        <v>A-</v>
      </c>
      <c r="AK42" s="78" t="s">
        <v>13</v>
      </c>
      <c r="AL42" s="78" t="s">
        <v>61</v>
      </c>
      <c r="AM42" s="78" t="s">
        <v>62</v>
      </c>
      <c r="AN42" s="78" t="str">
        <f>IF(AI42="","",$AN$2)</f>
        <v>C</v>
      </c>
      <c r="AO42" s="78" t="str">
        <f>IF(N42="","",IF(N42&gt;=$AO$1/100,"O","X"))</f>
        <v>X</v>
      </c>
      <c r="AP42" s="78" t="str">
        <f>IF(I42="","",IF(I42&lt;=$AP$1,"O","X"))</f>
        <v>O</v>
      </c>
      <c r="AQ42" s="78" t="str">
        <f>IF(O42="","",IF(O42&lt;=$AQ$1,"O","X"))</f>
        <v>O</v>
      </c>
      <c r="AR42" s="78" t="str">
        <f>IF(M42="","",IF(M42&lt;=$AR$1,"O","X"))</f>
        <v>X</v>
      </c>
      <c r="AS42" s="78" t="s">
        <v>2</v>
      </c>
      <c r="AT42" s="78" t="str">
        <f>IF(OR(F42="",AI42=""),"",IF(AND((F42&lt;=85),(AI42&gt;=15)),"O","X"))</f>
        <v>O</v>
      </c>
      <c r="AU42" s="78" t="str">
        <f>IF(C42="","",IF(C42&gt;=$AU$1,"O","X"))</f>
        <v>O</v>
      </c>
      <c r="AV42" s="78" t="str">
        <f>IF(AO42="","",IF(AND(AO42="O",AP42="O",AR42="O",AT42="O",AU42="O"),"후보","X"))</f>
        <v>X</v>
      </c>
    </row>
    <row r="43" spans="1:48" x14ac:dyDescent="0.3">
      <c r="A43" s="9" t="s">
        <v>1514</v>
      </c>
      <c r="B43" s="10" t="s">
        <v>1632</v>
      </c>
      <c r="C43" s="87">
        <v>530</v>
      </c>
      <c r="D43" s="85">
        <v>103.5</v>
      </c>
      <c r="E43" s="86">
        <v>31</v>
      </c>
      <c r="F43" s="85">
        <v>84.7</v>
      </c>
      <c r="G43" s="17">
        <v>26</v>
      </c>
      <c r="H43" s="87">
        <v>262</v>
      </c>
      <c r="I43" s="88">
        <v>16200</v>
      </c>
      <c r="J43" s="88" t="s">
        <v>68</v>
      </c>
      <c r="K43" s="88">
        <v>15000</v>
      </c>
      <c r="L43" s="88" t="s">
        <v>69</v>
      </c>
      <c r="M43" s="89">
        <f>I43-K43</f>
        <v>1200</v>
      </c>
      <c r="N43" s="4">
        <f>IF(ISERROR(K43/I43),"",K43/I43)</f>
        <v>0.92592592592592593</v>
      </c>
      <c r="O43" s="90">
        <f>I43/E43</f>
        <v>522.58064516129036</v>
      </c>
      <c r="P43" s="90">
        <f>K43/E43</f>
        <v>483.87096774193549</v>
      </c>
      <c r="Q43" s="78">
        <v>3</v>
      </c>
      <c r="R43" s="78">
        <v>2</v>
      </c>
      <c r="S43" s="78" t="s">
        <v>59</v>
      </c>
      <c r="T43" s="5">
        <v>103</v>
      </c>
      <c r="U43" s="9"/>
      <c r="W43" s="85">
        <f t="shared" si="24"/>
        <v>103.5</v>
      </c>
      <c r="X43" s="86">
        <f t="shared" si="24"/>
        <v>31</v>
      </c>
      <c r="Y43" s="91">
        <f t="shared" si="25"/>
        <v>262</v>
      </c>
      <c r="Z43" s="89">
        <f t="shared" si="25"/>
        <v>16200</v>
      </c>
      <c r="AA43" s="89">
        <f>K43</f>
        <v>15000</v>
      </c>
      <c r="AB43" s="89">
        <f t="shared" si="26"/>
        <v>1200</v>
      </c>
      <c r="AC43" s="4">
        <f t="shared" si="26"/>
        <v>0.92592592592592593</v>
      </c>
      <c r="AD43" s="90">
        <f t="shared" si="26"/>
        <v>522.58064516129036</v>
      </c>
      <c r="AE43" s="78" t="str">
        <f>S43</f>
        <v>계</v>
      </c>
      <c r="AF43" s="78" t="str">
        <f>Q43&amp;"/"&amp;R43</f>
        <v>3/2</v>
      </c>
      <c r="AH43" s="20" t="str">
        <f t="shared" si="1"/>
        <v>호성동신</v>
      </c>
      <c r="AI43" s="86">
        <f t="shared" si="0"/>
        <v>31</v>
      </c>
      <c r="AJ43" s="78" t="str">
        <f>IF(AI43="","",$AJ$2)</f>
        <v>A-</v>
      </c>
      <c r="AK43" s="78" t="s">
        <v>13</v>
      </c>
      <c r="AL43" s="78" t="s">
        <v>61</v>
      </c>
      <c r="AM43" s="78" t="s">
        <v>62</v>
      </c>
      <c r="AN43" s="78" t="str">
        <f>IF(AI43="","",$AN$2)</f>
        <v>C</v>
      </c>
      <c r="AO43" s="78" t="str">
        <f>IF(N43="","",IF(N43&gt;=$AO$1/100,"O","X"))</f>
        <v>O</v>
      </c>
      <c r="AP43" s="78" t="str">
        <f>IF(I43="","",IF(I43&lt;=$AP$1,"O","X"))</f>
        <v>O</v>
      </c>
      <c r="AQ43" s="78" t="str">
        <f>IF(O43="","",IF(O43&lt;=$AQ$1,"O","X"))</f>
        <v>O</v>
      </c>
      <c r="AR43" s="78" t="str">
        <f>IF(M43="","",IF(M43&lt;=$AR$1,"O","X"))</f>
        <v>O</v>
      </c>
      <c r="AS43" s="78" t="s">
        <v>2</v>
      </c>
      <c r="AT43" s="78" t="str">
        <f>IF(OR(F43="",AI43=""),"",IF(AND((F43&lt;=85),(AI43&gt;=15)),"O","X"))</f>
        <v>O</v>
      </c>
      <c r="AU43" s="78" t="str">
        <f>IF(C43="","",IF(C43&gt;=$AU$1,"O","X"))</f>
        <v>O</v>
      </c>
      <c r="AV43" s="78" t="str">
        <f>IF(AO43="","",IF(AND(AO43="O",AP43="O",AR43="O",AT43="O",AU43="O"),"후보","X"))</f>
        <v>후보</v>
      </c>
    </row>
    <row r="44" spans="1:48" x14ac:dyDescent="0.3">
      <c r="A44" s="9"/>
      <c r="B44" s="78"/>
      <c r="C44" s="6"/>
      <c r="D44" s="9"/>
      <c r="E44" s="14"/>
      <c r="F44" s="85"/>
      <c r="G44" s="9"/>
      <c r="H44" s="9"/>
      <c r="I44" s="9"/>
      <c r="J44" s="9"/>
      <c r="K44" s="9"/>
      <c r="L44" s="9"/>
      <c r="M44" s="9"/>
      <c r="N44" s="9"/>
      <c r="O44" s="90"/>
      <c r="P44" s="90"/>
      <c r="Q44" s="86"/>
      <c r="R44" s="86"/>
      <c r="S44" s="9"/>
      <c r="T44" s="47"/>
      <c r="U44" s="9"/>
      <c r="W44" s="67" t="str">
        <f>$A$4&amp;" "&amp;A45&amp;"("&amp;B45&amp;","&amp;C45&amp;"^)"</f>
        <v>호성동1가 호성주공('97.06.,1911^)</v>
      </c>
      <c r="X44" s="68"/>
      <c r="Y44" s="68"/>
      <c r="Z44" s="68"/>
      <c r="AA44" s="68"/>
      <c r="AB44" s="68"/>
      <c r="AC44" s="68"/>
      <c r="AD44" s="68"/>
      <c r="AE44" s="68"/>
      <c r="AF44" s="69"/>
      <c r="AH44" s="20" t="str">
        <f t="shared" si="1"/>
        <v/>
      </c>
      <c r="AI44" s="108" t="str">
        <f t="shared" si="0"/>
        <v/>
      </c>
      <c r="AJ44" s="78"/>
      <c r="AK44" s="78"/>
      <c r="AL44" s="78"/>
      <c r="AM44" s="78"/>
      <c r="AN44" s="78"/>
      <c r="AO44" s="78"/>
      <c r="AP44" s="78"/>
      <c r="AQ44" s="78"/>
      <c r="AR44" s="78"/>
      <c r="AS44" s="78"/>
      <c r="AT44" s="78"/>
      <c r="AU44" s="78"/>
      <c r="AV44" s="78"/>
    </row>
    <row r="45" spans="1:48" x14ac:dyDescent="0.3">
      <c r="A45" s="9" t="s">
        <v>1519</v>
      </c>
      <c r="B45" s="10" t="s">
        <v>1633</v>
      </c>
      <c r="C45" s="87">
        <v>1911</v>
      </c>
      <c r="D45" s="85">
        <v>55.2</v>
      </c>
      <c r="E45" s="86">
        <v>17</v>
      </c>
      <c r="F45" s="85">
        <v>39.700000000000003</v>
      </c>
      <c r="G45" s="17">
        <v>12</v>
      </c>
      <c r="H45" s="87">
        <v>312</v>
      </c>
      <c r="I45" s="88">
        <v>7800</v>
      </c>
      <c r="J45" s="88" t="s">
        <v>131</v>
      </c>
      <c r="K45" s="88">
        <v>7500</v>
      </c>
      <c r="L45" s="88" t="s">
        <v>127</v>
      </c>
      <c r="M45" s="89">
        <f>I45-K45</f>
        <v>300</v>
      </c>
      <c r="N45" s="4">
        <f>IF(ISERROR(K45/I45),"",K45/I45)</f>
        <v>0.96153846153846156</v>
      </c>
      <c r="O45" s="90">
        <f>I45/E45</f>
        <v>458.8235294117647</v>
      </c>
      <c r="P45" s="90">
        <f>K45/E45</f>
        <v>441.1764705882353</v>
      </c>
      <c r="Q45" s="78">
        <v>2</v>
      </c>
      <c r="R45" s="78">
        <v>1</v>
      </c>
      <c r="S45" s="78" t="s">
        <v>59</v>
      </c>
      <c r="T45" s="5">
        <v>55</v>
      </c>
      <c r="U45" s="9"/>
      <c r="W45" s="85">
        <f t="shared" ref="W45:X48" si="27">D45</f>
        <v>55.2</v>
      </c>
      <c r="X45" s="86">
        <f t="shared" si="27"/>
        <v>17</v>
      </c>
      <c r="Y45" s="91">
        <f t="shared" ref="Y45:Z48" si="28">H45</f>
        <v>312</v>
      </c>
      <c r="Z45" s="89">
        <f t="shared" si="28"/>
        <v>7800</v>
      </c>
      <c r="AA45" s="89">
        <f>K45</f>
        <v>7500</v>
      </c>
      <c r="AB45" s="89">
        <f t="shared" ref="AB45:AD48" si="29">M45</f>
        <v>300</v>
      </c>
      <c r="AC45" s="4">
        <f t="shared" si="29"/>
        <v>0.96153846153846156</v>
      </c>
      <c r="AD45" s="90">
        <f t="shared" si="29"/>
        <v>458.8235294117647</v>
      </c>
      <c r="AE45" s="78" t="str">
        <f>S45</f>
        <v>계</v>
      </c>
      <c r="AF45" s="78" t="str">
        <f>Q45&amp;"/"&amp;R45</f>
        <v>2/1</v>
      </c>
      <c r="AH45" s="20" t="str">
        <f t="shared" si="1"/>
        <v>호성주공</v>
      </c>
      <c r="AI45" s="86">
        <f t="shared" si="0"/>
        <v>17</v>
      </c>
      <c r="AJ45" s="78" t="str">
        <f>IF(AI45="","",$AJ$2)</f>
        <v>A-</v>
      </c>
      <c r="AK45" s="78" t="s">
        <v>13</v>
      </c>
      <c r="AL45" s="78" t="s">
        <v>61</v>
      </c>
      <c r="AM45" s="78" t="s">
        <v>62</v>
      </c>
      <c r="AN45" s="78" t="str">
        <f>IF(AI45="","",$AN$2)</f>
        <v>C</v>
      </c>
      <c r="AO45" s="78" t="str">
        <f>IF(N45="","",IF(N45&gt;=$AO$1/100,"O","X"))</f>
        <v>O</v>
      </c>
      <c r="AP45" s="78" t="str">
        <f>IF(I45="","",IF(I45&lt;=$AP$1,"O","X"))</f>
        <v>O</v>
      </c>
      <c r="AQ45" s="78" t="str">
        <f>IF(O45="","",IF(O45&lt;=$AQ$1,"O","X"))</f>
        <v>O</v>
      </c>
      <c r="AR45" s="78" t="str">
        <f>IF(M45="","",IF(M45&lt;=$AR$1,"O","X"))</f>
        <v>O</v>
      </c>
      <c r="AS45" s="78" t="s">
        <v>2</v>
      </c>
      <c r="AT45" s="78" t="str">
        <f>IF(OR(F45="",AI45=""),"",IF(AND((F45&lt;=85),(AI45&gt;=15)),"O","X"))</f>
        <v>O</v>
      </c>
      <c r="AU45" s="78" t="str">
        <f>IF(C45="","",IF(C45&gt;=$AU$1,"O","X"))</f>
        <v>O</v>
      </c>
      <c r="AV45" s="78" t="str">
        <f>IF(AO45="","",IF(AND(AO45="O",AP45="O",AR45="O",AT45="O",AU45="O"),"후보","X"))</f>
        <v>후보</v>
      </c>
    </row>
    <row r="46" spans="1:48" x14ac:dyDescent="0.3">
      <c r="A46" s="9" t="s">
        <v>1519</v>
      </c>
      <c r="B46" s="10" t="s">
        <v>1633</v>
      </c>
      <c r="C46" s="87">
        <v>1911</v>
      </c>
      <c r="D46" s="85">
        <v>68.3</v>
      </c>
      <c r="E46" s="86">
        <v>21</v>
      </c>
      <c r="F46" s="85">
        <v>49.7</v>
      </c>
      <c r="G46" s="17">
        <v>15</v>
      </c>
      <c r="H46" s="87">
        <v>427</v>
      </c>
      <c r="I46" s="88"/>
      <c r="J46" s="88"/>
      <c r="K46" s="88"/>
      <c r="L46" s="88"/>
      <c r="M46" s="89">
        <f>I46-K46</f>
        <v>0</v>
      </c>
      <c r="N46" s="4" t="str">
        <f>IF(ISERROR(K46/I46),"",K46/I46)</f>
        <v/>
      </c>
      <c r="O46" s="90">
        <f>I46/E46</f>
        <v>0</v>
      </c>
      <c r="P46" s="90">
        <f>K46/E46</f>
        <v>0</v>
      </c>
      <c r="Q46" s="78">
        <v>2</v>
      </c>
      <c r="R46" s="78">
        <v>1</v>
      </c>
      <c r="S46" s="78" t="s">
        <v>59</v>
      </c>
      <c r="T46" s="5">
        <v>68</v>
      </c>
      <c r="U46" s="9"/>
      <c r="W46" s="85">
        <f t="shared" si="27"/>
        <v>68.3</v>
      </c>
      <c r="X46" s="86">
        <f t="shared" si="27"/>
        <v>21</v>
      </c>
      <c r="Y46" s="91">
        <f t="shared" si="28"/>
        <v>427</v>
      </c>
      <c r="Z46" s="89">
        <f t="shared" si="28"/>
        <v>0</v>
      </c>
      <c r="AA46" s="89">
        <f>K46</f>
        <v>0</v>
      </c>
      <c r="AB46" s="89">
        <f t="shared" si="29"/>
        <v>0</v>
      </c>
      <c r="AC46" s="4" t="str">
        <f t="shared" si="29"/>
        <v/>
      </c>
      <c r="AD46" s="90">
        <f t="shared" si="29"/>
        <v>0</v>
      </c>
      <c r="AE46" s="78" t="str">
        <f>S46</f>
        <v>계</v>
      </c>
      <c r="AF46" s="78" t="str">
        <f>Q46&amp;"/"&amp;R46</f>
        <v>2/1</v>
      </c>
      <c r="AH46" s="20" t="str">
        <f t="shared" si="1"/>
        <v>호성주공</v>
      </c>
      <c r="AI46" s="86">
        <f t="shared" si="0"/>
        <v>21</v>
      </c>
      <c r="AJ46" s="78" t="str">
        <f>IF(AI46="","",$AJ$2)</f>
        <v>A-</v>
      </c>
      <c r="AK46" s="78" t="s">
        <v>13</v>
      </c>
      <c r="AL46" s="78" t="s">
        <v>61</v>
      </c>
      <c r="AM46" s="78" t="s">
        <v>62</v>
      </c>
      <c r="AN46" s="78" t="str">
        <f>IF(AI46="","",$AN$2)</f>
        <v>C</v>
      </c>
      <c r="AO46" s="78" t="str">
        <f>IF(N46="","",IF(N46&gt;=$AO$1/100,"O","X"))</f>
        <v/>
      </c>
      <c r="AP46" s="78" t="str">
        <f>IF(I46="","",IF(I46&lt;=$AP$1,"O","X"))</f>
        <v/>
      </c>
      <c r="AQ46" s="78" t="str">
        <f>IF(O46="","",IF(O46&lt;=$AQ$1,"O","X"))</f>
        <v>O</v>
      </c>
      <c r="AR46" s="78" t="str">
        <f>IF(M46="","",IF(M46&lt;=$AR$1,"O","X"))</f>
        <v>O</v>
      </c>
      <c r="AS46" s="78" t="s">
        <v>2</v>
      </c>
      <c r="AT46" s="78" t="str">
        <f>IF(OR(F46="",AI46=""),"",IF(AND((F46&lt;=85),(AI46&gt;=15)),"O","X"))</f>
        <v>O</v>
      </c>
      <c r="AU46" s="78" t="str">
        <f>IF(C46="","",IF(C46&gt;=$AU$1,"O","X"))</f>
        <v>O</v>
      </c>
      <c r="AV46" s="78" t="str">
        <f>IF(AO46="","",IF(AND(AO46="O",AP46="O",AR46="O",AT46="O",AU46="O"),"후보","X"))</f>
        <v/>
      </c>
    </row>
    <row r="47" spans="1:48" x14ac:dyDescent="0.3">
      <c r="A47" s="9" t="s">
        <v>1519</v>
      </c>
      <c r="B47" s="10" t="s">
        <v>1633</v>
      </c>
      <c r="C47" s="87">
        <v>1911</v>
      </c>
      <c r="D47" s="85">
        <v>77.099999999999994</v>
      </c>
      <c r="E47" s="86">
        <v>23</v>
      </c>
      <c r="F47" s="85">
        <v>60</v>
      </c>
      <c r="G47" s="17">
        <v>18</v>
      </c>
      <c r="H47" s="87">
        <v>272</v>
      </c>
      <c r="I47" s="88">
        <v>14700</v>
      </c>
      <c r="J47" s="88" t="s">
        <v>82</v>
      </c>
      <c r="K47" s="88">
        <v>13500</v>
      </c>
      <c r="L47" s="88" t="s">
        <v>87</v>
      </c>
      <c r="M47" s="89">
        <f>I47-K47</f>
        <v>1200</v>
      </c>
      <c r="N47" s="4">
        <f>IF(ISERROR(K47/I47),"",K47/I47)</f>
        <v>0.91836734693877553</v>
      </c>
      <c r="O47" s="90">
        <f>I47/E47</f>
        <v>639.13043478260875</v>
      </c>
      <c r="P47" s="90">
        <f>K47/E47</f>
        <v>586.95652173913038</v>
      </c>
      <c r="Q47" s="78">
        <v>3</v>
      </c>
      <c r="R47" s="78">
        <v>1</v>
      </c>
      <c r="S47" s="78" t="s">
        <v>59</v>
      </c>
      <c r="T47" s="5">
        <v>77</v>
      </c>
      <c r="U47" s="9"/>
      <c r="W47" s="85">
        <f t="shared" si="27"/>
        <v>77.099999999999994</v>
      </c>
      <c r="X47" s="86">
        <f t="shared" si="27"/>
        <v>23</v>
      </c>
      <c r="Y47" s="91">
        <f t="shared" si="28"/>
        <v>272</v>
      </c>
      <c r="Z47" s="89">
        <f t="shared" si="28"/>
        <v>14700</v>
      </c>
      <c r="AA47" s="89">
        <f>K47</f>
        <v>13500</v>
      </c>
      <c r="AB47" s="89">
        <f t="shared" si="29"/>
        <v>1200</v>
      </c>
      <c r="AC47" s="4">
        <f t="shared" si="29"/>
        <v>0.91836734693877553</v>
      </c>
      <c r="AD47" s="90">
        <f t="shared" si="29"/>
        <v>639.13043478260875</v>
      </c>
      <c r="AE47" s="78" t="str">
        <f>S47</f>
        <v>계</v>
      </c>
      <c r="AF47" s="78" t="str">
        <f>Q47&amp;"/"&amp;R47</f>
        <v>3/1</v>
      </c>
      <c r="AH47" s="20" t="str">
        <f t="shared" si="1"/>
        <v>호성주공</v>
      </c>
      <c r="AI47" s="86">
        <f t="shared" si="0"/>
        <v>23</v>
      </c>
      <c r="AJ47" s="78" t="str">
        <f>IF(AI47="","",$AJ$2)</f>
        <v>A-</v>
      </c>
      <c r="AK47" s="78" t="s">
        <v>13</v>
      </c>
      <c r="AL47" s="78" t="s">
        <v>61</v>
      </c>
      <c r="AM47" s="78" t="s">
        <v>62</v>
      </c>
      <c r="AN47" s="78" t="str">
        <f>IF(AI47="","",$AN$2)</f>
        <v>C</v>
      </c>
      <c r="AO47" s="78" t="str">
        <f>IF(N47="","",IF(N47&gt;=$AO$1/100,"O","X"))</f>
        <v>O</v>
      </c>
      <c r="AP47" s="78" t="str">
        <f>IF(I47="","",IF(I47&lt;=$AP$1,"O","X"))</f>
        <v>O</v>
      </c>
      <c r="AQ47" s="78" t="str">
        <f>IF(O47="","",IF(O47&lt;=$AQ$1,"O","X"))</f>
        <v>O</v>
      </c>
      <c r="AR47" s="78" t="str">
        <f>IF(M47="","",IF(M47&lt;=$AR$1,"O","X"))</f>
        <v>O</v>
      </c>
      <c r="AS47" s="78" t="s">
        <v>2</v>
      </c>
      <c r="AT47" s="78" t="str">
        <f>IF(OR(F47="",AI47=""),"",IF(AND((F47&lt;=85),(AI47&gt;=15)),"O","X"))</f>
        <v>O</v>
      </c>
      <c r="AU47" s="78" t="str">
        <f>IF(C47="","",IF(C47&gt;=$AU$1,"O","X"))</f>
        <v>O</v>
      </c>
      <c r="AV47" s="78" t="str">
        <f>IF(AO47="","",IF(AND(AO47="O",AP47="O",AR47="O",AT47="O",AU47="O"),"후보","X"))</f>
        <v>후보</v>
      </c>
    </row>
    <row r="48" spans="1:48" x14ac:dyDescent="0.3">
      <c r="A48" s="9" t="s">
        <v>1519</v>
      </c>
      <c r="B48" s="10" t="s">
        <v>1633</v>
      </c>
      <c r="C48" s="87">
        <v>1911</v>
      </c>
      <c r="D48" s="85">
        <v>79.900000000000006</v>
      </c>
      <c r="E48" s="86">
        <v>24</v>
      </c>
      <c r="F48" s="85">
        <v>60</v>
      </c>
      <c r="G48" s="17">
        <v>18</v>
      </c>
      <c r="H48" s="87">
        <v>900</v>
      </c>
      <c r="I48" s="88">
        <v>14500</v>
      </c>
      <c r="J48" s="88" t="s">
        <v>155</v>
      </c>
      <c r="K48" s="88">
        <v>14000</v>
      </c>
      <c r="L48" s="88" t="s">
        <v>83</v>
      </c>
      <c r="M48" s="89">
        <f>I48-K48</f>
        <v>500</v>
      </c>
      <c r="N48" s="4">
        <f>IF(ISERROR(K48/I48),"",K48/I48)</f>
        <v>0.96551724137931039</v>
      </c>
      <c r="O48" s="90">
        <f>I48/E48</f>
        <v>604.16666666666663</v>
      </c>
      <c r="P48" s="90">
        <f>K48/E48</f>
        <v>583.33333333333337</v>
      </c>
      <c r="Q48" s="78">
        <v>3</v>
      </c>
      <c r="R48" s="78">
        <v>1</v>
      </c>
      <c r="S48" s="78" t="s">
        <v>59</v>
      </c>
      <c r="T48" s="5">
        <v>79</v>
      </c>
      <c r="U48" s="9"/>
      <c r="W48" s="85">
        <f t="shared" si="27"/>
        <v>79.900000000000006</v>
      </c>
      <c r="X48" s="86">
        <f t="shared" si="27"/>
        <v>24</v>
      </c>
      <c r="Y48" s="91">
        <f t="shared" si="28"/>
        <v>900</v>
      </c>
      <c r="Z48" s="89">
        <f t="shared" si="28"/>
        <v>14500</v>
      </c>
      <c r="AA48" s="89">
        <f>K48</f>
        <v>14000</v>
      </c>
      <c r="AB48" s="89">
        <f t="shared" si="29"/>
        <v>500</v>
      </c>
      <c r="AC48" s="4">
        <f t="shared" si="29"/>
        <v>0.96551724137931039</v>
      </c>
      <c r="AD48" s="90">
        <f t="shared" si="29"/>
        <v>604.16666666666663</v>
      </c>
      <c r="AE48" s="78" t="str">
        <f>S48</f>
        <v>계</v>
      </c>
      <c r="AF48" s="78" t="str">
        <f>Q48&amp;"/"&amp;R48</f>
        <v>3/1</v>
      </c>
      <c r="AH48" s="20" t="str">
        <f t="shared" si="1"/>
        <v>호성주공</v>
      </c>
      <c r="AI48" s="86">
        <f t="shared" si="0"/>
        <v>24</v>
      </c>
      <c r="AJ48" s="78" t="str">
        <f>IF(AI48="","",$AJ$2)</f>
        <v>A-</v>
      </c>
      <c r="AK48" s="78" t="s">
        <v>13</v>
      </c>
      <c r="AL48" s="78" t="s">
        <v>61</v>
      </c>
      <c r="AM48" s="78" t="s">
        <v>62</v>
      </c>
      <c r="AN48" s="78" t="str">
        <f>IF(AI48="","",$AN$2)</f>
        <v>C</v>
      </c>
      <c r="AO48" s="78" t="str">
        <f>IF(N48="","",IF(N48&gt;=$AO$1/100,"O","X"))</f>
        <v>O</v>
      </c>
      <c r="AP48" s="78" t="str">
        <f>IF(I48="","",IF(I48&lt;=$AP$1,"O","X"))</f>
        <v>O</v>
      </c>
      <c r="AQ48" s="78" t="str">
        <f>IF(O48="","",IF(O48&lt;=$AQ$1,"O","X"))</f>
        <v>O</v>
      </c>
      <c r="AR48" s="78" t="str">
        <f>IF(M48="","",IF(M48&lt;=$AR$1,"O","X"))</f>
        <v>O</v>
      </c>
      <c r="AS48" s="78" t="s">
        <v>2</v>
      </c>
      <c r="AT48" s="78" t="str">
        <f>IF(OR(F48="",AI48=""),"",IF(AND((F48&lt;=85),(AI48&gt;=15)),"O","X"))</f>
        <v>O</v>
      </c>
      <c r="AU48" s="78" t="str">
        <f>IF(C48="","",IF(C48&gt;=$AU$1,"O","X"))</f>
        <v>O</v>
      </c>
      <c r="AV48" s="78" t="str">
        <f>IF(AO48="","",IF(AND(AO48="O",AP48="O",AR48="O",AT48="O",AU48="O"),"후보","X"))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765" priority="692">
      <formula>AV4="X"</formula>
    </cfRule>
    <cfRule type="expression" dxfId="764" priority="693">
      <formula>AV4="후보"</formula>
    </cfRule>
  </conditionalFormatting>
  <conditionalFormatting sqref="AC1:AC2 AC4:AC6 N4:N5">
    <cfRule type="cellIs" dxfId="763" priority="689" operator="greaterThan">
      <formula>0.9</formula>
    </cfRule>
    <cfRule type="cellIs" dxfId="762" priority="690" operator="greaterThan">
      <formula>0.85</formula>
    </cfRule>
  </conditionalFormatting>
  <conditionalFormatting sqref="N1:N2">
    <cfRule type="cellIs" dxfId="761" priority="687" operator="greaterThan">
      <formula>0.9</formula>
    </cfRule>
    <cfRule type="cellIs" dxfId="760" priority="688" operator="greaterThan">
      <formula>0.85</formula>
    </cfRule>
  </conditionalFormatting>
  <conditionalFormatting sqref="N6">
    <cfRule type="cellIs" dxfId="759" priority="685" operator="greaterThan">
      <formula>0.9</formula>
    </cfRule>
    <cfRule type="cellIs" dxfId="758" priority="686" operator="greaterThan">
      <formula>0.85</formula>
    </cfRule>
  </conditionalFormatting>
  <conditionalFormatting sqref="E6">
    <cfRule type="expression" dxfId="757" priority="681">
      <formula>AND(IF(OR($Q6=1,$Q6=2),1,0),IF($X6&lt;=20,1,0))</formula>
    </cfRule>
    <cfRule type="expression" dxfId="756" priority="682">
      <formula>AND(IF($Q6=2,1,0),IF($X6&lt;30,1,0))</formula>
    </cfRule>
    <cfRule type="expression" dxfId="755" priority="683">
      <formula>AND(IF($Q6=3,1,0),IF($X6&lt;30,1,0))</formula>
    </cfRule>
    <cfRule type="expression" dxfId="754" priority="684">
      <formula>AND(IF($Q6=3,1,IF($Q6=4,1,0)),IF($F6&lt;=85,1,0))</formula>
    </cfRule>
  </conditionalFormatting>
  <conditionalFormatting sqref="X6">
    <cfRule type="expression" dxfId="753" priority="677">
      <formula>AND(IF(OR($Q6=1,$Q6=2),1,0),IF($X6&lt;=20,1,0))</formula>
    </cfRule>
    <cfRule type="expression" dxfId="752" priority="678">
      <formula>AND(IF($Q6=2,1,0),IF($X6&lt;30,1,0))</formula>
    </cfRule>
    <cfRule type="expression" dxfId="751" priority="679">
      <formula>AND(IF($Q6=3,1,0),IF($X6&lt;30,1,0))</formula>
    </cfRule>
    <cfRule type="expression" dxfId="750" priority="680">
      <formula>AND(IF($Q6=3,1,IF($Q6=4,1,0)),IF($F6&lt;=85,1,0))</formula>
    </cfRule>
  </conditionalFormatting>
  <conditionalFormatting sqref="AI6">
    <cfRule type="expression" dxfId="749" priority="673">
      <formula>AND(IF(OR($Q6=1,$Q6=2),1,0),IF($X6&lt;=20,1,0))</formula>
    </cfRule>
    <cfRule type="expression" dxfId="748" priority="674">
      <formula>AND(IF($Q6=2,1,0),IF($X6&lt;30,1,0))</formula>
    </cfRule>
    <cfRule type="expression" dxfId="747" priority="675">
      <formula>AND(IF($Q6=3,1,0),IF($X6&lt;30,1,0))</formula>
    </cfRule>
    <cfRule type="expression" dxfId="746" priority="676">
      <formula>AND(IF($Q6=3,1,IF($Q6=4,1,0)),IF($F6&lt;=85,1,0))</formula>
    </cfRule>
  </conditionalFormatting>
  <conditionalFormatting sqref="AV7">
    <cfRule type="expression" dxfId="745" priority="671">
      <formula>AV7="X"</formula>
    </cfRule>
    <cfRule type="expression" dxfId="744" priority="672">
      <formula>AV7="후보"</formula>
    </cfRule>
  </conditionalFormatting>
  <conditionalFormatting sqref="AC7">
    <cfRule type="cellIs" dxfId="743" priority="668" operator="greaterThan">
      <formula>0.9</formula>
    </cfRule>
    <cfRule type="cellIs" dxfId="742" priority="669" operator="greaterThan">
      <formula>0.85</formula>
    </cfRule>
  </conditionalFormatting>
  <conditionalFormatting sqref="N7">
    <cfRule type="cellIs" dxfId="741" priority="666" operator="greaterThan">
      <formula>0.9</formula>
    </cfRule>
    <cfRule type="cellIs" dxfId="740" priority="667" operator="greaterThan">
      <formula>0.85</formula>
    </cfRule>
  </conditionalFormatting>
  <conditionalFormatting sqref="E7">
    <cfRule type="expression" dxfId="739" priority="662">
      <formula>AND(IF(OR($Q7=1,$Q7=2),1,0),IF($X7&lt;=20,1,0))</formula>
    </cfRule>
    <cfRule type="expression" dxfId="738" priority="663">
      <formula>AND(IF($Q7=2,1,0),IF($X7&lt;30,1,0))</formula>
    </cfRule>
    <cfRule type="expression" dxfId="737" priority="664">
      <formula>AND(IF($Q7=3,1,0),IF($X7&lt;30,1,0))</formula>
    </cfRule>
    <cfRule type="expression" dxfId="736" priority="665">
      <formula>AND(IF($Q7=3,1,IF($Q7=4,1,0)),IF($F7&lt;=85,1,0))</formula>
    </cfRule>
  </conditionalFormatting>
  <conditionalFormatting sqref="X7">
    <cfRule type="expression" dxfId="735" priority="658">
      <formula>AND(IF(OR($Q7=1,$Q7=2),1,0),IF($X7&lt;=20,1,0))</formula>
    </cfRule>
    <cfRule type="expression" dxfId="734" priority="659">
      <formula>AND(IF($Q7=2,1,0),IF($X7&lt;30,1,0))</formula>
    </cfRule>
    <cfRule type="expression" dxfId="733" priority="660">
      <formula>AND(IF($Q7=3,1,0),IF($X7&lt;30,1,0))</formula>
    </cfRule>
    <cfRule type="expression" dxfId="732" priority="661">
      <formula>AND(IF($Q7=3,1,IF($Q7=4,1,0)),IF($F7&lt;=85,1,0))</formula>
    </cfRule>
  </conditionalFormatting>
  <conditionalFormatting sqref="AI7">
    <cfRule type="expression" dxfId="731" priority="654">
      <formula>AND(IF(OR($Q7=1,$Q7=2),1,0),IF($X7&lt;=20,1,0))</formula>
    </cfRule>
    <cfRule type="expression" dxfId="730" priority="655">
      <formula>AND(IF($Q7=2,1,0),IF($X7&lt;30,1,0))</formula>
    </cfRule>
    <cfRule type="expression" dxfId="729" priority="656">
      <formula>AND(IF($Q7=3,1,0),IF($X7&lt;30,1,0))</formula>
    </cfRule>
    <cfRule type="expression" dxfId="728" priority="657">
      <formula>AND(IF($Q7=3,1,IF($Q7=4,1,0)),IF($F7&lt;=85,1,0))</formula>
    </cfRule>
  </conditionalFormatting>
  <conditionalFormatting sqref="AV8">
    <cfRule type="expression" dxfId="727" priority="652">
      <formula>AV8="X"</formula>
    </cfRule>
    <cfRule type="expression" dxfId="726" priority="653">
      <formula>AV8="후보"</formula>
    </cfRule>
  </conditionalFormatting>
  <conditionalFormatting sqref="AC8">
    <cfRule type="cellIs" dxfId="725" priority="649" operator="greaterThan">
      <formula>0.9</formula>
    </cfRule>
    <cfRule type="cellIs" dxfId="724" priority="650" operator="greaterThan">
      <formula>0.85</formula>
    </cfRule>
  </conditionalFormatting>
  <conditionalFormatting sqref="N8">
    <cfRule type="cellIs" dxfId="723" priority="647" operator="greaterThan">
      <formula>0.9</formula>
    </cfRule>
    <cfRule type="cellIs" dxfId="722" priority="648" operator="greaterThan">
      <formula>0.85</formula>
    </cfRule>
  </conditionalFormatting>
  <conditionalFormatting sqref="E8">
    <cfRule type="expression" dxfId="721" priority="643">
      <formula>AND(IF(OR($Q8=1,$Q8=2),1,0),IF($X8&lt;=20,1,0))</formula>
    </cfRule>
    <cfRule type="expression" dxfId="720" priority="644">
      <formula>AND(IF($Q8=2,1,0),IF($X8&lt;30,1,0))</formula>
    </cfRule>
    <cfRule type="expression" dxfId="719" priority="645">
      <formula>AND(IF($Q8=3,1,0),IF($X8&lt;30,1,0))</formula>
    </cfRule>
    <cfRule type="expression" dxfId="718" priority="646">
      <formula>AND(IF($Q8=3,1,IF($Q8=4,1,0)),IF($F8&lt;=85,1,0))</formula>
    </cfRule>
  </conditionalFormatting>
  <conditionalFormatting sqref="X8">
    <cfRule type="expression" dxfId="717" priority="639">
      <formula>AND(IF(OR($Q8=1,$Q8=2),1,0),IF($X8&lt;=20,1,0))</formula>
    </cfRule>
    <cfRule type="expression" dxfId="716" priority="640">
      <formula>AND(IF($Q8=2,1,0),IF($X8&lt;30,1,0))</formula>
    </cfRule>
    <cfRule type="expression" dxfId="715" priority="641">
      <formula>AND(IF($Q8=3,1,0),IF($X8&lt;30,1,0))</formula>
    </cfRule>
    <cfRule type="expression" dxfId="714" priority="642">
      <formula>AND(IF($Q8=3,1,IF($Q8=4,1,0)),IF($F8&lt;=85,1,0))</formula>
    </cfRule>
  </conditionalFormatting>
  <conditionalFormatting sqref="AI8">
    <cfRule type="expression" dxfId="713" priority="635">
      <formula>AND(IF(OR($Q8=1,$Q8=2),1,0),IF($X8&lt;=20,1,0))</formula>
    </cfRule>
    <cfRule type="expression" dxfId="712" priority="636">
      <formula>AND(IF($Q8=2,1,0),IF($X8&lt;30,1,0))</formula>
    </cfRule>
    <cfRule type="expression" dxfId="711" priority="637">
      <formula>AND(IF($Q8=3,1,0),IF($X8&lt;30,1,0))</formula>
    </cfRule>
    <cfRule type="expression" dxfId="710" priority="638">
      <formula>AND(IF($Q8=3,1,IF($Q8=4,1,0)),IF($F8&lt;=85,1,0))</formula>
    </cfRule>
  </conditionalFormatting>
  <conditionalFormatting sqref="AV9">
    <cfRule type="expression" dxfId="709" priority="633">
      <formula>AV9="X"</formula>
    </cfRule>
    <cfRule type="expression" dxfId="708" priority="634">
      <formula>AV9="후보"</formula>
    </cfRule>
  </conditionalFormatting>
  <conditionalFormatting sqref="AC9 N9">
    <cfRule type="cellIs" dxfId="707" priority="630" operator="greaterThan">
      <formula>0.9</formula>
    </cfRule>
    <cfRule type="cellIs" dxfId="706" priority="631" operator="greaterThan">
      <formula>0.85</formula>
    </cfRule>
  </conditionalFormatting>
  <conditionalFormatting sqref="AV10">
    <cfRule type="expression" dxfId="705" priority="628">
      <formula>AV10="X"</formula>
    </cfRule>
    <cfRule type="expression" dxfId="704" priority="629">
      <formula>AV10="후보"</formula>
    </cfRule>
  </conditionalFormatting>
  <conditionalFormatting sqref="AC10">
    <cfRule type="cellIs" dxfId="703" priority="625" operator="greaterThan">
      <formula>0.9</formula>
    </cfRule>
    <cfRule type="cellIs" dxfId="702" priority="626" operator="greaterThan">
      <formula>0.85</formula>
    </cfRule>
  </conditionalFormatting>
  <conditionalFormatting sqref="N10">
    <cfRule type="cellIs" dxfId="701" priority="623" operator="greaterThan">
      <formula>0.9</formula>
    </cfRule>
    <cfRule type="cellIs" dxfId="700" priority="624" operator="greaterThan">
      <formula>0.85</formula>
    </cfRule>
  </conditionalFormatting>
  <conditionalFormatting sqref="E10">
    <cfRule type="expression" dxfId="699" priority="619">
      <formula>AND(IF(OR($Q10=1,$Q10=2),1,0),IF($X10&lt;=20,1,0))</formula>
    </cfRule>
    <cfRule type="expression" dxfId="698" priority="620">
      <formula>AND(IF($Q10=2,1,0),IF($X10&lt;30,1,0))</formula>
    </cfRule>
    <cfRule type="expression" dxfId="697" priority="621">
      <formula>AND(IF($Q10=3,1,0),IF($X10&lt;30,1,0))</formula>
    </cfRule>
    <cfRule type="expression" dxfId="696" priority="622">
      <formula>AND(IF($Q10=3,1,IF($Q10=4,1,0)),IF($F10&lt;=85,1,0))</formula>
    </cfRule>
  </conditionalFormatting>
  <conditionalFormatting sqref="X10">
    <cfRule type="expression" dxfId="695" priority="615">
      <formula>AND(IF(OR($Q10=1,$Q10=2),1,0),IF($X10&lt;=20,1,0))</formula>
    </cfRule>
    <cfRule type="expression" dxfId="694" priority="616">
      <formula>AND(IF($Q10=2,1,0),IF($X10&lt;30,1,0))</formula>
    </cfRule>
    <cfRule type="expression" dxfId="693" priority="617">
      <formula>AND(IF($Q10=3,1,0),IF($X10&lt;30,1,0))</formula>
    </cfRule>
    <cfRule type="expression" dxfId="692" priority="618">
      <formula>AND(IF($Q10=3,1,IF($Q10=4,1,0)),IF($F10&lt;=85,1,0))</formula>
    </cfRule>
  </conditionalFormatting>
  <conditionalFormatting sqref="AI10">
    <cfRule type="expression" dxfId="691" priority="611">
      <formula>AND(IF(OR($Q10=1,$Q10=2),1,0),IF($X10&lt;=20,1,0))</formula>
    </cfRule>
    <cfRule type="expression" dxfId="690" priority="612">
      <formula>AND(IF($Q10=2,1,0),IF($X10&lt;30,1,0))</formula>
    </cfRule>
    <cfRule type="expression" dxfId="689" priority="613">
      <formula>AND(IF($Q10=3,1,0),IF($X10&lt;30,1,0))</formula>
    </cfRule>
    <cfRule type="expression" dxfId="688" priority="614">
      <formula>AND(IF($Q10=3,1,IF($Q10=4,1,0)),IF($F10&lt;=85,1,0))</formula>
    </cfRule>
  </conditionalFormatting>
  <conditionalFormatting sqref="AV11">
    <cfRule type="expression" dxfId="687" priority="609">
      <formula>AV11="X"</formula>
    </cfRule>
    <cfRule type="expression" dxfId="686" priority="610">
      <formula>AV11="후보"</formula>
    </cfRule>
  </conditionalFormatting>
  <conditionalFormatting sqref="AC11">
    <cfRule type="cellIs" dxfId="685" priority="606" operator="greaterThan">
      <formula>0.9</formula>
    </cfRule>
    <cfRule type="cellIs" dxfId="684" priority="607" operator="greaterThan">
      <formula>0.85</formula>
    </cfRule>
  </conditionalFormatting>
  <conditionalFormatting sqref="N11">
    <cfRule type="cellIs" dxfId="683" priority="604" operator="greaterThan">
      <formula>0.9</formula>
    </cfRule>
    <cfRule type="cellIs" dxfId="682" priority="605" operator="greaterThan">
      <formula>0.85</formula>
    </cfRule>
  </conditionalFormatting>
  <conditionalFormatting sqref="E11">
    <cfRule type="expression" dxfId="681" priority="600">
      <formula>AND(IF(OR($Q11=1,$Q11=2),1,0),IF($X11&lt;=20,1,0))</formula>
    </cfRule>
    <cfRule type="expression" dxfId="680" priority="601">
      <formula>AND(IF($Q11=2,1,0),IF($X11&lt;30,1,0))</formula>
    </cfRule>
    <cfRule type="expression" dxfId="679" priority="602">
      <formula>AND(IF($Q11=3,1,0),IF($X11&lt;30,1,0))</formula>
    </cfRule>
    <cfRule type="expression" dxfId="678" priority="603">
      <formula>AND(IF($Q11=3,1,IF($Q11=4,1,0)),IF($F11&lt;=85,1,0))</formula>
    </cfRule>
  </conditionalFormatting>
  <conditionalFormatting sqref="X11">
    <cfRule type="expression" dxfId="677" priority="596">
      <formula>AND(IF(OR($Q11=1,$Q11=2),1,0),IF($X11&lt;=20,1,0))</formula>
    </cfRule>
    <cfRule type="expression" dxfId="676" priority="597">
      <formula>AND(IF($Q11=2,1,0),IF($X11&lt;30,1,0))</formula>
    </cfRule>
    <cfRule type="expression" dxfId="675" priority="598">
      <formula>AND(IF($Q11=3,1,0),IF($X11&lt;30,1,0))</formula>
    </cfRule>
    <cfRule type="expression" dxfId="674" priority="599">
      <formula>AND(IF($Q11=3,1,IF($Q11=4,1,0)),IF($F11&lt;=85,1,0))</formula>
    </cfRule>
  </conditionalFormatting>
  <conditionalFormatting sqref="AI11">
    <cfRule type="expression" dxfId="673" priority="592">
      <formula>AND(IF(OR($Q11=1,$Q11=2),1,0),IF($X11&lt;=20,1,0))</formula>
    </cfRule>
    <cfRule type="expression" dxfId="672" priority="593">
      <formula>AND(IF($Q11=2,1,0),IF($X11&lt;30,1,0))</formula>
    </cfRule>
    <cfRule type="expression" dxfId="671" priority="594">
      <formula>AND(IF($Q11=3,1,0),IF($X11&lt;30,1,0))</formula>
    </cfRule>
    <cfRule type="expression" dxfId="670" priority="595">
      <formula>AND(IF($Q11=3,1,IF($Q11=4,1,0)),IF($F11&lt;=85,1,0))</formula>
    </cfRule>
  </conditionalFormatting>
  <conditionalFormatting sqref="AV12">
    <cfRule type="expression" dxfId="669" priority="590">
      <formula>AV12="X"</formula>
    </cfRule>
    <cfRule type="expression" dxfId="668" priority="591">
      <formula>AV12="후보"</formula>
    </cfRule>
  </conditionalFormatting>
  <conditionalFormatting sqref="AC12">
    <cfRule type="cellIs" dxfId="667" priority="587" operator="greaterThan">
      <formula>0.9</formula>
    </cfRule>
    <cfRule type="cellIs" dxfId="666" priority="588" operator="greaterThan">
      <formula>0.85</formula>
    </cfRule>
  </conditionalFormatting>
  <conditionalFormatting sqref="N12">
    <cfRule type="cellIs" dxfId="665" priority="585" operator="greaterThan">
      <formula>0.9</formula>
    </cfRule>
    <cfRule type="cellIs" dxfId="664" priority="586" operator="greaterThan">
      <formula>0.85</formula>
    </cfRule>
  </conditionalFormatting>
  <conditionalFormatting sqref="E12">
    <cfRule type="expression" dxfId="663" priority="581">
      <formula>AND(IF(OR($Q12=1,$Q12=2),1,0),IF($X12&lt;=20,1,0))</formula>
    </cfRule>
    <cfRule type="expression" dxfId="662" priority="582">
      <formula>AND(IF($Q12=2,1,0),IF($X12&lt;30,1,0))</formula>
    </cfRule>
    <cfRule type="expression" dxfId="661" priority="583">
      <formula>AND(IF($Q12=3,1,0),IF($X12&lt;30,1,0))</formula>
    </cfRule>
    <cfRule type="expression" dxfId="660" priority="584">
      <formula>AND(IF($Q12=3,1,IF($Q12=4,1,0)),IF($F12&lt;=85,1,0))</formula>
    </cfRule>
  </conditionalFormatting>
  <conditionalFormatting sqref="X12">
    <cfRule type="expression" dxfId="659" priority="577">
      <formula>AND(IF(OR($Q12=1,$Q12=2),1,0),IF($X12&lt;=20,1,0))</formula>
    </cfRule>
    <cfRule type="expression" dxfId="658" priority="578">
      <formula>AND(IF($Q12=2,1,0),IF($X12&lt;30,1,0))</formula>
    </cfRule>
    <cfRule type="expression" dxfId="657" priority="579">
      <formula>AND(IF($Q12=3,1,0),IF($X12&lt;30,1,0))</formula>
    </cfRule>
    <cfRule type="expression" dxfId="656" priority="580">
      <formula>AND(IF($Q12=3,1,IF($Q12=4,1,0)),IF($F12&lt;=85,1,0))</formula>
    </cfRule>
  </conditionalFormatting>
  <conditionalFormatting sqref="AI12">
    <cfRule type="expression" dxfId="655" priority="573">
      <formula>AND(IF(OR($Q12=1,$Q12=2),1,0),IF($X12&lt;=20,1,0))</formula>
    </cfRule>
    <cfRule type="expression" dxfId="654" priority="574">
      <formula>AND(IF($Q12=2,1,0),IF($X12&lt;30,1,0))</formula>
    </cfRule>
    <cfRule type="expression" dxfId="653" priority="575">
      <formula>AND(IF($Q12=3,1,0),IF($X12&lt;30,1,0))</formula>
    </cfRule>
    <cfRule type="expression" dxfId="652" priority="576">
      <formula>AND(IF($Q12=3,1,IF($Q12=4,1,0)),IF($F12&lt;=85,1,0))</formula>
    </cfRule>
  </conditionalFormatting>
  <conditionalFormatting sqref="AV13">
    <cfRule type="expression" dxfId="651" priority="571">
      <formula>AV13="X"</formula>
    </cfRule>
    <cfRule type="expression" dxfId="650" priority="572">
      <formula>AV13="후보"</formula>
    </cfRule>
  </conditionalFormatting>
  <conditionalFormatting sqref="AC13">
    <cfRule type="cellIs" dxfId="649" priority="568" operator="greaterThan">
      <formula>0.9</formula>
    </cfRule>
    <cfRule type="cellIs" dxfId="648" priority="569" operator="greaterThan">
      <formula>0.85</formula>
    </cfRule>
  </conditionalFormatting>
  <conditionalFormatting sqref="N13">
    <cfRule type="cellIs" dxfId="647" priority="566" operator="greaterThan">
      <formula>0.9</formula>
    </cfRule>
    <cfRule type="cellIs" dxfId="646" priority="567" operator="greaterThan">
      <formula>0.85</formula>
    </cfRule>
  </conditionalFormatting>
  <conditionalFormatting sqref="E13">
    <cfRule type="expression" dxfId="645" priority="562">
      <formula>AND(IF(OR($Q13=1,$Q13=2),1,0),IF($X13&lt;=20,1,0))</formula>
    </cfRule>
    <cfRule type="expression" dxfId="644" priority="563">
      <formula>AND(IF($Q13=2,1,0),IF($X13&lt;30,1,0))</formula>
    </cfRule>
    <cfRule type="expression" dxfId="643" priority="564">
      <formula>AND(IF($Q13=3,1,0),IF($X13&lt;30,1,0))</formula>
    </cfRule>
    <cfRule type="expression" dxfId="642" priority="565">
      <formula>AND(IF($Q13=3,1,IF($Q13=4,1,0)),IF($F13&lt;=85,1,0))</formula>
    </cfRule>
  </conditionalFormatting>
  <conditionalFormatting sqref="X13">
    <cfRule type="expression" dxfId="641" priority="558">
      <formula>AND(IF(OR($Q13=1,$Q13=2),1,0),IF($X13&lt;=20,1,0))</formula>
    </cfRule>
    <cfRule type="expression" dxfId="640" priority="559">
      <formula>AND(IF($Q13=2,1,0),IF($X13&lt;30,1,0))</formula>
    </cfRule>
    <cfRule type="expression" dxfId="639" priority="560">
      <formula>AND(IF($Q13=3,1,0),IF($X13&lt;30,1,0))</formula>
    </cfRule>
    <cfRule type="expression" dxfId="638" priority="561">
      <formula>AND(IF($Q13=3,1,IF($Q13=4,1,0)),IF($F13&lt;=85,1,0))</formula>
    </cfRule>
  </conditionalFormatting>
  <conditionalFormatting sqref="AI13">
    <cfRule type="expression" dxfId="637" priority="554">
      <formula>AND(IF(OR($Q13=1,$Q13=2),1,0),IF($X13&lt;=20,1,0))</formula>
    </cfRule>
    <cfRule type="expression" dxfId="636" priority="555">
      <formula>AND(IF($Q13=2,1,0),IF($X13&lt;30,1,0))</formula>
    </cfRule>
    <cfRule type="expression" dxfId="635" priority="556">
      <formula>AND(IF($Q13=3,1,0),IF($X13&lt;30,1,0))</formula>
    </cfRule>
    <cfRule type="expression" dxfId="634" priority="557">
      <formula>AND(IF($Q13=3,1,IF($Q13=4,1,0)),IF($F13&lt;=85,1,0))</formula>
    </cfRule>
  </conditionalFormatting>
  <conditionalFormatting sqref="AV14">
    <cfRule type="expression" dxfId="633" priority="552">
      <formula>AV14="X"</formula>
    </cfRule>
    <cfRule type="expression" dxfId="632" priority="553">
      <formula>AV14="후보"</formula>
    </cfRule>
  </conditionalFormatting>
  <conditionalFormatting sqref="AC14 N14">
    <cfRule type="cellIs" dxfId="631" priority="549" operator="greaterThan">
      <formula>0.9</formula>
    </cfRule>
    <cfRule type="cellIs" dxfId="630" priority="550" operator="greaterThan">
      <formula>0.85</formula>
    </cfRule>
  </conditionalFormatting>
  <conditionalFormatting sqref="AV15">
    <cfRule type="expression" dxfId="629" priority="547">
      <formula>AV15="X"</formula>
    </cfRule>
    <cfRule type="expression" dxfId="628" priority="548">
      <formula>AV15="후보"</formula>
    </cfRule>
  </conditionalFormatting>
  <conditionalFormatting sqref="AC15">
    <cfRule type="cellIs" dxfId="627" priority="544" operator="greaterThan">
      <formula>0.9</formula>
    </cfRule>
    <cfRule type="cellIs" dxfId="626" priority="545" operator="greaterThan">
      <formula>0.85</formula>
    </cfRule>
  </conditionalFormatting>
  <conditionalFormatting sqref="N15">
    <cfRule type="cellIs" dxfId="625" priority="542" operator="greaterThan">
      <formula>0.9</formula>
    </cfRule>
    <cfRule type="cellIs" dxfId="624" priority="543" operator="greaterThan">
      <formula>0.85</formula>
    </cfRule>
  </conditionalFormatting>
  <conditionalFormatting sqref="E15">
    <cfRule type="expression" dxfId="623" priority="538">
      <formula>AND(IF(OR($Q15=1,$Q15=2),1,0),IF($X15&lt;=20,1,0))</formula>
    </cfRule>
    <cfRule type="expression" dxfId="622" priority="539">
      <formula>AND(IF($Q15=2,1,0),IF($X15&lt;30,1,0))</formula>
    </cfRule>
    <cfRule type="expression" dxfId="621" priority="540">
      <formula>AND(IF($Q15=3,1,0),IF($X15&lt;30,1,0))</formula>
    </cfRule>
    <cfRule type="expression" dxfId="620" priority="541">
      <formula>AND(IF($Q15=3,1,IF($Q15=4,1,0)),IF($F15&lt;=85,1,0))</formula>
    </cfRule>
  </conditionalFormatting>
  <conditionalFormatting sqref="X15">
    <cfRule type="expression" dxfId="619" priority="534">
      <formula>AND(IF(OR($Q15=1,$Q15=2),1,0),IF($X15&lt;=20,1,0))</formula>
    </cfRule>
    <cfRule type="expression" dxfId="618" priority="535">
      <formula>AND(IF($Q15=2,1,0),IF($X15&lt;30,1,0))</formula>
    </cfRule>
    <cfRule type="expression" dxfId="617" priority="536">
      <formula>AND(IF($Q15=3,1,0),IF($X15&lt;30,1,0))</formula>
    </cfRule>
    <cfRule type="expression" dxfId="616" priority="537">
      <formula>AND(IF($Q15=3,1,IF($Q15=4,1,0)),IF($F15&lt;=85,1,0))</formula>
    </cfRule>
  </conditionalFormatting>
  <conditionalFormatting sqref="AI15">
    <cfRule type="expression" dxfId="615" priority="530">
      <formula>AND(IF(OR($Q15=1,$Q15=2),1,0),IF($X15&lt;=20,1,0))</formula>
    </cfRule>
    <cfRule type="expression" dxfId="614" priority="531">
      <formula>AND(IF($Q15=2,1,0),IF($X15&lt;30,1,0))</formula>
    </cfRule>
    <cfRule type="expression" dxfId="613" priority="532">
      <formula>AND(IF($Q15=3,1,0),IF($X15&lt;30,1,0))</formula>
    </cfRule>
    <cfRule type="expression" dxfId="612" priority="533">
      <formula>AND(IF($Q15=3,1,IF($Q15=4,1,0)),IF($F15&lt;=85,1,0))</formula>
    </cfRule>
  </conditionalFormatting>
  <conditionalFormatting sqref="AV16">
    <cfRule type="expression" dxfId="611" priority="528">
      <formula>AV16="X"</formula>
    </cfRule>
    <cfRule type="expression" dxfId="610" priority="529">
      <formula>AV16="후보"</formula>
    </cfRule>
  </conditionalFormatting>
  <conditionalFormatting sqref="AC16">
    <cfRule type="cellIs" dxfId="609" priority="525" operator="greaterThan">
      <formula>0.9</formula>
    </cfRule>
    <cfRule type="cellIs" dxfId="608" priority="526" operator="greaterThan">
      <formula>0.85</formula>
    </cfRule>
  </conditionalFormatting>
  <conditionalFormatting sqref="N16">
    <cfRule type="cellIs" dxfId="607" priority="523" operator="greaterThan">
      <formula>0.9</formula>
    </cfRule>
    <cfRule type="cellIs" dxfId="606" priority="524" operator="greaterThan">
      <formula>0.85</formula>
    </cfRule>
  </conditionalFormatting>
  <conditionalFormatting sqref="E16">
    <cfRule type="expression" dxfId="605" priority="519">
      <formula>AND(IF(OR($Q16=1,$Q16=2),1,0),IF($X16&lt;=20,1,0))</formula>
    </cfRule>
    <cfRule type="expression" dxfId="604" priority="520">
      <formula>AND(IF($Q16=2,1,0),IF($X16&lt;30,1,0))</formula>
    </cfRule>
    <cfRule type="expression" dxfId="603" priority="521">
      <formula>AND(IF($Q16=3,1,0),IF($X16&lt;30,1,0))</formula>
    </cfRule>
    <cfRule type="expression" dxfId="602" priority="522">
      <formula>AND(IF($Q16=3,1,IF($Q16=4,1,0)),IF($F16&lt;=85,1,0))</formula>
    </cfRule>
  </conditionalFormatting>
  <conditionalFormatting sqref="X16">
    <cfRule type="expression" dxfId="601" priority="515">
      <formula>AND(IF(OR($Q16=1,$Q16=2),1,0),IF($X16&lt;=20,1,0))</formula>
    </cfRule>
    <cfRule type="expression" dxfId="600" priority="516">
      <formula>AND(IF($Q16=2,1,0),IF($X16&lt;30,1,0))</formula>
    </cfRule>
    <cfRule type="expression" dxfId="599" priority="517">
      <formula>AND(IF($Q16=3,1,0),IF($X16&lt;30,1,0))</formula>
    </cfRule>
    <cfRule type="expression" dxfId="598" priority="518">
      <formula>AND(IF($Q16=3,1,IF($Q16=4,1,0)),IF($F16&lt;=85,1,0))</formula>
    </cfRule>
  </conditionalFormatting>
  <conditionalFormatting sqref="AI16">
    <cfRule type="expression" dxfId="597" priority="511">
      <formula>AND(IF(OR($Q16=1,$Q16=2),1,0),IF($X16&lt;=20,1,0))</formula>
    </cfRule>
    <cfRule type="expression" dxfId="596" priority="512">
      <formula>AND(IF($Q16=2,1,0),IF($X16&lt;30,1,0))</formula>
    </cfRule>
    <cfRule type="expression" dxfId="595" priority="513">
      <formula>AND(IF($Q16=3,1,0),IF($X16&lt;30,1,0))</formula>
    </cfRule>
    <cfRule type="expression" dxfId="594" priority="514">
      <formula>AND(IF($Q16=3,1,IF($Q16=4,1,0)),IF($F16&lt;=85,1,0))</formula>
    </cfRule>
  </conditionalFormatting>
  <conditionalFormatting sqref="AV17">
    <cfRule type="expression" dxfId="593" priority="509">
      <formula>AV17="X"</formula>
    </cfRule>
    <cfRule type="expression" dxfId="592" priority="510">
      <formula>AV17="후보"</formula>
    </cfRule>
  </conditionalFormatting>
  <conditionalFormatting sqref="AC17">
    <cfRule type="cellIs" dxfId="591" priority="506" operator="greaterThan">
      <formula>0.9</formula>
    </cfRule>
    <cfRule type="cellIs" dxfId="590" priority="507" operator="greaterThan">
      <formula>0.85</formula>
    </cfRule>
  </conditionalFormatting>
  <conditionalFormatting sqref="N17">
    <cfRule type="cellIs" dxfId="589" priority="504" operator="greaterThan">
      <formula>0.9</formula>
    </cfRule>
    <cfRule type="cellIs" dxfId="588" priority="505" operator="greaterThan">
      <formula>0.85</formula>
    </cfRule>
  </conditionalFormatting>
  <conditionalFormatting sqref="E17">
    <cfRule type="expression" dxfId="587" priority="500">
      <formula>AND(IF(OR($Q17=1,$Q17=2),1,0),IF($X17&lt;=20,1,0))</formula>
    </cfRule>
    <cfRule type="expression" dxfId="586" priority="501">
      <formula>AND(IF($Q17=2,1,0),IF($X17&lt;30,1,0))</formula>
    </cfRule>
    <cfRule type="expression" dxfId="585" priority="502">
      <formula>AND(IF($Q17=3,1,0),IF($X17&lt;30,1,0))</formula>
    </cfRule>
    <cfRule type="expression" dxfId="584" priority="503">
      <formula>AND(IF($Q17=3,1,IF($Q17=4,1,0)),IF($F17&lt;=85,1,0))</formula>
    </cfRule>
  </conditionalFormatting>
  <conditionalFormatting sqref="X17">
    <cfRule type="expression" dxfId="583" priority="496">
      <formula>AND(IF(OR($Q17=1,$Q17=2),1,0),IF($X17&lt;=20,1,0))</formula>
    </cfRule>
    <cfRule type="expression" dxfId="582" priority="497">
      <formula>AND(IF($Q17=2,1,0),IF($X17&lt;30,1,0))</formula>
    </cfRule>
    <cfRule type="expression" dxfId="581" priority="498">
      <formula>AND(IF($Q17=3,1,0),IF($X17&lt;30,1,0))</formula>
    </cfRule>
    <cfRule type="expression" dxfId="580" priority="499">
      <formula>AND(IF($Q17=3,1,IF($Q17=4,1,0)),IF($F17&lt;=85,1,0))</formula>
    </cfRule>
  </conditionalFormatting>
  <conditionalFormatting sqref="AI17">
    <cfRule type="expression" dxfId="579" priority="492">
      <formula>AND(IF(OR($Q17=1,$Q17=2),1,0),IF($X17&lt;=20,1,0))</formula>
    </cfRule>
    <cfRule type="expression" dxfId="578" priority="493">
      <formula>AND(IF($Q17=2,1,0),IF($X17&lt;30,1,0))</formula>
    </cfRule>
    <cfRule type="expression" dxfId="577" priority="494">
      <formula>AND(IF($Q17=3,1,0),IF($X17&lt;30,1,0))</formula>
    </cfRule>
    <cfRule type="expression" dxfId="576" priority="495">
      <formula>AND(IF($Q17=3,1,IF($Q17=4,1,0)),IF($F17&lt;=85,1,0))</formula>
    </cfRule>
  </conditionalFormatting>
  <conditionalFormatting sqref="AV18">
    <cfRule type="expression" dxfId="575" priority="490">
      <formula>AV18="X"</formula>
    </cfRule>
    <cfRule type="expression" dxfId="574" priority="491">
      <formula>AV18="후보"</formula>
    </cfRule>
  </conditionalFormatting>
  <conditionalFormatting sqref="AC18 N18">
    <cfRule type="cellIs" dxfId="573" priority="487" operator="greaterThan">
      <formula>0.9</formula>
    </cfRule>
    <cfRule type="cellIs" dxfId="572" priority="488" operator="greaterThan">
      <formula>0.85</formula>
    </cfRule>
  </conditionalFormatting>
  <conditionalFormatting sqref="AV19">
    <cfRule type="expression" dxfId="571" priority="485">
      <formula>AV19="X"</formula>
    </cfRule>
    <cfRule type="expression" dxfId="570" priority="486">
      <formula>AV19="후보"</formula>
    </cfRule>
  </conditionalFormatting>
  <conditionalFormatting sqref="AC19">
    <cfRule type="cellIs" dxfId="569" priority="482" operator="greaterThan">
      <formula>0.9</formula>
    </cfRule>
    <cfRule type="cellIs" dxfId="568" priority="483" operator="greaterThan">
      <formula>0.85</formula>
    </cfRule>
  </conditionalFormatting>
  <conditionalFormatting sqref="N19">
    <cfRule type="cellIs" dxfId="567" priority="480" operator="greaterThan">
      <formula>0.9</formula>
    </cfRule>
    <cfRule type="cellIs" dxfId="566" priority="481" operator="greaterThan">
      <formula>0.85</formula>
    </cfRule>
  </conditionalFormatting>
  <conditionalFormatting sqref="E19">
    <cfRule type="expression" dxfId="565" priority="476">
      <formula>AND(IF(OR($Q19=1,$Q19=2),1,0),IF($X19&lt;=20,1,0))</formula>
    </cfRule>
    <cfRule type="expression" dxfId="564" priority="477">
      <formula>AND(IF($Q19=2,1,0),IF($X19&lt;30,1,0))</formula>
    </cfRule>
    <cfRule type="expression" dxfId="563" priority="478">
      <formula>AND(IF($Q19=3,1,0),IF($X19&lt;30,1,0))</formula>
    </cfRule>
    <cfRule type="expression" dxfId="562" priority="479">
      <formula>AND(IF($Q19=3,1,IF($Q19=4,1,0)),IF($F19&lt;=85,1,0))</formula>
    </cfRule>
  </conditionalFormatting>
  <conditionalFormatting sqref="X19">
    <cfRule type="expression" dxfId="561" priority="472">
      <formula>AND(IF(OR($Q19=1,$Q19=2),1,0),IF($X19&lt;=20,1,0))</formula>
    </cfRule>
    <cfRule type="expression" dxfId="560" priority="473">
      <formula>AND(IF($Q19=2,1,0),IF($X19&lt;30,1,0))</formula>
    </cfRule>
    <cfRule type="expression" dxfId="559" priority="474">
      <formula>AND(IF($Q19=3,1,0),IF($X19&lt;30,1,0))</formula>
    </cfRule>
    <cfRule type="expression" dxfId="558" priority="475">
      <formula>AND(IF($Q19=3,1,IF($Q19=4,1,0)),IF($F19&lt;=85,1,0))</formula>
    </cfRule>
  </conditionalFormatting>
  <conditionalFormatting sqref="AI19">
    <cfRule type="expression" dxfId="557" priority="468">
      <formula>AND(IF(OR($Q19=1,$Q19=2),1,0),IF($X19&lt;=20,1,0))</formula>
    </cfRule>
    <cfRule type="expression" dxfId="556" priority="469">
      <formula>AND(IF($Q19=2,1,0),IF($X19&lt;30,1,0))</formula>
    </cfRule>
    <cfRule type="expression" dxfId="555" priority="470">
      <formula>AND(IF($Q19=3,1,0),IF($X19&lt;30,1,0))</formula>
    </cfRule>
    <cfRule type="expression" dxfId="554" priority="471">
      <formula>AND(IF($Q19=3,1,IF($Q19=4,1,0)),IF($F19&lt;=85,1,0))</formula>
    </cfRule>
  </conditionalFormatting>
  <conditionalFormatting sqref="AV20">
    <cfRule type="expression" dxfId="553" priority="466">
      <formula>AV20="X"</formula>
    </cfRule>
    <cfRule type="expression" dxfId="552" priority="467">
      <formula>AV20="후보"</formula>
    </cfRule>
  </conditionalFormatting>
  <conditionalFormatting sqref="AC20">
    <cfRule type="cellIs" dxfId="551" priority="463" operator="greaterThan">
      <formula>0.9</formula>
    </cfRule>
    <cfRule type="cellIs" dxfId="550" priority="464" operator="greaterThan">
      <formula>0.85</formula>
    </cfRule>
  </conditionalFormatting>
  <conditionalFormatting sqref="N20">
    <cfRule type="cellIs" dxfId="549" priority="461" operator="greaterThan">
      <formula>0.9</formula>
    </cfRule>
    <cfRule type="cellIs" dxfId="548" priority="462" operator="greaterThan">
      <formula>0.85</formula>
    </cfRule>
  </conditionalFormatting>
  <conditionalFormatting sqref="E20">
    <cfRule type="expression" dxfId="547" priority="457">
      <formula>AND(IF(OR($Q20=1,$Q20=2),1,0),IF($X20&lt;=20,1,0))</formula>
    </cfRule>
    <cfRule type="expression" dxfId="546" priority="458">
      <formula>AND(IF($Q20=2,1,0),IF($X20&lt;30,1,0))</formula>
    </cfRule>
    <cfRule type="expression" dxfId="545" priority="459">
      <formula>AND(IF($Q20=3,1,0),IF($X20&lt;30,1,0))</formula>
    </cfRule>
    <cfRule type="expression" dxfId="544" priority="460">
      <formula>AND(IF($Q20=3,1,IF($Q20=4,1,0)),IF($F20&lt;=85,1,0))</formula>
    </cfRule>
  </conditionalFormatting>
  <conditionalFormatting sqref="X20">
    <cfRule type="expression" dxfId="543" priority="453">
      <formula>AND(IF(OR($Q20=1,$Q20=2),1,0),IF($X20&lt;=20,1,0))</formula>
    </cfRule>
    <cfRule type="expression" dxfId="542" priority="454">
      <formula>AND(IF($Q20=2,1,0),IF($X20&lt;30,1,0))</formula>
    </cfRule>
    <cfRule type="expression" dxfId="541" priority="455">
      <formula>AND(IF($Q20=3,1,0),IF($X20&lt;30,1,0))</formula>
    </cfRule>
    <cfRule type="expression" dxfId="540" priority="456">
      <formula>AND(IF($Q20=3,1,IF($Q20=4,1,0)),IF($F20&lt;=85,1,0))</formula>
    </cfRule>
  </conditionalFormatting>
  <conditionalFormatting sqref="AI20">
    <cfRule type="expression" dxfId="539" priority="449">
      <formula>AND(IF(OR($Q20=1,$Q20=2),1,0),IF($X20&lt;=20,1,0))</formula>
    </cfRule>
    <cfRule type="expression" dxfId="538" priority="450">
      <formula>AND(IF($Q20=2,1,0),IF($X20&lt;30,1,0))</formula>
    </cfRule>
    <cfRule type="expression" dxfId="537" priority="451">
      <formula>AND(IF($Q20=3,1,0),IF($X20&lt;30,1,0))</formula>
    </cfRule>
    <cfRule type="expression" dxfId="536" priority="452">
      <formula>AND(IF($Q20=3,1,IF($Q20=4,1,0)),IF($F20&lt;=85,1,0))</formula>
    </cfRule>
  </conditionalFormatting>
  <conditionalFormatting sqref="AV21">
    <cfRule type="expression" dxfId="535" priority="447">
      <formula>AV21="X"</formula>
    </cfRule>
    <cfRule type="expression" dxfId="534" priority="448">
      <formula>AV21="후보"</formula>
    </cfRule>
  </conditionalFormatting>
  <conditionalFormatting sqref="AC21">
    <cfRule type="cellIs" dxfId="533" priority="444" operator="greaterThan">
      <formula>0.9</formula>
    </cfRule>
    <cfRule type="cellIs" dxfId="532" priority="445" operator="greaterThan">
      <formula>0.85</formula>
    </cfRule>
  </conditionalFormatting>
  <conditionalFormatting sqref="N21">
    <cfRule type="cellIs" dxfId="531" priority="442" operator="greaterThan">
      <formula>0.9</formula>
    </cfRule>
    <cfRule type="cellIs" dxfId="530" priority="443" operator="greaterThan">
      <formula>0.85</formula>
    </cfRule>
  </conditionalFormatting>
  <conditionalFormatting sqref="E21">
    <cfRule type="expression" dxfId="529" priority="438">
      <formula>AND(IF(OR($Q21=1,$Q21=2),1,0),IF($X21&lt;=20,1,0))</formula>
    </cfRule>
    <cfRule type="expression" dxfId="528" priority="439">
      <formula>AND(IF($Q21=2,1,0),IF($X21&lt;30,1,0))</formula>
    </cfRule>
    <cfRule type="expression" dxfId="527" priority="440">
      <formula>AND(IF($Q21=3,1,0),IF($X21&lt;30,1,0))</formula>
    </cfRule>
    <cfRule type="expression" dxfId="526" priority="441">
      <formula>AND(IF($Q21=3,1,IF($Q21=4,1,0)),IF($F21&lt;=85,1,0))</formula>
    </cfRule>
  </conditionalFormatting>
  <conditionalFormatting sqref="X21">
    <cfRule type="expression" dxfId="525" priority="434">
      <formula>AND(IF(OR($Q21=1,$Q21=2),1,0),IF($X21&lt;=20,1,0))</formula>
    </cfRule>
    <cfRule type="expression" dxfId="524" priority="435">
      <formula>AND(IF($Q21=2,1,0),IF($X21&lt;30,1,0))</formula>
    </cfRule>
    <cfRule type="expression" dxfId="523" priority="436">
      <formula>AND(IF($Q21=3,1,0),IF($X21&lt;30,1,0))</formula>
    </cfRule>
    <cfRule type="expression" dxfId="522" priority="437">
      <formula>AND(IF($Q21=3,1,IF($Q21=4,1,0)),IF($F21&lt;=85,1,0))</formula>
    </cfRule>
  </conditionalFormatting>
  <conditionalFormatting sqref="AI21">
    <cfRule type="expression" dxfId="521" priority="430">
      <formula>AND(IF(OR($Q21=1,$Q21=2),1,0),IF($X21&lt;=20,1,0))</formula>
    </cfRule>
    <cfRule type="expression" dxfId="520" priority="431">
      <formula>AND(IF($Q21=2,1,0),IF($X21&lt;30,1,0))</formula>
    </cfRule>
    <cfRule type="expression" dxfId="519" priority="432">
      <formula>AND(IF($Q21=3,1,0),IF($X21&lt;30,1,0))</formula>
    </cfRule>
    <cfRule type="expression" dxfId="518" priority="433">
      <formula>AND(IF($Q21=3,1,IF($Q21=4,1,0)),IF($F21&lt;=85,1,0))</formula>
    </cfRule>
  </conditionalFormatting>
  <conditionalFormatting sqref="AV22">
    <cfRule type="expression" dxfId="517" priority="428">
      <formula>AV22="X"</formula>
    </cfRule>
    <cfRule type="expression" dxfId="516" priority="429">
      <formula>AV22="후보"</formula>
    </cfRule>
  </conditionalFormatting>
  <conditionalFormatting sqref="AC22 N22">
    <cfRule type="cellIs" dxfId="515" priority="425" operator="greaterThan">
      <formula>0.9</formula>
    </cfRule>
    <cfRule type="cellIs" dxfId="514" priority="426" operator="greaterThan">
      <formula>0.85</formula>
    </cfRule>
  </conditionalFormatting>
  <conditionalFormatting sqref="AV23">
    <cfRule type="expression" dxfId="513" priority="423">
      <formula>AV23="X"</formula>
    </cfRule>
    <cfRule type="expression" dxfId="512" priority="424">
      <formula>AV23="후보"</formula>
    </cfRule>
  </conditionalFormatting>
  <conditionalFormatting sqref="AC23">
    <cfRule type="cellIs" dxfId="511" priority="420" operator="greaterThan">
      <formula>0.9</formula>
    </cfRule>
    <cfRule type="cellIs" dxfId="510" priority="421" operator="greaterThan">
      <formula>0.85</formula>
    </cfRule>
  </conditionalFormatting>
  <conditionalFormatting sqref="N23">
    <cfRule type="cellIs" dxfId="509" priority="418" operator="greaterThan">
      <formula>0.9</formula>
    </cfRule>
    <cfRule type="cellIs" dxfId="508" priority="419" operator="greaterThan">
      <formula>0.85</formula>
    </cfRule>
  </conditionalFormatting>
  <conditionalFormatting sqref="E23">
    <cfRule type="expression" dxfId="507" priority="414">
      <formula>AND(IF(OR($Q23=1,$Q23=2),1,0),IF($X23&lt;=20,1,0))</formula>
    </cfRule>
    <cfRule type="expression" dxfId="506" priority="415">
      <formula>AND(IF($Q23=2,1,0),IF($X23&lt;30,1,0))</formula>
    </cfRule>
    <cfRule type="expression" dxfId="505" priority="416">
      <formula>AND(IF($Q23=3,1,0),IF($X23&lt;30,1,0))</formula>
    </cfRule>
    <cfRule type="expression" dxfId="504" priority="417">
      <formula>AND(IF($Q23=3,1,IF($Q23=4,1,0)),IF($F23&lt;=85,1,0))</formula>
    </cfRule>
  </conditionalFormatting>
  <conditionalFormatting sqref="X23">
    <cfRule type="expression" dxfId="503" priority="410">
      <formula>AND(IF(OR($Q23=1,$Q23=2),1,0),IF($X23&lt;=20,1,0))</formula>
    </cfRule>
    <cfRule type="expression" dxfId="502" priority="411">
      <formula>AND(IF($Q23=2,1,0),IF($X23&lt;30,1,0))</formula>
    </cfRule>
    <cfRule type="expression" dxfId="501" priority="412">
      <formula>AND(IF($Q23=3,1,0),IF($X23&lt;30,1,0))</formula>
    </cfRule>
    <cfRule type="expression" dxfId="500" priority="413">
      <formula>AND(IF($Q23=3,1,IF($Q23=4,1,0)),IF($F23&lt;=85,1,0))</formula>
    </cfRule>
  </conditionalFormatting>
  <conditionalFormatting sqref="AI23">
    <cfRule type="expression" dxfId="499" priority="406">
      <formula>AND(IF(OR($Q23=1,$Q23=2),1,0),IF($X23&lt;=20,1,0))</formula>
    </cfRule>
    <cfRule type="expression" dxfId="498" priority="407">
      <formula>AND(IF($Q23=2,1,0),IF($X23&lt;30,1,0))</formula>
    </cfRule>
    <cfRule type="expression" dxfId="497" priority="408">
      <formula>AND(IF($Q23=3,1,0),IF($X23&lt;30,1,0))</formula>
    </cfRule>
    <cfRule type="expression" dxfId="496" priority="409">
      <formula>AND(IF($Q23=3,1,IF($Q23=4,1,0)),IF($F23&lt;=85,1,0))</formula>
    </cfRule>
  </conditionalFormatting>
  <conditionalFormatting sqref="AV24">
    <cfRule type="expression" dxfId="495" priority="404">
      <formula>AV24="X"</formula>
    </cfRule>
    <cfRule type="expression" dxfId="494" priority="405">
      <formula>AV24="후보"</formula>
    </cfRule>
  </conditionalFormatting>
  <conditionalFormatting sqref="AC24">
    <cfRule type="cellIs" dxfId="493" priority="401" operator="greaterThan">
      <formula>0.9</formula>
    </cfRule>
    <cfRule type="cellIs" dxfId="492" priority="402" operator="greaterThan">
      <formula>0.85</formula>
    </cfRule>
  </conditionalFormatting>
  <conditionalFormatting sqref="N24">
    <cfRule type="cellIs" dxfId="491" priority="399" operator="greaterThan">
      <formula>0.9</formula>
    </cfRule>
    <cfRule type="cellIs" dxfId="490" priority="400" operator="greaterThan">
      <formula>0.85</formula>
    </cfRule>
  </conditionalFormatting>
  <conditionalFormatting sqref="E24">
    <cfRule type="expression" dxfId="489" priority="395">
      <formula>AND(IF(OR($Q24=1,$Q24=2),1,0),IF($X24&lt;=20,1,0))</formula>
    </cfRule>
    <cfRule type="expression" dxfId="488" priority="396">
      <formula>AND(IF($Q24=2,1,0),IF($X24&lt;30,1,0))</formula>
    </cfRule>
    <cfRule type="expression" dxfId="487" priority="397">
      <formula>AND(IF($Q24=3,1,0),IF($X24&lt;30,1,0))</formula>
    </cfRule>
    <cfRule type="expression" dxfId="486" priority="398">
      <formula>AND(IF($Q24=3,1,IF($Q24=4,1,0)),IF($F24&lt;=85,1,0))</formula>
    </cfRule>
  </conditionalFormatting>
  <conditionalFormatting sqref="X24">
    <cfRule type="expression" dxfId="485" priority="391">
      <formula>AND(IF(OR($Q24=1,$Q24=2),1,0),IF($X24&lt;=20,1,0))</formula>
    </cfRule>
    <cfRule type="expression" dxfId="484" priority="392">
      <formula>AND(IF($Q24=2,1,0),IF($X24&lt;30,1,0))</formula>
    </cfRule>
    <cfRule type="expression" dxfId="483" priority="393">
      <formula>AND(IF($Q24=3,1,0),IF($X24&lt;30,1,0))</formula>
    </cfRule>
    <cfRule type="expression" dxfId="482" priority="394">
      <formula>AND(IF($Q24=3,1,IF($Q24=4,1,0)),IF($F24&lt;=85,1,0))</formula>
    </cfRule>
  </conditionalFormatting>
  <conditionalFormatting sqref="AI24">
    <cfRule type="expression" dxfId="481" priority="387">
      <formula>AND(IF(OR($Q24=1,$Q24=2),1,0),IF($X24&lt;=20,1,0))</formula>
    </cfRule>
    <cfRule type="expression" dxfId="480" priority="388">
      <formula>AND(IF($Q24=2,1,0),IF($X24&lt;30,1,0))</formula>
    </cfRule>
    <cfRule type="expression" dxfId="479" priority="389">
      <formula>AND(IF($Q24=3,1,0),IF($X24&lt;30,1,0))</formula>
    </cfRule>
    <cfRule type="expression" dxfId="478" priority="390">
      <formula>AND(IF($Q24=3,1,IF($Q24=4,1,0)),IF($F24&lt;=85,1,0))</formula>
    </cfRule>
  </conditionalFormatting>
  <conditionalFormatting sqref="AV25">
    <cfRule type="expression" dxfId="477" priority="385">
      <formula>AV25="X"</formula>
    </cfRule>
    <cfRule type="expression" dxfId="476" priority="386">
      <formula>AV25="후보"</formula>
    </cfRule>
  </conditionalFormatting>
  <conditionalFormatting sqref="AC25">
    <cfRule type="cellIs" dxfId="475" priority="382" operator="greaterThan">
      <formula>0.9</formula>
    </cfRule>
    <cfRule type="cellIs" dxfId="474" priority="383" operator="greaterThan">
      <formula>0.85</formula>
    </cfRule>
  </conditionalFormatting>
  <conditionalFormatting sqref="N25">
    <cfRule type="cellIs" dxfId="473" priority="380" operator="greaterThan">
      <formula>0.9</formula>
    </cfRule>
    <cfRule type="cellIs" dxfId="472" priority="381" operator="greaterThan">
      <formula>0.85</formula>
    </cfRule>
  </conditionalFormatting>
  <conditionalFormatting sqref="E25">
    <cfRule type="expression" dxfId="471" priority="376">
      <formula>AND(IF(OR($Q25=1,$Q25=2),1,0),IF($X25&lt;=20,1,0))</formula>
    </cfRule>
    <cfRule type="expression" dxfId="470" priority="377">
      <formula>AND(IF($Q25=2,1,0),IF($X25&lt;30,1,0))</formula>
    </cfRule>
    <cfRule type="expression" dxfId="469" priority="378">
      <formula>AND(IF($Q25=3,1,0),IF($X25&lt;30,1,0))</formula>
    </cfRule>
    <cfRule type="expression" dxfId="468" priority="379">
      <formula>AND(IF($Q25=3,1,IF($Q25=4,1,0)),IF($F25&lt;=85,1,0))</formula>
    </cfRule>
  </conditionalFormatting>
  <conditionalFormatting sqref="X25">
    <cfRule type="expression" dxfId="467" priority="372">
      <formula>AND(IF(OR($Q25=1,$Q25=2),1,0),IF($X25&lt;=20,1,0))</formula>
    </cfRule>
    <cfRule type="expression" dxfId="466" priority="373">
      <formula>AND(IF($Q25=2,1,0),IF($X25&lt;30,1,0))</formula>
    </cfRule>
    <cfRule type="expression" dxfId="465" priority="374">
      <formula>AND(IF($Q25=3,1,0),IF($X25&lt;30,1,0))</formula>
    </cfRule>
    <cfRule type="expression" dxfId="464" priority="375">
      <formula>AND(IF($Q25=3,1,IF($Q25=4,1,0)),IF($F25&lt;=85,1,0))</formula>
    </cfRule>
  </conditionalFormatting>
  <conditionalFormatting sqref="AI25">
    <cfRule type="expression" dxfId="463" priority="368">
      <formula>AND(IF(OR($Q25=1,$Q25=2),1,0),IF($X25&lt;=20,1,0))</formula>
    </cfRule>
    <cfRule type="expression" dxfId="462" priority="369">
      <formula>AND(IF($Q25=2,1,0),IF($X25&lt;30,1,0))</formula>
    </cfRule>
    <cfRule type="expression" dxfId="461" priority="370">
      <formula>AND(IF($Q25=3,1,0),IF($X25&lt;30,1,0))</formula>
    </cfRule>
    <cfRule type="expression" dxfId="460" priority="371">
      <formula>AND(IF($Q25=3,1,IF($Q25=4,1,0)),IF($F25&lt;=85,1,0))</formula>
    </cfRule>
  </conditionalFormatting>
  <conditionalFormatting sqref="AV26">
    <cfRule type="expression" dxfId="459" priority="366">
      <formula>AV26="X"</formula>
    </cfRule>
    <cfRule type="expression" dxfId="458" priority="367">
      <formula>AV26="후보"</formula>
    </cfRule>
  </conditionalFormatting>
  <conditionalFormatting sqref="AC26 N26">
    <cfRule type="cellIs" dxfId="457" priority="363" operator="greaterThan">
      <formula>0.9</formula>
    </cfRule>
    <cfRule type="cellIs" dxfId="456" priority="364" operator="greaterThan">
      <formula>0.85</formula>
    </cfRule>
  </conditionalFormatting>
  <conditionalFormatting sqref="AV27">
    <cfRule type="expression" dxfId="455" priority="361">
      <formula>AV27="X"</formula>
    </cfRule>
    <cfRule type="expression" dxfId="454" priority="362">
      <formula>AV27="후보"</formula>
    </cfRule>
  </conditionalFormatting>
  <conditionalFormatting sqref="AC27">
    <cfRule type="cellIs" dxfId="453" priority="358" operator="greaterThan">
      <formula>0.9</formula>
    </cfRule>
    <cfRule type="cellIs" dxfId="452" priority="359" operator="greaterThan">
      <formula>0.85</formula>
    </cfRule>
  </conditionalFormatting>
  <conditionalFormatting sqref="N27">
    <cfRule type="cellIs" dxfId="451" priority="356" operator="greaterThan">
      <formula>0.9</formula>
    </cfRule>
    <cfRule type="cellIs" dxfId="450" priority="357" operator="greaterThan">
      <formula>0.85</formula>
    </cfRule>
  </conditionalFormatting>
  <conditionalFormatting sqref="E27">
    <cfRule type="expression" dxfId="449" priority="352">
      <formula>AND(IF(OR($Q27=1,$Q27=2),1,0),IF($X27&lt;=20,1,0))</formula>
    </cfRule>
    <cfRule type="expression" dxfId="448" priority="353">
      <formula>AND(IF($Q27=2,1,0),IF($X27&lt;30,1,0))</formula>
    </cfRule>
    <cfRule type="expression" dxfId="447" priority="354">
      <formula>AND(IF($Q27=3,1,0),IF($X27&lt;30,1,0))</formula>
    </cfRule>
    <cfRule type="expression" dxfId="446" priority="355">
      <formula>AND(IF($Q27=3,1,IF($Q27=4,1,0)),IF($F27&lt;=85,1,0))</formula>
    </cfRule>
  </conditionalFormatting>
  <conditionalFormatting sqref="X27">
    <cfRule type="expression" dxfId="445" priority="348">
      <formula>AND(IF(OR($Q27=1,$Q27=2),1,0),IF($X27&lt;=20,1,0))</formula>
    </cfRule>
    <cfRule type="expression" dxfId="444" priority="349">
      <formula>AND(IF($Q27=2,1,0),IF($X27&lt;30,1,0))</formula>
    </cfRule>
    <cfRule type="expression" dxfId="443" priority="350">
      <formula>AND(IF($Q27=3,1,0),IF($X27&lt;30,1,0))</formula>
    </cfRule>
    <cfRule type="expression" dxfId="442" priority="351">
      <formula>AND(IF($Q27=3,1,IF($Q27=4,1,0)),IF($F27&lt;=85,1,0))</formula>
    </cfRule>
  </conditionalFormatting>
  <conditionalFormatting sqref="AI27">
    <cfRule type="expression" dxfId="441" priority="344">
      <formula>AND(IF(OR($Q27=1,$Q27=2),1,0),IF($X27&lt;=20,1,0))</formula>
    </cfRule>
    <cfRule type="expression" dxfId="440" priority="345">
      <formula>AND(IF($Q27=2,1,0),IF($X27&lt;30,1,0))</formula>
    </cfRule>
    <cfRule type="expression" dxfId="439" priority="346">
      <formula>AND(IF($Q27=3,1,0),IF($X27&lt;30,1,0))</formula>
    </cfRule>
    <cfRule type="expression" dxfId="438" priority="347">
      <formula>AND(IF($Q27=3,1,IF($Q27=4,1,0)),IF($F27&lt;=85,1,0))</formula>
    </cfRule>
  </conditionalFormatting>
  <conditionalFormatting sqref="AV28">
    <cfRule type="expression" dxfId="437" priority="342">
      <formula>AV28="X"</formula>
    </cfRule>
    <cfRule type="expression" dxfId="436" priority="343">
      <formula>AV28="후보"</formula>
    </cfRule>
  </conditionalFormatting>
  <conditionalFormatting sqref="AC28">
    <cfRule type="cellIs" dxfId="435" priority="339" operator="greaterThan">
      <formula>0.9</formula>
    </cfRule>
    <cfRule type="cellIs" dxfId="434" priority="340" operator="greaterThan">
      <formula>0.85</formula>
    </cfRule>
  </conditionalFormatting>
  <conditionalFormatting sqref="N28">
    <cfRule type="cellIs" dxfId="433" priority="337" operator="greaterThan">
      <formula>0.9</formula>
    </cfRule>
    <cfRule type="cellIs" dxfId="432" priority="338" operator="greaterThan">
      <formula>0.85</formula>
    </cfRule>
  </conditionalFormatting>
  <conditionalFormatting sqref="E28">
    <cfRule type="expression" dxfId="431" priority="333">
      <formula>AND(IF(OR($Q28=1,$Q28=2),1,0),IF($X28&lt;=20,1,0))</formula>
    </cfRule>
    <cfRule type="expression" dxfId="430" priority="334">
      <formula>AND(IF($Q28=2,1,0),IF($X28&lt;30,1,0))</formula>
    </cfRule>
    <cfRule type="expression" dxfId="429" priority="335">
      <formula>AND(IF($Q28=3,1,0),IF($X28&lt;30,1,0))</formula>
    </cfRule>
    <cfRule type="expression" dxfId="428" priority="336">
      <formula>AND(IF($Q28=3,1,IF($Q28=4,1,0)),IF($F28&lt;=85,1,0))</formula>
    </cfRule>
  </conditionalFormatting>
  <conditionalFormatting sqref="X28">
    <cfRule type="expression" dxfId="427" priority="329">
      <formula>AND(IF(OR($Q28=1,$Q28=2),1,0),IF($X28&lt;=20,1,0))</formula>
    </cfRule>
    <cfRule type="expression" dxfId="426" priority="330">
      <formula>AND(IF($Q28=2,1,0),IF($X28&lt;30,1,0))</formula>
    </cfRule>
    <cfRule type="expression" dxfId="425" priority="331">
      <formula>AND(IF($Q28=3,1,0),IF($X28&lt;30,1,0))</formula>
    </cfRule>
    <cfRule type="expression" dxfId="424" priority="332">
      <formula>AND(IF($Q28=3,1,IF($Q28=4,1,0)),IF($F28&lt;=85,1,0))</formula>
    </cfRule>
  </conditionalFormatting>
  <conditionalFormatting sqref="AI28">
    <cfRule type="expression" dxfId="423" priority="325">
      <formula>AND(IF(OR($Q28=1,$Q28=2),1,0),IF($X28&lt;=20,1,0))</formula>
    </cfRule>
    <cfRule type="expression" dxfId="422" priority="326">
      <formula>AND(IF($Q28=2,1,0),IF($X28&lt;30,1,0))</formula>
    </cfRule>
    <cfRule type="expression" dxfId="421" priority="327">
      <formula>AND(IF($Q28=3,1,0),IF($X28&lt;30,1,0))</formula>
    </cfRule>
    <cfRule type="expression" dxfId="420" priority="328">
      <formula>AND(IF($Q28=3,1,IF($Q28=4,1,0)),IF($F28&lt;=85,1,0))</formula>
    </cfRule>
  </conditionalFormatting>
  <conditionalFormatting sqref="AV29">
    <cfRule type="expression" dxfId="419" priority="323">
      <formula>AV29="X"</formula>
    </cfRule>
    <cfRule type="expression" dxfId="418" priority="324">
      <formula>AV29="후보"</formula>
    </cfRule>
  </conditionalFormatting>
  <conditionalFormatting sqref="AC29 N29">
    <cfRule type="cellIs" dxfId="417" priority="320" operator="greaterThan">
      <formula>0.9</formula>
    </cfRule>
    <cfRule type="cellIs" dxfId="416" priority="321" operator="greaterThan">
      <formula>0.85</formula>
    </cfRule>
  </conditionalFormatting>
  <conditionalFormatting sqref="AV30">
    <cfRule type="expression" dxfId="415" priority="318">
      <formula>AV30="X"</formula>
    </cfRule>
    <cfRule type="expression" dxfId="414" priority="319">
      <formula>AV30="후보"</formula>
    </cfRule>
  </conditionalFormatting>
  <conditionalFormatting sqref="AC30">
    <cfRule type="cellIs" dxfId="413" priority="315" operator="greaterThan">
      <formula>0.9</formula>
    </cfRule>
    <cfRule type="cellIs" dxfId="412" priority="316" operator="greaterThan">
      <formula>0.85</formula>
    </cfRule>
  </conditionalFormatting>
  <conditionalFormatting sqref="N30">
    <cfRule type="cellIs" dxfId="411" priority="313" operator="greaterThan">
      <formula>0.9</formula>
    </cfRule>
    <cfRule type="cellIs" dxfId="410" priority="314" operator="greaterThan">
      <formula>0.85</formula>
    </cfRule>
  </conditionalFormatting>
  <conditionalFormatting sqref="E30">
    <cfRule type="expression" dxfId="409" priority="309">
      <formula>AND(IF(OR($Q30=1,$Q30=2),1,0),IF($X30&lt;=20,1,0))</formula>
    </cfRule>
    <cfRule type="expression" dxfId="408" priority="310">
      <formula>AND(IF($Q30=2,1,0),IF($X30&lt;30,1,0))</formula>
    </cfRule>
    <cfRule type="expression" dxfId="407" priority="311">
      <formula>AND(IF($Q30=3,1,0),IF($X30&lt;30,1,0))</formula>
    </cfRule>
    <cfRule type="expression" dxfId="406" priority="312">
      <formula>AND(IF($Q30=3,1,IF($Q30=4,1,0)),IF($F30&lt;=85,1,0))</formula>
    </cfRule>
  </conditionalFormatting>
  <conditionalFormatting sqref="X30">
    <cfRule type="expression" dxfId="405" priority="305">
      <formula>AND(IF(OR($Q30=1,$Q30=2),1,0),IF($X30&lt;=20,1,0))</formula>
    </cfRule>
    <cfRule type="expression" dxfId="404" priority="306">
      <formula>AND(IF($Q30=2,1,0),IF($X30&lt;30,1,0))</formula>
    </cfRule>
    <cfRule type="expression" dxfId="403" priority="307">
      <formula>AND(IF($Q30=3,1,0),IF($X30&lt;30,1,0))</formula>
    </cfRule>
    <cfRule type="expression" dxfId="402" priority="308">
      <formula>AND(IF($Q30=3,1,IF($Q30=4,1,0)),IF($F30&lt;=85,1,0))</formula>
    </cfRule>
  </conditionalFormatting>
  <conditionalFormatting sqref="AI30">
    <cfRule type="expression" dxfId="401" priority="301">
      <formula>AND(IF(OR($Q30=1,$Q30=2),1,0),IF($X30&lt;=20,1,0))</formula>
    </cfRule>
    <cfRule type="expression" dxfId="400" priority="302">
      <formula>AND(IF($Q30=2,1,0),IF($X30&lt;30,1,0))</formula>
    </cfRule>
    <cfRule type="expression" dxfId="399" priority="303">
      <formula>AND(IF($Q30=3,1,0),IF($X30&lt;30,1,0))</formula>
    </cfRule>
    <cfRule type="expression" dxfId="398" priority="304">
      <formula>AND(IF($Q30=3,1,IF($Q30=4,1,0)),IF($F30&lt;=85,1,0))</formula>
    </cfRule>
  </conditionalFormatting>
  <conditionalFormatting sqref="AV31">
    <cfRule type="expression" dxfId="397" priority="299">
      <formula>AV31="X"</formula>
    </cfRule>
    <cfRule type="expression" dxfId="396" priority="300">
      <formula>AV31="후보"</formula>
    </cfRule>
  </conditionalFormatting>
  <conditionalFormatting sqref="AC31">
    <cfRule type="cellIs" dxfId="395" priority="296" operator="greaterThan">
      <formula>0.9</formula>
    </cfRule>
    <cfRule type="cellIs" dxfId="394" priority="297" operator="greaterThan">
      <formula>0.85</formula>
    </cfRule>
  </conditionalFormatting>
  <conditionalFormatting sqref="N31">
    <cfRule type="cellIs" dxfId="393" priority="294" operator="greaterThan">
      <formula>0.9</formula>
    </cfRule>
    <cfRule type="cellIs" dxfId="392" priority="295" operator="greaterThan">
      <formula>0.85</formula>
    </cfRule>
  </conditionalFormatting>
  <conditionalFormatting sqref="E31">
    <cfRule type="expression" dxfId="391" priority="290">
      <formula>AND(IF(OR($Q31=1,$Q31=2),1,0),IF($X31&lt;=20,1,0))</formula>
    </cfRule>
    <cfRule type="expression" dxfId="390" priority="291">
      <formula>AND(IF($Q31=2,1,0),IF($X31&lt;30,1,0))</formula>
    </cfRule>
    <cfRule type="expression" dxfId="389" priority="292">
      <formula>AND(IF($Q31=3,1,0),IF($X31&lt;30,1,0))</formula>
    </cfRule>
    <cfRule type="expression" dxfId="388" priority="293">
      <formula>AND(IF($Q31=3,1,IF($Q31=4,1,0)),IF($F31&lt;=85,1,0))</formula>
    </cfRule>
  </conditionalFormatting>
  <conditionalFormatting sqref="X31">
    <cfRule type="expression" dxfId="387" priority="286">
      <formula>AND(IF(OR($Q31=1,$Q31=2),1,0),IF($X31&lt;=20,1,0))</formula>
    </cfRule>
    <cfRule type="expression" dxfId="386" priority="287">
      <formula>AND(IF($Q31=2,1,0),IF($X31&lt;30,1,0))</formula>
    </cfRule>
    <cfRule type="expression" dxfId="385" priority="288">
      <formula>AND(IF($Q31=3,1,0),IF($X31&lt;30,1,0))</formula>
    </cfRule>
    <cfRule type="expression" dxfId="384" priority="289">
      <formula>AND(IF($Q31=3,1,IF($Q31=4,1,0)),IF($F31&lt;=85,1,0))</formula>
    </cfRule>
  </conditionalFormatting>
  <conditionalFormatting sqref="AI31">
    <cfRule type="expression" dxfId="383" priority="282">
      <formula>AND(IF(OR($Q31=1,$Q31=2),1,0),IF($X31&lt;=20,1,0))</formula>
    </cfRule>
    <cfRule type="expression" dxfId="382" priority="283">
      <formula>AND(IF($Q31=2,1,0),IF($X31&lt;30,1,0))</formula>
    </cfRule>
    <cfRule type="expression" dxfId="381" priority="284">
      <formula>AND(IF($Q31=3,1,0),IF($X31&lt;30,1,0))</formula>
    </cfRule>
    <cfRule type="expression" dxfId="380" priority="285">
      <formula>AND(IF($Q31=3,1,IF($Q31=4,1,0)),IF($F31&lt;=85,1,0))</formula>
    </cfRule>
  </conditionalFormatting>
  <conditionalFormatting sqref="AV32">
    <cfRule type="expression" dxfId="379" priority="280">
      <formula>AV32="X"</formula>
    </cfRule>
    <cfRule type="expression" dxfId="378" priority="281">
      <formula>AV32="후보"</formula>
    </cfRule>
  </conditionalFormatting>
  <conditionalFormatting sqref="AC32">
    <cfRule type="cellIs" dxfId="377" priority="277" operator="greaterThan">
      <formula>0.9</formula>
    </cfRule>
    <cfRule type="cellIs" dxfId="376" priority="278" operator="greaterThan">
      <formula>0.85</formula>
    </cfRule>
  </conditionalFormatting>
  <conditionalFormatting sqref="N32">
    <cfRule type="cellIs" dxfId="375" priority="275" operator="greaterThan">
      <formula>0.9</formula>
    </cfRule>
    <cfRule type="cellIs" dxfId="374" priority="276" operator="greaterThan">
      <formula>0.85</formula>
    </cfRule>
  </conditionalFormatting>
  <conditionalFormatting sqref="E32">
    <cfRule type="expression" dxfId="373" priority="271">
      <formula>AND(IF(OR($Q32=1,$Q32=2),1,0),IF($X32&lt;=20,1,0))</formula>
    </cfRule>
    <cfRule type="expression" dxfId="372" priority="272">
      <formula>AND(IF($Q32=2,1,0),IF($X32&lt;30,1,0))</formula>
    </cfRule>
    <cfRule type="expression" dxfId="371" priority="273">
      <formula>AND(IF($Q32=3,1,0),IF($X32&lt;30,1,0))</formula>
    </cfRule>
    <cfRule type="expression" dxfId="370" priority="274">
      <formula>AND(IF($Q32=3,1,IF($Q32=4,1,0)),IF($F32&lt;=85,1,0))</formula>
    </cfRule>
  </conditionalFormatting>
  <conditionalFormatting sqref="X32">
    <cfRule type="expression" dxfId="369" priority="267">
      <formula>AND(IF(OR($Q32=1,$Q32=2),1,0),IF($X32&lt;=20,1,0))</formula>
    </cfRule>
    <cfRule type="expression" dxfId="368" priority="268">
      <formula>AND(IF($Q32=2,1,0),IF($X32&lt;30,1,0))</formula>
    </cfRule>
    <cfRule type="expression" dxfId="367" priority="269">
      <formula>AND(IF($Q32=3,1,0),IF($X32&lt;30,1,0))</formula>
    </cfRule>
    <cfRule type="expression" dxfId="366" priority="270">
      <formula>AND(IF($Q32=3,1,IF($Q32=4,1,0)),IF($F32&lt;=85,1,0))</formula>
    </cfRule>
  </conditionalFormatting>
  <conditionalFormatting sqref="AI32">
    <cfRule type="expression" dxfId="365" priority="263">
      <formula>AND(IF(OR($Q32=1,$Q32=2),1,0),IF($X32&lt;=20,1,0))</formula>
    </cfRule>
    <cfRule type="expression" dxfId="364" priority="264">
      <formula>AND(IF($Q32=2,1,0),IF($X32&lt;30,1,0))</formula>
    </cfRule>
    <cfRule type="expression" dxfId="363" priority="265">
      <formula>AND(IF($Q32=3,1,0),IF($X32&lt;30,1,0))</formula>
    </cfRule>
    <cfRule type="expression" dxfId="362" priority="266">
      <formula>AND(IF($Q32=3,1,IF($Q32=4,1,0)),IF($F32&lt;=85,1,0))</formula>
    </cfRule>
  </conditionalFormatting>
  <conditionalFormatting sqref="AV33">
    <cfRule type="expression" dxfId="361" priority="261">
      <formula>AV33="X"</formula>
    </cfRule>
    <cfRule type="expression" dxfId="360" priority="262">
      <formula>AV33="후보"</formula>
    </cfRule>
  </conditionalFormatting>
  <conditionalFormatting sqref="AC33">
    <cfRule type="cellIs" dxfId="359" priority="258" operator="greaterThan">
      <formula>0.9</formula>
    </cfRule>
    <cfRule type="cellIs" dxfId="358" priority="259" operator="greaterThan">
      <formula>0.85</formula>
    </cfRule>
  </conditionalFormatting>
  <conditionalFormatting sqref="N33">
    <cfRule type="cellIs" dxfId="357" priority="256" operator="greaterThan">
      <formula>0.9</formula>
    </cfRule>
    <cfRule type="cellIs" dxfId="356" priority="257" operator="greaterThan">
      <formula>0.85</formula>
    </cfRule>
  </conditionalFormatting>
  <conditionalFormatting sqref="E33">
    <cfRule type="expression" dxfId="355" priority="252">
      <formula>AND(IF(OR($Q33=1,$Q33=2),1,0),IF($X33&lt;=20,1,0))</formula>
    </cfRule>
    <cfRule type="expression" dxfId="354" priority="253">
      <formula>AND(IF($Q33=2,1,0),IF($X33&lt;30,1,0))</formula>
    </cfRule>
    <cfRule type="expression" dxfId="353" priority="254">
      <formula>AND(IF($Q33=3,1,0),IF($X33&lt;30,1,0))</formula>
    </cfRule>
    <cfRule type="expression" dxfId="352" priority="255">
      <formula>AND(IF($Q33=3,1,IF($Q33=4,1,0)),IF($F33&lt;=85,1,0))</formula>
    </cfRule>
  </conditionalFormatting>
  <conditionalFormatting sqref="X33">
    <cfRule type="expression" dxfId="351" priority="248">
      <formula>AND(IF(OR($Q33=1,$Q33=2),1,0),IF($X33&lt;=20,1,0))</formula>
    </cfRule>
    <cfRule type="expression" dxfId="350" priority="249">
      <formula>AND(IF($Q33=2,1,0),IF($X33&lt;30,1,0))</formula>
    </cfRule>
    <cfRule type="expression" dxfId="349" priority="250">
      <formula>AND(IF($Q33=3,1,0),IF($X33&lt;30,1,0))</formula>
    </cfRule>
    <cfRule type="expression" dxfId="348" priority="251">
      <formula>AND(IF($Q33=3,1,IF($Q33=4,1,0)),IF($F33&lt;=85,1,0))</formula>
    </cfRule>
  </conditionalFormatting>
  <conditionalFormatting sqref="AI33">
    <cfRule type="expression" dxfId="347" priority="244">
      <formula>AND(IF(OR($Q33=1,$Q33=2),1,0),IF($X33&lt;=20,1,0))</formula>
    </cfRule>
    <cfRule type="expression" dxfId="346" priority="245">
      <formula>AND(IF($Q33=2,1,0),IF($X33&lt;30,1,0))</formula>
    </cfRule>
    <cfRule type="expression" dxfId="345" priority="246">
      <formula>AND(IF($Q33=3,1,0),IF($X33&lt;30,1,0))</formula>
    </cfRule>
    <cfRule type="expression" dxfId="344" priority="247">
      <formula>AND(IF($Q33=3,1,IF($Q33=4,1,0)),IF($F33&lt;=85,1,0))</formula>
    </cfRule>
  </conditionalFormatting>
  <conditionalFormatting sqref="AV34">
    <cfRule type="expression" dxfId="343" priority="242">
      <formula>AV34="X"</formula>
    </cfRule>
    <cfRule type="expression" dxfId="342" priority="243">
      <formula>AV34="후보"</formula>
    </cfRule>
  </conditionalFormatting>
  <conditionalFormatting sqref="AC34 N34">
    <cfRule type="cellIs" dxfId="341" priority="239" operator="greaterThan">
      <formula>0.9</formula>
    </cfRule>
    <cfRule type="cellIs" dxfId="340" priority="240" operator="greaterThan">
      <formula>0.85</formula>
    </cfRule>
  </conditionalFormatting>
  <conditionalFormatting sqref="AV35">
    <cfRule type="expression" dxfId="339" priority="237">
      <formula>AV35="X"</formula>
    </cfRule>
    <cfRule type="expression" dxfId="338" priority="238">
      <formula>AV35="후보"</formula>
    </cfRule>
  </conditionalFormatting>
  <conditionalFormatting sqref="AC35">
    <cfRule type="cellIs" dxfId="337" priority="234" operator="greaterThan">
      <formula>0.9</formula>
    </cfRule>
    <cfRule type="cellIs" dxfId="336" priority="235" operator="greaterThan">
      <formula>0.85</formula>
    </cfRule>
  </conditionalFormatting>
  <conditionalFormatting sqref="N35">
    <cfRule type="cellIs" dxfId="335" priority="232" operator="greaterThan">
      <formula>0.9</formula>
    </cfRule>
    <cfRule type="cellIs" dxfId="334" priority="233" operator="greaterThan">
      <formula>0.85</formula>
    </cfRule>
  </conditionalFormatting>
  <conditionalFormatting sqref="E35">
    <cfRule type="expression" dxfId="333" priority="228">
      <formula>AND(IF(OR($Q35=1,$Q35=2),1,0),IF($X35&lt;=20,1,0))</formula>
    </cfRule>
    <cfRule type="expression" dxfId="332" priority="229">
      <formula>AND(IF($Q35=2,1,0),IF($X35&lt;30,1,0))</formula>
    </cfRule>
    <cfRule type="expression" dxfId="331" priority="230">
      <formula>AND(IF($Q35=3,1,0),IF($X35&lt;30,1,0))</formula>
    </cfRule>
    <cfRule type="expression" dxfId="330" priority="231">
      <formula>AND(IF($Q35=3,1,IF($Q35=4,1,0)),IF($F35&lt;=85,1,0))</formula>
    </cfRule>
  </conditionalFormatting>
  <conditionalFormatting sqref="X35">
    <cfRule type="expression" dxfId="329" priority="224">
      <formula>AND(IF(OR($Q35=1,$Q35=2),1,0),IF($X35&lt;=20,1,0))</formula>
    </cfRule>
    <cfRule type="expression" dxfId="328" priority="225">
      <formula>AND(IF($Q35=2,1,0),IF($X35&lt;30,1,0))</formula>
    </cfRule>
    <cfRule type="expression" dxfId="327" priority="226">
      <formula>AND(IF($Q35=3,1,0),IF($X35&lt;30,1,0))</formula>
    </cfRule>
    <cfRule type="expression" dxfId="326" priority="227">
      <formula>AND(IF($Q35=3,1,IF($Q35=4,1,0)),IF($F35&lt;=85,1,0))</formula>
    </cfRule>
  </conditionalFormatting>
  <conditionalFormatting sqref="AI35">
    <cfRule type="expression" dxfId="325" priority="220">
      <formula>AND(IF(OR($Q35=1,$Q35=2),1,0),IF($X35&lt;=20,1,0))</formula>
    </cfRule>
    <cfRule type="expression" dxfId="324" priority="221">
      <formula>AND(IF($Q35=2,1,0),IF($X35&lt;30,1,0))</formula>
    </cfRule>
    <cfRule type="expression" dxfId="323" priority="222">
      <formula>AND(IF($Q35=3,1,0),IF($X35&lt;30,1,0))</formula>
    </cfRule>
    <cfRule type="expression" dxfId="322" priority="223">
      <formula>AND(IF($Q35=3,1,IF($Q35=4,1,0)),IF($F35&lt;=85,1,0))</formula>
    </cfRule>
  </conditionalFormatting>
  <conditionalFormatting sqref="AV36">
    <cfRule type="expression" dxfId="321" priority="218">
      <formula>AV36="X"</formula>
    </cfRule>
    <cfRule type="expression" dxfId="320" priority="219">
      <formula>AV36="후보"</formula>
    </cfRule>
  </conditionalFormatting>
  <conditionalFormatting sqref="AC36">
    <cfRule type="cellIs" dxfId="319" priority="215" operator="greaterThan">
      <formula>0.9</formula>
    </cfRule>
    <cfRule type="cellIs" dxfId="318" priority="216" operator="greaterThan">
      <formula>0.85</formula>
    </cfRule>
  </conditionalFormatting>
  <conditionalFormatting sqref="N36">
    <cfRule type="cellIs" dxfId="317" priority="213" operator="greaterThan">
      <formula>0.9</formula>
    </cfRule>
    <cfRule type="cellIs" dxfId="316" priority="214" operator="greaterThan">
      <formula>0.85</formula>
    </cfRule>
  </conditionalFormatting>
  <conditionalFormatting sqref="E36">
    <cfRule type="expression" dxfId="315" priority="209">
      <formula>AND(IF(OR($Q36=1,$Q36=2),1,0),IF($X36&lt;=20,1,0))</formula>
    </cfRule>
    <cfRule type="expression" dxfId="314" priority="210">
      <formula>AND(IF($Q36=2,1,0),IF($X36&lt;30,1,0))</formula>
    </cfRule>
    <cfRule type="expression" dxfId="313" priority="211">
      <formula>AND(IF($Q36=3,1,0),IF($X36&lt;30,1,0))</formula>
    </cfRule>
    <cfRule type="expression" dxfId="312" priority="212">
      <formula>AND(IF($Q36=3,1,IF($Q36=4,1,0)),IF($F36&lt;=85,1,0))</formula>
    </cfRule>
  </conditionalFormatting>
  <conditionalFormatting sqref="X36">
    <cfRule type="expression" dxfId="311" priority="205">
      <formula>AND(IF(OR($Q36=1,$Q36=2),1,0),IF($X36&lt;=20,1,0))</formula>
    </cfRule>
    <cfRule type="expression" dxfId="310" priority="206">
      <formula>AND(IF($Q36=2,1,0),IF($X36&lt;30,1,0))</formula>
    </cfRule>
    <cfRule type="expression" dxfId="309" priority="207">
      <formula>AND(IF($Q36=3,1,0),IF($X36&lt;30,1,0))</formula>
    </cfRule>
    <cfRule type="expression" dxfId="308" priority="208">
      <formula>AND(IF($Q36=3,1,IF($Q36=4,1,0)),IF($F36&lt;=85,1,0))</formula>
    </cfRule>
  </conditionalFormatting>
  <conditionalFormatting sqref="AI36">
    <cfRule type="expression" dxfId="307" priority="201">
      <formula>AND(IF(OR($Q36=1,$Q36=2),1,0),IF($X36&lt;=20,1,0))</formula>
    </cfRule>
    <cfRule type="expression" dxfId="306" priority="202">
      <formula>AND(IF($Q36=2,1,0),IF($X36&lt;30,1,0))</formula>
    </cfRule>
    <cfRule type="expression" dxfId="305" priority="203">
      <formula>AND(IF($Q36=3,1,0),IF($X36&lt;30,1,0))</formula>
    </cfRule>
    <cfRule type="expression" dxfId="304" priority="204">
      <formula>AND(IF($Q36=3,1,IF($Q36=4,1,0)),IF($F36&lt;=85,1,0))</formula>
    </cfRule>
  </conditionalFormatting>
  <conditionalFormatting sqref="AV37">
    <cfRule type="expression" dxfId="303" priority="199">
      <formula>AV37="X"</formula>
    </cfRule>
    <cfRule type="expression" dxfId="302" priority="200">
      <formula>AV37="후보"</formula>
    </cfRule>
  </conditionalFormatting>
  <conditionalFormatting sqref="AC37">
    <cfRule type="cellIs" dxfId="301" priority="196" operator="greaterThan">
      <formula>0.9</formula>
    </cfRule>
    <cfRule type="cellIs" dxfId="300" priority="197" operator="greaterThan">
      <formula>0.85</formula>
    </cfRule>
  </conditionalFormatting>
  <conditionalFormatting sqref="N37">
    <cfRule type="cellIs" dxfId="299" priority="194" operator="greaterThan">
      <formula>0.9</formula>
    </cfRule>
    <cfRule type="cellIs" dxfId="298" priority="195" operator="greaterThan">
      <formula>0.85</formula>
    </cfRule>
  </conditionalFormatting>
  <conditionalFormatting sqref="E37">
    <cfRule type="expression" dxfId="297" priority="190">
      <formula>AND(IF(OR($Q37=1,$Q37=2),1,0),IF($X37&lt;=20,1,0))</formula>
    </cfRule>
    <cfRule type="expression" dxfId="296" priority="191">
      <formula>AND(IF($Q37=2,1,0),IF($X37&lt;30,1,0))</formula>
    </cfRule>
    <cfRule type="expression" dxfId="295" priority="192">
      <formula>AND(IF($Q37=3,1,0),IF($X37&lt;30,1,0))</formula>
    </cfRule>
    <cfRule type="expression" dxfId="294" priority="193">
      <formula>AND(IF($Q37=3,1,IF($Q37=4,1,0)),IF($F37&lt;=85,1,0))</formula>
    </cfRule>
  </conditionalFormatting>
  <conditionalFormatting sqref="X37">
    <cfRule type="expression" dxfId="293" priority="186">
      <formula>AND(IF(OR($Q37=1,$Q37=2),1,0),IF($X37&lt;=20,1,0))</formula>
    </cfRule>
    <cfRule type="expression" dxfId="292" priority="187">
      <formula>AND(IF($Q37=2,1,0),IF($X37&lt;30,1,0))</formula>
    </cfRule>
    <cfRule type="expression" dxfId="291" priority="188">
      <formula>AND(IF($Q37=3,1,0),IF($X37&lt;30,1,0))</formula>
    </cfRule>
    <cfRule type="expression" dxfId="290" priority="189">
      <formula>AND(IF($Q37=3,1,IF($Q37=4,1,0)),IF($F37&lt;=85,1,0))</formula>
    </cfRule>
  </conditionalFormatting>
  <conditionalFormatting sqref="AI37">
    <cfRule type="expression" dxfId="289" priority="182">
      <formula>AND(IF(OR($Q37=1,$Q37=2),1,0),IF($X37&lt;=20,1,0))</formula>
    </cfRule>
    <cfRule type="expression" dxfId="288" priority="183">
      <formula>AND(IF($Q37=2,1,0),IF($X37&lt;30,1,0))</formula>
    </cfRule>
    <cfRule type="expression" dxfId="287" priority="184">
      <formula>AND(IF($Q37=3,1,0),IF($X37&lt;30,1,0))</formula>
    </cfRule>
    <cfRule type="expression" dxfId="286" priority="185">
      <formula>AND(IF($Q37=3,1,IF($Q37=4,1,0)),IF($F37&lt;=85,1,0))</formula>
    </cfRule>
  </conditionalFormatting>
  <conditionalFormatting sqref="AV38">
    <cfRule type="expression" dxfId="285" priority="180">
      <formula>AV38="X"</formula>
    </cfRule>
    <cfRule type="expression" dxfId="284" priority="181">
      <formula>AV38="후보"</formula>
    </cfRule>
  </conditionalFormatting>
  <conditionalFormatting sqref="AC38">
    <cfRule type="cellIs" dxfId="283" priority="177" operator="greaterThan">
      <formula>0.9</formula>
    </cfRule>
    <cfRule type="cellIs" dxfId="282" priority="178" operator="greaterThan">
      <formula>0.85</formula>
    </cfRule>
  </conditionalFormatting>
  <conditionalFormatting sqref="N38">
    <cfRule type="cellIs" dxfId="281" priority="175" operator="greaterThan">
      <formula>0.9</formula>
    </cfRule>
    <cfRule type="cellIs" dxfId="280" priority="176" operator="greaterThan">
      <formula>0.85</formula>
    </cfRule>
  </conditionalFormatting>
  <conditionalFormatting sqref="E38">
    <cfRule type="expression" dxfId="279" priority="171">
      <formula>AND(IF(OR($Q38=1,$Q38=2),1,0),IF($X38&lt;=20,1,0))</formula>
    </cfRule>
    <cfRule type="expression" dxfId="278" priority="172">
      <formula>AND(IF($Q38=2,1,0),IF($X38&lt;30,1,0))</formula>
    </cfRule>
    <cfRule type="expression" dxfId="277" priority="173">
      <formula>AND(IF($Q38=3,1,0),IF($X38&lt;30,1,0))</formula>
    </cfRule>
    <cfRule type="expression" dxfId="276" priority="174">
      <formula>AND(IF($Q38=3,1,IF($Q38=4,1,0)),IF($F38&lt;=85,1,0))</formula>
    </cfRule>
  </conditionalFormatting>
  <conditionalFormatting sqref="X38">
    <cfRule type="expression" dxfId="275" priority="167">
      <formula>AND(IF(OR($Q38=1,$Q38=2),1,0),IF($X38&lt;=20,1,0))</formula>
    </cfRule>
    <cfRule type="expression" dxfId="274" priority="168">
      <formula>AND(IF($Q38=2,1,0),IF($X38&lt;30,1,0))</formula>
    </cfRule>
    <cfRule type="expression" dxfId="273" priority="169">
      <formula>AND(IF($Q38=3,1,0),IF($X38&lt;30,1,0))</formula>
    </cfRule>
    <cfRule type="expression" dxfId="272" priority="170">
      <formula>AND(IF($Q38=3,1,IF($Q38=4,1,0)),IF($F38&lt;=85,1,0))</formula>
    </cfRule>
  </conditionalFormatting>
  <conditionalFormatting sqref="AI38">
    <cfRule type="expression" dxfId="271" priority="163">
      <formula>AND(IF(OR($Q38=1,$Q38=2),1,0),IF($X38&lt;=20,1,0))</formula>
    </cfRule>
    <cfRule type="expression" dxfId="270" priority="164">
      <formula>AND(IF($Q38=2,1,0),IF($X38&lt;30,1,0))</formula>
    </cfRule>
    <cfRule type="expression" dxfId="269" priority="165">
      <formula>AND(IF($Q38=3,1,0),IF($X38&lt;30,1,0))</formula>
    </cfRule>
    <cfRule type="expression" dxfId="268" priority="166">
      <formula>AND(IF($Q38=3,1,IF($Q38=4,1,0)),IF($F38&lt;=85,1,0))</formula>
    </cfRule>
  </conditionalFormatting>
  <conditionalFormatting sqref="AV39">
    <cfRule type="expression" dxfId="267" priority="161">
      <formula>AV39="X"</formula>
    </cfRule>
    <cfRule type="expression" dxfId="266" priority="162">
      <formula>AV39="후보"</formula>
    </cfRule>
  </conditionalFormatting>
  <conditionalFormatting sqref="AC39">
    <cfRule type="cellIs" dxfId="265" priority="158" operator="greaterThan">
      <formula>0.9</formula>
    </cfRule>
    <cfRule type="cellIs" dxfId="264" priority="159" operator="greaterThan">
      <formula>0.85</formula>
    </cfRule>
  </conditionalFormatting>
  <conditionalFormatting sqref="N39">
    <cfRule type="cellIs" dxfId="263" priority="156" operator="greaterThan">
      <formula>0.9</formula>
    </cfRule>
    <cfRule type="cellIs" dxfId="262" priority="157" operator="greaterThan">
      <formula>0.85</formula>
    </cfRule>
  </conditionalFormatting>
  <conditionalFormatting sqref="E39">
    <cfRule type="expression" dxfId="261" priority="152">
      <formula>AND(IF(OR($Q39=1,$Q39=2),1,0),IF($X39&lt;=20,1,0))</formula>
    </cfRule>
    <cfRule type="expression" dxfId="260" priority="153">
      <formula>AND(IF($Q39=2,1,0),IF($X39&lt;30,1,0))</formula>
    </cfRule>
    <cfRule type="expression" dxfId="259" priority="154">
      <formula>AND(IF($Q39=3,1,0),IF($X39&lt;30,1,0))</formula>
    </cfRule>
    <cfRule type="expression" dxfId="258" priority="155">
      <formula>AND(IF($Q39=3,1,IF($Q39=4,1,0)),IF($F39&lt;=85,1,0))</formula>
    </cfRule>
  </conditionalFormatting>
  <conditionalFormatting sqref="X39">
    <cfRule type="expression" dxfId="257" priority="148">
      <formula>AND(IF(OR($Q39=1,$Q39=2),1,0),IF($X39&lt;=20,1,0))</formula>
    </cfRule>
    <cfRule type="expression" dxfId="256" priority="149">
      <formula>AND(IF($Q39=2,1,0),IF($X39&lt;30,1,0))</formula>
    </cfRule>
    <cfRule type="expression" dxfId="255" priority="150">
      <formula>AND(IF($Q39=3,1,0),IF($X39&lt;30,1,0))</formula>
    </cfRule>
    <cfRule type="expression" dxfId="254" priority="151">
      <formula>AND(IF($Q39=3,1,IF($Q39=4,1,0)),IF($F39&lt;=85,1,0))</formula>
    </cfRule>
  </conditionalFormatting>
  <conditionalFormatting sqref="AI39">
    <cfRule type="expression" dxfId="253" priority="144">
      <formula>AND(IF(OR($Q39=1,$Q39=2),1,0),IF($X39&lt;=20,1,0))</formula>
    </cfRule>
    <cfRule type="expression" dxfId="252" priority="145">
      <formula>AND(IF($Q39=2,1,0),IF($X39&lt;30,1,0))</formula>
    </cfRule>
    <cfRule type="expression" dxfId="251" priority="146">
      <formula>AND(IF($Q39=3,1,0),IF($X39&lt;30,1,0))</formula>
    </cfRule>
    <cfRule type="expression" dxfId="250" priority="147">
      <formula>AND(IF($Q39=3,1,IF($Q39=4,1,0)),IF($F39&lt;=85,1,0))</formula>
    </cfRule>
  </conditionalFormatting>
  <conditionalFormatting sqref="AV40">
    <cfRule type="expression" dxfId="249" priority="142">
      <formula>AV40="X"</formula>
    </cfRule>
    <cfRule type="expression" dxfId="248" priority="143">
      <formula>AV40="후보"</formula>
    </cfRule>
  </conditionalFormatting>
  <conditionalFormatting sqref="AC40 N40">
    <cfRule type="cellIs" dxfId="247" priority="139" operator="greaterThan">
      <formula>0.9</formula>
    </cfRule>
    <cfRule type="cellIs" dxfId="246" priority="140" operator="greaterThan">
      <formula>0.85</formula>
    </cfRule>
  </conditionalFormatting>
  <conditionalFormatting sqref="AV41">
    <cfRule type="expression" dxfId="245" priority="137">
      <formula>AV41="X"</formula>
    </cfRule>
    <cfRule type="expression" dxfId="244" priority="138">
      <formula>AV41="후보"</formula>
    </cfRule>
  </conditionalFormatting>
  <conditionalFormatting sqref="AC41">
    <cfRule type="cellIs" dxfId="243" priority="134" operator="greaterThan">
      <formula>0.9</formula>
    </cfRule>
    <cfRule type="cellIs" dxfId="242" priority="135" operator="greaterThan">
      <formula>0.85</formula>
    </cfRule>
  </conditionalFormatting>
  <conditionalFormatting sqref="N41">
    <cfRule type="cellIs" dxfId="241" priority="132" operator="greaterThan">
      <formula>0.9</formula>
    </cfRule>
    <cfRule type="cellIs" dxfId="240" priority="133" operator="greaterThan">
      <formula>0.85</formula>
    </cfRule>
  </conditionalFormatting>
  <conditionalFormatting sqref="E41">
    <cfRule type="expression" dxfId="239" priority="128">
      <formula>AND(IF(OR($Q41=1,$Q41=2),1,0),IF($X41&lt;=20,1,0))</formula>
    </cfRule>
    <cfRule type="expression" dxfId="238" priority="129">
      <formula>AND(IF($Q41=2,1,0),IF($X41&lt;30,1,0))</formula>
    </cfRule>
    <cfRule type="expression" dxfId="237" priority="130">
      <formula>AND(IF($Q41=3,1,0),IF($X41&lt;30,1,0))</formula>
    </cfRule>
    <cfRule type="expression" dxfId="236" priority="131">
      <formula>AND(IF($Q41=3,1,IF($Q41=4,1,0)),IF($F41&lt;=85,1,0))</formula>
    </cfRule>
  </conditionalFormatting>
  <conditionalFormatting sqref="X41">
    <cfRule type="expression" dxfId="235" priority="124">
      <formula>AND(IF(OR($Q41=1,$Q41=2),1,0),IF($X41&lt;=20,1,0))</formula>
    </cfRule>
    <cfRule type="expression" dxfId="234" priority="125">
      <formula>AND(IF($Q41=2,1,0),IF($X41&lt;30,1,0))</formula>
    </cfRule>
    <cfRule type="expression" dxfId="233" priority="126">
      <formula>AND(IF($Q41=3,1,0),IF($X41&lt;30,1,0))</formula>
    </cfRule>
    <cfRule type="expression" dxfId="232" priority="127">
      <formula>AND(IF($Q41=3,1,IF($Q41=4,1,0)),IF($F41&lt;=85,1,0))</formula>
    </cfRule>
  </conditionalFormatting>
  <conditionalFormatting sqref="AI41">
    <cfRule type="expression" dxfId="231" priority="120">
      <formula>AND(IF(OR($Q41=1,$Q41=2),1,0),IF($X41&lt;=20,1,0))</formula>
    </cfRule>
    <cfRule type="expression" dxfId="230" priority="121">
      <formula>AND(IF($Q41=2,1,0),IF($X41&lt;30,1,0))</formula>
    </cfRule>
    <cfRule type="expression" dxfId="229" priority="122">
      <formula>AND(IF($Q41=3,1,0),IF($X41&lt;30,1,0))</formula>
    </cfRule>
    <cfRule type="expression" dxfId="228" priority="123">
      <formula>AND(IF($Q41=3,1,IF($Q41=4,1,0)),IF($F41&lt;=85,1,0))</formula>
    </cfRule>
  </conditionalFormatting>
  <conditionalFormatting sqref="AV42">
    <cfRule type="expression" dxfId="227" priority="118">
      <formula>AV42="X"</formula>
    </cfRule>
    <cfRule type="expression" dxfId="226" priority="119">
      <formula>AV42="후보"</formula>
    </cfRule>
  </conditionalFormatting>
  <conditionalFormatting sqref="AC42">
    <cfRule type="cellIs" dxfId="225" priority="115" operator="greaterThan">
      <formula>0.9</formula>
    </cfRule>
    <cfRule type="cellIs" dxfId="224" priority="116" operator="greaterThan">
      <formula>0.85</formula>
    </cfRule>
  </conditionalFormatting>
  <conditionalFormatting sqref="N42">
    <cfRule type="cellIs" dxfId="223" priority="113" operator="greaterThan">
      <formula>0.9</formula>
    </cfRule>
    <cfRule type="cellIs" dxfId="222" priority="114" operator="greaterThan">
      <formula>0.85</formula>
    </cfRule>
  </conditionalFormatting>
  <conditionalFormatting sqref="E42">
    <cfRule type="expression" dxfId="221" priority="109">
      <formula>AND(IF(OR($Q42=1,$Q42=2),1,0),IF($X42&lt;=20,1,0))</formula>
    </cfRule>
    <cfRule type="expression" dxfId="220" priority="110">
      <formula>AND(IF($Q42=2,1,0),IF($X42&lt;30,1,0))</formula>
    </cfRule>
    <cfRule type="expression" dxfId="219" priority="111">
      <formula>AND(IF($Q42=3,1,0),IF($X42&lt;30,1,0))</formula>
    </cfRule>
    <cfRule type="expression" dxfId="218" priority="112">
      <formula>AND(IF($Q42=3,1,IF($Q42=4,1,0)),IF($F42&lt;=85,1,0))</formula>
    </cfRule>
  </conditionalFormatting>
  <conditionalFormatting sqref="X42">
    <cfRule type="expression" dxfId="217" priority="105">
      <formula>AND(IF(OR($Q42=1,$Q42=2),1,0),IF($X42&lt;=20,1,0))</formula>
    </cfRule>
    <cfRule type="expression" dxfId="216" priority="106">
      <formula>AND(IF($Q42=2,1,0),IF($X42&lt;30,1,0))</formula>
    </cfRule>
    <cfRule type="expression" dxfId="215" priority="107">
      <formula>AND(IF($Q42=3,1,0),IF($X42&lt;30,1,0))</formula>
    </cfRule>
    <cfRule type="expression" dxfId="214" priority="108">
      <formula>AND(IF($Q42=3,1,IF($Q42=4,1,0)),IF($F42&lt;=85,1,0))</formula>
    </cfRule>
  </conditionalFormatting>
  <conditionalFormatting sqref="AI42">
    <cfRule type="expression" dxfId="213" priority="101">
      <formula>AND(IF(OR($Q42=1,$Q42=2),1,0),IF($X42&lt;=20,1,0))</formula>
    </cfRule>
    <cfRule type="expression" dxfId="212" priority="102">
      <formula>AND(IF($Q42=2,1,0),IF($X42&lt;30,1,0))</formula>
    </cfRule>
    <cfRule type="expression" dxfId="211" priority="103">
      <formula>AND(IF($Q42=3,1,0),IF($X42&lt;30,1,0))</formula>
    </cfRule>
    <cfRule type="expression" dxfId="210" priority="104">
      <formula>AND(IF($Q42=3,1,IF($Q42=4,1,0)),IF($F42&lt;=85,1,0))</formula>
    </cfRule>
  </conditionalFormatting>
  <conditionalFormatting sqref="AV43">
    <cfRule type="expression" dxfId="209" priority="99">
      <formula>AV43="X"</formula>
    </cfRule>
    <cfRule type="expression" dxfId="208" priority="100">
      <formula>AV43="후보"</formula>
    </cfRule>
  </conditionalFormatting>
  <conditionalFormatting sqref="AC43">
    <cfRule type="cellIs" dxfId="207" priority="96" operator="greaterThan">
      <formula>0.9</formula>
    </cfRule>
    <cfRule type="cellIs" dxfId="206" priority="97" operator="greaterThan">
      <formula>0.85</formula>
    </cfRule>
  </conditionalFormatting>
  <conditionalFormatting sqref="N43">
    <cfRule type="cellIs" dxfId="205" priority="94" operator="greaterThan">
      <formula>0.9</formula>
    </cfRule>
    <cfRule type="cellIs" dxfId="204" priority="95" operator="greaterThan">
      <formula>0.85</formula>
    </cfRule>
  </conditionalFormatting>
  <conditionalFormatting sqref="E43">
    <cfRule type="expression" dxfId="203" priority="90">
      <formula>AND(IF(OR($Q43=1,$Q43=2),1,0),IF($X43&lt;=20,1,0))</formula>
    </cfRule>
    <cfRule type="expression" dxfId="202" priority="91">
      <formula>AND(IF($Q43=2,1,0),IF($X43&lt;30,1,0))</formula>
    </cfRule>
    <cfRule type="expression" dxfId="201" priority="92">
      <formula>AND(IF($Q43=3,1,0),IF($X43&lt;30,1,0))</formula>
    </cfRule>
    <cfRule type="expression" dxfId="200" priority="93">
      <formula>AND(IF($Q43=3,1,IF($Q43=4,1,0)),IF($F43&lt;=85,1,0))</formula>
    </cfRule>
  </conditionalFormatting>
  <conditionalFormatting sqref="X43">
    <cfRule type="expression" dxfId="199" priority="86">
      <formula>AND(IF(OR($Q43=1,$Q43=2),1,0),IF($X43&lt;=20,1,0))</formula>
    </cfRule>
    <cfRule type="expression" dxfId="198" priority="87">
      <formula>AND(IF($Q43=2,1,0),IF($X43&lt;30,1,0))</formula>
    </cfRule>
    <cfRule type="expression" dxfId="197" priority="88">
      <formula>AND(IF($Q43=3,1,0),IF($X43&lt;30,1,0))</formula>
    </cfRule>
    <cfRule type="expression" dxfId="196" priority="89">
      <formula>AND(IF($Q43=3,1,IF($Q43=4,1,0)),IF($F43&lt;=85,1,0))</formula>
    </cfRule>
  </conditionalFormatting>
  <conditionalFormatting sqref="AI43">
    <cfRule type="expression" dxfId="195" priority="82">
      <formula>AND(IF(OR($Q43=1,$Q43=2),1,0),IF($X43&lt;=20,1,0))</formula>
    </cfRule>
    <cfRule type="expression" dxfId="194" priority="83">
      <formula>AND(IF($Q43=2,1,0),IF($X43&lt;30,1,0))</formula>
    </cfRule>
    <cfRule type="expression" dxfId="193" priority="84">
      <formula>AND(IF($Q43=3,1,0),IF($X43&lt;30,1,0))</formula>
    </cfRule>
    <cfRule type="expression" dxfId="192" priority="85">
      <formula>AND(IF($Q43=3,1,IF($Q43=4,1,0)),IF($F43&lt;=85,1,0))</formula>
    </cfRule>
  </conditionalFormatting>
  <conditionalFormatting sqref="AV44">
    <cfRule type="expression" dxfId="191" priority="80">
      <formula>AV44="X"</formula>
    </cfRule>
    <cfRule type="expression" dxfId="190" priority="81">
      <formula>AV44="후보"</formula>
    </cfRule>
  </conditionalFormatting>
  <conditionalFormatting sqref="AC44 N44">
    <cfRule type="cellIs" dxfId="189" priority="77" operator="greaterThan">
      <formula>0.9</formula>
    </cfRule>
    <cfRule type="cellIs" dxfId="188" priority="78" operator="greaterThan">
      <formula>0.85</formula>
    </cfRule>
  </conditionalFormatting>
  <conditionalFormatting sqref="AV45">
    <cfRule type="expression" dxfId="187" priority="75">
      <formula>AV45="X"</formula>
    </cfRule>
    <cfRule type="expression" dxfId="186" priority="76">
      <formula>AV45="후보"</formula>
    </cfRule>
  </conditionalFormatting>
  <conditionalFormatting sqref="AC45">
    <cfRule type="cellIs" dxfId="185" priority="72" operator="greaterThan">
      <formula>0.9</formula>
    </cfRule>
    <cfRule type="cellIs" dxfId="184" priority="73" operator="greaterThan">
      <formula>0.85</formula>
    </cfRule>
  </conditionalFormatting>
  <conditionalFormatting sqref="N45">
    <cfRule type="cellIs" dxfId="183" priority="70" operator="greaterThan">
      <formula>0.9</formula>
    </cfRule>
    <cfRule type="cellIs" dxfId="182" priority="71" operator="greaterThan">
      <formula>0.85</formula>
    </cfRule>
  </conditionalFormatting>
  <conditionalFormatting sqref="E45">
    <cfRule type="expression" dxfId="181" priority="66">
      <formula>AND(IF(OR($Q45=1,$Q45=2),1,0),IF($X45&lt;=20,1,0))</formula>
    </cfRule>
    <cfRule type="expression" dxfId="180" priority="67">
      <formula>AND(IF($Q45=2,1,0),IF($X45&lt;30,1,0))</formula>
    </cfRule>
    <cfRule type="expression" dxfId="179" priority="68">
      <formula>AND(IF($Q45=3,1,0),IF($X45&lt;30,1,0))</formula>
    </cfRule>
    <cfRule type="expression" dxfId="178" priority="69">
      <formula>AND(IF($Q45=3,1,IF($Q45=4,1,0)),IF($F45&lt;=85,1,0))</formula>
    </cfRule>
  </conditionalFormatting>
  <conditionalFormatting sqref="X45">
    <cfRule type="expression" dxfId="177" priority="62">
      <formula>AND(IF(OR($Q45=1,$Q45=2),1,0),IF($X45&lt;=20,1,0))</formula>
    </cfRule>
    <cfRule type="expression" dxfId="176" priority="63">
      <formula>AND(IF($Q45=2,1,0),IF($X45&lt;30,1,0))</formula>
    </cfRule>
    <cfRule type="expression" dxfId="175" priority="64">
      <formula>AND(IF($Q45=3,1,0),IF($X45&lt;30,1,0))</formula>
    </cfRule>
    <cfRule type="expression" dxfId="174" priority="65">
      <formula>AND(IF($Q45=3,1,IF($Q45=4,1,0)),IF($F45&lt;=85,1,0))</formula>
    </cfRule>
  </conditionalFormatting>
  <conditionalFormatting sqref="AI45">
    <cfRule type="expression" dxfId="173" priority="58">
      <formula>AND(IF(OR($Q45=1,$Q45=2),1,0),IF($X45&lt;=20,1,0))</formula>
    </cfRule>
    <cfRule type="expression" dxfId="172" priority="59">
      <formula>AND(IF($Q45=2,1,0),IF($X45&lt;30,1,0))</formula>
    </cfRule>
    <cfRule type="expression" dxfId="171" priority="60">
      <formula>AND(IF($Q45=3,1,0),IF($X45&lt;30,1,0))</formula>
    </cfRule>
    <cfRule type="expression" dxfId="170" priority="61">
      <formula>AND(IF($Q45=3,1,IF($Q45=4,1,0)),IF($F45&lt;=85,1,0))</formula>
    </cfRule>
  </conditionalFormatting>
  <conditionalFormatting sqref="AV46">
    <cfRule type="expression" dxfId="169" priority="56">
      <formula>AV46="X"</formula>
    </cfRule>
    <cfRule type="expression" dxfId="168" priority="57">
      <formula>AV46="후보"</formula>
    </cfRule>
  </conditionalFormatting>
  <conditionalFormatting sqref="AC46">
    <cfRule type="cellIs" dxfId="167" priority="53" operator="greaterThan">
      <formula>0.9</formula>
    </cfRule>
    <cfRule type="cellIs" dxfId="166" priority="54" operator="greaterThan">
      <formula>0.85</formula>
    </cfRule>
  </conditionalFormatting>
  <conditionalFormatting sqref="N46">
    <cfRule type="cellIs" dxfId="165" priority="51" operator="greaterThan">
      <formula>0.9</formula>
    </cfRule>
    <cfRule type="cellIs" dxfId="164" priority="52" operator="greaterThan">
      <formula>0.85</formula>
    </cfRule>
  </conditionalFormatting>
  <conditionalFormatting sqref="E46">
    <cfRule type="expression" dxfId="163" priority="47">
      <formula>AND(IF(OR($Q46=1,$Q46=2),1,0),IF($X46&lt;=20,1,0))</formula>
    </cfRule>
    <cfRule type="expression" dxfId="162" priority="48">
      <formula>AND(IF($Q46=2,1,0),IF($X46&lt;30,1,0))</formula>
    </cfRule>
    <cfRule type="expression" dxfId="161" priority="49">
      <formula>AND(IF($Q46=3,1,0),IF($X46&lt;30,1,0))</formula>
    </cfRule>
    <cfRule type="expression" dxfId="160" priority="50">
      <formula>AND(IF($Q46=3,1,IF($Q46=4,1,0)),IF($F46&lt;=85,1,0))</formula>
    </cfRule>
  </conditionalFormatting>
  <conditionalFormatting sqref="X46">
    <cfRule type="expression" dxfId="159" priority="43">
      <formula>AND(IF(OR($Q46=1,$Q46=2),1,0),IF($X46&lt;=20,1,0))</formula>
    </cfRule>
    <cfRule type="expression" dxfId="158" priority="44">
      <formula>AND(IF($Q46=2,1,0),IF($X46&lt;30,1,0))</formula>
    </cfRule>
    <cfRule type="expression" dxfId="157" priority="45">
      <formula>AND(IF($Q46=3,1,0),IF($X46&lt;30,1,0))</formula>
    </cfRule>
    <cfRule type="expression" dxfId="156" priority="46">
      <formula>AND(IF($Q46=3,1,IF($Q46=4,1,0)),IF($F46&lt;=85,1,0))</formula>
    </cfRule>
  </conditionalFormatting>
  <conditionalFormatting sqref="AI46">
    <cfRule type="expression" dxfId="155" priority="39">
      <formula>AND(IF(OR($Q46=1,$Q46=2),1,0),IF($X46&lt;=20,1,0))</formula>
    </cfRule>
    <cfRule type="expression" dxfId="154" priority="40">
      <formula>AND(IF($Q46=2,1,0),IF($X46&lt;30,1,0))</formula>
    </cfRule>
    <cfRule type="expression" dxfId="153" priority="41">
      <formula>AND(IF($Q46=3,1,0),IF($X46&lt;30,1,0))</formula>
    </cfRule>
    <cfRule type="expression" dxfId="152" priority="42">
      <formula>AND(IF($Q46=3,1,IF($Q46=4,1,0)),IF($F46&lt;=85,1,0))</formula>
    </cfRule>
  </conditionalFormatting>
  <conditionalFormatting sqref="AV47">
    <cfRule type="expression" dxfId="151" priority="37">
      <formula>AV47="X"</formula>
    </cfRule>
    <cfRule type="expression" dxfId="150" priority="38">
      <formula>AV47="후보"</formula>
    </cfRule>
  </conditionalFormatting>
  <conditionalFormatting sqref="AC47">
    <cfRule type="cellIs" dxfId="149" priority="34" operator="greaterThan">
      <formula>0.9</formula>
    </cfRule>
    <cfRule type="cellIs" dxfId="148" priority="35" operator="greaterThan">
      <formula>0.85</formula>
    </cfRule>
  </conditionalFormatting>
  <conditionalFormatting sqref="N47">
    <cfRule type="cellIs" dxfId="147" priority="32" operator="greaterThan">
      <formula>0.9</formula>
    </cfRule>
    <cfRule type="cellIs" dxfId="146" priority="33" operator="greaterThan">
      <formula>0.85</formula>
    </cfRule>
  </conditionalFormatting>
  <conditionalFormatting sqref="E47">
    <cfRule type="expression" dxfId="145" priority="28">
      <formula>AND(IF(OR($Q47=1,$Q47=2),1,0),IF($X47&lt;=20,1,0))</formula>
    </cfRule>
    <cfRule type="expression" dxfId="144" priority="29">
      <formula>AND(IF($Q47=2,1,0),IF($X47&lt;30,1,0))</formula>
    </cfRule>
    <cfRule type="expression" dxfId="143" priority="30">
      <formula>AND(IF($Q47=3,1,0),IF($X47&lt;30,1,0))</formula>
    </cfRule>
    <cfRule type="expression" dxfId="142" priority="31">
      <formula>AND(IF($Q47=3,1,IF($Q47=4,1,0)),IF($F47&lt;=85,1,0))</formula>
    </cfRule>
  </conditionalFormatting>
  <conditionalFormatting sqref="X47">
    <cfRule type="expression" dxfId="141" priority="24">
      <formula>AND(IF(OR($Q47=1,$Q47=2),1,0),IF($X47&lt;=20,1,0))</formula>
    </cfRule>
    <cfRule type="expression" dxfId="140" priority="25">
      <formula>AND(IF($Q47=2,1,0),IF($X47&lt;30,1,0))</formula>
    </cfRule>
    <cfRule type="expression" dxfId="139" priority="26">
      <formula>AND(IF($Q47=3,1,0),IF($X47&lt;30,1,0))</formula>
    </cfRule>
    <cfRule type="expression" dxfId="138" priority="27">
      <formula>AND(IF($Q47=3,1,IF($Q47=4,1,0)),IF($F47&lt;=85,1,0))</formula>
    </cfRule>
  </conditionalFormatting>
  <conditionalFormatting sqref="AI47">
    <cfRule type="expression" dxfId="137" priority="20">
      <formula>AND(IF(OR($Q47=1,$Q47=2),1,0),IF($X47&lt;=20,1,0))</formula>
    </cfRule>
    <cfRule type="expression" dxfId="136" priority="21">
      <formula>AND(IF($Q47=2,1,0),IF($X47&lt;30,1,0))</formula>
    </cfRule>
    <cfRule type="expression" dxfId="135" priority="22">
      <formula>AND(IF($Q47=3,1,0),IF($X47&lt;30,1,0))</formula>
    </cfRule>
    <cfRule type="expression" dxfId="134" priority="23">
      <formula>AND(IF($Q47=3,1,IF($Q47=4,1,0)),IF($F47&lt;=85,1,0))</formula>
    </cfRule>
  </conditionalFormatting>
  <conditionalFormatting sqref="AV48">
    <cfRule type="expression" dxfId="133" priority="18">
      <formula>AV48="X"</formula>
    </cfRule>
    <cfRule type="expression" dxfId="132" priority="19">
      <formula>AV48="후보"</formula>
    </cfRule>
  </conditionalFormatting>
  <conditionalFormatting sqref="AC48">
    <cfRule type="cellIs" dxfId="131" priority="15" operator="greaterThan">
      <formula>0.9</formula>
    </cfRule>
    <cfRule type="cellIs" dxfId="130" priority="16" operator="greaterThan">
      <formula>0.85</formula>
    </cfRule>
  </conditionalFormatting>
  <conditionalFormatting sqref="N48">
    <cfRule type="cellIs" dxfId="129" priority="13" operator="greaterThan">
      <formula>0.9</formula>
    </cfRule>
    <cfRule type="cellIs" dxfId="128" priority="14" operator="greaterThan">
      <formula>0.85</formula>
    </cfRule>
  </conditionalFormatting>
  <conditionalFormatting sqref="E48">
    <cfRule type="expression" dxfId="127" priority="9">
      <formula>AND(IF(OR($Q48=1,$Q48=2),1,0),IF($X48&lt;=20,1,0))</formula>
    </cfRule>
    <cfRule type="expression" dxfId="126" priority="10">
      <formula>AND(IF($Q48=2,1,0),IF($X48&lt;30,1,0))</formula>
    </cfRule>
    <cfRule type="expression" dxfId="125" priority="11">
      <formula>AND(IF($Q48=3,1,0),IF($X48&lt;30,1,0))</formula>
    </cfRule>
    <cfRule type="expression" dxfId="124" priority="12">
      <formula>AND(IF($Q48=3,1,IF($Q48=4,1,0)),IF($F48&lt;=85,1,0))</formula>
    </cfRule>
  </conditionalFormatting>
  <conditionalFormatting sqref="X48">
    <cfRule type="expression" dxfId="123" priority="5">
      <formula>AND(IF(OR($Q48=1,$Q48=2),1,0),IF($X48&lt;=20,1,0))</formula>
    </cfRule>
    <cfRule type="expression" dxfId="122" priority="6">
      <formula>AND(IF($Q48=2,1,0),IF($X48&lt;30,1,0))</formula>
    </cfRule>
    <cfRule type="expression" dxfId="121" priority="7">
      <formula>AND(IF($Q48=3,1,0),IF($X48&lt;30,1,0))</formula>
    </cfRule>
    <cfRule type="expression" dxfId="120" priority="8">
      <formula>AND(IF($Q48=3,1,IF($Q48=4,1,0)),IF($F48&lt;=85,1,0))</formula>
    </cfRule>
  </conditionalFormatting>
  <conditionalFormatting sqref="AI48">
    <cfRule type="expression" dxfId="119" priority="1">
      <formula>AND(IF(OR($Q48=1,$Q48=2),1,0),IF($X48&lt;=20,1,0))</formula>
    </cfRule>
    <cfRule type="expression" dxfId="118" priority="2">
      <formula>AND(IF($Q48=2,1,0),IF($X48&lt;30,1,0))</formula>
    </cfRule>
    <cfRule type="expression" dxfId="117" priority="3">
      <formula>AND(IF($Q48=3,1,0),IF($X48&lt;30,1,0))</formula>
    </cfRule>
    <cfRule type="expression" dxfId="116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T24" sqref="T24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호성동2가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1529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 t="shared" si="0"/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호성동2가 진흥더블유파크3단지('08.09.,791^)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 t="shared" ref="AH5:AH10" si="1">IF(A5="","",A5)</f>
        <v/>
      </c>
      <c r="AI5" s="108" t="str">
        <f t="shared" si="0"/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1525</v>
      </c>
      <c r="B6" s="10" t="s">
        <v>1634</v>
      </c>
      <c r="C6" s="87">
        <v>791</v>
      </c>
      <c r="D6" s="85">
        <v>112.5</v>
      </c>
      <c r="E6" s="86">
        <v>34</v>
      </c>
      <c r="F6" s="85">
        <v>84.7</v>
      </c>
      <c r="G6" s="17">
        <v>26</v>
      </c>
      <c r="H6" s="87">
        <v>46</v>
      </c>
      <c r="I6" s="88">
        <v>35500</v>
      </c>
      <c r="J6" s="88" t="s">
        <v>87</v>
      </c>
      <c r="K6" s="88"/>
      <c r="L6" s="88"/>
      <c r="M6" s="89">
        <f>I6-K6</f>
        <v>35500</v>
      </c>
      <c r="N6" s="4">
        <f>IF(ISERROR(K6/I6),"",K6/I6)</f>
        <v>0</v>
      </c>
      <c r="O6" s="90">
        <f>I6/E6</f>
        <v>1044.1176470588234</v>
      </c>
      <c r="P6" s="90">
        <f>K6/E6</f>
        <v>0</v>
      </c>
      <c r="Q6" s="78">
        <v>3</v>
      </c>
      <c r="R6" s="78">
        <v>2</v>
      </c>
      <c r="S6" s="78" t="s">
        <v>59</v>
      </c>
      <c r="T6" s="5">
        <v>112</v>
      </c>
      <c r="U6" s="9"/>
      <c r="W6" s="85">
        <f t="shared" ref="W6:X10" si="2">D6</f>
        <v>112.5</v>
      </c>
      <c r="X6" s="86">
        <f t="shared" si="2"/>
        <v>34</v>
      </c>
      <c r="Y6" s="91">
        <f t="shared" ref="Y6:Z10" si="3">H6</f>
        <v>46</v>
      </c>
      <c r="Z6" s="89">
        <f t="shared" si="3"/>
        <v>35500</v>
      </c>
      <c r="AA6" s="89">
        <f>K6</f>
        <v>0</v>
      </c>
      <c r="AB6" s="89">
        <f t="shared" ref="AB6:AD10" si="4">M6</f>
        <v>35500</v>
      </c>
      <c r="AC6" s="4">
        <f t="shared" si="4"/>
        <v>0</v>
      </c>
      <c r="AD6" s="90">
        <f t="shared" si="4"/>
        <v>1044.1176470588234</v>
      </c>
      <c r="AE6" s="78" t="str">
        <f>S6</f>
        <v>계</v>
      </c>
      <c r="AF6" s="78" t="str">
        <f>Q6&amp;"/"&amp;R6</f>
        <v>3/2</v>
      </c>
      <c r="AH6" s="20" t="str">
        <f t="shared" si="1"/>
        <v>진흥더블유파크3단지</v>
      </c>
      <c r="AI6" s="86">
        <f t="shared" si="0"/>
        <v>34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>X</v>
      </c>
      <c r="AP6" s="78" t="str">
        <f>IF(I6="","",IF(I6&lt;=$AP$1,"O","X"))</f>
        <v>O</v>
      </c>
      <c r="AQ6" s="78" t="str">
        <f>IF(O6="","",IF(O6&lt;=$AQ$1,"O","X"))</f>
        <v>X</v>
      </c>
      <c r="AR6" s="78" t="str">
        <f>IF(M6="","",IF(M6&lt;=$AR$1,"O","X"))</f>
        <v>X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>X</v>
      </c>
    </row>
    <row r="7" spans="1:48" x14ac:dyDescent="0.3">
      <c r="A7" s="9" t="s">
        <v>1525</v>
      </c>
      <c r="B7" s="10" t="s">
        <v>1634</v>
      </c>
      <c r="C7" s="87">
        <v>791</v>
      </c>
      <c r="D7" s="85">
        <v>130</v>
      </c>
      <c r="E7" s="86">
        <v>39</v>
      </c>
      <c r="F7" s="85">
        <v>103.9</v>
      </c>
      <c r="G7" s="17">
        <v>31</v>
      </c>
      <c r="H7" s="87">
        <v>24</v>
      </c>
      <c r="I7" s="88">
        <v>37000</v>
      </c>
      <c r="J7" s="88" t="s">
        <v>69</v>
      </c>
      <c r="K7" s="88"/>
      <c r="L7" s="88"/>
      <c r="M7" s="89">
        <f>I7-K7</f>
        <v>37000</v>
      </c>
      <c r="N7" s="4">
        <f>IF(ISERROR(K7/I7),"",K7/I7)</f>
        <v>0</v>
      </c>
      <c r="O7" s="90">
        <f>I7/E7</f>
        <v>948.71794871794873</v>
      </c>
      <c r="P7" s="90">
        <f>K7/E7</f>
        <v>0</v>
      </c>
      <c r="Q7" s="78">
        <v>3</v>
      </c>
      <c r="R7" s="78">
        <v>2</v>
      </c>
      <c r="S7" s="78" t="s">
        <v>59</v>
      </c>
      <c r="T7" s="5">
        <v>129</v>
      </c>
      <c r="U7" s="9"/>
      <c r="W7" s="85">
        <f t="shared" si="2"/>
        <v>130</v>
      </c>
      <c r="X7" s="86">
        <f t="shared" si="2"/>
        <v>39</v>
      </c>
      <c r="Y7" s="91">
        <f t="shared" si="3"/>
        <v>24</v>
      </c>
      <c r="Z7" s="89">
        <f t="shared" si="3"/>
        <v>37000</v>
      </c>
      <c r="AA7" s="89">
        <f>K7</f>
        <v>0</v>
      </c>
      <c r="AB7" s="89">
        <f t="shared" si="4"/>
        <v>37000</v>
      </c>
      <c r="AC7" s="4">
        <f t="shared" si="4"/>
        <v>0</v>
      </c>
      <c r="AD7" s="90">
        <f t="shared" si="4"/>
        <v>948.71794871794873</v>
      </c>
      <c r="AE7" s="78" t="str">
        <f>S7</f>
        <v>계</v>
      </c>
      <c r="AF7" s="78" t="str">
        <f>Q7&amp;"/"&amp;R7</f>
        <v>3/2</v>
      </c>
      <c r="AH7" s="20" t="str">
        <f t="shared" si="1"/>
        <v>진흥더블유파크3단지</v>
      </c>
      <c r="AI7" s="86">
        <f t="shared" si="0"/>
        <v>39</v>
      </c>
      <c r="AJ7" s="78" t="str">
        <f>IF(AI7="","",$AJ$2)</f>
        <v>A-</v>
      </c>
      <c r="AK7" s="78" t="s">
        <v>13</v>
      </c>
      <c r="AL7" s="78" t="s">
        <v>61</v>
      </c>
      <c r="AM7" s="78" t="s">
        <v>62</v>
      </c>
      <c r="AN7" s="78" t="str">
        <f>IF(AI7="","",$AN$2)</f>
        <v>C</v>
      </c>
      <c r="AO7" s="78" t="str">
        <f>IF(N7="","",IF(N7&gt;=$AO$1/100,"O","X"))</f>
        <v>X</v>
      </c>
      <c r="AP7" s="78" t="str">
        <f>IF(I7="","",IF(I7&lt;=$AP$1,"O","X"))</f>
        <v>O</v>
      </c>
      <c r="AQ7" s="78" t="str">
        <f>IF(O7="","",IF(O7&lt;=$AQ$1,"O","X"))</f>
        <v>O</v>
      </c>
      <c r="AR7" s="78" t="str">
        <f>IF(M7="","",IF(M7&lt;=$AR$1,"O","X"))</f>
        <v>X</v>
      </c>
      <c r="AS7" s="78" t="s">
        <v>2</v>
      </c>
      <c r="AT7" s="78" t="str">
        <f>IF(OR(F7="",AI7=""),"",IF(AND((F7&lt;=85),(AI7&gt;=15)),"O","X"))</f>
        <v>X</v>
      </c>
      <c r="AU7" s="78" t="str">
        <f>IF(C7="","",IF(C7&gt;=$AU$1,"O","X"))</f>
        <v>O</v>
      </c>
      <c r="AV7" s="78" t="str">
        <f>IF(AO7="","",IF(AND(AO7="O",AP7="O",AR7="O",AT7="O",AU7="O"),"후보","X"))</f>
        <v>X</v>
      </c>
    </row>
    <row r="8" spans="1:48" x14ac:dyDescent="0.3">
      <c r="A8" s="9" t="s">
        <v>1525</v>
      </c>
      <c r="B8" s="10" t="s">
        <v>1634</v>
      </c>
      <c r="C8" s="87">
        <v>791</v>
      </c>
      <c r="D8" s="85">
        <v>132.19999999999999</v>
      </c>
      <c r="E8" s="86">
        <v>40</v>
      </c>
      <c r="F8" s="85">
        <v>103.2</v>
      </c>
      <c r="G8" s="17">
        <v>31</v>
      </c>
      <c r="H8" s="87">
        <v>534</v>
      </c>
      <c r="I8" s="88">
        <v>38000</v>
      </c>
      <c r="J8" s="88" t="s">
        <v>99</v>
      </c>
      <c r="K8" s="88">
        <v>30000</v>
      </c>
      <c r="L8" s="88" t="s">
        <v>68</v>
      </c>
      <c r="M8" s="89">
        <f>I8-K8</f>
        <v>8000</v>
      </c>
      <c r="N8" s="4">
        <f>IF(ISERROR(K8/I8),"",K8/I8)</f>
        <v>0.78947368421052633</v>
      </c>
      <c r="O8" s="90">
        <f>I8/E8</f>
        <v>950</v>
      </c>
      <c r="P8" s="90">
        <f>K8/E8</f>
        <v>750</v>
      </c>
      <c r="Q8" s="78">
        <v>3</v>
      </c>
      <c r="R8" s="78">
        <v>2</v>
      </c>
      <c r="S8" s="78" t="s">
        <v>59</v>
      </c>
      <c r="T8" s="5">
        <v>132</v>
      </c>
      <c r="U8" s="9"/>
      <c r="W8" s="85">
        <f t="shared" si="2"/>
        <v>132.19999999999999</v>
      </c>
      <c r="X8" s="86">
        <f t="shared" si="2"/>
        <v>40</v>
      </c>
      <c r="Y8" s="91">
        <f t="shared" si="3"/>
        <v>534</v>
      </c>
      <c r="Z8" s="89">
        <f t="shared" si="3"/>
        <v>38000</v>
      </c>
      <c r="AA8" s="89">
        <f>K8</f>
        <v>30000</v>
      </c>
      <c r="AB8" s="89">
        <f t="shared" si="4"/>
        <v>8000</v>
      </c>
      <c r="AC8" s="4">
        <f t="shared" si="4"/>
        <v>0.78947368421052633</v>
      </c>
      <c r="AD8" s="90">
        <f t="shared" si="4"/>
        <v>950</v>
      </c>
      <c r="AE8" s="78" t="str">
        <f>S8</f>
        <v>계</v>
      </c>
      <c r="AF8" s="78" t="str">
        <f>Q8&amp;"/"&amp;R8</f>
        <v>3/2</v>
      </c>
      <c r="AH8" s="20" t="str">
        <f t="shared" si="1"/>
        <v>진흥더블유파크3단지</v>
      </c>
      <c r="AI8" s="86">
        <f t="shared" si="0"/>
        <v>40</v>
      </c>
      <c r="AJ8" s="78" t="str">
        <f>IF(AI8="","",$AJ$2)</f>
        <v>A-</v>
      </c>
      <c r="AK8" s="78" t="s">
        <v>13</v>
      </c>
      <c r="AL8" s="78" t="s">
        <v>61</v>
      </c>
      <c r="AM8" s="78" t="s">
        <v>62</v>
      </c>
      <c r="AN8" s="78" t="str">
        <f>IF(AI8="","",$AN$2)</f>
        <v>C</v>
      </c>
      <c r="AO8" s="78" t="str">
        <f>IF(N8="","",IF(N8&gt;=$AO$1/100,"O","X"))</f>
        <v>X</v>
      </c>
      <c r="AP8" s="78" t="str">
        <f>IF(I8="","",IF(I8&lt;=$AP$1,"O","X"))</f>
        <v>O</v>
      </c>
      <c r="AQ8" s="78" t="str">
        <f>IF(O8="","",IF(O8&lt;=$AQ$1,"O","X"))</f>
        <v>O</v>
      </c>
      <c r="AR8" s="78" t="str">
        <f>IF(M8="","",IF(M8&lt;=$AR$1,"O","X"))</f>
        <v>X</v>
      </c>
      <c r="AS8" s="78" t="s">
        <v>2</v>
      </c>
      <c r="AT8" s="78" t="str">
        <f>IF(OR(F8="",AI8=""),"",IF(AND((F8&lt;=85),(AI8&gt;=15)),"O","X"))</f>
        <v>X</v>
      </c>
      <c r="AU8" s="78" t="str">
        <f>IF(C8="","",IF(C8&gt;=$AU$1,"O","X"))</f>
        <v>O</v>
      </c>
      <c r="AV8" s="78" t="str">
        <f>IF(AO8="","",IF(AND(AO8="O",AP8="O",AR8="O",AT8="O",AU8="O"),"후보","X"))</f>
        <v>X</v>
      </c>
    </row>
    <row r="9" spans="1:48" x14ac:dyDescent="0.3">
      <c r="A9" s="9" t="s">
        <v>1525</v>
      </c>
      <c r="B9" s="10" t="s">
        <v>1634</v>
      </c>
      <c r="C9" s="87">
        <v>791</v>
      </c>
      <c r="D9" s="85">
        <v>162.9</v>
      </c>
      <c r="E9" s="86">
        <v>49</v>
      </c>
      <c r="F9" s="85">
        <v>128.4</v>
      </c>
      <c r="G9" s="17">
        <v>39</v>
      </c>
      <c r="H9" s="87">
        <v>69</v>
      </c>
      <c r="I9" s="88"/>
      <c r="J9" s="88"/>
      <c r="K9" s="88"/>
      <c r="L9" s="88"/>
      <c r="M9" s="89">
        <f>I9-K9</f>
        <v>0</v>
      </c>
      <c r="N9" s="4" t="str">
        <f>IF(ISERROR(K9/I9),"",K9/I9)</f>
        <v/>
      </c>
      <c r="O9" s="90">
        <f>I9/E9</f>
        <v>0</v>
      </c>
      <c r="P9" s="90">
        <f>K9/E9</f>
        <v>0</v>
      </c>
      <c r="Q9" s="78">
        <v>4</v>
      </c>
      <c r="R9" s="78">
        <v>2</v>
      </c>
      <c r="S9" s="78" t="s">
        <v>59</v>
      </c>
      <c r="T9" s="5">
        <v>162</v>
      </c>
      <c r="U9" s="9"/>
      <c r="W9" s="85">
        <f t="shared" si="2"/>
        <v>162.9</v>
      </c>
      <c r="X9" s="86">
        <f t="shared" si="2"/>
        <v>49</v>
      </c>
      <c r="Y9" s="91">
        <f t="shared" si="3"/>
        <v>69</v>
      </c>
      <c r="Z9" s="89">
        <f t="shared" si="3"/>
        <v>0</v>
      </c>
      <c r="AA9" s="89">
        <f>K9</f>
        <v>0</v>
      </c>
      <c r="AB9" s="89">
        <f t="shared" si="4"/>
        <v>0</v>
      </c>
      <c r="AC9" s="4" t="str">
        <f t="shared" si="4"/>
        <v/>
      </c>
      <c r="AD9" s="90">
        <f t="shared" si="4"/>
        <v>0</v>
      </c>
      <c r="AE9" s="78" t="str">
        <f>S9</f>
        <v>계</v>
      </c>
      <c r="AF9" s="78" t="str">
        <f>Q9&amp;"/"&amp;R9</f>
        <v>4/2</v>
      </c>
      <c r="AH9" s="20" t="str">
        <f t="shared" si="1"/>
        <v>진흥더블유파크3단지</v>
      </c>
      <c r="AI9" s="86">
        <f t="shared" si="0"/>
        <v>49</v>
      </c>
      <c r="AJ9" s="78" t="str">
        <f>IF(AI9="","",$AJ$2)</f>
        <v>A-</v>
      </c>
      <c r="AK9" s="78" t="s">
        <v>13</v>
      </c>
      <c r="AL9" s="78" t="s">
        <v>61</v>
      </c>
      <c r="AM9" s="78" t="s">
        <v>62</v>
      </c>
      <c r="AN9" s="78" t="str">
        <f>IF(AI9="","",$AN$2)</f>
        <v>C</v>
      </c>
      <c r="AO9" s="78" t="str">
        <f>IF(N9="","",IF(N9&gt;=$AO$1/100,"O","X"))</f>
        <v/>
      </c>
      <c r="AP9" s="78" t="str">
        <f>IF(I9="","",IF(I9&lt;=$AP$1,"O","X"))</f>
        <v/>
      </c>
      <c r="AQ9" s="78" t="str">
        <f>IF(O9="","",IF(O9&lt;=$AQ$1,"O","X"))</f>
        <v>O</v>
      </c>
      <c r="AR9" s="78" t="str">
        <f>IF(M9="","",IF(M9&lt;=$AR$1,"O","X"))</f>
        <v>O</v>
      </c>
      <c r="AS9" s="78" t="s">
        <v>2</v>
      </c>
      <c r="AT9" s="78" t="str">
        <f>IF(OR(F9="",AI9=""),"",IF(AND((F9&lt;=85),(AI9&gt;=15)),"O","X"))</f>
        <v>X</v>
      </c>
      <c r="AU9" s="78" t="str">
        <f>IF(C9="","",IF(C9&gt;=$AU$1,"O","X"))</f>
        <v>O</v>
      </c>
      <c r="AV9" s="78" t="str">
        <f>IF(AO9="","",IF(AND(AO9="O",AP9="O",AR9="O",AT9="O",AU9="O"),"후보","X"))</f>
        <v/>
      </c>
    </row>
    <row r="10" spans="1:48" x14ac:dyDescent="0.3">
      <c r="A10" s="9" t="s">
        <v>1525</v>
      </c>
      <c r="B10" s="10" t="s">
        <v>1634</v>
      </c>
      <c r="C10" s="87">
        <v>791</v>
      </c>
      <c r="D10" s="85">
        <v>192.8</v>
      </c>
      <c r="E10" s="86">
        <v>58</v>
      </c>
      <c r="F10" s="85">
        <v>157.6</v>
      </c>
      <c r="G10" s="17">
        <v>48</v>
      </c>
      <c r="H10" s="87">
        <v>118</v>
      </c>
      <c r="I10" s="88">
        <v>65000</v>
      </c>
      <c r="J10" s="88" t="s">
        <v>68</v>
      </c>
      <c r="K10" s="88"/>
      <c r="L10" s="88"/>
      <c r="M10" s="89">
        <f>I10-K10</f>
        <v>65000</v>
      </c>
      <c r="N10" s="4">
        <f>IF(ISERROR(K10/I10),"",K10/I10)</f>
        <v>0</v>
      </c>
      <c r="O10" s="90">
        <f>I10/E10</f>
        <v>1120.6896551724137</v>
      </c>
      <c r="P10" s="90">
        <f>K10/E10</f>
        <v>0</v>
      </c>
      <c r="Q10" s="78">
        <v>4</v>
      </c>
      <c r="R10" s="78">
        <v>2</v>
      </c>
      <c r="S10" s="78" t="s">
        <v>59</v>
      </c>
      <c r="T10" s="5">
        <v>192</v>
      </c>
      <c r="U10" s="9"/>
      <c r="W10" s="85">
        <f t="shared" si="2"/>
        <v>192.8</v>
      </c>
      <c r="X10" s="86">
        <f t="shared" si="2"/>
        <v>58</v>
      </c>
      <c r="Y10" s="91">
        <f t="shared" si="3"/>
        <v>118</v>
      </c>
      <c r="Z10" s="89">
        <f t="shared" si="3"/>
        <v>65000</v>
      </c>
      <c r="AA10" s="89">
        <f>K10</f>
        <v>0</v>
      </c>
      <c r="AB10" s="89">
        <f t="shared" si="4"/>
        <v>65000</v>
      </c>
      <c r="AC10" s="4">
        <f t="shared" si="4"/>
        <v>0</v>
      </c>
      <c r="AD10" s="90">
        <f t="shared" si="4"/>
        <v>1120.6896551724137</v>
      </c>
      <c r="AE10" s="78" t="str">
        <f>S10</f>
        <v>계</v>
      </c>
      <c r="AF10" s="78" t="str">
        <f>Q10&amp;"/"&amp;R10</f>
        <v>4/2</v>
      </c>
      <c r="AH10" s="20" t="str">
        <f t="shared" si="1"/>
        <v>진흥더블유파크3단지</v>
      </c>
      <c r="AI10" s="86">
        <f t="shared" si="0"/>
        <v>58</v>
      </c>
      <c r="AJ10" s="78" t="str">
        <f>IF(AI10="","",$AJ$2)</f>
        <v>A-</v>
      </c>
      <c r="AK10" s="78" t="s">
        <v>13</v>
      </c>
      <c r="AL10" s="78" t="s">
        <v>61</v>
      </c>
      <c r="AM10" s="78" t="s">
        <v>62</v>
      </c>
      <c r="AN10" s="78" t="str">
        <f>IF(AI10="","",$AN$2)</f>
        <v>C</v>
      </c>
      <c r="AO10" s="78" t="str">
        <f>IF(N10="","",IF(N10&gt;=$AO$1/100,"O","X"))</f>
        <v>X</v>
      </c>
      <c r="AP10" s="78" t="str">
        <f>IF(I10="","",IF(I10&lt;=$AP$1,"O","X"))</f>
        <v>X</v>
      </c>
      <c r="AQ10" s="78" t="str">
        <f>IF(O10="","",IF(O10&lt;=$AQ$1,"O","X"))</f>
        <v>X</v>
      </c>
      <c r="AR10" s="78" t="str">
        <f>IF(M10="","",IF(M10&lt;=$AR$1,"O","X"))</f>
        <v>X</v>
      </c>
      <c r="AS10" s="78" t="s">
        <v>2</v>
      </c>
      <c r="AT10" s="78" t="str">
        <f>IF(OR(F10="",AI10=""),"",IF(AND((F10&lt;=85),(AI10&gt;=15)),"O","X"))</f>
        <v>X</v>
      </c>
      <c r="AU10" s="78" t="str">
        <f>IF(C10="","",IF(C10&gt;=$AU$1,"O","X"))</f>
        <v>O</v>
      </c>
      <c r="AV10" s="78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115" priority="96">
      <formula>AV4="X"</formula>
    </cfRule>
    <cfRule type="expression" dxfId="114" priority="97">
      <formula>AV4="후보"</formula>
    </cfRule>
  </conditionalFormatting>
  <conditionalFormatting sqref="AC1:AC2 AC4:AC6 N4:N5">
    <cfRule type="cellIs" dxfId="113" priority="93" operator="greaterThan">
      <formula>0.9</formula>
    </cfRule>
    <cfRule type="cellIs" dxfId="112" priority="94" operator="greaterThan">
      <formula>0.85</formula>
    </cfRule>
  </conditionalFormatting>
  <conditionalFormatting sqref="N1:N2">
    <cfRule type="cellIs" dxfId="111" priority="91" operator="greaterThan">
      <formula>0.9</formula>
    </cfRule>
    <cfRule type="cellIs" dxfId="110" priority="92" operator="greaterThan">
      <formula>0.85</formula>
    </cfRule>
  </conditionalFormatting>
  <conditionalFormatting sqref="N6">
    <cfRule type="cellIs" dxfId="109" priority="89" operator="greaterThan">
      <formula>0.9</formula>
    </cfRule>
    <cfRule type="cellIs" dxfId="108" priority="90" operator="greaterThan">
      <formula>0.85</formula>
    </cfRule>
  </conditionalFormatting>
  <conditionalFormatting sqref="E6">
    <cfRule type="expression" dxfId="107" priority="85">
      <formula>AND(IF(OR($Q6=1,$Q6=2),1,0),IF($X6&lt;=20,1,0))</formula>
    </cfRule>
    <cfRule type="expression" dxfId="106" priority="86">
      <formula>AND(IF($Q6=2,1,0),IF($X6&lt;30,1,0))</formula>
    </cfRule>
    <cfRule type="expression" dxfId="105" priority="87">
      <formula>AND(IF($Q6=3,1,0),IF($X6&lt;30,1,0))</formula>
    </cfRule>
    <cfRule type="expression" dxfId="104" priority="88">
      <formula>AND(IF($Q6=3,1,IF($Q6=4,1,0)),IF($F6&lt;=85,1,0))</formula>
    </cfRule>
  </conditionalFormatting>
  <conditionalFormatting sqref="X6">
    <cfRule type="expression" dxfId="103" priority="81">
      <formula>AND(IF(OR($Q6=1,$Q6=2),1,0),IF($X6&lt;=20,1,0))</formula>
    </cfRule>
    <cfRule type="expression" dxfId="102" priority="82">
      <formula>AND(IF($Q6=2,1,0),IF($X6&lt;30,1,0))</formula>
    </cfRule>
    <cfRule type="expression" dxfId="101" priority="83">
      <formula>AND(IF($Q6=3,1,0),IF($X6&lt;30,1,0))</formula>
    </cfRule>
    <cfRule type="expression" dxfId="100" priority="84">
      <formula>AND(IF($Q6=3,1,IF($Q6=4,1,0)),IF($F6&lt;=85,1,0))</formula>
    </cfRule>
  </conditionalFormatting>
  <conditionalFormatting sqref="AI6">
    <cfRule type="expression" dxfId="99" priority="77">
      <formula>AND(IF(OR($Q6=1,$Q6=2),1,0),IF($X6&lt;=20,1,0))</formula>
    </cfRule>
    <cfRule type="expression" dxfId="98" priority="78">
      <formula>AND(IF($Q6=2,1,0),IF($X6&lt;30,1,0))</formula>
    </cfRule>
    <cfRule type="expression" dxfId="97" priority="79">
      <formula>AND(IF($Q6=3,1,0),IF($X6&lt;30,1,0))</formula>
    </cfRule>
    <cfRule type="expression" dxfId="96" priority="80">
      <formula>AND(IF($Q6=3,1,IF($Q6=4,1,0)),IF($F6&lt;=85,1,0))</formula>
    </cfRule>
  </conditionalFormatting>
  <conditionalFormatting sqref="AV7">
    <cfRule type="expression" dxfId="95" priority="75">
      <formula>AV7="X"</formula>
    </cfRule>
    <cfRule type="expression" dxfId="94" priority="76">
      <formula>AV7="후보"</formula>
    </cfRule>
  </conditionalFormatting>
  <conditionalFormatting sqref="AC7">
    <cfRule type="cellIs" dxfId="93" priority="72" operator="greaterThan">
      <formula>0.9</formula>
    </cfRule>
    <cfRule type="cellIs" dxfId="92" priority="73" operator="greaterThan">
      <formula>0.85</formula>
    </cfRule>
  </conditionalFormatting>
  <conditionalFormatting sqref="N7">
    <cfRule type="cellIs" dxfId="91" priority="70" operator="greaterThan">
      <formula>0.9</formula>
    </cfRule>
    <cfRule type="cellIs" dxfId="90" priority="71" operator="greaterThan">
      <formula>0.85</formula>
    </cfRule>
  </conditionalFormatting>
  <conditionalFormatting sqref="E7">
    <cfRule type="expression" dxfId="89" priority="66">
      <formula>AND(IF(OR($Q7=1,$Q7=2),1,0),IF($X7&lt;=20,1,0))</formula>
    </cfRule>
    <cfRule type="expression" dxfId="88" priority="67">
      <formula>AND(IF($Q7=2,1,0),IF($X7&lt;30,1,0))</formula>
    </cfRule>
    <cfRule type="expression" dxfId="87" priority="68">
      <formula>AND(IF($Q7=3,1,0),IF($X7&lt;30,1,0))</formula>
    </cfRule>
    <cfRule type="expression" dxfId="86" priority="69">
      <formula>AND(IF($Q7=3,1,IF($Q7=4,1,0)),IF($F7&lt;=85,1,0))</formula>
    </cfRule>
  </conditionalFormatting>
  <conditionalFormatting sqref="X7">
    <cfRule type="expression" dxfId="85" priority="62">
      <formula>AND(IF(OR($Q7=1,$Q7=2),1,0),IF($X7&lt;=20,1,0))</formula>
    </cfRule>
    <cfRule type="expression" dxfId="84" priority="63">
      <formula>AND(IF($Q7=2,1,0),IF($X7&lt;30,1,0))</formula>
    </cfRule>
    <cfRule type="expression" dxfId="83" priority="64">
      <formula>AND(IF($Q7=3,1,0),IF($X7&lt;30,1,0))</formula>
    </cfRule>
    <cfRule type="expression" dxfId="82" priority="65">
      <formula>AND(IF($Q7=3,1,IF($Q7=4,1,0)),IF($F7&lt;=85,1,0))</formula>
    </cfRule>
  </conditionalFormatting>
  <conditionalFormatting sqref="AI7">
    <cfRule type="expression" dxfId="81" priority="58">
      <formula>AND(IF(OR($Q7=1,$Q7=2),1,0),IF($X7&lt;=20,1,0))</formula>
    </cfRule>
    <cfRule type="expression" dxfId="80" priority="59">
      <formula>AND(IF($Q7=2,1,0),IF($X7&lt;30,1,0))</formula>
    </cfRule>
    <cfRule type="expression" dxfId="79" priority="60">
      <formula>AND(IF($Q7=3,1,0),IF($X7&lt;30,1,0))</formula>
    </cfRule>
    <cfRule type="expression" dxfId="78" priority="61">
      <formula>AND(IF($Q7=3,1,IF($Q7=4,1,0)),IF($F7&lt;=85,1,0))</formula>
    </cfRule>
  </conditionalFormatting>
  <conditionalFormatting sqref="AV8">
    <cfRule type="expression" dxfId="77" priority="56">
      <formula>AV8="X"</formula>
    </cfRule>
    <cfRule type="expression" dxfId="76" priority="57">
      <formula>AV8="후보"</formula>
    </cfRule>
  </conditionalFormatting>
  <conditionalFormatting sqref="AC8">
    <cfRule type="cellIs" dxfId="75" priority="53" operator="greaterThan">
      <formula>0.9</formula>
    </cfRule>
    <cfRule type="cellIs" dxfId="74" priority="54" operator="greaterThan">
      <formula>0.85</formula>
    </cfRule>
  </conditionalFormatting>
  <conditionalFormatting sqref="N8">
    <cfRule type="cellIs" dxfId="73" priority="51" operator="greaterThan">
      <formula>0.9</formula>
    </cfRule>
    <cfRule type="cellIs" dxfId="72" priority="52" operator="greaterThan">
      <formula>0.85</formula>
    </cfRule>
  </conditionalFormatting>
  <conditionalFormatting sqref="E8">
    <cfRule type="expression" dxfId="71" priority="47">
      <formula>AND(IF(OR($Q8=1,$Q8=2),1,0),IF($X8&lt;=20,1,0))</formula>
    </cfRule>
    <cfRule type="expression" dxfId="70" priority="48">
      <formula>AND(IF($Q8=2,1,0),IF($X8&lt;30,1,0))</formula>
    </cfRule>
    <cfRule type="expression" dxfId="69" priority="49">
      <formula>AND(IF($Q8=3,1,0),IF($X8&lt;30,1,0))</formula>
    </cfRule>
    <cfRule type="expression" dxfId="68" priority="50">
      <formula>AND(IF($Q8=3,1,IF($Q8=4,1,0)),IF($F8&lt;=85,1,0))</formula>
    </cfRule>
  </conditionalFormatting>
  <conditionalFormatting sqref="X8">
    <cfRule type="expression" dxfId="67" priority="43">
      <formula>AND(IF(OR($Q8=1,$Q8=2),1,0),IF($X8&lt;=20,1,0))</formula>
    </cfRule>
    <cfRule type="expression" dxfId="66" priority="44">
      <formula>AND(IF($Q8=2,1,0),IF($X8&lt;30,1,0))</formula>
    </cfRule>
    <cfRule type="expression" dxfId="65" priority="45">
      <formula>AND(IF($Q8=3,1,0),IF($X8&lt;30,1,0))</formula>
    </cfRule>
    <cfRule type="expression" dxfId="64" priority="46">
      <formula>AND(IF($Q8=3,1,IF($Q8=4,1,0)),IF($F8&lt;=85,1,0))</formula>
    </cfRule>
  </conditionalFormatting>
  <conditionalFormatting sqref="AI8">
    <cfRule type="expression" dxfId="63" priority="39">
      <formula>AND(IF(OR($Q8=1,$Q8=2),1,0),IF($X8&lt;=20,1,0))</formula>
    </cfRule>
    <cfRule type="expression" dxfId="62" priority="40">
      <formula>AND(IF($Q8=2,1,0),IF($X8&lt;30,1,0))</formula>
    </cfRule>
    <cfRule type="expression" dxfId="61" priority="41">
      <formula>AND(IF($Q8=3,1,0),IF($X8&lt;30,1,0))</formula>
    </cfRule>
    <cfRule type="expression" dxfId="60" priority="42">
      <formula>AND(IF($Q8=3,1,IF($Q8=4,1,0)),IF($F8&lt;=85,1,0))</formula>
    </cfRule>
  </conditionalFormatting>
  <conditionalFormatting sqref="AV9">
    <cfRule type="expression" dxfId="59" priority="37">
      <formula>AV9="X"</formula>
    </cfRule>
    <cfRule type="expression" dxfId="58" priority="38">
      <formula>AV9="후보"</formula>
    </cfRule>
  </conditionalFormatting>
  <conditionalFormatting sqref="AC9">
    <cfRule type="cellIs" dxfId="57" priority="34" operator="greaterThan">
      <formula>0.9</formula>
    </cfRule>
    <cfRule type="cellIs" dxfId="56" priority="35" operator="greaterThan">
      <formula>0.85</formula>
    </cfRule>
  </conditionalFormatting>
  <conditionalFormatting sqref="N9">
    <cfRule type="cellIs" dxfId="55" priority="32" operator="greaterThan">
      <formula>0.9</formula>
    </cfRule>
    <cfRule type="cellIs" dxfId="54" priority="33" operator="greaterThan">
      <formula>0.85</formula>
    </cfRule>
  </conditionalFormatting>
  <conditionalFormatting sqref="E9">
    <cfRule type="expression" dxfId="53" priority="28">
      <formula>AND(IF(OR($Q9=1,$Q9=2),1,0),IF($X9&lt;=20,1,0))</formula>
    </cfRule>
    <cfRule type="expression" dxfId="52" priority="29">
      <formula>AND(IF($Q9=2,1,0),IF($X9&lt;30,1,0))</formula>
    </cfRule>
    <cfRule type="expression" dxfId="51" priority="30">
      <formula>AND(IF($Q9=3,1,0),IF($X9&lt;30,1,0))</formula>
    </cfRule>
    <cfRule type="expression" dxfId="50" priority="31">
      <formula>AND(IF($Q9=3,1,IF($Q9=4,1,0)),IF($F9&lt;=85,1,0))</formula>
    </cfRule>
  </conditionalFormatting>
  <conditionalFormatting sqref="X9">
    <cfRule type="expression" dxfId="49" priority="24">
      <formula>AND(IF(OR($Q9=1,$Q9=2),1,0),IF($X9&lt;=20,1,0))</formula>
    </cfRule>
    <cfRule type="expression" dxfId="48" priority="25">
      <formula>AND(IF($Q9=2,1,0),IF($X9&lt;30,1,0))</formula>
    </cfRule>
    <cfRule type="expression" dxfId="47" priority="26">
      <formula>AND(IF($Q9=3,1,0),IF($X9&lt;30,1,0))</formula>
    </cfRule>
    <cfRule type="expression" dxfId="46" priority="27">
      <formula>AND(IF($Q9=3,1,IF($Q9=4,1,0)),IF($F9&lt;=85,1,0))</formula>
    </cfRule>
  </conditionalFormatting>
  <conditionalFormatting sqref="AI9">
    <cfRule type="expression" dxfId="45" priority="20">
      <formula>AND(IF(OR($Q9=1,$Q9=2),1,0),IF($X9&lt;=20,1,0))</formula>
    </cfRule>
    <cfRule type="expression" dxfId="44" priority="21">
      <formula>AND(IF($Q9=2,1,0),IF($X9&lt;30,1,0))</formula>
    </cfRule>
    <cfRule type="expression" dxfId="43" priority="22">
      <formula>AND(IF($Q9=3,1,0),IF($X9&lt;30,1,0))</formula>
    </cfRule>
    <cfRule type="expression" dxfId="42" priority="23">
      <formula>AND(IF($Q9=3,1,IF($Q9=4,1,0)),IF($F9&lt;=85,1,0))</formula>
    </cfRule>
  </conditionalFormatting>
  <conditionalFormatting sqref="AV10">
    <cfRule type="expression" dxfId="41" priority="18">
      <formula>AV10="X"</formula>
    </cfRule>
    <cfRule type="expression" dxfId="40" priority="19">
      <formula>AV10="후보"</formula>
    </cfRule>
  </conditionalFormatting>
  <conditionalFormatting sqref="AC10">
    <cfRule type="cellIs" dxfId="39" priority="15" operator="greaterThan">
      <formula>0.9</formula>
    </cfRule>
    <cfRule type="cellIs" dxfId="38" priority="16" operator="greaterThan">
      <formula>0.85</formula>
    </cfRule>
  </conditionalFormatting>
  <conditionalFormatting sqref="N10">
    <cfRule type="cellIs" dxfId="37" priority="13" operator="greaterThan">
      <formula>0.9</formula>
    </cfRule>
    <cfRule type="cellIs" dxfId="36" priority="14" operator="greaterThan">
      <formula>0.85</formula>
    </cfRule>
  </conditionalFormatting>
  <conditionalFormatting sqref="E10">
    <cfRule type="expression" dxfId="35" priority="9">
      <formula>AND(IF(OR($Q10=1,$Q10=2),1,0),IF($X10&lt;=20,1,0))</formula>
    </cfRule>
    <cfRule type="expression" dxfId="34" priority="10">
      <formula>AND(IF($Q10=2,1,0),IF($X10&lt;30,1,0))</formula>
    </cfRule>
    <cfRule type="expression" dxfId="33" priority="11">
      <formula>AND(IF($Q10=3,1,0),IF($X10&lt;30,1,0))</formula>
    </cfRule>
    <cfRule type="expression" dxfId="32" priority="12">
      <formula>AND(IF($Q10=3,1,IF($Q10=4,1,0)),IF($F10&lt;=85,1,0))</formula>
    </cfRule>
  </conditionalFormatting>
  <conditionalFormatting sqref="X10">
    <cfRule type="expression" dxfId="31" priority="5">
      <formula>AND(IF(OR($Q10=1,$Q10=2),1,0),IF($X10&lt;=20,1,0))</formula>
    </cfRule>
    <cfRule type="expression" dxfId="30" priority="6">
      <formula>AND(IF($Q10=2,1,0),IF($X10&lt;30,1,0))</formula>
    </cfRule>
    <cfRule type="expression" dxfId="29" priority="7">
      <formula>AND(IF($Q10=3,1,0),IF($X10&lt;30,1,0))</formula>
    </cfRule>
    <cfRule type="expression" dxfId="28" priority="8">
      <formula>AND(IF($Q10=3,1,IF($Q10=4,1,0)),IF($F10&lt;=85,1,0))</formula>
    </cfRule>
  </conditionalFormatting>
  <conditionalFormatting sqref="AI10">
    <cfRule type="expression" dxfId="27" priority="1">
      <formula>AND(IF(OR($Q10=1,$Q10=2),1,0),IF($X10&lt;=20,1,0))</formula>
    </cfRule>
    <cfRule type="expression" dxfId="26" priority="2">
      <formula>AND(IF($Q10=2,1,0),IF($X10&lt;30,1,0))</formula>
    </cfRule>
    <cfRule type="expression" dxfId="25" priority="3">
      <formula>AND(IF($Q10=3,1,0),IF($X10&lt;30,1,0))</formula>
    </cfRule>
    <cfRule type="expression" dxfId="2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7" bestFit="1" customWidth="1"/>
    <col min="2" max="2" width="5.875" style="2" bestFit="1" customWidth="1"/>
    <col min="3" max="3" width="6.625" style="1" bestFit="1" customWidth="1"/>
    <col min="4" max="4" width="5.625" style="37" bestFit="1" customWidth="1"/>
    <col min="5" max="5" width="4.625" style="37" bestFit="1" customWidth="1"/>
    <col min="6" max="6" width="5.625" style="37" bestFit="1" customWidth="1"/>
    <col min="7" max="7" width="4.625" style="37" bestFit="1" customWidth="1"/>
    <col min="8" max="8" width="6.625" style="1" bestFit="1" customWidth="1"/>
    <col min="9" max="9" width="7.75" style="37" bestFit="1" customWidth="1"/>
    <col min="10" max="10" width="4" style="37" bestFit="1" customWidth="1"/>
    <col min="11" max="11" width="6.875" style="37" bestFit="1" customWidth="1"/>
    <col min="12" max="12" width="4" style="37" bestFit="1" customWidth="1"/>
    <col min="13" max="13" width="6.875" style="37" bestFit="1" customWidth="1"/>
    <col min="14" max="14" width="4.625" style="37" bestFit="1" customWidth="1"/>
    <col min="15" max="16" width="7.625" style="37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7" customWidth="1"/>
    <col min="22" max="22" width="2.25" style="37" customWidth="1"/>
    <col min="23" max="23" width="5.625" style="37" bestFit="1" customWidth="1"/>
    <col min="24" max="24" width="4.5" style="37" bestFit="1" customWidth="1"/>
    <col min="25" max="25" width="5.375" style="105" customWidth="1"/>
    <col min="26" max="26" width="7.75" style="37" bestFit="1" customWidth="1"/>
    <col min="27" max="27" width="7" style="37" bestFit="1" customWidth="1"/>
    <col min="28" max="28" width="6.875" style="37" bestFit="1" customWidth="1"/>
    <col min="29" max="29" width="4.625" style="37" bestFit="1" customWidth="1"/>
    <col min="30" max="30" width="7.625" style="37" bestFit="1" customWidth="1"/>
    <col min="31" max="31" width="3.25" style="2" bestFit="1" customWidth="1"/>
    <col min="32" max="32" width="4.625" style="3" bestFit="1" customWidth="1"/>
    <col min="33" max="33" width="2.25" style="37" customWidth="1"/>
    <col min="34" max="34" width="22.5" style="37" bestFit="1" customWidth="1"/>
    <col min="35" max="35" width="4.625" style="37" bestFit="1" customWidth="1"/>
    <col min="36" max="40" width="4.625" style="2" customWidth="1"/>
    <col min="41" max="41" width="9.125" style="37" bestFit="1" customWidth="1"/>
    <col min="42" max="42" width="7.625" style="37" bestFit="1" customWidth="1"/>
    <col min="43" max="44" width="9.125" style="37" bestFit="1" customWidth="1"/>
    <col min="45" max="45" width="6.125" style="37" bestFit="1" customWidth="1"/>
    <col min="46" max="46" width="8.625" style="37" bestFit="1" customWidth="1"/>
    <col min="47" max="47" width="9.125" style="37" bestFit="1" customWidth="1"/>
    <col min="48" max="48" width="7.625" style="2" bestFit="1" customWidth="1"/>
    <col min="49" max="51" width="9" style="37" customWidth="1"/>
    <col min="52" max="16384" width="9" style="37"/>
  </cols>
  <sheetData>
    <row r="1" spans="1:48" ht="17.25" customHeight="1" x14ac:dyDescent="0.3">
      <c r="A1" s="7" t="str">
        <f>단지추출!A1</f>
        <v>인천광역시 연수구</v>
      </c>
      <c r="I1" s="42" t="s">
        <v>1531</v>
      </c>
      <c r="X1" s="37" t="s">
        <v>5</v>
      </c>
      <c r="Y1" s="37"/>
      <c r="AA1" s="39">
        <f>단지추출!AA1</f>
        <v>70000</v>
      </c>
      <c r="AH1" s="7" t="str">
        <f>A1</f>
        <v>인천광역시 연수구</v>
      </c>
      <c r="AJ1" s="117" t="str">
        <f>A1&amp;" 전체 등급"</f>
        <v>인천광역시 연수구 전체 등급</v>
      </c>
      <c r="AK1" s="118"/>
      <c r="AL1" s="118"/>
      <c r="AM1" s="118"/>
      <c r="AN1" s="119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8"/>
      <c r="X2" s="38" t="s">
        <v>10</v>
      </c>
      <c r="Y2" s="38"/>
      <c r="AA2" s="39">
        <f>단지추출!AA2</f>
        <v>10000</v>
      </c>
      <c r="AH2" s="18" t="str">
        <f>AH1 &amp;" " &amp;A4</f>
        <v>인천광역시 연수구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4" t="s">
        <v>15</v>
      </c>
      <c r="AP2" s="65"/>
      <c r="AQ2" s="66"/>
      <c r="AR2" s="64" t="s">
        <v>16</v>
      </c>
      <c r="AS2" s="66"/>
      <c r="AT2" s="64" t="s">
        <v>17</v>
      </c>
      <c r="AU2" s="66"/>
      <c r="AV2" s="40"/>
    </row>
    <row r="3" spans="1:48" ht="26.25" customHeight="1" x14ac:dyDescent="0.3">
      <c r="A3" s="11" t="s">
        <v>20</v>
      </c>
      <c r="B3" s="11" t="s">
        <v>21</v>
      </c>
      <c r="C3" s="11" t="s">
        <v>22</v>
      </c>
      <c r="D3" s="11" t="s">
        <v>23</v>
      </c>
      <c r="E3" s="11" t="s">
        <v>24</v>
      </c>
      <c r="F3" s="11" t="s">
        <v>25</v>
      </c>
      <c r="G3" s="11" t="s">
        <v>26</v>
      </c>
      <c r="H3" s="12" t="s">
        <v>27</v>
      </c>
      <c r="I3" s="15" t="s">
        <v>28</v>
      </c>
      <c r="J3" s="15" t="s">
        <v>29</v>
      </c>
      <c r="K3" s="15" t="s">
        <v>30</v>
      </c>
      <c r="L3" s="15" t="s">
        <v>29</v>
      </c>
      <c r="M3" s="12" t="s">
        <v>1532</v>
      </c>
      <c r="N3" s="11" t="s">
        <v>32</v>
      </c>
      <c r="O3" s="15" t="s">
        <v>33</v>
      </c>
      <c r="P3" s="15" t="s">
        <v>34</v>
      </c>
      <c r="Q3" s="13" t="s">
        <v>35</v>
      </c>
      <c r="R3" s="13" t="s">
        <v>36</v>
      </c>
      <c r="S3" s="11" t="s">
        <v>37</v>
      </c>
      <c r="T3" s="16" t="s">
        <v>38</v>
      </c>
      <c r="U3" s="12" t="s">
        <v>39</v>
      </c>
      <c r="W3" s="11" t="s">
        <v>23</v>
      </c>
      <c r="X3" s="11" t="s">
        <v>24</v>
      </c>
      <c r="Y3" s="106" t="s">
        <v>27</v>
      </c>
      <c r="Z3" s="12" t="s">
        <v>41</v>
      </c>
      <c r="AA3" s="12" t="s">
        <v>42</v>
      </c>
      <c r="AB3" s="12" t="s">
        <v>1532</v>
      </c>
      <c r="AC3" s="11" t="s">
        <v>32</v>
      </c>
      <c r="AD3" s="12" t="s">
        <v>43</v>
      </c>
      <c r="AE3" s="11" t="s">
        <v>37</v>
      </c>
      <c r="AF3" s="13" t="s">
        <v>44</v>
      </c>
      <c r="AH3" s="11" t="str">
        <f>IF(A3="","",A3)</f>
        <v>단지명</v>
      </c>
      <c r="AI3" s="11" t="str">
        <f>IF(E3="","",E3)</f>
        <v>공급
면적</v>
      </c>
      <c r="AJ3" s="11" t="s">
        <v>45</v>
      </c>
      <c r="AK3" s="11" t="s">
        <v>46</v>
      </c>
      <c r="AL3" s="11" t="s">
        <v>47</v>
      </c>
      <c r="AM3" s="11" t="s">
        <v>48</v>
      </c>
      <c r="AN3" s="11" t="s">
        <v>49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54</v>
      </c>
      <c r="AT3" s="21" t="s">
        <v>55</v>
      </c>
      <c r="AU3" s="11" t="str">
        <f>"단지규모★
("&amp;AU1&amp;"^↑)"</f>
        <v>단지규모★
(300^↑)</v>
      </c>
      <c r="AV3" s="41" t="s">
        <v>18</v>
      </c>
    </row>
    <row r="4" spans="1:48" x14ac:dyDescent="0.3">
      <c r="A4" s="8" t="s">
        <v>1635</v>
      </c>
      <c r="B4" s="78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7"/>
      <c r="R4" s="107"/>
      <c r="S4" s="78"/>
      <c r="T4" s="5"/>
      <c r="U4" s="9"/>
      <c r="W4" s="9"/>
      <c r="X4" s="9"/>
      <c r="Y4" s="91"/>
      <c r="Z4" s="9"/>
      <c r="AA4" s="9"/>
      <c r="AB4" s="9"/>
      <c r="AC4" s="9"/>
      <c r="AD4" s="9"/>
      <c r="AE4" s="78"/>
      <c r="AF4" s="5"/>
      <c r="AH4" s="20"/>
      <c r="AI4" s="108" t="str">
        <f>IF(E4="","",E4)</f>
        <v/>
      </c>
      <c r="AJ4" s="78"/>
      <c r="AK4" s="78"/>
      <c r="AL4" s="78"/>
      <c r="AM4" s="78"/>
      <c r="AN4" s="78"/>
      <c r="AO4" s="78"/>
      <c r="AP4" s="78"/>
      <c r="AQ4" s="78"/>
      <c r="AR4" s="78"/>
      <c r="AS4" s="78"/>
      <c r="AT4" s="78"/>
      <c r="AU4" s="78"/>
      <c r="AV4" s="78"/>
    </row>
    <row r="5" spans="1:48" x14ac:dyDescent="0.3">
      <c r="A5" s="9"/>
      <c r="B5" s="78"/>
      <c r="C5" s="6"/>
      <c r="D5" s="9"/>
      <c r="E5" s="14"/>
      <c r="F5" s="85"/>
      <c r="G5" s="9"/>
      <c r="H5" s="9"/>
      <c r="I5" s="9"/>
      <c r="J5" s="9"/>
      <c r="K5" s="9"/>
      <c r="L5" s="9"/>
      <c r="M5" s="9"/>
      <c r="N5" s="9"/>
      <c r="O5" s="90"/>
      <c r="P5" s="90"/>
      <c r="Q5" s="86"/>
      <c r="R5" s="86"/>
      <c r="S5" s="9"/>
      <c r="T5" s="47"/>
      <c r="U5" s="9"/>
      <c r="W5" s="67" t="str">
        <f>$A$4&amp;" "&amp;A6&amp;"("&amp;B6&amp;","&amp;C6&amp;"^)"</f>
        <v>동명 단지명('19.04,905^)</v>
      </c>
      <c r="X5" s="68"/>
      <c r="Y5" s="68"/>
      <c r="Z5" s="68"/>
      <c r="AA5" s="68"/>
      <c r="AB5" s="68"/>
      <c r="AC5" s="68"/>
      <c r="AD5" s="68"/>
      <c r="AE5" s="68"/>
      <c r="AF5" s="69"/>
      <c r="AH5" s="20" t="str">
        <f>IF(A5="","",A5)</f>
        <v/>
      </c>
      <c r="AI5" s="108" t="str">
        <f>IF(E5="","",E5)</f>
        <v/>
      </c>
      <c r="AJ5" s="78"/>
      <c r="AK5" s="78"/>
      <c r="AL5" s="78"/>
      <c r="AM5" s="78"/>
      <c r="AN5" s="78"/>
      <c r="AO5" s="78"/>
      <c r="AP5" s="78"/>
      <c r="AQ5" s="78"/>
      <c r="AR5" s="78"/>
      <c r="AS5" s="78"/>
      <c r="AT5" s="78"/>
      <c r="AU5" s="78"/>
      <c r="AV5" s="78"/>
    </row>
    <row r="6" spans="1:48" x14ac:dyDescent="0.3">
      <c r="A6" s="9" t="s">
        <v>20</v>
      </c>
      <c r="B6" s="10" t="s">
        <v>1636</v>
      </c>
      <c r="C6" s="87">
        <v>905</v>
      </c>
      <c r="D6" s="85">
        <v>79.3</v>
      </c>
      <c r="E6" s="86">
        <v>24</v>
      </c>
      <c r="F6" s="85">
        <v>59.8</v>
      </c>
      <c r="G6" s="17">
        <v>18</v>
      </c>
      <c r="H6" s="87">
        <v>240</v>
      </c>
      <c r="I6" s="88"/>
      <c r="J6" s="88"/>
      <c r="K6" s="88"/>
      <c r="L6" s="88"/>
      <c r="M6" s="89">
        <f>I6-K6</f>
        <v>0</v>
      </c>
      <c r="N6" s="4" t="str">
        <f>IF(ISERROR(K6/I6),"",K6/I6)</f>
        <v/>
      </c>
      <c r="O6" s="90">
        <f>I6/E6</f>
        <v>0</v>
      </c>
      <c r="P6" s="90">
        <f>K6/E6</f>
        <v>0</v>
      </c>
      <c r="Q6" s="78">
        <v>3</v>
      </c>
      <c r="R6" s="78">
        <v>2</v>
      </c>
      <c r="S6" s="78" t="s">
        <v>59</v>
      </c>
      <c r="T6" s="5">
        <v>79</v>
      </c>
      <c r="U6" s="9"/>
      <c r="W6" s="85">
        <f>D6</f>
        <v>79.3</v>
      </c>
      <c r="X6" s="86">
        <f>E6</f>
        <v>24</v>
      </c>
      <c r="Y6" s="91">
        <f>H6</f>
        <v>240</v>
      </c>
      <c r="Z6" s="89">
        <f>I6</f>
        <v>0</v>
      </c>
      <c r="AA6" s="89">
        <f>K6</f>
        <v>0</v>
      </c>
      <c r="AB6" s="89">
        <f>M6</f>
        <v>0</v>
      </c>
      <c r="AC6" s="4" t="str">
        <f>N6</f>
        <v/>
      </c>
      <c r="AD6" s="90">
        <f>O6</f>
        <v>0</v>
      </c>
      <c r="AE6" s="78" t="str">
        <f>S6</f>
        <v>계</v>
      </c>
      <c r="AF6" s="78" t="str">
        <f>Q6&amp;"/"&amp;R6</f>
        <v>3/2</v>
      </c>
      <c r="AH6" s="20" t="str">
        <f>IF(A6="","",A6)</f>
        <v>단지명</v>
      </c>
      <c r="AI6" s="86">
        <f>IF(E6="","",E6)</f>
        <v>24</v>
      </c>
      <c r="AJ6" s="78" t="str">
        <f>IF(AI6="","",$AJ$2)</f>
        <v>A-</v>
      </c>
      <c r="AK6" s="78" t="s">
        <v>13</v>
      </c>
      <c r="AL6" s="78" t="s">
        <v>61</v>
      </c>
      <c r="AM6" s="78" t="s">
        <v>62</v>
      </c>
      <c r="AN6" s="78" t="str">
        <f>IF(AI6="","",$AN$2)</f>
        <v>C</v>
      </c>
      <c r="AO6" s="78" t="str">
        <f>IF(N6="","",IF(N6&gt;=$AO$1/100,"O","X"))</f>
        <v/>
      </c>
      <c r="AP6" s="78" t="str">
        <f>IF(I6="","",IF(I6&lt;=$AP$1,"O","X"))</f>
        <v/>
      </c>
      <c r="AQ6" s="78" t="str">
        <f>IF(O6="","",IF(O6&lt;=$AQ$1,"O","X"))</f>
        <v>O</v>
      </c>
      <c r="AR6" s="78" t="str">
        <f>IF(M6="","",IF(M6&lt;=$AR$1,"O","X"))</f>
        <v>O</v>
      </c>
      <c r="AS6" s="78" t="s">
        <v>2</v>
      </c>
      <c r="AT6" s="78" t="str">
        <f>IF(OR(F6="",AI6=""),"",IF(AND((F6&lt;=85),(AI6&gt;=15)),"O","X"))</f>
        <v>O</v>
      </c>
      <c r="AU6" s="78" t="str">
        <f>IF(C6="","",IF(C6&gt;=$AU$1,"O","X"))</f>
        <v>O</v>
      </c>
      <c r="AV6" s="78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23" priority="5349">
      <formula>AV4="X"</formula>
    </cfRule>
    <cfRule type="expression" dxfId="22" priority="5350">
      <formula>AV4="후보"</formula>
    </cfRule>
  </conditionalFormatting>
  <conditionalFormatting sqref="AC1:AC2 AC4:AC6 N4:N5">
    <cfRule type="cellIs" dxfId="21" priority="5346" operator="greaterThan">
      <formula>0.9</formula>
    </cfRule>
    <cfRule type="cellIs" dxfId="20" priority="5347" operator="greaterThan">
      <formula>0.85</formula>
    </cfRule>
  </conditionalFormatting>
  <conditionalFormatting sqref="N1:N2">
    <cfRule type="cellIs" dxfId="19" priority="5344" operator="greaterThan">
      <formula>0.9</formula>
    </cfRule>
    <cfRule type="cellIs" dxfId="18" priority="5345" operator="greaterThan">
      <formula>0.85</formula>
    </cfRule>
  </conditionalFormatting>
  <conditionalFormatting sqref="N6">
    <cfRule type="cellIs" dxfId="17" priority="17" operator="greaterThan">
      <formula>0.9</formula>
    </cfRule>
    <cfRule type="cellIs" dxfId="16" priority="18" operator="greaterThan">
      <formula>0.85</formula>
    </cfRule>
  </conditionalFormatting>
  <conditionalFormatting sqref="E6">
    <cfRule type="expression" dxfId="15" priority="9">
      <formula>AND(IF(OR($Q6=1,$Q6=2),1,0),IF($X6&lt;=20,1,0))</formula>
    </cfRule>
    <cfRule type="expression" dxfId="14" priority="10">
      <formula>AND(IF($Q6=2,1,0),IF($X6&lt;30,1,0))</formula>
    </cfRule>
    <cfRule type="expression" dxfId="13" priority="11">
      <formula>AND(IF($Q6=3,1,0),IF($X6&lt;30,1,0))</formula>
    </cfRule>
    <cfRule type="expression" dxfId="12" priority="12">
      <formula>AND(IF($Q6=3,1,IF($Q6=4,1,0)),IF($F6&lt;=85,1,0))</formula>
    </cfRule>
  </conditionalFormatting>
  <conditionalFormatting sqref="X6">
    <cfRule type="expression" dxfId="11" priority="5">
      <formula>AND(IF(OR($Q6=1,$Q6=2),1,0),IF($X6&lt;=20,1,0))</formula>
    </cfRule>
    <cfRule type="expression" dxfId="10" priority="6">
      <formula>AND(IF($Q6=2,1,0),IF($X6&lt;30,1,0))</formula>
    </cfRule>
    <cfRule type="expression" dxfId="9" priority="7">
      <formula>AND(IF($Q6=3,1,0),IF($X6&lt;30,1,0))</formula>
    </cfRule>
    <cfRule type="expression" dxfId="8" priority="8">
      <formula>AND(IF($Q6=3,1,IF($Q6=4,1,0)),IF($F6&lt;=85,1,0))</formula>
    </cfRule>
  </conditionalFormatting>
  <conditionalFormatting sqref="AI6">
    <cfRule type="expression" dxfId="7" priority="1">
      <formula>AND(IF(OR($Q6=1,$Q6=2),1,0),IF($X6&lt;=20,1,0))</formula>
    </cfRule>
    <cfRule type="expression" dxfId="6" priority="2">
      <formula>AND(IF($Q6=2,1,0),IF($X6&lt;30,1,0))</formula>
    </cfRule>
    <cfRule type="expression" dxfId="5" priority="3">
      <formula>AND(IF($Q6=3,1,0),IF($X6&lt;30,1,0))</formula>
    </cfRule>
    <cfRule type="expression" dxfId="4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이름이 지정된 범위</vt:lpstr>
      </vt:variant>
      <vt:variant>
        <vt:i4>46</vt:i4>
      </vt:variant>
    </vt:vector>
  </HeadingPairs>
  <TitlesOfParts>
    <vt:vector size="72" baseType="lpstr">
      <vt:lpstr>단지추출</vt:lpstr>
      <vt:lpstr>단지추출_가격표용</vt:lpstr>
      <vt:lpstr>동별가격표</vt:lpstr>
      <vt:lpstr>정보입력(KB)</vt:lpstr>
      <vt:lpstr>정보입력</vt:lpstr>
      <vt:lpstr>고랑동</vt:lpstr>
      <vt:lpstr>금암동</vt:lpstr>
      <vt:lpstr>덕진동1가</vt:lpstr>
      <vt:lpstr>덕진동2가</vt:lpstr>
      <vt:lpstr>만성동</vt:lpstr>
      <vt:lpstr>반월동</vt:lpstr>
      <vt:lpstr>송천동1가</vt:lpstr>
      <vt:lpstr>송천동2가</vt:lpstr>
      <vt:lpstr>여의동</vt:lpstr>
      <vt:lpstr>여의동2가</vt:lpstr>
      <vt:lpstr>우아동2가</vt:lpstr>
      <vt:lpstr>우아동3가</vt:lpstr>
      <vt:lpstr>인후동1가</vt:lpstr>
      <vt:lpstr>인후동2가</vt:lpstr>
      <vt:lpstr>장동</vt:lpstr>
      <vt:lpstr>중동</vt:lpstr>
      <vt:lpstr>진북동</vt:lpstr>
      <vt:lpstr>팔복동2가</vt:lpstr>
      <vt:lpstr>호성동1가</vt:lpstr>
      <vt:lpstr>호성동2가</vt:lpstr>
      <vt:lpstr>양식</vt:lpstr>
      <vt:lpstr>고랑동!Print_Area</vt:lpstr>
      <vt:lpstr>금암동!Print_Area</vt:lpstr>
      <vt:lpstr>단지추출!Print_Area</vt:lpstr>
      <vt:lpstr>단지추출_가격표용!Print_Area</vt:lpstr>
      <vt:lpstr>덕진동1가!Print_Area</vt:lpstr>
      <vt:lpstr>덕진동2가!Print_Area</vt:lpstr>
      <vt:lpstr>만성동!Print_Area</vt:lpstr>
      <vt:lpstr>반월동!Print_Area</vt:lpstr>
      <vt:lpstr>송천동1가!Print_Area</vt:lpstr>
      <vt:lpstr>송천동2가!Print_Area</vt:lpstr>
      <vt:lpstr>양식!Print_Area</vt:lpstr>
      <vt:lpstr>여의동!Print_Area</vt:lpstr>
      <vt:lpstr>여의동2가!Print_Area</vt:lpstr>
      <vt:lpstr>우아동2가!Print_Area</vt:lpstr>
      <vt:lpstr>우아동3가!Print_Area</vt:lpstr>
      <vt:lpstr>인후동1가!Print_Area</vt:lpstr>
      <vt:lpstr>인후동2가!Print_Area</vt:lpstr>
      <vt:lpstr>장동!Print_Area</vt:lpstr>
      <vt:lpstr>중동!Print_Area</vt:lpstr>
      <vt:lpstr>진북동!Print_Area</vt:lpstr>
      <vt:lpstr>팔복동2가!Print_Area</vt:lpstr>
      <vt:lpstr>호성동1가!Print_Area</vt:lpstr>
      <vt:lpstr>호성동2가!Print_Area</vt:lpstr>
      <vt:lpstr>고랑동!Print_Titles</vt:lpstr>
      <vt:lpstr>금암동!Print_Titles</vt:lpstr>
      <vt:lpstr>단지추출!Print_Titles</vt:lpstr>
      <vt:lpstr>단지추출_가격표용!Print_Titles</vt:lpstr>
      <vt:lpstr>덕진동1가!Print_Titles</vt:lpstr>
      <vt:lpstr>덕진동2가!Print_Titles</vt:lpstr>
      <vt:lpstr>만성동!Print_Titles</vt:lpstr>
      <vt:lpstr>반월동!Print_Titles</vt:lpstr>
      <vt:lpstr>송천동1가!Print_Titles</vt:lpstr>
      <vt:lpstr>송천동2가!Print_Titles</vt:lpstr>
      <vt:lpstr>양식!Print_Titles</vt:lpstr>
      <vt:lpstr>여의동!Print_Titles</vt:lpstr>
      <vt:lpstr>여의동2가!Print_Titles</vt:lpstr>
      <vt:lpstr>우아동2가!Print_Titles</vt:lpstr>
      <vt:lpstr>우아동3가!Print_Titles</vt:lpstr>
      <vt:lpstr>인후동1가!Print_Titles</vt:lpstr>
      <vt:lpstr>인후동2가!Print_Titles</vt:lpstr>
      <vt:lpstr>장동!Print_Titles</vt:lpstr>
      <vt:lpstr>중동!Print_Titles</vt:lpstr>
      <vt:lpstr>진북동!Print_Titles</vt:lpstr>
      <vt:lpstr>팔복동2가!Print_Titles</vt:lpstr>
      <vt:lpstr>호성동1가!Print_Titles</vt:lpstr>
      <vt:lpstr>호성동2가!Print_Titles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2022-04-04T09:56:37Z</dcterms:modified>
</cp:coreProperties>
</file>