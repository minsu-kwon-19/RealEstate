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이동" sheetId="6" state="visible" r:id="rId6"/>
    <sheet xmlns:r="http://schemas.openxmlformats.org/officeDocument/2006/relationships" name="감일동" sheetId="7" state="visible" r:id="rId7"/>
    <sheet xmlns:r="http://schemas.openxmlformats.org/officeDocument/2006/relationships" name="덕풍동" sheetId="8" state="visible" r:id="rId8"/>
    <sheet xmlns:r="http://schemas.openxmlformats.org/officeDocument/2006/relationships" name="망월동" sheetId="9" state="visible" r:id="rId9"/>
    <sheet xmlns:r="http://schemas.openxmlformats.org/officeDocument/2006/relationships" name="선동" sheetId="10" state="visible" r:id="rId10"/>
    <sheet xmlns:r="http://schemas.openxmlformats.org/officeDocument/2006/relationships" name="신장동" sheetId="11" state="visible" r:id="rId11"/>
    <sheet xmlns:r="http://schemas.openxmlformats.org/officeDocument/2006/relationships" name="창우동" sheetId="12" state="visible" r:id="rId12"/>
    <sheet xmlns:r="http://schemas.openxmlformats.org/officeDocument/2006/relationships" name="풍산동" sheetId="13" state="visible" r:id="rId13"/>
    <sheet xmlns:r="http://schemas.openxmlformats.org/officeDocument/2006/relationships" name="학암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'감이동'!$1:$3</definedName>
    <definedName name="_xlnm.Print_Area" localSheetId="5">'감이동'!$A$1:$U$6</definedName>
    <definedName name="_xlnm.Print_Titles" localSheetId="6">'감일동'!$1:$3</definedName>
    <definedName name="_xlnm.Print_Area" localSheetId="6">'감일동'!$A$1:$U$6</definedName>
    <definedName name="_xlnm.Print_Titles" localSheetId="7">'덕풍동'!$1:$3</definedName>
    <definedName name="_xlnm.Print_Area" localSheetId="7">'덕풍동'!$A$1:$U$6</definedName>
    <definedName name="_xlnm.Print_Titles" localSheetId="8">'망월동'!$1:$3</definedName>
    <definedName name="_xlnm.Print_Area" localSheetId="8">'망월동'!$A$1:$U$6</definedName>
    <definedName name="_xlnm.Print_Titles" localSheetId="9">'선동'!$1:$3</definedName>
    <definedName name="_xlnm.Print_Area" localSheetId="9">'선동'!$A$1:$U$6</definedName>
    <definedName name="_xlnm.Print_Titles" localSheetId="10">'신장동'!$1:$3</definedName>
    <definedName name="_xlnm.Print_Area" localSheetId="10">'신장동'!$A$1:$U$6</definedName>
    <definedName name="_xlnm.Print_Titles" localSheetId="11">'창우동'!$1:$3</definedName>
    <definedName name="_xlnm.Print_Area" localSheetId="11">'창우동'!$A$1:$U$6</definedName>
    <definedName name="_xlnm.Print_Titles" localSheetId="12">'풍산동'!$1:$3</definedName>
    <definedName name="_xlnm.Print_Area" localSheetId="12">'풍산동'!$A$1:$U$6</definedName>
    <definedName name="_xlnm.Print_Titles" localSheetId="13">'학암동'!$1:$3</definedName>
    <definedName name="_xlnm.Print_Area" localSheetId="13">'학암동'!$A$1:$U$6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84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K19" sqref="K19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하남시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8462">
      <formula>18.1</formula>
    </cfRule>
    <cfRule type="cellIs" priority="69564" operator="lessThan" dxfId="8461">
      <formula>21.1</formula>
    </cfRule>
    <cfRule type="cellIs" priority="69565" operator="lessThan" dxfId="8460">
      <formula>24.1</formula>
    </cfRule>
    <cfRule type="cellIs" priority="69566" operator="lessThan" dxfId="1">
      <formula>30</formula>
    </cfRule>
    <cfRule type="cellIs" priority="69567" operator="lessThan" dxfId="8458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579"/>
  <sheetViews>
    <sheetView zoomScaleNormal="100" workbookViewId="0">
      <selection activeCell="G24" sqref="G24"/>
    </sheetView>
  </sheetViews>
  <sheetFormatPr baseColWidth="8" defaultRowHeight="16.5"/>
  <sheetData>
    <row r="1">
      <c r="A1" s="0" t="inlineStr">
        <is>
          <t>[감북동]</t>
        </is>
      </c>
      <c r="B1" s="0" t="n">
        <v>107242</v>
      </c>
      <c r="C1" s="0" t="n">
        <v>1</v>
      </c>
      <c r="D1" s="0" t="inlineStr">
        <is>
          <t>삼현팰리체</t>
        </is>
      </c>
      <c r="E1" s="0" t="inlineStr">
        <is>
          <t>2012.04.</t>
        </is>
      </c>
      <c r="F1" s="0" t="n">
        <v>36</v>
      </c>
      <c r="G1" s="0" t="n">
        <v>18.11</v>
      </c>
      <c r="H1" s="0" t="n">
        <v>59.88</v>
      </c>
      <c r="I1" s="0" t="n">
        <v>14.09</v>
      </c>
      <c r="J1" s="0" t="n">
        <v>46.59</v>
      </c>
      <c r="K1" s="0" t="n">
        <v>4</v>
      </c>
      <c r="T1" s="0" t="n">
        <v>2</v>
      </c>
      <c r="U1" s="0" t="n">
        <v>1</v>
      </c>
      <c r="V1" s="0" t="inlineStr">
        <is>
          <t>복도식</t>
        </is>
      </c>
      <c r="W1" s="0" t="n">
        <v>59</v>
      </c>
      <c r="X1" s="0" t="n">
        <v>5</v>
      </c>
      <c r="Y1" s="0" t="n">
        <v>5</v>
      </c>
      <c r="Z1" s="0" t="inlineStr">
        <is>
          <t>https://new.land.naver.com/complexes/107242?tab=detail&amp;rf=Y</t>
        </is>
      </c>
      <c r="AA1" s="0" t="inlineStr">
        <is>
          <t>경기도 하남시 감북동 493</t>
        </is>
      </c>
      <c r="AB1" s="0" t="inlineStr">
        <is>
          <t>경기도</t>
        </is>
      </c>
      <c r="AC1" s="0" t="inlineStr">
        <is>
          <t>하남시</t>
        </is>
      </c>
      <c r="AD1" s="0" t="inlineStr">
        <is>
          <t>감북동</t>
        </is>
      </c>
      <c r="AG1" s="0" t="inlineStr">
        <is>
          <t>경기도 하남시 감북로51번길 9</t>
        </is>
      </c>
      <c r="AH1" s="0" t="n">
        <v>0</v>
      </c>
      <c r="AI1" s="0" t="n">
        <v>135</v>
      </c>
      <c r="AJ1" s="0" t="n">
        <v>41</v>
      </c>
      <c r="AK1" s="0" t="n">
        <v>36</v>
      </c>
      <c r="AL1" s="0" t="n">
        <v>1</v>
      </c>
    </row>
    <row r="2">
      <c r="A2" s="0" t="inlineStr">
        <is>
          <t>[감북동]</t>
        </is>
      </c>
      <c r="B2" s="0" t="n">
        <v>107242</v>
      </c>
      <c r="C2" s="0" t="n">
        <v>2</v>
      </c>
      <c r="D2" s="0" t="inlineStr">
        <is>
          <t>삼현팰리체</t>
        </is>
      </c>
      <c r="E2" s="0" t="inlineStr">
        <is>
          <t>2012.04.</t>
        </is>
      </c>
      <c r="F2" s="0" t="n">
        <v>36</v>
      </c>
      <c r="G2" s="0" t="n">
        <v>23.8</v>
      </c>
      <c r="H2" s="0" t="n">
        <v>78.7</v>
      </c>
      <c r="I2" s="0" t="n">
        <v>18.53</v>
      </c>
      <c r="J2" s="0" t="n">
        <v>61.27</v>
      </c>
      <c r="K2" s="0" t="n">
        <v>4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78A</t>
        </is>
      </c>
      <c r="X2" s="0" t="n">
        <v>5</v>
      </c>
      <c r="Y2" s="0" t="n">
        <v>5</v>
      </c>
      <c r="Z2" s="0" t="inlineStr">
        <is>
          <t>https://new.land.naver.com/complexes/107242?tab=detail&amp;rf=Y</t>
        </is>
      </c>
      <c r="AA2" s="0" t="inlineStr">
        <is>
          <t>경기도 하남시 감북동 493</t>
        </is>
      </c>
      <c r="AB2" s="0" t="inlineStr">
        <is>
          <t>경기도</t>
        </is>
      </c>
      <c r="AC2" s="0" t="inlineStr">
        <is>
          <t>하남시</t>
        </is>
      </c>
      <c r="AD2" s="0" t="inlineStr">
        <is>
          <t>감북동</t>
        </is>
      </c>
      <c r="AG2" s="0" t="inlineStr">
        <is>
          <t>경기도 하남시 감북로51번길 9</t>
        </is>
      </c>
      <c r="AH2" s="0" t="n">
        <v>0</v>
      </c>
      <c r="AI2" s="0" t="n">
        <v>135</v>
      </c>
      <c r="AJ2" s="0" t="n">
        <v>41</v>
      </c>
      <c r="AK2" s="0" t="n">
        <v>36</v>
      </c>
      <c r="AL2" s="0" t="n">
        <v>1</v>
      </c>
    </row>
    <row r="3">
      <c r="A3" s="0" t="inlineStr">
        <is>
          <t>[감북동]</t>
        </is>
      </c>
      <c r="B3" s="0" t="n">
        <v>107242</v>
      </c>
      <c r="C3" s="0" t="n">
        <v>3</v>
      </c>
      <c r="D3" s="0" t="inlineStr">
        <is>
          <t>삼현팰리체</t>
        </is>
      </c>
      <c r="E3" s="0" t="inlineStr">
        <is>
          <t>2012.04.</t>
        </is>
      </c>
      <c r="F3" s="0" t="n">
        <v>36</v>
      </c>
      <c r="G3" s="0" t="n">
        <v>24.32</v>
      </c>
      <c r="H3" s="0" t="n">
        <v>80.42</v>
      </c>
      <c r="I3" s="0" t="n">
        <v>19.15</v>
      </c>
      <c r="J3" s="0" t="n">
        <v>63.31</v>
      </c>
      <c r="K3" s="0" t="n">
        <v>1</v>
      </c>
      <c r="T3" s="0" t="n">
        <v>3</v>
      </c>
      <c r="U3" s="0" t="n">
        <v>2</v>
      </c>
      <c r="V3" s="0" t="inlineStr">
        <is>
          <t>복도식</t>
        </is>
      </c>
      <c r="W3" s="0" t="inlineStr">
        <is>
          <t>80B</t>
        </is>
      </c>
      <c r="X3" s="0" t="n">
        <v>5</v>
      </c>
      <c r="Y3" s="0" t="n">
        <v>5</v>
      </c>
      <c r="Z3" s="0" t="inlineStr">
        <is>
          <t>https://new.land.naver.com/complexes/107242?tab=detail&amp;rf=Y</t>
        </is>
      </c>
      <c r="AA3" s="0" t="inlineStr">
        <is>
          <t>경기도 하남시 감북동 493</t>
        </is>
      </c>
      <c r="AB3" s="0" t="inlineStr">
        <is>
          <t>경기도</t>
        </is>
      </c>
      <c r="AC3" s="0" t="inlineStr">
        <is>
          <t>하남시</t>
        </is>
      </c>
      <c r="AD3" s="0" t="inlineStr">
        <is>
          <t>감북동</t>
        </is>
      </c>
      <c r="AG3" s="0" t="inlineStr">
        <is>
          <t>경기도 하남시 감북로51번길 9</t>
        </is>
      </c>
      <c r="AH3" s="0" t="n">
        <v>0</v>
      </c>
      <c r="AI3" s="0" t="n">
        <v>135</v>
      </c>
      <c r="AJ3" s="0" t="n">
        <v>41</v>
      </c>
      <c r="AK3" s="0" t="n">
        <v>36</v>
      </c>
      <c r="AL3" s="0" t="n">
        <v>1</v>
      </c>
    </row>
    <row r="4">
      <c r="A4" s="0" t="inlineStr">
        <is>
          <t>[감북동]</t>
        </is>
      </c>
      <c r="B4" s="0" t="n">
        <v>107242</v>
      </c>
      <c r="C4" s="0" t="n">
        <v>4</v>
      </c>
      <c r="D4" s="0" t="inlineStr">
        <is>
          <t>삼현팰리체</t>
        </is>
      </c>
      <c r="E4" s="0" t="inlineStr">
        <is>
          <t>2012.04.</t>
        </is>
      </c>
      <c r="F4" s="0" t="n">
        <v>36</v>
      </c>
      <c r="G4" s="0" t="n">
        <v>24.71</v>
      </c>
      <c r="H4" s="0" t="n">
        <v>81.69</v>
      </c>
      <c r="I4" s="0" t="n">
        <v>19.54</v>
      </c>
      <c r="J4" s="0" t="n">
        <v>64.62</v>
      </c>
      <c r="K4" s="0" t="n">
        <v>4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81A</t>
        </is>
      </c>
      <c r="X4" s="0" t="n">
        <v>5</v>
      </c>
      <c r="Y4" s="0" t="n">
        <v>5</v>
      </c>
      <c r="Z4" s="0" t="inlineStr">
        <is>
          <t>https://new.land.naver.com/complexes/107242?tab=detail&amp;rf=Y</t>
        </is>
      </c>
      <c r="AA4" s="0" t="inlineStr">
        <is>
          <t>경기도 하남시 감북동 493</t>
        </is>
      </c>
      <c r="AB4" s="0" t="inlineStr">
        <is>
          <t>경기도</t>
        </is>
      </c>
      <c r="AC4" s="0" t="inlineStr">
        <is>
          <t>하남시</t>
        </is>
      </c>
      <c r="AD4" s="0" t="inlineStr">
        <is>
          <t>감북동</t>
        </is>
      </c>
      <c r="AG4" s="0" t="inlineStr">
        <is>
          <t>경기도 하남시 감북로51번길 9</t>
        </is>
      </c>
      <c r="AH4" s="0" t="n">
        <v>0</v>
      </c>
      <c r="AI4" s="0" t="n">
        <v>135</v>
      </c>
      <c r="AJ4" s="0" t="n">
        <v>41</v>
      </c>
      <c r="AK4" s="0" t="n">
        <v>36</v>
      </c>
      <c r="AL4" s="0" t="n">
        <v>1</v>
      </c>
    </row>
    <row r="5">
      <c r="A5" s="0" t="inlineStr">
        <is>
          <t>[감북동]</t>
        </is>
      </c>
      <c r="B5" s="0" t="n">
        <v>107242</v>
      </c>
      <c r="C5" s="0" t="n">
        <v>5</v>
      </c>
      <c r="D5" s="0" t="inlineStr">
        <is>
          <t>삼현팰리체</t>
        </is>
      </c>
      <c r="E5" s="0" t="inlineStr">
        <is>
          <t>2012.04.</t>
        </is>
      </c>
      <c r="F5" s="0" t="n">
        <v>36</v>
      </c>
      <c r="G5" s="0" t="n">
        <v>25.1</v>
      </c>
      <c r="H5" s="0" t="n">
        <v>82.98999999999999</v>
      </c>
      <c r="I5" s="0" t="n">
        <v>19.73</v>
      </c>
      <c r="J5" s="0" t="n">
        <v>65.23</v>
      </c>
      <c r="K5" s="0" t="n">
        <v>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82B</t>
        </is>
      </c>
      <c r="X5" s="0" t="n">
        <v>5</v>
      </c>
      <c r="Y5" s="0" t="n">
        <v>5</v>
      </c>
      <c r="Z5" s="0" t="inlineStr">
        <is>
          <t>https://new.land.naver.com/complexes/107242?tab=detail&amp;rf=Y</t>
        </is>
      </c>
      <c r="AA5" s="0" t="inlineStr">
        <is>
          <t>경기도 하남시 감북동 493</t>
        </is>
      </c>
      <c r="AB5" s="0" t="inlineStr">
        <is>
          <t>경기도</t>
        </is>
      </c>
      <c r="AC5" s="0" t="inlineStr">
        <is>
          <t>하남시</t>
        </is>
      </c>
      <c r="AD5" s="0" t="inlineStr">
        <is>
          <t>감북동</t>
        </is>
      </c>
      <c r="AG5" s="0" t="inlineStr">
        <is>
          <t>경기도 하남시 감북로51번길 9</t>
        </is>
      </c>
      <c r="AH5" s="0" t="n">
        <v>0</v>
      </c>
      <c r="AI5" s="0" t="n">
        <v>135</v>
      </c>
      <c r="AJ5" s="0" t="n">
        <v>41</v>
      </c>
      <c r="AK5" s="0" t="n">
        <v>36</v>
      </c>
      <c r="AL5" s="0" t="n">
        <v>1</v>
      </c>
    </row>
    <row r="6">
      <c r="A6" s="0" t="inlineStr">
        <is>
          <t>[감북동]</t>
        </is>
      </c>
      <c r="B6" s="0" t="n">
        <v>107242</v>
      </c>
      <c r="C6" s="0" t="n">
        <v>6</v>
      </c>
      <c r="D6" s="0" t="inlineStr">
        <is>
          <t>삼현팰리체</t>
        </is>
      </c>
      <c r="E6" s="0" t="inlineStr">
        <is>
          <t>2012.04.</t>
        </is>
      </c>
      <c r="F6" s="0" t="n">
        <v>36</v>
      </c>
      <c r="G6" s="0" t="n">
        <v>25.77</v>
      </c>
      <c r="H6" s="0" t="n">
        <v>85.2</v>
      </c>
      <c r="I6" s="0" t="n">
        <v>20.32</v>
      </c>
      <c r="J6" s="0" t="n">
        <v>67.2</v>
      </c>
      <c r="K6" s="0" t="n">
        <v>3</v>
      </c>
      <c r="T6" s="0" t="n">
        <v>3</v>
      </c>
      <c r="U6" s="0" t="n">
        <v>2</v>
      </c>
      <c r="V6" s="0" t="inlineStr">
        <is>
          <t>복도식</t>
        </is>
      </c>
      <c r="W6" s="0" t="n">
        <v>85</v>
      </c>
      <c r="X6" s="0" t="n">
        <v>5</v>
      </c>
      <c r="Y6" s="0" t="n">
        <v>5</v>
      </c>
      <c r="Z6" s="0" t="inlineStr">
        <is>
          <t>https://new.land.naver.com/complexes/107242?tab=detail&amp;rf=Y</t>
        </is>
      </c>
      <c r="AA6" s="0" t="inlineStr">
        <is>
          <t>경기도 하남시 감북동 493</t>
        </is>
      </c>
      <c r="AB6" s="0" t="inlineStr">
        <is>
          <t>경기도</t>
        </is>
      </c>
      <c r="AC6" s="0" t="inlineStr">
        <is>
          <t>하남시</t>
        </is>
      </c>
      <c r="AD6" s="0" t="inlineStr">
        <is>
          <t>감북동</t>
        </is>
      </c>
      <c r="AG6" s="0" t="inlineStr">
        <is>
          <t>경기도 하남시 감북로51번길 9</t>
        </is>
      </c>
      <c r="AH6" s="0" t="n">
        <v>0</v>
      </c>
      <c r="AI6" s="0" t="n">
        <v>135</v>
      </c>
      <c r="AJ6" s="0" t="n">
        <v>41</v>
      </c>
      <c r="AK6" s="0" t="n">
        <v>36</v>
      </c>
      <c r="AL6" s="0" t="n">
        <v>1</v>
      </c>
    </row>
    <row r="7">
      <c r="A7" s="0" t="inlineStr">
        <is>
          <t>[감북동]</t>
        </is>
      </c>
      <c r="B7" s="0" t="n">
        <v>107242</v>
      </c>
      <c r="C7" s="0" t="n">
        <v>7</v>
      </c>
      <c r="D7" s="0" t="inlineStr">
        <is>
          <t>삼현팰리체</t>
        </is>
      </c>
      <c r="E7" s="0" t="inlineStr">
        <is>
          <t>2012.04.</t>
        </is>
      </c>
      <c r="F7" s="0" t="n">
        <v>36</v>
      </c>
      <c r="G7" s="0" t="n">
        <v>27.63</v>
      </c>
      <c r="H7" s="0" t="n">
        <v>91.36</v>
      </c>
      <c r="I7" s="0" t="n">
        <v>21.78</v>
      </c>
      <c r="J7" s="0" t="n">
        <v>72.01000000000001</v>
      </c>
      <c r="K7" s="0" t="n">
        <v>4</v>
      </c>
      <c r="T7" s="0" t="n">
        <v>3</v>
      </c>
      <c r="U7" s="0" t="n">
        <v>2</v>
      </c>
      <c r="V7" s="0" t="inlineStr">
        <is>
          <t>복도식</t>
        </is>
      </c>
      <c r="W7" s="0" t="inlineStr">
        <is>
          <t>91A</t>
        </is>
      </c>
      <c r="X7" s="0" t="n">
        <v>5</v>
      </c>
      <c r="Y7" s="0" t="n">
        <v>5</v>
      </c>
      <c r="Z7" s="0" t="inlineStr">
        <is>
          <t>https://new.land.naver.com/complexes/107242?tab=detail&amp;rf=Y</t>
        </is>
      </c>
      <c r="AA7" s="0" t="inlineStr">
        <is>
          <t>경기도 하남시 감북동 493</t>
        </is>
      </c>
      <c r="AB7" s="0" t="inlineStr">
        <is>
          <t>경기도</t>
        </is>
      </c>
      <c r="AC7" s="0" t="inlineStr">
        <is>
          <t>하남시</t>
        </is>
      </c>
      <c r="AD7" s="0" t="inlineStr">
        <is>
          <t>감북동</t>
        </is>
      </c>
      <c r="AG7" s="0" t="inlineStr">
        <is>
          <t>경기도 하남시 감북로51번길 9</t>
        </is>
      </c>
      <c r="AH7" s="0" t="n">
        <v>0</v>
      </c>
      <c r="AI7" s="0" t="n">
        <v>135</v>
      </c>
      <c r="AJ7" s="0" t="n">
        <v>41</v>
      </c>
      <c r="AK7" s="0" t="n">
        <v>36</v>
      </c>
      <c r="AL7" s="0" t="n">
        <v>1</v>
      </c>
    </row>
    <row r="8">
      <c r="A8" s="0" t="inlineStr">
        <is>
          <t>[감북동]</t>
        </is>
      </c>
      <c r="B8" s="0" t="n">
        <v>107242</v>
      </c>
      <c r="C8" s="0" t="n">
        <v>8</v>
      </c>
      <c r="D8" s="0" t="inlineStr">
        <is>
          <t>삼현팰리체</t>
        </is>
      </c>
      <c r="E8" s="0" t="inlineStr">
        <is>
          <t>2012.04.</t>
        </is>
      </c>
      <c r="F8" s="0" t="n">
        <v>36</v>
      </c>
      <c r="G8" s="0" t="n">
        <v>28.55</v>
      </c>
      <c r="H8" s="0" t="n">
        <v>94.40000000000001</v>
      </c>
      <c r="I8" s="0" t="n">
        <v>22.6</v>
      </c>
      <c r="J8" s="0" t="n">
        <v>74.73</v>
      </c>
      <c r="K8" s="0" t="n">
        <v>6</v>
      </c>
      <c r="T8" s="0" t="n">
        <v>3</v>
      </c>
      <c r="U8" s="0" t="n">
        <v>2</v>
      </c>
      <c r="V8" s="0" t="inlineStr">
        <is>
          <t>복도식</t>
        </is>
      </c>
      <c r="W8" s="0" t="n">
        <v>94</v>
      </c>
      <c r="X8" s="0" t="n">
        <v>5</v>
      </c>
      <c r="Y8" s="0" t="n">
        <v>5</v>
      </c>
      <c r="Z8" s="0" t="inlineStr">
        <is>
          <t>https://new.land.naver.com/complexes/107242?tab=detail&amp;rf=Y</t>
        </is>
      </c>
      <c r="AA8" s="0" t="inlineStr">
        <is>
          <t>경기도 하남시 감북동 493</t>
        </is>
      </c>
      <c r="AB8" s="0" t="inlineStr">
        <is>
          <t>경기도</t>
        </is>
      </c>
      <c r="AC8" s="0" t="inlineStr">
        <is>
          <t>하남시</t>
        </is>
      </c>
      <c r="AD8" s="0" t="inlineStr">
        <is>
          <t>감북동</t>
        </is>
      </c>
      <c r="AG8" s="0" t="inlineStr">
        <is>
          <t>경기도 하남시 감북로51번길 9</t>
        </is>
      </c>
      <c r="AH8" s="0" t="n">
        <v>0</v>
      </c>
      <c r="AI8" s="0" t="n">
        <v>135</v>
      </c>
      <c r="AJ8" s="0" t="n">
        <v>41</v>
      </c>
      <c r="AK8" s="0" t="n">
        <v>36</v>
      </c>
      <c r="AL8" s="0" t="n">
        <v>1</v>
      </c>
    </row>
    <row r="9">
      <c r="A9" s="0" t="inlineStr">
        <is>
          <t>[감북동]</t>
        </is>
      </c>
      <c r="B9" s="0" t="n">
        <v>107242</v>
      </c>
      <c r="C9" s="0" t="n">
        <v>9</v>
      </c>
      <c r="D9" s="0" t="inlineStr">
        <is>
          <t>삼현팰리체</t>
        </is>
      </c>
      <c r="E9" s="0" t="inlineStr">
        <is>
          <t>2012.04.</t>
        </is>
      </c>
      <c r="F9" s="0" t="n">
        <v>36</v>
      </c>
      <c r="G9" s="0" t="n">
        <v>28.48</v>
      </c>
      <c r="H9" s="0" t="n">
        <v>94.15000000000001</v>
      </c>
      <c r="I9" s="0" t="n">
        <v>22.53</v>
      </c>
      <c r="J9" s="0" t="n">
        <v>74.48</v>
      </c>
      <c r="K9" s="0" t="n">
        <v>2</v>
      </c>
      <c r="T9" s="0" t="n">
        <v>3</v>
      </c>
      <c r="U9" s="0" t="n">
        <v>2</v>
      </c>
      <c r="V9" s="0" t="inlineStr">
        <is>
          <t>복도식</t>
        </is>
      </c>
      <c r="W9" s="0" t="inlineStr">
        <is>
          <t>94B</t>
        </is>
      </c>
      <c r="X9" s="0" t="n">
        <v>5</v>
      </c>
      <c r="Y9" s="0" t="n">
        <v>5</v>
      </c>
      <c r="Z9" s="0" t="inlineStr">
        <is>
          <t>https://new.land.naver.com/complexes/107242?tab=detail&amp;rf=Y</t>
        </is>
      </c>
      <c r="AA9" s="0" t="inlineStr">
        <is>
          <t>경기도 하남시 감북동 493</t>
        </is>
      </c>
      <c r="AB9" s="0" t="inlineStr">
        <is>
          <t>경기도</t>
        </is>
      </c>
      <c r="AC9" s="0" t="inlineStr">
        <is>
          <t>하남시</t>
        </is>
      </c>
      <c r="AD9" s="0" t="inlineStr">
        <is>
          <t>감북동</t>
        </is>
      </c>
      <c r="AG9" s="0" t="inlineStr">
        <is>
          <t>경기도 하남시 감북로51번길 9</t>
        </is>
      </c>
      <c r="AH9" s="0" t="n">
        <v>0</v>
      </c>
      <c r="AI9" s="0" t="n">
        <v>135</v>
      </c>
      <c r="AJ9" s="0" t="n">
        <v>41</v>
      </c>
      <c r="AK9" s="0" t="n">
        <v>36</v>
      </c>
      <c r="AL9" s="0" t="n">
        <v>1</v>
      </c>
    </row>
    <row r="10">
      <c r="A10" s="0" t="inlineStr">
        <is>
          <t>[감북동]</t>
        </is>
      </c>
      <c r="B10" s="0" t="n">
        <v>107242</v>
      </c>
      <c r="C10" s="0" t="n">
        <v>10</v>
      </c>
      <c r="D10" s="0" t="inlineStr">
        <is>
          <t>삼현팰리체</t>
        </is>
      </c>
      <c r="E10" s="0" t="inlineStr">
        <is>
          <t>2012.04.</t>
        </is>
      </c>
      <c r="F10" s="0" t="n">
        <v>36</v>
      </c>
      <c r="G10" s="0" t="n">
        <v>30.06</v>
      </c>
      <c r="H10" s="0" t="n">
        <v>99.40000000000001</v>
      </c>
      <c r="I10" s="0" t="n">
        <v>23.74</v>
      </c>
      <c r="J10" s="0" t="n">
        <v>78.51000000000001</v>
      </c>
      <c r="K10" s="0" t="n">
        <v>1</v>
      </c>
      <c r="T10" s="0" t="n">
        <v>3</v>
      </c>
      <c r="U10" s="0" t="n">
        <v>2</v>
      </c>
      <c r="V10" s="0" t="inlineStr">
        <is>
          <t>복도식</t>
        </is>
      </c>
      <c r="W10" s="0" t="n">
        <v>99</v>
      </c>
      <c r="X10" s="0" t="n">
        <v>5</v>
      </c>
      <c r="Y10" s="0" t="n">
        <v>5</v>
      </c>
      <c r="Z10" s="0" t="inlineStr">
        <is>
          <t>https://new.land.naver.com/complexes/107242?tab=detail&amp;rf=Y</t>
        </is>
      </c>
      <c r="AA10" s="0" t="inlineStr">
        <is>
          <t>경기도 하남시 감북동 493</t>
        </is>
      </c>
      <c r="AB10" s="0" t="inlineStr">
        <is>
          <t>경기도</t>
        </is>
      </c>
      <c r="AC10" s="0" t="inlineStr">
        <is>
          <t>하남시</t>
        </is>
      </c>
      <c r="AD10" s="0" t="inlineStr">
        <is>
          <t>감북동</t>
        </is>
      </c>
      <c r="AG10" s="0" t="inlineStr">
        <is>
          <t>경기도 하남시 감북로51번길 9</t>
        </is>
      </c>
      <c r="AH10" s="0" t="n">
        <v>0</v>
      </c>
      <c r="AI10" s="0" t="n">
        <v>135</v>
      </c>
      <c r="AJ10" s="0" t="n">
        <v>41</v>
      </c>
      <c r="AK10" s="0" t="n">
        <v>36</v>
      </c>
      <c r="AL10" s="0" t="n">
        <v>1</v>
      </c>
    </row>
    <row r="11">
      <c r="A11" s="0" t="inlineStr">
        <is>
          <t>[감북동]</t>
        </is>
      </c>
      <c r="B11" s="0" t="n">
        <v>107242</v>
      </c>
      <c r="C11" s="0" t="n">
        <v>11</v>
      </c>
      <c r="D11" s="0" t="inlineStr">
        <is>
          <t>삼현팰리체</t>
        </is>
      </c>
      <c r="E11" s="0" t="inlineStr">
        <is>
          <t>2012.04.</t>
        </is>
      </c>
      <c r="F11" s="0" t="n">
        <v>36</v>
      </c>
      <c r="G11" s="0" t="n">
        <v>30.6</v>
      </c>
      <c r="H11" s="0" t="n">
        <v>101.19</v>
      </c>
      <c r="I11" s="0" t="n">
        <v>24.25</v>
      </c>
      <c r="J11" s="0" t="n">
        <v>80.19</v>
      </c>
      <c r="K11" s="0" t="n">
        <v>3</v>
      </c>
      <c r="T11" s="0" t="n">
        <v>3</v>
      </c>
      <c r="U11" s="0" t="n">
        <v>2</v>
      </c>
      <c r="V11" s="0" t="inlineStr">
        <is>
          <t>복도식</t>
        </is>
      </c>
      <c r="W11" s="0" t="n">
        <v>101</v>
      </c>
      <c r="X11" s="0" t="n">
        <v>5</v>
      </c>
      <c r="Y11" s="0" t="n">
        <v>5</v>
      </c>
      <c r="Z11" s="0" t="inlineStr">
        <is>
          <t>https://new.land.naver.com/complexes/107242?tab=detail&amp;rf=Y</t>
        </is>
      </c>
      <c r="AA11" s="0" t="inlineStr">
        <is>
          <t>경기도 하남시 감북동 493</t>
        </is>
      </c>
      <c r="AB11" s="0" t="inlineStr">
        <is>
          <t>경기도</t>
        </is>
      </c>
      <c r="AC11" s="0" t="inlineStr">
        <is>
          <t>하남시</t>
        </is>
      </c>
      <c r="AD11" s="0" t="inlineStr">
        <is>
          <t>감북동</t>
        </is>
      </c>
      <c r="AG11" s="0" t="inlineStr">
        <is>
          <t>경기도 하남시 감북로51번길 9</t>
        </is>
      </c>
      <c r="AH11" s="0" t="n">
        <v>0</v>
      </c>
      <c r="AI11" s="0" t="n">
        <v>135</v>
      </c>
      <c r="AJ11" s="0" t="n">
        <v>41</v>
      </c>
      <c r="AK11" s="0" t="n">
        <v>36</v>
      </c>
      <c r="AL11" s="0" t="n">
        <v>1</v>
      </c>
    </row>
    <row r="12">
      <c r="A12" s="0" t="inlineStr">
        <is>
          <t>[감이동]</t>
        </is>
      </c>
      <c r="B12" s="0" t="n">
        <v>115551</v>
      </c>
      <c r="C12" s="0" t="n">
        <v>1</v>
      </c>
      <c r="D12" s="0" t="inlineStr">
        <is>
          <t>감일한라비발디</t>
        </is>
      </c>
      <c r="E12" s="0" t="inlineStr">
        <is>
          <t>2019.06.</t>
        </is>
      </c>
      <c r="F12" s="0" t="n">
        <v>934</v>
      </c>
      <c r="G12" s="0" t="n">
        <v>30.72</v>
      </c>
      <c r="H12" s="0" t="n">
        <v>101.56</v>
      </c>
      <c r="I12" s="0" t="n">
        <v>22.66</v>
      </c>
      <c r="J12" s="0" t="n">
        <v>74.91</v>
      </c>
      <c r="K12" s="0" t="n">
        <v>169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101A</t>
        </is>
      </c>
      <c r="X12" s="0" t="n">
        <v>29</v>
      </c>
      <c r="Y12" s="0" t="n">
        <v>17</v>
      </c>
      <c r="Z12" s="0" t="inlineStr">
        <is>
          <t>https://new.land.naver.com/complexes/115551?tab=detail&amp;rf=Y</t>
        </is>
      </c>
      <c r="AA12" s="0" t="inlineStr">
        <is>
          <t>경기도 하남시 감이동 530</t>
        </is>
      </c>
      <c r="AB12" s="0" t="inlineStr">
        <is>
          <t>경기도</t>
        </is>
      </c>
      <c r="AC12" s="0" t="inlineStr">
        <is>
          <t>하남시</t>
        </is>
      </c>
      <c r="AD12" s="0" t="inlineStr">
        <is>
          <t>감이동</t>
        </is>
      </c>
      <c r="AG12" s="0" t="inlineStr">
        <is>
          <t>경기도 하남시 감일백제로 65</t>
        </is>
      </c>
      <c r="AH12" s="0" t="n">
        <v>0</v>
      </c>
      <c r="AI12" s="0" t="n">
        <v>219</v>
      </c>
      <c r="AJ12" s="0" t="n">
        <v>15</v>
      </c>
      <c r="AK12" s="0" t="n">
        <v>1136</v>
      </c>
      <c r="AL12" s="0" t="n">
        <v>1.22</v>
      </c>
    </row>
    <row r="13">
      <c r="A13" s="0" t="inlineStr">
        <is>
          <t>[감이동]</t>
        </is>
      </c>
      <c r="B13" s="0" t="n">
        <v>115551</v>
      </c>
      <c r="C13" s="0" t="n">
        <v>2</v>
      </c>
      <c r="D13" s="0" t="inlineStr">
        <is>
          <t>감일한라비발디</t>
        </is>
      </c>
      <c r="E13" s="0" t="inlineStr">
        <is>
          <t>2019.06.</t>
        </is>
      </c>
      <c r="F13" s="0" t="n">
        <v>934</v>
      </c>
      <c r="G13" s="0" t="n">
        <v>34.8</v>
      </c>
      <c r="H13" s="0" t="n">
        <v>115.07</v>
      </c>
      <c r="I13" s="0" t="n">
        <v>25.67</v>
      </c>
      <c r="J13" s="0" t="n">
        <v>84.87</v>
      </c>
      <c r="K13" s="0" t="n">
        <v>592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115A</t>
        </is>
      </c>
      <c r="X13" s="0" t="n">
        <v>29</v>
      </c>
      <c r="Y13" s="0" t="n">
        <v>17</v>
      </c>
      <c r="Z13" s="0" t="inlineStr">
        <is>
          <t>https://new.land.naver.com/complexes/115551?tab=detail&amp;rf=Y</t>
        </is>
      </c>
      <c r="AA13" s="0" t="inlineStr">
        <is>
          <t>경기도 하남시 감이동 530</t>
        </is>
      </c>
      <c r="AB13" s="0" t="inlineStr">
        <is>
          <t>경기도</t>
        </is>
      </c>
      <c r="AC13" s="0" t="inlineStr">
        <is>
          <t>하남시</t>
        </is>
      </c>
      <c r="AD13" s="0" t="inlineStr">
        <is>
          <t>감이동</t>
        </is>
      </c>
      <c r="AG13" s="0" t="inlineStr">
        <is>
          <t>경기도 하남시 감일백제로 65</t>
        </is>
      </c>
      <c r="AH13" s="0" t="n">
        <v>0</v>
      </c>
      <c r="AI13" s="0" t="n">
        <v>219</v>
      </c>
      <c r="AJ13" s="0" t="n">
        <v>15</v>
      </c>
      <c r="AK13" s="0" t="n">
        <v>1136</v>
      </c>
      <c r="AL13" s="0" t="n">
        <v>1.22</v>
      </c>
    </row>
    <row r="14">
      <c r="A14" s="0" t="inlineStr">
        <is>
          <t>[감이동]</t>
        </is>
      </c>
      <c r="B14" s="0" t="n">
        <v>115551</v>
      </c>
      <c r="C14" s="0" t="n">
        <v>3</v>
      </c>
      <c r="D14" s="0" t="inlineStr">
        <is>
          <t>감일한라비발디</t>
        </is>
      </c>
      <c r="E14" s="0" t="inlineStr">
        <is>
          <t>2019.06.</t>
        </is>
      </c>
      <c r="F14" s="0" t="n">
        <v>934</v>
      </c>
      <c r="G14" s="0" t="n">
        <v>34.82</v>
      </c>
      <c r="H14" s="0" t="n">
        <v>115.14</v>
      </c>
      <c r="I14" s="0" t="n">
        <v>25.68</v>
      </c>
      <c r="J14" s="0" t="n">
        <v>84.92</v>
      </c>
      <c r="K14" s="0" t="n">
        <v>173</v>
      </c>
      <c r="T14" s="0" t="n">
        <v>4</v>
      </c>
      <c r="U14" s="0" t="n">
        <v>2</v>
      </c>
      <c r="V14" s="0" t="inlineStr">
        <is>
          <t>계단식</t>
        </is>
      </c>
      <c r="W14" s="0" t="inlineStr">
        <is>
          <t>115B</t>
        </is>
      </c>
      <c r="X14" s="0" t="n">
        <v>29</v>
      </c>
      <c r="Y14" s="0" t="n">
        <v>17</v>
      </c>
      <c r="Z14" s="0" t="inlineStr">
        <is>
          <t>https://new.land.naver.com/complexes/115551?tab=detail&amp;rf=Y</t>
        </is>
      </c>
      <c r="AA14" s="0" t="inlineStr">
        <is>
          <t>경기도 하남시 감이동 530</t>
        </is>
      </c>
      <c r="AB14" s="0" t="inlineStr">
        <is>
          <t>경기도</t>
        </is>
      </c>
      <c r="AC14" s="0" t="inlineStr">
        <is>
          <t>하남시</t>
        </is>
      </c>
      <c r="AD14" s="0" t="inlineStr">
        <is>
          <t>감이동</t>
        </is>
      </c>
      <c r="AG14" s="0" t="inlineStr">
        <is>
          <t>경기도 하남시 감일백제로 65</t>
        </is>
      </c>
      <c r="AH14" s="0" t="n">
        <v>0</v>
      </c>
      <c r="AI14" s="0" t="n">
        <v>219</v>
      </c>
      <c r="AJ14" s="0" t="n">
        <v>15</v>
      </c>
      <c r="AK14" s="0" t="n">
        <v>1136</v>
      </c>
      <c r="AL14" s="0" t="n">
        <v>1.22</v>
      </c>
    </row>
    <row r="15">
      <c r="A15" s="0" t="inlineStr">
        <is>
          <t>[감이동]</t>
        </is>
      </c>
      <c r="B15" s="0" t="n">
        <v>137231</v>
      </c>
      <c r="C15" s="0" t="n">
        <v>1</v>
      </c>
      <c r="D15" s="0" t="inlineStr">
        <is>
          <t>감일역트루엘(도시형)</t>
        </is>
      </c>
      <c r="E15" s="0" t="inlineStr">
        <is>
          <t>2022.04.</t>
        </is>
      </c>
      <c r="F15" s="0" t="n">
        <v>137</v>
      </c>
      <c r="G15" s="0" t="n">
        <v>11.52</v>
      </c>
      <c r="H15" s="0" t="n">
        <v>38.11</v>
      </c>
      <c r="I15" s="0" t="n">
        <v>6.68</v>
      </c>
      <c r="J15" s="0" t="n">
        <v>22.09</v>
      </c>
      <c r="K15" s="0" t="n">
        <v>76</v>
      </c>
      <c r="T15" s="0" t="n">
        <v>1</v>
      </c>
      <c r="U15" s="0" t="n">
        <v>1</v>
      </c>
      <c r="V15" s="0" t="inlineStr">
        <is>
          <t>복도식</t>
        </is>
      </c>
      <c r="W15" s="0" t="n">
        <v>38</v>
      </c>
      <c r="X15" s="0" t="n">
        <v>10</v>
      </c>
      <c r="Y15" s="0" t="n">
        <v>10</v>
      </c>
      <c r="Z15" s="0" t="inlineStr">
        <is>
          <t>https://new.land.naver.com/complexes/137231?tab=detail&amp;rf=Y</t>
        </is>
      </c>
      <c r="AA15" s="0" t="inlineStr">
        <is>
          <t>경기도 하남시 감이동 2001-1</t>
        </is>
      </c>
      <c r="AB15" s="0" t="inlineStr">
        <is>
          <t>경기도</t>
        </is>
      </c>
      <c r="AC15" s="0" t="inlineStr">
        <is>
          <t>하남시</t>
        </is>
      </c>
      <c r="AD15" s="0" t="inlineStr">
        <is>
          <t>감이동</t>
        </is>
      </c>
      <c r="AG15" s="0" t="inlineStr">
        <is>
          <t>경기도 하남시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[감이동]</t>
        </is>
      </c>
      <c r="B16" s="0" t="n">
        <v>137231</v>
      </c>
      <c r="C16" s="0" t="n">
        <v>2</v>
      </c>
      <c r="D16" s="0" t="inlineStr">
        <is>
          <t>감일역트루엘(도시형)</t>
        </is>
      </c>
      <c r="E16" s="0" t="inlineStr">
        <is>
          <t>2022.04.</t>
        </is>
      </c>
      <c r="F16" s="0" t="n">
        <v>137</v>
      </c>
      <c r="G16" s="0" t="n">
        <v>15.65</v>
      </c>
      <c r="H16" s="0" t="n">
        <v>51.74</v>
      </c>
      <c r="I16" s="0" t="n">
        <v>9.07</v>
      </c>
      <c r="J16" s="0" t="n">
        <v>30</v>
      </c>
      <c r="K16" s="0" t="n">
        <v>61</v>
      </c>
      <c r="T16" s="0" t="n">
        <v>2</v>
      </c>
      <c r="U16" s="0" t="n">
        <v>1</v>
      </c>
      <c r="V16" s="0" t="inlineStr">
        <is>
          <t>복도식</t>
        </is>
      </c>
      <c r="W16" s="0" t="n">
        <v>51</v>
      </c>
      <c r="X16" s="0" t="n">
        <v>10</v>
      </c>
      <c r="Y16" s="0" t="n">
        <v>10</v>
      </c>
      <c r="Z16" s="0" t="inlineStr">
        <is>
          <t>https://new.land.naver.com/complexes/137231?tab=detail&amp;rf=Y</t>
        </is>
      </c>
      <c r="AA16" s="0" t="inlineStr">
        <is>
          <t>경기도 하남시 감이동 2001-1</t>
        </is>
      </c>
      <c r="AB16" s="0" t="inlineStr">
        <is>
          <t>경기도</t>
        </is>
      </c>
      <c r="AC16" s="0" t="inlineStr">
        <is>
          <t>하남시</t>
        </is>
      </c>
      <c r="AD16" s="0" t="inlineStr">
        <is>
          <t>감이동</t>
        </is>
      </c>
      <c r="AG16" s="0" t="inlineStr">
        <is>
          <t>경기도 하남시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[감이동]</t>
        </is>
      </c>
      <c r="B17" s="0" t="n">
        <v>122024</v>
      </c>
      <c r="C17" s="0" t="n">
        <v>1</v>
      </c>
      <c r="D17" s="0" t="inlineStr">
        <is>
          <t>더샵포웰시티</t>
        </is>
      </c>
      <c r="E17" s="0" t="inlineStr">
        <is>
          <t>2021.01.</t>
        </is>
      </c>
      <c r="F17" s="0" t="n">
        <v>881</v>
      </c>
      <c r="G17" s="0" t="n">
        <v>35.23</v>
      </c>
      <c r="H17" s="0" t="n">
        <v>116.47</v>
      </c>
      <c r="I17" s="0" t="n">
        <v>27.47</v>
      </c>
      <c r="J17" s="0" t="n">
        <v>90.81</v>
      </c>
      <c r="K17" s="0" t="n">
        <v>450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116A</t>
        </is>
      </c>
      <c r="X17" s="0" t="n">
        <v>29</v>
      </c>
      <c r="Y17" s="0" t="n">
        <v>15</v>
      </c>
      <c r="Z17" s="0" t="inlineStr">
        <is>
          <t>https://new.land.naver.com/complexes/122024?tab=detail&amp;rf=Y</t>
        </is>
      </c>
      <c r="AA17" s="0" t="inlineStr">
        <is>
          <t>경기도 하남시 감이동 491</t>
        </is>
      </c>
      <c r="AB17" s="0" t="inlineStr">
        <is>
          <t>경기도</t>
        </is>
      </c>
      <c r="AC17" s="0" t="inlineStr">
        <is>
          <t>하남시</t>
        </is>
      </c>
      <c r="AD17" s="0" t="inlineStr">
        <is>
          <t>감이동</t>
        </is>
      </c>
      <c r="AG17" s="0" t="inlineStr">
        <is>
          <t>경기도 하남시 감일백제로 70</t>
        </is>
      </c>
      <c r="AH17" s="0" t="n">
        <v>0</v>
      </c>
      <c r="AI17" s="0" t="n">
        <v>217</v>
      </c>
      <c r="AJ17" s="0" t="n">
        <v>14</v>
      </c>
      <c r="AK17" s="0" t="n">
        <v>1366</v>
      </c>
      <c r="AL17" s="0" t="n">
        <v>1.55</v>
      </c>
    </row>
    <row r="18">
      <c r="A18" s="0" t="inlineStr">
        <is>
          <t>[감이동]</t>
        </is>
      </c>
      <c r="B18" s="0" t="n">
        <v>122024</v>
      </c>
      <c r="C18" s="0" t="n">
        <v>2</v>
      </c>
      <c r="D18" s="0" t="inlineStr">
        <is>
          <t>더샵포웰시티</t>
        </is>
      </c>
      <c r="E18" s="0" t="inlineStr">
        <is>
          <t>2021.01.</t>
        </is>
      </c>
      <c r="F18" s="0" t="n">
        <v>881</v>
      </c>
      <c r="G18" s="0" t="n">
        <v>38.63</v>
      </c>
      <c r="H18" s="0" t="n">
        <v>127.73</v>
      </c>
      <c r="I18" s="0" t="n">
        <v>30.14</v>
      </c>
      <c r="J18" s="0" t="n">
        <v>99.64</v>
      </c>
      <c r="K18" s="0" t="n">
        <v>332</v>
      </c>
      <c r="T18" s="0" t="n">
        <v>4</v>
      </c>
      <c r="U18" s="0" t="n">
        <v>2</v>
      </c>
      <c r="V18" s="0" t="inlineStr">
        <is>
          <t>계단식</t>
        </is>
      </c>
      <c r="W18" s="0" t="inlineStr">
        <is>
          <t>127A</t>
        </is>
      </c>
      <c r="X18" s="0" t="n">
        <v>29</v>
      </c>
      <c r="Y18" s="0" t="n">
        <v>15</v>
      </c>
      <c r="Z18" s="0" t="inlineStr">
        <is>
          <t>https://new.land.naver.com/complexes/122024?tab=detail&amp;rf=Y</t>
        </is>
      </c>
      <c r="AA18" s="0" t="inlineStr">
        <is>
          <t>경기도 하남시 감이동 491</t>
        </is>
      </c>
      <c r="AB18" s="0" t="inlineStr">
        <is>
          <t>경기도</t>
        </is>
      </c>
      <c r="AC18" s="0" t="inlineStr">
        <is>
          <t>하남시</t>
        </is>
      </c>
      <c r="AD18" s="0" t="inlineStr">
        <is>
          <t>감이동</t>
        </is>
      </c>
      <c r="AG18" s="0" t="inlineStr">
        <is>
          <t>경기도 하남시 감일백제로 70</t>
        </is>
      </c>
      <c r="AH18" s="0" t="n">
        <v>0</v>
      </c>
      <c r="AI18" s="0" t="n">
        <v>217</v>
      </c>
      <c r="AJ18" s="0" t="n">
        <v>14</v>
      </c>
      <c r="AK18" s="0" t="n">
        <v>1366</v>
      </c>
      <c r="AL18" s="0" t="n">
        <v>1.55</v>
      </c>
    </row>
    <row r="19">
      <c r="A19" s="0" t="inlineStr">
        <is>
          <t>[감이동]</t>
        </is>
      </c>
      <c r="B19" s="0" t="n">
        <v>122024</v>
      </c>
      <c r="C19" s="0" t="n">
        <v>3</v>
      </c>
      <c r="D19" s="0" t="inlineStr">
        <is>
          <t>더샵포웰시티</t>
        </is>
      </c>
      <c r="E19" s="0" t="inlineStr">
        <is>
          <t>2021.01.</t>
        </is>
      </c>
      <c r="F19" s="0" t="n">
        <v>881</v>
      </c>
      <c r="G19" s="0" t="n">
        <v>38.72</v>
      </c>
      <c r="H19" s="0" t="n">
        <v>128.02</v>
      </c>
      <c r="I19" s="0" t="n">
        <v>30.07</v>
      </c>
      <c r="J19" s="0" t="n">
        <v>99.43000000000001</v>
      </c>
      <c r="K19" s="0" t="n">
        <v>84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128B</t>
        </is>
      </c>
      <c r="X19" s="0" t="n">
        <v>29</v>
      </c>
      <c r="Y19" s="0" t="n">
        <v>15</v>
      </c>
      <c r="Z19" s="0" t="inlineStr">
        <is>
          <t>https://new.land.naver.com/complexes/122024?tab=detail&amp;rf=Y</t>
        </is>
      </c>
      <c r="AA19" s="0" t="inlineStr">
        <is>
          <t>경기도 하남시 감이동 491</t>
        </is>
      </c>
      <c r="AB19" s="0" t="inlineStr">
        <is>
          <t>경기도</t>
        </is>
      </c>
      <c r="AC19" s="0" t="inlineStr">
        <is>
          <t>하남시</t>
        </is>
      </c>
      <c r="AD19" s="0" t="inlineStr">
        <is>
          <t>감이동</t>
        </is>
      </c>
      <c r="AG19" s="0" t="inlineStr">
        <is>
          <t>경기도 하남시 감일백제로 70</t>
        </is>
      </c>
      <c r="AH19" s="0" t="n">
        <v>0</v>
      </c>
      <c r="AI19" s="0" t="n">
        <v>217</v>
      </c>
      <c r="AJ19" s="0" t="n">
        <v>14</v>
      </c>
      <c r="AK19" s="0" t="n">
        <v>1366</v>
      </c>
      <c r="AL19" s="0" t="n">
        <v>1.55</v>
      </c>
    </row>
    <row r="20">
      <c r="A20" s="0" t="inlineStr">
        <is>
          <t>[감이동]</t>
        </is>
      </c>
      <c r="B20" s="0" t="n">
        <v>122024</v>
      </c>
      <c r="C20" s="0" t="n">
        <v>4</v>
      </c>
      <c r="D20" s="0" t="inlineStr">
        <is>
          <t>더샵포웰시티</t>
        </is>
      </c>
      <c r="E20" s="0" t="inlineStr">
        <is>
          <t>2021.01.</t>
        </is>
      </c>
      <c r="F20" s="0" t="n">
        <v>881</v>
      </c>
      <c r="G20" s="0" t="n">
        <v>49.23</v>
      </c>
      <c r="H20" s="0" t="n">
        <v>162.77</v>
      </c>
      <c r="I20" s="0" t="n">
        <v>38.07</v>
      </c>
      <c r="J20" s="0" t="n">
        <v>125.88</v>
      </c>
      <c r="K20" s="0" t="n">
        <v>7</v>
      </c>
      <c r="T20" s="0" t="n">
        <v>4</v>
      </c>
      <c r="U20" s="0" t="n">
        <v>3</v>
      </c>
      <c r="V20" s="0" t="inlineStr">
        <is>
          <t>계단식</t>
        </is>
      </c>
      <c r="W20" s="0" t="n">
        <v>162</v>
      </c>
      <c r="X20" s="0" t="n">
        <v>29</v>
      </c>
      <c r="Y20" s="0" t="n">
        <v>15</v>
      </c>
      <c r="Z20" s="0" t="inlineStr">
        <is>
          <t>https://new.land.naver.com/complexes/122024?tab=detail&amp;rf=Y</t>
        </is>
      </c>
      <c r="AA20" s="0" t="inlineStr">
        <is>
          <t>경기도 하남시 감이동 491</t>
        </is>
      </c>
      <c r="AB20" s="0" t="inlineStr">
        <is>
          <t>경기도</t>
        </is>
      </c>
      <c r="AC20" s="0" t="inlineStr">
        <is>
          <t>하남시</t>
        </is>
      </c>
      <c r="AD20" s="0" t="inlineStr">
        <is>
          <t>감이동</t>
        </is>
      </c>
      <c r="AG20" s="0" t="inlineStr">
        <is>
          <t>경기도 하남시 감일백제로 70</t>
        </is>
      </c>
      <c r="AH20" s="0" t="n">
        <v>0</v>
      </c>
      <c r="AI20" s="0" t="n">
        <v>217</v>
      </c>
      <c r="AJ20" s="0" t="n">
        <v>14</v>
      </c>
      <c r="AK20" s="0" t="n">
        <v>1366</v>
      </c>
      <c r="AL20" s="0" t="n">
        <v>1.55</v>
      </c>
    </row>
    <row r="21">
      <c r="A21" s="0" t="inlineStr">
        <is>
          <t>[감이동]</t>
        </is>
      </c>
      <c r="B21" s="0" t="n">
        <v>122024</v>
      </c>
      <c r="C21" s="0" t="n">
        <v>5</v>
      </c>
      <c r="D21" s="0" t="inlineStr">
        <is>
          <t>더샵포웰시티</t>
        </is>
      </c>
      <c r="E21" s="0" t="inlineStr">
        <is>
          <t>2021.01.</t>
        </is>
      </c>
      <c r="F21" s="0" t="n">
        <v>881</v>
      </c>
      <c r="G21" s="0" t="n">
        <v>60.48</v>
      </c>
      <c r="H21" s="0" t="n">
        <v>199.96</v>
      </c>
      <c r="I21" s="0" t="n">
        <v>46.13</v>
      </c>
      <c r="J21" s="0" t="n">
        <v>152.51</v>
      </c>
      <c r="K21" s="0" t="n">
        <v>8</v>
      </c>
      <c r="T21" s="0" t="n">
        <v>4</v>
      </c>
      <c r="U21" s="0" t="n">
        <v>3</v>
      </c>
      <c r="V21" s="0" t="inlineStr">
        <is>
          <t>계단식</t>
        </is>
      </c>
      <c r="W21" s="0" t="n">
        <v>199</v>
      </c>
      <c r="X21" s="0" t="n">
        <v>29</v>
      </c>
      <c r="Y21" s="0" t="n">
        <v>15</v>
      </c>
      <c r="Z21" s="0" t="inlineStr">
        <is>
          <t>https://new.land.naver.com/complexes/122024?tab=detail&amp;rf=Y</t>
        </is>
      </c>
      <c r="AA21" s="0" t="inlineStr">
        <is>
          <t>경기도 하남시 감이동 491</t>
        </is>
      </c>
      <c r="AB21" s="0" t="inlineStr">
        <is>
          <t>경기도</t>
        </is>
      </c>
      <c r="AC21" s="0" t="inlineStr">
        <is>
          <t>하남시</t>
        </is>
      </c>
      <c r="AD21" s="0" t="inlineStr">
        <is>
          <t>감이동</t>
        </is>
      </c>
      <c r="AG21" s="0" t="inlineStr">
        <is>
          <t>경기도 하남시 감일백제로 70</t>
        </is>
      </c>
      <c r="AH21" s="0" t="n">
        <v>0</v>
      </c>
      <c r="AI21" s="0" t="n">
        <v>217</v>
      </c>
      <c r="AJ21" s="0" t="n">
        <v>14</v>
      </c>
      <c r="AK21" s="0" t="n">
        <v>1366</v>
      </c>
      <c r="AL21" s="0" t="n">
        <v>1.55</v>
      </c>
    </row>
    <row r="22">
      <c r="A22" s="0" t="inlineStr">
        <is>
          <t>[감이동]</t>
        </is>
      </c>
      <c r="B22" s="0" t="n">
        <v>131899</v>
      </c>
      <c r="C22" s="0" t="n">
        <v>1</v>
      </c>
      <c r="D22" s="0" t="inlineStr">
        <is>
          <t>하남감일한양수자인</t>
        </is>
      </c>
      <c r="E22" s="0" t="inlineStr">
        <is>
          <t>2022.09.</t>
        </is>
      </c>
      <c r="F22" s="0" t="n">
        <v>512</v>
      </c>
      <c r="G22" s="0" t="n">
        <v>34.12</v>
      </c>
      <c r="H22" s="0" t="n">
        <v>112.82</v>
      </c>
      <c r="I22" s="0" t="n">
        <v>25.6</v>
      </c>
      <c r="J22" s="0" t="n">
        <v>84.64</v>
      </c>
      <c r="K22" s="0" t="n">
        <v>512</v>
      </c>
      <c r="T22" s="0" t="n">
        <v>3</v>
      </c>
      <c r="U22" s="0" t="n">
        <v>2</v>
      </c>
      <c r="V22" s="0" t="inlineStr">
        <is>
          <t>계단식</t>
        </is>
      </c>
      <c r="W22" s="0" t="n">
        <v>112</v>
      </c>
      <c r="X22" s="0" t="n">
        <v>29</v>
      </c>
      <c r="Y22" s="0" t="n">
        <v>20</v>
      </c>
      <c r="Z22" s="0" t="inlineStr">
        <is>
          <t>https://new.land.naver.com/complexes/131899?tab=detail&amp;rf=Y</t>
        </is>
      </c>
      <c r="AA22" s="0" t="inlineStr">
        <is>
          <t>경기도 하남시 감이동 하남감일지구 B2BL</t>
        </is>
      </c>
      <c r="AB22" s="0" t="inlineStr">
        <is>
          <t>경기도</t>
        </is>
      </c>
      <c r="AC22" s="0" t="inlineStr">
        <is>
          <t>하남시</t>
        </is>
      </c>
      <c r="AD22" s="0" t="inlineStr">
        <is>
          <t>감이동</t>
        </is>
      </c>
      <c r="AG22" s="0" t="inlineStr">
        <is>
          <t>경기도 하남시</t>
        </is>
      </c>
      <c r="AH22" s="0" t="n">
        <v>0</v>
      </c>
      <c r="AI22" s="0" t="n">
        <v>199</v>
      </c>
      <c r="AJ22" s="0" t="n">
        <v>15</v>
      </c>
      <c r="AK22" s="0" t="n">
        <v>731</v>
      </c>
      <c r="AL22" s="0" t="n">
        <v>1.43</v>
      </c>
    </row>
    <row r="23">
      <c r="A23" s="0" t="inlineStr">
        <is>
          <t>[감이동]</t>
        </is>
      </c>
      <c r="B23" s="0" t="n">
        <v>136748</v>
      </c>
      <c r="C23" s="0" t="n">
        <v>1</v>
      </c>
      <c r="D23" s="0" t="inlineStr">
        <is>
          <t>감일푸르지오마크베르</t>
        </is>
      </c>
      <c r="E23" s="0" t="inlineStr">
        <is>
          <t>2023.06.</t>
        </is>
      </c>
      <c r="F23" s="0" t="n">
        <v>496</v>
      </c>
      <c r="G23" s="0" t="n">
        <v>33.19</v>
      </c>
      <c r="H23" s="0" t="n">
        <v>109.72</v>
      </c>
      <c r="I23" s="0" t="n">
        <v>25.67</v>
      </c>
      <c r="J23" s="0" t="n">
        <v>84.89</v>
      </c>
      <c r="K23" s="0" t="n">
        <v>203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109B</t>
        </is>
      </c>
      <c r="X23" s="0" t="n">
        <v>29</v>
      </c>
      <c r="Y23" s="0" t="n">
        <v>26</v>
      </c>
      <c r="Z23" s="0" t="inlineStr">
        <is>
          <t>https://new.land.naver.com/complexes/136748?tab=detail&amp;rf=Y</t>
        </is>
      </c>
      <c r="AA23" s="0" t="inlineStr">
        <is>
          <t>경기도 하남시 감이동 감일지구 내 주상복합용지(주상1)</t>
        </is>
      </c>
      <c r="AB23" s="0" t="inlineStr">
        <is>
          <t>경기도</t>
        </is>
      </c>
      <c r="AC23" s="0" t="inlineStr">
        <is>
          <t>하남시</t>
        </is>
      </c>
      <c r="AD23" s="0" t="inlineStr">
        <is>
          <t>감이동</t>
        </is>
      </c>
      <c r="AG23" s="0" t="inlineStr">
        <is>
          <t>경기도 하남시</t>
        </is>
      </c>
      <c r="AH23" s="0" t="n">
        <v>0</v>
      </c>
      <c r="AI23" s="0" t="n">
        <v>0</v>
      </c>
      <c r="AJ23" s="0" t="n">
        <v>0</v>
      </c>
      <c r="AK23" s="0" t="n">
        <v>759</v>
      </c>
      <c r="AL23" s="0" t="n">
        <v>1.53</v>
      </c>
    </row>
    <row r="24">
      <c r="A24" s="0" t="inlineStr">
        <is>
          <t>[감이동]</t>
        </is>
      </c>
      <c r="B24" s="0" t="n">
        <v>136748</v>
      </c>
      <c r="C24" s="0" t="n">
        <v>2</v>
      </c>
      <c r="D24" s="0" t="inlineStr">
        <is>
          <t>감일푸르지오마크베르</t>
        </is>
      </c>
      <c r="E24" s="0" t="inlineStr">
        <is>
          <t>2023.06.</t>
        </is>
      </c>
      <c r="F24" s="0" t="n">
        <v>496</v>
      </c>
      <c r="G24" s="0" t="n">
        <v>33.24</v>
      </c>
      <c r="H24" s="0" t="n">
        <v>109.91</v>
      </c>
      <c r="I24" s="0" t="n">
        <v>25.67</v>
      </c>
      <c r="J24" s="0" t="n">
        <v>84.89</v>
      </c>
      <c r="K24" s="0" t="n">
        <v>127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29</v>
      </c>
      <c r="Y24" s="0" t="n">
        <v>26</v>
      </c>
      <c r="Z24" s="0" t="inlineStr">
        <is>
          <t>https://new.land.naver.com/complexes/136748?tab=detail&amp;rf=Y</t>
        </is>
      </c>
      <c r="AA24" s="0" t="inlineStr">
        <is>
          <t>경기도 하남시 감이동 감일지구 내 주상복합용지(주상1)</t>
        </is>
      </c>
      <c r="AB24" s="0" t="inlineStr">
        <is>
          <t>경기도</t>
        </is>
      </c>
      <c r="AC24" s="0" t="inlineStr">
        <is>
          <t>하남시</t>
        </is>
      </c>
      <c r="AD24" s="0" t="inlineStr">
        <is>
          <t>감이동</t>
        </is>
      </c>
      <c r="AG24" s="0" t="inlineStr">
        <is>
          <t>경기도 하남시</t>
        </is>
      </c>
      <c r="AH24" s="0" t="n">
        <v>0</v>
      </c>
      <c r="AI24" s="0" t="n">
        <v>0</v>
      </c>
      <c r="AJ24" s="0" t="n">
        <v>0</v>
      </c>
      <c r="AK24" s="0" t="n">
        <v>759</v>
      </c>
      <c r="AL24" s="0" t="n">
        <v>1.53</v>
      </c>
    </row>
    <row r="25">
      <c r="A25" s="0" t="inlineStr">
        <is>
          <t>[감이동]</t>
        </is>
      </c>
      <c r="B25" s="0" t="n">
        <v>136748</v>
      </c>
      <c r="C25" s="0" t="n">
        <v>3</v>
      </c>
      <c r="D25" s="0" t="inlineStr">
        <is>
          <t>감일푸르지오마크베르</t>
        </is>
      </c>
      <c r="E25" s="0" t="inlineStr">
        <is>
          <t>2023.06.</t>
        </is>
      </c>
      <c r="F25" s="0" t="n">
        <v>496</v>
      </c>
      <c r="G25" s="0" t="n">
        <v>44.34</v>
      </c>
      <c r="H25" s="0" t="n">
        <v>146.6</v>
      </c>
      <c r="I25" s="0" t="n">
        <v>34.76</v>
      </c>
      <c r="J25" s="0" t="n">
        <v>114.92</v>
      </c>
      <c r="K25" s="0" t="n">
        <v>115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146A</t>
        </is>
      </c>
      <c r="X25" s="0" t="n">
        <v>29</v>
      </c>
      <c r="Y25" s="0" t="n">
        <v>26</v>
      </c>
      <c r="Z25" s="0" t="inlineStr">
        <is>
          <t>https://new.land.naver.com/complexes/136748?tab=detail&amp;rf=Y</t>
        </is>
      </c>
      <c r="AA25" s="0" t="inlineStr">
        <is>
          <t>경기도 하남시 감이동 감일지구 내 주상복합용지(주상1)</t>
        </is>
      </c>
      <c r="AB25" s="0" t="inlineStr">
        <is>
          <t>경기도</t>
        </is>
      </c>
      <c r="AC25" s="0" t="inlineStr">
        <is>
          <t>하남시</t>
        </is>
      </c>
      <c r="AD25" s="0" t="inlineStr">
        <is>
          <t>감이동</t>
        </is>
      </c>
      <c r="AG25" s="0" t="inlineStr">
        <is>
          <t>경기도 하남시</t>
        </is>
      </c>
      <c r="AH25" s="0" t="n">
        <v>0</v>
      </c>
      <c r="AI25" s="0" t="n">
        <v>0</v>
      </c>
      <c r="AJ25" s="0" t="n">
        <v>0</v>
      </c>
      <c r="AK25" s="0" t="n">
        <v>759</v>
      </c>
      <c r="AL25" s="0" t="n">
        <v>1.53</v>
      </c>
    </row>
    <row r="26">
      <c r="A26" s="0" t="inlineStr">
        <is>
          <t>[감이동]</t>
        </is>
      </c>
      <c r="B26" s="0" t="n">
        <v>136748</v>
      </c>
      <c r="C26" s="0" t="n">
        <v>4</v>
      </c>
      <c r="D26" s="0" t="inlineStr">
        <is>
          <t>감일푸르지오마크베르</t>
        </is>
      </c>
      <c r="E26" s="0" t="inlineStr">
        <is>
          <t>2023.06.</t>
        </is>
      </c>
      <c r="F26" s="0" t="n">
        <v>496</v>
      </c>
      <c r="G26" s="0" t="n">
        <v>44.2</v>
      </c>
      <c r="H26" s="0" t="n">
        <v>146.12</v>
      </c>
      <c r="I26" s="0" t="n">
        <v>34.71</v>
      </c>
      <c r="J26" s="0" t="n">
        <v>114.76</v>
      </c>
      <c r="K26" s="0" t="n">
        <v>51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146B</t>
        </is>
      </c>
      <c r="X26" s="0" t="n">
        <v>29</v>
      </c>
      <c r="Y26" s="0" t="n">
        <v>26</v>
      </c>
      <c r="Z26" s="0" t="inlineStr">
        <is>
          <t>https://new.land.naver.com/complexes/136748?tab=detail&amp;rf=Y</t>
        </is>
      </c>
      <c r="AA26" s="0" t="inlineStr">
        <is>
          <t>경기도 하남시 감이동 감일지구 내 주상복합용지(주상1)</t>
        </is>
      </c>
      <c r="AB26" s="0" t="inlineStr">
        <is>
          <t>경기도</t>
        </is>
      </c>
      <c r="AC26" s="0" t="inlineStr">
        <is>
          <t>하남시</t>
        </is>
      </c>
      <c r="AD26" s="0" t="inlineStr">
        <is>
          <t>감이동</t>
        </is>
      </c>
      <c r="AG26" s="0" t="inlineStr">
        <is>
          <t>경기도 하남시</t>
        </is>
      </c>
      <c r="AH26" s="0" t="n">
        <v>0</v>
      </c>
      <c r="AI26" s="0" t="n">
        <v>0</v>
      </c>
      <c r="AJ26" s="0" t="n">
        <v>0</v>
      </c>
      <c r="AK26" s="0" t="n">
        <v>759</v>
      </c>
      <c r="AL26" s="0" t="n">
        <v>1.53</v>
      </c>
    </row>
    <row r="27">
      <c r="A27" s="0" t="inlineStr">
        <is>
          <t>[감이동]</t>
        </is>
      </c>
      <c r="B27" s="0" t="n">
        <v>122025</v>
      </c>
      <c r="C27" s="0" t="n">
        <v>1</v>
      </c>
      <c r="D27" s="0" t="inlineStr">
        <is>
          <t>포웰시티푸르지오라포레</t>
        </is>
      </c>
      <c r="E27" s="0" t="inlineStr">
        <is>
          <t>2021.02.</t>
        </is>
      </c>
      <c r="F27" s="0" t="n">
        <v>790</v>
      </c>
      <c r="G27" s="0" t="n">
        <v>35.16</v>
      </c>
      <c r="H27" s="0" t="n">
        <v>116.26</v>
      </c>
      <c r="I27" s="0" t="n">
        <v>27.47</v>
      </c>
      <c r="J27" s="0" t="n">
        <v>90.81</v>
      </c>
      <c r="K27" s="0" t="n">
        <v>86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116A</t>
        </is>
      </c>
      <c r="X27" s="0" t="n">
        <v>29</v>
      </c>
      <c r="Y27" s="0" t="n">
        <v>2</v>
      </c>
      <c r="Z27" s="0" t="inlineStr">
        <is>
          <t>https://new.land.naver.com/complexes/122025?tab=detail&amp;rf=Y</t>
        </is>
      </c>
      <c r="AA27" s="0" t="inlineStr">
        <is>
          <t>경기도 하남시 감이동 500</t>
        </is>
      </c>
      <c r="AB27" s="0" t="inlineStr">
        <is>
          <t>경기도</t>
        </is>
      </c>
      <c r="AC27" s="0" t="inlineStr">
        <is>
          <t>하남시</t>
        </is>
      </c>
      <c r="AD27" s="0" t="inlineStr">
        <is>
          <t>감이동</t>
        </is>
      </c>
      <c r="AG27" s="0" t="inlineStr">
        <is>
          <t>경기도 하남시 감일백제로 20</t>
        </is>
      </c>
      <c r="AH27" s="0" t="n">
        <v>0</v>
      </c>
      <c r="AI27" s="0" t="n">
        <v>219</v>
      </c>
      <c r="AJ27" s="0" t="n">
        <v>13</v>
      </c>
      <c r="AK27" s="0" t="n">
        <v>1225</v>
      </c>
      <c r="AL27" s="0" t="n">
        <v>1.55</v>
      </c>
    </row>
    <row r="28">
      <c r="A28" s="0" t="inlineStr">
        <is>
          <t>[감이동]</t>
        </is>
      </c>
      <c r="B28" s="0" t="n">
        <v>122025</v>
      </c>
      <c r="C28" s="0" t="n">
        <v>2</v>
      </c>
      <c r="D28" s="0" t="inlineStr">
        <is>
          <t>포웰시티푸르지오라포레</t>
        </is>
      </c>
      <c r="E28" s="0" t="inlineStr">
        <is>
          <t>2021.02.</t>
        </is>
      </c>
      <c r="F28" s="0" t="n">
        <v>790</v>
      </c>
      <c r="G28" s="0" t="n">
        <v>35.58</v>
      </c>
      <c r="H28" s="0" t="n">
        <v>117.65</v>
      </c>
      <c r="I28" s="0" t="n">
        <v>27.29</v>
      </c>
      <c r="J28" s="0" t="n">
        <v>90.23999999999999</v>
      </c>
      <c r="K28" s="0" t="n">
        <v>173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117B</t>
        </is>
      </c>
      <c r="X28" s="0" t="n">
        <v>29</v>
      </c>
      <c r="Y28" s="0" t="n">
        <v>2</v>
      </c>
      <c r="Z28" s="0" t="inlineStr">
        <is>
          <t>https://new.land.naver.com/complexes/122025?tab=detail&amp;rf=Y</t>
        </is>
      </c>
      <c r="AA28" s="0" t="inlineStr">
        <is>
          <t>경기도 하남시 감이동 500</t>
        </is>
      </c>
      <c r="AB28" s="0" t="inlineStr">
        <is>
          <t>경기도</t>
        </is>
      </c>
      <c r="AC28" s="0" t="inlineStr">
        <is>
          <t>하남시</t>
        </is>
      </c>
      <c r="AD28" s="0" t="inlineStr">
        <is>
          <t>감이동</t>
        </is>
      </c>
      <c r="AG28" s="0" t="inlineStr">
        <is>
          <t>경기도 하남시 감일백제로 20</t>
        </is>
      </c>
      <c r="AH28" s="0" t="n">
        <v>0</v>
      </c>
      <c r="AI28" s="0" t="n">
        <v>219</v>
      </c>
      <c r="AJ28" s="0" t="n">
        <v>13</v>
      </c>
      <c r="AK28" s="0" t="n">
        <v>1225</v>
      </c>
      <c r="AL28" s="0" t="n">
        <v>1.55</v>
      </c>
    </row>
    <row r="29">
      <c r="A29" s="0" t="inlineStr">
        <is>
          <t>[감이동]</t>
        </is>
      </c>
      <c r="B29" s="0" t="n">
        <v>122025</v>
      </c>
      <c r="C29" s="0" t="n">
        <v>3</v>
      </c>
      <c r="D29" s="0" t="inlineStr">
        <is>
          <t>포웰시티푸르지오라포레</t>
        </is>
      </c>
      <c r="E29" s="0" t="inlineStr">
        <is>
          <t>2021.02.</t>
        </is>
      </c>
      <c r="F29" s="0" t="n">
        <v>790</v>
      </c>
      <c r="G29" s="0" t="n">
        <v>35.91</v>
      </c>
      <c r="H29" s="0" t="n">
        <v>118.74</v>
      </c>
      <c r="I29" s="0" t="n">
        <v>27.4</v>
      </c>
      <c r="J29" s="0" t="n">
        <v>90.61</v>
      </c>
      <c r="K29" s="0" t="n">
        <v>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118T</t>
        </is>
      </c>
      <c r="X29" s="0" t="n">
        <v>29</v>
      </c>
      <c r="Y29" s="0" t="n">
        <v>2</v>
      </c>
      <c r="Z29" s="0" t="inlineStr">
        <is>
          <t>https://new.land.naver.com/complexes/122025?tab=detail&amp;rf=Y</t>
        </is>
      </c>
      <c r="AA29" s="0" t="inlineStr">
        <is>
          <t>경기도 하남시 감이동 500</t>
        </is>
      </c>
      <c r="AB29" s="0" t="inlineStr">
        <is>
          <t>경기도</t>
        </is>
      </c>
      <c r="AC29" s="0" t="inlineStr">
        <is>
          <t>하남시</t>
        </is>
      </c>
      <c r="AD29" s="0" t="inlineStr">
        <is>
          <t>감이동</t>
        </is>
      </c>
      <c r="AG29" s="0" t="inlineStr">
        <is>
          <t>경기도 하남시 감일백제로 20</t>
        </is>
      </c>
      <c r="AH29" s="0" t="n">
        <v>0</v>
      </c>
      <c r="AI29" s="0" t="n">
        <v>219</v>
      </c>
      <c r="AJ29" s="0" t="n">
        <v>13</v>
      </c>
      <c r="AK29" s="0" t="n">
        <v>1225</v>
      </c>
      <c r="AL29" s="0" t="n">
        <v>1.55</v>
      </c>
    </row>
    <row r="30">
      <c r="A30" s="0" t="inlineStr">
        <is>
          <t>[감이동]</t>
        </is>
      </c>
      <c r="B30" s="0" t="n">
        <v>122025</v>
      </c>
      <c r="C30" s="0" t="n">
        <v>4</v>
      </c>
      <c r="D30" s="0" t="inlineStr">
        <is>
          <t>포웰시티푸르지오라포레</t>
        </is>
      </c>
      <c r="E30" s="0" t="inlineStr">
        <is>
          <t>2021.02.</t>
        </is>
      </c>
      <c r="F30" s="0" t="n">
        <v>790</v>
      </c>
      <c r="G30" s="0" t="n">
        <v>38.56</v>
      </c>
      <c r="H30" s="0" t="n">
        <v>127.49</v>
      </c>
      <c r="I30" s="0" t="n">
        <v>30.14</v>
      </c>
      <c r="J30" s="0" t="n">
        <v>99.64</v>
      </c>
      <c r="K30" s="0" t="n">
        <v>414</v>
      </c>
      <c r="T30" s="0" t="n">
        <v>4</v>
      </c>
      <c r="U30" s="0" t="n">
        <v>2</v>
      </c>
      <c r="V30" s="0" t="inlineStr">
        <is>
          <t>계단식</t>
        </is>
      </c>
      <c r="W30" s="0" t="inlineStr">
        <is>
          <t>127A</t>
        </is>
      </c>
      <c r="X30" s="0" t="n">
        <v>29</v>
      </c>
      <c r="Y30" s="0" t="n">
        <v>2</v>
      </c>
      <c r="Z30" s="0" t="inlineStr">
        <is>
          <t>https://new.land.naver.com/complexes/122025?tab=detail&amp;rf=Y</t>
        </is>
      </c>
      <c r="AA30" s="0" t="inlineStr">
        <is>
          <t>경기도 하남시 감이동 500</t>
        </is>
      </c>
      <c r="AB30" s="0" t="inlineStr">
        <is>
          <t>경기도</t>
        </is>
      </c>
      <c r="AC30" s="0" t="inlineStr">
        <is>
          <t>하남시</t>
        </is>
      </c>
      <c r="AD30" s="0" t="inlineStr">
        <is>
          <t>감이동</t>
        </is>
      </c>
      <c r="AG30" s="0" t="inlineStr">
        <is>
          <t>경기도 하남시 감일백제로 20</t>
        </is>
      </c>
      <c r="AH30" s="0" t="n">
        <v>0</v>
      </c>
      <c r="AI30" s="0" t="n">
        <v>219</v>
      </c>
      <c r="AJ30" s="0" t="n">
        <v>13</v>
      </c>
      <c r="AK30" s="0" t="n">
        <v>1225</v>
      </c>
      <c r="AL30" s="0" t="n">
        <v>1.55</v>
      </c>
    </row>
    <row r="31">
      <c r="A31" s="0" t="inlineStr">
        <is>
          <t>[감이동]</t>
        </is>
      </c>
      <c r="B31" s="0" t="n">
        <v>122025</v>
      </c>
      <c r="C31" s="0" t="n">
        <v>5</v>
      </c>
      <c r="D31" s="0" t="inlineStr">
        <is>
          <t>포웰시티푸르지오라포레</t>
        </is>
      </c>
      <c r="E31" s="0" t="inlineStr">
        <is>
          <t>2021.02.</t>
        </is>
      </c>
      <c r="F31" s="0" t="n">
        <v>790</v>
      </c>
      <c r="G31" s="0" t="n">
        <v>38.65</v>
      </c>
      <c r="H31" s="0" t="n">
        <v>127.78</v>
      </c>
      <c r="I31" s="0" t="n">
        <v>30.07</v>
      </c>
      <c r="J31" s="0" t="n">
        <v>99.43000000000001</v>
      </c>
      <c r="K31" s="0" t="n">
        <v>111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127B</t>
        </is>
      </c>
      <c r="X31" s="0" t="n">
        <v>29</v>
      </c>
      <c r="Y31" s="0" t="n">
        <v>2</v>
      </c>
      <c r="Z31" s="0" t="inlineStr">
        <is>
          <t>https://new.land.naver.com/complexes/122025?tab=detail&amp;rf=Y</t>
        </is>
      </c>
      <c r="AA31" s="0" t="inlineStr">
        <is>
          <t>경기도 하남시 감이동 500</t>
        </is>
      </c>
      <c r="AB31" s="0" t="inlineStr">
        <is>
          <t>경기도</t>
        </is>
      </c>
      <c r="AC31" s="0" t="inlineStr">
        <is>
          <t>하남시</t>
        </is>
      </c>
      <c r="AD31" s="0" t="inlineStr">
        <is>
          <t>감이동</t>
        </is>
      </c>
      <c r="AG31" s="0" t="inlineStr">
        <is>
          <t>경기도 하남시 감일백제로 20</t>
        </is>
      </c>
      <c r="AH31" s="0" t="n">
        <v>0</v>
      </c>
      <c r="AI31" s="0" t="n">
        <v>219</v>
      </c>
      <c r="AJ31" s="0" t="n">
        <v>13</v>
      </c>
      <c r="AK31" s="0" t="n">
        <v>1225</v>
      </c>
      <c r="AL31" s="0" t="n">
        <v>1.55</v>
      </c>
    </row>
    <row r="32">
      <c r="A32" s="0" t="inlineStr">
        <is>
          <t>[감이동]</t>
        </is>
      </c>
      <c r="B32" s="0" t="n">
        <v>122025</v>
      </c>
      <c r="C32" s="0" t="n">
        <v>6</v>
      </c>
      <c r="D32" s="0" t="inlineStr">
        <is>
          <t>포웰시티푸르지오라포레</t>
        </is>
      </c>
      <c r="E32" s="0" t="inlineStr">
        <is>
          <t>2021.02.</t>
        </is>
      </c>
      <c r="F32" s="0" t="n">
        <v>790</v>
      </c>
      <c r="G32" s="0" t="n">
        <v>60.37</v>
      </c>
      <c r="H32" s="0" t="n">
        <v>199.6</v>
      </c>
      <c r="I32" s="0" t="n">
        <v>46.13</v>
      </c>
      <c r="J32" s="0" t="n">
        <v>152.51</v>
      </c>
      <c r="K32" s="0" t="n">
        <v>2</v>
      </c>
      <c r="T32" s="0" t="n">
        <v>4</v>
      </c>
      <c r="U32" s="0" t="n">
        <v>3</v>
      </c>
      <c r="V32" s="0" t="inlineStr">
        <is>
          <t>계단식</t>
        </is>
      </c>
      <c r="W32" s="0" t="n">
        <v>199</v>
      </c>
      <c r="X32" s="0" t="n">
        <v>29</v>
      </c>
      <c r="Y32" s="0" t="n">
        <v>2</v>
      </c>
      <c r="Z32" s="0" t="inlineStr">
        <is>
          <t>https://new.land.naver.com/complexes/122025?tab=detail&amp;rf=Y</t>
        </is>
      </c>
      <c r="AA32" s="0" t="inlineStr">
        <is>
          <t>경기도 하남시 감이동 500</t>
        </is>
      </c>
      <c r="AB32" s="0" t="inlineStr">
        <is>
          <t>경기도</t>
        </is>
      </c>
      <c r="AC32" s="0" t="inlineStr">
        <is>
          <t>하남시</t>
        </is>
      </c>
      <c r="AD32" s="0" t="inlineStr">
        <is>
          <t>감이동</t>
        </is>
      </c>
      <c r="AG32" s="0" t="inlineStr">
        <is>
          <t>경기도 하남시 감일백제로 20</t>
        </is>
      </c>
      <c r="AH32" s="0" t="n">
        <v>0</v>
      </c>
      <c r="AI32" s="0" t="n">
        <v>219</v>
      </c>
      <c r="AJ32" s="0" t="n">
        <v>13</v>
      </c>
      <c r="AK32" s="0" t="n">
        <v>1225</v>
      </c>
      <c r="AL32" s="0" t="n">
        <v>1.55</v>
      </c>
    </row>
    <row r="33">
      <c r="A33" s="0" t="inlineStr">
        <is>
          <t>[감이동]</t>
        </is>
      </c>
      <c r="B33" s="0" t="n">
        <v>125937</v>
      </c>
      <c r="C33" s="0" t="n">
        <v>1</v>
      </c>
      <c r="D33" s="0" t="inlineStr">
        <is>
          <t>감일에코앤e편한세상</t>
        </is>
      </c>
      <c r="E33" s="0" t="inlineStr">
        <is>
          <t>2021.10.</t>
        </is>
      </c>
      <c r="F33" s="0" t="n">
        <v>866</v>
      </c>
      <c r="G33" s="0" t="n">
        <v>30.42</v>
      </c>
      <c r="H33" s="0" t="n">
        <v>100.58</v>
      </c>
      <c r="I33" s="0" t="n">
        <v>23.57</v>
      </c>
      <c r="J33" s="0" t="n">
        <v>77.95</v>
      </c>
      <c r="K33" s="0" t="n">
        <v>163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100B</t>
        </is>
      </c>
      <c r="X33" s="0" t="n">
        <v>29</v>
      </c>
      <c r="Y33" s="0" t="n">
        <v>19</v>
      </c>
      <c r="Z33" s="0" t="inlineStr">
        <is>
          <t>https://new.land.naver.com/complexes/125937?tab=detail&amp;rf=Y</t>
        </is>
      </c>
      <c r="AA33" s="0" t="inlineStr">
        <is>
          <t>경기도 하남시 감이동 감일지구 공공주택지구내 B9블록</t>
        </is>
      </c>
      <c r="AB33" s="0" t="inlineStr">
        <is>
          <t>경기도</t>
        </is>
      </c>
      <c r="AC33" s="0" t="inlineStr">
        <is>
          <t>하남시</t>
        </is>
      </c>
      <c r="AD33" s="0" t="inlineStr">
        <is>
          <t>감이동</t>
        </is>
      </c>
      <c r="AG33" s="0" t="inlineStr">
        <is>
          <t>경기도 하남시</t>
        </is>
      </c>
      <c r="AH33" s="0" t="n">
        <v>0</v>
      </c>
      <c r="AI33" s="0" t="n">
        <v>0</v>
      </c>
      <c r="AJ33" s="0" t="n">
        <v>0</v>
      </c>
      <c r="AK33" s="0" t="n">
        <v>1216</v>
      </c>
      <c r="AL33" s="0" t="n">
        <v>1.4</v>
      </c>
    </row>
    <row r="34">
      <c r="A34" s="0" t="inlineStr">
        <is>
          <t>[감이동]</t>
        </is>
      </c>
      <c r="B34" s="0" t="n">
        <v>125937</v>
      </c>
      <c r="C34" s="0" t="n">
        <v>2</v>
      </c>
      <c r="D34" s="0" t="inlineStr">
        <is>
          <t>감일에코앤e편한세상</t>
        </is>
      </c>
      <c r="E34" s="0" t="inlineStr">
        <is>
          <t>2021.10.</t>
        </is>
      </c>
      <c r="F34" s="0" t="n">
        <v>866</v>
      </c>
      <c r="G34" s="0" t="n">
        <v>30.96</v>
      </c>
      <c r="H34" s="0" t="n">
        <v>102.38</v>
      </c>
      <c r="I34" s="0" t="n">
        <v>23.58</v>
      </c>
      <c r="J34" s="0" t="n">
        <v>77.98</v>
      </c>
      <c r="K34" s="0" t="n">
        <v>169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102A</t>
        </is>
      </c>
      <c r="X34" s="0" t="n">
        <v>29</v>
      </c>
      <c r="Y34" s="0" t="n">
        <v>19</v>
      </c>
      <c r="Z34" s="0" t="inlineStr">
        <is>
          <t>https://new.land.naver.com/complexes/125937?tab=detail&amp;rf=Y</t>
        </is>
      </c>
      <c r="AA34" s="0" t="inlineStr">
        <is>
          <t>경기도 하남시 감이동 감일지구 공공주택지구내 B9블록</t>
        </is>
      </c>
      <c r="AB34" s="0" t="inlineStr">
        <is>
          <t>경기도</t>
        </is>
      </c>
      <c r="AC34" s="0" t="inlineStr">
        <is>
          <t>하남시</t>
        </is>
      </c>
      <c r="AD34" s="0" t="inlineStr">
        <is>
          <t>감이동</t>
        </is>
      </c>
      <c r="AG34" s="0" t="inlineStr">
        <is>
          <t>경기도 하남시</t>
        </is>
      </c>
      <c r="AH34" s="0" t="n">
        <v>0</v>
      </c>
      <c r="AI34" s="0" t="n">
        <v>0</v>
      </c>
      <c r="AJ34" s="0" t="n">
        <v>0</v>
      </c>
      <c r="AK34" s="0" t="n">
        <v>1216</v>
      </c>
      <c r="AL34" s="0" t="n">
        <v>1.4</v>
      </c>
    </row>
    <row r="35">
      <c r="A35" s="0" t="inlineStr">
        <is>
          <t>[감이동]</t>
        </is>
      </c>
      <c r="B35" s="0" t="n">
        <v>125937</v>
      </c>
      <c r="C35" s="0" t="n">
        <v>3</v>
      </c>
      <c r="D35" s="0" t="inlineStr">
        <is>
          <t>감일에코앤e편한세상</t>
        </is>
      </c>
      <c r="E35" s="0" t="inlineStr">
        <is>
          <t>2021.10.</t>
        </is>
      </c>
      <c r="F35" s="0" t="n">
        <v>866</v>
      </c>
      <c r="G35" s="0" t="n">
        <v>33.16</v>
      </c>
      <c r="H35" s="0" t="n">
        <v>109.63</v>
      </c>
      <c r="I35" s="0" t="n">
        <v>25.7</v>
      </c>
      <c r="J35" s="0" t="n">
        <v>84.98</v>
      </c>
      <c r="K35" s="0" t="n">
        <v>531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29</v>
      </c>
      <c r="Y35" s="0" t="n">
        <v>19</v>
      </c>
      <c r="Z35" s="0" t="inlineStr">
        <is>
          <t>https://new.land.naver.com/complexes/125937?tab=detail&amp;rf=Y</t>
        </is>
      </c>
      <c r="AA35" s="0" t="inlineStr">
        <is>
          <t>경기도 하남시 감이동 감일지구 공공주택지구내 B9블록</t>
        </is>
      </c>
      <c r="AB35" s="0" t="inlineStr">
        <is>
          <t>경기도</t>
        </is>
      </c>
      <c r="AC35" s="0" t="inlineStr">
        <is>
          <t>하남시</t>
        </is>
      </c>
      <c r="AD35" s="0" t="inlineStr">
        <is>
          <t>감이동</t>
        </is>
      </c>
      <c r="AG35" s="0" t="inlineStr">
        <is>
          <t>경기도 하남시</t>
        </is>
      </c>
      <c r="AH35" s="0" t="n">
        <v>0</v>
      </c>
      <c r="AI35" s="0" t="n">
        <v>0</v>
      </c>
      <c r="AJ35" s="0" t="n">
        <v>0</v>
      </c>
      <c r="AK35" s="0" t="n">
        <v>1216</v>
      </c>
      <c r="AL35" s="0" t="n">
        <v>1.4</v>
      </c>
    </row>
    <row r="36">
      <c r="A36" s="0" t="inlineStr">
        <is>
          <t>[감이동]</t>
        </is>
      </c>
      <c r="B36" s="0" t="n">
        <v>125937</v>
      </c>
      <c r="C36" s="0" t="n">
        <v>4</v>
      </c>
      <c r="D36" s="0" t="inlineStr">
        <is>
          <t>감일에코앤e편한세상</t>
        </is>
      </c>
      <c r="E36" s="0" t="inlineStr">
        <is>
          <t>2021.10.</t>
        </is>
      </c>
      <c r="F36" s="0" t="n">
        <v>866</v>
      </c>
      <c r="G36" s="0" t="n">
        <v>34.01</v>
      </c>
      <c r="H36" s="0" t="n">
        <v>112.45</v>
      </c>
      <c r="I36" s="0" t="n">
        <v>25.7</v>
      </c>
      <c r="J36" s="0" t="n">
        <v>84.95999999999999</v>
      </c>
      <c r="K36" s="0" t="n">
        <v>3</v>
      </c>
      <c r="T36" s="0" t="n">
        <v>2</v>
      </c>
      <c r="U36" s="0" t="n">
        <v>2</v>
      </c>
      <c r="V36" s="0" t="inlineStr">
        <is>
          <t>계단식</t>
        </is>
      </c>
      <c r="W36" s="0" t="inlineStr">
        <is>
          <t>112B</t>
        </is>
      </c>
      <c r="X36" s="0" t="n">
        <v>29</v>
      </c>
      <c r="Y36" s="0" t="n">
        <v>19</v>
      </c>
      <c r="Z36" s="0" t="inlineStr">
        <is>
          <t>https://new.land.naver.com/complexes/125937?tab=detail&amp;rf=Y</t>
        </is>
      </c>
      <c r="AA36" s="0" t="inlineStr">
        <is>
          <t>경기도 하남시 감이동 감일지구 공공주택지구내 B9블록</t>
        </is>
      </c>
      <c r="AB36" s="0" t="inlineStr">
        <is>
          <t>경기도</t>
        </is>
      </c>
      <c r="AC36" s="0" t="inlineStr">
        <is>
          <t>하남시</t>
        </is>
      </c>
      <c r="AD36" s="0" t="inlineStr">
        <is>
          <t>감이동</t>
        </is>
      </c>
      <c r="AG36" s="0" t="inlineStr">
        <is>
          <t>경기도 하남시</t>
        </is>
      </c>
      <c r="AH36" s="0" t="n">
        <v>0</v>
      </c>
      <c r="AI36" s="0" t="n">
        <v>0</v>
      </c>
      <c r="AJ36" s="0" t="n">
        <v>0</v>
      </c>
      <c r="AK36" s="0" t="n">
        <v>1216</v>
      </c>
      <c r="AL36" s="0" t="n">
        <v>1.4</v>
      </c>
    </row>
    <row r="37">
      <c r="A37" s="0" t="inlineStr">
        <is>
          <t>[감이동]</t>
        </is>
      </c>
      <c r="B37" s="0" t="n">
        <v>128859</v>
      </c>
      <c r="C37" s="0" t="n">
        <v>1</v>
      </c>
      <c r="D37" s="0" t="inlineStr">
        <is>
          <t>하남감일A7</t>
        </is>
      </c>
      <c r="E37" s="0" t="inlineStr">
        <is>
          <t>2022.08.</t>
        </is>
      </c>
      <c r="F37" s="0" t="n">
        <v>510</v>
      </c>
      <c r="G37" s="0" t="n">
        <v>20.06</v>
      </c>
      <c r="H37" s="0" t="n">
        <v>66.34</v>
      </c>
      <c r="I37" s="0" t="n">
        <v>14.19</v>
      </c>
      <c r="J37" s="0" t="n">
        <v>46.92</v>
      </c>
      <c r="K37" s="0" t="n">
        <v>204</v>
      </c>
      <c r="T37" s="0" t="n">
        <v>2</v>
      </c>
      <c r="U37" s="0" t="n">
        <v>1</v>
      </c>
      <c r="V37" s="0" t="inlineStr">
        <is>
          <t>계단식</t>
        </is>
      </c>
      <c r="W37" s="0" t="inlineStr">
        <is>
          <t>66A</t>
        </is>
      </c>
      <c r="X37" s="0" t="n">
        <v>29</v>
      </c>
      <c r="Y37" s="0" t="n">
        <v>14</v>
      </c>
      <c r="Z37" s="0" t="inlineStr">
        <is>
          <t>https://new.land.naver.com/complexes/128859?tab=detail&amp;rf=Y</t>
        </is>
      </c>
      <c r="AA37" s="0" t="inlineStr">
        <is>
          <t>경기도 하남시 감이동 하남감일지구 A7BL</t>
        </is>
      </c>
      <c r="AB37" s="0" t="inlineStr">
        <is>
          <t>경기도</t>
        </is>
      </c>
      <c r="AC37" s="0" t="inlineStr">
        <is>
          <t>하남시</t>
        </is>
      </c>
      <c r="AD37" s="0" t="inlineStr">
        <is>
          <t>감이동</t>
        </is>
      </c>
      <c r="AG37" s="0" t="inlineStr">
        <is>
          <t>경기도 하남시</t>
        </is>
      </c>
      <c r="AH37" s="0" t="n">
        <v>170</v>
      </c>
      <c r="AI37" s="0" t="n">
        <v>0</v>
      </c>
      <c r="AJ37" s="0" t="n">
        <v>0</v>
      </c>
      <c r="AK37" s="0" t="n">
        <v>612</v>
      </c>
      <c r="AL37" s="0" t="n">
        <v>1.2</v>
      </c>
    </row>
    <row r="38">
      <c r="A38" s="0" t="inlineStr">
        <is>
          <t>[감이동]</t>
        </is>
      </c>
      <c r="B38" s="0" t="n">
        <v>128859</v>
      </c>
      <c r="C38" s="0" t="n">
        <v>2</v>
      </c>
      <c r="D38" s="0" t="inlineStr">
        <is>
          <t>하남감일A7</t>
        </is>
      </c>
      <c r="E38" s="0" t="inlineStr">
        <is>
          <t>2022.08.</t>
        </is>
      </c>
      <c r="F38" s="0" t="n">
        <v>510</v>
      </c>
      <c r="G38" s="0" t="n">
        <v>19.96</v>
      </c>
      <c r="H38" s="0" t="n">
        <v>66</v>
      </c>
      <c r="I38" s="0" t="n">
        <v>14.12</v>
      </c>
      <c r="J38" s="0" t="n">
        <v>46.68</v>
      </c>
      <c r="K38" s="0" t="n">
        <v>21</v>
      </c>
      <c r="T38" s="0" t="n">
        <v>2</v>
      </c>
      <c r="U38" s="0" t="n">
        <v>1</v>
      </c>
      <c r="V38" s="0" t="inlineStr">
        <is>
          <t>계단식</t>
        </is>
      </c>
      <c r="W38" s="0" t="inlineStr">
        <is>
          <t>66B</t>
        </is>
      </c>
      <c r="X38" s="0" t="n">
        <v>29</v>
      </c>
      <c r="Y38" s="0" t="n">
        <v>14</v>
      </c>
      <c r="Z38" s="0" t="inlineStr">
        <is>
          <t>https://new.land.naver.com/complexes/128859?tab=detail&amp;rf=Y</t>
        </is>
      </c>
      <c r="AA38" s="0" t="inlineStr">
        <is>
          <t>경기도 하남시 감이동 하남감일지구 A7BL</t>
        </is>
      </c>
      <c r="AB38" s="0" t="inlineStr">
        <is>
          <t>경기도</t>
        </is>
      </c>
      <c r="AC38" s="0" t="inlineStr">
        <is>
          <t>하남시</t>
        </is>
      </c>
      <c r="AD38" s="0" t="inlineStr">
        <is>
          <t>감이동</t>
        </is>
      </c>
      <c r="AG38" s="0" t="inlineStr">
        <is>
          <t>경기도 하남시</t>
        </is>
      </c>
      <c r="AH38" s="0" t="n">
        <v>170</v>
      </c>
      <c r="AI38" s="0" t="n">
        <v>0</v>
      </c>
      <c r="AJ38" s="0" t="n">
        <v>0</v>
      </c>
      <c r="AK38" s="0" t="n">
        <v>612</v>
      </c>
      <c r="AL38" s="0" t="n">
        <v>1.2</v>
      </c>
    </row>
    <row r="39">
      <c r="A39" s="0" t="inlineStr">
        <is>
          <t>[감이동]</t>
        </is>
      </c>
      <c r="B39" s="0" t="n">
        <v>128859</v>
      </c>
      <c r="C39" s="0" t="n">
        <v>3</v>
      </c>
      <c r="D39" s="0" t="inlineStr">
        <is>
          <t>하남감일A7</t>
        </is>
      </c>
      <c r="E39" s="0" t="inlineStr">
        <is>
          <t>2022.08.</t>
        </is>
      </c>
      <c r="F39" s="0" t="n">
        <v>510</v>
      </c>
      <c r="G39" s="0" t="n">
        <v>23.69</v>
      </c>
      <c r="H39" s="0" t="n">
        <v>78.34</v>
      </c>
      <c r="I39" s="0" t="n">
        <v>16.75</v>
      </c>
      <c r="J39" s="0" t="n">
        <v>55.4</v>
      </c>
      <c r="K39" s="0" t="n">
        <v>285</v>
      </c>
      <c r="T39" s="0" t="n">
        <v>2</v>
      </c>
      <c r="U39" s="0" t="n">
        <v>2</v>
      </c>
      <c r="V39" s="0" t="inlineStr">
        <is>
          <t>계단식</t>
        </is>
      </c>
      <c r="W39" s="0" t="inlineStr">
        <is>
          <t>78A</t>
        </is>
      </c>
      <c r="X39" s="0" t="n">
        <v>29</v>
      </c>
      <c r="Y39" s="0" t="n">
        <v>14</v>
      </c>
      <c r="Z39" s="0" t="inlineStr">
        <is>
          <t>https://new.land.naver.com/complexes/128859?tab=detail&amp;rf=Y</t>
        </is>
      </c>
      <c r="AA39" s="0" t="inlineStr">
        <is>
          <t>경기도 하남시 감이동 하남감일지구 A7BL</t>
        </is>
      </c>
      <c r="AB39" s="0" t="inlineStr">
        <is>
          <t>경기도</t>
        </is>
      </c>
      <c r="AC39" s="0" t="inlineStr">
        <is>
          <t>하남시</t>
        </is>
      </c>
      <c r="AD39" s="0" t="inlineStr">
        <is>
          <t>감이동</t>
        </is>
      </c>
      <c r="AG39" s="0" t="inlineStr">
        <is>
          <t>경기도 하남시</t>
        </is>
      </c>
      <c r="AH39" s="0" t="n">
        <v>170</v>
      </c>
      <c r="AI39" s="0" t="n">
        <v>0</v>
      </c>
      <c r="AJ39" s="0" t="n">
        <v>0</v>
      </c>
      <c r="AK39" s="0" t="n">
        <v>612</v>
      </c>
      <c r="AL39" s="0" t="n">
        <v>1.2</v>
      </c>
    </row>
    <row r="40">
      <c r="A40" s="0" t="inlineStr">
        <is>
          <t>[감이동]</t>
        </is>
      </c>
      <c r="B40" s="0" t="n">
        <v>125345</v>
      </c>
      <c r="C40" s="0" t="n">
        <v>1</v>
      </c>
      <c r="D40" s="0" t="inlineStr">
        <is>
          <t>하남감일스윗시티 B3블록</t>
        </is>
      </c>
      <c r="E40" s="0" t="inlineStr">
        <is>
          <t>2021.10.</t>
        </is>
      </c>
      <c r="F40" s="0" t="n">
        <v>578</v>
      </c>
      <c r="G40" s="0" t="n">
        <v>30.11</v>
      </c>
      <c r="H40" s="0" t="n">
        <v>99.54000000000001</v>
      </c>
      <c r="I40" s="0" t="n">
        <v>22.6</v>
      </c>
      <c r="J40" s="0" t="n">
        <v>74.73</v>
      </c>
      <c r="K40" s="0" t="n">
        <v>174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99A</t>
        </is>
      </c>
      <c r="X40" s="0" t="n">
        <v>29</v>
      </c>
      <c r="Y40" s="0" t="n">
        <v>15</v>
      </c>
      <c r="Z40" s="0" t="inlineStr">
        <is>
          <t>https://new.land.naver.com/complexes/125345?tab=detail&amp;rf=Y</t>
        </is>
      </c>
      <c r="AA40" s="0" t="inlineStr">
        <is>
          <t>경기도 하남시 감이동 하남감일 공공주택지구내 B3블록</t>
        </is>
      </c>
      <c r="AB40" s="0" t="inlineStr">
        <is>
          <t>경기도</t>
        </is>
      </c>
      <c r="AC40" s="0" t="inlineStr">
        <is>
          <t>하남시</t>
        </is>
      </c>
      <c r="AD40" s="0" t="inlineStr">
        <is>
          <t>감이동</t>
        </is>
      </c>
      <c r="AG40" s="0" t="inlineStr">
        <is>
          <t>경기도 하남시</t>
        </is>
      </c>
      <c r="AH40" s="0" t="n">
        <v>0</v>
      </c>
      <c r="AI40" s="0" t="n">
        <v>216</v>
      </c>
      <c r="AJ40" s="0" t="n">
        <v>19</v>
      </c>
      <c r="AK40" s="0" t="n">
        <v>721</v>
      </c>
      <c r="AL40" s="0" t="n">
        <v>1.25</v>
      </c>
    </row>
    <row r="41">
      <c r="A41" s="0" t="inlineStr">
        <is>
          <t>[감이동]</t>
        </is>
      </c>
      <c r="B41" s="0" t="n">
        <v>125345</v>
      </c>
      <c r="C41" s="0" t="n">
        <v>2</v>
      </c>
      <c r="D41" s="0" t="inlineStr">
        <is>
          <t>하남감일스윗시티 B3블록</t>
        </is>
      </c>
      <c r="E41" s="0" t="inlineStr">
        <is>
          <t>2021.10.</t>
        </is>
      </c>
      <c r="F41" s="0" t="n">
        <v>578</v>
      </c>
      <c r="G41" s="0" t="n">
        <v>34.2</v>
      </c>
      <c r="H41" s="0" t="n">
        <v>113.06</v>
      </c>
      <c r="I41" s="0" t="n">
        <v>25.67</v>
      </c>
      <c r="J41" s="0" t="n">
        <v>84.88</v>
      </c>
      <c r="K41" s="0" t="n">
        <v>239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113A</t>
        </is>
      </c>
      <c r="X41" s="0" t="n">
        <v>29</v>
      </c>
      <c r="Y41" s="0" t="n">
        <v>15</v>
      </c>
      <c r="Z41" s="0" t="inlineStr">
        <is>
          <t>https://new.land.naver.com/complexes/125345?tab=detail&amp;rf=Y</t>
        </is>
      </c>
      <c r="AA41" s="0" t="inlineStr">
        <is>
          <t>경기도 하남시 감이동 하남감일 공공주택지구내 B3블록</t>
        </is>
      </c>
      <c r="AB41" s="0" t="inlineStr">
        <is>
          <t>경기도</t>
        </is>
      </c>
      <c r="AC41" s="0" t="inlineStr">
        <is>
          <t>하남시</t>
        </is>
      </c>
      <c r="AD41" s="0" t="inlineStr">
        <is>
          <t>감이동</t>
        </is>
      </c>
      <c r="AG41" s="0" t="inlineStr">
        <is>
          <t>경기도 하남시</t>
        </is>
      </c>
      <c r="AH41" s="0" t="n">
        <v>0</v>
      </c>
      <c r="AI41" s="0" t="n">
        <v>216</v>
      </c>
      <c r="AJ41" s="0" t="n">
        <v>19</v>
      </c>
      <c r="AK41" s="0" t="n">
        <v>721</v>
      </c>
      <c r="AL41" s="0" t="n">
        <v>1.25</v>
      </c>
    </row>
    <row r="42">
      <c r="A42" s="0" t="inlineStr">
        <is>
          <t>[감이동]</t>
        </is>
      </c>
      <c r="B42" s="0" t="n">
        <v>125345</v>
      </c>
      <c r="C42" s="0" t="n">
        <v>3</v>
      </c>
      <c r="D42" s="0" t="inlineStr">
        <is>
          <t>하남감일스윗시티 B3블록</t>
        </is>
      </c>
      <c r="E42" s="0" t="inlineStr">
        <is>
          <t>2021.10.</t>
        </is>
      </c>
      <c r="F42" s="0" t="n">
        <v>578</v>
      </c>
      <c r="G42" s="0" t="n">
        <v>34.2</v>
      </c>
      <c r="H42" s="0" t="n">
        <v>113.08</v>
      </c>
      <c r="I42" s="0" t="n">
        <v>25.67</v>
      </c>
      <c r="J42" s="0" t="n">
        <v>84.89</v>
      </c>
      <c r="K42" s="0" t="n">
        <v>86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113C</t>
        </is>
      </c>
      <c r="X42" s="0" t="n">
        <v>29</v>
      </c>
      <c r="Y42" s="0" t="n">
        <v>15</v>
      </c>
      <c r="Z42" s="0" t="inlineStr">
        <is>
          <t>https://new.land.naver.com/complexes/125345?tab=detail&amp;rf=Y</t>
        </is>
      </c>
      <c r="AA42" s="0" t="inlineStr">
        <is>
          <t>경기도 하남시 감이동 하남감일 공공주택지구내 B3블록</t>
        </is>
      </c>
      <c r="AB42" s="0" t="inlineStr">
        <is>
          <t>경기도</t>
        </is>
      </c>
      <c r="AC42" s="0" t="inlineStr">
        <is>
          <t>하남시</t>
        </is>
      </c>
      <c r="AD42" s="0" t="inlineStr">
        <is>
          <t>감이동</t>
        </is>
      </c>
      <c r="AG42" s="0" t="inlineStr">
        <is>
          <t>경기도 하남시</t>
        </is>
      </c>
      <c r="AH42" s="0" t="n">
        <v>0</v>
      </c>
      <c r="AI42" s="0" t="n">
        <v>216</v>
      </c>
      <c r="AJ42" s="0" t="n">
        <v>19</v>
      </c>
      <c r="AK42" s="0" t="n">
        <v>721</v>
      </c>
      <c r="AL42" s="0" t="n">
        <v>1.25</v>
      </c>
    </row>
    <row r="43">
      <c r="A43" s="0" t="inlineStr">
        <is>
          <t>[감이동]</t>
        </is>
      </c>
      <c r="B43" s="0" t="n">
        <v>125345</v>
      </c>
      <c r="C43" s="0" t="n">
        <v>4</v>
      </c>
      <c r="D43" s="0" t="inlineStr">
        <is>
          <t>하남감일스윗시티 B3블록</t>
        </is>
      </c>
      <c r="E43" s="0" t="inlineStr">
        <is>
          <t>2021.10.</t>
        </is>
      </c>
      <c r="F43" s="0" t="n">
        <v>578</v>
      </c>
      <c r="G43" s="0" t="n">
        <v>34.23</v>
      </c>
      <c r="H43" s="0" t="n">
        <v>113.16</v>
      </c>
      <c r="I43" s="0" t="n">
        <v>25.69</v>
      </c>
      <c r="J43" s="0" t="n">
        <v>84.95</v>
      </c>
      <c r="K43" s="0" t="n">
        <v>79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113B</t>
        </is>
      </c>
      <c r="X43" s="0" t="n">
        <v>29</v>
      </c>
      <c r="Y43" s="0" t="n">
        <v>15</v>
      </c>
      <c r="Z43" s="0" t="inlineStr">
        <is>
          <t>https://new.land.naver.com/complexes/125345?tab=detail&amp;rf=Y</t>
        </is>
      </c>
      <c r="AA43" s="0" t="inlineStr">
        <is>
          <t>경기도 하남시 감이동 하남감일 공공주택지구내 B3블록</t>
        </is>
      </c>
      <c r="AB43" s="0" t="inlineStr">
        <is>
          <t>경기도</t>
        </is>
      </c>
      <c r="AC43" s="0" t="inlineStr">
        <is>
          <t>하남시</t>
        </is>
      </c>
      <c r="AD43" s="0" t="inlineStr">
        <is>
          <t>감이동</t>
        </is>
      </c>
      <c r="AG43" s="0" t="inlineStr">
        <is>
          <t>경기도 하남시</t>
        </is>
      </c>
      <c r="AH43" s="0" t="n">
        <v>0</v>
      </c>
      <c r="AI43" s="0" t="n">
        <v>216</v>
      </c>
      <c r="AJ43" s="0" t="n">
        <v>19</v>
      </c>
      <c r="AK43" s="0" t="n">
        <v>721</v>
      </c>
      <c r="AL43" s="0" t="n">
        <v>1.25</v>
      </c>
    </row>
    <row r="44">
      <c r="A44" s="0" t="inlineStr">
        <is>
          <t>[감이동]</t>
        </is>
      </c>
      <c r="B44" s="0" t="n">
        <v>125346</v>
      </c>
      <c r="C44" s="0" t="n">
        <v>1</v>
      </c>
      <c r="D44" s="0" t="inlineStr">
        <is>
          <t>하남감일스윗시티 B4블록</t>
        </is>
      </c>
      <c r="E44" s="0" t="inlineStr">
        <is>
          <t>2021.10.</t>
        </is>
      </c>
      <c r="F44" s="0" t="n">
        <v>595</v>
      </c>
      <c r="G44" s="0" t="n">
        <v>30.27</v>
      </c>
      <c r="H44" s="0" t="n">
        <v>100.09</v>
      </c>
      <c r="I44" s="0" t="n">
        <v>22.6</v>
      </c>
      <c r="J44" s="0" t="n">
        <v>74.73</v>
      </c>
      <c r="K44" s="0" t="n">
        <v>165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100A</t>
        </is>
      </c>
      <c r="X44" s="0" t="n">
        <v>29</v>
      </c>
      <c r="Y44" s="0" t="n">
        <v>16</v>
      </c>
      <c r="Z44" s="0" t="inlineStr">
        <is>
          <t>https://new.land.naver.com/complexes/125346?tab=detail&amp;rf=Y</t>
        </is>
      </c>
      <c r="AA44" s="0" t="inlineStr">
        <is>
          <t>경기도 하남시 감이동 하남감일 공공주택지구내 B4블록</t>
        </is>
      </c>
      <c r="AB44" s="0" t="inlineStr">
        <is>
          <t>경기도</t>
        </is>
      </c>
      <c r="AC44" s="0" t="inlineStr">
        <is>
          <t>하남시</t>
        </is>
      </c>
      <c r="AD44" s="0" t="inlineStr">
        <is>
          <t>감이동</t>
        </is>
      </c>
      <c r="AG44" s="0" t="inlineStr">
        <is>
          <t>경기도 하남시</t>
        </is>
      </c>
      <c r="AH44" s="0" t="n">
        <v>0</v>
      </c>
      <c r="AI44" s="0" t="n">
        <v>216</v>
      </c>
      <c r="AJ44" s="0" t="n">
        <v>18</v>
      </c>
      <c r="AK44" s="0" t="n">
        <v>743</v>
      </c>
      <c r="AL44" s="0" t="n">
        <v>1.25</v>
      </c>
    </row>
    <row r="45">
      <c r="A45" s="0" t="inlineStr">
        <is>
          <t>[감이동]</t>
        </is>
      </c>
      <c r="B45" s="0" t="n">
        <v>125346</v>
      </c>
      <c r="C45" s="0" t="n">
        <v>2</v>
      </c>
      <c r="D45" s="0" t="inlineStr">
        <is>
          <t>하남감일스윗시티 B4블록</t>
        </is>
      </c>
      <c r="E45" s="0" t="inlineStr">
        <is>
          <t>2021.10.</t>
        </is>
      </c>
      <c r="F45" s="0" t="n">
        <v>595</v>
      </c>
      <c r="G45" s="0" t="n">
        <v>34.38</v>
      </c>
      <c r="H45" s="0" t="n">
        <v>113.68</v>
      </c>
      <c r="I45" s="0" t="n">
        <v>25.67</v>
      </c>
      <c r="J45" s="0" t="n">
        <v>84.88</v>
      </c>
      <c r="K45" s="0" t="n">
        <v>270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113A</t>
        </is>
      </c>
      <c r="X45" s="0" t="n">
        <v>29</v>
      </c>
      <c r="Y45" s="0" t="n">
        <v>16</v>
      </c>
      <c r="Z45" s="0" t="inlineStr">
        <is>
          <t>https://new.land.naver.com/complexes/125346?tab=detail&amp;rf=Y</t>
        </is>
      </c>
      <c r="AA45" s="0" t="inlineStr">
        <is>
          <t>경기도 하남시 감이동 하남감일 공공주택지구내 B4블록</t>
        </is>
      </c>
      <c r="AB45" s="0" t="inlineStr">
        <is>
          <t>경기도</t>
        </is>
      </c>
      <c r="AC45" s="0" t="inlineStr">
        <is>
          <t>하남시</t>
        </is>
      </c>
      <c r="AD45" s="0" t="inlineStr">
        <is>
          <t>감이동</t>
        </is>
      </c>
      <c r="AG45" s="0" t="inlineStr">
        <is>
          <t>경기도 하남시</t>
        </is>
      </c>
      <c r="AH45" s="0" t="n">
        <v>0</v>
      </c>
      <c r="AI45" s="0" t="n">
        <v>216</v>
      </c>
      <c r="AJ45" s="0" t="n">
        <v>18</v>
      </c>
      <c r="AK45" s="0" t="n">
        <v>743</v>
      </c>
      <c r="AL45" s="0" t="n">
        <v>1.25</v>
      </c>
    </row>
    <row r="46">
      <c r="A46" s="0" t="inlineStr">
        <is>
          <t>[감이동]</t>
        </is>
      </c>
      <c r="B46" s="0" t="n">
        <v>125346</v>
      </c>
      <c r="C46" s="0" t="n">
        <v>3</v>
      </c>
      <c r="D46" s="0" t="inlineStr">
        <is>
          <t>하남감일스윗시티 B4블록</t>
        </is>
      </c>
      <c r="E46" s="0" t="inlineStr">
        <is>
          <t>2021.10.</t>
        </is>
      </c>
      <c r="F46" s="0" t="n">
        <v>595</v>
      </c>
      <c r="G46" s="0" t="n">
        <v>34.39</v>
      </c>
      <c r="H46" s="0" t="n">
        <v>113.7</v>
      </c>
      <c r="I46" s="0" t="n">
        <v>25.67</v>
      </c>
      <c r="J46" s="0" t="n">
        <v>84.89</v>
      </c>
      <c r="K46" s="0" t="n">
        <v>84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113C</t>
        </is>
      </c>
      <c r="X46" s="0" t="n">
        <v>29</v>
      </c>
      <c r="Y46" s="0" t="n">
        <v>16</v>
      </c>
      <c r="Z46" s="0" t="inlineStr">
        <is>
          <t>https://new.land.naver.com/complexes/125346?tab=detail&amp;rf=Y</t>
        </is>
      </c>
      <c r="AA46" s="0" t="inlineStr">
        <is>
          <t>경기도 하남시 감이동 하남감일 공공주택지구내 B4블록</t>
        </is>
      </c>
      <c r="AB46" s="0" t="inlineStr">
        <is>
          <t>경기도</t>
        </is>
      </c>
      <c r="AC46" s="0" t="inlineStr">
        <is>
          <t>하남시</t>
        </is>
      </c>
      <c r="AD46" s="0" t="inlineStr">
        <is>
          <t>감이동</t>
        </is>
      </c>
      <c r="AG46" s="0" t="inlineStr">
        <is>
          <t>경기도 하남시</t>
        </is>
      </c>
      <c r="AH46" s="0" t="n">
        <v>0</v>
      </c>
      <c r="AI46" s="0" t="n">
        <v>216</v>
      </c>
      <c r="AJ46" s="0" t="n">
        <v>18</v>
      </c>
      <c r="AK46" s="0" t="n">
        <v>743</v>
      </c>
      <c r="AL46" s="0" t="n">
        <v>1.25</v>
      </c>
    </row>
    <row r="47">
      <c r="A47" s="0" t="inlineStr">
        <is>
          <t>[감이동]</t>
        </is>
      </c>
      <c r="B47" s="0" t="n">
        <v>125346</v>
      </c>
      <c r="C47" s="0" t="n">
        <v>4</v>
      </c>
      <c r="D47" s="0" t="inlineStr">
        <is>
          <t>하남감일스윗시티 B4블록</t>
        </is>
      </c>
      <c r="E47" s="0" t="inlineStr">
        <is>
          <t>2021.10.</t>
        </is>
      </c>
      <c r="F47" s="0" t="n">
        <v>595</v>
      </c>
      <c r="G47" s="0" t="n">
        <v>34.41</v>
      </c>
      <c r="H47" s="0" t="n">
        <v>113.78</v>
      </c>
      <c r="I47" s="0" t="n">
        <v>25.69</v>
      </c>
      <c r="J47" s="0" t="n">
        <v>84.95</v>
      </c>
      <c r="K47" s="0" t="n">
        <v>76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113B</t>
        </is>
      </c>
      <c r="X47" s="0" t="n">
        <v>29</v>
      </c>
      <c r="Y47" s="0" t="n">
        <v>16</v>
      </c>
      <c r="Z47" s="0" t="inlineStr">
        <is>
          <t>https://new.land.naver.com/complexes/125346?tab=detail&amp;rf=Y</t>
        </is>
      </c>
      <c r="AA47" s="0" t="inlineStr">
        <is>
          <t>경기도 하남시 감이동 하남감일 공공주택지구내 B4블록</t>
        </is>
      </c>
      <c r="AB47" s="0" t="inlineStr">
        <is>
          <t>경기도</t>
        </is>
      </c>
      <c r="AC47" s="0" t="inlineStr">
        <is>
          <t>하남시</t>
        </is>
      </c>
      <c r="AD47" s="0" t="inlineStr">
        <is>
          <t>감이동</t>
        </is>
      </c>
      <c r="AG47" s="0" t="inlineStr">
        <is>
          <t>경기도 하남시</t>
        </is>
      </c>
      <c r="AH47" s="0" t="n">
        <v>0</v>
      </c>
      <c r="AI47" s="0" t="n">
        <v>216</v>
      </c>
      <c r="AJ47" s="0" t="n">
        <v>18</v>
      </c>
      <c r="AK47" s="0" t="n">
        <v>743</v>
      </c>
      <c r="AL47" s="0" t="n">
        <v>1.25</v>
      </c>
    </row>
    <row r="48">
      <c r="A48" s="0" t="inlineStr">
        <is>
          <t>[감이동]</t>
        </is>
      </c>
      <c r="B48" s="0" t="n">
        <v>125022</v>
      </c>
      <c r="C48" s="0" t="n">
        <v>1</v>
      </c>
      <c r="D48" s="0" t="inlineStr">
        <is>
          <t>힐스테이트포웰시티</t>
        </is>
      </c>
      <c r="E48" s="0" t="inlineStr">
        <is>
          <t>2020.11.</t>
        </is>
      </c>
      <c r="F48" s="0" t="n">
        <v>932</v>
      </c>
      <c r="G48" s="0" t="n">
        <v>29.61</v>
      </c>
      <c r="H48" s="0" t="n">
        <v>97.91</v>
      </c>
      <c r="I48" s="0" t="n">
        <v>22.32</v>
      </c>
      <c r="J48" s="0" t="n">
        <v>73.81</v>
      </c>
      <c r="K48" s="0" t="n">
        <v>470</v>
      </c>
      <c r="T48" s="0" t="n">
        <v>3</v>
      </c>
      <c r="U48" s="0" t="n">
        <v>2</v>
      </c>
      <c r="V48" s="0" t="inlineStr">
        <is>
          <t>계단식</t>
        </is>
      </c>
      <c r="W48" s="0" t="n">
        <v>97</v>
      </c>
      <c r="X48" s="0" t="n">
        <v>30</v>
      </c>
      <c r="Y48" s="0" t="n">
        <v>29</v>
      </c>
      <c r="Z48" s="0" t="inlineStr">
        <is>
          <t>https://new.land.naver.com/complexes/125022?tab=detail&amp;rf=Y</t>
        </is>
      </c>
      <c r="AA48" s="0" t="inlineStr">
        <is>
          <t>경기도 하남시 감이동 하남감일공공주택지구 B6BL</t>
        </is>
      </c>
      <c r="AB48" s="0" t="inlineStr">
        <is>
          <t>경기도</t>
        </is>
      </c>
      <c r="AC48" s="0" t="inlineStr">
        <is>
          <t>하남시</t>
        </is>
      </c>
      <c r="AD48" s="0" t="inlineStr">
        <is>
          <t>감이동</t>
        </is>
      </c>
      <c r="AG48" s="0" t="inlineStr">
        <is>
          <t>경기도 하남시 감일백제로 120</t>
        </is>
      </c>
      <c r="AH48" s="0" t="n">
        <v>0</v>
      </c>
      <c r="AI48" s="0" t="n">
        <v>219</v>
      </c>
      <c r="AJ48" s="0" t="n">
        <v>12</v>
      </c>
      <c r="AK48" s="0" t="n">
        <v>1221</v>
      </c>
      <c r="AL48" s="0" t="n">
        <v>1.31</v>
      </c>
    </row>
    <row r="49">
      <c r="A49" s="0" t="inlineStr">
        <is>
          <t>[감이동]</t>
        </is>
      </c>
      <c r="B49" s="0" t="n">
        <v>125022</v>
      </c>
      <c r="C49" s="0" t="n">
        <v>2</v>
      </c>
      <c r="D49" s="0" t="inlineStr">
        <is>
          <t>힐스테이트포웰시티</t>
        </is>
      </c>
      <c r="E49" s="0" t="inlineStr">
        <is>
          <t>2020.11.</t>
        </is>
      </c>
      <c r="F49" s="0" t="n">
        <v>932</v>
      </c>
      <c r="G49" s="0" t="n">
        <v>33.65</v>
      </c>
      <c r="H49" s="0" t="n">
        <v>111.25</v>
      </c>
      <c r="I49" s="0" t="n">
        <v>25.53</v>
      </c>
      <c r="J49" s="0" t="n">
        <v>84.42</v>
      </c>
      <c r="K49" s="0" t="n">
        <v>462</v>
      </c>
      <c r="T49" s="0" t="n">
        <v>3</v>
      </c>
      <c r="U49" s="0" t="n">
        <v>2</v>
      </c>
      <c r="V49" s="0" t="inlineStr">
        <is>
          <t>계단식</t>
        </is>
      </c>
      <c r="W49" s="0" t="n">
        <v>111</v>
      </c>
      <c r="X49" s="0" t="n">
        <v>30</v>
      </c>
      <c r="Y49" s="0" t="n">
        <v>29</v>
      </c>
      <c r="Z49" s="0" t="inlineStr">
        <is>
          <t>https://new.land.naver.com/complexes/125022?tab=detail&amp;rf=Y</t>
        </is>
      </c>
      <c r="AA49" s="0" t="inlineStr">
        <is>
          <t>경기도 하남시 감이동 하남감일공공주택지구 B6BL</t>
        </is>
      </c>
      <c r="AB49" s="0" t="inlineStr">
        <is>
          <t>경기도</t>
        </is>
      </c>
      <c r="AC49" s="0" t="inlineStr">
        <is>
          <t>하남시</t>
        </is>
      </c>
      <c r="AD49" s="0" t="inlineStr">
        <is>
          <t>감이동</t>
        </is>
      </c>
      <c r="AG49" s="0" t="inlineStr">
        <is>
          <t>경기도 하남시 감일백제로 120</t>
        </is>
      </c>
      <c r="AH49" s="0" t="n">
        <v>0</v>
      </c>
      <c r="AI49" s="0" t="n">
        <v>219</v>
      </c>
      <c r="AJ49" s="0" t="n">
        <v>12</v>
      </c>
      <c r="AK49" s="0" t="n">
        <v>1221</v>
      </c>
      <c r="AL49" s="0" t="n">
        <v>1.31</v>
      </c>
    </row>
    <row r="50">
      <c r="A50" s="0" t="inlineStr">
        <is>
          <t>[감이동]</t>
        </is>
      </c>
      <c r="B50" s="0" t="n">
        <v>119358</v>
      </c>
      <c r="C50" s="0" t="n">
        <v>1</v>
      </c>
      <c r="D50" s="0" t="inlineStr">
        <is>
          <t>감일센트레빌</t>
        </is>
      </c>
      <c r="E50" s="0" t="inlineStr">
        <is>
          <t>2020.03.</t>
        </is>
      </c>
      <c r="F50" s="0" t="n">
        <v>589</v>
      </c>
      <c r="G50" s="0" t="n">
        <v>21.62</v>
      </c>
      <c r="H50" s="0" t="n">
        <v>71.48999999999999</v>
      </c>
      <c r="I50" s="0" t="n">
        <v>15.65</v>
      </c>
      <c r="J50" s="0" t="n">
        <v>51.76</v>
      </c>
      <c r="K50" s="0" t="n">
        <v>99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71A</t>
        </is>
      </c>
      <c r="X50" s="0" t="n">
        <v>25</v>
      </c>
      <c r="Y50" s="0" t="n">
        <v>17</v>
      </c>
      <c r="Z50" s="0" t="inlineStr">
        <is>
          <t>https://new.land.naver.com/complexes/119358?tab=detail&amp;rf=Y</t>
        </is>
      </c>
      <c r="AA50" s="0" t="inlineStr">
        <is>
          <t>경기도 하남시 감이동 535</t>
        </is>
      </c>
      <c r="AB50" s="0" t="inlineStr">
        <is>
          <t>경기도</t>
        </is>
      </c>
      <c r="AC50" s="0" t="inlineStr">
        <is>
          <t>하남시</t>
        </is>
      </c>
      <c r="AD50" s="0" t="inlineStr">
        <is>
          <t>감이동</t>
        </is>
      </c>
      <c r="AG50" s="0" t="inlineStr">
        <is>
          <t>경기도 하남시 감일백제로 35</t>
        </is>
      </c>
      <c r="AH50" s="0" t="n">
        <v>0</v>
      </c>
      <c r="AI50" s="0" t="n">
        <v>218</v>
      </c>
      <c r="AJ50" s="0" t="n">
        <v>19</v>
      </c>
      <c r="AK50" s="0" t="n">
        <v>667</v>
      </c>
      <c r="AL50" s="0" t="n">
        <v>1.13</v>
      </c>
    </row>
    <row r="51">
      <c r="A51" s="0" t="inlineStr">
        <is>
          <t>[감이동]</t>
        </is>
      </c>
      <c r="B51" s="0" t="n">
        <v>119358</v>
      </c>
      <c r="C51" s="0" t="n">
        <v>2</v>
      </c>
      <c r="D51" s="0" t="inlineStr">
        <is>
          <t>감일센트레빌</t>
        </is>
      </c>
      <c r="E51" s="0" t="inlineStr">
        <is>
          <t>2020.03.</t>
        </is>
      </c>
      <c r="F51" s="0" t="n">
        <v>589</v>
      </c>
      <c r="G51" s="0" t="n">
        <v>25.03</v>
      </c>
      <c r="H51" s="0" t="n">
        <v>82.77</v>
      </c>
      <c r="I51" s="0" t="n">
        <v>18.12</v>
      </c>
      <c r="J51" s="0" t="n">
        <v>59.92</v>
      </c>
      <c r="K51" s="0" t="n">
        <v>135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82B</t>
        </is>
      </c>
      <c r="X51" s="0" t="n">
        <v>25</v>
      </c>
      <c r="Y51" s="0" t="n">
        <v>17</v>
      </c>
      <c r="Z51" s="0" t="inlineStr">
        <is>
          <t>https://new.land.naver.com/complexes/119358?tab=detail&amp;rf=Y</t>
        </is>
      </c>
      <c r="AA51" s="0" t="inlineStr">
        <is>
          <t>경기도 하남시 감이동 535</t>
        </is>
      </c>
      <c r="AB51" s="0" t="inlineStr">
        <is>
          <t>경기도</t>
        </is>
      </c>
      <c r="AC51" s="0" t="inlineStr">
        <is>
          <t>하남시</t>
        </is>
      </c>
      <c r="AD51" s="0" t="inlineStr">
        <is>
          <t>감이동</t>
        </is>
      </c>
      <c r="AG51" s="0" t="inlineStr">
        <is>
          <t>경기도 하남시 감일백제로 35</t>
        </is>
      </c>
      <c r="AH51" s="0" t="n">
        <v>0</v>
      </c>
      <c r="AI51" s="0" t="n">
        <v>218</v>
      </c>
      <c r="AJ51" s="0" t="n">
        <v>19</v>
      </c>
      <c r="AK51" s="0" t="n">
        <v>667</v>
      </c>
      <c r="AL51" s="0" t="n">
        <v>1.13</v>
      </c>
    </row>
    <row r="52">
      <c r="A52" s="0" t="inlineStr">
        <is>
          <t>[감이동]</t>
        </is>
      </c>
      <c r="B52" s="0" t="n">
        <v>119358</v>
      </c>
      <c r="C52" s="0" t="n">
        <v>3</v>
      </c>
      <c r="D52" s="0" t="inlineStr">
        <is>
          <t>감일센트레빌</t>
        </is>
      </c>
      <c r="E52" s="0" t="inlineStr">
        <is>
          <t>2020.03.</t>
        </is>
      </c>
      <c r="F52" s="0" t="n">
        <v>589</v>
      </c>
      <c r="G52" s="0" t="n">
        <v>25.02</v>
      </c>
      <c r="H52" s="0" t="n">
        <v>82.72</v>
      </c>
      <c r="I52" s="0" t="n">
        <v>18.11</v>
      </c>
      <c r="J52" s="0" t="n">
        <v>59.89</v>
      </c>
      <c r="K52" s="0" t="n">
        <v>50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82A</t>
        </is>
      </c>
      <c r="X52" s="0" t="n">
        <v>25</v>
      </c>
      <c r="Y52" s="0" t="n">
        <v>17</v>
      </c>
      <c r="Z52" s="0" t="inlineStr">
        <is>
          <t>https://new.land.naver.com/complexes/119358?tab=detail&amp;rf=Y</t>
        </is>
      </c>
      <c r="AA52" s="0" t="inlineStr">
        <is>
          <t>경기도 하남시 감이동 535</t>
        </is>
      </c>
      <c r="AB52" s="0" t="inlineStr">
        <is>
          <t>경기도</t>
        </is>
      </c>
      <c r="AC52" s="0" t="inlineStr">
        <is>
          <t>하남시</t>
        </is>
      </c>
      <c r="AD52" s="0" t="inlineStr">
        <is>
          <t>감이동</t>
        </is>
      </c>
      <c r="AG52" s="0" t="inlineStr">
        <is>
          <t>경기도 하남시 감일백제로 35</t>
        </is>
      </c>
      <c r="AH52" s="0" t="n">
        <v>0</v>
      </c>
      <c r="AI52" s="0" t="n">
        <v>218</v>
      </c>
      <c r="AJ52" s="0" t="n">
        <v>19</v>
      </c>
      <c r="AK52" s="0" t="n">
        <v>667</v>
      </c>
      <c r="AL52" s="0" t="n">
        <v>1.13</v>
      </c>
    </row>
    <row r="53">
      <c r="A53" s="0" t="inlineStr">
        <is>
          <t>[감이동]</t>
        </is>
      </c>
      <c r="B53" s="0" t="n">
        <v>119358</v>
      </c>
      <c r="C53" s="0" t="n">
        <v>4</v>
      </c>
      <c r="D53" s="0" t="inlineStr">
        <is>
          <t>감일센트레빌</t>
        </is>
      </c>
      <c r="E53" s="0" t="inlineStr">
        <is>
          <t>2020.03.</t>
        </is>
      </c>
      <c r="F53" s="0" t="n">
        <v>589</v>
      </c>
      <c r="G53" s="0" t="n">
        <v>31.26</v>
      </c>
      <c r="H53" s="0" t="n">
        <v>103.35</v>
      </c>
      <c r="I53" s="0" t="n">
        <v>22.63</v>
      </c>
      <c r="J53" s="0" t="n">
        <v>74.81999999999999</v>
      </c>
      <c r="K53" s="0" t="n">
        <v>149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103A</t>
        </is>
      </c>
      <c r="X53" s="0" t="n">
        <v>25</v>
      </c>
      <c r="Y53" s="0" t="n">
        <v>17</v>
      </c>
      <c r="Z53" s="0" t="inlineStr">
        <is>
          <t>https://new.land.naver.com/complexes/119358?tab=detail&amp;rf=Y</t>
        </is>
      </c>
      <c r="AA53" s="0" t="inlineStr">
        <is>
          <t>경기도 하남시 감이동 535</t>
        </is>
      </c>
      <c r="AB53" s="0" t="inlineStr">
        <is>
          <t>경기도</t>
        </is>
      </c>
      <c r="AC53" s="0" t="inlineStr">
        <is>
          <t>하남시</t>
        </is>
      </c>
      <c r="AD53" s="0" t="inlineStr">
        <is>
          <t>감이동</t>
        </is>
      </c>
      <c r="AG53" s="0" t="inlineStr">
        <is>
          <t>경기도 하남시 감일백제로 35</t>
        </is>
      </c>
      <c r="AH53" s="0" t="n">
        <v>0</v>
      </c>
      <c r="AI53" s="0" t="n">
        <v>218</v>
      </c>
      <c r="AJ53" s="0" t="n">
        <v>19</v>
      </c>
      <c r="AK53" s="0" t="n">
        <v>667</v>
      </c>
      <c r="AL53" s="0" t="n">
        <v>1.13</v>
      </c>
    </row>
    <row r="54">
      <c r="A54" s="0" t="inlineStr">
        <is>
          <t>[감이동]</t>
        </is>
      </c>
      <c r="B54" s="0" t="n">
        <v>119358</v>
      </c>
      <c r="C54" s="0" t="n">
        <v>5</v>
      </c>
      <c r="D54" s="0" t="inlineStr">
        <is>
          <t>감일센트레빌</t>
        </is>
      </c>
      <c r="E54" s="0" t="inlineStr">
        <is>
          <t>2020.03.</t>
        </is>
      </c>
      <c r="F54" s="0" t="n">
        <v>589</v>
      </c>
      <c r="G54" s="0" t="n">
        <v>35.41</v>
      </c>
      <c r="H54" s="0" t="n">
        <v>117.06</v>
      </c>
      <c r="I54" s="0" t="n">
        <v>25.63</v>
      </c>
      <c r="J54" s="0" t="n">
        <v>84.75</v>
      </c>
      <c r="K54" s="0" t="n">
        <v>156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117A</t>
        </is>
      </c>
      <c r="X54" s="0" t="n">
        <v>25</v>
      </c>
      <c r="Y54" s="0" t="n">
        <v>17</v>
      </c>
      <c r="Z54" s="0" t="inlineStr">
        <is>
          <t>https://new.land.naver.com/complexes/119358?tab=detail&amp;rf=Y</t>
        </is>
      </c>
      <c r="AA54" s="0" t="inlineStr">
        <is>
          <t>경기도 하남시 감이동 535</t>
        </is>
      </c>
      <c r="AB54" s="0" t="inlineStr">
        <is>
          <t>경기도</t>
        </is>
      </c>
      <c r="AC54" s="0" t="inlineStr">
        <is>
          <t>하남시</t>
        </is>
      </c>
      <c r="AD54" s="0" t="inlineStr">
        <is>
          <t>감이동</t>
        </is>
      </c>
      <c r="AG54" s="0" t="inlineStr">
        <is>
          <t>경기도 하남시 감일백제로 35</t>
        </is>
      </c>
      <c r="AH54" s="0" t="n">
        <v>0</v>
      </c>
      <c r="AI54" s="0" t="n">
        <v>218</v>
      </c>
      <c r="AJ54" s="0" t="n">
        <v>19</v>
      </c>
      <c r="AK54" s="0" t="n">
        <v>667</v>
      </c>
      <c r="AL54" s="0" t="n">
        <v>1.13</v>
      </c>
    </row>
    <row r="55">
      <c r="A55" s="0" t="inlineStr">
        <is>
          <t>[감일동]</t>
        </is>
      </c>
      <c r="B55" s="0" t="n">
        <v>136150</v>
      </c>
      <c r="C55" s="0" t="n">
        <v>1</v>
      </c>
      <c r="D55" s="0" t="inlineStr">
        <is>
          <t>하남감일스윗시티(B1블록)</t>
        </is>
      </c>
      <c r="E55" s="0" t="inlineStr">
        <is>
          <t>2021.05.</t>
        </is>
      </c>
      <c r="F55" s="0" t="n">
        <v>684</v>
      </c>
      <c r="G55" s="0" t="n">
        <v>31.22</v>
      </c>
      <c r="H55" s="0" t="n">
        <v>103.22</v>
      </c>
      <c r="I55" s="0" t="n">
        <v>22.66</v>
      </c>
      <c r="J55" s="0" t="n">
        <v>74.93000000000001</v>
      </c>
      <c r="K55" s="0" t="n">
        <v>74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103H</t>
        </is>
      </c>
      <c r="X55" s="0" t="n">
        <v>25</v>
      </c>
      <c r="Y55" s="0" t="n">
        <v>12</v>
      </c>
      <c r="Z55" s="0" t="inlineStr">
        <is>
          <t>https://new.land.naver.com/complexes/136150?tab=detail&amp;rf=Y</t>
        </is>
      </c>
      <c r="AA55" s="0" t="inlineStr">
        <is>
          <t>경기도 하남시 감일동 519</t>
        </is>
      </c>
      <c r="AB55" s="0" t="inlineStr">
        <is>
          <t>경기도</t>
        </is>
      </c>
      <c r="AC55" s="0" t="inlineStr">
        <is>
          <t>하남시</t>
        </is>
      </c>
      <c r="AD55" s="0" t="inlineStr">
        <is>
          <t>감일동</t>
        </is>
      </c>
      <c r="AG55" s="0" t="inlineStr">
        <is>
          <t>경기도 하남시 신우실로 15</t>
        </is>
      </c>
      <c r="AH55" s="0" t="n">
        <v>474</v>
      </c>
      <c r="AI55" s="0" t="n">
        <v>149</v>
      </c>
      <c r="AJ55" s="0" t="n">
        <v>14</v>
      </c>
      <c r="AK55" s="0" t="n">
        <v>835</v>
      </c>
      <c r="AL55" s="0" t="n">
        <v>1.22</v>
      </c>
    </row>
    <row r="56">
      <c r="A56" s="0" t="inlineStr">
        <is>
          <t>[감일동]</t>
        </is>
      </c>
      <c r="B56" s="0" t="n">
        <v>136150</v>
      </c>
      <c r="C56" s="0" t="n">
        <v>2</v>
      </c>
      <c r="D56" s="0" t="inlineStr">
        <is>
          <t>하남감일스윗시티(B1블록)</t>
        </is>
      </c>
      <c r="E56" s="0" t="inlineStr">
        <is>
          <t>2021.05.</t>
        </is>
      </c>
      <c r="F56" s="0" t="n">
        <v>684</v>
      </c>
      <c r="G56" s="0" t="n">
        <v>35.38</v>
      </c>
      <c r="H56" s="0" t="n">
        <v>116.97</v>
      </c>
      <c r="I56" s="0" t="n">
        <v>25.68</v>
      </c>
      <c r="J56" s="0" t="n">
        <v>84.91</v>
      </c>
      <c r="K56" s="0" t="n">
        <v>136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116D</t>
        </is>
      </c>
      <c r="X56" s="0" t="n">
        <v>25</v>
      </c>
      <c r="Y56" s="0" t="n">
        <v>12</v>
      </c>
      <c r="Z56" s="0" t="inlineStr">
        <is>
          <t>https://new.land.naver.com/complexes/136150?tab=detail&amp;rf=Y</t>
        </is>
      </c>
      <c r="AA56" s="0" t="inlineStr">
        <is>
          <t>경기도 하남시 감일동 519</t>
        </is>
      </c>
      <c r="AB56" s="0" t="inlineStr">
        <is>
          <t>경기도</t>
        </is>
      </c>
      <c r="AC56" s="0" t="inlineStr">
        <is>
          <t>하남시</t>
        </is>
      </c>
      <c r="AD56" s="0" t="inlineStr">
        <is>
          <t>감일동</t>
        </is>
      </c>
      <c r="AG56" s="0" t="inlineStr">
        <is>
          <t>경기도 하남시 신우실로 15</t>
        </is>
      </c>
      <c r="AH56" s="0" t="n">
        <v>474</v>
      </c>
      <c r="AI56" s="0" t="n">
        <v>149</v>
      </c>
      <c r="AJ56" s="0" t="n">
        <v>14</v>
      </c>
      <c r="AK56" s="0" t="n">
        <v>835</v>
      </c>
      <c r="AL56" s="0" t="n">
        <v>1.22</v>
      </c>
    </row>
    <row r="57">
      <c r="A57" s="0" t="inlineStr">
        <is>
          <t>[덕풍동]</t>
        </is>
      </c>
      <c r="B57" s="0" t="n">
        <v>27884</v>
      </c>
      <c r="C57" s="0" t="n">
        <v>1</v>
      </c>
      <c r="D57" s="0" t="inlineStr">
        <is>
          <t>한솔리치빌2단지</t>
        </is>
      </c>
      <c r="E57" s="0" t="inlineStr">
        <is>
          <t>2002.12.</t>
        </is>
      </c>
      <c r="F57" s="0" t="n">
        <v>347</v>
      </c>
      <c r="G57" s="0" t="n">
        <v>26.66</v>
      </c>
      <c r="H57" s="0" t="n">
        <v>88.15000000000001</v>
      </c>
      <c r="I57" s="0" t="n">
        <v>18.03</v>
      </c>
      <c r="J57" s="0" t="n">
        <v>59.62</v>
      </c>
      <c r="K57" s="0" t="n">
        <v>25</v>
      </c>
      <c r="T57" s="0" t="n">
        <v>3</v>
      </c>
      <c r="U57" s="0" t="n">
        <v>2</v>
      </c>
      <c r="V57" s="0" t="inlineStr">
        <is>
          <t>계단식</t>
        </is>
      </c>
      <c r="W57" s="0" t="n">
        <v>88</v>
      </c>
      <c r="X57" s="0" t="n">
        <v>25</v>
      </c>
      <c r="Y57" s="0" t="n">
        <v>11</v>
      </c>
      <c r="Z57" s="0" t="inlineStr">
        <is>
          <t>https://new.land.naver.com/complexes/27884?tab=detail&amp;rf=Y</t>
        </is>
      </c>
      <c r="AA57" s="0" t="inlineStr">
        <is>
          <t>경기도 하남시 덕풍동 684</t>
        </is>
      </c>
      <c r="AB57" s="0" t="inlineStr">
        <is>
          <t>경기도</t>
        </is>
      </c>
      <c r="AC57" s="0" t="inlineStr">
        <is>
          <t>하남시</t>
        </is>
      </c>
      <c r="AD57" s="0" t="inlineStr">
        <is>
          <t>덕풍동</t>
        </is>
      </c>
      <c r="AG57" s="0" t="inlineStr">
        <is>
          <t>경기도 하남시 덕산로 60</t>
        </is>
      </c>
      <c r="AH57" s="0" t="n">
        <v>0</v>
      </c>
      <c r="AI57" s="0" t="n">
        <v>350</v>
      </c>
      <c r="AJ57" s="0" t="n">
        <v>18</v>
      </c>
      <c r="AK57" s="0" t="n">
        <v>353</v>
      </c>
      <c r="AL57" s="0" t="n">
        <v>1.02</v>
      </c>
    </row>
    <row r="58">
      <c r="A58" s="0" t="inlineStr">
        <is>
          <t>[덕풍동]</t>
        </is>
      </c>
      <c r="B58" s="0" t="n">
        <v>27884</v>
      </c>
      <c r="C58" s="0" t="n">
        <v>2</v>
      </c>
      <c r="D58" s="0" t="inlineStr">
        <is>
          <t>한솔리치빌2단지</t>
        </is>
      </c>
      <c r="E58" s="0" t="inlineStr">
        <is>
          <t>2002.12.</t>
        </is>
      </c>
      <c r="F58" s="0" t="n">
        <v>347</v>
      </c>
      <c r="G58" s="0" t="n">
        <v>34.53</v>
      </c>
      <c r="H58" s="0" t="n">
        <v>114.17</v>
      </c>
      <c r="I58" s="0" t="n">
        <v>25.54</v>
      </c>
      <c r="J58" s="0" t="n">
        <v>84.43000000000001</v>
      </c>
      <c r="K58" s="0" t="n">
        <v>322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114B</t>
        </is>
      </c>
      <c r="X58" s="0" t="n">
        <v>25</v>
      </c>
      <c r="Y58" s="0" t="n">
        <v>11</v>
      </c>
      <c r="Z58" s="0" t="inlineStr">
        <is>
          <t>https://new.land.naver.com/complexes/27884?tab=detail&amp;rf=Y</t>
        </is>
      </c>
      <c r="AA58" s="0" t="inlineStr">
        <is>
          <t>경기도 하남시 덕풍동 684</t>
        </is>
      </c>
      <c r="AB58" s="0" t="inlineStr">
        <is>
          <t>경기도</t>
        </is>
      </c>
      <c r="AC58" s="0" t="inlineStr">
        <is>
          <t>하남시</t>
        </is>
      </c>
      <c r="AD58" s="0" t="inlineStr">
        <is>
          <t>덕풍동</t>
        </is>
      </c>
      <c r="AG58" s="0" t="inlineStr">
        <is>
          <t>경기도 하남시 덕산로 60</t>
        </is>
      </c>
      <c r="AH58" s="0" t="n">
        <v>0</v>
      </c>
      <c r="AI58" s="0" t="n">
        <v>350</v>
      </c>
      <c r="AJ58" s="0" t="n">
        <v>18</v>
      </c>
      <c r="AK58" s="0" t="n">
        <v>353</v>
      </c>
      <c r="AL58" s="0" t="n">
        <v>1.02</v>
      </c>
    </row>
    <row r="59">
      <c r="A59" s="0" t="inlineStr">
        <is>
          <t>[덕풍동]</t>
        </is>
      </c>
      <c r="B59" s="0" t="n">
        <v>11038</v>
      </c>
      <c r="C59" s="0" t="n">
        <v>1</v>
      </c>
      <c r="D59" s="0" t="inlineStr">
        <is>
          <t>벽산블루밍</t>
        </is>
      </c>
      <c r="E59" s="0" t="inlineStr">
        <is>
          <t>2007.04.</t>
        </is>
      </c>
      <c r="F59" s="0" t="n">
        <v>696</v>
      </c>
      <c r="G59" s="0" t="n">
        <v>24.43</v>
      </c>
      <c r="H59" s="0" t="n">
        <v>80.78</v>
      </c>
      <c r="I59" s="0" t="n">
        <v>18.12</v>
      </c>
      <c r="J59" s="0" t="n">
        <v>59.91</v>
      </c>
      <c r="K59" s="0" t="n">
        <v>232</v>
      </c>
      <c r="T59" s="0" t="n">
        <v>3</v>
      </c>
      <c r="U59" s="0" t="n">
        <v>2</v>
      </c>
      <c r="V59" s="0" t="inlineStr">
        <is>
          <t>계단식</t>
        </is>
      </c>
      <c r="W59" s="0" t="n">
        <v>80</v>
      </c>
      <c r="X59" s="0" t="n">
        <v>25</v>
      </c>
      <c r="Y59" s="0" t="n">
        <v>9</v>
      </c>
      <c r="Z59" s="0" t="inlineStr">
        <is>
          <t>https://new.land.naver.com/complexes/11038?tab=detail&amp;rf=Y</t>
        </is>
      </c>
      <c r="AA59" s="0" t="inlineStr">
        <is>
          <t>경기도 하남시 덕풍동 695</t>
        </is>
      </c>
      <c r="AB59" s="0" t="inlineStr">
        <is>
          <t>경기도</t>
        </is>
      </c>
      <c r="AC59" s="0" t="inlineStr">
        <is>
          <t>하남시</t>
        </is>
      </c>
      <c r="AD59" s="0" t="inlineStr">
        <is>
          <t>덕풍동</t>
        </is>
      </c>
      <c r="AG59" s="0" t="inlineStr">
        <is>
          <t>경기도 하남시 신평로 36</t>
        </is>
      </c>
      <c r="AH59" s="0" t="n">
        <v>0</v>
      </c>
      <c r="AI59" s="0" t="n">
        <v>295</v>
      </c>
      <c r="AJ59" s="0" t="n">
        <v>19</v>
      </c>
      <c r="AK59" s="0" t="n">
        <v>771</v>
      </c>
      <c r="AL59" s="0" t="n">
        <v>1.11</v>
      </c>
    </row>
    <row r="60">
      <c r="A60" s="0" t="inlineStr">
        <is>
          <t>[덕풍동]</t>
        </is>
      </c>
      <c r="B60" s="0" t="n">
        <v>11038</v>
      </c>
      <c r="C60" s="0" t="n">
        <v>2</v>
      </c>
      <c r="D60" s="0" t="inlineStr">
        <is>
          <t>벽산블루밍</t>
        </is>
      </c>
      <c r="E60" s="0" t="inlineStr">
        <is>
          <t>2007.04.</t>
        </is>
      </c>
      <c r="F60" s="0" t="n">
        <v>696</v>
      </c>
      <c r="G60" s="0" t="n">
        <v>32.51</v>
      </c>
      <c r="H60" s="0" t="n">
        <v>107.48</v>
      </c>
      <c r="I60" s="0" t="n">
        <v>25.7</v>
      </c>
      <c r="J60" s="0" t="n">
        <v>84.95999999999999</v>
      </c>
      <c r="K60" s="0" t="n">
        <v>464</v>
      </c>
      <c r="T60" s="0" t="n">
        <v>3</v>
      </c>
      <c r="U60" s="0" t="n">
        <v>2</v>
      </c>
      <c r="V60" s="0" t="inlineStr">
        <is>
          <t>계단식</t>
        </is>
      </c>
      <c r="W60" s="0" t="n">
        <v>107</v>
      </c>
      <c r="X60" s="0" t="n">
        <v>25</v>
      </c>
      <c r="Y60" s="0" t="n">
        <v>9</v>
      </c>
      <c r="Z60" s="0" t="inlineStr">
        <is>
          <t>https://new.land.naver.com/complexes/11038?tab=detail&amp;rf=Y</t>
        </is>
      </c>
      <c r="AA60" s="0" t="inlineStr">
        <is>
          <t>경기도 하남시 덕풍동 695</t>
        </is>
      </c>
      <c r="AB60" s="0" t="inlineStr">
        <is>
          <t>경기도</t>
        </is>
      </c>
      <c r="AC60" s="0" t="inlineStr">
        <is>
          <t>하남시</t>
        </is>
      </c>
      <c r="AD60" s="0" t="inlineStr">
        <is>
          <t>덕풍동</t>
        </is>
      </c>
      <c r="AG60" s="0" t="inlineStr">
        <is>
          <t>경기도 하남시 신평로 36</t>
        </is>
      </c>
      <c r="AH60" s="0" t="n">
        <v>0</v>
      </c>
      <c r="AI60" s="0" t="n">
        <v>295</v>
      </c>
      <c r="AJ60" s="0" t="n">
        <v>19</v>
      </c>
      <c r="AK60" s="0" t="n">
        <v>771</v>
      </c>
      <c r="AL60" s="0" t="n">
        <v>1.11</v>
      </c>
    </row>
    <row r="61">
      <c r="A61" s="0" t="inlineStr">
        <is>
          <t>[덕풍동]</t>
        </is>
      </c>
      <c r="B61" s="0" t="n">
        <v>26085</v>
      </c>
      <c r="C61" s="0" t="n">
        <v>1</v>
      </c>
      <c r="D61" s="0" t="inlineStr">
        <is>
          <t>우남퍼스트빌리젠트</t>
        </is>
      </c>
      <c r="E61" s="0" t="inlineStr">
        <is>
          <t>2008.03.</t>
        </is>
      </c>
      <c r="F61" s="0" t="n">
        <v>95</v>
      </c>
      <c r="G61" s="0" t="n">
        <v>40.5</v>
      </c>
      <c r="H61" s="0" t="n">
        <v>133.9</v>
      </c>
      <c r="I61" s="0" t="n">
        <v>34.42</v>
      </c>
      <c r="J61" s="0" t="n">
        <v>113.81</v>
      </c>
      <c r="K61" s="0" t="n">
        <v>21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133A4</t>
        </is>
      </c>
      <c r="X61" s="0" t="n">
        <v>4</v>
      </c>
      <c r="Y61" s="0" t="n">
        <v>4</v>
      </c>
      <c r="Z61" s="0" t="inlineStr">
        <is>
          <t>https://new.land.naver.com/complexes/26085?tab=detail&amp;rf=Y</t>
        </is>
      </c>
      <c r="AA61" s="0" t="inlineStr">
        <is>
          <t>경기도 하남시 덕풍동 728</t>
        </is>
      </c>
      <c r="AB61" s="0" t="inlineStr">
        <is>
          <t>경기도</t>
        </is>
      </c>
      <c r="AC61" s="0" t="inlineStr">
        <is>
          <t>하남시</t>
        </is>
      </c>
      <c r="AD61" s="0" t="inlineStr">
        <is>
          <t>덕풍동</t>
        </is>
      </c>
      <c r="AG61" s="0" t="inlineStr">
        <is>
          <t>경기도 하남시 덕풍북로 110</t>
        </is>
      </c>
      <c r="AH61" s="0" t="n">
        <v>0</v>
      </c>
      <c r="AI61" s="0" t="n">
        <v>98</v>
      </c>
      <c r="AJ61" s="0" t="n">
        <v>30</v>
      </c>
      <c r="AK61" s="0" t="n">
        <v>194</v>
      </c>
      <c r="AL61" s="0" t="n">
        <v>2.04</v>
      </c>
    </row>
    <row r="62">
      <c r="A62" s="0" t="inlineStr">
        <is>
          <t>[덕풍동]</t>
        </is>
      </c>
      <c r="B62" s="0" t="n">
        <v>26085</v>
      </c>
      <c r="C62" s="0" t="n">
        <v>2</v>
      </c>
      <c r="D62" s="0" t="inlineStr">
        <is>
          <t>우남퍼스트빌리젠트</t>
        </is>
      </c>
      <c r="E62" s="0" t="inlineStr">
        <is>
          <t>2008.03.</t>
        </is>
      </c>
      <c r="F62" s="0" t="n">
        <v>95</v>
      </c>
      <c r="G62" s="0" t="n">
        <v>40.58</v>
      </c>
      <c r="H62" s="0" t="n">
        <v>134.15</v>
      </c>
      <c r="I62" s="0" t="n">
        <v>34.33</v>
      </c>
      <c r="J62" s="0" t="n">
        <v>113.51</v>
      </c>
      <c r="K62" s="0" t="n">
        <v>1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134D4</t>
        </is>
      </c>
      <c r="X62" s="0" t="n">
        <v>4</v>
      </c>
      <c r="Y62" s="0" t="n">
        <v>4</v>
      </c>
      <c r="Z62" s="0" t="inlineStr">
        <is>
          <t>https://new.land.naver.com/complexes/26085?tab=detail&amp;rf=Y</t>
        </is>
      </c>
      <c r="AA62" s="0" t="inlineStr">
        <is>
          <t>경기도 하남시 덕풍동 728</t>
        </is>
      </c>
      <c r="AB62" s="0" t="inlineStr">
        <is>
          <t>경기도</t>
        </is>
      </c>
      <c r="AC62" s="0" t="inlineStr">
        <is>
          <t>하남시</t>
        </is>
      </c>
      <c r="AD62" s="0" t="inlineStr">
        <is>
          <t>덕풍동</t>
        </is>
      </c>
      <c r="AG62" s="0" t="inlineStr">
        <is>
          <t>경기도 하남시 덕풍북로 110</t>
        </is>
      </c>
      <c r="AH62" s="0" t="n">
        <v>0</v>
      </c>
      <c r="AI62" s="0" t="n">
        <v>98</v>
      </c>
      <c r="AJ62" s="0" t="n">
        <v>30</v>
      </c>
      <c r="AK62" s="0" t="n">
        <v>194</v>
      </c>
      <c r="AL62" s="0" t="n">
        <v>2.04</v>
      </c>
    </row>
    <row r="63">
      <c r="A63" s="0" t="inlineStr">
        <is>
          <t>[덕풍동]</t>
        </is>
      </c>
      <c r="B63" s="0" t="n">
        <v>26085</v>
      </c>
      <c r="C63" s="0" t="n">
        <v>3</v>
      </c>
      <c r="D63" s="0" t="inlineStr">
        <is>
          <t>우남퍼스트빌리젠트</t>
        </is>
      </c>
      <c r="E63" s="0" t="inlineStr">
        <is>
          <t>2008.03.</t>
        </is>
      </c>
      <c r="F63" s="0" t="n">
        <v>95</v>
      </c>
      <c r="G63" s="0" t="n">
        <v>41.05</v>
      </c>
      <c r="H63" s="0" t="n">
        <v>135.72</v>
      </c>
      <c r="I63" s="0" t="n">
        <v>34.56</v>
      </c>
      <c r="J63" s="0" t="n">
        <v>114.28</v>
      </c>
      <c r="K63" s="0" t="n">
        <v>1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135C4</t>
        </is>
      </c>
      <c r="X63" s="0" t="n">
        <v>4</v>
      </c>
      <c r="Y63" s="0" t="n">
        <v>4</v>
      </c>
      <c r="Z63" s="0" t="inlineStr">
        <is>
          <t>https://new.land.naver.com/complexes/26085?tab=detail&amp;rf=Y</t>
        </is>
      </c>
      <c r="AA63" s="0" t="inlineStr">
        <is>
          <t>경기도 하남시 덕풍동 728</t>
        </is>
      </c>
      <c r="AB63" s="0" t="inlineStr">
        <is>
          <t>경기도</t>
        </is>
      </c>
      <c r="AC63" s="0" t="inlineStr">
        <is>
          <t>하남시</t>
        </is>
      </c>
      <c r="AD63" s="0" t="inlineStr">
        <is>
          <t>덕풍동</t>
        </is>
      </c>
      <c r="AG63" s="0" t="inlineStr">
        <is>
          <t>경기도 하남시 덕풍북로 110</t>
        </is>
      </c>
      <c r="AH63" s="0" t="n">
        <v>0</v>
      </c>
      <c r="AI63" s="0" t="n">
        <v>98</v>
      </c>
      <c r="AJ63" s="0" t="n">
        <v>30</v>
      </c>
      <c r="AK63" s="0" t="n">
        <v>194</v>
      </c>
      <c r="AL63" s="0" t="n">
        <v>2.04</v>
      </c>
    </row>
    <row r="64">
      <c r="A64" s="0" t="inlineStr">
        <is>
          <t>[덕풍동]</t>
        </is>
      </c>
      <c r="B64" s="0" t="n">
        <v>26085</v>
      </c>
      <c r="C64" s="0" t="n">
        <v>4</v>
      </c>
      <c r="D64" s="0" t="inlineStr">
        <is>
          <t>우남퍼스트빌리젠트</t>
        </is>
      </c>
      <c r="E64" s="0" t="inlineStr">
        <is>
          <t>2008.03.</t>
        </is>
      </c>
      <c r="F64" s="0" t="n">
        <v>95</v>
      </c>
      <c r="G64" s="0" t="n">
        <v>41.3</v>
      </c>
      <c r="H64" s="0" t="n">
        <v>136.56</v>
      </c>
      <c r="I64" s="0" t="n">
        <v>34.87</v>
      </c>
      <c r="J64" s="0" t="n">
        <v>115.28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136B4</t>
        </is>
      </c>
      <c r="X64" s="0" t="n">
        <v>4</v>
      </c>
      <c r="Y64" s="0" t="n">
        <v>4</v>
      </c>
      <c r="Z64" s="0" t="inlineStr">
        <is>
          <t>https://new.land.naver.com/complexes/26085?tab=detail&amp;rf=Y</t>
        </is>
      </c>
      <c r="AA64" s="0" t="inlineStr">
        <is>
          <t>경기도 하남시 덕풍동 728</t>
        </is>
      </c>
      <c r="AB64" s="0" t="inlineStr">
        <is>
          <t>경기도</t>
        </is>
      </c>
      <c r="AC64" s="0" t="inlineStr">
        <is>
          <t>하남시</t>
        </is>
      </c>
      <c r="AD64" s="0" t="inlineStr">
        <is>
          <t>덕풍동</t>
        </is>
      </c>
      <c r="AG64" s="0" t="inlineStr">
        <is>
          <t>경기도 하남시 덕풍북로 110</t>
        </is>
      </c>
      <c r="AH64" s="0" t="n">
        <v>0</v>
      </c>
      <c r="AI64" s="0" t="n">
        <v>98</v>
      </c>
      <c r="AJ64" s="0" t="n">
        <v>30</v>
      </c>
      <c r="AK64" s="0" t="n">
        <v>194</v>
      </c>
      <c r="AL64" s="0" t="n">
        <v>2.04</v>
      </c>
    </row>
    <row r="65">
      <c r="A65" s="0" t="inlineStr">
        <is>
          <t>[덕풍동]</t>
        </is>
      </c>
      <c r="B65" s="0" t="n">
        <v>26085</v>
      </c>
      <c r="C65" s="0" t="n">
        <v>5</v>
      </c>
      <c r="D65" s="0" t="inlineStr">
        <is>
          <t>우남퍼스트빌리젠트</t>
        </is>
      </c>
      <c r="E65" s="0" t="inlineStr">
        <is>
          <t>2008.03.</t>
        </is>
      </c>
      <c r="F65" s="0" t="n">
        <v>95</v>
      </c>
      <c r="G65" s="0" t="n">
        <v>47.09</v>
      </c>
      <c r="H65" s="0" t="n">
        <v>155.7</v>
      </c>
      <c r="I65" s="0" t="n">
        <v>39.84</v>
      </c>
      <c r="J65" s="0" t="n">
        <v>131.73</v>
      </c>
      <c r="K65" s="0" t="n">
        <v>3</v>
      </c>
      <c r="T65" s="0" t="n">
        <v>4</v>
      </c>
      <c r="U65" s="0" t="n">
        <v>2</v>
      </c>
      <c r="V65" s="0" t="inlineStr">
        <is>
          <t>계단식</t>
        </is>
      </c>
      <c r="W65" s="0" t="inlineStr">
        <is>
          <t>155C1</t>
        </is>
      </c>
      <c r="X65" s="0" t="n">
        <v>4</v>
      </c>
      <c r="Y65" s="0" t="n">
        <v>4</v>
      </c>
      <c r="Z65" s="0" t="inlineStr">
        <is>
          <t>https://new.land.naver.com/complexes/26085?tab=detail&amp;rf=Y</t>
        </is>
      </c>
      <c r="AA65" s="0" t="inlineStr">
        <is>
          <t>경기도 하남시 덕풍동 728</t>
        </is>
      </c>
      <c r="AB65" s="0" t="inlineStr">
        <is>
          <t>경기도</t>
        </is>
      </c>
      <c r="AC65" s="0" t="inlineStr">
        <is>
          <t>하남시</t>
        </is>
      </c>
      <c r="AD65" s="0" t="inlineStr">
        <is>
          <t>덕풍동</t>
        </is>
      </c>
      <c r="AG65" s="0" t="inlineStr">
        <is>
          <t>경기도 하남시 덕풍북로 110</t>
        </is>
      </c>
      <c r="AH65" s="0" t="n">
        <v>0</v>
      </c>
      <c r="AI65" s="0" t="n">
        <v>98</v>
      </c>
      <c r="AJ65" s="0" t="n">
        <v>30</v>
      </c>
      <c r="AK65" s="0" t="n">
        <v>194</v>
      </c>
      <c r="AL65" s="0" t="n">
        <v>2.04</v>
      </c>
    </row>
    <row r="66">
      <c r="A66" s="0" t="inlineStr">
        <is>
          <t>[덕풍동]</t>
        </is>
      </c>
      <c r="B66" s="0" t="n">
        <v>26085</v>
      </c>
      <c r="C66" s="0" t="n">
        <v>6</v>
      </c>
      <c r="D66" s="0" t="inlineStr">
        <is>
          <t>우남퍼스트빌리젠트</t>
        </is>
      </c>
      <c r="E66" s="0" t="inlineStr">
        <is>
          <t>2008.03.</t>
        </is>
      </c>
      <c r="F66" s="0" t="n">
        <v>95</v>
      </c>
      <c r="G66" s="0" t="n">
        <v>47.15</v>
      </c>
      <c r="H66" s="0" t="n">
        <v>155.9</v>
      </c>
      <c r="I66" s="0" t="n">
        <v>39.79</v>
      </c>
      <c r="J66" s="0" t="n">
        <v>131.57</v>
      </c>
      <c r="K66" s="0" t="n">
        <v>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155D1</t>
        </is>
      </c>
      <c r="X66" s="0" t="n">
        <v>4</v>
      </c>
      <c r="Y66" s="0" t="n">
        <v>4</v>
      </c>
      <c r="Z66" s="0" t="inlineStr">
        <is>
          <t>https://new.land.naver.com/complexes/26085?tab=detail&amp;rf=Y</t>
        </is>
      </c>
      <c r="AA66" s="0" t="inlineStr">
        <is>
          <t>경기도 하남시 덕풍동 728</t>
        </is>
      </c>
      <c r="AB66" s="0" t="inlineStr">
        <is>
          <t>경기도</t>
        </is>
      </c>
      <c r="AC66" s="0" t="inlineStr">
        <is>
          <t>하남시</t>
        </is>
      </c>
      <c r="AD66" s="0" t="inlineStr">
        <is>
          <t>덕풍동</t>
        </is>
      </c>
      <c r="AG66" s="0" t="inlineStr">
        <is>
          <t>경기도 하남시 덕풍북로 110</t>
        </is>
      </c>
      <c r="AH66" s="0" t="n">
        <v>0</v>
      </c>
      <c r="AI66" s="0" t="n">
        <v>98</v>
      </c>
      <c r="AJ66" s="0" t="n">
        <v>30</v>
      </c>
      <c r="AK66" s="0" t="n">
        <v>194</v>
      </c>
      <c r="AL66" s="0" t="n">
        <v>2.04</v>
      </c>
    </row>
    <row r="67">
      <c r="A67" s="0" t="inlineStr">
        <is>
          <t>[덕풍동]</t>
        </is>
      </c>
      <c r="B67" s="0" t="n">
        <v>26085</v>
      </c>
      <c r="C67" s="0" t="n">
        <v>7</v>
      </c>
      <c r="D67" s="0" t="inlineStr">
        <is>
          <t>우남퍼스트빌리젠트</t>
        </is>
      </c>
      <c r="E67" s="0" t="inlineStr">
        <is>
          <t>2008.03.</t>
        </is>
      </c>
      <c r="F67" s="0" t="n">
        <v>95</v>
      </c>
      <c r="G67" s="0" t="n">
        <v>47.71</v>
      </c>
      <c r="H67" s="0" t="n">
        <v>157.74</v>
      </c>
      <c r="I67" s="0" t="n">
        <v>40.88</v>
      </c>
      <c r="J67" s="0" t="n">
        <v>135.15</v>
      </c>
      <c r="K67" s="0" t="n">
        <v>62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157A1</t>
        </is>
      </c>
      <c r="X67" s="0" t="n">
        <v>4</v>
      </c>
      <c r="Y67" s="0" t="n">
        <v>4</v>
      </c>
      <c r="Z67" s="0" t="inlineStr">
        <is>
          <t>https://new.land.naver.com/complexes/26085?tab=detail&amp;rf=Y</t>
        </is>
      </c>
      <c r="AA67" s="0" t="inlineStr">
        <is>
          <t>경기도 하남시 덕풍동 728</t>
        </is>
      </c>
      <c r="AB67" s="0" t="inlineStr">
        <is>
          <t>경기도</t>
        </is>
      </c>
      <c r="AC67" s="0" t="inlineStr">
        <is>
          <t>하남시</t>
        </is>
      </c>
      <c r="AD67" s="0" t="inlineStr">
        <is>
          <t>덕풍동</t>
        </is>
      </c>
      <c r="AG67" s="0" t="inlineStr">
        <is>
          <t>경기도 하남시 덕풍북로 110</t>
        </is>
      </c>
      <c r="AH67" s="0" t="n">
        <v>0</v>
      </c>
      <c r="AI67" s="0" t="n">
        <v>98</v>
      </c>
      <c r="AJ67" s="0" t="n">
        <v>30</v>
      </c>
      <c r="AK67" s="0" t="n">
        <v>194</v>
      </c>
      <c r="AL67" s="0" t="n">
        <v>2.04</v>
      </c>
    </row>
    <row r="68">
      <c r="A68" s="0" t="inlineStr">
        <is>
          <t>[덕풍동]</t>
        </is>
      </c>
      <c r="B68" s="0" t="n">
        <v>26085</v>
      </c>
      <c r="C68" s="0" t="n">
        <v>8</v>
      </c>
      <c r="D68" s="0" t="inlineStr">
        <is>
          <t>우남퍼스트빌리젠트</t>
        </is>
      </c>
      <c r="E68" s="0" t="inlineStr">
        <is>
          <t>2008.03.</t>
        </is>
      </c>
      <c r="F68" s="0" t="n">
        <v>95</v>
      </c>
      <c r="G68" s="0" t="n">
        <v>48.5</v>
      </c>
      <c r="H68" s="0" t="n">
        <v>160.34</v>
      </c>
      <c r="I68" s="0" t="n">
        <v>41.36</v>
      </c>
      <c r="J68" s="0" t="n">
        <v>136.74</v>
      </c>
      <c r="K68" s="0" t="n">
        <v>3</v>
      </c>
      <c r="T68" s="0" t="n">
        <v>4</v>
      </c>
      <c r="U68" s="0" t="n">
        <v>2</v>
      </c>
      <c r="V68" s="0" t="inlineStr">
        <is>
          <t>계단식</t>
        </is>
      </c>
      <c r="W68" s="0" t="inlineStr">
        <is>
          <t>160B1</t>
        </is>
      </c>
      <c r="X68" s="0" t="n">
        <v>4</v>
      </c>
      <c r="Y68" s="0" t="n">
        <v>4</v>
      </c>
      <c r="Z68" s="0" t="inlineStr">
        <is>
          <t>https://new.land.naver.com/complexes/26085?tab=detail&amp;rf=Y</t>
        </is>
      </c>
      <c r="AA68" s="0" t="inlineStr">
        <is>
          <t>경기도 하남시 덕풍동 728</t>
        </is>
      </c>
      <c r="AB68" s="0" t="inlineStr">
        <is>
          <t>경기도</t>
        </is>
      </c>
      <c r="AC68" s="0" t="inlineStr">
        <is>
          <t>하남시</t>
        </is>
      </c>
      <c r="AD68" s="0" t="inlineStr">
        <is>
          <t>덕풍동</t>
        </is>
      </c>
      <c r="AG68" s="0" t="inlineStr">
        <is>
          <t>경기도 하남시 덕풍북로 110</t>
        </is>
      </c>
      <c r="AH68" s="0" t="n">
        <v>0</v>
      </c>
      <c r="AI68" s="0" t="n">
        <v>98</v>
      </c>
      <c r="AJ68" s="0" t="n">
        <v>30</v>
      </c>
      <c r="AK68" s="0" t="n">
        <v>194</v>
      </c>
      <c r="AL68" s="0" t="n">
        <v>2.04</v>
      </c>
    </row>
    <row r="69">
      <c r="A69" s="0" t="inlineStr">
        <is>
          <t>[덕풍동]</t>
        </is>
      </c>
      <c r="B69" s="0" t="n">
        <v>24216</v>
      </c>
      <c r="C69" s="0" t="n">
        <v>1</v>
      </c>
      <c r="D69" s="0" t="inlineStr">
        <is>
          <t>제일풍경채1단지</t>
        </is>
      </c>
      <c r="E69" s="0" t="inlineStr">
        <is>
          <t>2008.04.</t>
        </is>
      </c>
      <c r="F69" s="0" t="n">
        <v>140</v>
      </c>
      <c r="G69" s="0" t="n">
        <v>40.05</v>
      </c>
      <c r="H69" s="0" t="n">
        <v>132.4</v>
      </c>
      <c r="I69" s="0" t="n">
        <v>33.69</v>
      </c>
      <c r="J69" s="0" t="n">
        <v>111.38</v>
      </c>
      <c r="K69" s="0" t="n">
        <v>8</v>
      </c>
      <c r="T69" s="0" t="n">
        <v>4</v>
      </c>
      <c r="U69" s="0" t="n">
        <v>2</v>
      </c>
      <c r="V69" s="0" t="inlineStr">
        <is>
          <t>계단식</t>
        </is>
      </c>
      <c r="W69" s="0" t="n">
        <v>132</v>
      </c>
      <c r="X69" s="0" t="n">
        <v>4</v>
      </c>
      <c r="Y69" s="0" t="n">
        <v>4</v>
      </c>
      <c r="Z69" s="0" t="inlineStr">
        <is>
          <t>https://new.land.naver.com/complexes/24216?tab=detail&amp;rf=Y</t>
        </is>
      </c>
      <c r="AA69" s="0" t="inlineStr">
        <is>
          <t>경기도 하남시 덕풍동 759</t>
        </is>
      </c>
      <c r="AB69" s="0" t="inlineStr">
        <is>
          <t>경기도</t>
        </is>
      </c>
      <c r="AC69" s="0" t="inlineStr">
        <is>
          <t>하남시</t>
        </is>
      </c>
      <c r="AD69" s="0" t="inlineStr">
        <is>
          <t>덕풍동</t>
        </is>
      </c>
      <c r="AG69" s="0" t="inlineStr">
        <is>
          <t>경기도 하남시 덕풍북로71번길 30</t>
        </is>
      </c>
      <c r="AH69" s="0" t="n">
        <v>0</v>
      </c>
      <c r="AI69" s="0" t="n">
        <v>99</v>
      </c>
      <c r="AJ69" s="0" t="n">
        <v>34</v>
      </c>
      <c r="AK69" s="0" t="n">
        <v>310</v>
      </c>
      <c r="AL69" s="0" t="n">
        <v>2.21</v>
      </c>
    </row>
    <row r="70">
      <c r="A70" s="0" t="inlineStr">
        <is>
          <t>[덕풍동]</t>
        </is>
      </c>
      <c r="B70" s="0" t="n">
        <v>24216</v>
      </c>
      <c r="C70" s="0" t="n">
        <v>2</v>
      </c>
      <c r="D70" s="0" t="inlineStr">
        <is>
          <t>제일풍경채1단지</t>
        </is>
      </c>
      <c r="E70" s="0" t="inlineStr">
        <is>
          <t>2008.04.</t>
        </is>
      </c>
      <c r="F70" s="0" t="n">
        <v>140</v>
      </c>
      <c r="G70" s="0" t="n">
        <v>42.05</v>
      </c>
      <c r="H70" s="0" t="n">
        <v>139.03</v>
      </c>
      <c r="I70" s="0" t="n">
        <v>35.88</v>
      </c>
      <c r="J70" s="0" t="n">
        <v>118.64</v>
      </c>
      <c r="K70" s="0" t="n">
        <v>68</v>
      </c>
      <c r="T70" s="0" t="n">
        <v>5</v>
      </c>
      <c r="U70" s="0" t="n">
        <v>2</v>
      </c>
      <c r="V70" s="0" t="inlineStr">
        <is>
          <t>계단식</t>
        </is>
      </c>
      <c r="W70" s="0" t="n">
        <v>139</v>
      </c>
      <c r="X70" s="0" t="n">
        <v>4</v>
      </c>
      <c r="Y70" s="0" t="n">
        <v>4</v>
      </c>
      <c r="Z70" s="0" t="inlineStr">
        <is>
          <t>https://new.land.naver.com/complexes/24216?tab=detail&amp;rf=Y</t>
        </is>
      </c>
      <c r="AA70" s="0" t="inlineStr">
        <is>
          <t>경기도 하남시 덕풍동 759</t>
        </is>
      </c>
      <c r="AB70" s="0" t="inlineStr">
        <is>
          <t>경기도</t>
        </is>
      </c>
      <c r="AC70" s="0" t="inlineStr">
        <is>
          <t>하남시</t>
        </is>
      </c>
      <c r="AD70" s="0" t="inlineStr">
        <is>
          <t>덕풍동</t>
        </is>
      </c>
      <c r="AG70" s="0" t="inlineStr">
        <is>
          <t>경기도 하남시 덕풍북로71번길 30</t>
        </is>
      </c>
      <c r="AH70" s="0" t="n">
        <v>0</v>
      </c>
      <c r="AI70" s="0" t="n">
        <v>99</v>
      </c>
      <c r="AJ70" s="0" t="n">
        <v>34</v>
      </c>
      <c r="AK70" s="0" t="n">
        <v>310</v>
      </c>
      <c r="AL70" s="0" t="n">
        <v>2.21</v>
      </c>
    </row>
    <row r="71">
      <c r="A71" s="0" t="inlineStr">
        <is>
          <t>[덕풍동]</t>
        </is>
      </c>
      <c r="B71" s="0" t="n">
        <v>24216</v>
      </c>
      <c r="C71" s="0" t="n">
        <v>3</v>
      </c>
      <c r="D71" s="0" t="inlineStr">
        <is>
          <t>제일풍경채1단지</t>
        </is>
      </c>
      <c r="E71" s="0" t="inlineStr">
        <is>
          <t>2008.04.</t>
        </is>
      </c>
      <c r="F71" s="0" t="n">
        <v>140</v>
      </c>
      <c r="G71" s="0" t="n">
        <v>50.03</v>
      </c>
      <c r="H71" s="0" t="n">
        <v>165.42</v>
      </c>
      <c r="I71" s="0" t="n">
        <v>42.9</v>
      </c>
      <c r="J71" s="0" t="n">
        <v>141.84</v>
      </c>
      <c r="K71" s="0" t="n">
        <v>64</v>
      </c>
      <c r="T71" s="0" t="n">
        <v>5</v>
      </c>
      <c r="U71" s="0" t="n">
        <v>2</v>
      </c>
      <c r="V71" s="0" t="inlineStr">
        <is>
          <t>계단식</t>
        </is>
      </c>
      <c r="W71" s="0" t="n">
        <v>165</v>
      </c>
      <c r="X71" s="0" t="n">
        <v>4</v>
      </c>
      <c r="Y71" s="0" t="n">
        <v>4</v>
      </c>
      <c r="Z71" s="0" t="inlineStr">
        <is>
          <t>https://new.land.naver.com/complexes/24216?tab=detail&amp;rf=Y</t>
        </is>
      </c>
      <c r="AA71" s="0" t="inlineStr">
        <is>
          <t>경기도 하남시 덕풍동 759</t>
        </is>
      </c>
      <c r="AB71" s="0" t="inlineStr">
        <is>
          <t>경기도</t>
        </is>
      </c>
      <c r="AC71" s="0" t="inlineStr">
        <is>
          <t>하남시</t>
        </is>
      </c>
      <c r="AD71" s="0" t="inlineStr">
        <is>
          <t>덕풍동</t>
        </is>
      </c>
      <c r="AG71" s="0" t="inlineStr">
        <is>
          <t>경기도 하남시 덕풍북로71번길 30</t>
        </is>
      </c>
      <c r="AH71" s="0" t="n">
        <v>0</v>
      </c>
      <c r="AI71" s="0" t="n">
        <v>99</v>
      </c>
      <c r="AJ71" s="0" t="n">
        <v>34</v>
      </c>
      <c r="AK71" s="0" t="n">
        <v>310</v>
      </c>
      <c r="AL71" s="0" t="n">
        <v>2.21</v>
      </c>
    </row>
    <row r="72">
      <c r="A72" s="0" t="inlineStr">
        <is>
          <t>[덕풍동]</t>
        </is>
      </c>
      <c r="B72" s="0" t="n">
        <v>115679</v>
      </c>
      <c r="C72" s="0" t="n">
        <v>1</v>
      </c>
      <c r="D72" s="0" t="inlineStr">
        <is>
          <t>하남덕풍역파크어울림</t>
        </is>
      </c>
      <c r="E72" s="0" t="inlineStr">
        <is>
          <t>2019.04.</t>
        </is>
      </c>
      <c r="F72" s="0" t="n">
        <v>383</v>
      </c>
      <c r="G72" s="0" t="n">
        <v>25.67</v>
      </c>
      <c r="H72" s="0" t="n">
        <v>84.88</v>
      </c>
      <c r="I72" s="0" t="n">
        <v>18.13</v>
      </c>
      <c r="J72" s="0" t="n">
        <v>59.96</v>
      </c>
      <c r="K72" s="0" t="n">
        <v>344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84A</t>
        </is>
      </c>
      <c r="X72" s="0" t="n">
        <v>23</v>
      </c>
      <c r="Y72" s="0" t="n">
        <v>14</v>
      </c>
      <c r="Z72" s="0" t="inlineStr">
        <is>
          <t>https://new.land.naver.com/complexes/115679?tab=detail&amp;rf=Y</t>
        </is>
      </c>
      <c r="AA72" s="0" t="inlineStr">
        <is>
          <t>경기도 하남시 덕풍동 947</t>
        </is>
      </c>
      <c r="AB72" s="0" t="inlineStr">
        <is>
          <t>경기도</t>
        </is>
      </c>
      <c r="AC72" s="0" t="inlineStr">
        <is>
          <t>하남시</t>
        </is>
      </c>
      <c r="AD72" s="0" t="inlineStr">
        <is>
          <t>덕풍동</t>
        </is>
      </c>
      <c r="AG72" s="0" t="inlineStr">
        <is>
          <t>경기도 하남시 덕풍공원로 50</t>
        </is>
      </c>
      <c r="AH72" s="0" t="n">
        <v>0</v>
      </c>
      <c r="AI72" s="0" t="n">
        <v>249</v>
      </c>
      <c r="AJ72" s="0" t="n">
        <v>19</v>
      </c>
      <c r="AK72" s="0" t="n">
        <v>397</v>
      </c>
      <c r="AL72" s="0" t="n">
        <v>1.04</v>
      </c>
    </row>
    <row r="73">
      <c r="A73" s="0" t="inlineStr">
        <is>
          <t>[덕풍동]</t>
        </is>
      </c>
      <c r="B73" s="0" t="n">
        <v>115679</v>
      </c>
      <c r="C73" s="0" t="n">
        <v>2</v>
      </c>
      <c r="D73" s="0" t="inlineStr">
        <is>
          <t>하남덕풍역파크어울림</t>
        </is>
      </c>
      <c r="E73" s="0" t="inlineStr">
        <is>
          <t>2019.04.</t>
        </is>
      </c>
      <c r="F73" s="0" t="n">
        <v>383</v>
      </c>
      <c r="G73" s="0" t="n">
        <v>25.6</v>
      </c>
      <c r="H73" s="0" t="n">
        <v>84.65000000000001</v>
      </c>
      <c r="I73" s="0" t="n">
        <v>18.14</v>
      </c>
      <c r="J73" s="0" t="n">
        <v>59.99</v>
      </c>
      <c r="K73" s="0" t="n">
        <v>39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84B</t>
        </is>
      </c>
      <c r="X73" s="0" t="n">
        <v>23</v>
      </c>
      <c r="Y73" s="0" t="n">
        <v>14</v>
      </c>
      <c r="Z73" s="0" t="inlineStr">
        <is>
          <t>https://new.land.naver.com/complexes/115679?tab=detail&amp;rf=Y</t>
        </is>
      </c>
      <c r="AA73" s="0" t="inlineStr">
        <is>
          <t>경기도 하남시 덕풍동 947</t>
        </is>
      </c>
      <c r="AB73" s="0" t="inlineStr">
        <is>
          <t>경기도</t>
        </is>
      </c>
      <c r="AC73" s="0" t="inlineStr">
        <is>
          <t>하남시</t>
        </is>
      </c>
      <c r="AD73" s="0" t="inlineStr">
        <is>
          <t>덕풍동</t>
        </is>
      </c>
      <c r="AG73" s="0" t="inlineStr">
        <is>
          <t>경기도 하남시 덕풍공원로 50</t>
        </is>
      </c>
      <c r="AH73" s="0" t="n">
        <v>0</v>
      </c>
      <c r="AI73" s="0" t="n">
        <v>249</v>
      </c>
      <c r="AJ73" s="0" t="n">
        <v>19</v>
      </c>
      <c r="AK73" s="0" t="n">
        <v>397</v>
      </c>
      <c r="AL73" s="0" t="n">
        <v>1.04</v>
      </c>
    </row>
    <row r="74">
      <c r="A74" s="0" t="inlineStr">
        <is>
          <t>[덕풍동]</t>
        </is>
      </c>
      <c r="B74" s="0" t="n">
        <v>2147</v>
      </c>
      <c r="C74" s="0" t="n">
        <v>1</v>
      </c>
      <c r="D74" s="0" t="inlineStr">
        <is>
          <t>덕풍쌍용</t>
        </is>
      </c>
      <c r="E74" s="0" t="inlineStr">
        <is>
          <t>1998.01.</t>
        </is>
      </c>
      <c r="F74" s="0" t="n">
        <v>585</v>
      </c>
      <c r="G74" s="0" t="n">
        <v>22.52</v>
      </c>
      <c r="H74" s="0" t="n">
        <v>74.45</v>
      </c>
      <c r="I74" s="0" t="n">
        <v>18.08</v>
      </c>
      <c r="J74" s="0" t="n">
        <v>59.8</v>
      </c>
      <c r="K74" s="0" t="n">
        <v>168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74A</t>
        </is>
      </c>
      <c r="X74" s="0" t="n">
        <v>27</v>
      </c>
      <c r="Y74" s="0" t="n">
        <v>9</v>
      </c>
      <c r="Z74" s="0" t="inlineStr">
        <is>
          <t>https://new.land.naver.com/complexes/2147?tab=detail&amp;rf=Y</t>
        </is>
      </c>
      <c r="AA74" s="0" t="inlineStr">
        <is>
          <t>경기도 하남시 덕풍동 537-1</t>
        </is>
      </c>
      <c r="AB74" s="0" t="inlineStr">
        <is>
          <t>경기도</t>
        </is>
      </c>
      <c r="AC74" s="0" t="inlineStr">
        <is>
          <t>하남시</t>
        </is>
      </c>
      <c r="AD74" s="0" t="inlineStr">
        <is>
          <t>덕풍동</t>
        </is>
      </c>
      <c r="AG74" s="0" t="inlineStr">
        <is>
          <t>경기도 하남시 역말로15번길 35</t>
        </is>
      </c>
      <c r="AH74" s="0" t="n">
        <v>0</v>
      </c>
      <c r="AI74" s="0" t="n">
        <v>307</v>
      </c>
      <c r="AJ74" s="0" t="n">
        <v>23</v>
      </c>
      <c r="AK74" s="0" t="n">
        <v>594</v>
      </c>
      <c r="AL74" s="0" t="n">
        <v>1.02</v>
      </c>
    </row>
    <row r="75">
      <c r="A75" s="0" t="inlineStr">
        <is>
          <t>[덕풍동]</t>
        </is>
      </c>
      <c r="B75" s="0" t="n">
        <v>2147</v>
      </c>
      <c r="C75" s="0" t="n">
        <v>2</v>
      </c>
      <c r="D75" s="0" t="inlineStr">
        <is>
          <t>덕풍쌍용</t>
        </is>
      </c>
      <c r="E75" s="0" t="inlineStr">
        <is>
          <t>1998.01.</t>
        </is>
      </c>
      <c r="F75" s="0" t="n">
        <v>585</v>
      </c>
      <c r="G75" s="0" t="n">
        <v>22.53</v>
      </c>
      <c r="H75" s="0" t="n">
        <v>74.48999999999999</v>
      </c>
      <c r="I75" s="0" t="n">
        <v>18.09</v>
      </c>
      <c r="J75" s="0" t="n">
        <v>59.83</v>
      </c>
      <c r="K75" s="0" t="n">
        <v>69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74B</t>
        </is>
      </c>
      <c r="X75" s="0" t="n">
        <v>27</v>
      </c>
      <c r="Y75" s="0" t="n">
        <v>9</v>
      </c>
      <c r="Z75" s="0" t="inlineStr">
        <is>
          <t>https://new.land.naver.com/complexes/2147?tab=detail&amp;rf=Y</t>
        </is>
      </c>
      <c r="AA75" s="0" t="inlineStr">
        <is>
          <t>경기도 하남시 덕풍동 537-1</t>
        </is>
      </c>
      <c r="AB75" s="0" t="inlineStr">
        <is>
          <t>경기도</t>
        </is>
      </c>
      <c r="AC75" s="0" t="inlineStr">
        <is>
          <t>하남시</t>
        </is>
      </c>
      <c r="AD75" s="0" t="inlineStr">
        <is>
          <t>덕풍동</t>
        </is>
      </c>
      <c r="AG75" s="0" t="inlineStr">
        <is>
          <t>경기도 하남시 역말로15번길 35</t>
        </is>
      </c>
      <c r="AH75" s="0" t="n">
        <v>0</v>
      </c>
      <c r="AI75" s="0" t="n">
        <v>307</v>
      </c>
      <c r="AJ75" s="0" t="n">
        <v>23</v>
      </c>
      <c r="AK75" s="0" t="n">
        <v>594</v>
      </c>
      <c r="AL75" s="0" t="n">
        <v>1.02</v>
      </c>
    </row>
    <row r="76">
      <c r="A76" s="0" t="inlineStr">
        <is>
          <t>[덕풍동]</t>
        </is>
      </c>
      <c r="B76" s="0" t="n">
        <v>2147</v>
      </c>
      <c r="C76" s="0" t="n">
        <v>3</v>
      </c>
      <c r="D76" s="0" t="inlineStr">
        <is>
          <t>덕풍쌍용</t>
        </is>
      </c>
      <c r="E76" s="0" t="inlineStr">
        <is>
          <t>1998.01.</t>
        </is>
      </c>
      <c r="F76" s="0" t="n">
        <v>585</v>
      </c>
      <c r="G76" s="0" t="n">
        <v>32</v>
      </c>
      <c r="H76" s="0" t="n">
        <v>105.79</v>
      </c>
      <c r="I76" s="0" t="n">
        <v>25.7</v>
      </c>
      <c r="J76" s="0" t="n">
        <v>84.97</v>
      </c>
      <c r="K76" s="0" t="n">
        <v>207</v>
      </c>
      <c r="T76" s="0" t="n">
        <v>3</v>
      </c>
      <c r="U76" s="0" t="n">
        <v>2</v>
      </c>
      <c r="V76" s="0" t="inlineStr">
        <is>
          <t>계단식</t>
        </is>
      </c>
      <c r="W76" s="0" t="n">
        <v>105</v>
      </c>
      <c r="X76" s="0" t="n">
        <v>27</v>
      </c>
      <c r="Y76" s="0" t="n">
        <v>9</v>
      </c>
      <c r="Z76" s="0" t="inlineStr">
        <is>
          <t>https://new.land.naver.com/complexes/2147?tab=detail&amp;rf=Y</t>
        </is>
      </c>
      <c r="AA76" s="0" t="inlineStr">
        <is>
          <t>경기도 하남시 덕풍동 537-1</t>
        </is>
      </c>
      <c r="AB76" s="0" t="inlineStr">
        <is>
          <t>경기도</t>
        </is>
      </c>
      <c r="AC76" s="0" t="inlineStr">
        <is>
          <t>하남시</t>
        </is>
      </c>
      <c r="AD76" s="0" t="inlineStr">
        <is>
          <t>덕풍동</t>
        </is>
      </c>
      <c r="AG76" s="0" t="inlineStr">
        <is>
          <t>경기도 하남시 역말로15번길 35</t>
        </is>
      </c>
      <c r="AH76" s="0" t="n">
        <v>0</v>
      </c>
      <c r="AI76" s="0" t="n">
        <v>307</v>
      </c>
      <c r="AJ76" s="0" t="n">
        <v>23</v>
      </c>
      <c r="AK76" s="0" t="n">
        <v>594</v>
      </c>
      <c r="AL76" s="0" t="n">
        <v>1.02</v>
      </c>
    </row>
    <row r="77">
      <c r="A77" s="0" t="inlineStr">
        <is>
          <t>[덕풍동]</t>
        </is>
      </c>
      <c r="B77" s="0" t="n">
        <v>2147</v>
      </c>
      <c r="C77" s="0" t="n">
        <v>4</v>
      </c>
      <c r="D77" s="0" t="inlineStr">
        <is>
          <t>덕풍쌍용</t>
        </is>
      </c>
      <c r="E77" s="0" t="inlineStr">
        <is>
          <t>1998.01.</t>
        </is>
      </c>
      <c r="F77" s="0" t="n">
        <v>585</v>
      </c>
      <c r="G77" s="0" t="n">
        <v>43.3</v>
      </c>
      <c r="H77" s="0" t="n">
        <v>143.16</v>
      </c>
      <c r="I77" s="0" t="n">
        <v>34.78</v>
      </c>
      <c r="J77" s="0" t="n">
        <v>114.98</v>
      </c>
      <c r="K77" s="0" t="n">
        <v>141</v>
      </c>
      <c r="T77" s="0" t="n">
        <v>4</v>
      </c>
      <c r="U77" s="0" t="n">
        <v>2</v>
      </c>
      <c r="V77" s="0" t="inlineStr">
        <is>
          <t>계단식</t>
        </is>
      </c>
      <c r="W77" s="0" t="n">
        <v>143</v>
      </c>
      <c r="X77" s="0" t="n">
        <v>27</v>
      </c>
      <c r="Y77" s="0" t="n">
        <v>9</v>
      </c>
      <c r="Z77" s="0" t="inlineStr">
        <is>
          <t>https://new.land.naver.com/complexes/2147?tab=detail&amp;rf=Y</t>
        </is>
      </c>
      <c r="AA77" s="0" t="inlineStr">
        <is>
          <t>경기도 하남시 덕풍동 537-1</t>
        </is>
      </c>
      <c r="AB77" s="0" t="inlineStr">
        <is>
          <t>경기도</t>
        </is>
      </c>
      <c r="AC77" s="0" t="inlineStr">
        <is>
          <t>하남시</t>
        </is>
      </c>
      <c r="AD77" s="0" t="inlineStr">
        <is>
          <t>덕풍동</t>
        </is>
      </c>
      <c r="AG77" s="0" t="inlineStr">
        <is>
          <t>경기도 하남시 역말로15번길 35</t>
        </is>
      </c>
      <c r="AH77" s="0" t="n">
        <v>0</v>
      </c>
      <c r="AI77" s="0" t="n">
        <v>307</v>
      </c>
      <c r="AJ77" s="0" t="n">
        <v>23</v>
      </c>
      <c r="AK77" s="0" t="n">
        <v>594</v>
      </c>
      <c r="AL77" s="0" t="n">
        <v>1.02</v>
      </c>
    </row>
    <row r="78">
      <c r="A78" s="0" t="inlineStr">
        <is>
          <t>[덕풍동]</t>
        </is>
      </c>
      <c r="B78" s="0" t="n">
        <v>141075</v>
      </c>
      <c r="C78" s="0" t="n">
        <v>1</v>
      </c>
      <c r="D78" s="0" t="inlineStr">
        <is>
          <t>보스턴33</t>
        </is>
      </c>
      <c r="E78" s="0" t="inlineStr">
        <is>
          <t>2019.05.</t>
        </is>
      </c>
      <c r="F78" s="0" t="n">
        <v>2</v>
      </c>
      <c r="G78" s="0" t="n">
        <v>21.44</v>
      </c>
      <c r="H78" s="0" t="n">
        <v>70.88</v>
      </c>
      <c r="I78" s="0" t="n">
        <v>18.08</v>
      </c>
      <c r="J78" s="0" t="n">
        <v>59.78</v>
      </c>
      <c r="K78" s="0" t="n">
        <v>1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70A</t>
        </is>
      </c>
      <c r="X78" s="0" t="n">
        <v>4</v>
      </c>
      <c r="Y78" s="0" t="n">
        <v>4</v>
      </c>
      <c r="Z78" s="0" t="inlineStr">
        <is>
          <t>https://new.land.naver.com/complexes/141075?tab=detail&amp;rf=Y</t>
        </is>
      </c>
      <c r="AA78" s="0" t="inlineStr">
        <is>
          <t>경기도 하남시 덕풍동 330-1</t>
        </is>
      </c>
      <c r="AB78" s="0" t="inlineStr">
        <is>
          <t>경기도</t>
        </is>
      </c>
      <c r="AC78" s="0" t="inlineStr">
        <is>
          <t>하남시</t>
        </is>
      </c>
      <c r="AD78" s="0" t="inlineStr">
        <is>
          <t>덕풍동</t>
        </is>
      </c>
      <c r="AG78" s="0" t="inlineStr">
        <is>
          <t>경기도 하남시 하남대로855번길 17-2</t>
        </is>
      </c>
      <c r="AH78" s="0" t="n">
        <v>0</v>
      </c>
      <c r="AI78" s="0" t="n">
        <v>290</v>
      </c>
      <c r="AJ78" s="0" t="n">
        <v>50</v>
      </c>
      <c r="AK78" s="0" t="n">
        <v>1</v>
      </c>
      <c r="AL78" s="0" t="n">
        <v>0.5</v>
      </c>
    </row>
    <row r="79">
      <c r="A79" s="0" t="inlineStr">
        <is>
          <t>[덕풍동]</t>
        </is>
      </c>
      <c r="B79" s="0" t="n">
        <v>141075</v>
      </c>
      <c r="C79" s="0" t="n">
        <v>2</v>
      </c>
      <c r="D79" s="0" t="inlineStr">
        <is>
          <t>보스턴33</t>
        </is>
      </c>
      <c r="E79" s="0" t="inlineStr">
        <is>
          <t>2019.05.</t>
        </is>
      </c>
      <c r="F79" s="0" t="n">
        <v>2</v>
      </c>
      <c r="G79" s="0" t="n">
        <v>21.44</v>
      </c>
      <c r="H79" s="0" t="n">
        <v>70.90000000000001</v>
      </c>
      <c r="I79" s="0" t="n">
        <v>18.08</v>
      </c>
      <c r="J79" s="0" t="n">
        <v>59.8</v>
      </c>
      <c r="K79" s="0" t="n">
        <v>1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70B</t>
        </is>
      </c>
      <c r="X79" s="0" t="n">
        <v>4</v>
      </c>
      <c r="Y79" s="0" t="n">
        <v>4</v>
      </c>
      <c r="Z79" s="0" t="inlineStr">
        <is>
          <t>https://new.land.naver.com/complexes/141075?tab=detail&amp;rf=Y</t>
        </is>
      </c>
      <c r="AA79" s="0" t="inlineStr">
        <is>
          <t>경기도 하남시 덕풍동 330-1</t>
        </is>
      </c>
      <c r="AB79" s="0" t="inlineStr">
        <is>
          <t>경기도</t>
        </is>
      </c>
      <c r="AC79" s="0" t="inlineStr">
        <is>
          <t>하남시</t>
        </is>
      </c>
      <c r="AD79" s="0" t="inlineStr">
        <is>
          <t>덕풍동</t>
        </is>
      </c>
      <c r="AG79" s="0" t="inlineStr">
        <is>
          <t>경기도 하남시 하남대로855번길 17-2</t>
        </is>
      </c>
      <c r="AH79" s="0" t="n">
        <v>0</v>
      </c>
      <c r="AI79" s="0" t="n">
        <v>290</v>
      </c>
      <c r="AJ79" s="0" t="n">
        <v>50</v>
      </c>
      <c r="AK79" s="0" t="n">
        <v>1</v>
      </c>
      <c r="AL79" s="0" t="n">
        <v>0.5</v>
      </c>
    </row>
    <row r="80">
      <c r="A80" s="0" t="inlineStr">
        <is>
          <t>[덕풍동]</t>
        </is>
      </c>
      <c r="B80" s="0" t="n">
        <v>2145</v>
      </c>
      <c r="C80" s="0" t="n">
        <v>1</v>
      </c>
      <c r="D80" s="0" t="inlineStr">
        <is>
          <t>라인</t>
        </is>
      </c>
      <c r="E80" s="0" t="inlineStr">
        <is>
          <t>1997.04.</t>
        </is>
      </c>
      <c r="F80" s="0" t="n">
        <v>352</v>
      </c>
      <c r="G80" s="0" t="n">
        <v>25.12</v>
      </c>
      <c r="H80" s="0" t="n">
        <v>83.06</v>
      </c>
      <c r="I80" s="0" t="n">
        <v>17.96</v>
      </c>
      <c r="J80" s="0" t="n">
        <v>59.4</v>
      </c>
      <c r="K80" s="0" t="n">
        <v>176</v>
      </c>
      <c r="T80" s="0" t="n">
        <v>3</v>
      </c>
      <c r="U80" s="0" t="n">
        <v>1</v>
      </c>
      <c r="V80" s="0" t="inlineStr">
        <is>
          <t>복도식</t>
        </is>
      </c>
      <c r="W80" s="0" t="n">
        <v>83</v>
      </c>
      <c r="X80" s="0" t="n">
        <v>22</v>
      </c>
      <c r="Y80" s="0" t="n">
        <v>10</v>
      </c>
      <c r="Z80" s="0" t="inlineStr">
        <is>
          <t>https://new.land.naver.com/complexes/2145?tab=detail&amp;rf=Y</t>
        </is>
      </c>
      <c r="AA80" s="0" t="inlineStr">
        <is>
          <t>경기도 하남시 덕풍동 336-40</t>
        </is>
      </c>
      <c r="AB80" s="0" t="inlineStr">
        <is>
          <t>경기도</t>
        </is>
      </c>
      <c r="AC80" s="0" t="inlineStr">
        <is>
          <t>하남시</t>
        </is>
      </c>
      <c r="AD80" s="0" t="inlineStr">
        <is>
          <t>덕풍동</t>
        </is>
      </c>
      <c r="AG80" s="0" t="inlineStr">
        <is>
          <t>경기도 하남시 하남대로 895</t>
        </is>
      </c>
      <c r="AH80" s="0" t="n">
        <v>0</v>
      </c>
      <c r="AI80" s="0" t="n">
        <v>306</v>
      </c>
      <c r="AJ80" s="0" t="n">
        <v>31</v>
      </c>
      <c r="AK80" s="0" t="n">
        <v>288</v>
      </c>
      <c r="AL80" s="0" t="n">
        <v>0.82</v>
      </c>
    </row>
    <row r="81">
      <c r="A81" s="0" t="inlineStr">
        <is>
          <t>[덕풍동]</t>
        </is>
      </c>
      <c r="B81" s="0" t="n">
        <v>2145</v>
      </c>
      <c r="C81" s="0" t="n">
        <v>2</v>
      </c>
      <c r="D81" s="0" t="inlineStr">
        <is>
          <t>라인</t>
        </is>
      </c>
      <c r="E81" s="0" t="inlineStr">
        <is>
          <t>1997.04.</t>
        </is>
      </c>
      <c r="F81" s="0" t="n">
        <v>352</v>
      </c>
      <c r="G81" s="0" t="n">
        <v>32.36</v>
      </c>
      <c r="H81" s="0" t="n">
        <v>106.99</v>
      </c>
      <c r="I81" s="0" t="n">
        <v>25.61</v>
      </c>
      <c r="J81" s="0" t="n">
        <v>84.69</v>
      </c>
      <c r="K81" s="0" t="n">
        <v>176</v>
      </c>
      <c r="T81" s="0" t="n">
        <v>3</v>
      </c>
      <c r="U81" s="0" t="n">
        <v>2</v>
      </c>
      <c r="V81" s="0" t="inlineStr">
        <is>
          <t>계단식</t>
        </is>
      </c>
      <c r="W81" s="0" t="n">
        <v>106</v>
      </c>
      <c r="X81" s="0" t="n">
        <v>22</v>
      </c>
      <c r="Y81" s="0" t="n">
        <v>10</v>
      </c>
      <c r="Z81" s="0" t="inlineStr">
        <is>
          <t>https://new.land.naver.com/complexes/2145?tab=detail&amp;rf=Y</t>
        </is>
      </c>
      <c r="AA81" s="0" t="inlineStr">
        <is>
          <t>경기도 하남시 덕풍동 336-40</t>
        </is>
      </c>
      <c r="AB81" s="0" t="inlineStr">
        <is>
          <t>경기도</t>
        </is>
      </c>
      <c r="AC81" s="0" t="inlineStr">
        <is>
          <t>하남시</t>
        </is>
      </c>
      <c r="AD81" s="0" t="inlineStr">
        <is>
          <t>덕풍동</t>
        </is>
      </c>
      <c r="AG81" s="0" t="inlineStr">
        <is>
          <t>경기도 하남시 하남대로 895</t>
        </is>
      </c>
      <c r="AH81" s="0" t="n">
        <v>0</v>
      </c>
      <c r="AI81" s="0" t="n">
        <v>306</v>
      </c>
      <c r="AJ81" s="0" t="n">
        <v>31</v>
      </c>
      <c r="AK81" s="0" t="n">
        <v>288</v>
      </c>
      <c r="AL81" s="0" t="n">
        <v>0.82</v>
      </c>
    </row>
    <row r="82">
      <c r="A82" s="0" t="inlineStr">
        <is>
          <t>[덕풍동]</t>
        </is>
      </c>
      <c r="B82" s="0" t="n">
        <v>24206</v>
      </c>
      <c r="C82" s="0" t="n">
        <v>1</v>
      </c>
      <c r="D82" s="0" t="inlineStr">
        <is>
          <t>제일풍경채2단지</t>
        </is>
      </c>
      <c r="E82" s="0" t="inlineStr">
        <is>
          <t>2008.04.</t>
        </is>
      </c>
      <c r="F82" s="0" t="n">
        <v>120</v>
      </c>
      <c r="G82" s="0" t="n">
        <v>40.02</v>
      </c>
      <c r="H82" s="0" t="n">
        <v>132.33</v>
      </c>
      <c r="I82" s="0" t="n">
        <v>33.69</v>
      </c>
      <c r="J82" s="0" t="n">
        <v>111.38</v>
      </c>
      <c r="K82" s="0" t="n">
        <v>4</v>
      </c>
      <c r="T82" s="0" t="n">
        <v>4</v>
      </c>
      <c r="U82" s="0" t="n">
        <v>2</v>
      </c>
      <c r="V82" s="0" t="inlineStr">
        <is>
          <t>계단식</t>
        </is>
      </c>
      <c r="W82" s="0" t="n">
        <v>132</v>
      </c>
      <c r="X82" s="0" t="n">
        <v>4</v>
      </c>
      <c r="Y82" s="0" t="n">
        <v>4</v>
      </c>
      <c r="Z82" s="0" t="inlineStr">
        <is>
          <t>https://new.land.naver.com/complexes/24206?tab=detail&amp;rf=Y</t>
        </is>
      </c>
      <c r="AA82" s="0" t="inlineStr">
        <is>
          <t>경기도 하남시 덕풍동 765</t>
        </is>
      </c>
      <c r="AB82" s="0" t="inlineStr">
        <is>
          <t>경기도</t>
        </is>
      </c>
      <c r="AC82" s="0" t="inlineStr">
        <is>
          <t>하남시</t>
        </is>
      </c>
      <c r="AD82" s="0" t="inlineStr">
        <is>
          <t>덕풍동</t>
        </is>
      </c>
      <c r="AG82" s="0" t="inlineStr">
        <is>
          <t>경기도 하남시 덕풍북로71번길 29</t>
        </is>
      </c>
      <c r="AH82" s="0" t="n">
        <v>0</v>
      </c>
      <c r="AI82" s="0" t="n">
        <v>99</v>
      </c>
      <c r="AJ82" s="0" t="n">
        <v>34</v>
      </c>
      <c r="AK82" s="0" t="n">
        <v>262</v>
      </c>
      <c r="AL82" s="0" t="n">
        <v>2.18</v>
      </c>
    </row>
    <row r="83">
      <c r="A83" s="0" t="inlineStr">
        <is>
          <t>[덕풍동]</t>
        </is>
      </c>
      <c r="B83" s="0" t="n">
        <v>24206</v>
      </c>
      <c r="C83" s="0" t="n">
        <v>2</v>
      </c>
      <c r="D83" s="0" t="inlineStr">
        <is>
          <t>제일풍경채2단지</t>
        </is>
      </c>
      <c r="E83" s="0" t="inlineStr">
        <is>
          <t>2008.04.</t>
        </is>
      </c>
      <c r="F83" s="0" t="n">
        <v>120</v>
      </c>
      <c r="G83" s="0" t="n">
        <v>42.03</v>
      </c>
      <c r="H83" s="0" t="n">
        <v>138.95</v>
      </c>
      <c r="I83" s="0" t="n">
        <v>35.88</v>
      </c>
      <c r="J83" s="0" t="n">
        <v>118.64</v>
      </c>
      <c r="K83" s="0" t="n">
        <v>64</v>
      </c>
      <c r="T83" s="0" t="n">
        <v>5</v>
      </c>
      <c r="U83" s="0" t="n">
        <v>2</v>
      </c>
      <c r="V83" s="0" t="inlineStr">
        <is>
          <t>계단식</t>
        </is>
      </c>
      <c r="W83" s="0" t="n">
        <v>138</v>
      </c>
      <c r="X83" s="0" t="n">
        <v>4</v>
      </c>
      <c r="Y83" s="0" t="n">
        <v>4</v>
      </c>
      <c r="Z83" s="0" t="inlineStr">
        <is>
          <t>https://new.land.naver.com/complexes/24206?tab=detail&amp;rf=Y</t>
        </is>
      </c>
      <c r="AA83" s="0" t="inlineStr">
        <is>
          <t>경기도 하남시 덕풍동 765</t>
        </is>
      </c>
      <c r="AB83" s="0" t="inlineStr">
        <is>
          <t>경기도</t>
        </is>
      </c>
      <c r="AC83" s="0" t="inlineStr">
        <is>
          <t>하남시</t>
        </is>
      </c>
      <c r="AD83" s="0" t="inlineStr">
        <is>
          <t>덕풍동</t>
        </is>
      </c>
      <c r="AG83" s="0" t="inlineStr">
        <is>
          <t>경기도 하남시 덕풍북로71번길 29</t>
        </is>
      </c>
      <c r="AH83" s="0" t="n">
        <v>0</v>
      </c>
      <c r="AI83" s="0" t="n">
        <v>99</v>
      </c>
      <c r="AJ83" s="0" t="n">
        <v>34</v>
      </c>
      <c r="AK83" s="0" t="n">
        <v>262</v>
      </c>
      <c r="AL83" s="0" t="n">
        <v>2.18</v>
      </c>
    </row>
    <row r="84">
      <c r="A84" s="0" t="inlineStr">
        <is>
          <t>[덕풍동]</t>
        </is>
      </c>
      <c r="B84" s="0" t="n">
        <v>24206</v>
      </c>
      <c r="C84" s="0" t="n">
        <v>3</v>
      </c>
      <c r="D84" s="0" t="inlineStr">
        <is>
          <t>제일풍경채2단지</t>
        </is>
      </c>
      <c r="E84" s="0" t="inlineStr">
        <is>
          <t>2008.04.</t>
        </is>
      </c>
      <c r="F84" s="0" t="n">
        <v>120</v>
      </c>
      <c r="G84" s="0" t="n">
        <v>50.01</v>
      </c>
      <c r="H84" s="0" t="n">
        <v>165.33</v>
      </c>
      <c r="I84" s="0" t="n">
        <v>42.9</v>
      </c>
      <c r="J84" s="0" t="n">
        <v>141.84</v>
      </c>
      <c r="K84" s="0" t="n">
        <v>52</v>
      </c>
      <c r="T84" s="0" t="n">
        <v>5</v>
      </c>
      <c r="U84" s="0" t="n">
        <v>2</v>
      </c>
      <c r="V84" s="0" t="inlineStr">
        <is>
          <t>계단식</t>
        </is>
      </c>
      <c r="W84" s="0" t="n">
        <v>165</v>
      </c>
      <c r="X84" s="0" t="n">
        <v>4</v>
      </c>
      <c r="Y84" s="0" t="n">
        <v>4</v>
      </c>
      <c r="Z84" s="0" t="inlineStr">
        <is>
          <t>https://new.land.naver.com/complexes/24206?tab=detail&amp;rf=Y</t>
        </is>
      </c>
      <c r="AA84" s="0" t="inlineStr">
        <is>
          <t>경기도 하남시 덕풍동 765</t>
        </is>
      </c>
      <c r="AB84" s="0" t="inlineStr">
        <is>
          <t>경기도</t>
        </is>
      </c>
      <c r="AC84" s="0" t="inlineStr">
        <is>
          <t>하남시</t>
        </is>
      </c>
      <c r="AD84" s="0" t="inlineStr">
        <is>
          <t>덕풍동</t>
        </is>
      </c>
      <c r="AG84" s="0" t="inlineStr">
        <is>
          <t>경기도 하남시 덕풍북로71번길 29</t>
        </is>
      </c>
      <c r="AH84" s="0" t="n">
        <v>0</v>
      </c>
      <c r="AI84" s="0" t="n">
        <v>99</v>
      </c>
      <c r="AJ84" s="0" t="n">
        <v>34</v>
      </c>
      <c r="AK84" s="0" t="n">
        <v>262</v>
      </c>
      <c r="AL84" s="0" t="n">
        <v>2.18</v>
      </c>
    </row>
    <row r="85">
      <c r="A85" s="0" t="inlineStr">
        <is>
          <t>[덕풍동]</t>
        </is>
      </c>
      <c r="B85" s="0" t="n">
        <v>12043</v>
      </c>
      <c r="C85" s="0" t="n">
        <v>1</v>
      </c>
      <c r="D85" s="0" t="inlineStr">
        <is>
          <t>대동피렌체</t>
        </is>
      </c>
      <c r="E85" s="0" t="inlineStr">
        <is>
          <t>2005.01.</t>
        </is>
      </c>
      <c r="F85" s="0" t="n">
        <v>232</v>
      </c>
      <c r="G85" s="0" t="n">
        <v>10.33</v>
      </c>
      <c r="H85" s="0" t="n">
        <v>34.18</v>
      </c>
      <c r="I85" s="0" t="n">
        <v>7.74</v>
      </c>
      <c r="J85" s="0" t="n">
        <v>25.6</v>
      </c>
      <c r="K85" s="0" t="n">
        <v>8</v>
      </c>
      <c r="T85" s="0" t="n">
        <v>2</v>
      </c>
      <c r="U85" s="0" t="n">
        <v>1</v>
      </c>
      <c r="V85" s="0" t="inlineStr">
        <is>
          <t>복도식</t>
        </is>
      </c>
      <c r="W85" s="0" t="n">
        <v>34</v>
      </c>
      <c r="X85" s="0" t="n">
        <v>15</v>
      </c>
      <c r="Y85" s="0" t="n">
        <v>9</v>
      </c>
      <c r="Z85" s="0" t="inlineStr">
        <is>
          <t>https://new.land.naver.com/complexes/12043?tab=detail&amp;rf=Y</t>
        </is>
      </c>
      <c r="AA85" s="0" t="inlineStr">
        <is>
          <t>경기도 하남시 덕풍동 372-2</t>
        </is>
      </c>
      <c r="AB85" s="0" t="inlineStr">
        <is>
          <t>경기도</t>
        </is>
      </c>
      <c r="AC85" s="0" t="inlineStr">
        <is>
          <t>하남시</t>
        </is>
      </c>
      <c r="AD85" s="0" t="inlineStr">
        <is>
          <t>덕풍동</t>
        </is>
      </c>
      <c r="AG85" s="0" t="inlineStr">
        <is>
          <t>경기도 하남시 신장로 151</t>
        </is>
      </c>
      <c r="AH85" s="0" t="n">
        <v>0</v>
      </c>
      <c r="AI85" s="0" t="n">
        <v>511</v>
      </c>
      <c r="AJ85" s="0" t="n">
        <v>57</v>
      </c>
      <c r="AK85" s="0" t="n">
        <v>187</v>
      </c>
      <c r="AL85" s="0" t="n">
        <v>0.8100000000000001</v>
      </c>
    </row>
    <row r="86">
      <c r="A86" s="0" t="inlineStr">
        <is>
          <t>[덕풍동]</t>
        </is>
      </c>
      <c r="B86" s="0" t="n">
        <v>12043</v>
      </c>
      <c r="C86" s="0" t="n">
        <v>2</v>
      </c>
      <c r="D86" s="0" t="inlineStr">
        <is>
          <t>대동피렌체</t>
        </is>
      </c>
      <c r="E86" s="0" t="inlineStr">
        <is>
          <t>2005.01.</t>
        </is>
      </c>
      <c r="F86" s="0" t="n">
        <v>232</v>
      </c>
      <c r="G86" s="0" t="n">
        <v>12.11</v>
      </c>
      <c r="H86" s="0" t="n">
        <v>40.05</v>
      </c>
      <c r="I86" s="0" t="n">
        <v>9.07</v>
      </c>
      <c r="J86" s="0" t="n">
        <v>30</v>
      </c>
      <c r="K86" s="0" t="n">
        <v>12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40A</t>
        </is>
      </c>
      <c r="X86" s="0" t="n">
        <v>15</v>
      </c>
      <c r="Y86" s="0" t="n">
        <v>9</v>
      </c>
      <c r="Z86" s="0" t="inlineStr">
        <is>
          <t>https://new.land.naver.com/complexes/12043?tab=detail&amp;rf=Y</t>
        </is>
      </c>
      <c r="AA86" s="0" t="inlineStr">
        <is>
          <t>경기도 하남시 덕풍동 372-2</t>
        </is>
      </c>
      <c r="AB86" s="0" t="inlineStr">
        <is>
          <t>경기도</t>
        </is>
      </c>
      <c r="AC86" s="0" t="inlineStr">
        <is>
          <t>하남시</t>
        </is>
      </c>
      <c r="AD86" s="0" t="inlineStr">
        <is>
          <t>덕풍동</t>
        </is>
      </c>
      <c r="AG86" s="0" t="inlineStr">
        <is>
          <t>경기도 하남시 신장로 151</t>
        </is>
      </c>
      <c r="AH86" s="0" t="n">
        <v>0</v>
      </c>
      <c r="AI86" s="0" t="n">
        <v>511</v>
      </c>
      <c r="AJ86" s="0" t="n">
        <v>57</v>
      </c>
      <c r="AK86" s="0" t="n">
        <v>187</v>
      </c>
      <c r="AL86" s="0" t="n">
        <v>0.8100000000000001</v>
      </c>
    </row>
    <row r="87">
      <c r="A87" s="0" t="inlineStr">
        <is>
          <t>[덕풍동]</t>
        </is>
      </c>
      <c r="B87" s="0" t="n">
        <v>12043</v>
      </c>
      <c r="C87" s="0" t="n">
        <v>3</v>
      </c>
      <c r="D87" s="0" t="inlineStr">
        <is>
          <t>대동피렌체</t>
        </is>
      </c>
      <c r="E87" s="0" t="inlineStr">
        <is>
          <t>2005.01.</t>
        </is>
      </c>
      <c r="F87" s="0" t="n">
        <v>232</v>
      </c>
      <c r="G87" s="0" t="n">
        <v>12.43</v>
      </c>
      <c r="H87" s="0" t="n">
        <v>41.12</v>
      </c>
      <c r="I87" s="0" t="n">
        <v>9.31</v>
      </c>
      <c r="J87" s="0" t="n">
        <v>30.8</v>
      </c>
      <c r="K87" s="0" t="n">
        <v>8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41B</t>
        </is>
      </c>
      <c r="X87" s="0" t="n">
        <v>15</v>
      </c>
      <c r="Y87" s="0" t="n">
        <v>9</v>
      </c>
      <c r="Z87" s="0" t="inlineStr">
        <is>
          <t>https://new.land.naver.com/complexes/12043?tab=detail&amp;rf=Y</t>
        </is>
      </c>
      <c r="AA87" s="0" t="inlineStr">
        <is>
          <t>경기도 하남시 덕풍동 372-2</t>
        </is>
      </c>
      <c r="AB87" s="0" t="inlineStr">
        <is>
          <t>경기도</t>
        </is>
      </c>
      <c r="AC87" s="0" t="inlineStr">
        <is>
          <t>하남시</t>
        </is>
      </c>
      <c r="AD87" s="0" t="inlineStr">
        <is>
          <t>덕풍동</t>
        </is>
      </c>
      <c r="AG87" s="0" t="inlineStr">
        <is>
          <t>경기도 하남시 신장로 151</t>
        </is>
      </c>
      <c r="AH87" s="0" t="n">
        <v>0</v>
      </c>
      <c r="AI87" s="0" t="n">
        <v>511</v>
      </c>
      <c r="AJ87" s="0" t="n">
        <v>57</v>
      </c>
      <c r="AK87" s="0" t="n">
        <v>187</v>
      </c>
      <c r="AL87" s="0" t="n">
        <v>0.8100000000000001</v>
      </c>
    </row>
    <row r="88">
      <c r="A88" s="0" t="inlineStr">
        <is>
          <t>[덕풍동]</t>
        </is>
      </c>
      <c r="B88" s="0" t="n">
        <v>12043</v>
      </c>
      <c r="C88" s="0" t="n">
        <v>4</v>
      </c>
      <c r="D88" s="0" t="inlineStr">
        <is>
          <t>대동피렌체</t>
        </is>
      </c>
      <c r="E88" s="0" t="inlineStr">
        <is>
          <t>2005.01.</t>
        </is>
      </c>
      <c r="F88" s="0" t="n">
        <v>232</v>
      </c>
      <c r="G88" s="0" t="n">
        <v>12.92</v>
      </c>
      <c r="H88" s="0" t="n">
        <v>42.72</v>
      </c>
      <c r="I88" s="0" t="n">
        <v>9.68</v>
      </c>
      <c r="J88" s="0" t="n">
        <v>32</v>
      </c>
      <c r="K88" s="0" t="n">
        <v>195</v>
      </c>
      <c r="T88" s="0" t="n">
        <v>2</v>
      </c>
      <c r="U88" s="0" t="n">
        <v>1</v>
      </c>
      <c r="V88" s="0" t="inlineStr">
        <is>
          <t>복도식</t>
        </is>
      </c>
      <c r="W88" s="0" t="n">
        <v>42</v>
      </c>
      <c r="X88" s="0" t="n">
        <v>15</v>
      </c>
      <c r="Y88" s="0" t="n">
        <v>9</v>
      </c>
      <c r="Z88" s="0" t="inlineStr">
        <is>
          <t>https://new.land.naver.com/complexes/12043?tab=detail&amp;rf=Y</t>
        </is>
      </c>
      <c r="AA88" s="0" t="inlineStr">
        <is>
          <t>경기도 하남시 덕풍동 372-2</t>
        </is>
      </c>
      <c r="AB88" s="0" t="inlineStr">
        <is>
          <t>경기도</t>
        </is>
      </c>
      <c r="AC88" s="0" t="inlineStr">
        <is>
          <t>하남시</t>
        </is>
      </c>
      <c r="AD88" s="0" t="inlineStr">
        <is>
          <t>덕풍동</t>
        </is>
      </c>
      <c r="AG88" s="0" t="inlineStr">
        <is>
          <t>경기도 하남시 신장로 151</t>
        </is>
      </c>
      <c r="AH88" s="0" t="n">
        <v>0</v>
      </c>
      <c r="AI88" s="0" t="n">
        <v>511</v>
      </c>
      <c r="AJ88" s="0" t="n">
        <v>57</v>
      </c>
      <c r="AK88" s="0" t="n">
        <v>187</v>
      </c>
      <c r="AL88" s="0" t="n">
        <v>0.8100000000000001</v>
      </c>
    </row>
    <row r="89">
      <c r="A89" s="0" t="inlineStr">
        <is>
          <t>[덕풍동]</t>
        </is>
      </c>
      <c r="B89" s="0" t="n">
        <v>12043</v>
      </c>
      <c r="C89" s="0" t="n">
        <v>5</v>
      </c>
      <c r="D89" s="0" t="inlineStr">
        <is>
          <t>대동피렌체</t>
        </is>
      </c>
      <c r="E89" s="0" t="inlineStr">
        <is>
          <t>2005.01.</t>
        </is>
      </c>
      <c r="F89" s="0" t="n">
        <v>232</v>
      </c>
      <c r="G89" s="0" t="n">
        <v>18.41</v>
      </c>
      <c r="H89" s="0" t="n">
        <v>60.88</v>
      </c>
      <c r="I89" s="0" t="n">
        <v>13.79</v>
      </c>
      <c r="J89" s="0" t="n">
        <v>45.6</v>
      </c>
      <c r="K89" s="0" t="n">
        <v>9</v>
      </c>
      <c r="T89" s="0" t="n">
        <v>3</v>
      </c>
      <c r="U89" s="0" t="n">
        <v>1</v>
      </c>
      <c r="V89" s="0" t="inlineStr">
        <is>
          <t>복도식</t>
        </is>
      </c>
      <c r="W89" s="0" t="n">
        <v>60</v>
      </c>
      <c r="X89" s="0" t="n">
        <v>15</v>
      </c>
      <c r="Y89" s="0" t="n">
        <v>9</v>
      </c>
      <c r="Z89" s="0" t="inlineStr">
        <is>
          <t>https://new.land.naver.com/complexes/12043?tab=detail&amp;rf=Y</t>
        </is>
      </c>
      <c r="AA89" s="0" t="inlineStr">
        <is>
          <t>경기도 하남시 덕풍동 372-2</t>
        </is>
      </c>
      <c r="AB89" s="0" t="inlineStr">
        <is>
          <t>경기도</t>
        </is>
      </c>
      <c r="AC89" s="0" t="inlineStr">
        <is>
          <t>하남시</t>
        </is>
      </c>
      <c r="AD89" s="0" t="inlineStr">
        <is>
          <t>덕풍동</t>
        </is>
      </c>
      <c r="AG89" s="0" t="inlineStr">
        <is>
          <t>경기도 하남시 신장로 151</t>
        </is>
      </c>
      <c r="AH89" s="0" t="n">
        <v>0</v>
      </c>
      <c r="AI89" s="0" t="n">
        <v>511</v>
      </c>
      <c r="AJ89" s="0" t="n">
        <v>57</v>
      </c>
      <c r="AK89" s="0" t="n">
        <v>187</v>
      </c>
      <c r="AL89" s="0" t="n">
        <v>0.8100000000000001</v>
      </c>
    </row>
    <row r="90">
      <c r="A90" s="0" t="inlineStr">
        <is>
          <t>[덕풍동]</t>
        </is>
      </c>
      <c r="B90" s="0" t="n">
        <v>2148</v>
      </c>
      <c r="C90" s="0" t="n">
        <v>1</v>
      </c>
      <c r="D90" s="0" t="inlineStr">
        <is>
          <t>덕풍현대</t>
        </is>
      </c>
      <c r="E90" s="0" t="inlineStr">
        <is>
          <t>1997.12.</t>
        </is>
      </c>
      <c r="F90" s="0" t="n">
        <v>555</v>
      </c>
      <c r="G90" s="0" t="n">
        <v>24.71</v>
      </c>
      <c r="H90" s="0" t="n">
        <v>81.69</v>
      </c>
      <c r="I90" s="0" t="n">
        <v>18.12</v>
      </c>
      <c r="J90" s="0" t="n">
        <v>59.91</v>
      </c>
      <c r="K90" s="0" t="n">
        <v>202</v>
      </c>
      <c r="T90" s="0" t="n">
        <v>3</v>
      </c>
      <c r="U90" s="0" t="n">
        <v>1</v>
      </c>
      <c r="V90" s="0" t="inlineStr">
        <is>
          <t>복도식</t>
        </is>
      </c>
      <c r="W90" s="0" t="n">
        <v>81</v>
      </c>
      <c r="X90" s="0" t="n">
        <v>20</v>
      </c>
      <c r="Y90" s="0" t="n">
        <v>10</v>
      </c>
      <c r="Z90" s="0" t="inlineStr">
        <is>
          <t>https://new.land.naver.com/complexes/2148?tab=detail&amp;rf=Y</t>
        </is>
      </c>
      <c r="AA90" s="0" t="inlineStr">
        <is>
          <t>경기도 하남시 덕풍동 524</t>
        </is>
      </c>
      <c r="AB90" s="0" t="inlineStr">
        <is>
          <t>경기도</t>
        </is>
      </c>
      <c r="AC90" s="0" t="inlineStr">
        <is>
          <t>하남시</t>
        </is>
      </c>
      <c r="AD90" s="0" t="inlineStr">
        <is>
          <t>덕풍동</t>
        </is>
      </c>
      <c r="AG90" s="0" t="inlineStr">
        <is>
          <t>경기도 하남시 대성로 259</t>
        </is>
      </c>
      <c r="AH90" s="0" t="n">
        <v>0</v>
      </c>
      <c r="AI90" s="0" t="n">
        <v>304</v>
      </c>
      <c r="AJ90" s="0" t="n">
        <v>25</v>
      </c>
      <c r="AK90" s="0" t="n">
        <v>832</v>
      </c>
      <c r="AL90" s="0" t="n">
        <v>1.5</v>
      </c>
    </row>
    <row r="91">
      <c r="A91" s="0" t="inlineStr">
        <is>
          <t>[덕풍동]</t>
        </is>
      </c>
      <c r="B91" s="0" t="n">
        <v>2148</v>
      </c>
      <c r="C91" s="0" t="n">
        <v>2</v>
      </c>
      <c r="D91" s="0" t="inlineStr">
        <is>
          <t>덕풍현대</t>
        </is>
      </c>
      <c r="E91" s="0" t="inlineStr">
        <is>
          <t>1997.12.</t>
        </is>
      </c>
      <c r="F91" s="0" t="n">
        <v>555</v>
      </c>
      <c r="G91" s="0" t="n">
        <v>32.84</v>
      </c>
      <c r="H91" s="0" t="n">
        <v>108.57</v>
      </c>
      <c r="I91" s="0" t="n">
        <v>25.65</v>
      </c>
      <c r="J91" s="0" t="n">
        <v>84.81</v>
      </c>
      <c r="K91" s="0" t="n">
        <v>353</v>
      </c>
      <c r="T91" s="0" t="n">
        <v>3</v>
      </c>
      <c r="U91" s="0" t="n">
        <v>2</v>
      </c>
      <c r="V91" s="0" t="inlineStr">
        <is>
          <t>복도식</t>
        </is>
      </c>
      <c r="W91" s="0" t="n">
        <v>108</v>
      </c>
      <c r="X91" s="0" t="n">
        <v>20</v>
      </c>
      <c r="Y91" s="0" t="n">
        <v>10</v>
      </c>
      <c r="Z91" s="0" t="inlineStr">
        <is>
          <t>https://new.land.naver.com/complexes/2148?tab=detail&amp;rf=Y</t>
        </is>
      </c>
      <c r="AA91" s="0" t="inlineStr">
        <is>
          <t>경기도 하남시 덕풍동 524</t>
        </is>
      </c>
      <c r="AB91" s="0" t="inlineStr">
        <is>
          <t>경기도</t>
        </is>
      </c>
      <c r="AC91" s="0" t="inlineStr">
        <is>
          <t>하남시</t>
        </is>
      </c>
      <c r="AD91" s="0" t="inlineStr">
        <is>
          <t>덕풍동</t>
        </is>
      </c>
      <c r="AG91" s="0" t="inlineStr">
        <is>
          <t>경기도 하남시 대성로 259</t>
        </is>
      </c>
      <c r="AH91" s="0" t="n">
        <v>0</v>
      </c>
      <c r="AI91" s="0" t="n">
        <v>304</v>
      </c>
      <c r="AJ91" s="0" t="n">
        <v>25</v>
      </c>
      <c r="AK91" s="0" t="n">
        <v>832</v>
      </c>
      <c r="AL91" s="0" t="n">
        <v>1.5</v>
      </c>
    </row>
    <row r="92">
      <c r="A92" s="0" t="inlineStr">
        <is>
          <t>[덕풍동]</t>
        </is>
      </c>
      <c r="B92" s="0" t="n">
        <v>27159</v>
      </c>
      <c r="C92" s="0" t="n">
        <v>1</v>
      </c>
      <c r="D92" s="0" t="inlineStr">
        <is>
          <t>이룸스위트</t>
        </is>
      </c>
      <c r="E92" s="0" t="inlineStr">
        <is>
          <t>2007.05.</t>
        </is>
      </c>
      <c r="F92" s="0" t="n">
        <v>14</v>
      </c>
      <c r="G92" s="0" t="n">
        <v>21.11</v>
      </c>
      <c r="H92" s="0" t="n">
        <v>69.79000000000001</v>
      </c>
      <c r="I92" s="0" t="n">
        <v>17.98</v>
      </c>
      <c r="J92" s="0" t="n">
        <v>59.47</v>
      </c>
      <c r="K92" s="0" t="n">
        <v>1</v>
      </c>
      <c r="T92" s="0" t="n">
        <v>3</v>
      </c>
      <c r="U92" s="0" t="n">
        <v>2</v>
      </c>
      <c r="V92" s="0" t="inlineStr">
        <is>
          <t>복도식</t>
        </is>
      </c>
      <c r="W92" s="0" t="n">
        <v>69</v>
      </c>
      <c r="X92" s="0" t="n">
        <v>9</v>
      </c>
      <c r="Y92" s="0" t="n">
        <v>8</v>
      </c>
      <c r="Z92" s="0" t="inlineStr">
        <is>
          <t>https://new.land.naver.com/complexes/27159?tab=detail&amp;rf=Y</t>
        </is>
      </c>
      <c r="AA92" s="0" t="inlineStr">
        <is>
          <t>경기도 하남시 덕풍동 413-7</t>
        </is>
      </c>
      <c r="AB92" s="0" t="inlineStr">
        <is>
          <t>경기도</t>
        </is>
      </c>
      <c r="AC92" s="0" t="inlineStr">
        <is>
          <t>하남시</t>
        </is>
      </c>
      <c r="AD92" s="0" t="inlineStr">
        <is>
          <t>덕풍동</t>
        </is>
      </c>
      <c r="AG92" s="0" t="inlineStr">
        <is>
          <t>경기도 하남시 신장로136번길 32</t>
        </is>
      </c>
      <c r="AH92" s="0" t="n">
        <v>0</v>
      </c>
      <c r="AI92" s="0" t="n">
        <v>336</v>
      </c>
      <c r="AJ92" s="0" t="n">
        <v>62</v>
      </c>
      <c r="AK92" s="0" t="n">
        <v>13</v>
      </c>
      <c r="AL92" s="0" t="n">
        <v>0.93</v>
      </c>
    </row>
    <row r="93">
      <c r="A93" s="0" t="inlineStr">
        <is>
          <t>[덕풍동]</t>
        </is>
      </c>
      <c r="B93" s="0" t="n">
        <v>27159</v>
      </c>
      <c r="C93" s="0" t="n">
        <v>2</v>
      </c>
      <c r="D93" s="0" t="inlineStr">
        <is>
          <t>이룸스위트</t>
        </is>
      </c>
      <c r="E93" s="0" t="inlineStr">
        <is>
          <t>2007.05.</t>
        </is>
      </c>
      <c r="F93" s="0" t="n">
        <v>14</v>
      </c>
      <c r="G93" s="0" t="n">
        <v>27.92</v>
      </c>
      <c r="H93" s="0" t="n">
        <v>92.33</v>
      </c>
      <c r="I93" s="0" t="n">
        <v>23.8</v>
      </c>
      <c r="J93" s="0" t="n">
        <v>78.68000000000001</v>
      </c>
      <c r="K93" s="0" t="n">
        <v>1</v>
      </c>
      <c r="T93" s="0" t="n">
        <v>3</v>
      </c>
      <c r="U93" s="0" t="n">
        <v>2</v>
      </c>
      <c r="V93" s="0" t="inlineStr">
        <is>
          <t>복도식</t>
        </is>
      </c>
      <c r="W93" s="0" t="n">
        <v>92</v>
      </c>
      <c r="X93" s="0" t="n">
        <v>9</v>
      </c>
      <c r="Y93" s="0" t="n">
        <v>8</v>
      </c>
      <c r="Z93" s="0" t="inlineStr">
        <is>
          <t>https://new.land.naver.com/complexes/27159?tab=detail&amp;rf=Y</t>
        </is>
      </c>
      <c r="AA93" s="0" t="inlineStr">
        <is>
          <t>경기도 하남시 덕풍동 413-7</t>
        </is>
      </c>
      <c r="AB93" s="0" t="inlineStr">
        <is>
          <t>경기도</t>
        </is>
      </c>
      <c r="AC93" s="0" t="inlineStr">
        <is>
          <t>하남시</t>
        </is>
      </c>
      <c r="AD93" s="0" t="inlineStr">
        <is>
          <t>덕풍동</t>
        </is>
      </c>
      <c r="AG93" s="0" t="inlineStr">
        <is>
          <t>경기도 하남시 신장로136번길 32</t>
        </is>
      </c>
      <c r="AH93" s="0" t="n">
        <v>0</v>
      </c>
      <c r="AI93" s="0" t="n">
        <v>336</v>
      </c>
      <c r="AJ93" s="0" t="n">
        <v>62</v>
      </c>
      <c r="AK93" s="0" t="n">
        <v>13</v>
      </c>
      <c r="AL93" s="0" t="n">
        <v>0.93</v>
      </c>
    </row>
    <row r="94">
      <c r="A94" s="0" t="inlineStr">
        <is>
          <t>[덕풍동]</t>
        </is>
      </c>
      <c r="B94" s="0" t="n">
        <v>27159</v>
      </c>
      <c r="C94" s="0" t="n">
        <v>3</v>
      </c>
      <c r="D94" s="0" t="inlineStr">
        <is>
          <t>이룸스위트</t>
        </is>
      </c>
      <c r="E94" s="0" t="inlineStr">
        <is>
          <t>2007.05.</t>
        </is>
      </c>
      <c r="F94" s="0" t="n">
        <v>14</v>
      </c>
      <c r="G94" s="0" t="n">
        <v>30.14</v>
      </c>
      <c r="H94" s="0" t="n">
        <v>99.64</v>
      </c>
      <c r="I94" s="0" t="n">
        <v>25.68</v>
      </c>
      <c r="J94" s="0" t="n">
        <v>84.90000000000001</v>
      </c>
      <c r="K94" s="0" t="n">
        <v>11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99A</t>
        </is>
      </c>
      <c r="X94" s="0" t="n">
        <v>9</v>
      </c>
      <c r="Y94" s="0" t="n">
        <v>8</v>
      </c>
      <c r="Z94" s="0" t="inlineStr">
        <is>
          <t>https://new.land.naver.com/complexes/27159?tab=detail&amp;rf=Y</t>
        </is>
      </c>
      <c r="AA94" s="0" t="inlineStr">
        <is>
          <t>경기도 하남시 덕풍동 413-7</t>
        </is>
      </c>
      <c r="AB94" s="0" t="inlineStr">
        <is>
          <t>경기도</t>
        </is>
      </c>
      <c r="AC94" s="0" t="inlineStr">
        <is>
          <t>하남시</t>
        </is>
      </c>
      <c r="AD94" s="0" t="inlineStr">
        <is>
          <t>덕풍동</t>
        </is>
      </c>
      <c r="AG94" s="0" t="inlineStr">
        <is>
          <t>경기도 하남시 신장로136번길 32</t>
        </is>
      </c>
      <c r="AH94" s="0" t="n">
        <v>0</v>
      </c>
      <c r="AI94" s="0" t="n">
        <v>336</v>
      </c>
      <c r="AJ94" s="0" t="n">
        <v>62</v>
      </c>
      <c r="AK94" s="0" t="n">
        <v>13</v>
      </c>
      <c r="AL94" s="0" t="n">
        <v>0.93</v>
      </c>
    </row>
    <row r="95">
      <c r="A95" s="0" t="inlineStr">
        <is>
          <t>[덕풍동]</t>
        </is>
      </c>
      <c r="B95" s="0" t="n">
        <v>27159</v>
      </c>
      <c r="C95" s="0" t="n">
        <v>4</v>
      </c>
      <c r="D95" s="0" t="inlineStr">
        <is>
          <t>이룸스위트</t>
        </is>
      </c>
      <c r="E95" s="0" t="inlineStr">
        <is>
          <t>2007.05.</t>
        </is>
      </c>
      <c r="F95" s="0" t="n">
        <v>14</v>
      </c>
      <c r="G95" s="0" t="n">
        <v>30.17</v>
      </c>
      <c r="H95" s="0" t="n">
        <v>99.73999999999999</v>
      </c>
      <c r="I95" s="0" t="n">
        <v>25.7</v>
      </c>
      <c r="J95" s="0" t="n">
        <v>84.98999999999999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99B</t>
        </is>
      </c>
      <c r="X95" s="0" t="n">
        <v>9</v>
      </c>
      <c r="Y95" s="0" t="n">
        <v>8</v>
      </c>
      <c r="Z95" s="0" t="inlineStr">
        <is>
          <t>https://new.land.naver.com/complexes/27159?tab=detail&amp;rf=Y</t>
        </is>
      </c>
      <c r="AA95" s="0" t="inlineStr">
        <is>
          <t>경기도 하남시 덕풍동 413-7</t>
        </is>
      </c>
      <c r="AB95" s="0" t="inlineStr">
        <is>
          <t>경기도</t>
        </is>
      </c>
      <c r="AC95" s="0" t="inlineStr">
        <is>
          <t>하남시</t>
        </is>
      </c>
      <c r="AD95" s="0" t="inlineStr">
        <is>
          <t>덕풍동</t>
        </is>
      </c>
      <c r="AG95" s="0" t="inlineStr">
        <is>
          <t>경기도 하남시 신장로136번길 32</t>
        </is>
      </c>
      <c r="AH95" s="0" t="n">
        <v>0</v>
      </c>
      <c r="AI95" s="0" t="n">
        <v>336</v>
      </c>
      <c r="AJ95" s="0" t="n">
        <v>62</v>
      </c>
      <c r="AK95" s="0" t="n">
        <v>13</v>
      </c>
      <c r="AL95" s="0" t="n">
        <v>0.93</v>
      </c>
    </row>
    <row r="96">
      <c r="A96" s="0" t="inlineStr">
        <is>
          <t>[덕풍동]</t>
        </is>
      </c>
      <c r="B96" s="0" t="n">
        <v>2146</v>
      </c>
      <c r="C96" s="0" t="n">
        <v>1</v>
      </c>
      <c r="D96" s="0" t="inlineStr">
        <is>
          <t>덕풍서해</t>
        </is>
      </c>
      <c r="E96" s="0" t="inlineStr">
        <is>
          <t>1996.04.</t>
        </is>
      </c>
      <c r="F96" s="0" t="n">
        <v>423</v>
      </c>
      <c r="G96" s="0" t="n">
        <v>24.31</v>
      </c>
      <c r="H96" s="0" t="n">
        <v>80.38</v>
      </c>
      <c r="I96" s="0" t="n">
        <v>17.85</v>
      </c>
      <c r="J96" s="0" t="n">
        <v>59.04</v>
      </c>
      <c r="K96" s="0" t="n">
        <v>213</v>
      </c>
      <c r="T96" s="0" t="n">
        <v>2</v>
      </c>
      <c r="U96" s="0" t="n">
        <v>1</v>
      </c>
      <c r="V96" s="0" t="inlineStr">
        <is>
          <t>복도식</t>
        </is>
      </c>
      <c r="W96" s="0" t="n">
        <v>80</v>
      </c>
      <c r="X96" s="0" t="n">
        <v>23</v>
      </c>
      <c r="Y96" s="0" t="n">
        <v>13</v>
      </c>
      <c r="Z96" s="0" t="inlineStr">
        <is>
          <t>https://new.land.naver.com/complexes/2146?tab=detail&amp;rf=Y</t>
        </is>
      </c>
      <c r="AA96" s="0" t="inlineStr">
        <is>
          <t>경기도 하남시 덕풍동 346</t>
        </is>
      </c>
      <c r="AB96" s="0" t="inlineStr">
        <is>
          <t>경기도</t>
        </is>
      </c>
      <c r="AC96" s="0" t="inlineStr">
        <is>
          <t>하남시</t>
        </is>
      </c>
      <c r="AD96" s="0" t="inlineStr">
        <is>
          <t>덕풍동</t>
        </is>
      </c>
      <c r="AG96" s="0" t="inlineStr">
        <is>
          <t>경기도 하남시 신장로205번길 16</t>
        </is>
      </c>
      <c r="AH96" s="0" t="n">
        <v>0</v>
      </c>
      <c r="AI96" s="0" t="n">
        <v>365</v>
      </c>
      <c r="AJ96" s="0" t="n">
        <v>25</v>
      </c>
      <c r="AK96" s="0" t="n">
        <v>366</v>
      </c>
      <c r="AL96" s="0" t="n">
        <v>0.87</v>
      </c>
    </row>
    <row r="97">
      <c r="A97" s="0" t="inlineStr">
        <is>
          <t>[덕풍동]</t>
        </is>
      </c>
      <c r="B97" s="0" t="n">
        <v>2146</v>
      </c>
      <c r="C97" s="0" t="n">
        <v>2</v>
      </c>
      <c r="D97" s="0" t="inlineStr">
        <is>
          <t>덕풍서해</t>
        </is>
      </c>
      <c r="E97" s="0" t="inlineStr">
        <is>
          <t>1996.04.</t>
        </is>
      </c>
      <c r="F97" s="0" t="n">
        <v>423</v>
      </c>
      <c r="G97" s="0" t="n">
        <v>31.81</v>
      </c>
      <c r="H97" s="0" t="n">
        <v>105.17</v>
      </c>
      <c r="I97" s="0" t="n">
        <v>25.69</v>
      </c>
      <c r="J97" s="0" t="n">
        <v>84.93000000000001</v>
      </c>
      <c r="K97" s="0" t="n">
        <v>174</v>
      </c>
      <c r="T97" s="0" t="n">
        <v>3</v>
      </c>
      <c r="U97" s="0" t="n">
        <v>2</v>
      </c>
      <c r="V97" s="0" t="inlineStr">
        <is>
          <t>계단식</t>
        </is>
      </c>
      <c r="W97" s="0" t="n">
        <v>105</v>
      </c>
      <c r="X97" s="0" t="n">
        <v>23</v>
      </c>
      <c r="Y97" s="0" t="n">
        <v>13</v>
      </c>
      <c r="Z97" s="0" t="inlineStr">
        <is>
          <t>https://new.land.naver.com/complexes/2146?tab=detail&amp;rf=Y</t>
        </is>
      </c>
      <c r="AA97" s="0" t="inlineStr">
        <is>
          <t>경기도 하남시 덕풍동 346</t>
        </is>
      </c>
      <c r="AB97" s="0" t="inlineStr">
        <is>
          <t>경기도</t>
        </is>
      </c>
      <c r="AC97" s="0" t="inlineStr">
        <is>
          <t>하남시</t>
        </is>
      </c>
      <c r="AD97" s="0" t="inlineStr">
        <is>
          <t>덕풍동</t>
        </is>
      </c>
      <c r="AG97" s="0" t="inlineStr">
        <is>
          <t>경기도 하남시 신장로205번길 16</t>
        </is>
      </c>
      <c r="AH97" s="0" t="n">
        <v>0</v>
      </c>
      <c r="AI97" s="0" t="n">
        <v>365</v>
      </c>
      <c r="AJ97" s="0" t="n">
        <v>25</v>
      </c>
      <c r="AK97" s="0" t="n">
        <v>366</v>
      </c>
      <c r="AL97" s="0" t="n">
        <v>0.87</v>
      </c>
    </row>
    <row r="98">
      <c r="A98" s="0" t="inlineStr">
        <is>
          <t>[덕풍동]</t>
        </is>
      </c>
      <c r="B98" s="0" t="n">
        <v>2146</v>
      </c>
      <c r="C98" s="0" t="n">
        <v>3</v>
      </c>
      <c r="D98" s="0" t="inlineStr">
        <is>
          <t>덕풍서해</t>
        </is>
      </c>
      <c r="E98" s="0" t="inlineStr">
        <is>
          <t>1996.04.</t>
        </is>
      </c>
      <c r="F98" s="0" t="n">
        <v>423</v>
      </c>
      <c r="G98" s="0" t="n">
        <v>37.51</v>
      </c>
      <c r="H98" s="0" t="n">
        <v>124</v>
      </c>
      <c r="I98" s="0" t="n">
        <v>31.15</v>
      </c>
      <c r="J98" s="0" t="n">
        <v>103</v>
      </c>
      <c r="K98" s="0" t="n">
        <v>36</v>
      </c>
      <c r="T98" s="0" t="n">
        <v>4</v>
      </c>
      <c r="U98" s="0" t="n">
        <v>2</v>
      </c>
      <c r="V98" s="0" t="inlineStr">
        <is>
          <t>계단식</t>
        </is>
      </c>
      <c r="W98" s="0" t="n">
        <v>124</v>
      </c>
      <c r="X98" s="0" t="n">
        <v>23</v>
      </c>
      <c r="Y98" s="0" t="n">
        <v>13</v>
      </c>
      <c r="Z98" s="0" t="inlineStr">
        <is>
          <t>https://new.land.naver.com/complexes/2146?tab=detail&amp;rf=Y</t>
        </is>
      </c>
      <c r="AA98" s="0" t="inlineStr">
        <is>
          <t>경기도 하남시 덕풍동 346</t>
        </is>
      </c>
      <c r="AB98" s="0" t="inlineStr">
        <is>
          <t>경기도</t>
        </is>
      </c>
      <c r="AC98" s="0" t="inlineStr">
        <is>
          <t>하남시</t>
        </is>
      </c>
      <c r="AD98" s="0" t="inlineStr">
        <is>
          <t>덕풍동</t>
        </is>
      </c>
      <c r="AG98" s="0" t="inlineStr">
        <is>
          <t>경기도 하남시 신장로205번길 16</t>
        </is>
      </c>
      <c r="AH98" s="0" t="n">
        <v>0</v>
      </c>
      <c r="AI98" s="0" t="n">
        <v>365</v>
      </c>
      <c r="AJ98" s="0" t="n">
        <v>25</v>
      </c>
      <c r="AK98" s="0" t="n">
        <v>366</v>
      </c>
      <c r="AL98" s="0" t="n">
        <v>0.87</v>
      </c>
    </row>
    <row r="99">
      <c r="A99" s="0" t="inlineStr">
        <is>
          <t>[덕풍동]</t>
        </is>
      </c>
      <c r="B99" s="0" t="n">
        <v>19267</v>
      </c>
      <c r="C99" s="0" t="n">
        <v>1</v>
      </c>
      <c r="D99" s="0" t="inlineStr">
        <is>
          <t>한승미메이드</t>
        </is>
      </c>
      <c r="E99" s="0" t="inlineStr">
        <is>
          <t>2005.07.</t>
        </is>
      </c>
      <c r="F99" s="0" t="n">
        <v>46</v>
      </c>
      <c r="G99" s="0" t="n">
        <v>20.44</v>
      </c>
      <c r="H99" s="0" t="n">
        <v>67.59</v>
      </c>
      <c r="I99" s="0" t="n">
        <v>15.87</v>
      </c>
      <c r="J99" s="0" t="n">
        <v>52.48</v>
      </c>
      <c r="K99" s="0" t="n">
        <v>2</v>
      </c>
      <c r="T99" s="0" t="n">
        <v>3</v>
      </c>
      <c r="U99" s="0" t="n">
        <v>2</v>
      </c>
      <c r="V99" s="0" t="inlineStr">
        <is>
          <t>계단식</t>
        </is>
      </c>
      <c r="W99" s="0" t="n">
        <v>67</v>
      </c>
      <c r="X99" s="0" t="n">
        <v>14</v>
      </c>
      <c r="Y99" s="0" t="n">
        <v>9</v>
      </c>
      <c r="Z99" s="0" t="inlineStr">
        <is>
          <t>https://new.land.naver.com/complexes/19267?tab=detail&amp;rf=Y</t>
        </is>
      </c>
      <c r="AA99" s="0" t="inlineStr">
        <is>
          <t>경기도 하남시 덕풍동 687</t>
        </is>
      </c>
      <c r="AB99" s="0" t="inlineStr">
        <is>
          <t>경기도</t>
        </is>
      </c>
      <c r="AC99" s="0" t="inlineStr">
        <is>
          <t>하남시</t>
        </is>
      </c>
      <c r="AD99" s="0" t="inlineStr">
        <is>
          <t>덕풍동</t>
        </is>
      </c>
      <c r="AG99" s="0" t="inlineStr">
        <is>
          <t>경기도 하남시 신장로 213</t>
        </is>
      </c>
      <c r="AH99" s="0" t="n">
        <v>0</v>
      </c>
      <c r="AI99" s="0" t="n">
        <v>234</v>
      </c>
      <c r="AJ99" s="0" t="n">
        <v>25</v>
      </c>
      <c r="AK99" s="0" t="n">
        <v>55</v>
      </c>
      <c r="AL99" s="0" t="n">
        <v>1.2</v>
      </c>
    </row>
    <row r="100">
      <c r="A100" s="0" t="inlineStr">
        <is>
          <t>[덕풍동]</t>
        </is>
      </c>
      <c r="B100" s="0" t="n">
        <v>19267</v>
      </c>
      <c r="C100" s="0" t="n">
        <v>2</v>
      </c>
      <c r="D100" s="0" t="inlineStr">
        <is>
          <t>한승미메이드</t>
        </is>
      </c>
      <c r="E100" s="0" t="inlineStr">
        <is>
          <t>2005.07.</t>
        </is>
      </c>
      <c r="F100" s="0" t="n">
        <v>46</v>
      </c>
      <c r="G100" s="0" t="n">
        <v>27.38</v>
      </c>
      <c r="H100" s="0" t="n">
        <v>90.52</v>
      </c>
      <c r="I100" s="0" t="n">
        <v>20.63</v>
      </c>
      <c r="J100" s="0" t="n">
        <v>68.2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90</v>
      </c>
      <c r="X100" s="0" t="n">
        <v>14</v>
      </c>
      <c r="Y100" s="0" t="n">
        <v>9</v>
      </c>
      <c r="Z100" s="0" t="inlineStr">
        <is>
          <t>https://new.land.naver.com/complexes/19267?tab=detail&amp;rf=Y</t>
        </is>
      </c>
      <c r="AA100" s="0" t="inlineStr">
        <is>
          <t>경기도 하남시 덕풍동 687</t>
        </is>
      </c>
      <c r="AB100" s="0" t="inlineStr">
        <is>
          <t>경기도</t>
        </is>
      </c>
      <c r="AC100" s="0" t="inlineStr">
        <is>
          <t>하남시</t>
        </is>
      </c>
      <c r="AD100" s="0" t="inlineStr">
        <is>
          <t>덕풍동</t>
        </is>
      </c>
      <c r="AG100" s="0" t="inlineStr">
        <is>
          <t>경기도 하남시 신장로 213</t>
        </is>
      </c>
      <c r="AH100" s="0" t="n">
        <v>0</v>
      </c>
      <c r="AI100" s="0" t="n">
        <v>234</v>
      </c>
      <c r="AJ100" s="0" t="n">
        <v>25</v>
      </c>
      <c r="AK100" s="0" t="n">
        <v>55</v>
      </c>
      <c r="AL100" s="0" t="n">
        <v>1.2</v>
      </c>
    </row>
    <row r="101">
      <c r="A101" s="0" t="inlineStr">
        <is>
          <t>[덕풍동]</t>
        </is>
      </c>
      <c r="B101" s="0" t="n">
        <v>19267</v>
      </c>
      <c r="C101" s="0" t="n">
        <v>3</v>
      </c>
      <c r="D101" s="0" t="inlineStr">
        <is>
          <t>한승미메이드</t>
        </is>
      </c>
      <c r="E101" s="0" t="inlineStr">
        <is>
          <t>2005.07.</t>
        </is>
      </c>
      <c r="F101" s="0" t="n">
        <v>46</v>
      </c>
      <c r="G101" s="0" t="n">
        <v>30.34</v>
      </c>
      <c r="H101" s="0" t="n">
        <v>100.33</v>
      </c>
      <c r="I101" s="0" t="n">
        <v>22.76</v>
      </c>
      <c r="J101" s="0" t="n">
        <v>75.27</v>
      </c>
      <c r="K101" s="0" t="n">
        <v>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100</v>
      </c>
      <c r="X101" s="0" t="n">
        <v>14</v>
      </c>
      <c r="Y101" s="0" t="n">
        <v>9</v>
      </c>
      <c r="Z101" s="0" t="inlineStr">
        <is>
          <t>https://new.land.naver.com/complexes/19267?tab=detail&amp;rf=Y</t>
        </is>
      </c>
      <c r="AA101" s="0" t="inlineStr">
        <is>
          <t>경기도 하남시 덕풍동 687</t>
        </is>
      </c>
      <c r="AB101" s="0" t="inlineStr">
        <is>
          <t>경기도</t>
        </is>
      </c>
      <c r="AC101" s="0" t="inlineStr">
        <is>
          <t>하남시</t>
        </is>
      </c>
      <c r="AD101" s="0" t="inlineStr">
        <is>
          <t>덕풍동</t>
        </is>
      </c>
      <c r="AG101" s="0" t="inlineStr">
        <is>
          <t>경기도 하남시 신장로 213</t>
        </is>
      </c>
      <c r="AH101" s="0" t="n">
        <v>0</v>
      </c>
      <c r="AI101" s="0" t="n">
        <v>234</v>
      </c>
      <c r="AJ101" s="0" t="n">
        <v>25</v>
      </c>
      <c r="AK101" s="0" t="n">
        <v>55</v>
      </c>
      <c r="AL101" s="0" t="n">
        <v>1.2</v>
      </c>
    </row>
    <row r="102">
      <c r="A102" s="0" t="inlineStr">
        <is>
          <t>[덕풍동]</t>
        </is>
      </c>
      <c r="B102" s="0" t="n">
        <v>19267</v>
      </c>
      <c r="C102" s="0" t="n">
        <v>4</v>
      </c>
      <c r="D102" s="0" t="inlineStr">
        <is>
          <t>한승미메이드</t>
        </is>
      </c>
      <c r="E102" s="0" t="inlineStr">
        <is>
          <t>2005.07.</t>
        </is>
      </c>
      <c r="F102" s="0" t="n">
        <v>46</v>
      </c>
      <c r="G102" s="0" t="n">
        <v>34.05</v>
      </c>
      <c r="H102" s="0" t="n">
        <v>112.58</v>
      </c>
      <c r="I102" s="0" t="n">
        <v>25.68</v>
      </c>
      <c r="J102" s="0" t="n">
        <v>84.90000000000001</v>
      </c>
      <c r="K102" s="0" t="n">
        <v>35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112A</t>
        </is>
      </c>
      <c r="X102" s="0" t="n">
        <v>14</v>
      </c>
      <c r="Y102" s="0" t="n">
        <v>9</v>
      </c>
      <c r="Z102" s="0" t="inlineStr">
        <is>
          <t>https://new.land.naver.com/complexes/19267?tab=detail&amp;rf=Y</t>
        </is>
      </c>
      <c r="AA102" s="0" t="inlineStr">
        <is>
          <t>경기도 하남시 덕풍동 687</t>
        </is>
      </c>
      <c r="AB102" s="0" t="inlineStr">
        <is>
          <t>경기도</t>
        </is>
      </c>
      <c r="AC102" s="0" t="inlineStr">
        <is>
          <t>하남시</t>
        </is>
      </c>
      <c r="AD102" s="0" t="inlineStr">
        <is>
          <t>덕풍동</t>
        </is>
      </c>
      <c r="AG102" s="0" t="inlineStr">
        <is>
          <t>경기도 하남시 신장로 213</t>
        </is>
      </c>
      <c r="AH102" s="0" t="n">
        <v>0</v>
      </c>
      <c r="AI102" s="0" t="n">
        <v>234</v>
      </c>
      <c r="AJ102" s="0" t="n">
        <v>25</v>
      </c>
      <c r="AK102" s="0" t="n">
        <v>55</v>
      </c>
      <c r="AL102" s="0" t="n">
        <v>1.2</v>
      </c>
    </row>
    <row r="103">
      <c r="A103" s="0" t="inlineStr">
        <is>
          <t>[덕풍동]</t>
        </is>
      </c>
      <c r="B103" s="0" t="n">
        <v>19267</v>
      </c>
      <c r="C103" s="0" t="n">
        <v>5</v>
      </c>
      <c r="D103" s="0" t="inlineStr">
        <is>
          <t>한승미메이드</t>
        </is>
      </c>
      <c r="E103" s="0" t="inlineStr">
        <is>
          <t>2005.07.</t>
        </is>
      </c>
      <c r="F103" s="0" t="n">
        <v>46</v>
      </c>
      <c r="G103" s="0" t="n">
        <v>34.17</v>
      </c>
      <c r="H103" s="0" t="n">
        <v>112.99</v>
      </c>
      <c r="I103" s="0" t="n">
        <v>25.66</v>
      </c>
      <c r="J103" s="0" t="n">
        <v>84.83</v>
      </c>
      <c r="K103" s="0" t="n">
        <v>7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112B</t>
        </is>
      </c>
      <c r="X103" s="0" t="n">
        <v>14</v>
      </c>
      <c r="Y103" s="0" t="n">
        <v>9</v>
      </c>
      <c r="Z103" s="0" t="inlineStr">
        <is>
          <t>https://new.land.naver.com/complexes/19267?tab=detail&amp;rf=Y</t>
        </is>
      </c>
      <c r="AA103" s="0" t="inlineStr">
        <is>
          <t>경기도 하남시 덕풍동 687</t>
        </is>
      </c>
      <c r="AB103" s="0" t="inlineStr">
        <is>
          <t>경기도</t>
        </is>
      </c>
      <c r="AC103" s="0" t="inlineStr">
        <is>
          <t>하남시</t>
        </is>
      </c>
      <c r="AD103" s="0" t="inlineStr">
        <is>
          <t>덕풍동</t>
        </is>
      </c>
      <c r="AG103" s="0" t="inlineStr">
        <is>
          <t>경기도 하남시 신장로 213</t>
        </is>
      </c>
      <c r="AH103" s="0" t="n">
        <v>0</v>
      </c>
      <c r="AI103" s="0" t="n">
        <v>234</v>
      </c>
      <c r="AJ103" s="0" t="n">
        <v>25</v>
      </c>
      <c r="AK103" s="0" t="n">
        <v>55</v>
      </c>
      <c r="AL103" s="0" t="n">
        <v>1.2</v>
      </c>
    </row>
    <row r="104">
      <c r="A104" s="0" t="inlineStr">
        <is>
          <t>[덕풍동]</t>
        </is>
      </c>
      <c r="B104" s="0" t="n">
        <v>25270</v>
      </c>
      <c r="C104" s="0" t="n">
        <v>1</v>
      </c>
      <c r="D104" s="0" t="inlineStr">
        <is>
          <t>하남풍산아이파크1단지</t>
        </is>
      </c>
      <c r="E104" s="0" t="inlineStr">
        <is>
          <t>2008.07.</t>
        </is>
      </c>
      <c r="F104" s="0" t="n">
        <v>686</v>
      </c>
      <c r="G104" s="0" t="n">
        <v>33.18</v>
      </c>
      <c r="H104" s="0" t="n">
        <v>109.7</v>
      </c>
      <c r="I104" s="0" t="n">
        <v>25.69</v>
      </c>
      <c r="J104" s="0" t="n">
        <v>84.95</v>
      </c>
      <c r="K104" s="0" t="n">
        <v>57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109E</t>
        </is>
      </c>
      <c r="X104" s="0" t="n">
        <v>15</v>
      </c>
      <c r="Y104" s="0" t="n">
        <v>9</v>
      </c>
      <c r="Z104" s="0" t="inlineStr">
        <is>
          <t>https://new.land.naver.com/complexes/25270?tab=detail&amp;rf=Y</t>
        </is>
      </c>
      <c r="AA104" s="0" t="inlineStr">
        <is>
          <t>경기도 하남시 덕풍동 823</t>
        </is>
      </c>
      <c r="AB104" s="0" t="inlineStr">
        <is>
          <t>경기도</t>
        </is>
      </c>
      <c r="AC104" s="0" t="inlineStr">
        <is>
          <t>하남시</t>
        </is>
      </c>
      <c r="AD104" s="0" t="inlineStr">
        <is>
          <t>덕풍동</t>
        </is>
      </c>
      <c r="AG104" s="0" t="inlineStr">
        <is>
          <t>경기도 하남시 덕풍남로 11</t>
        </is>
      </c>
      <c r="AH104" s="0" t="n">
        <v>0</v>
      </c>
      <c r="AI104" s="0" t="n">
        <v>179</v>
      </c>
      <c r="AJ104" s="0" t="n">
        <v>20</v>
      </c>
      <c r="AK104" s="0" t="n">
        <v>972</v>
      </c>
      <c r="AL104" s="0" t="n">
        <v>1.42</v>
      </c>
    </row>
    <row r="105">
      <c r="A105" s="0" t="inlineStr">
        <is>
          <t>[덕풍동]</t>
        </is>
      </c>
      <c r="B105" s="0" t="n">
        <v>25270</v>
      </c>
      <c r="C105" s="0" t="n">
        <v>2</v>
      </c>
      <c r="D105" s="0" t="inlineStr">
        <is>
          <t>하남풍산아이파크1단지</t>
        </is>
      </c>
      <c r="E105" s="0" t="inlineStr">
        <is>
          <t>2008.07.</t>
        </is>
      </c>
      <c r="F105" s="0" t="n">
        <v>686</v>
      </c>
      <c r="G105" s="0" t="n">
        <v>33.75</v>
      </c>
      <c r="H105" s="0" t="n">
        <v>111.59</v>
      </c>
      <c r="I105" s="0" t="n">
        <v>25.7</v>
      </c>
      <c r="J105" s="0" t="n">
        <v>84.95999999999999</v>
      </c>
      <c r="K105" s="0" t="n">
        <v>136</v>
      </c>
      <c r="T105" s="0" t="n">
        <v>3</v>
      </c>
      <c r="U105" s="0" t="n">
        <v>2</v>
      </c>
      <c r="V105" s="0" t="inlineStr">
        <is>
          <t>복도식</t>
        </is>
      </c>
      <c r="W105" s="0" t="inlineStr">
        <is>
          <t>111D</t>
        </is>
      </c>
      <c r="X105" s="0" t="n">
        <v>15</v>
      </c>
      <c r="Y105" s="0" t="n">
        <v>9</v>
      </c>
      <c r="Z105" s="0" t="inlineStr">
        <is>
          <t>https://new.land.naver.com/complexes/25270?tab=detail&amp;rf=Y</t>
        </is>
      </c>
      <c r="AA105" s="0" t="inlineStr">
        <is>
          <t>경기도 하남시 덕풍동 823</t>
        </is>
      </c>
      <c r="AB105" s="0" t="inlineStr">
        <is>
          <t>경기도</t>
        </is>
      </c>
      <c r="AC105" s="0" t="inlineStr">
        <is>
          <t>하남시</t>
        </is>
      </c>
      <c r="AD105" s="0" t="inlineStr">
        <is>
          <t>덕풍동</t>
        </is>
      </c>
      <c r="AG105" s="0" t="inlineStr">
        <is>
          <t>경기도 하남시 덕풍남로 11</t>
        </is>
      </c>
      <c r="AH105" s="0" t="n">
        <v>0</v>
      </c>
      <c r="AI105" s="0" t="n">
        <v>179</v>
      </c>
      <c r="AJ105" s="0" t="n">
        <v>20</v>
      </c>
      <c r="AK105" s="0" t="n">
        <v>972</v>
      </c>
      <c r="AL105" s="0" t="n">
        <v>1.42</v>
      </c>
    </row>
    <row r="106">
      <c r="A106" s="0" t="inlineStr">
        <is>
          <t>[덕풍동]</t>
        </is>
      </c>
      <c r="B106" s="0" t="n">
        <v>25270</v>
      </c>
      <c r="C106" s="0" t="n">
        <v>3</v>
      </c>
      <c r="D106" s="0" t="inlineStr">
        <is>
          <t>하남풍산아이파크1단지</t>
        </is>
      </c>
      <c r="E106" s="0" t="inlineStr">
        <is>
          <t>2008.07.</t>
        </is>
      </c>
      <c r="F106" s="0" t="n">
        <v>686</v>
      </c>
      <c r="G106" s="0" t="n">
        <v>33.93</v>
      </c>
      <c r="H106" s="0" t="n">
        <v>112.17</v>
      </c>
      <c r="I106" s="0" t="n">
        <v>25.7</v>
      </c>
      <c r="J106" s="0" t="n">
        <v>84.95999999999999</v>
      </c>
      <c r="K106" s="0" t="n">
        <v>180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112A</t>
        </is>
      </c>
      <c r="X106" s="0" t="n">
        <v>15</v>
      </c>
      <c r="Y106" s="0" t="n">
        <v>9</v>
      </c>
      <c r="Z106" s="0" t="inlineStr">
        <is>
          <t>https://new.land.naver.com/complexes/25270?tab=detail&amp;rf=Y</t>
        </is>
      </c>
      <c r="AA106" s="0" t="inlineStr">
        <is>
          <t>경기도 하남시 덕풍동 823</t>
        </is>
      </c>
      <c r="AB106" s="0" t="inlineStr">
        <is>
          <t>경기도</t>
        </is>
      </c>
      <c r="AC106" s="0" t="inlineStr">
        <is>
          <t>하남시</t>
        </is>
      </c>
      <c r="AD106" s="0" t="inlineStr">
        <is>
          <t>덕풍동</t>
        </is>
      </c>
      <c r="AG106" s="0" t="inlineStr">
        <is>
          <t>경기도 하남시 덕풍남로 11</t>
        </is>
      </c>
      <c r="AH106" s="0" t="n">
        <v>0</v>
      </c>
      <c r="AI106" s="0" t="n">
        <v>179</v>
      </c>
      <c r="AJ106" s="0" t="n">
        <v>20</v>
      </c>
      <c r="AK106" s="0" t="n">
        <v>972</v>
      </c>
      <c r="AL106" s="0" t="n">
        <v>1.42</v>
      </c>
    </row>
    <row r="107">
      <c r="A107" s="0" t="inlineStr">
        <is>
          <t>[덕풍동]</t>
        </is>
      </c>
      <c r="B107" s="0" t="n">
        <v>25270</v>
      </c>
      <c r="C107" s="0" t="n">
        <v>4</v>
      </c>
      <c r="D107" s="0" t="inlineStr">
        <is>
          <t>하남풍산아이파크1단지</t>
        </is>
      </c>
      <c r="E107" s="0" t="inlineStr">
        <is>
          <t>2008.07.</t>
        </is>
      </c>
      <c r="F107" s="0" t="n">
        <v>686</v>
      </c>
      <c r="G107" s="0" t="n">
        <v>33.93</v>
      </c>
      <c r="H107" s="0" t="n">
        <v>112.19</v>
      </c>
      <c r="I107" s="0" t="n">
        <v>25.7</v>
      </c>
      <c r="J107" s="0" t="n">
        <v>84.95999999999999</v>
      </c>
      <c r="K107" s="0" t="n">
        <v>158</v>
      </c>
      <c r="T107" s="0" t="n">
        <v>3</v>
      </c>
      <c r="U107" s="0" t="n">
        <v>2</v>
      </c>
      <c r="V107" s="0" t="inlineStr">
        <is>
          <t>복도식</t>
        </is>
      </c>
      <c r="W107" s="0" t="inlineStr">
        <is>
          <t>112C</t>
        </is>
      </c>
      <c r="X107" s="0" t="n">
        <v>15</v>
      </c>
      <c r="Y107" s="0" t="n">
        <v>9</v>
      </c>
      <c r="Z107" s="0" t="inlineStr">
        <is>
          <t>https://new.land.naver.com/complexes/25270?tab=detail&amp;rf=Y</t>
        </is>
      </c>
      <c r="AA107" s="0" t="inlineStr">
        <is>
          <t>경기도 하남시 덕풍동 823</t>
        </is>
      </c>
      <c r="AB107" s="0" t="inlineStr">
        <is>
          <t>경기도</t>
        </is>
      </c>
      <c r="AC107" s="0" t="inlineStr">
        <is>
          <t>하남시</t>
        </is>
      </c>
      <c r="AD107" s="0" t="inlineStr">
        <is>
          <t>덕풍동</t>
        </is>
      </c>
      <c r="AG107" s="0" t="inlineStr">
        <is>
          <t>경기도 하남시 덕풍남로 11</t>
        </is>
      </c>
      <c r="AH107" s="0" t="n">
        <v>0</v>
      </c>
      <c r="AI107" s="0" t="n">
        <v>179</v>
      </c>
      <c r="AJ107" s="0" t="n">
        <v>20</v>
      </c>
      <c r="AK107" s="0" t="n">
        <v>972</v>
      </c>
      <c r="AL107" s="0" t="n">
        <v>1.42</v>
      </c>
    </row>
    <row r="108">
      <c r="A108" s="0" t="inlineStr">
        <is>
          <t>[덕풍동]</t>
        </is>
      </c>
      <c r="B108" s="0" t="n">
        <v>25270</v>
      </c>
      <c r="C108" s="0" t="n">
        <v>5</v>
      </c>
      <c r="D108" s="0" t="inlineStr">
        <is>
          <t>하남풍산아이파크1단지</t>
        </is>
      </c>
      <c r="E108" s="0" t="inlineStr">
        <is>
          <t>2008.07.</t>
        </is>
      </c>
      <c r="F108" s="0" t="n">
        <v>686</v>
      </c>
      <c r="G108" s="0" t="n">
        <v>33.99</v>
      </c>
      <c r="H108" s="0" t="n">
        <v>112.38</v>
      </c>
      <c r="I108" s="0" t="n">
        <v>25.69</v>
      </c>
      <c r="J108" s="0" t="n">
        <v>84.94</v>
      </c>
      <c r="K108" s="0" t="n">
        <v>57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112B</t>
        </is>
      </c>
      <c r="X108" s="0" t="n">
        <v>15</v>
      </c>
      <c r="Y108" s="0" t="n">
        <v>9</v>
      </c>
      <c r="Z108" s="0" t="inlineStr">
        <is>
          <t>https://new.land.naver.com/complexes/25270?tab=detail&amp;rf=Y</t>
        </is>
      </c>
      <c r="AA108" s="0" t="inlineStr">
        <is>
          <t>경기도 하남시 덕풍동 823</t>
        </is>
      </c>
      <c r="AB108" s="0" t="inlineStr">
        <is>
          <t>경기도</t>
        </is>
      </c>
      <c r="AC108" s="0" t="inlineStr">
        <is>
          <t>하남시</t>
        </is>
      </c>
      <c r="AD108" s="0" t="inlineStr">
        <is>
          <t>덕풍동</t>
        </is>
      </c>
      <c r="AG108" s="0" t="inlineStr">
        <is>
          <t>경기도 하남시 덕풍남로 11</t>
        </is>
      </c>
      <c r="AH108" s="0" t="n">
        <v>0</v>
      </c>
      <c r="AI108" s="0" t="n">
        <v>179</v>
      </c>
      <c r="AJ108" s="0" t="n">
        <v>20</v>
      </c>
      <c r="AK108" s="0" t="n">
        <v>972</v>
      </c>
      <c r="AL108" s="0" t="n">
        <v>1.42</v>
      </c>
    </row>
    <row r="109">
      <c r="A109" s="0" t="inlineStr">
        <is>
          <t>[덕풍동]</t>
        </is>
      </c>
      <c r="B109" s="0" t="n">
        <v>25270</v>
      </c>
      <c r="C109" s="0" t="n">
        <v>6</v>
      </c>
      <c r="D109" s="0" t="inlineStr">
        <is>
          <t>하남풍산아이파크1단지</t>
        </is>
      </c>
      <c r="E109" s="0" t="inlineStr">
        <is>
          <t>2008.07.</t>
        </is>
      </c>
      <c r="F109" s="0" t="n">
        <v>686</v>
      </c>
      <c r="G109" s="0" t="n">
        <v>38.82</v>
      </c>
      <c r="H109" s="0" t="n">
        <v>128.34</v>
      </c>
      <c r="I109" s="0" t="n">
        <v>30.52</v>
      </c>
      <c r="J109" s="0" t="n">
        <v>100.9</v>
      </c>
      <c r="K109" s="0" t="n">
        <v>92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128</v>
      </c>
      <c r="X109" s="0" t="n">
        <v>15</v>
      </c>
      <c r="Y109" s="0" t="n">
        <v>9</v>
      </c>
      <c r="Z109" s="0" t="inlineStr">
        <is>
          <t>https://new.land.naver.com/complexes/25270?tab=detail&amp;rf=Y</t>
        </is>
      </c>
      <c r="AA109" s="0" t="inlineStr">
        <is>
          <t>경기도 하남시 덕풍동 823</t>
        </is>
      </c>
      <c r="AB109" s="0" t="inlineStr">
        <is>
          <t>경기도</t>
        </is>
      </c>
      <c r="AC109" s="0" t="inlineStr">
        <is>
          <t>하남시</t>
        </is>
      </c>
      <c r="AD109" s="0" t="inlineStr">
        <is>
          <t>덕풍동</t>
        </is>
      </c>
      <c r="AG109" s="0" t="inlineStr">
        <is>
          <t>경기도 하남시 덕풍남로 11</t>
        </is>
      </c>
      <c r="AH109" s="0" t="n">
        <v>0</v>
      </c>
      <c r="AI109" s="0" t="n">
        <v>179</v>
      </c>
      <c r="AJ109" s="0" t="n">
        <v>20</v>
      </c>
      <c r="AK109" s="0" t="n">
        <v>972</v>
      </c>
      <c r="AL109" s="0" t="n">
        <v>1.42</v>
      </c>
    </row>
    <row r="110">
      <c r="A110" s="0" t="inlineStr">
        <is>
          <t>[덕풍동]</t>
        </is>
      </c>
      <c r="B110" s="0" t="n">
        <v>25270</v>
      </c>
      <c r="C110" s="0" t="n">
        <v>7</v>
      </c>
      <c r="D110" s="0" t="inlineStr">
        <is>
          <t>하남풍산아이파크1단지</t>
        </is>
      </c>
      <c r="E110" s="0" t="inlineStr">
        <is>
          <t>2008.07.</t>
        </is>
      </c>
      <c r="F110" s="0" t="n">
        <v>686</v>
      </c>
      <c r="G110" s="0" t="n">
        <v>40.6</v>
      </c>
      <c r="H110" s="0" t="n">
        <v>134.22</v>
      </c>
      <c r="I110" s="0" t="n">
        <v>30.77</v>
      </c>
      <c r="J110" s="0" t="n">
        <v>101.74</v>
      </c>
      <c r="K110" s="0" t="n">
        <v>6</v>
      </c>
      <c r="T110" s="0" t="n">
        <v>4</v>
      </c>
      <c r="U110" s="0" t="n">
        <v>2</v>
      </c>
      <c r="V110" s="0" t="inlineStr">
        <is>
          <t>복도식</t>
        </is>
      </c>
      <c r="W110" s="0" t="n">
        <v>134</v>
      </c>
      <c r="X110" s="0" t="n">
        <v>15</v>
      </c>
      <c r="Y110" s="0" t="n">
        <v>9</v>
      </c>
      <c r="Z110" s="0" t="inlineStr">
        <is>
          <t>https://new.land.naver.com/complexes/25270?tab=detail&amp;rf=Y</t>
        </is>
      </c>
      <c r="AA110" s="0" t="inlineStr">
        <is>
          <t>경기도 하남시 덕풍동 823</t>
        </is>
      </c>
      <c r="AB110" s="0" t="inlineStr">
        <is>
          <t>경기도</t>
        </is>
      </c>
      <c r="AC110" s="0" t="inlineStr">
        <is>
          <t>하남시</t>
        </is>
      </c>
      <c r="AD110" s="0" t="inlineStr">
        <is>
          <t>덕풍동</t>
        </is>
      </c>
      <c r="AG110" s="0" t="inlineStr">
        <is>
          <t>경기도 하남시 덕풍남로 11</t>
        </is>
      </c>
      <c r="AH110" s="0" t="n">
        <v>0</v>
      </c>
      <c r="AI110" s="0" t="n">
        <v>179</v>
      </c>
      <c r="AJ110" s="0" t="n">
        <v>20</v>
      </c>
      <c r="AK110" s="0" t="n">
        <v>972</v>
      </c>
      <c r="AL110" s="0" t="n">
        <v>1.42</v>
      </c>
    </row>
    <row r="111">
      <c r="A111" s="0" t="inlineStr">
        <is>
          <t>[덕풍동]</t>
        </is>
      </c>
      <c r="B111" s="0" t="n">
        <v>8719</v>
      </c>
      <c r="C111" s="0" t="n">
        <v>1</v>
      </c>
      <c r="D111" s="0" t="inlineStr">
        <is>
          <t>진모루마을현대</t>
        </is>
      </c>
      <c r="E111" s="0" t="inlineStr">
        <is>
          <t>2000.12.</t>
        </is>
      </c>
      <c r="F111" s="0" t="n">
        <v>387</v>
      </c>
      <c r="G111" s="0" t="n">
        <v>23.38</v>
      </c>
      <c r="H111" s="0" t="n">
        <v>77.31999999999999</v>
      </c>
      <c r="I111" s="0" t="n">
        <v>18.08</v>
      </c>
      <c r="J111" s="0" t="n">
        <v>59.8</v>
      </c>
      <c r="K111" s="0" t="n">
        <v>21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77A</t>
        </is>
      </c>
      <c r="X111" s="0" t="n">
        <v>25</v>
      </c>
      <c r="Y111" s="0" t="n">
        <v>15</v>
      </c>
      <c r="Z111" s="0" t="inlineStr">
        <is>
          <t>https://new.land.naver.com/complexes/8719?tab=detail&amp;rf=Y</t>
        </is>
      </c>
      <c r="AA111" s="0" t="inlineStr">
        <is>
          <t>경기도 하남시 덕풍동 404-1</t>
        </is>
      </c>
      <c r="AB111" s="0" t="inlineStr">
        <is>
          <t>경기도</t>
        </is>
      </c>
      <c r="AC111" s="0" t="inlineStr">
        <is>
          <t>하남시</t>
        </is>
      </c>
      <c r="AD111" s="0" t="inlineStr">
        <is>
          <t>덕풍동</t>
        </is>
      </c>
      <c r="AG111" s="0" t="inlineStr">
        <is>
          <t>경기도 하남시 신평로 81</t>
        </is>
      </c>
      <c r="AH111" s="0" t="n">
        <v>0</v>
      </c>
      <c r="AI111" s="0" t="n">
        <v>290</v>
      </c>
      <c r="AJ111" s="0" t="n">
        <v>20</v>
      </c>
      <c r="AK111" s="0" t="n">
        <v>393</v>
      </c>
      <c r="AL111" s="0" t="n">
        <v>1.02</v>
      </c>
    </row>
    <row r="112">
      <c r="A112" s="0" t="inlineStr">
        <is>
          <t>[덕풍동]</t>
        </is>
      </c>
      <c r="B112" s="0" t="n">
        <v>8719</v>
      </c>
      <c r="C112" s="0" t="n">
        <v>2</v>
      </c>
      <c r="D112" s="0" t="inlineStr">
        <is>
          <t>진모루마을현대</t>
        </is>
      </c>
      <c r="E112" s="0" t="inlineStr">
        <is>
          <t>2000.12.</t>
        </is>
      </c>
      <c r="F112" s="0" t="n">
        <v>387</v>
      </c>
      <c r="G112" s="0" t="n">
        <v>23.46</v>
      </c>
      <c r="H112" s="0" t="n">
        <v>77.56999999999999</v>
      </c>
      <c r="I112" s="0" t="n">
        <v>18.14</v>
      </c>
      <c r="J112" s="0" t="n">
        <v>59.99</v>
      </c>
      <c r="K112" s="0" t="n">
        <v>18</v>
      </c>
      <c r="T112" s="0" t="n">
        <v>3</v>
      </c>
      <c r="U112" s="0" t="n">
        <v>1</v>
      </c>
      <c r="V112" s="0" t="inlineStr">
        <is>
          <t>계단식</t>
        </is>
      </c>
      <c r="W112" s="0" t="inlineStr">
        <is>
          <t>77B</t>
        </is>
      </c>
      <c r="X112" s="0" t="n">
        <v>25</v>
      </c>
      <c r="Y112" s="0" t="n">
        <v>15</v>
      </c>
      <c r="Z112" s="0" t="inlineStr">
        <is>
          <t>https://new.land.naver.com/complexes/8719?tab=detail&amp;rf=Y</t>
        </is>
      </c>
      <c r="AA112" s="0" t="inlineStr">
        <is>
          <t>경기도 하남시 덕풍동 404-1</t>
        </is>
      </c>
      <c r="AB112" s="0" t="inlineStr">
        <is>
          <t>경기도</t>
        </is>
      </c>
      <c r="AC112" s="0" t="inlineStr">
        <is>
          <t>하남시</t>
        </is>
      </c>
      <c r="AD112" s="0" t="inlineStr">
        <is>
          <t>덕풍동</t>
        </is>
      </c>
      <c r="AG112" s="0" t="inlineStr">
        <is>
          <t>경기도 하남시 신평로 81</t>
        </is>
      </c>
      <c r="AH112" s="0" t="n">
        <v>0</v>
      </c>
      <c r="AI112" s="0" t="n">
        <v>290</v>
      </c>
      <c r="AJ112" s="0" t="n">
        <v>20</v>
      </c>
      <c r="AK112" s="0" t="n">
        <v>393</v>
      </c>
      <c r="AL112" s="0" t="n">
        <v>1.02</v>
      </c>
    </row>
    <row r="113">
      <c r="A113" s="0" t="inlineStr">
        <is>
          <t>[덕풍동]</t>
        </is>
      </c>
      <c r="B113" s="0" t="n">
        <v>8719</v>
      </c>
      <c r="C113" s="0" t="n">
        <v>3</v>
      </c>
      <c r="D113" s="0" t="inlineStr">
        <is>
          <t>진모루마을현대</t>
        </is>
      </c>
      <c r="E113" s="0" t="inlineStr">
        <is>
          <t>2000.12.</t>
        </is>
      </c>
      <c r="F113" s="0" t="n">
        <v>387</v>
      </c>
      <c r="G113" s="0" t="n">
        <v>33.24</v>
      </c>
      <c r="H113" s="0" t="n">
        <v>109.9</v>
      </c>
      <c r="I113" s="0" t="n">
        <v>25.7</v>
      </c>
      <c r="J113" s="0" t="n">
        <v>84.98999999999999</v>
      </c>
      <c r="K113" s="0" t="n">
        <v>308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25</v>
      </c>
      <c r="Y113" s="0" t="n">
        <v>15</v>
      </c>
      <c r="Z113" s="0" t="inlineStr">
        <is>
          <t>https://new.land.naver.com/complexes/8719?tab=detail&amp;rf=Y</t>
        </is>
      </c>
      <c r="AA113" s="0" t="inlineStr">
        <is>
          <t>경기도 하남시 덕풍동 404-1</t>
        </is>
      </c>
      <c r="AB113" s="0" t="inlineStr">
        <is>
          <t>경기도</t>
        </is>
      </c>
      <c r="AC113" s="0" t="inlineStr">
        <is>
          <t>하남시</t>
        </is>
      </c>
      <c r="AD113" s="0" t="inlineStr">
        <is>
          <t>덕풍동</t>
        </is>
      </c>
      <c r="AG113" s="0" t="inlineStr">
        <is>
          <t>경기도 하남시 신평로 81</t>
        </is>
      </c>
      <c r="AH113" s="0" t="n">
        <v>0</v>
      </c>
      <c r="AI113" s="0" t="n">
        <v>290</v>
      </c>
      <c r="AJ113" s="0" t="n">
        <v>20</v>
      </c>
      <c r="AK113" s="0" t="n">
        <v>393</v>
      </c>
      <c r="AL113" s="0" t="n">
        <v>1.02</v>
      </c>
    </row>
    <row r="114">
      <c r="A114" s="0" t="inlineStr">
        <is>
          <t>[덕풍동]</t>
        </is>
      </c>
      <c r="B114" s="0" t="n">
        <v>8719</v>
      </c>
      <c r="C114" s="0" t="n">
        <v>4</v>
      </c>
      <c r="D114" s="0" t="inlineStr">
        <is>
          <t>진모루마을현대</t>
        </is>
      </c>
      <c r="E114" s="0" t="inlineStr">
        <is>
          <t>2000.12.</t>
        </is>
      </c>
      <c r="F114" s="0" t="n">
        <v>387</v>
      </c>
      <c r="G114" s="0" t="n">
        <v>33.23</v>
      </c>
      <c r="H114" s="0" t="n">
        <v>109.87</v>
      </c>
      <c r="I114" s="0" t="n">
        <v>25.7</v>
      </c>
      <c r="J114" s="0" t="n">
        <v>84.98</v>
      </c>
      <c r="K114" s="0" t="n">
        <v>25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109B</t>
        </is>
      </c>
      <c r="X114" s="0" t="n">
        <v>25</v>
      </c>
      <c r="Y114" s="0" t="n">
        <v>15</v>
      </c>
      <c r="Z114" s="0" t="inlineStr">
        <is>
          <t>https://new.land.naver.com/complexes/8719?tab=detail&amp;rf=Y</t>
        </is>
      </c>
      <c r="AA114" s="0" t="inlineStr">
        <is>
          <t>경기도 하남시 덕풍동 404-1</t>
        </is>
      </c>
      <c r="AB114" s="0" t="inlineStr">
        <is>
          <t>경기도</t>
        </is>
      </c>
      <c r="AC114" s="0" t="inlineStr">
        <is>
          <t>하남시</t>
        </is>
      </c>
      <c r="AD114" s="0" t="inlineStr">
        <is>
          <t>덕풍동</t>
        </is>
      </c>
      <c r="AG114" s="0" t="inlineStr">
        <is>
          <t>경기도 하남시 신평로 81</t>
        </is>
      </c>
      <c r="AH114" s="0" t="n">
        <v>0</v>
      </c>
      <c r="AI114" s="0" t="n">
        <v>290</v>
      </c>
      <c r="AJ114" s="0" t="n">
        <v>20</v>
      </c>
      <c r="AK114" s="0" t="n">
        <v>393</v>
      </c>
      <c r="AL114" s="0" t="n">
        <v>1.02</v>
      </c>
    </row>
    <row r="115">
      <c r="A115" s="0" t="inlineStr">
        <is>
          <t>[덕풍동]</t>
        </is>
      </c>
      <c r="B115" s="0" t="n">
        <v>8719</v>
      </c>
      <c r="C115" s="0" t="n">
        <v>5</v>
      </c>
      <c r="D115" s="0" t="inlineStr">
        <is>
          <t>진모루마을현대</t>
        </is>
      </c>
      <c r="E115" s="0" t="inlineStr">
        <is>
          <t>2000.12.</t>
        </is>
      </c>
      <c r="F115" s="0" t="n">
        <v>387</v>
      </c>
      <c r="G115" s="0" t="n">
        <v>33.17</v>
      </c>
      <c r="H115" s="0" t="n">
        <v>109.67</v>
      </c>
      <c r="I115" s="0" t="n">
        <v>25.65</v>
      </c>
      <c r="J115" s="0" t="n">
        <v>84.81999999999999</v>
      </c>
      <c r="K115" s="0" t="n">
        <v>15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109C</t>
        </is>
      </c>
      <c r="X115" s="0" t="n">
        <v>25</v>
      </c>
      <c r="Y115" s="0" t="n">
        <v>15</v>
      </c>
      <c r="Z115" s="0" t="inlineStr">
        <is>
          <t>https://new.land.naver.com/complexes/8719?tab=detail&amp;rf=Y</t>
        </is>
      </c>
      <c r="AA115" s="0" t="inlineStr">
        <is>
          <t>경기도 하남시 덕풍동 404-1</t>
        </is>
      </c>
      <c r="AB115" s="0" t="inlineStr">
        <is>
          <t>경기도</t>
        </is>
      </c>
      <c r="AC115" s="0" t="inlineStr">
        <is>
          <t>하남시</t>
        </is>
      </c>
      <c r="AD115" s="0" t="inlineStr">
        <is>
          <t>덕풍동</t>
        </is>
      </c>
      <c r="AG115" s="0" t="inlineStr">
        <is>
          <t>경기도 하남시 신평로 81</t>
        </is>
      </c>
      <c r="AH115" s="0" t="n">
        <v>0</v>
      </c>
      <c r="AI115" s="0" t="n">
        <v>290</v>
      </c>
      <c r="AJ115" s="0" t="n">
        <v>20</v>
      </c>
      <c r="AK115" s="0" t="n">
        <v>393</v>
      </c>
      <c r="AL115" s="0" t="n">
        <v>1.02</v>
      </c>
    </row>
    <row r="116">
      <c r="A116" s="0" t="inlineStr">
        <is>
          <t>[덕풍동]</t>
        </is>
      </c>
      <c r="B116" s="0" t="n">
        <v>141074</v>
      </c>
      <c r="C116" s="0" t="n">
        <v>1</v>
      </c>
      <c r="D116" s="0" t="inlineStr">
        <is>
          <t>보스턴33(도시형)</t>
        </is>
      </c>
      <c r="E116" s="0" t="inlineStr">
        <is>
          <t>2019.05.</t>
        </is>
      </c>
      <c r="F116" s="0" t="n">
        <v>3</v>
      </c>
      <c r="G116" s="0" t="n">
        <v>17.89</v>
      </c>
      <c r="H116" s="0" t="n">
        <v>59.15</v>
      </c>
      <c r="I116" s="0" t="n">
        <v>15.09</v>
      </c>
      <c r="J116" s="0" t="n">
        <v>49.89</v>
      </c>
      <c r="K116" s="0" t="n">
        <v>2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59A</t>
        </is>
      </c>
      <c r="X116" s="0" t="n">
        <v>4</v>
      </c>
      <c r="Y116" s="0" t="n">
        <v>4</v>
      </c>
      <c r="Z116" s="0" t="inlineStr">
        <is>
          <t>https://new.land.naver.com/complexes/141074?tab=detail&amp;rf=Y</t>
        </is>
      </c>
      <c r="AA116" s="0" t="inlineStr">
        <is>
          <t>경기도 하남시 덕풍동 330-1</t>
        </is>
      </c>
      <c r="AB116" s="0" t="inlineStr">
        <is>
          <t>경기도</t>
        </is>
      </c>
      <c r="AC116" s="0" t="inlineStr">
        <is>
          <t>하남시</t>
        </is>
      </c>
      <c r="AD116" s="0" t="inlineStr">
        <is>
          <t>덕풍동</t>
        </is>
      </c>
      <c r="AG116" s="0" t="inlineStr">
        <is>
          <t>경기도 하남시 하남대로855번길 17-2</t>
        </is>
      </c>
      <c r="AH116" s="0" t="n">
        <v>0</v>
      </c>
      <c r="AI116" s="0" t="n">
        <v>290</v>
      </c>
      <c r="AJ116" s="0" t="n">
        <v>50</v>
      </c>
      <c r="AK116" s="0" t="n">
        <v>2</v>
      </c>
      <c r="AL116" s="0" t="n">
        <v>0.67</v>
      </c>
    </row>
    <row r="117">
      <c r="A117" s="0" t="inlineStr">
        <is>
          <t>[덕풍동]</t>
        </is>
      </c>
      <c r="B117" s="0" t="n">
        <v>141074</v>
      </c>
      <c r="C117" s="0" t="n">
        <v>2</v>
      </c>
      <c r="D117" s="0" t="inlineStr">
        <is>
          <t>보스턴33(도시형)</t>
        </is>
      </c>
      <c r="E117" s="0" t="inlineStr">
        <is>
          <t>2019.05.</t>
        </is>
      </c>
      <c r="F117" s="0" t="n">
        <v>3</v>
      </c>
      <c r="G117" s="0" t="n">
        <v>17.9</v>
      </c>
      <c r="H117" s="0" t="n">
        <v>59.19</v>
      </c>
      <c r="I117" s="0" t="n">
        <v>15.1</v>
      </c>
      <c r="J117" s="0" t="n">
        <v>49.92</v>
      </c>
      <c r="K117" s="0" t="n">
        <v>1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59B</t>
        </is>
      </c>
      <c r="X117" s="0" t="n">
        <v>4</v>
      </c>
      <c r="Y117" s="0" t="n">
        <v>4</v>
      </c>
      <c r="Z117" s="0" t="inlineStr">
        <is>
          <t>https://new.land.naver.com/complexes/141074?tab=detail&amp;rf=Y</t>
        </is>
      </c>
      <c r="AA117" s="0" t="inlineStr">
        <is>
          <t>경기도 하남시 덕풍동 330-1</t>
        </is>
      </c>
      <c r="AB117" s="0" t="inlineStr">
        <is>
          <t>경기도</t>
        </is>
      </c>
      <c r="AC117" s="0" t="inlineStr">
        <is>
          <t>하남시</t>
        </is>
      </c>
      <c r="AD117" s="0" t="inlineStr">
        <is>
          <t>덕풍동</t>
        </is>
      </c>
      <c r="AG117" s="0" t="inlineStr">
        <is>
          <t>경기도 하남시 하남대로855번길 17-2</t>
        </is>
      </c>
      <c r="AH117" s="0" t="n">
        <v>0</v>
      </c>
      <c r="AI117" s="0" t="n">
        <v>290</v>
      </c>
      <c r="AJ117" s="0" t="n">
        <v>50</v>
      </c>
      <c r="AK117" s="0" t="n">
        <v>2</v>
      </c>
      <c r="AL117" s="0" t="n">
        <v>0.67</v>
      </c>
    </row>
    <row r="118">
      <c r="A118" s="0" t="inlineStr">
        <is>
          <t>[덕풍동]</t>
        </is>
      </c>
      <c r="B118" s="0" t="n">
        <v>126237</v>
      </c>
      <c r="C118" s="0" t="n">
        <v>1</v>
      </c>
      <c r="D118" s="0" t="inlineStr">
        <is>
          <t>장한빌(도시형)</t>
        </is>
      </c>
      <c r="E118" s="0" t="inlineStr">
        <is>
          <t>2019.06.</t>
        </is>
      </c>
      <c r="F118" s="0" t="n">
        <v>10</v>
      </c>
      <c r="G118" s="0" t="n">
        <v>7.22</v>
      </c>
      <c r="H118" s="0" t="n">
        <v>23.9</v>
      </c>
      <c r="I118" s="0" t="n">
        <v>6.01</v>
      </c>
      <c r="J118" s="0" t="n">
        <v>19.87</v>
      </c>
      <c r="K118" s="0" t="n">
        <v>1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23A</t>
        </is>
      </c>
      <c r="X118" s="0" t="n">
        <v>5</v>
      </c>
      <c r="Y118" s="0" t="n">
        <v>5</v>
      </c>
      <c r="Z118" s="0" t="inlineStr">
        <is>
          <t>https://new.land.naver.com/complexes/126237?tab=detail&amp;rf=Y</t>
        </is>
      </c>
      <c r="AA118" s="0" t="inlineStr">
        <is>
          <t>경기도 하남시 덕풍동 345-12</t>
        </is>
      </c>
      <c r="AB118" s="0" t="inlineStr">
        <is>
          <t>경기도</t>
        </is>
      </c>
      <c r="AC118" s="0" t="inlineStr">
        <is>
          <t>하남시</t>
        </is>
      </c>
      <c r="AD118" s="0" t="inlineStr">
        <is>
          <t>덕풍동</t>
        </is>
      </c>
      <c r="AG118" s="0" t="inlineStr">
        <is>
          <t>경기도 하남시 신장로205번길 5</t>
        </is>
      </c>
      <c r="AH118" s="0" t="n">
        <v>0</v>
      </c>
      <c r="AI118" s="0" t="n">
        <v>656</v>
      </c>
      <c r="AJ118" s="0" t="n">
        <v>57</v>
      </c>
      <c r="AK118" s="0" t="n">
        <v>7</v>
      </c>
      <c r="AL118" s="0" t="n">
        <v>0.7</v>
      </c>
    </row>
    <row r="119">
      <c r="A119" s="0" t="inlineStr">
        <is>
          <t>[덕풍동]</t>
        </is>
      </c>
      <c r="B119" s="0" t="n">
        <v>126237</v>
      </c>
      <c r="C119" s="0" t="n">
        <v>2</v>
      </c>
      <c r="D119" s="0" t="inlineStr">
        <is>
          <t>장한빌(도시형)</t>
        </is>
      </c>
      <c r="E119" s="0" t="inlineStr">
        <is>
          <t>2019.06.</t>
        </is>
      </c>
      <c r="F119" s="0" t="n">
        <v>10</v>
      </c>
      <c r="G119" s="0" t="n">
        <v>7.23</v>
      </c>
      <c r="H119" s="0" t="n">
        <v>23.92</v>
      </c>
      <c r="I119" s="0" t="n">
        <v>6.01</v>
      </c>
      <c r="J119" s="0" t="n">
        <v>19.88</v>
      </c>
      <c r="K119" s="0" t="n">
        <v>1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23B</t>
        </is>
      </c>
      <c r="X119" s="0" t="n">
        <v>5</v>
      </c>
      <c r="Y119" s="0" t="n">
        <v>5</v>
      </c>
      <c r="Z119" s="0" t="inlineStr">
        <is>
          <t>https://new.land.naver.com/complexes/126237?tab=detail&amp;rf=Y</t>
        </is>
      </c>
      <c r="AA119" s="0" t="inlineStr">
        <is>
          <t>경기도 하남시 덕풍동 345-12</t>
        </is>
      </c>
      <c r="AB119" s="0" t="inlineStr">
        <is>
          <t>경기도</t>
        </is>
      </c>
      <c r="AC119" s="0" t="inlineStr">
        <is>
          <t>하남시</t>
        </is>
      </c>
      <c r="AD119" s="0" t="inlineStr">
        <is>
          <t>덕풍동</t>
        </is>
      </c>
      <c r="AG119" s="0" t="inlineStr">
        <is>
          <t>경기도 하남시 신장로205번길 5</t>
        </is>
      </c>
      <c r="AH119" s="0" t="n">
        <v>0</v>
      </c>
      <c r="AI119" s="0" t="n">
        <v>656</v>
      </c>
      <c r="AJ119" s="0" t="n">
        <v>57</v>
      </c>
      <c r="AK119" s="0" t="n">
        <v>7</v>
      </c>
      <c r="AL119" s="0" t="n">
        <v>0.7</v>
      </c>
    </row>
    <row r="120">
      <c r="A120" s="0" t="inlineStr">
        <is>
          <t>[덕풍동]</t>
        </is>
      </c>
      <c r="B120" s="0" t="n">
        <v>126237</v>
      </c>
      <c r="C120" s="0" t="n">
        <v>3</v>
      </c>
      <c r="D120" s="0" t="inlineStr">
        <is>
          <t>장한빌(도시형)</t>
        </is>
      </c>
      <c r="E120" s="0" t="inlineStr">
        <is>
          <t>2019.06.</t>
        </is>
      </c>
      <c r="F120" s="0" t="n">
        <v>10</v>
      </c>
      <c r="G120" s="0" t="n">
        <v>7.29</v>
      </c>
      <c r="H120" s="0" t="n">
        <v>24.12</v>
      </c>
      <c r="I120" s="0" t="n">
        <v>6.06</v>
      </c>
      <c r="J120" s="0" t="n">
        <v>20.05</v>
      </c>
      <c r="K120" s="0" t="n">
        <v>2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24C</t>
        </is>
      </c>
      <c r="X120" s="0" t="n">
        <v>5</v>
      </c>
      <c r="Y120" s="0" t="n">
        <v>5</v>
      </c>
      <c r="Z120" s="0" t="inlineStr">
        <is>
          <t>https://new.land.naver.com/complexes/126237?tab=detail&amp;rf=Y</t>
        </is>
      </c>
      <c r="AA120" s="0" t="inlineStr">
        <is>
          <t>경기도 하남시 덕풍동 345-12</t>
        </is>
      </c>
      <c r="AB120" s="0" t="inlineStr">
        <is>
          <t>경기도</t>
        </is>
      </c>
      <c r="AC120" s="0" t="inlineStr">
        <is>
          <t>하남시</t>
        </is>
      </c>
      <c r="AD120" s="0" t="inlineStr">
        <is>
          <t>덕풍동</t>
        </is>
      </c>
      <c r="AG120" s="0" t="inlineStr">
        <is>
          <t>경기도 하남시 신장로205번길 5</t>
        </is>
      </c>
      <c r="AH120" s="0" t="n">
        <v>0</v>
      </c>
      <c r="AI120" s="0" t="n">
        <v>656</v>
      </c>
      <c r="AJ120" s="0" t="n">
        <v>57</v>
      </c>
      <c r="AK120" s="0" t="n">
        <v>7</v>
      </c>
      <c r="AL120" s="0" t="n">
        <v>0.7</v>
      </c>
    </row>
    <row r="121">
      <c r="A121" s="0" t="inlineStr">
        <is>
          <t>[덕풍동]</t>
        </is>
      </c>
      <c r="B121" s="0" t="n">
        <v>126237</v>
      </c>
      <c r="C121" s="0" t="n">
        <v>4</v>
      </c>
      <c r="D121" s="0" t="inlineStr">
        <is>
          <t>장한빌(도시형)</t>
        </is>
      </c>
      <c r="E121" s="0" t="inlineStr">
        <is>
          <t>2019.06.</t>
        </is>
      </c>
      <c r="F121" s="0" t="n">
        <v>10</v>
      </c>
      <c r="G121" s="0" t="n">
        <v>12.31</v>
      </c>
      <c r="H121" s="0" t="n">
        <v>40.7</v>
      </c>
      <c r="I121" s="0" t="n">
        <v>10.23</v>
      </c>
      <c r="J121" s="0" t="n">
        <v>33.83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n">
        <v>40</v>
      </c>
      <c r="X121" s="0" t="n">
        <v>5</v>
      </c>
      <c r="Y121" s="0" t="n">
        <v>5</v>
      </c>
      <c r="Z121" s="0" t="inlineStr">
        <is>
          <t>https://new.land.naver.com/complexes/126237?tab=detail&amp;rf=Y</t>
        </is>
      </c>
      <c r="AA121" s="0" t="inlineStr">
        <is>
          <t>경기도 하남시 덕풍동 345-12</t>
        </is>
      </c>
      <c r="AB121" s="0" t="inlineStr">
        <is>
          <t>경기도</t>
        </is>
      </c>
      <c r="AC121" s="0" t="inlineStr">
        <is>
          <t>하남시</t>
        </is>
      </c>
      <c r="AD121" s="0" t="inlineStr">
        <is>
          <t>덕풍동</t>
        </is>
      </c>
      <c r="AG121" s="0" t="inlineStr">
        <is>
          <t>경기도 하남시 신장로205번길 5</t>
        </is>
      </c>
      <c r="AH121" s="0" t="n">
        <v>0</v>
      </c>
      <c r="AI121" s="0" t="n">
        <v>656</v>
      </c>
      <c r="AJ121" s="0" t="n">
        <v>57</v>
      </c>
      <c r="AK121" s="0" t="n">
        <v>7</v>
      </c>
      <c r="AL121" s="0" t="n">
        <v>0.7</v>
      </c>
    </row>
    <row r="122">
      <c r="A122" s="0" t="inlineStr">
        <is>
          <t>[덕풍동]</t>
        </is>
      </c>
      <c r="B122" s="0" t="n">
        <v>126237</v>
      </c>
      <c r="C122" s="0" t="n">
        <v>5</v>
      </c>
      <c r="D122" s="0" t="inlineStr">
        <is>
          <t>장한빌(도시형)</t>
        </is>
      </c>
      <c r="E122" s="0" t="inlineStr">
        <is>
          <t>2019.06.</t>
        </is>
      </c>
      <c r="F122" s="0" t="n">
        <v>10</v>
      </c>
      <c r="G122" s="0" t="n">
        <v>13.6</v>
      </c>
      <c r="H122" s="0" t="n">
        <v>44.98</v>
      </c>
      <c r="I122" s="0" t="n">
        <v>11.31</v>
      </c>
      <c r="J122" s="0" t="n">
        <v>37.39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n">
        <v>44</v>
      </c>
      <c r="X122" s="0" t="n">
        <v>5</v>
      </c>
      <c r="Y122" s="0" t="n">
        <v>5</v>
      </c>
      <c r="Z122" s="0" t="inlineStr">
        <is>
          <t>https://new.land.naver.com/complexes/126237?tab=detail&amp;rf=Y</t>
        </is>
      </c>
      <c r="AA122" s="0" t="inlineStr">
        <is>
          <t>경기도 하남시 덕풍동 345-12</t>
        </is>
      </c>
      <c r="AB122" s="0" t="inlineStr">
        <is>
          <t>경기도</t>
        </is>
      </c>
      <c r="AC122" s="0" t="inlineStr">
        <is>
          <t>하남시</t>
        </is>
      </c>
      <c r="AD122" s="0" t="inlineStr">
        <is>
          <t>덕풍동</t>
        </is>
      </c>
      <c r="AG122" s="0" t="inlineStr">
        <is>
          <t>경기도 하남시 신장로205번길 5</t>
        </is>
      </c>
      <c r="AH122" s="0" t="n">
        <v>0</v>
      </c>
      <c r="AI122" s="0" t="n">
        <v>656</v>
      </c>
      <c r="AJ122" s="0" t="n">
        <v>57</v>
      </c>
      <c r="AK122" s="0" t="n">
        <v>7</v>
      </c>
      <c r="AL122" s="0" t="n">
        <v>0.7</v>
      </c>
    </row>
    <row r="123">
      <c r="A123" s="0" t="inlineStr">
        <is>
          <t>[덕풍동]</t>
        </is>
      </c>
      <c r="B123" s="0" t="n">
        <v>126237</v>
      </c>
      <c r="C123" s="0" t="n">
        <v>6</v>
      </c>
      <c r="D123" s="0" t="inlineStr">
        <is>
          <t>장한빌(도시형)</t>
        </is>
      </c>
      <c r="E123" s="0" t="inlineStr">
        <is>
          <t>2019.06.</t>
        </is>
      </c>
      <c r="F123" s="0" t="n">
        <v>10</v>
      </c>
      <c r="G123" s="0" t="n">
        <v>15.39</v>
      </c>
      <c r="H123" s="0" t="n">
        <v>50.9</v>
      </c>
      <c r="I123" s="0" t="n">
        <v>12.79</v>
      </c>
      <c r="J123" s="0" t="n">
        <v>42.31</v>
      </c>
      <c r="K123" s="0" t="n">
        <v>4</v>
      </c>
      <c r="T123" s="0" t="n">
        <v>1</v>
      </c>
      <c r="U123" s="0" t="n">
        <v>1</v>
      </c>
      <c r="V123" s="0" t="inlineStr">
        <is>
          <t>복도식</t>
        </is>
      </c>
      <c r="W123" s="0" t="n">
        <v>50</v>
      </c>
      <c r="X123" s="0" t="n">
        <v>5</v>
      </c>
      <c r="Y123" s="0" t="n">
        <v>5</v>
      </c>
      <c r="Z123" s="0" t="inlineStr">
        <is>
          <t>https://new.land.naver.com/complexes/126237?tab=detail&amp;rf=Y</t>
        </is>
      </c>
      <c r="AA123" s="0" t="inlineStr">
        <is>
          <t>경기도 하남시 덕풍동 345-12</t>
        </is>
      </c>
      <c r="AB123" s="0" t="inlineStr">
        <is>
          <t>경기도</t>
        </is>
      </c>
      <c r="AC123" s="0" t="inlineStr">
        <is>
          <t>하남시</t>
        </is>
      </c>
      <c r="AD123" s="0" t="inlineStr">
        <is>
          <t>덕풍동</t>
        </is>
      </c>
      <c r="AG123" s="0" t="inlineStr">
        <is>
          <t>경기도 하남시 신장로205번길 5</t>
        </is>
      </c>
      <c r="AH123" s="0" t="n">
        <v>0</v>
      </c>
      <c r="AI123" s="0" t="n">
        <v>656</v>
      </c>
      <c r="AJ123" s="0" t="n">
        <v>57</v>
      </c>
      <c r="AK123" s="0" t="n">
        <v>7</v>
      </c>
      <c r="AL123" s="0" t="n">
        <v>0.7</v>
      </c>
    </row>
    <row r="124">
      <c r="A124" s="0" t="inlineStr">
        <is>
          <t>[덕풍동]</t>
        </is>
      </c>
      <c r="B124" s="0" t="n">
        <v>141166</v>
      </c>
      <c r="C124" s="0" t="n">
        <v>1</v>
      </c>
      <c r="D124" s="0" t="inlineStr">
        <is>
          <t>프라임</t>
        </is>
      </c>
      <c r="E124" s="0" t="inlineStr">
        <is>
          <t>2020.05.</t>
        </is>
      </c>
      <c r="F124" s="0" t="n">
        <v>41</v>
      </c>
      <c r="G124" s="0" t="n">
        <v>28.63</v>
      </c>
      <c r="H124" s="0" t="n">
        <v>94.66</v>
      </c>
      <c r="I124" s="0" t="n">
        <v>21.26</v>
      </c>
      <c r="J124" s="0" t="n">
        <v>70.3</v>
      </c>
      <c r="K124" s="0" t="n">
        <v>1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94</v>
      </c>
      <c r="X124" s="0" t="n">
        <v>8</v>
      </c>
      <c r="Y124" s="0" t="n">
        <v>6</v>
      </c>
      <c r="Z124" s="0" t="inlineStr">
        <is>
          <t>https://new.land.naver.com/complexes/141166?tab=detail&amp;rf=Y</t>
        </is>
      </c>
      <c r="AA124" s="0" t="inlineStr">
        <is>
          <t>경기도 하남시 덕풍동 369-2</t>
        </is>
      </c>
      <c r="AB124" s="0" t="inlineStr">
        <is>
          <t>경기도</t>
        </is>
      </c>
      <c r="AC124" s="0" t="inlineStr">
        <is>
          <t>하남시</t>
        </is>
      </c>
      <c r="AD124" s="0" t="inlineStr">
        <is>
          <t>덕풍동</t>
        </is>
      </c>
      <c r="AG124" s="0" t="inlineStr">
        <is>
          <t>경기도 하남시 수리남로 30</t>
        </is>
      </c>
      <c r="AH124" s="0" t="n">
        <v>0</v>
      </c>
      <c r="AI124" s="0" t="n">
        <v>236</v>
      </c>
      <c r="AJ124" s="0" t="n">
        <v>34</v>
      </c>
      <c r="AK124" s="0" t="n">
        <v>35</v>
      </c>
      <c r="AL124" s="0" t="n">
        <v>0.85</v>
      </c>
    </row>
    <row r="125">
      <c r="A125" s="0" t="inlineStr">
        <is>
          <t>[덕풍동]</t>
        </is>
      </c>
      <c r="B125" s="0" t="n">
        <v>141166</v>
      </c>
      <c r="C125" s="0" t="n">
        <v>2</v>
      </c>
      <c r="D125" s="0" t="inlineStr">
        <is>
          <t>프라임</t>
        </is>
      </c>
      <c r="E125" s="0" t="inlineStr">
        <is>
          <t>2020.05.</t>
        </is>
      </c>
      <c r="F125" s="0" t="n">
        <v>41</v>
      </c>
      <c r="G125" s="0" t="n">
        <v>30.5</v>
      </c>
      <c r="H125" s="0" t="n">
        <v>100.84</v>
      </c>
      <c r="I125" s="0" t="n">
        <v>22.69</v>
      </c>
      <c r="J125" s="0" t="n">
        <v>75.02</v>
      </c>
      <c r="K125" s="0" t="n">
        <v>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100A</t>
        </is>
      </c>
      <c r="X125" s="0" t="n">
        <v>8</v>
      </c>
      <c r="Y125" s="0" t="n">
        <v>6</v>
      </c>
      <c r="Z125" s="0" t="inlineStr">
        <is>
          <t>https://new.land.naver.com/complexes/141166?tab=detail&amp;rf=Y</t>
        </is>
      </c>
      <c r="AA125" s="0" t="inlineStr">
        <is>
          <t>경기도 하남시 덕풍동 369-2</t>
        </is>
      </c>
      <c r="AB125" s="0" t="inlineStr">
        <is>
          <t>경기도</t>
        </is>
      </c>
      <c r="AC125" s="0" t="inlineStr">
        <is>
          <t>하남시</t>
        </is>
      </c>
      <c r="AD125" s="0" t="inlineStr">
        <is>
          <t>덕풍동</t>
        </is>
      </c>
      <c r="AG125" s="0" t="inlineStr">
        <is>
          <t>경기도 하남시 수리남로 30</t>
        </is>
      </c>
      <c r="AH125" s="0" t="n">
        <v>0</v>
      </c>
      <c r="AI125" s="0" t="n">
        <v>236</v>
      </c>
      <c r="AJ125" s="0" t="n">
        <v>34</v>
      </c>
      <c r="AK125" s="0" t="n">
        <v>35</v>
      </c>
      <c r="AL125" s="0" t="n">
        <v>0.85</v>
      </c>
    </row>
    <row r="126">
      <c r="A126" s="0" t="inlineStr">
        <is>
          <t>[덕풍동]</t>
        </is>
      </c>
      <c r="B126" s="0" t="n">
        <v>141166</v>
      </c>
      <c r="C126" s="0" t="n">
        <v>3</v>
      </c>
      <c r="D126" s="0" t="inlineStr">
        <is>
          <t>프라임</t>
        </is>
      </c>
      <c r="E126" s="0" t="inlineStr">
        <is>
          <t>2020.05.</t>
        </is>
      </c>
      <c r="F126" s="0" t="n">
        <v>41</v>
      </c>
      <c r="G126" s="0" t="n">
        <v>30.46</v>
      </c>
      <c r="H126" s="0" t="n">
        <v>100.7</v>
      </c>
      <c r="I126" s="0" t="n">
        <v>22.85</v>
      </c>
      <c r="J126" s="0" t="n">
        <v>75.56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100</v>
      </c>
      <c r="X126" s="0" t="n">
        <v>8</v>
      </c>
      <c r="Y126" s="0" t="n">
        <v>6</v>
      </c>
      <c r="Z126" s="0" t="inlineStr">
        <is>
          <t>https://new.land.naver.com/complexes/141166?tab=detail&amp;rf=Y</t>
        </is>
      </c>
      <c r="AA126" s="0" t="inlineStr">
        <is>
          <t>경기도 하남시 덕풍동 369-2</t>
        </is>
      </c>
      <c r="AB126" s="0" t="inlineStr">
        <is>
          <t>경기도</t>
        </is>
      </c>
      <c r="AC126" s="0" t="inlineStr">
        <is>
          <t>하남시</t>
        </is>
      </c>
      <c r="AD126" s="0" t="inlineStr">
        <is>
          <t>덕풍동</t>
        </is>
      </c>
      <c r="AG126" s="0" t="inlineStr">
        <is>
          <t>경기도 하남시 수리남로 30</t>
        </is>
      </c>
      <c r="AH126" s="0" t="n">
        <v>0</v>
      </c>
      <c r="AI126" s="0" t="n">
        <v>236</v>
      </c>
      <c r="AJ126" s="0" t="n">
        <v>34</v>
      </c>
      <c r="AK126" s="0" t="n">
        <v>35</v>
      </c>
      <c r="AL126" s="0" t="n">
        <v>0.85</v>
      </c>
    </row>
    <row r="127">
      <c r="A127" s="0" t="inlineStr">
        <is>
          <t>[덕풍동]</t>
        </is>
      </c>
      <c r="B127" s="0" t="n">
        <v>141166</v>
      </c>
      <c r="C127" s="0" t="n">
        <v>4</v>
      </c>
      <c r="D127" s="0" t="inlineStr">
        <is>
          <t>프라임</t>
        </is>
      </c>
      <c r="E127" s="0" t="inlineStr">
        <is>
          <t>2020.05.</t>
        </is>
      </c>
      <c r="F127" s="0" t="n">
        <v>41</v>
      </c>
      <c r="G127" s="0" t="n">
        <v>30.75</v>
      </c>
      <c r="H127" s="0" t="n">
        <v>101.66</v>
      </c>
      <c r="I127" s="0" t="n">
        <v>23.09</v>
      </c>
      <c r="J127" s="0" t="n">
        <v>76.34999999999999</v>
      </c>
      <c r="K127" s="0" t="n">
        <v>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101B</t>
        </is>
      </c>
      <c r="X127" s="0" t="n">
        <v>8</v>
      </c>
      <c r="Y127" s="0" t="n">
        <v>6</v>
      </c>
      <c r="Z127" s="0" t="inlineStr">
        <is>
          <t>https://new.land.naver.com/complexes/141166?tab=detail&amp;rf=Y</t>
        </is>
      </c>
      <c r="AA127" s="0" t="inlineStr">
        <is>
          <t>경기도 하남시 덕풍동 369-2</t>
        </is>
      </c>
      <c r="AB127" s="0" t="inlineStr">
        <is>
          <t>경기도</t>
        </is>
      </c>
      <c r="AC127" s="0" t="inlineStr">
        <is>
          <t>하남시</t>
        </is>
      </c>
      <c r="AD127" s="0" t="inlineStr">
        <is>
          <t>덕풍동</t>
        </is>
      </c>
      <c r="AG127" s="0" t="inlineStr">
        <is>
          <t>경기도 하남시 수리남로 30</t>
        </is>
      </c>
      <c r="AH127" s="0" t="n">
        <v>0</v>
      </c>
      <c r="AI127" s="0" t="n">
        <v>236</v>
      </c>
      <c r="AJ127" s="0" t="n">
        <v>34</v>
      </c>
      <c r="AK127" s="0" t="n">
        <v>35</v>
      </c>
      <c r="AL127" s="0" t="n">
        <v>0.85</v>
      </c>
    </row>
    <row r="128">
      <c r="A128" s="0" t="inlineStr">
        <is>
          <t>[덕풍동]</t>
        </is>
      </c>
      <c r="B128" s="0" t="n">
        <v>141166</v>
      </c>
      <c r="C128" s="0" t="n">
        <v>5</v>
      </c>
      <c r="D128" s="0" t="inlineStr">
        <is>
          <t>프라임</t>
        </is>
      </c>
      <c r="E128" s="0" t="inlineStr">
        <is>
          <t>2020.05.</t>
        </is>
      </c>
      <c r="F128" s="0" t="n">
        <v>41</v>
      </c>
      <c r="G128" s="0" t="n">
        <v>31.44</v>
      </c>
      <c r="H128" s="0" t="n">
        <v>103.94</v>
      </c>
      <c r="I128" s="0" t="n">
        <v>23.38</v>
      </c>
      <c r="J128" s="0" t="n">
        <v>77.31</v>
      </c>
      <c r="K128" s="0" t="n">
        <v>3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103D</t>
        </is>
      </c>
      <c r="X128" s="0" t="n">
        <v>8</v>
      </c>
      <c r="Y128" s="0" t="n">
        <v>6</v>
      </c>
      <c r="Z128" s="0" t="inlineStr">
        <is>
          <t>https://new.land.naver.com/complexes/141166?tab=detail&amp;rf=Y</t>
        </is>
      </c>
      <c r="AA128" s="0" t="inlineStr">
        <is>
          <t>경기도 하남시 덕풍동 369-2</t>
        </is>
      </c>
      <c r="AB128" s="0" t="inlineStr">
        <is>
          <t>경기도</t>
        </is>
      </c>
      <c r="AC128" s="0" t="inlineStr">
        <is>
          <t>하남시</t>
        </is>
      </c>
      <c r="AD128" s="0" t="inlineStr">
        <is>
          <t>덕풍동</t>
        </is>
      </c>
      <c r="AG128" s="0" t="inlineStr">
        <is>
          <t>경기도 하남시 수리남로 30</t>
        </is>
      </c>
      <c r="AH128" s="0" t="n">
        <v>0</v>
      </c>
      <c r="AI128" s="0" t="n">
        <v>236</v>
      </c>
      <c r="AJ128" s="0" t="n">
        <v>34</v>
      </c>
      <c r="AK128" s="0" t="n">
        <v>35</v>
      </c>
      <c r="AL128" s="0" t="n">
        <v>0.85</v>
      </c>
    </row>
    <row r="129">
      <c r="A129" s="0" t="inlineStr">
        <is>
          <t>[덕풍동]</t>
        </is>
      </c>
      <c r="B129" s="0" t="n">
        <v>141166</v>
      </c>
      <c r="C129" s="0" t="n">
        <v>6</v>
      </c>
      <c r="D129" s="0" t="inlineStr">
        <is>
          <t>프라임</t>
        </is>
      </c>
      <c r="E129" s="0" t="inlineStr">
        <is>
          <t>2020.05.</t>
        </is>
      </c>
      <c r="F129" s="0" t="n">
        <v>41</v>
      </c>
      <c r="G129" s="0" t="n">
        <v>31.29</v>
      </c>
      <c r="H129" s="0" t="n">
        <v>103.44</v>
      </c>
      <c r="I129" s="0" t="n">
        <v>23.28</v>
      </c>
      <c r="J129" s="0" t="n">
        <v>76.98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103C</t>
        </is>
      </c>
      <c r="X129" s="0" t="n">
        <v>8</v>
      </c>
      <c r="Y129" s="0" t="n">
        <v>6</v>
      </c>
      <c r="Z129" s="0" t="inlineStr">
        <is>
          <t>https://new.land.naver.com/complexes/141166?tab=detail&amp;rf=Y</t>
        </is>
      </c>
      <c r="AA129" s="0" t="inlineStr">
        <is>
          <t>경기도 하남시 덕풍동 369-2</t>
        </is>
      </c>
      <c r="AB129" s="0" t="inlineStr">
        <is>
          <t>경기도</t>
        </is>
      </c>
      <c r="AC129" s="0" t="inlineStr">
        <is>
          <t>하남시</t>
        </is>
      </c>
      <c r="AD129" s="0" t="inlineStr">
        <is>
          <t>덕풍동</t>
        </is>
      </c>
      <c r="AG129" s="0" t="inlineStr">
        <is>
          <t>경기도 하남시 수리남로 30</t>
        </is>
      </c>
      <c r="AH129" s="0" t="n">
        <v>0</v>
      </c>
      <c r="AI129" s="0" t="n">
        <v>236</v>
      </c>
      <c r="AJ129" s="0" t="n">
        <v>34</v>
      </c>
      <c r="AK129" s="0" t="n">
        <v>35</v>
      </c>
      <c r="AL129" s="0" t="n">
        <v>0.85</v>
      </c>
    </row>
    <row r="130">
      <c r="A130" s="0" t="inlineStr">
        <is>
          <t>[덕풍동]</t>
        </is>
      </c>
      <c r="B130" s="0" t="n">
        <v>141166</v>
      </c>
      <c r="C130" s="0" t="n">
        <v>7</v>
      </c>
      <c r="D130" s="0" t="inlineStr">
        <is>
          <t>프라임</t>
        </is>
      </c>
      <c r="E130" s="0" t="inlineStr">
        <is>
          <t>2020.05.</t>
        </is>
      </c>
      <c r="F130" s="0" t="n">
        <v>41</v>
      </c>
      <c r="G130" s="0" t="n">
        <v>31.71</v>
      </c>
      <c r="H130" s="0" t="n">
        <v>104.85</v>
      </c>
      <c r="I130" s="0" t="n">
        <v>23.57</v>
      </c>
      <c r="J130" s="0" t="n">
        <v>77.92</v>
      </c>
      <c r="K130" s="0" t="n">
        <v>4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8</v>
      </c>
      <c r="Y130" s="0" t="n">
        <v>6</v>
      </c>
      <c r="Z130" s="0" t="inlineStr">
        <is>
          <t>https://new.land.naver.com/complexes/141166?tab=detail&amp;rf=Y</t>
        </is>
      </c>
      <c r="AA130" s="0" t="inlineStr">
        <is>
          <t>경기도 하남시 덕풍동 369-2</t>
        </is>
      </c>
      <c r="AB130" s="0" t="inlineStr">
        <is>
          <t>경기도</t>
        </is>
      </c>
      <c r="AC130" s="0" t="inlineStr">
        <is>
          <t>하남시</t>
        </is>
      </c>
      <c r="AD130" s="0" t="inlineStr">
        <is>
          <t>덕풍동</t>
        </is>
      </c>
      <c r="AG130" s="0" t="inlineStr">
        <is>
          <t>경기도 하남시 수리남로 30</t>
        </is>
      </c>
      <c r="AH130" s="0" t="n">
        <v>0</v>
      </c>
      <c r="AI130" s="0" t="n">
        <v>236</v>
      </c>
      <c r="AJ130" s="0" t="n">
        <v>34</v>
      </c>
      <c r="AK130" s="0" t="n">
        <v>35</v>
      </c>
      <c r="AL130" s="0" t="n">
        <v>0.85</v>
      </c>
    </row>
    <row r="131">
      <c r="A131" s="0" t="inlineStr">
        <is>
          <t>[덕풍동]</t>
        </is>
      </c>
      <c r="B131" s="0" t="n">
        <v>141166</v>
      </c>
      <c r="C131" s="0" t="n">
        <v>8</v>
      </c>
      <c r="D131" s="0" t="inlineStr">
        <is>
          <t>프라임</t>
        </is>
      </c>
      <c r="E131" s="0" t="inlineStr">
        <is>
          <t>2020.05.</t>
        </is>
      </c>
      <c r="F131" s="0" t="n">
        <v>41</v>
      </c>
      <c r="G131" s="0" t="n">
        <v>32.46</v>
      </c>
      <c r="H131" s="0" t="n">
        <v>107.33</v>
      </c>
      <c r="I131" s="0" t="n">
        <v>24.4</v>
      </c>
      <c r="J131" s="0" t="n">
        <v>80.69</v>
      </c>
      <c r="K131" s="0" t="n">
        <v>21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107B</t>
        </is>
      </c>
      <c r="X131" s="0" t="n">
        <v>8</v>
      </c>
      <c r="Y131" s="0" t="n">
        <v>6</v>
      </c>
      <c r="Z131" s="0" t="inlineStr">
        <is>
          <t>https://new.land.naver.com/complexes/141166?tab=detail&amp;rf=Y</t>
        </is>
      </c>
      <c r="AA131" s="0" t="inlineStr">
        <is>
          <t>경기도 하남시 덕풍동 369-2</t>
        </is>
      </c>
      <c r="AB131" s="0" t="inlineStr">
        <is>
          <t>경기도</t>
        </is>
      </c>
      <c r="AC131" s="0" t="inlineStr">
        <is>
          <t>하남시</t>
        </is>
      </c>
      <c r="AD131" s="0" t="inlineStr">
        <is>
          <t>덕풍동</t>
        </is>
      </c>
      <c r="AG131" s="0" t="inlineStr">
        <is>
          <t>경기도 하남시 수리남로 30</t>
        </is>
      </c>
      <c r="AH131" s="0" t="n">
        <v>0</v>
      </c>
      <c r="AI131" s="0" t="n">
        <v>236</v>
      </c>
      <c r="AJ131" s="0" t="n">
        <v>34</v>
      </c>
      <c r="AK131" s="0" t="n">
        <v>35</v>
      </c>
      <c r="AL131" s="0" t="n">
        <v>0.85</v>
      </c>
    </row>
    <row r="132">
      <c r="A132" s="0" t="inlineStr">
        <is>
          <t>[덕풍동]</t>
        </is>
      </c>
      <c r="B132" s="0" t="n">
        <v>141166</v>
      </c>
      <c r="C132" s="0" t="n">
        <v>9</v>
      </c>
      <c r="D132" s="0" t="inlineStr">
        <is>
          <t>프라임</t>
        </is>
      </c>
      <c r="E132" s="0" t="inlineStr">
        <is>
          <t>2020.05.</t>
        </is>
      </c>
      <c r="F132" s="0" t="n">
        <v>41</v>
      </c>
      <c r="G132" s="0" t="n">
        <v>56.66</v>
      </c>
      <c r="H132" s="0" t="n">
        <v>187.31</v>
      </c>
      <c r="I132" s="0" t="n">
        <v>42</v>
      </c>
      <c r="J132" s="0" t="n">
        <v>138.87</v>
      </c>
      <c r="K132" s="0" t="n">
        <v>1</v>
      </c>
      <c r="T132" s="0" t="n">
        <v>4</v>
      </c>
      <c r="U132" s="0" t="n">
        <v>3</v>
      </c>
      <c r="V132" s="0" t="inlineStr">
        <is>
          <t>계단식</t>
        </is>
      </c>
      <c r="W132" s="0" t="n">
        <v>187</v>
      </c>
      <c r="X132" s="0" t="n">
        <v>8</v>
      </c>
      <c r="Y132" s="0" t="n">
        <v>6</v>
      </c>
      <c r="Z132" s="0" t="inlineStr">
        <is>
          <t>https://new.land.naver.com/complexes/141166?tab=detail&amp;rf=Y</t>
        </is>
      </c>
      <c r="AA132" s="0" t="inlineStr">
        <is>
          <t>경기도 하남시 덕풍동 369-2</t>
        </is>
      </c>
      <c r="AB132" s="0" t="inlineStr">
        <is>
          <t>경기도</t>
        </is>
      </c>
      <c r="AC132" s="0" t="inlineStr">
        <is>
          <t>하남시</t>
        </is>
      </c>
      <c r="AD132" s="0" t="inlineStr">
        <is>
          <t>덕풍동</t>
        </is>
      </c>
      <c r="AG132" s="0" t="inlineStr">
        <is>
          <t>경기도 하남시 수리남로 30</t>
        </is>
      </c>
      <c r="AH132" s="0" t="n">
        <v>0</v>
      </c>
      <c r="AI132" s="0" t="n">
        <v>236</v>
      </c>
      <c r="AJ132" s="0" t="n">
        <v>34</v>
      </c>
      <c r="AK132" s="0" t="n">
        <v>35</v>
      </c>
      <c r="AL132" s="0" t="n">
        <v>0.85</v>
      </c>
    </row>
    <row r="133">
      <c r="A133" s="0" t="inlineStr">
        <is>
          <t>[덕풍동]</t>
        </is>
      </c>
      <c r="B133" s="0" t="n">
        <v>141166</v>
      </c>
      <c r="C133" s="0" t="n">
        <v>10</v>
      </c>
      <c r="D133" s="0" t="inlineStr">
        <is>
          <t>프라임</t>
        </is>
      </c>
      <c r="E133" s="0" t="inlineStr">
        <is>
          <t>2020.05.</t>
        </is>
      </c>
      <c r="F133" s="0" t="n">
        <v>41</v>
      </c>
      <c r="G133" s="0" t="n">
        <v>59.78</v>
      </c>
      <c r="H133" s="0" t="n">
        <v>197.65</v>
      </c>
      <c r="I133" s="0" t="n">
        <v>44.31</v>
      </c>
      <c r="J133" s="0" t="n">
        <v>146.5</v>
      </c>
      <c r="K133" s="0" t="n">
        <v>1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197</v>
      </c>
      <c r="X133" s="0" t="n">
        <v>8</v>
      </c>
      <c r="Y133" s="0" t="n">
        <v>6</v>
      </c>
      <c r="Z133" s="0" t="inlineStr">
        <is>
          <t>https://new.land.naver.com/complexes/141166?tab=detail&amp;rf=Y</t>
        </is>
      </c>
      <c r="AA133" s="0" t="inlineStr">
        <is>
          <t>경기도 하남시 덕풍동 369-2</t>
        </is>
      </c>
      <c r="AB133" s="0" t="inlineStr">
        <is>
          <t>경기도</t>
        </is>
      </c>
      <c r="AC133" s="0" t="inlineStr">
        <is>
          <t>하남시</t>
        </is>
      </c>
      <c r="AD133" s="0" t="inlineStr">
        <is>
          <t>덕풍동</t>
        </is>
      </c>
      <c r="AG133" s="0" t="inlineStr">
        <is>
          <t>경기도 하남시 수리남로 30</t>
        </is>
      </c>
      <c r="AH133" s="0" t="n">
        <v>0</v>
      </c>
      <c r="AI133" s="0" t="n">
        <v>236</v>
      </c>
      <c r="AJ133" s="0" t="n">
        <v>34</v>
      </c>
      <c r="AK133" s="0" t="n">
        <v>35</v>
      </c>
      <c r="AL133" s="0" t="n">
        <v>0.85</v>
      </c>
    </row>
    <row r="134">
      <c r="A134" s="0" t="inlineStr">
        <is>
          <t>[덕풍동]</t>
        </is>
      </c>
      <c r="B134" s="0" t="n">
        <v>3724</v>
      </c>
      <c r="C134" s="0" t="n">
        <v>1</v>
      </c>
      <c r="D134" s="0" t="inlineStr">
        <is>
          <t>한솔리치빌1단지</t>
        </is>
      </c>
      <c r="E134" s="0" t="inlineStr">
        <is>
          <t>2002.12.</t>
        </is>
      </c>
      <c r="F134" s="0" t="n">
        <v>747</v>
      </c>
      <c r="G134" s="0" t="n">
        <v>35.02</v>
      </c>
      <c r="H134" s="0" t="n">
        <v>115.77</v>
      </c>
      <c r="I134" s="0" t="n">
        <v>25.65</v>
      </c>
      <c r="J134" s="0" t="n">
        <v>84.8</v>
      </c>
      <c r="K134" s="0" t="n">
        <v>747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115A</t>
        </is>
      </c>
      <c r="X134" s="0" t="n">
        <v>25</v>
      </c>
      <c r="Y134" s="0" t="n">
        <v>18</v>
      </c>
      <c r="Z134" s="0" t="inlineStr">
        <is>
          <t>https://new.land.naver.com/complexes/3724?tab=detail&amp;rf=Y</t>
        </is>
      </c>
      <c r="AA134" s="0" t="inlineStr">
        <is>
          <t>경기도 하남시 덕풍동 681</t>
        </is>
      </c>
      <c r="AB134" s="0" t="inlineStr">
        <is>
          <t>경기도</t>
        </is>
      </c>
      <c r="AC134" s="0" t="inlineStr">
        <is>
          <t>하남시</t>
        </is>
      </c>
      <c r="AD134" s="0" t="inlineStr">
        <is>
          <t>덕풍동</t>
        </is>
      </c>
      <c r="AG134" s="0" t="inlineStr">
        <is>
          <t>경기도 하남시 덕산로 39</t>
        </is>
      </c>
      <c r="AH134" s="0" t="n">
        <v>0</v>
      </c>
      <c r="AI134" s="0" t="n">
        <v>349</v>
      </c>
      <c r="AJ134" s="0" t="n">
        <v>18</v>
      </c>
      <c r="AK134" s="0" t="n">
        <v>805</v>
      </c>
      <c r="AL134" s="0" t="n">
        <v>1.08</v>
      </c>
    </row>
    <row r="135">
      <c r="A135" s="0" t="inlineStr">
        <is>
          <t>[덕풍동]</t>
        </is>
      </c>
      <c r="B135" s="0" t="n">
        <v>24971</v>
      </c>
      <c r="C135" s="0" t="n">
        <v>1</v>
      </c>
      <c r="D135" s="0" t="inlineStr">
        <is>
          <t>하남풍산센트레빌</t>
        </is>
      </c>
      <c r="E135" s="0" t="inlineStr">
        <is>
          <t>2008.03.</t>
        </is>
      </c>
      <c r="F135" s="0" t="n">
        <v>168</v>
      </c>
      <c r="G135" s="0" t="n">
        <v>32.56</v>
      </c>
      <c r="H135" s="0" t="n">
        <v>107.65</v>
      </c>
      <c r="I135" s="0" t="n">
        <v>25.68</v>
      </c>
      <c r="J135" s="0" t="n">
        <v>84.92</v>
      </c>
      <c r="K135" s="0" t="n">
        <v>168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107</v>
      </c>
      <c r="X135" s="0" t="n">
        <v>12</v>
      </c>
      <c r="Y135" s="0" t="n">
        <v>10</v>
      </c>
      <c r="Z135" s="0" t="inlineStr">
        <is>
          <t>https://new.land.naver.com/complexes/24971?tab=detail&amp;rf=Y</t>
        </is>
      </c>
      <c r="AA135" s="0" t="inlineStr">
        <is>
          <t>경기도 하남시 덕풍동 747</t>
        </is>
      </c>
      <c r="AB135" s="0" t="inlineStr">
        <is>
          <t>경기도</t>
        </is>
      </c>
      <c r="AC135" s="0" t="inlineStr">
        <is>
          <t>하남시</t>
        </is>
      </c>
      <c r="AD135" s="0" t="inlineStr">
        <is>
          <t>덕풍동</t>
        </is>
      </c>
      <c r="AG135" s="0" t="inlineStr">
        <is>
          <t>경기도 하남시 덕풍동로 110</t>
        </is>
      </c>
      <c r="AH135" s="0" t="n">
        <v>0</v>
      </c>
      <c r="AI135" s="0" t="n">
        <v>179</v>
      </c>
      <c r="AJ135" s="0" t="n">
        <v>22</v>
      </c>
      <c r="AK135" s="0" t="n">
        <v>224</v>
      </c>
      <c r="AL135" s="0" t="n">
        <v>1.33</v>
      </c>
    </row>
    <row r="136">
      <c r="A136" s="0" t="inlineStr">
        <is>
          <t>[덕풍동]</t>
        </is>
      </c>
      <c r="B136" s="0" t="n">
        <v>9393</v>
      </c>
      <c r="C136" s="0" t="n">
        <v>1</v>
      </c>
      <c r="D136" s="0" t="inlineStr">
        <is>
          <t>한솔리치빌3단지</t>
        </is>
      </c>
      <c r="E136" s="0" t="inlineStr">
        <is>
          <t>2005.01.</t>
        </is>
      </c>
      <c r="F136" s="0" t="n">
        <v>283</v>
      </c>
      <c r="G136" s="0" t="n">
        <v>24.74</v>
      </c>
      <c r="H136" s="0" t="n">
        <v>81.79000000000001</v>
      </c>
      <c r="I136" s="0" t="n">
        <v>18.14</v>
      </c>
      <c r="J136" s="0" t="n">
        <v>59.99</v>
      </c>
      <c r="K136" s="0" t="n">
        <v>20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81</v>
      </c>
      <c r="X136" s="0" t="n">
        <v>25</v>
      </c>
      <c r="Y136" s="0" t="n">
        <v>8</v>
      </c>
      <c r="Z136" s="0" t="inlineStr">
        <is>
          <t>https://new.land.naver.com/complexes/9393?tab=detail&amp;rf=Y</t>
        </is>
      </c>
      <c r="AA136" s="0" t="inlineStr">
        <is>
          <t>경기도 하남시 덕풍동 688</t>
        </is>
      </c>
      <c r="AB136" s="0" t="inlineStr">
        <is>
          <t>경기도</t>
        </is>
      </c>
      <c r="AC136" s="0" t="inlineStr">
        <is>
          <t>하남시</t>
        </is>
      </c>
      <c r="AD136" s="0" t="inlineStr">
        <is>
          <t>덕풍동</t>
        </is>
      </c>
      <c r="AG136" s="0" t="inlineStr">
        <is>
          <t>경기도 하남시 덕산로 80</t>
        </is>
      </c>
      <c r="AH136" s="0" t="n">
        <v>0</v>
      </c>
      <c r="AI136" s="0" t="n">
        <v>346</v>
      </c>
      <c r="AJ136" s="0" t="n">
        <v>25</v>
      </c>
      <c r="AK136" s="0" t="n">
        <v>301</v>
      </c>
      <c r="AL136" s="0" t="n">
        <v>1.06</v>
      </c>
    </row>
    <row r="137">
      <c r="A137" s="0" t="inlineStr">
        <is>
          <t>[덕풍동]</t>
        </is>
      </c>
      <c r="B137" s="0" t="n">
        <v>9393</v>
      </c>
      <c r="C137" s="0" t="n">
        <v>2</v>
      </c>
      <c r="D137" s="0" t="inlineStr">
        <is>
          <t>한솔리치빌3단지</t>
        </is>
      </c>
      <c r="E137" s="0" t="inlineStr">
        <is>
          <t>2005.01.</t>
        </is>
      </c>
      <c r="F137" s="0" t="n">
        <v>283</v>
      </c>
      <c r="G137" s="0" t="n">
        <v>33.28</v>
      </c>
      <c r="H137" s="0" t="n">
        <v>110.02</v>
      </c>
      <c r="I137" s="0" t="n">
        <v>25.7</v>
      </c>
      <c r="J137" s="0" t="n">
        <v>84.98999999999999</v>
      </c>
      <c r="K137" s="0" t="n">
        <v>236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110</v>
      </c>
      <c r="X137" s="0" t="n">
        <v>25</v>
      </c>
      <c r="Y137" s="0" t="n">
        <v>8</v>
      </c>
      <c r="Z137" s="0" t="inlineStr">
        <is>
          <t>https://new.land.naver.com/complexes/9393?tab=detail&amp;rf=Y</t>
        </is>
      </c>
      <c r="AA137" s="0" t="inlineStr">
        <is>
          <t>경기도 하남시 덕풍동 688</t>
        </is>
      </c>
      <c r="AB137" s="0" t="inlineStr">
        <is>
          <t>경기도</t>
        </is>
      </c>
      <c r="AC137" s="0" t="inlineStr">
        <is>
          <t>하남시</t>
        </is>
      </c>
      <c r="AD137" s="0" t="inlineStr">
        <is>
          <t>덕풍동</t>
        </is>
      </c>
      <c r="AG137" s="0" t="inlineStr">
        <is>
          <t>경기도 하남시 덕산로 80</t>
        </is>
      </c>
      <c r="AH137" s="0" t="n">
        <v>0</v>
      </c>
      <c r="AI137" s="0" t="n">
        <v>346</v>
      </c>
      <c r="AJ137" s="0" t="n">
        <v>25</v>
      </c>
      <c r="AK137" s="0" t="n">
        <v>301</v>
      </c>
      <c r="AL137" s="0" t="n">
        <v>1.06</v>
      </c>
    </row>
    <row r="138">
      <c r="A138" s="0" t="inlineStr">
        <is>
          <t>[덕풍동]</t>
        </is>
      </c>
      <c r="B138" s="0" t="n">
        <v>9393</v>
      </c>
      <c r="C138" s="0" t="n">
        <v>3</v>
      </c>
      <c r="D138" s="0" t="inlineStr">
        <is>
          <t>한솔리치빌3단지</t>
        </is>
      </c>
      <c r="E138" s="0" t="inlineStr">
        <is>
          <t>2005.01.</t>
        </is>
      </c>
      <c r="F138" s="0" t="n">
        <v>283</v>
      </c>
      <c r="G138" s="0" t="n">
        <v>33.35</v>
      </c>
      <c r="H138" s="0" t="n">
        <v>110.26</v>
      </c>
      <c r="I138" s="0" t="n">
        <v>25.66</v>
      </c>
      <c r="J138" s="0" t="n">
        <v>84.83</v>
      </c>
      <c r="K138" s="0" t="n">
        <v>19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110</v>
      </c>
      <c r="X138" s="0" t="n">
        <v>25</v>
      </c>
      <c r="Y138" s="0" t="n">
        <v>8</v>
      </c>
      <c r="Z138" s="0" t="inlineStr">
        <is>
          <t>https://new.land.naver.com/complexes/9393?tab=detail&amp;rf=Y</t>
        </is>
      </c>
      <c r="AA138" s="0" t="inlineStr">
        <is>
          <t>경기도 하남시 덕풍동 688</t>
        </is>
      </c>
      <c r="AB138" s="0" t="inlineStr">
        <is>
          <t>경기도</t>
        </is>
      </c>
      <c r="AC138" s="0" t="inlineStr">
        <is>
          <t>하남시</t>
        </is>
      </c>
      <c r="AD138" s="0" t="inlineStr">
        <is>
          <t>덕풍동</t>
        </is>
      </c>
      <c r="AG138" s="0" t="inlineStr">
        <is>
          <t>경기도 하남시 덕산로 80</t>
        </is>
      </c>
      <c r="AH138" s="0" t="n">
        <v>0</v>
      </c>
      <c r="AI138" s="0" t="n">
        <v>346</v>
      </c>
      <c r="AJ138" s="0" t="n">
        <v>25</v>
      </c>
      <c r="AK138" s="0" t="n">
        <v>301</v>
      </c>
      <c r="AL138" s="0" t="n">
        <v>1.06</v>
      </c>
    </row>
    <row r="139">
      <c r="A139" s="0" t="inlineStr">
        <is>
          <t>[덕풍동]</t>
        </is>
      </c>
      <c r="B139" s="0" t="n">
        <v>9393</v>
      </c>
      <c r="C139" s="0" t="n">
        <v>4</v>
      </c>
      <c r="D139" s="0" t="inlineStr">
        <is>
          <t>한솔리치빌3단지</t>
        </is>
      </c>
      <c r="E139" s="0" t="inlineStr">
        <is>
          <t>2005.01.</t>
        </is>
      </c>
      <c r="F139" s="0" t="n">
        <v>283</v>
      </c>
      <c r="G139" s="0" t="n">
        <v>45.45</v>
      </c>
      <c r="H139" s="0" t="n">
        <v>150.26</v>
      </c>
      <c r="I139" s="0" t="n">
        <v>35.88</v>
      </c>
      <c r="J139" s="0" t="n">
        <v>118.62</v>
      </c>
      <c r="K139" s="0" t="n">
        <v>8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150</v>
      </c>
      <c r="X139" s="0" t="n">
        <v>25</v>
      </c>
      <c r="Y139" s="0" t="n">
        <v>8</v>
      </c>
      <c r="Z139" s="0" t="inlineStr">
        <is>
          <t>https://new.land.naver.com/complexes/9393?tab=detail&amp;rf=Y</t>
        </is>
      </c>
      <c r="AA139" s="0" t="inlineStr">
        <is>
          <t>경기도 하남시 덕풍동 688</t>
        </is>
      </c>
      <c r="AB139" s="0" t="inlineStr">
        <is>
          <t>경기도</t>
        </is>
      </c>
      <c r="AC139" s="0" t="inlineStr">
        <is>
          <t>하남시</t>
        </is>
      </c>
      <c r="AD139" s="0" t="inlineStr">
        <is>
          <t>덕풍동</t>
        </is>
      </c>
      <c r="AG139" s="0" t="inlineStr">
        <is>
          <t>경기도 하남시 덕산로 80</t>
        </is>
      </c>
      <c r="AH139" s="0" t="n">
        <v>0</v>
      </c>
      <c r="AI139" s="0" t="n">
        <v>346</v>
      </c>
      <c r="AJ139" s="0" t="n">
        <v>25</v>
      </c>
      <c r="AK139" s="0" t="n">
        <v>301</v>
      </c>
      <c r="AL139" s="0" t="n">
        <v>1.06</v>
      </c>
    </row>
    <row r="140">
      <c r="A140" s="0" t="inlineStr">
        <is>
          <t>[덕풍동]</t>
        </is>
      </c>
      <c r="B140" s="0" t="n">
        <v>22656</v>
      </c>
      <c r="C140" s="0" t="n">
        <v>1</v>
      </c>
      <c r="D140" s="0" t="inlineStr">
        <is>
          <t>정목e-미지</t>
        </is>
      </c>
      <c r="E140" s="0" t="inlineStr">
        <is>
          <t>2005.02.</t>
        </is>
      </c>
      <c r="F140" s="0" t="n">
        <v>58</v>
      </c>
      <c r="G140" s="0" t="n">
        <v>32.52</v>
      </c>
      <c r="H140" s="0" t="n">
        <v>107.53</v>
      </c>
      <c r="I140" s="0" t="n">
        <v>25.52</v>
      </c>
      <c r="J140" s="0" t="n">
        <v>84.37</v>
      </c>
      <c r="K140" s="0" t="n">
        <v>30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107B</t>
        </is>
      </c>
      <c r="X140" s="0" t="n">
        <v>15</v>
      </c>
      <c r="Y140" s="0" t="n">
        <v>10</v>
      </c>
      <c r="Z140" s="0" t="inlineStr">
        <is>
          <t>https://new.land.naver.com/complexes/22656?tab=detail&amp;rf=Y</t>
        </is>
      </c>
      <c r="AA140" s="0" t="inlineStr">
        <is>
          <t>경기도 하남시 덕풍동 416-7</t>
        </is>
      </c>
      <c r="AB140" s="0" t="inlineStr">
        <is>
          <t>경기도</t>
        </is>
      </c>
      <c r="AC140" s="0" t="inlineStr">
        <is>
          <t>하남시</t>
        </is>
      </c>
      <c r="AD140" s="0" t="inlineStr">
        <is>
          <t>덕풍동</t>
        </is>
      </c>
      <c r="AG140" s="0" t="inlineStr">
        <is>
          <t>경기도 하남시 신평로55번길 35</t>
        </is>
      </c>
      <c r="AH140" s="0" t="n">
        <v>0</v>
      </c>
      <c r="AI140" s="0" t="n">
        <v>528</v>
      </c>
      <c r="AJ140" s="0" t="n">
        <v>62</v>
      </c>
      <c r="AK140" s="0" t="n">
        <v>72</v>
      </c>
      <c r="AL140" s="0" t="n">
        <v>1.24</v>
      </c>
    </row>
    <row r="141">
      <c r="A141" s="0" t="inlineStr">
        <is>
          <t>[덕풍동]</t>
        </is>
      </c>
      <c r="B141" s="0" t="n">
        <v>22656</v>
      </c>
      <c r="C141" s="0" t="n">
        <v>2</v>
      </c>
      <c r="D141" s="0" t="inlineStr">
        <is>
          <t>정목e-미지</t>
        </is>
      </c>
      <c r="E141" s="0" t="inlineStr">
        <is>
          <t>2005.02.</t>
        </is>
      </c>
      <c r="F141" s="0" t="n">
        <v>58</v>
      </c>
      <c r="G141" s="0" t="n">
        <v>32.39</v>
      </c>
      <c r="H141" s="0" t="n">
        <v>107.08</v>
      </c>
      <c r="I141" s="0" t="n">
        <v>25.41</v>
      </c>
      <c r="J141" s="0" t="n">
        <v>84.02</v>
      </c>
      <c r="K141" s="0" t="n">
        <v>14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107A</t>
        </is>
      </c>
      <c r="X141" s="0" t="n">
        <v>15</v>
      </c>
      <c r="Y141" s="0" t="n">
        <v>10</v>
      </c>
      <c r="Z141" s="0" t="inlineStr">
        <is>
          <t>https://new.land.naver.com/complexes/22656?tab=detail&amp;rf=Y</t>
        </is>
      </c>
      <c r="AA141" s="0" t="inlineStr">
        <is>
          <t>경기도 하남시 덕풍동 416-7</t>
        </is>
      </c>
      <c r="AB141" s="0" t="inlineStr">
        <is>
          <t>경기도</t>
        </is>
      </c>
      <c r="AC141" s="0" t="inlineStr">
        <is>
          <t>하남시</t>
        </is>
      </c>
      <c r="AD141" s="0" t="inlineStr">
        <is>
          <t>덕풍동</t>
        </is>
      </c>
      <c r="AG141" s="0" t="inlineStr">
        <is>
          <t>경기도 하남시 신평로55번길 35</t>
        </is>
      </c>
      <c r="AH141" s="0" t="n">
        <v>0</v>
      </c>
      <c r="AI141" s="0" t="n">
        <v>528</v>
      </c>
      <c r="AJ141" s="0" t="n">
        <v>62</v>
      </c>
      <c r="AK141" s="0" t="n">
        <v>72</v>
      </c>
      <c r="AL141" s="0" t="n">
        <v>1.24</v>
      </c>
    </row>
    <row r="142">
      <c r="A142" s="0" t="inlineStr">
        <is>
          <t>[덕풍동]</t>
        </is>
      </c>
      <c r="B142" s="0" t="n">
        <v>22656</v>
      </c>
      <c r="C142" s="0" t="n">
        <v>3</v>
      </c>
      <c r="D142" s="0" t="inlineStr">
        <is>
          <t>정목e-미지</t>
        </is>
      </c>
      <c r="E142" s="0" t="inlineStr">
        <is>
          <t>2005.02.</t>
        </is>
      </c>
      <c r="F142" s="0" t="n">
        <v>58</v>
      </c>
      <c r="G142" s="0" t="n">
        <v>32.7</v>
      </c>
      <c r="H142" s="0" t="n">
        <v>108.11</v>
      </c>
      <c r="I142" s="0" t="n">
        <v>25.66</v>
      </c>
      <c r="J142" s="0" t="n">
        <v>84.83</v>
      </c>
      <c r="K142" s="0" t="n">
        <v>14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108C</t>
        </is>
      </c>
      <c r="X142" s="0" t="n">
        <v>15</v>
      </c>
      <c r="Y142" s="0" t="n">
        <v>10</v>
      </c>
      <c r="Z142" s="0" t="inlineStr">
        <is>
          <t>https://new.land.naver.com/complexes/22656?tab=detail&amp;rf=Y</t>
        </is>
      </c>
      <c r="AA142" s="0" t="inlineStr">
        <is>
          <t>경기도 하남시 덕풍동 416-7</t>
        </is>
      </c>
      <c r="AB142" s="0" t="inlineStr">
        <is>
          <t>경기도</t>
        </is>
      </c>
      <c r="AC142" s="0" t="inlineStr">
        <is>
          <t>하남시</t>
        </is>
      </c>
      <c r="AD142" s="0" t="inlineStr">
        <is>
          <t>덕풍동</t>
        </is>
      </c>
      <c r="AG142" s="0" t="inlineStr">
        <is>
          <t>경기도 하남시 신평로55번길 35</t>
        </is>
      </c>
      <c r="AH142" s="0" t="n">
        <v>0</v>
      </c>
      <c r="AI142" s="0" t="n">
        <v>528</v>
      </c>
      <c r="AJ142" s="0" t="n">
        <v>62</v>
      </c>
      <c r="AK142" s="0" t="n">
        <v>72</v>
      </c>
      <c r="AL142" s="0" t="n">
        <v>1.24</v>
      </c>
    </row>
    <row r="143">
      <c r="A143" s="0" t="inlineStr">
        <is>
          <t>[덕풍동]</t>
        </is>
      </c>
      <c r="B143" s="0" t="n">
        <v>103943</v>
      </c>
      <c r="C143" s="0" t="n">
        <v>1</v>
      </c>
      <c r="D143" s="0" t="inlineStr">
        <is>
          <t>효천수리골마을</t>
        </is>
      </c>
      <c r="E143" s="0" t="inlineStr">
        <is>
          <t>2008.06.</t>
        </is>
      </c>
      <c r="F143" s="0" t="n">
        <v>103</v>
      </c>
      <c r="G143" s="0" t="n">
        <v>21.41</v>
      </c>
      <c r="H143" s="0" t="n">
        <v>70.78</v>
      </c>
      <c r="I143" s="0" t="n">
        <v>15.46</v>
      </c>
      <c r="J143" s="0" t="n">
        <v>51.13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70</v>
      </c>
      <c r="X143" s="0" t="n">
        <v>10</v>
      </c>
      <c r="Y143" s="0" t="n">
        <v>3</v>
      </c>
      <c r="Z143" s="0" t="inlineStr">
        <is>
          <t>https://new.land.naver.com/complexes/103943?tab=detail&amp;rf=Y</t>
        </is>
      </c>
      <c r="AA143" s="0" t="inlineStr">
        <is>
          <t>경기도 하남시 덕풍동 352-1</t>
        </is>
      </c>
      <c r="AB143" s="0" t="inlineStr">
        <is>
          <t>경기도</t>
        </is>
      </c>
      <c r="AC143" s="0" t="inlineStr">
        <is>
          <t>하남시</t>
        </is>
      </c>
      <c r="AD143" s="0" t="inlineStr">
        <is>
          <t>덕풍동</t>
        </is>
      </c>
      <c r="AG143" s="0" t="inlineStr">
        <is>
          <t>경기도 하남시 하남대로861번안길 15</t>
        </is>
      </c>
      <c r="AH143" s="0" t="n">
        <v>0</v>
      </c>
      <c r="AI143" s="0" t="n">
        <v>276</v>
      </c>
      <c r="AJ143" s="0" t="n">
        <v>39</v>
      </c>
      <c r="AK143" s="0" t="n">
        <v>103</v>
      </c>
      <c r="AL143" s="0" t="n">
        <v>1</v>
      </c>
    </row>
    <row r="144">
      <c r="A144" s="0" t="inlineStr">
        <is>
          <t>[덕풍동]</t>
        </is>
      </c>
      <c r="B144" s="0" t="n">
        <v>103943</v>
      </c>
      <c r="C144" s="0" t="n">
        <v>2</v>
      </c>
      <c r="D144" s="0" t="inlineStr">
        <is>
          <t>효천수리골마을</t>
        </is>
      </c>
      <c r="E144" s="0" t="inlineStr">
        <is>
          <t>2008.06.</t>
        </is>
      </c>
      <c r="F144" s="0" t="n">
        <v>103</v>
      </c>
      <c r="G144" s="0" t="n">
        <v>21.68</v>
      </c>
      <c r="H144" s="0" t="n">
        <v>71.69</v>
      </c>
      <c r="I144" s="0" t="n">
        <v>15.62</v>
      </c>
      <c r="J144" s="0" t="n">
        <v>51.66</v>
      </c>
      <c r="K144" s="0" t="n">
        <v>6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71A</t>
        </is>
      </c>
      <c r="X144" s="0" t="n">
        <v>10</v>
      </c>
      <c r="Y144" s="0" t="n">
        <v>3</v>
      </c>
      <c r="Z144" s="0" t="inlineStr">
        <is>
          <t>https://new.land.naver.com/complexes/103943?tab=detail&amp;rf=Y</t>
        </is>
      </c>
      <c r="AA144" s="0" t="inlineStr">
        <is>
          <t>경기도 하남시 덕풍동 352-1</t>
        </is>
      </c>
      <c r="AB144" s="0" t="inlineStr">
        <is>
          <t>경기도</t>
        </is>
      </c>
      <c r="AC144" s="0" t="inlineStr">
        <is>
          <t>하남시</t>
        </is>
      </c>
      <c r="AD144" s="0" t="inlineStr">
        <is>
          <t>덕풍동</t>
        </is>
      </c>
      <c r="AG144" s="0" t="inlineStr">
        <is>
          <t>경기도 하남시 하남대로861번안길 15</t>
        </is>
      </c>
      <c r="AH144" s="0" t="n">
        <v>0</v>
      </c>
      <c r="AI144" s="0" t="n">
        <v>276</v>
      </c>
      <c r="AJ144" s="0" t="n">
        <v>39</v>
      </c>
      <c r="AK144" s="0" t="n">
        <v>103</v>
      </c>
      <c r="AL144" s="0" t="n">
        <v>1</v>
      </c>
    </row>
    <row r="145">
      <c r="A145" s="0" t="inlineStr">
        <is>
          <t>[덕풍동]</t>
        </is>
      </c>
      <c r="B145" s="0" t="n">
        <v>103943</v>
      </c>
      <c r="C145" s="0" t="n">
        <v>3</v>
      </c>
      <c r="D145" s="0" t="inlineStr">
        <is>
          <t>효천수리골마을</t>
        </is>
      </c>
      <c r="E145" s="0" t="inlineStr">
        <is>
          <t>2008.06.</t>
        </is>
      </c>
      <c r="F145" s="0" t="n">
        <v>103</v>
      </c>
      <c r="G145" s="0" t="n">
        <v>21.99</v>
      </c>
      <c r="H145" s="0" t="n">
        <v>72.7</v>
      </c>
      <c r="I145" s="0" t="n">
        <v>15.89</v>
      </c>
      <c r="J145" s="0" t="n">
        <v>52.53</v>
      </c>
      <c r="K145" s="0" t="n">
        <v>2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10</v>
      </c>
      <c r="Y145" s="0" t="n">
        <v>3</v>
      </c>
      <c r="Z145" s="0" t="inlineStr">
        <is>
          <t>https://new.land.naver.com/complexes/103943?tab=detail&amp;rf=Y</t>
        </is>
      </c>
      <c r="AA145" s="0" t="inlineStr">
        <is>
          <t>경기도 하남시 덕풍동 352-1</t>
        </is>
      </c>
      <c r="AB145" s="0" t="inlineStr">
        <is>
          <t>경기도</t>
        </is>
      </c>
      <c r="AC145" s="0" t="inlineStr">
        <is>
          <t>하남시</t>
        </is>
      </c>
      <c r="AD145" s="0" t="inlineStr">
        <is>
          <t>덕풍동</t>
        </is>
      </c>
      <c r="AG145" s="0" t="inlineStr">
        <is>
          <t>경기도 하남시 하남대로861번안길 15</t>
        </is>
      </c>
      <c r="AH145" s="0" t="n">
        <v>0</v>
      </c>
      <c r="AI145" s="0" t="n">
        <v>276</v>
      </c>
      <c r="AJ145" s="0" t="n">
        <v>39</v>
      </c>
      <c r="AK145" s="0" t="n">
        <v>103</v>
      </c>
      <c r="AL145" s="0" t="n">
        <v>1</v>
      </c>
    </row>
    <row r="146">
      <c r="A146" s="0" t="inlineStr">
        <is>
          <t>[덕풍동]</t>
        </is>
      </c>
      <c r="B146" s="0" t="n">
        <v>103943</v>
      </c>
      <c r="C146" s="0" t="n">
        <v>4</v>
      </c>
      <c r="D146" s="0" t="inlineStr">
        <is>
          <t>효천수리골마을</t>
        </is>
      </c>
      <c r="E146" s="0" t="inlineStr">
        <is>
          <t>2008.06.</t>
        </is>
      </c>
      <c r="F146" s="0" t="n">
        <v>103</v>
      </c>
      <c r="G146" s="0" t="n">
        <v>24.96</v>
      </c>
      <c r="H146" s="0" t="n">
        <v>82.53</v>
      </c>
      <c r="I146" s="0" t="n">
        <v>18.06</v>
      </c>
      <c r="J146" s="0" t="n">
        <v>59.71</v>
      </c>
      <c r="K146" s="0" t="n">
        <v>87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82</v>
      </c>
      <c r="X146" s="0" t="n">
        <v>10</v>
      </c>
      <c r="Y146" s="0" t="n">
        <v>3</v>
      </c>
      <c r="Z146" s="0" t="inlineStr">
        <is>
          <t>https://new.land.naver.com/complexes/103943?tab=detail&amp;rf=Y</t>
        </is>
      </c>
      <c r="AA146" s="0" t="inlineStr">
        <is>
          <t>경기도 하남시 덕풍동 352-1</t>
        </is>
      </c>
      <c r="AB146" s="0" t="inlineStr">
        <is>
          <t>경기도</t>
        </is>
      </c>
      <c r="AC146" s="0" t="inlineStr">
        <is>
          <t>하남시</t>
        </is>
      </c>
      <c r="AD146" s="0" t="inlineStr">
        <is>
          <t>덕풍동</t>
        </is>
      </c>
      <c r="AG146" s="0" t="inlineStr">
        <is>
          <t>경기도 하남시 하남대로861번안길 15</t>
        </is>
      </c>
      <c r="AH146" s="0" t="n">
        <v>0</v>
      </c>
      <c r="AI146" s="0" t="n">
        <v>276</v>
      </c>
      <c r="AJ146" s="0" t="n">
        <v>39</v>
      </c>
      <c r="AK146" s="0" t="n">
        <v>103</v>
      </c>
      <c r="AL146" s="0" t="n">
        <v>1</v>
      </c>
    </row>
    <row r="147">
      <c r="A147" s="0" t="inlineStr">
        <is>
          <t>[덕풍동]</t>
        </is>
      </c>
      <c r="B147" s="0" t="n">
        <v>103943</v>
      </c>
      <c r="C147" s="0" t="n">
        <v>5</v>
      </c>
      <c r="D147" s="0" t="inlineStr">
        <is>
          <t>효천수리골마을</t>
        </is>
      </c>
      <c r="E147" s="0" t="inlineStr">
        <is>
          <t>2008.06.</t>
        </is>
      </c>
      <c r="F147" s="0" t="n">
        <v>103</v>
      </c>
      <c r="G147" s="0" t="n">
        <v>32.55</v>
      </c>
      <c r="H147" s="0" t="n">
        <v>107.61</v>
      </c>
      <c r="I147" s="0" t="n">
        <v>23.74</v>
      </c>
      <c r="J147" s="0" t="n">
        <v>78.48999999999999</v>
      </c>
      <c r="K147" s="0" t="n">
        <v>7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107</v>
      </c>
      <c r="X147" s="0" t="n">
        <v>10</v>
      </c>
      <c r="Y147" s="0" t="n">
        <v>3</v>
      </c>
      <c r="Z147" s="0" t="inlineStr">
        <is>
          <t>https://new.land.naver.com/complexes/103943?tab=detail&amp;rf=Y</t>
        </is>
      </c>
      <c r="AA147" s="0" t="inlineStr">
        <is>
          <t>경기도 하남시 덕풍동 352-1</t>
        </is>
      </c>
      <c r="AB147" s="0" t="inlineStr">
        <is>
          <t>경기도</t>
        </is>
      </c>
      <c r="AC147" s="0" t="inlineStr">
        <is>
          <t>하남시</t>
        </is>
      </c>
      <c r="AD147" s="0" t="inlineStr">
        <is>
          <t>덕풍동</t>
        </is>
      </c>
      <c r="AG147" s="0" t="inlineStr">
        <is>
          <t>경기도 하남시 하남대로861번안길 15</t>
        </is>
      </c>
      <c r="AH147" s="0" t="n">
        <v>0</v>
      </c>
      <c r="AI147" s="0" t="n">
        <v>276</v>
      </c>
      <c r="AJ147" s="0" t="n">
        <v>39</v>
      </c>
      <c r="AK147" s="0" t="n">
        <v>103</v>
      </c>
      <c r="AL147" s="0" t="n">
        <v>1</v>
      </c>
    </row>
    <row r="148">
      <c r="A148" s="0" t="inlineStr">
        <is>
          <t>[덕풍동]</t>
        </is>
      </c>
      <c r="B148" s="0" t="n">
        <v>26345</v>
      </c>
      <c r="C148" s="0" t="n">
        <v>1</v>
      </c>
      <c r="D148" s="0" t="inlineStr">
        <is>
          <t>대명세라뷰</t>
        </is>
      </c>
      <c r="E148" s="0" t="inlineStr">
        <is>
          <t>2008.06.</t>
        </is>
      </c>
      <c r="F148" s="0" t="n">
        <v>97</v>
      </c>
      <c r="G148" s="0" t="n">
        <v>37.7</v>
      </c>
      <c r="H148" s="0" t="n">
        <v>124.64</v>
      </c>
      <c r="I148" s="0" t="n">
        <v>30.52</v>
      </c>
      <c r="J148" s="0" t="n">
        <v>100.9</v>
      </c>
      <c r="K148" s="0" t="n">
        <v>7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124</v>
      </c>
      <c r="X148" s="0" t="n">
        <v>4</v>
      </c>
      <c r="Y148" s="0" t="n">
        <v>4</v>
      </c>
      <c r="Z148" s="0" t="inlineStr">
        <is>
          <t>https://new.land.naver.com/complexes/26345?tab=detail&amp;rf=Y</t>
        </is>
      </c>
      <c r="AA148" s="0" t="inlineStr">
        <is>
          <t>경기도 하남시 덕풍동 746</t>
        </is>
      </c>
      <c r="AB148" s="0" t="inlineStr">
        <is>
          <t>경기도</t>
        </is>
      </c>
      <c r="AC148" s="0" t="inlineStr">
        <is>
          <t>하남시</t>
        </is>
      </c>
      <c r="AD148" s="0" t="inlineStr">
        <is>
          <t>덕풍동</t>
        </is>
      </c>
      <c r="AG148" s="0" t="inlineStr">
        <is>
          <t>경기도 하남시 덕풍북로 210</t>
        </is>
      </c>
      <c r="AH148" s="0" t="n">
        <v>0</v>
      </c>
      <c r="AI148" s="0" t="n">
        <v>99</v>
      </c>
      <c r="AJ148" s="0" t="n">
        <v>34</v>
      </c>
      <c r="AK148" s="0" t="n">
        <v>202</v>
      </c>
      <c r="AL148" s="0" t="n">
        <v>2.08</v>
      </c>
    </row>
    <row r="149">
      <c r="A149" s="0" t="inlineStr">
        <is>
          <t>[덕풍동]</t>
        </is>
      </c>
      <c r="B149" s="0" t="n">
        <v>26345</v>
      </c>
      <c r="C149" s="0" t="n">
        <v>2</v>
      </c>
      <c r="D149" s="0" t="inlineStr">
        <is>
          <t>대명세라뷰</t>
        </is>
      </c>
      <c r="E149" s="0" t="inlineStr">
        <is>
          <t>2008.06.</t>
        </is>
      </c>
      <c r="F149" s="0" t="n">
        <v>97</v>
      </c>
      <c r="G149" s="0" t="n">
        <v>43.38</v>
      </c>
      <c r="H149" s="0" t="n">
        <v>143.41</v>
      </c>
      <c r="I149" s="0" t="n">
        <v>35.71</v>
      </c>
      <c r="J149" s="0" t="n">
        <v>118.06</v>
      </c>
      <c r="K149" s="0" t="n">
        <v>11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143</v>
      </c>
      <c r="X149" s="0" t="n">
        <v>4</v>
      </c>
      <c r="Y149" s="0" t="n">
        <v>4</v>
      </c>
      <c r="Z149" s="0" t="inlineStr">
        <is>
          <t>https://new.land.naver.com/complexes/26345?tab=detail&amp;rf=Y</t>
        </is>
      </c>
      <c r="AA149" s="0" t="inlineStr">
        <is>
          <t>경기도 하남시 덕풍동 746</t>
        </is>
      </c>
      <c r="AB149" s="0" t="inlineStr">
        <is>
          <t>경기도</t>
        </is>
      </c>
      <c r="AC149" s="0" t="inlineStr">
        <is>
          <t>하남시</t>
        </is>
      </c>
      <c r="AD149" s="0" t="inlineStr">
        <is>
          <t>덕풍동</t>
        </is>
      </c>
      <c r="AG149" s="0" t="inlineStr">
        <is>
          <t>경기도 하남시 덕풍북로 210</t>
        </is>
      </c>
      <c r="AH149" s="0" t="n">
        <v>0</v>
      </c>
      <c r="AI149" s="0" t="n">
        <v>99</v>
      </c>
      <c r="AJ149" s="0" t="n">
        <v>34</v>
      </c>
      <c r="AK149" s="0" t="n">
        <v>202</v>
      </c>
      <c r="AL149" s="0" t="n">
        <v>2.08</v>
      </c>
    </row>
    <row r="150">
      <c r="A150" s="0" t="inlineStr">
        <is>
          <t>[덕풍동]</t>
        </is>
      </c>
      <c r="B150" s="0" t="n">
        <v>26345</v>
      </c>
      <c r="C150" s="0" t="n">
        <v>3</v>
      </c>
      <c r="D150" s="0" t="inlineStr">
        <is>
          <t>대명세라뷰</t>
        </is>
      </c>
      <c r="E150" s="0" t="inlineStr">
        <is>
          <t>2008.06.</t>
        </is>
      </c>
      <c r="F150" s="0" t="n">
        <v>97</v>
      </c>
      <c r="G150" s="0" t="n">
        <v>44.84</v>
      </c>
      <c r="H150" s="0" t="n">
        <v>148.26</v>
      </c>
      <c r="I150" s="0" t="n">
        <v>36.23</v>
      </c>
      <c r="J150" s="0" t="n">
        <v>119.78</v>
      </c>
      <c r="K150" s="0" t="n">
        <v>20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4</v>
      </c>
      <c r="Y150" s="0" t="n">
        <v>4</v>
      </c>
      <c r="Z150" s="0" t="inlineStr">
        <is>
          <t>https://new.land.naver.com/complexes/26345?tab=detail&amp;rf=Y</t>
        </is>
      </c>
      <c r="AA150" s="0" t="inlineStr">
        <is>
          <t>경기도 하남시 덕풍동 746</t>
        </is>
      </c>
      <c r="AB150" s="0" t="inlineStr">
        <is>
          <t>경기도</t>
        </is>
      </c>
      <c r="AC150" s="0" t="inlineStr">
        <is>
          <t>하남시</t>
        </is>
      </c>
      <c r="AD150" s="0" t="inlineStr">
        <is>
          <t>덕풍동</t>
        </is>
      </c>
      <c r="AG150" s="0" t="inlineStr">
        <is>
          <t>경기도 하남시 덕풍북로 210</t>
        </is>
      </c>
      <c r="AH150" s="0" t="n">
        <v>0</v>
      </c>
      <c r="AI150" s="0" t="n">
        <v>99</v>
      </c>
      <c r="AJ150" s="0" t="n">
        <v>34</v>
      </c>
      <c r="AK150" s="0" t="n">
        <v>202</v>
      </c>
      <c r="AL150" s="0" t="n">
        <v>2.08</v>
      </c>
    </row>
    <row r="151">
      <c r="A151" s="0" t="inlineStr">
        <is>
          <t>[덕풍동]</t>
        </is>
      </c>
      <c r="B151" s="0" t="n">
        <v>26345</v>
      </c>
      <c r="C151" s="0" t="n">
        <v>4</v>
      </c>
      <c r="D151" s="0" t="inlineStr">
        <is>
          <t>대명세라뷰</t>
        </is>
      </c>
      <c r="E151" s="0" t="inlineStr">
        <is>
          <t>2008.06.</t>
        </is>
      </c>
      <c r="F151" s="0" t="n">
        <v>97</v>
      </c>
      <c r="G151" s="0" t="n">
        <v>47.28</v>
      </c>
      <c r="H151" s="0" t="n">
        <v>156.33</v>
      </c>
      <c r="I151" s="0" t="n">
        <v>38.69</v>
      </c>
      <c r="J151" s="0" t="n">
        <v>127.93</v>
      </c>
      <c r="K151" s="0" t="n">
        <v>51</v>
      </c>
      <c r="T151" s="0" t="n">
        <v>4</v>
      </c>
      <c r="U151" s="0" t="n">
        <v>2</v>
      </c>
      <c r="V151" s="0" t="inlineStr">
        <is>
          <t>계단식</t>
        </is>
      </c>
      <c r="W151" s="0" t="n">
        <v>156</v>
      </c>
      <c r="X151" s="0" t="n">
        <v>4</v>
      </c>
      <c r="Y151" s="0" t="n">
        <v>4</v>
      </c>
      <c r="Z151" s="0" t="inlineStr">
        <is>
          <t>https://new.land.naver.com/complexes/26345?tab=detail&amp;rf=Y</t>
        </is>
      </c>
      <c r="AA151" s="0" t="inlineStr">
        <is>
          <t>경기도 하남시 덕풍동 746</t>
        </is>
      </c>
      <c r="AB151" s="0" t="inlineStr">
        <is>
          <t>경기도</t>
        </is>
      </c>
      <c r="AC151" s="0" t="inlineStr">
        <is>
          <t>하남시</t>
        </is>
      </c>
      <c r="AD151" s="0" t="inlineStr">
        <is>
          <t>덕풍동</t>
        </is>
      </c>
      <c r="AG151" s="0" t="inlineStr">
        <is>
          <t>경기도 하남시 덕풍북로 210</t>
        </is>
      </c>
      <c r="AH151" s="0" t="n">
        <v>0</v>
      </c>
      <c r="AI151" s="0" t="n">
        <v>99</v>
      </c>
      <c r="AJ151" s="0" t="n">
        <v>34</v>
      </c>
      <c r="AK151" s="0" t="n">
        <v>202</v>
      </c>
      <c r="AL151" s="0" t="n">
        <v>2.08</v>
      </c>
    </row>
    <row r="152">
      <c r="A152" s="0" t="inlineStr">
        <is>
          <t>[덕풍동]</t>
        </is>
      </c>
      <c r="B152" s="0" t="n">
        <v>26345</v>
      </c>
      <c r="C152" s="0" t="n">
        <v>5</v>
      </c>
      <c r="D152" s="0" t="inlineStr">
        <is>
          <t>대명세라뷰</t>
        </is>
      </c>
      <c r="E152" s="0" t="inlineStr">
        <is>
          <t>2008.06.</t>
        </is>
      </c>
      <c r="F152" s="0" t="n">
        <v>97</v>
      </c>
      <c r="G152" s="0" t="n">
        <v>50.92</v>
      </c>
      <c r="H152" s="0" t="n">
        <v>168.36</v>
      </c>
      <c r="I152" s="0" t="n">
        <v>41.83</v>
      </c>
      <c r="J152" s="0" t="n">
        <v>138.31</v>
      </c>
      <c r="K152" s="0" t="n">
        <v>8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168</v>
      </c>
      <c r="X152" s="0" t="n">
        <v>4</v>
      </c>
      <c r="Y152" s="0" t="n">
        <v>4</v>
      </c>
      <c r="Z152" s="0" t="inlineStr">
        <is>
          <t>https://new.land.naver.com/complexes/26345?tab=detail&amp;rf=Y</t>
        </is>
      </c>
      <c r="AA152" s="0" t="inlineStr">
        <is>
          <t>경기도 하남시 덕풍동 746</t>
        </is>
      </c>
      <c r="AB152" s="0" t="inlineStr">
        <is>
          <t>경기도</t>
        </is>
      </c>
      <c r="AC152" s="0" t="inlineStr">
        <is>
          <t>하남시</t>
        </is>
      </c>
      <c r="AD152" s="0" t="inlineStr">
        <is>
          <t>덕풍동</t>
        </is>
      </c>
      <c r="AG152" s="0" t="inlineStr">
        <is>
          <t>경기도 하남시 덕풍북로 210</t>
        </is>
      </c>
      <c r="AH152" s="0" t="n">
        <v>0</v>
      </c>
      <c r="AI152" s="0" t="n">
        <v>99</v>
      </c>
      <c r="AJ152" s="0" t="n">
        <v>34</v>
      </c>
      <c r="AK152" s="0" t="n">
        <v>202</v>
      </c>
      <c r="AL152" s="0" t="n">
        <v>2.08</v>
      </c>
    </row>
    <row r="153">
      <c r="A153" s="0" t="inlineStr">
        <is>
          <t>[덕풍동]</t>
        </is>
      </c>
      <c r="B153" s="0" t="n">
        <v>13239</v>
      </c>
      <c r="C153" s="0" t="n">
        <v>1</v>
      </c>
      <c r="D153" s="0" t="inlineStr">
        <is>
          <t>다일네오빌</t>
        </is>
      </c>
      <c r="E153" s="0" t="inlineStr">
        <is>
          <t>2001.04.</t>
        </is>
      </c>
      <c r="F153" s="0" t="n">
        <v>18</v>
      </c>
      <c r="G153" s="0" t="n">
        <v>42.47</v>
      </c>
      <c r="H153" s="0" t="n">
        <v>140.4</v>
      </c>
      <c r="I153" s="0" t="n">
        <v>30.89</v>
      </c>
      <c r="J153" s="0" t="n">
        <v>102.14</v>
      </c>
      <c r="K153" s="0" t="n">
        <v>1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140</v>
      </c>
      <c r="X153" s="0" t="n">
        <v>9</v>
      </c>
      <c r="Y153" s="0" t="n">
        <v>9</v>
      </c>
      <c r="Z153" s="0" t="inlineStr">
        <is>
          <t>https://new.land.naver.com/complexes/13239?tab=detail&amp;rf=Y</t>
        </is>
      </c>
      <c r="AA153" s="0" t="inlineStr">
        <is>
          <t>경기도 하남시 덕풍동 420-15</t>
        </is>
      </c>
      <c r="AB153" s="0" t="inlineStr">
        <is>
          <t>경기도</t>
        </is>
      </c>
      <c r="AC153" s="0" t="inlineStr">
        <is>
          <t>하남시</t>
        </is>
      </c>
      <c r="AD153" s="0" t="inlineStr">
        <is>
          <t>덕풍동</t>
        </is>
      </c>
      <c r="AG153" s="0" t="inlineStr">
        <is>
          <t>경기도 하남시 신평로 35-8</t>
        </is>
      </c>
      <c r="AH153" s="0" t="n">
        <v>0</v>
      </c>
      <c r="AI153" s="0" t="n">
        <v>282</v>
      </c>
      <c r="AJ153" s="0" t="n">
        <v>33</v>
      </c>
      <c r="AK153" s="0" t="n">
        <v>20</v>
      </c>
      <c r="AL153" s="0" t="n">
        <v>1.11</v>
      </c>
    </row>
    <row r="154">
      <c r="A154" s="0" t="inlineStr">
        <is>
          <t>[덕풍동]</t>
        </is>
      </c>
      <c r="B154" s="0" t="n">
        <v>13239</v>
      </c>
      <c r="C154" s="0" t="n">
        <v>2</v>
      </c>
      <c r="D154" s="0" t="inlineStr">
        <is>
          <t>다일네오빌</t>
        </is>
      </c>
      <c r="E154" s="0" t="inlineStr">
        <is>
          <t>2001.04.</t>
        </is>
      </c>
      <c r="F154" s="0" t="n">
        <v>18</v>
      </c>
      <c r="G154" s="0" t="n">
        <v>46.99</v>
      </c>
      <c r="H154" s="0" t="n">
        <v>155.34</v>
      </c>
      <c r="I154" s="0" t="n">
        <v>34.18</v>
      </c>
      <c r="J154" s="0" t="n">
        <v>113.01</v>
      </c>
      <c r="K154" s="0" t="n">
        <v>1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155</v>
      </c>
      <c r="X154" s="0" t="n">
        <v>9</v>
      </c>
      <c r="Y154" s="0" t="n">
        <v>9</v>
      </c>
      <c r="Z154" s="0" t="inlineStr">
        <is>
          <t>https://new.land.naver.com/complexes/13239?tab=detail&amp;rf=Y</t>
        </is>
      </c>
      <c r="AA154" s="0" t="inlineStr">
        <is>
          <t>경기도 하남시 덕풍동 420-15</t>
        </is>
      </c>
      <c r="AB154" s="0" t="inlineStr">
        <is>
          <t>경기도</t>
        </is>
      </c>
      <c r="AC154" s="0" t="inlineStr">
        <is>
          <t>하남시</t>
        </is>
      </c>
      <c r="AD154" s="0" t="inlineStr">
        <is>
          <t>덕풍동</t>
        </is>
      </c>
      <c r="AG154" s="0" t="inlineStr">
        <is>
          <t>경기도 하남시 신평로 35-8</t>
        </is>
      </c>
      <c r="AH154" s="0" t="n">
        <v>0</v>
      </c>
      <c r="AI154" s="0" t="n">
        <v>282</v>
      </c>
      <c r="AJ154" s="0" t="n">
        <v>33</v>
      </c>
      <c r="AK154" s="0" t="n">
        <v>20</v>
      </c>
      <c r="AL154" s="0" t="n">
        <v>1.11</v>
      </c>
    </row>
    <row r="155">
      <c r="A155" s="0" t="inlineStr">
        <is>
          <t>[덕풍동]</t>
        </is>
      </c>
      <c r="B155" s="0" t="n">
        <v>13239</v>
      </c>
      <c r="C155" s="0" t="n">
        <v>3</v>
      </c>
      <c r="D155" s="0" t="inlineStr">
        <is>
          <t>다일네오빌</t>
        </is>
      </c>
      <c r="E155" s="0" t="inlineStr">
        <is>
          <t>2001.04.</t>
        </is>
      </c>
      <c r="F155" s="0" t="n">
        <v>18</v>
      </c>
      <c r="G155" s="0" t="n">
        <v>48.58</v>
      </c>
      <c r="H155" s="0" t="n">
        <v>160.6</v>
      </c>
      <c r="I155" s="0" t="n">
        <v>35.34</v>
      </c>
      <c r="J155" s="0" t="n">
        <v>116.84</v>
      </c>
      <c r="K155" s="0" t="n">
        <v>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160</v>
      </c>
      <c r="X155" s="0" t="n">
        <v>9</v>
      </c>
      <c r="Y155" s="0" t="n">
        <v>9</v>
      </c>
      <c r="Z155" s="0" t="inlineStr">
        <is>
          <t>https://new.land.naver.com/complexes/13239?tab=detail&amp;rf=Y</t>
        </is>
      </c>
      <c r="AA155" s="0" t="inlineStr">
        <is>
          <t>경기도 하남시 덕풍동 420-15</t>
        </is>
      </c>
      <c r="AB155" s="0" t="inlineStr">
        <is>
          <t>경기도</t>
        </is>
      </c>
      <c r="AC155" s="0" t="inlineStr">
        <is>
          <t>하남시</t>
        </is>
      </c>
      <c r="AD155" s="0" t="inlineStr">
        <is>
          <t>덕풍동</t>
        </is>
      </c>
      <c r="AG155" s="0" t="inlineStr">
        <is>
          <t>경기도 하남시 신평로 35-8</t>
        </is>
      </c>
      <c r="AH155" s="0" t="n">
        <v>0</v>
      </c>
      <c r="AI155" s="0" t="n">
        <v>282</v>
      </c>
      <c r="AJ155" s="0" t="n">
        <v>33</v>
      </c>
      <c r="AK155" s="0" t="n">
        <v>20</v>
      </c>
      <c r="AL155" s="0" t="n">
        <v>1.11</v>
      </c>
    </row>
    <row r="156">
      <c r="A156" s="0" t="inlineStr">
        <is>
          <t>[덕풍동]</t>
        </is>
      </c>
      <c r="B156" s="0" t="n">
        <v>13239</v>
      </c>
      <c r="C156" s="0" t="n">
        <v>4</v>
      </c>
      <c r="D156" s="0" t="inlineStr">
        <is>
          <t>다일네오빌</t>
        </is>
      </c>
      <c r="E156" s="0" t="inlineStr">
        <is>
          <t>2001.04.</t>
        </is>
      </c>
      <c r="F156" s="0" t="n">
        <v>18</v>
      </c>
      <c r="G156" s="0" t="n">
        <v>53.55</v>
      </c>
      <c r="H156" s="0" t="n">
        <v>177.04</v>
      </c>
      <c r="I156" s="0" t="n">
        <v>38.96</v>
      </c>
      <c r="J156" s="0" t="n">
        <v>128.8</v>
      </c>
      <c r="K156" s="0" t="n">
        <v>8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177</v>
      </c>
      <c r="X156" s="0" t="n">
        <v>9</v>
      </c>
      <c r="Y156" s="0" t="n">
        <v>9</v>
      </c>
      <c r="Z156" s="0" t="inlineStr">
        <is>
          <t>https://new.land.naver.com/complexes/13239?tab=detail&amp;rf=Y</t>
        </is>
      </c>
      <c r="AA156" s="0" t="inlineStr">
        <is>
          <t>경기도 하남시 덕풍동 420-15</t>
        </is>
      </c>
      <c r="AB156" s="0" t="inlineStr">
        <is>
          <t>경기도</t>
        </is>
      </c>
      <c r="AC156" s="0" t="inlineStr">
        <is>
          <t>하남시</t>
        </is>
      </c>
      <c r="AD156" s="0" t="inlineStr">
        <is>
          <t>덕풍동</t>
        </is>
      </c>
      <c r="AG156" s="0" t="inlineStr">
        <is>
          <t>경기도 하남시 신평로 35-8</t>
        </is>
      </c>
      <c r="AH156" s="0" t="n">
        <v>0</v>
      </c>
      <c r="AI156" s="0" t="n">
        <v>282</v>
      </c>
      <c r="AJ156" s="0" t="n">
        <v>33</v>
      </c>
      <c r="AK156" s="0" t="n">
        <v>20</v>
      </c>
      <c r="AL156" s="0" t="n">
        <v>1.11</v>
      </c>
    </row>
    <row r="157">
      <c r="A157" s="0" t="inlineStr">
        <is>
          <t>[덕풍동]</t>
        </is>
      </c>
      <c r="B157" s="0" t="n">
        <v>108350</v>
      </c>
      <c r="C157" s="0" t="n">
        <v>1</v>
      </c>
      <c r="D157" s="0" t="inlineStr">
        <is>
          <t>하남더샵센트럴뷰</t>
        </is>
      </c>
      <c r="E157" s="0" t="inlineStr">
        <is>
          <t>2016.08.</t>
        </is>
      </c>
      <c r="F157" s="0" t="n">
        <v>672</v>
      </c>
      <c r="G157" s="0" t="n">
        <v>33.65</v>
      </c>
      <c r="H157" s="0" t="n">
        <v>111.27</v>
      </c>
      <c r="I157" s="0" t="n">
        <v>25.69</v>
      </c>
      <c r="J157" s="0" t="n">
        <v>84.94</v>
      </c>
      <c r="K157" s="0" t="n">
        <v>415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111A</t>
        </is>
      </c>
      <c r="X157" s="0" t="n">
        <v>19</v>
      </c>
      <c r="Y157" s="0" t="n">
        <v>10</v>
      </c>
      <c r="Z157" s="0" t="inlineStr">
        <is>
          <t>https://new.land.naver.com/complexes/108350?tab=detail&amp;rf=Y</t>
        </is>
      </c>
      <c r="AA157" s="0" t="inlineStr">
        <is>
          <t>경기도 하남시 덕풍동 946</t>
        </is>
      </c>
      <c r="AB157" s="0" t="inlineStr">
        <is>
          <t>경기도</t>
        </is>
      </c>
      <c r="AC157" s="0" t="inlineStr">
        <is>
          <t>하남시</t>
        </is>
      </c>
      <c r="AD157" s="0" t="inlineStr">
        <is>
          <t>덕풍동</t>
        </is>
      </c>
      <c r="AG157" s="0" t="inlineStr">
        <is>
          <t>경기도 하남시 하남대로 856</t>
        </is>
      </c>
      <c r="AH157" s="0" t="n">
        <v>0</v>
      </c>
      <c r="AI157" s="0" t="n">
        <v>249</v>
      </c>
      <c r="AJ157" s="0" t="n">
        <v>21</v>
      </c>
      <c r="AK157" s="0" t="n">
        <v>821</v>
      </c>
      <c r="AL157" s="0" t="n">
        <v>1.22</v>
      </c>
    </row>
    <row r="158">
      <c r="A158" s="0" t="inlineStr">
        <is>
          <t>[덕풍동]</t>
        </is>
      </c>
      <c r="B158" s="0" t="n">
        <v>108350</v>
      </c>
      <c r="C158" s="0" t="n">
        <v>2</v>
      </c>
      <c r="D158" s="0" t="inlineStr">
        <is>
          <t>하남더샵센트럴뷰</t>
        </is>
      </c>
      <c r="E158" s="0" t="inlineStr">
        <is>
          <t>2016.08.</t>
        </is>
      </c>
      <c r="F158" s="0" t="n">
        <v>672</v>
      </c>
      <c r="G158" s="0" t="n">
        <v>33.65</v>
      </c>
      <c r="H158" s="0" t="n">
        <v>111.27</v>
      </c>
      <c r="I158" s="0" t="n">
        <v>25.69</v>
      </c>
      <c r="J158" s="0" t="n">
        <v>84.94</v>
      </c>
      <c r="K158" s="0" t="n">
        <v>33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111D</t>
        </is>
      </c>
      <c r="X158" s="0" t="n">
        <v>19</v>
      </c>
      <c r="Y158" s="0" t="n">
        <v>10</v>
      </c>
      <c r="Z158" s="0" t="inlineStr">
        <is>
          <t>https://new.land.naver.com/complexes/108350?tab=detail&amp;rf=Y</t>
        </is>
      </c>
      <c r="AA158" s="0" t="inlineStr">
        <is>
          <t>경기도 하남시 덕풍동 946</t>
        </is>
      </c>
      <c r="AB158" s="0" t="inlineStr">
        <is>
          <t>경기도</t>
        </is>
      </c>
      <c r="AC158" s="0" t="inlineStr">
        <is>
          <t>하남시</t>
        </is>
      </c>
      <c r="AD158" s="0" t="inlineStr">
        <is>
          <t>덕풍동</t>
        </is>
      </c>
      <c r="AG158" s="0" t="inlineStr">
        <is>
          <t>경기도 하남시 하남대로 856</t>
        </is>
      </c>
      <c r="AH158" s="0" t="n">
        <v>0</v>
      </c>
      <c r="AI158" s="0" t="n">
        <v>249</v>
      </c>
      <c r="AJ158" s="0" t="n">
        <v>21</v>
      </c>
      <c r="AK158" s="0" t="n">
        <v>821</v>
      </c>
      <c r="AL158" s="0" t="n">
        <v>1.22</v>
      </c>
    </row>
    <row r="159">
      <c r="A159" s="0" t="inlineStr">
        <is>
          <t>[덕풍동]</t>
        </is>
      </c>
      <c r="B159" s="0" t="n">
        <v>108350</v>
      </c>
      <c r="C159" s="0" t="n">
        <v>3</v>
      </c>
      <c r="D159" s="0" t="inlineStr">
        <is>
          <t>하남더샵센트럴뷰</t>
        </is>
      </c>
      <c r="E159" s="0" t="inlineStr">
        <is>
          <t>2016.08.</t>
        </is>
      </c>
      <c r="F159" s="0" t="n">
        <v>672</v>
      </c>
      <c r="G159" s="0" t="n">
        <v>33.97</v>
      </c>
      <c r="H159" s="0" t="n">
        <v>112.31</v>
      </c>
      <c r="I159" s="0" t="n">
        <v>25.5</v>
      </c>
      <c r="J159" s="0" t="n">
        <v>84.3</v>
      </c>
      <c r="K159" s="0" t="n">
        <v>132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112B</t>
        </is>
      </c>
      <c r="X159" s="0" t="n">
        <v>19</v>
      </c>
      <c r="Y159" s="0" t="n">
        <v>10</v>
      </c>
      <c r="Z159" s="0" t="inlineStr">
        <is>
          <t>https://new.land.naver.com/complexes/108350?tab=detail&amp;rf=Y</t>
        </is>
      </c>
      <c r="AA159" s="0" t="inlineStr">
        <is>
          <t>경기도 하남시 덕풍동 946</t>
        </is>
      </c>
      <c r="AB159" s="0" t="inlineStr">
        <is>
          <t>경기도</t>
        </is>
      </c>
      <c r="AC159" s="0" t="inlineStr">
        <is>
          <t>하남시</t>
        </is>
      </c>
      <c r="AD159" s="0" t="inlineStr">
        <is>
          <t>덕풍동</t>
        </is>
      </c>
      <c r="AG159" s="0" t="inlineStr">
        <is>
          <t>경기도 하남시 하남대로 856</t>
        </is>
      </c>
      <c r="AH159" s="0" t="n">
        <v>0</v>
      </c>
      <c r="AI159" s="0" t="n">
        <v>249</v>
      </c>
      <c r="AJ159" s="0" t="n">
        <v>21</v>
      </c>
      <c r="AK159" s="0" t="n">
        <v>821</v>
      </c>
      <c r="AL159" s="0" t="n">
        <v>1.22</v>
      </c>
    </row>
    <row r="160">
      <c r="A160" s="0" t="inlineStr">
        <is>
          <t>[덕풍동]</t>
        </is>
      </c>
      <c r="B160" s="0" t="n">
        <v>108350</v>
      </c>
      <c r="C160" s="0" t="n">
        <v>4</v>
      </c>
      <c r="D160" s="0" t="inlineStr">
        <is>
          <t>하남더샵센트럴뷰</t>
        </is>
      </c>
      <c r="E160" s="0" t="inlineStr">
        <is>
          <t>2016.08.</t>
        </is>
      </c>
      <c r="F160" s="0" t="n">
        <v>672</v>
      </c>
      <c r="G160" s="0" t="n">
        <v>33.94</v>
      </c>
      <c r="H160" s="0" t="n">
        <v>112.2</v>
      </c>
      <c r="I160" s="0" t="n">
        <v>25.6</v>
      </c>
      <c r="J160" s="0" t="n">
        <v>84.64</v>
      </c>
      <c r="K160" s="0" t="n">
        <v>92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112C</t>
        </is>
      </c>
      <c r="X160" s="0" t="n">
        <v>19</v>
      </c>
      <c r="Y160" s="0" t="n">
        <v>10</v>
      </c>
      <c r="Z160" s="0" t="inlineStr">
        <is>
          <t>https://new.land.naver.com/complexes/108350?tab=detail&amp;rf=Y</t>
        </is>
      </c>
      <c r="AA160" s="0" t="inlineStr">
        <is>
          <t>경기도 하남시 덕풍동 946</t>
        </is>
      </c>
      <c r="AB160" s="0" t="inlineStr">
        <is>
          <t>경기도</t>
        </is>
      </c>
      <c r="AC160" s="0" t="inlineStr">
        <is>
          <t>하남시</t>
        </is>
      </c>
      <c r="AD160" s="0" t="inlineStr">
        <is>
          <t>덕풍동</t>
        </is>
      </c>
      <c r="AG160" s="0" t="inlineStr">
        <is>
          <t>경기도 하남시 하남대로 856</t>
        </is>
      </c>
      <c r="AH160" s="0" t="n">
        <v>0</v>
      </c>
      <c r="AI160" s="0" t="n">
        <v>249</v>
      </c>
      <c r="AJ160" s="0" t="n">
        <v>21</v>
      </c>
      <c r="AK160" s="0" t="n">
        <v>821</v>
      </c>
      <c r="AL160" s="0" t="n">
        <v>1.22</v>
      </c>
    </row>
    <row r="161">
      <c r="A161" s="0" t="inlineStr">
        <is>
          <t>[덕풍동]</t>
        </is>
      </c>
      <c r="B161" s="0" t="n">
        <v>103326</v>
      </c>
      <c r="C161" s="0" t="n">
        <v>1</v>
      </c>
      <c r="D161" s="0" t="inlineStr">
        <is>
          <t>한솔파로스</t>
        </is>
      </c>
      <c r="E161" s="0" t="inlineStr">
        <is>
          <t>2010.03.</t>
        </is>
      </c>
      <c r="F161" s="0" t="n">
        <v>44</v>
      </c>
      <c r="G161" s="0" t="n">
        <v>19.11</v>
      </c>
      <c r="H161" s="0" t="n">
        <v>63.19</v>
      </c>
      <c r="I161" s="0" t="n">
        <v>15</v>
      </c>
      <c r="J161" s="0" t="n">
        <v>49.59</v>
      </c>
      <c r="K161" s="0" t="n">
        <v>1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63A</t>
        </is>
      </c>
      <c r="X161" s="0" t="n">
        <v>9</v>
      </c>
      <c r="Y161" s="0" t="n">
        <v>9</v>
      </c>
      <c r="Z161" s="0" t="inlineStr">
        <is>
          <t>https://new.land.naver.com/complexes/103326?tab=detail&amp;rf=Y</t>
        </is>
      </c>
      <c r="AA161" s="0" t="inlineStr">
        <is>
          <t>경기도 하남시 덕풍동 369-4</t>
        </is>
      </c>
      <c r="AB161" s="0" t="inlineStr">
        <is>
          <t>경기도</t>
        </is>
      </c>
      <c r="AC161" s="0" t="inlineStr">
        <is>
          <t>하남시</t>
        </is>
      </c>
      <c r="AD161" s="0" t="inlineStr">
        <is>
          <t>덕풍동</t>
        </is>
      </c>
      <c r="AG161" s="0" t="inlineStr">
        <is>
          <t>경기도 하남시 수리남로 26</t>
        </is>
      </c>
      <c r="AH161" s="0" t="n">
        <v>0</v>
      </c>
      <c r="AI161" s="0" t="n">
        <v>236</v>
      </c>
      <c r="AJ161" s="0" t="n">
        <v>29</v>
      </c>
      <c r="AK161" s="0" t="n">
        <v>44</v>
      </c>
      <c r="AL161" s="0" t="n">
        <v>1</v>
      </c>
    </row>
    <row r="162">
      <c r="A162" s="0" t="inlineStr">
        <is>
          <t>[덕풍동]</t>
        </is>
      </c>
      <c r="B162" s="0" t="n">
        <v>103326</v>
      </c>
      <c r="C162" s="0" t="n">
        <v>2</v>
      </c>
      <c r="D162" s="0" t="inlineStr">
        <is>
          <t>한솔파로스</t>
        </is>
      </c>
      <c r="E162" s="0" t="inlineStr">
        <is>
          <t>2010.03.</t>
        </is>
      </c>
      <c r="F162" s="0" t="n">
        <v>44</v>
      </c>
      <c r="G162" s="0" t="n">
        <v>19.47</v>
      </c>
      <c r="H162" s="0" t="n">
        <v>64.39</v>
      </c>
      <c r="I162" s="0" t="n">
        <v>15.17</v>
      </c>
      <c r="J162" s="0" t="n">
        <v>50.15</v>
      </c>
      <c r="K162" s="0" t="n">
        <v>2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64B</t>
        </is>
      </c>
      <c r="X162" s="0" t="n">
        <v>9</v>
      </c>
      <c r="Y162" s="0" t="n">
        <v>9</v>
      </c>
      <c r="Z162" s="0" t="inlineStr">
        <is>
          <t>https://new.land.naver.com/complexes/103326?tab=detail&amp;rf=Y</t>
        </is>
      </c>
      <c r="AA162" s="0" t="inlineStr">
        <is>
          <t>경기도 하남시 덕풍동 369-4</t>
        </is>
      </c>
      <c r="AB162" s="0" t="inlineStr">
        <is>
          <t>경기도</t>
        </is>
      </c>
      <c r="AC162" s="0" t="inlineStr">
        <is>
          <t>하남시</t>
        </is>
      </c>
      <c r="AD162" s="0" t="inlineStr">
        <is>
          <t>덕풍동</t>
        </is>
      </c>
      <c r="AG162" s="0" t="inlineStr">
        <is>
          <t>경기도 하남시 수리남로 26</t>
        </is>
      </c>
      <c r="AH162" s="0" t="n">
        <v>0</v>
      </c>
      <c r="AI162" s="0" t="n">
        <v>236</v>
      </c>
      <c r="AJ162" s="0" t="n">
        <v>29</v>
      </c>
      <c r="AK162" s="0" t="n">
        <v>44</v>
      </c>
      <c r="AL162" s="0" t="n">
        <v>1</v>
      </c>
    </row>
    <row r="163">
      <c r="A163" s="0" t="inlineStr">
        <is>
          <t>[덕풍동]</t>
        </is>
      </c>
      <c r="B163" s="0" t="n">
        <v>103326</v>
      </c>
      <c r="C163" s="0" t="n">
        <v>3</v>
      </c>
      <c r="D163" s="0" t="inlineStr">
        <is>
          <t>한솔파로스</t>
        </is>
      </c>
      <c r="E163" s="0" t="inlineStr">
        <is>
          <t>2010.03.</t>
        </is>
      </c>
      <c r="F163" s="0" t="n">
        <v>44</v>
      </c>
      <c r="G163" s="0" t="n">
        <v>21.11</v>
      </c>
      <c r="H163" s="0" t="n">
        <v>69.81</v>
      </c>
      <c r="I163" s="0" t="n">
        <v>16.51</v>
      </c>
      <c r="J163" s="0" t="n">
        <v>54.6</v>
      </c>
      <c r="K163" s="0" t="n">
        <v>1</v>
      </c>
      <c r="T163" s="0" t="n">
        <v>2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9</v>
      </c>
      <c r="Y163" s="0" t="n">
        <v>9</v>
      </c>
      <c r="Z163" s="0" t="inlineStr">
        <is>
          <t>https://new.land.naver.com/complexes/103326?tab=detail&amp;rf=Y</t>
        </is>
      </c>
      <c r="AA163" s="0" t="inlineStr">
        <is>
          <t>경기도 하남시 덕풍동 369-4</t>
        </is>
      </c>
      <c r="AB163" s="0" t="inlineStr">
        <is>
          <t>경기도</t>
        </is>
      </c>
      <c r="AC163" s="0" t="inlineStr">
        <is>
          <t>하남시</t>
        </is>
      </c>
      <c r="AD163" s="0" t="inlineStr">
        <is>
          <t>덕풍동</t>
        </is>
      </c>
      <c r="AG163" s="0" t="inlineStr">
        <is>
          <t>경기도 하남시 수리남로 26</t>
        </is>
      </c>
      <c r="AH163" s="0" t="n">
        <v>0</v>
      </c>
      <c r="AI163" s="0" t="n">
        <v>236</v>
      </c>
      <c r="AJ163" s="0" t="n">
        <v>29</v>
      </c>
      <c r="AK163" s="0" t="n">
        <v>44</v>
      </c>
      <c r="AL163" s="0" t="n">
        <v>1</v>
      </c>
    </row>
    <row r="164">
      <c r="A164" s="0" t="inlineStr">
        <is>
          <t>[덕풍동]</t>
        </is>
      </c>
      <c r="B164" s="0" t="n">
        <v>103326</v>
      </c>
      <c r="C164" s="0" t="n">
        <v>4</v>
      </c>
      <c r="D164" s="0" t="inlineStr">
        <is>
          <t>한솔파로스</t>
        </is>
      </c>
      <c r="E164" s="0" t="inlineStr">
        <is>
          <t>2010.03.</t>
        </is>
      </c>
      <c r="F164" s="0" t="n">
        <v>44</v>
      </c>
      <c r="G164" s="0" t="n">
        <v>23.39</v>
      </c>
      <c r="H164" s="0" t="n">
        <v>77.34999999999999</v>
      </c>
      <c r="I164" s="0" t="n">
        <v>18.41</v>
      </c>
      <c r="J164" s="0" t="n">
        <v>60.88</v>
      </c>
      <c r="K164" s="0" t="n">
        <v>1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77</v>
      </c>
      <c r="X164" s="0" t="n">
        <v>9</v>
      </c>
      <c r="Y164" s="0" t="n">
        <v>9</v>
      </c>
      <c r="Z164" s="0" t="inlineStr">
        <is>
          <t>https://new.land.naver.com/complexes/103326?tab=detail&amp;rf=Y</t>
        </is>
      </c>
      <c r="AA164" s="0" t="inlineStr">
        <is>
          <t>경기도 하남시 덕풍동 369-4</t>
        </is>
      </c>
      <c r="AB164" s="0" t="inlineStr">
        <is>
          <t>경기도</t>
        </is>
      </c>
      <c r="AC164" s="0" t="inlineStr">
        <is>
          <t>하남시</t>
        </is>
      </c>
      <c r="AD164" s="0" t="inlineStr">
        <is>
          <t>덕풍동</t>
        </is>
      </c>
      <c r="AG164" s="0" t="inlineStr">
        <is>
          <t>경기도 하남시 수리남로 26</t>
        </is>
      </c>
      <c r="AH164" s="0" t="n">
        <v>0</v>
      </c>
      <c r="AI164" s="0" t="n">
        <v>236</v>
      </c>
      <c r="AJ164" s="0" t="n">
        <v>29</v>
      </c>
      <c r="AK164" s="0" t="n">
        <v>44</v>
      </c>
      <c r="AL164" s="0" t="n">
        <v>1</v>
      </c>
    </row>
    <row r="165">
      <c r="A165" s="0" t="inlineStr">
        <is>
          <t>[덕풍동]</t>
        </is>
      </c>
      <c r="B165" s="0" t="n">
        <v>103326</v>
      </c>
      <c r="C165" s="0" t="n">
        <v>5</v>
      </c>
      <c r="D165" s="0" t="inlineStr">
        <is>
          <t>한솔파로스</t>
        </is>
      </c>
      <c r="E165" s="0" t="inlineStr">
        <is>
          <t>2010.03.</t>
        </is>
      </c>
      <c r="F165" s="0" t="n">
        <v>44</v>
      </c>
      <c r="G165" s="0" t="n">
        <v>25.7</v>
      </c>
      <c r="H165" s="0" t="n">
        <v>84.98</v>
      </c>
      <c r="I165" s="0" t="n">
        <v>20.29</v>
      </c>
      <c r="J165" s="0" t="n">
        <v>67.09999999999999</v>
      </c>
      <c r="K165" s="0" t="n">
        <v>7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84</v>
      </c>
      <c r="X165" s="0" t="n">
        <v>9</v>
      </c>
      <c r="Y165" s="0" t="n">
        <v>9</v>
      </c>
      <c r="Z165" s="0" t="inlineStr">
        <is>
          <t>https://new.land.naver.com/complexes/103326?tab=detail&amp;rf=Y</t>
        </is>
      </c>
      <c r="AA165" s="0" t="inlineStr">
        <is>
          <t>경기도 하남시 덕풍동 369-4</t>
        </is>
      </c>
      <c r="AB165" s="0" t="inlineStr">
        <is>
          <t>경기도</t>
        </is>
      </c>
      <c r="AC165" s="0" t="inlineStr">
        <is>
          <t>하남시</t>
        </is>
      </c>
      <c r="AD165" s="0" t="inlineStr">
        <is>
          <t>덕풍동</t>
        </is>
      </c>
      <c r="AG165" s="0" t="inlineStr">
        <is>
          <t>경기도 하남시 수리남로 26</t>
        </is>
      </c>
      <c r="AH165" s="0" t="n">
        <v>0</v>
      </c>
      <c r="AI165" s="0" t="n">
        <v>236</v>
      </c>
      <c r="AJ165" s="0" t="n">
        <v>29</v>
      </c>
      <c r="AK165" s="0" t="n">
        <v>44</v>
      </c>
      <c r="AL165" s="0" t="n">
        <v>1</v>
      </c>
    </row>
    <row r="166">
      <c r="A166" s="0" t="inlineStr">
        <is>
          <t>[덕풍동]</t>
        </is>
      </c>
      <c r="B166" s="0" t="n">
        <v>103326</v>
      </c>
      <c r="C166" s="0" t="n">
        <v>6</v>
      </c>
      <c r="D166" s="0" t="inlineStr">
        <is>
          <t>한솔파로스</t>
        </is>
      </c>
      <c r="E166" s="0" t="inlineStr">
        <is>
          <t>2010.03.</t>
        </is>
      </c>
      <c r="F166" s="0" t="n">
        <v>44</v>
      </c>
      <c r="G166" s="0" t="n">
        <v>26.91</v>
      </c>
      <c r="H166" s="0" t="n">
        <v>88.95999999999999</v>
      </c>
      <c r="I166" s="0" t="n">
        <v>21.31</v>
      </c>
      <c r="J166" s="0" t="n">
        <v>70.45</v>
      </c>
      <c r="K166" s="0" t="n">
        <v>7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88</v>
      </c>
      <c r="X166" s="0" t="n">
        <v>9</v>
      </c>
      <c r="Y166" s="0" t="n">
        <v>9</v>
      </c>
      <c r="Z166" s="0" t="inlineStr">
        <is>
          <t>https://new.land.naver.com/complexes/103326?tab=detail&amp;rf=Y</t>
        </is>
      </c>
      <c r="AA166" s="0" t="inlineStr">
        <is>
          <t>경기도 하남시 덕풍동 369-4</t>
        </is>
      </c>
      <c r="AB166" s="0" t="inlineStr">
        <is>
          <t>경기도</t>
        </is>
      </c>
      <c r="AC166" s="0" t="inlineStr">
        <is>
          <t>하남시</t>
        </is>
      </c>
      <c r="AD166" s="0" t="inlineStr">
        <is>
          <t>덕풍동</t>
        </is>
      </c>
      <c r="AG166" s="0" t="inlineStr">
        <is>
          <t>경기도 하남시 수리남로 26</t>
        </is>
      </c>
      <c r="AH166" s="0" t="n">
        <v>0</v>
      </c>
      <c r="AI166" s="0" t="n">
        <v>236</v>
      </c>
      <c r="AJ166" s="0" t="n">
        <v>29</v>
      </c>
      <c r="AK166" s="0" t="n">
        <v>44</v>
      </c>
      <c r="AL166" s="0" t="n">
        <v>1</v>
      </c>
    </row>
    <row r="167">
      <c r="A167" s="0" t="inlineStr">
        <is>
          <t>[덕풍동]</t>
        </is>
      </c>
      <c r="B167" s="0" t="n">
        <v>103326</v>
      </c>
      <c r="C167" s="0" t="n">
        <v>7</v>
      </c>
      <c r="D167" s="0" t="inlineStr">
        <is>
          <t>한솔파로스</t>
        </is>
      </c>
      <c r="E167" s="0" t="inlineStr">
        <is>
          <t>2010.03.</t>
        </is>
      </c>
      <c r="F167" s="0" t="n">
        <v>44</v>
      </c>
      <c r="G167" s="0" t="n">
        <v>28.1</v>
      </c>
      <c r="H167" s="0" t="n">
        <v>92.91</v>
      </c>
      <c r="I167" s="0" t="n">
        <v>22.34</v>
      </c>
      <c r="J167" s="0" t="n">
        <v>73.87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92</v>
      </c>
      <c r="X167" s="0" t="n">
        <v>9</v>
      </c>
      <c r="Y167" s="0" t="n">
        <v>9</v>
      </c>
      <c r="Z167" s="0" t="inlineStr">
        <is>
          <t>https://new.land.naver.com/complexes/103326?tab=detail&amp;rf=Y</t>
        </is>
      </c>
      <c r="AA167" s="0" t="inlineStr">
        <is>
          <t>경기도 하남시 덕풍동 369-4</t>
        </is>
      </c>
      <c r="AB167" s="0" t="inlineStr">
        <is>
          <t>경기도</t>
        </is>
      </c>
      <c r="AC167" s="0" t="inlineStr">
        <is>
          <t>하남시</t>
        </is>
      </c>
      <c r="AD167" s="0" t="inlineStr">
        <is>
          <t>덕풍동</t>
        </is>
      </c>
      <c r="AG167" s="0" t="inlineStr">
        <is>
          <t>경기도 하남시 수리남로 26</t>
        </is>
      </c>
      <c r="AH167" s="0" t="n">
        <v>0</v>
      </c>
      <c r="AI167" s="0" t="n">
        <v>236</v>
      </c>
      <c r="AJ167" s="0" t="n">
        <v>29</v>
      </c>
      <c r="AK167" s="0" t="n">
        <v>44</v>
      </c>
      <c r="AL167" s="0" t="n">
        <v>1</v>
      </c>
    </row>
    <row r="168">
      <c r="A168" s="0" t="inlineStr">
        <is>
          <t>[덕풍동]</t>
        </is>
      </c>
      <c r="B168" s="0" t="n">
        <v>103326</v>
      </c>
      <c r="C168" s="0" t="n">
        <v>8</v>
      </c>
      <c r="D168" s="0" t="inlineStr">
        <is>
          <t>한솔파로스</t>
        </is>
      </c>
      <c r="E168" s="0" t="inlineStr">
        <is>
          <t>2010.03.</t>
        </is>
      </c>
      <c r="F168" s="0" t="n">
        <v>44</v>
      </c>
      <c r="G168" s="0" t="n">
        <v>28.7</v>
      </c>
      <c r="H168" s="0" t="n">
        <v>94.89</v>
      </c>
      <c r="I168" s="0" t="n">
        <v>22.87</v>
      </c>
      <c r="J168" s="0" t="n">
        <v>75.62</v>
      </c>
      <c r="K168" s="0" t="n">
        <v>2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94B</t>
        </is>
      </c>
      <c r="X168" s="0" t="n">
        <v>9</v>
      </c>
      <c r="Y168" s="0" t="n">
        <v>9</v>
      </c>
      <c r="Z168" s="0" t="inlineStr">
        <is>
          <t>https://new.land.naver.com/complexes/103326?tab=detail&amp;rf=Y</t>
        </is>
      </c>
      <c r="AA168" s="0" t="inlineStr">
        <is>
          <t>경기도 하남시 덕풍동 369-4</t>
        </is>
      </c>
      <c r="AB168" s="0" t="inlineStr">
        <is>
          <t>경기도</t>
        </is>
      </c>
      <c r="AC168" s="0" t="inlineStr">
        <is>
          <t>하남시</t>
        </is>
      </c>
      <c r="AD168" s="0" t="inlineStr">
        <is>
          <t>덕풍동</t>
        </is>
      </c>
      <c r="AG168" s="0" t="inlineStr">
        <is>
          <t>경기도 하남시 수리남로 26</t>
        </is>
      </c>
      <c r="AH168" s="0" t="n">
        <v>0</v>
      </c>
      <c r="AI168" s="0" t="n">
        <v>236</v>
      </c>
      <c r="AJ168" s="0" t="n">
        <v>29</v>
      </c>
      <c r="AK168" s="0" t="n">
        <v>44</v>
      </c>
      <c r="AL168" s="0" t="n">
        <v>1</v>
      </c>
    </row>
    <row r="169">
      <c r="A169" s="0" t="inlineStr">
        <is>
          <t>[덕풍동]</t>
        </is>
      </c>
      <c r="B169" s="0" t="n">
        <v>103326</v>
      </c>
      <c r="C169" s="0" t="n">
        <v>9</v>
      </c>
      <c r="D169" s="0" t="inlineStr">
        <is>
          <t>한솔파로스</t>
        </is>
      </c>
      <c r="E169" s="0" t="inlineStr">
        <is>
          <t>2010.03.</t>
        </is>
      </c>
      <c r="F169" s="0" t="n">
        <v>44</v>
      </c>
      <c r="G169" s="0" t="n">
        <v>28.65</v>
      </c>
      <c r="H169" s="0" t="n">
        <v>94.73</v>
      </c>
      <c r="I169" s="0" t="n">
        <v>22.74</v>
      </c>
      <c r="J169" s="0" t="n">
        <v>75.19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94A</t>
        </is>
      </c>
      <c r="X169" s="0" t="n">
        <v>9</v>
      </c>
      <c r="Y169" s="0" t="n">
        <v>9</v>
      </c>
      <c r="Z169" s="0" t="inlineStr">
        <is>
          <t>https://new.land.naver.com/complexes/103326?tab=detail&amp;rf=Y</t>
        </is>
      </c>
      <c r="AA169" s="0" t="inlineStr">
        <is>
          <t>경기도 하남시 덕풍동 369-4</t>
        </is>
      </c>
      <c r="AB169" s="0" t="inlineStr">
        <is>
          <t>경기도</t>
        </is>
      </c>
      <c r="AC169" s="0" t="inlineStr">
        <is>
          <t>하남시</t>
        </is>
      </c>
      <c r="AD169" s="0" t="inlineStr">
        <is>
          <t>덕풍동</t>
        </is>
      </c>
      <c r="AG169" s="0" t="inlineStr">
        <is>
          <t>경기도 하남시 수리남로 26</t>
        </is>
      </c>
      <c r="AH169" s="0" t="n">
        <v>0</v>
      </c>
      <c r="AI169" s="0" t="n">
        <v>236</v>
      </c>
      <c r="AJ169" s="0" t="n">
        <v>29</v>
      </c>
      <c r="AK169" s="0" t="n">
        <v>44</v>
      </c>
      <c r="AL169" s="0" t="n">
        <v>1</v>
      </c>
    </row>
    <row r="170">
      <c r="A170" s="0" t="inlineStr">
        <is>
          <t>[덕풍동]</t>
        </is>
      </c>
      <c r="B170" s="0" t="n">
        <v>103326</v>
      </c>
      <c r="C170" s="0" t="n">
        <v>10</v>
      </c>
      <c r="D170" s="0" t="inlineStr">
        <is>
          <t>한솔파로스</t>
        </is>
      </c>
      <c r="E170" s="0" t="inlineStr">
        <is>
          <t>2010.03.</t>
        </is>
      </c>
      <c r="F170" s="0" t="n">
        <v>44</v>
      </c>
      <c r="G170" s="0" t="n">
        <v>31.15</v>
      </c>
      <c r="H170" s="0" t="n">
        <v>102.98</v>
      </c>
      <c r="I170" s="0" t="n">
        <v>24.68</v>
      </c>
      <c r="J170" s="0" t="n">
        <v>81.59999999999999</v>
      </c>
      <c r="K170" s="0" t="n">
        <v>13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102</v>
      </c>
      <c r="X170" s="0" t="n">
        <v>9</v>
      </c>
      <c r="Y170" s="0" t="n">
        <v>9</v>
      </c>
      <c r="Z170" s="0" t="inlineStr">
        <is>
          <t>https://new.land.naver.com/complexes/103326?tab=detail&amp;rf=Y</t>
        </is>
      </c>
      <c r="AA170" s="0" t="inlineStr">
        <is>
          <t>경기도 하남시 덕풍동 369-4</t>
        </is>
      </c>
      <c r="AB170" s="0" t="inlineStr">
        <is>
          <t>경기도</t>
        </is>
      </c>
      <c r="AC170" s="0" t="inlineStr">
        <is>
          <t>하남시</t>
        </is>
      </c>
      <c r="AD170" s="0" t="inlineStr">
        <is>
          <t>덕풍동</t>
        </is>
      </c>
      <c r="AG170" s="0" t="inlineStr">
        <is>
          <t>경기도 하남시 수리남로 26</t>
        </is>
      </c>
      <c r="AH170" s="0" t="n">
        <v>0</v>
      </c>
      <c r="AI170" s="0" t="n">
        <v>236</v>
      </c>
      <c r="AJ170" s="0" t="n">
        <v>29</v>
      </c>
      <c r="AK170" s="0" t="n">
        <v>44</v>
      </c>
      <c r="AL170" s="0" t="n">
        <v>1</v>
      </c>
    </row>
    <row r="171">
      <c r="A171" s="0" t="inlineStr">
        <is>
          <t>[덕풍동]</t>
        </is>
      </c>
      <c r="B171" s="0" t="n">
        <v>103326</v>
      </c>
      <c r="C171" s="0" t="n">
        <v>11</v>
      </c>
      <c r="D171" s="0" t="inlineStr">
        <is>
          <t>한솔파로스</t>
        </is>
      </c>
      <c r="E171" s="0" t="inlineStr">
        <is>
          <t>2010.03.</t>
        </is>
      </c>
      <c r="F171" s="0" t="n">
        <v>44</v>
      </c>
      <c r="G171" s="0" t="n">
        <v>32.08</v>
      </c>
      <c r="H171" s="0" t="n">
        <v>106.05</v>
      </c>
      <c r="I171" s="0" t="n">
        <v>25.7</v>
      </c>
      <c r="J171" s="0" t="n">
        <v>84.98</v>
      </c>
      <c r="K171" s="0" t="n">
        <v>8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106</v>
      </c>
      <c r="X171" s="0" t="n">
        <v>9</v>
      </c>
      <c r="Y171" s="0" t="n">
        <v>9</v>
      </c>
      <c r="Z171" s="0" t="inlineStr">
        <is>
          <t>https://new.land.naver.com/complexes/103326?tab=detail&amp;rf=Y</t>
        </is>
      </c>
      <c r="AA171" s="0" t="inlineStr">
        <is>
          <t>경기도 하남시 덕풍동 369-4</t>
        </is>
      </c>
      <c r="AB171" s="0" t="inlineStr">
        <is>
          <t>경기도</t>
        </is>
      </c>
      <c r="AC171" s="0" t="inlineStr">
        <is>
          <t>하남시</t>
        </is>
      </c>
      <c r="AD171" s="0" t="inlineStr">
        <is>
          <t>덕풍동</t>
        </is>
      </c>
      <c r="AG171" s="0" t="inlineStr">
        <is>
          <t>경기도 하남시 수리남로 26</t>
        </is>
      </c>
      <c r="AH171" s="0" t="n">
        <v>0</v>
      </c>
      <c r="AI171" s="0" t="n">
        <v>236</v>
      </c>
      <c r="AJ171" s="0" t="n">
        <v>29</v>
      </c>
      <c r="AK171" s="0" t="n">
        <v>44</v>
      </c>
      <c r="AL171" s="0" t="n">
        <v>1</v>
      </c>
    </row>
    <row r="172">
      <c r="A172" s="0" t="inlineStr">
        <is>
          <t>[덕풍동]</t>
        </is>
      </c>
      <c r="B172" s="0" t="n">
        <v>10204</v>
      </c>
      <c r="C172" s="0" t="n">
        <v>1</v>
      </c>
      <c r="D172" s="0" t="inlineStr">
        <is>
          <t>하남한솔솔파크</t>
        </is>
      </c>
      <c r="E172" s="0" t="inlineStr">
        <is>
          <t>2006.06.</t>
        </is>
      </c>
      <c r="F172" s="0" t="n">
        <v>616</v>
      </c>
      <c r="G172" s="0" t="n">
        <v>33.17</v>
      </c>
      <c r="H172" s="0" t="n">
        <v>109.67</v>
      </c>
      <c r="I172" s="0" t="n">
        <v>25.7</v>
      </c>
      <c r="J172" s="0" t="n">
        <v>84.98999999999999</v>
      </c>
      <c r="K172" s="0" t="n">
        <v>597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25</v>
      </c>
      <c r="Y172" s="0" t="n">
        <v>13</v>
      </c>
      <c r="Z172" s="0" t="inlineStr">
        <is>
          <t>https://new.land.naver.com/complexes/10204?tab=detail&amp;rf=Y</t>
        </is>
      </c>
      <c r="AA172" s="0" t="inlineStr">
        <is>
          <t>경기도 하남시 덕풍동 692</t>
        </is>
      </c>
      <c r="AB172" s="0" t="inlineStr">
        <is>
          <t>경기도</t>
        </is>
      </c>
      <c r="AC172" s="0" t="inlineStr">
        <is>
          <t>하남시</t>
        </is>
      </c>
      <c r="AD172" s="0" t="inlineStr">
        <is>
          <t>덕풍동</t>
        </is>
      </c>
      <c r="AG172" s="0" t="inlineStr">
        <is>
          <t>경기도 하남시 하남대로887번길 25</t>
        </is>
      </c>
      <c r="AH172" s="0" t="n">
        <v>0</v>
      </c>
      <c r="AI172" s="0" t="n">
        <v>307</v>
      </c>
      <c r="AJ172" s="0" t="n">
        <v>20</v>
      </c>
      <c r="AK172" s="0" t="n">
        <v>644</v>
      </c>
      <c r="AL172" s="0" t="n">
        <v>1.05</v>
      </c>
    </row>
    <row r="173">
      <c r="A173" s="0" t="inlineStr">
        <is>
          <t>[덕풍동]</t>
        </is>
      </c>
      <c r="B173" s="0" t="n">
        <v>10204</v>
      </c>
      <c r="C173" s="0" t="n">
        <v>2</v>
      </c>
      <c r="D173" s="0" t="inlineStr">
        <is>
          <t>하남한솔솔파크</t>
        </is>
      </c>
      <c r="E173" s="0" t="inlineStr">
        <is>
          <t>2006.06.</t>
        </is>
      </c>
      <c r="F173" s="0" t="n">
        <v>616</v>
      </c>
      <c r="G173" s="0" t="n">
        <v>44.03</v>
      </c>
      <c r="H173" s="0" t="n">
        <v>145.56</v>
      </c>
      <c r="I173" s="0" t="n">
        <v>34.99</v>
      </c>
      <c r="J173" s="0" t="n">
        <v>115.69</v>
      </c>
      <c r="K173" s="0" t="n">
        <v>19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145</v>
      </c>
      <c r="X173" s="0" t="n">
        <v>25</v>
      </c>
      <c r="Y173" s="0" t="n">
        <v>13</v>
      </c>
      <c r="Z173" s="0" t="inlineStr">
        <is>
          <t>https://new.land.naver.com/complexes/10204?tab=detail&amp;rf=Y</t>
        </is>
      </c>
      <c r="AA173" s="0" t="inlineStr">
        <is>
          <t>경기도 하남시 덕풍동 692</t>
        </is>
      </c>
      <c r="AB173" s="0" t="inlineStr">
        <is>
          <t>경기도</t>
        </is>
      </c>
      <c r="AC173" s="0" t="inlineStr">
        <is>
          <t>하남시</t>
        </is>
      </c>
      <c r="AD173" s="0" t="inlineStr">
        <is>
          <t>덕풍동</t>
        </is>
      </c>
      <c r="AG173" s="0" t="inlineStr">
        <is>
          <t>경기도 하남시 하남대로887번길 25</t>
        </is>
      </c>
      <c r="AH173" s="0" t="n">
        <v>0</v>
      </c>
      <c r="AI173" s="0" t="n">
        <v>307</v>
      </c>
      <c r="AJ173" s="0" t="n">
        <v>20</v>
      </c>
      <c r="AK173" s="0" t="n">
        <v>644</v>
      </c>
      <c r="AL173" s="0" t="n">
        <v>1.05</v>
      </c>
    </row>
    <row r="174">
      <c r="A174" s="0" t="inlineStr">
        <is>
          <t>[덕풍동]</t>
        </is>
      </c>
      <c r="B174" s="0" t="n">
        <v>24937</v>
      </c>
      <c r="C174" s="0" t="n">
        <v>1</v>
      </c>
      <c r="D174" s="0" t="inlineStr">
        <is>
          <t>동원베네스트</t>
        </is>
      </c>
      <c r="E174" s="0" t="inlineStr">
        <is>
          <t>2008.05.</t>
        </is>
      </c>
      <c r="F174" s="0" t="n">
        <v>217</v>
      </c>
      <c r="G174" s="0" t="n">
        <v>32.69</v>
      </c>
      <c r="H174" s="0" t="n">
        <v>108.08</v>
      </c>
      <c r="I174" s="0" t="n">
        <v>25.7</v>
      </c>
      <c r="J174" s="0" t="n">
        <v>84.95999999999999</v>
      </c>
      <c r="K174" s="0" t="n">
        <v>217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108</v>
      </c>
      <c r="X174" s="0" t="n">
        <v>15</v>
      </c>
      <c r="Y174" s="0" t="n">
        <v>9</v>
      </c>
      <c r="Z174" s="0" t="inlineStr">
        <is>
          <t>https://new.land.naver.com/complexes/24937?tab=detail&amp;rf=Y</t>
        </is>
      </c>
      <c r="AA174" s="0" t="inlineStr">
        <is>
          <t>경기도 하남시 덕풍동 748</t>
        </is>
      </c>
      <c r="AB174" s="0" t="inlineStr">
        <is>
          <t>경기도</t>
        </is>
      </c>
      <c r="AC174" s="0" t="inlineStr">
        <is>
          <t>하남시</t>
        </is>
      </c>
      <c r="AD174" s="0" t="inlineStr">
        <is>
          <t>덕풍동</t>
        </is>
      </c>
      <c r="AG174" s="0" t="inlineStr">
        <is>
          <t>경기도 하남시 덕풍북로 236</t>
        </is>
      </c>
      <c r="AH174" s="0" t="n">
        <v>0</v>
      </c>
      <c r="AI174" s="0" t="n">
        <v>179</v>
      </c>
      <c r="AJ174" s="0" t="n">
        <v>20</v>
      </c>
      <c r="AK174" s="0" t="n">
        <v>289</v>
      </c>
      <c r="AL174" s="0" t="n">
        <v>1.33</v>
      </c>
    </row>
    <row r="175">
      <c r="A175" s="0" t="inlineStr">
        <is>
          <t>[덕풍동]</t>
        </is>
      </c>
      <c r="B175" s="0" t="n">
        <v>120638</v>
      </c>
      <c r="C175" s="0" t="n">
        <v>1</v>
      </c>
      <c r="D175" s="0" t="inlineStr">
        <is>
          <t>여명빌(도시형)</t>
        </is>
      </c>
      <c r="E175" s="0" t="inlineStr">
        <is>
          <t>2013.10.</t>
        </is>
      </c>
      <c r="F175" s="0" t="n">
        <v>6</v>
      </c>
      <c r="G175" s="0" t="n">
        <v>11.79</v>
      </c>
      <c r="H175" s="0" t="n">
        <v>38.98</v>
      </c>
      <c r="I175" s="0" t="n">
        <v>9.68</v>
      </c>
      <c r="J175" s="0" t="n">
        <v>32.01</v>
      </c>
      <c r="K175" s="0" t="n">
        <v>3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38A</t>
        </is>
      </c>
      <c r="X175" s="0" t="n">
        <v>4</v>
      </c>
      <c r="Y175" s="0" t="n">
        <v>4</v>
      </c>
      <c r="Z175" s="0" t="inlineStr">
        <is>
          <t>https://new.land.naver.com/complexes/120638?tab=detail&amp;rf=Y</t>
        </is>
      </c>
      <c r="AA175" s="0" t="inlineStr">
        <is>
          <t>경기도 하남시 덕풍동 401-35</t>
        </is>
      </c>
      <c r="AB175" s="0" t="inlineStr">
        <is>
          <t>경기도</t>
        </is>
      </c>
      <c r="AC175" s="0" t="inlineStr">
        <is>
          <t>하남시</t>
        </is>
      </c>
      <c r="AD175" s="0" t="inlineStr">
        <is>
          <t>덕풍동</t>
        </is>
      </c>
      <c r="AG175" s="0" t="inlineStr">
        <is>
          <t>경기도 하남시 신장로154번길 19</t>
        </is>
      </c>
      <c r="AH175" s="0" t="n">
        <v>0</v>
      </c>
      <c r="AI175" s="0" t="n">
        <v>316</v>
      </c>
      <c r="AJ175" s="0" t="n">
        <v>51</v>
      </c>
      <c r="AK175" s="0" t="n">
        <v>3</v>
      </c>
      <c r="AL175" s="0" t="n">
        <v>0.5</v>
      </c>
    </row>
    <row r="176">
      <c r="A176" s="0" t="inlineStr">
        <is>
          <t>[덕풍동]</t>
        </is>
      </c>
      <c r="B176" s="0" t="n">
        <v>120638</v>
      </c>
      <c r="C176" s="0" t="n">
        <v>2</v>
      </c>
      <c r="D176" s="0" t="inlineStr">
        <is>
          <t>여명빌(도시형)</t>
        </is>
      </c>
      <c r="E176" s="0" t="inlineStr">
        <is>
          <t>2013.10.</t>
        </is>
      </c>
      <c r="F176" s="0" t="n">
        <v>6</v>
      </c>
      <c r="G176" s="0" t="n">
        <v>12.26</v>
      </c>
      <c r="H176" s="0" t="n">
        <v>40.56</v>
      </c>
      <c r="I176" s="0" t="n">
        <v>10.07</v>
      </c>
      <c r="J176" s="0" t="n">
        <v>33.31</v>
      </c>
      <c r="K176" s="0" t="n">
        <v>3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</t>
        </is>
      </c>
      <c r="X176" s="0" t="n">
        <v>4</v>
      </c>
      <c r="Y176" s="0" t="n">
        <v>4</v>
      </c>
      <c r="Z176" s="0" t="inlineStr">
        <is>
          <t>https://new.land.naver.com/complexes/120638?tab=detail&amp;rf=Y</t>
        </is>
      </c>
      <c r="AA176" s="0" t="inlineStr">
        <is>
          <t>경기도 하남시 덕풍동 401-35</t>
        </is>
      </c>
      <c r="AB176" s="0" t="inlineStr">
        <is>
          <t>경기도</t>
        </is>
      </c>
      <c r="AC176" s="0" t="inlineStr">
        <is>
          <t>하남시</t>
        </is>
      </c>
      <c r="AD176" s="0" t="inlineStr">
        <is>
          <t>덕풍동</t>
        </is>
      </c>
      <c r="AG176" s="0" t="inlineStr">
        <is>
          <t>경기도 하남시 신장로154번길 19</t>
        </is>
      </c>
      <c r="AH176" s="0" t="n">
        <v>0</v>
      </c>
      <c r="AI176" s="0" t="n">
        <v>316</v>
      </c>
      <c r="AJ176" s="0" t="n">
        <v>51</v>
      </c>
      <c r="AK176" s="0" t="n">
        <v>3</v>
      </c>
      <c r="AL176" s="0" t="n">
        <v>0.5</v>
      </c>
    </row>
    <row r="177">
      <c r="A177" s="0" t="inlineStr">
        <is>
          <t>[덕풍동]</t>
        </is>
      </c>
      <c r="B177" s="0" t="n">
        <v>19151</v>
      </c>
      <c r="C177" s="0" t="n">
        <v>1</v>
      </c>
      <c r="D177" s="0" t="inlineStr">
        <is>
          <t>KCC스위첸</t>
        </is>
      </c>
      <c r="E177" s="0" t="inlineStr">
        <is>
          <t>2006.02.</t>
        </is>
      </c>
      <c r="F177" s="0" t="n">
        <v>244</v>
      </c>
      <c r="G177" s="0" t="n">
        <v>32.62</v>
      </c>
      <c r="H177" s="0" t="n">
        <v>107.85</v>
      </c>
      <c r="I177" s="0" t="n">
        <v>25.7</v>
      </c>
      <c r="J177" s="0" t="n">
        <v>84.98999999999999</v>
      </c>
      <c r="K177" s="0" t="n">
        <v>213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107A</t>
        </is>
      </c>
      <c r="X177" s="0" t="n">
        <v>25</v>
      </c>
      <c r="Y177" s="0" t="n">
        <v>8</v>
      </c>
      <c r="Z177" s="0" t="inlineStr">
        <is>
          <t>https://new.land.naver.com/complexes/19151?tab=detail&amp;rf=Y</t>
        </is>
      </c>
      <c r="AA177" s="0" t="inlineStr">
        <is>
          <t>경기도 하남시 덕풍동 690</t>
        </is>
      </c>
      <c r="AB177" s="0" t="inlineStr">
        <is>
          <t>경기도</t>
        </is>
      </c>
      <c r="AC177" s="0" t="inlineStr">
        <is>
          <t>하남시</t>
        </is>
      </c>
      <c r="AD177" s="0" t="inlineStr">
        <is>
          <t>덕풍동</t>
        </is>
      </c>
      <c r="AG177" s="0" t="inlineStr">
        <is>
          <t>경기도 하남시 신장로205번길 30</t>
        </is>
      </c>
      <c r="AH177" s="0" t="n">
        <v>0</v>
      </c>
      <c r="AI177" s="0" t="n">
        <v>281</v>
      </c>
      <c r="AJ177" s="0" t="n">
        <v>19</v>
      </c>
      <c r="AK177" s="0" t="n">
        <v>263</v>
      </c>
      <c r="AL177" s="0" t="n">
        <v>1.08</v>
      </c>
    </row>
    <row r="178">
      <c r="A178" s="0" t="inlineStr">
        <is>
          <t>[덕풍동]</t>
        </is>
      </c>
      <c r="B178" s="0" t="n">
        <v>19151</v>
      </c>
      <c r="C178" s="0" t="n">
        <v>2</v>
      </c>
      <c r="D178" s="0" t="inlineStr">
        <is>
          <t>KCC스위첸</t>
        </is>
      </c>
      <c r="E178" s="0" t="inlineStr">
        <is>
          <t>2006.02.</t>
        </is>
      </c>
      <c r="F178" s="0" t="n">
        <v>244</v>
      </c>
      <c r="G178" s="0" t="n">
        <v>32.62</v>
      </c>
      <c r="H178" s="0" t="n">
        <v>107.85</v>
      </c>
      <c r="I178" s="0" t="n">
        <v>25.7</v>
      </c>
      <c r="J178" s="0" t="n">
        <v>84.98999999999999</v>
      </c>
      <c r="K178" s="0" t="n">
        <v>19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107B</t>
        </is>
      </c>
      <c r="X178" s="0" t="n">
        <v>25</v>
      </c>
      <c r="Y178" s="0" t="n">
        <v>8</v>
      </c>
      <c r="Z178" s="0" t="inlineStr">
        <is>
          <t>https://new.land.naver.com/complexes/19151?tab=detail&amp;rf=Y</t>
        </is>
      </c>
      <c r="AA178" s="0" t="inlineStr">
        <is>
          <t>경기도 하남시 덕풍동 690</t>
        </is>
      </c>
      <c r="AB178" s="0" t="inlineStr">
        <is>
          <t>경기도</t>
        </is>
      </c>
      <c r="AC178" s="0" t="inlineStr">
        <is>
          <t>하남시</t>
        </is>
      </c>
      <c r="AD178" s="0" t="inlineStr">
        <is>
          <t>덕풍동</t>
        </is>
      </c>
      <c r="AG178" s="0" t="inlineStr">
        <is>
          <t>경기도 하남시 신장로205번길 30</t>
        </is>
      </c>
      <c r="AH178" s="0" t="n">
        <v>0</v>
      </c>
      <c r="AI178" s="0" t="n">
        <v>281</v>
      </c>
      <c r="AJ178" s="0" t="n">
        <v>19</v>
      </c>
      <c r="AK178" s="0" t="n">
        <v>263</v>
      </c>
      <c r="AL178" s="0" t="n">
        <v>1.08</v>
      </c>
    </row>
    <row r="179">
      <c r="A179" s="0" t="inlineStr">
        <is>
          <t>[덕풍동]</t>
        </is>
      </c>
      <c r="B179" s="0" t="n">
        <v>19151</v>
      </c>
      <c r="C179" s="0" t="n">
        <v>3</v>
      </c>
      <c r="D179" s="0" t="inlineStr">
        <is>
          <t>KCC스위첸</t>
        </is>
      </c>
      <c r="E179" s="0" t="inlineStr">
        <is>
          <t>2006.02.</t>
        </is>
      </c>
      <c r="F179" s="0" t="n">
        <v>244</v>
      </c>
      <c r="G179" s="0" t="n">
        <v>33.89</v>
      </c>
      <c r="H179" s="0" t="n">
        <v>112.04</v>
      </c>
      <c r="I179" s="0" t="n">
        <v>25.68</v>
      </c>
      <c r="J179" s="0" t="n">
        <v>84.91</v>
      </c>
      <c r="K179" s="0" t="n">
        <v>12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112</v>
      </c>
      <c r="X179" s="0" t="n">
        <v>25</v>
      </c>
      <c r="Y179" s="0" t="n">
        <v>8</v>
      </c>
      <c r="Z179" s="0" t="inlineStr">
        <is>
          <t>https://new.land.naver.com/complexes/19151?tab=detail&amp;rf=Y</t>
        </is>
      </c>
      <c r="AA179" s="0" t="inlineStr">
        <is>
          <t>경기도 하남시 덕풍동 690</t>
        </is>
      </c>
      <c r="AB179" s="0" t="inlineStr">
        <is>
          <t>경기도</t>
        </is>
      </c>
      <c r="AC179" s="0" t="inlineStr">
        <is>
          <t>하남시</t>
        </is>
      </c>
      <c r="AD179" s="0" t="inlineStr">
        <is>
          <t>덕풍동</t>
        </is>
      </c>
      <c r="AG179" s="0" t="inlineStr">
        <is>
          <t>경기도 하남시 신장로205번길 30</t>
        </is>
      </c>
      <c r="AH179" s="0" t="n">
        <v>0</v>
      </c>
      <c r="AI179" s="0" t="n">
        <v>281</v>
      </c>
      <c r="AJ179" s="0" t="n">
        <v>19</v>
      </c>
      <c r="AK179" s="0" t="n">
        <v>263</v>
      </c>
      <c r="AL179" s="0" t="n">
        <v>1.08</v>
      </c>
    </row>
    <row r="180">
      <c r="A180" s="0" t="inlineStr">
        <is>
          <t>[덕풍동]</t>
        </is>
      </c>
      <c r="B180" s="0" t="n">
        <v>18924</v>
      </c>
      <c r="C180" s="0" t="n">
        <v>1</v>
      </c>
      <c r="D180" s="0" t="inlineStr">
        <is>
          <t>가화만사성</t>
        </is>
      </c>
      <c r="E180" s="0" t="inlineStr">
        <is>
          <t>2004.11.</t>
        </is>
      </c>
      <c r="F180" s="0" t="n">
        <v>72</v>
      </c>
      <c r="G180" s="0" t="n">
        <v>22.59</v>
      </c>
      <c r="H180" s="0" t="n">
        <v>74.68000000000001</v>
      </c>
      <c r="I180" s="0" t="n">
        <v>17.21</v>
      </c>
      <c r="J180" s="0" t="n">
        <v>56.9</v>
      </c>
      <c r="K180" s="0" t="n">
        <v>15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74</v>
      </c>
      <c r="X180" s="0" t="n">
        <v>10</v>
      </c>
      <c r="Y180" s="0" t="n">
        <v>7</v>
      </c>
      <c r="Z180" s="0" t="inlineStr">
        <is>
          <t>https://new.land.naver.com/complexes/18924?tab=detail&amp;rf=Y</t>
        </is>
      </c>
      <c r="AA180" s="0" t="inlineStr">
        <is>
          <t>경기도 하남시 덕풍동 519-4</t>
        </is>
      </c>
      <c r="AB180" s="0" t="inlineStr">
        <is>
          <t>경기도</t>
        </is>
      </c>
      <c r="AC180" s="0" t="inlineStr">
        <is>
          <t>하남시</t>
        </is>
      </c>
      <c r="AD180" s="0" t="inlineStr">
        <is>
          <t>덕풍동</t>
        </is>
      </c>
      <c r="AG180" s="0" t="inlineStr">
        <is>
          <t>경기도 하남시 역말로 20</t>
        </is>
      </c>
      <c r="AH180" s="0" t="n">
        <v>0</v>
      </c>
      <c r="AI180" s="0" t="n">
        <v>286</v>
      </c>
      <c r="AJ180" s="0" t="n">
        <v>34</v>
      </c>
      <c r="AK180" s="0" t="n">
        <v>72</v>
      </c>
      <c r="AL180" s="0" t="n">
        <v>1</v>
      </c>
    </row>
    <row r="181">
      <c r="A181" s="0" t="inlineStr">
        <is>
          <t>[덕풍동]</t>
        </is>
      </c>
      <c r="B181" s="0" t="n">
        <v>18924</v>
      </c>
      <c r="C181" s="0" t="n">
        <v>2</v>
      </c>
      <c r="D181" s="0" t="inlineStr">
        <is>
          <t>가화만사성</t>
        </is>
      </c>
      <c r="E181" s="0" t="inlineStr">
        <is>
          <t>2004.11.</t>
        </is>
      </c>
      <c r="F181" s="0" t="n">
        <v>72</v>
      </c>
      <c r="G181" s="0" t="n">
        <v>23.62</v>
      </c>
      <c r="H181" s="0" t="n">
        <v>78.09999999999999</v>
      </c>
      <c r="I181" s="0" t="n">
        <v>17.96</v>
      </c>
      <c r="J181" s="0" t="n">
        <v>59.38</v>
      </c>
      <c r="K181" s="0" t="n">
        <v>3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78</v>
      </c>
      <c r="X181" s="0" t="n">
        <v>10</v>
      </c>
      <c r="Y181" s="0" t="n">
        <v>7</v>
      </c>
      <c r="Z181" s="0" t="inlineStr">
        <is>
          <t>https://new.land.naver.com/complexes/18924?tab=detail&amp;rf=Y</t>
        </is>
      </c>
      <c r="AA181" s="0" t="inlineStr">
        <is>
          <t>경기도 하남시 덕풍동 519-4</t>
        </is>
      </c>
      <c r="AB181" s="0" t="inlineStr">
        <is>
          <t>경기도</t>
        </is>
      </c>
      <c r="AC181" s="0" t="inlineStr">
        <is>
          <t>하남시</t>
        </is>
      </c>
      <c r="AD181" s="0" t="inlineStr">
        <is>
          <t>덕풍동</t>
        </is>
      </c>
      <c r="AG181" s="0" t="inlineStr">
        <is>
          <t>경기도 하남시 역말로 20</t>
        </is>
      </c>
      <c r="AH181" s="0" t="n">
        <v>0</v>
      </c>
      <c r="AI181" s="0" t="n">
        <v>286</v>
      </c>
      <c r="AJ181" s="0" t="n">
        <v>34</v>
      </c>
      <c r="AK181" s="0" t="n">
        <v>72</v>
      </c>
      <c r="AL181" s="0" t="n">
        <v>1</v>
      </c>
    </row>
    <row r="182">
      <c r="A182" s="0" t="inlineStr">
        <is>
          <t>[덕풍동]</t>
        </is>
      </c>
      <c r="B182" s="0" t="n">
        <v>18924</v>
      </c>
      <c r="C182" s="0" t="n">
        <v>3</v>
      </c>
      <c r="D182" s="0" t="inlineStr">
        <is>
          <t>가화만사성</t>
        </is>
      </c>
      <c r="E182" s="0" t="inlineStr">
        <is>
          <t>2004.11.</t>
        </is>
      </c>
      <c r="F182" s="0" t="n">
        <v>72</v>
      </c>
      <c r="G182" s="0" t="n">
        <v>28</v>
      </c>
      <c r="H182" s="0" t="n">
        <v>92.58</v>
      </c>
      <c r="I182" s="0" t="n">
        <v>21.38</v>
      </c>
      <c r="J182" s="0" t="n">
        <v>70.68000000000001</v>
      </c>
      <c r="K182" s="0" t="n">
        <v>27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92</v>
      </c>
      <c r="X182" s="0" t="n">
        <v>10</v>
      </c>
      <c r="Y182" s="0" t="n">
        <v>7</v>
      </c>
      <c r="Z182" s="0" t="inlineStr">
        <is>
          <t>https://new.land.naver.com/complexes/18924?tab=detail&amp;rf=Y</t>
        </is>
      </c>
      <c r="AA182" s="0" t="inlineStr">
        <is>
          <t>경기도 하남시 덕풍동 519-4</t>
        </is>
      </c>
      <c r="AB182" s="0" t="inlineStr">
        <is>
          <t>경기도</t>
        </is>
      </c>
      <c r="AC182" s="0" t="inlineStr">
        <is>
          <t>하남시</t>
        </is>
      </c>
      <c r="AD182" s="0" t="inlineStr">
        <is>
          <t>덕풍동</t>
        </is>
      </c>
      <c r="AG182" s="0" t="inlineStr">
        <is>
          <t>경기도 하남시 역말로 20</t>
        </is>
      </c>
      <c r="AH182" s="0" t="n">
        <v>0</v>
      </c>
      <c r="AI182" s="0" t="n">
        <v>286</v>
      </c>
      <c r="AJ182" s="0" t="n">
        <v>34</v>
      </c>
      <c r="AK182" s="0" t="n">
        <v>72</v>
      </c>
      <c r="AL182" s="0" t="n">
        <v>1</v>
      </c>
    </row>
    <row r="183">
      <c r="A183" s="0" t="inlineStr">
        <is>
          <t>[덕풍동]</t>
        </is>
      </c>
      <c r="B183" s="0" t="n">
        <v>18924</v>
      </c>
      <c r="C183" s="0" t="n">
        <v>4</v>
      </c>
      <c r="D183" s="0" t="inlineStr">
        <is>
          <t>가화만사성</t>
        </is>
      </c>
      <c r="E183" s="0" t="inlineStr">
        <is>
          <t>2004.11.</t>
        </is>
      </c>
      <c r="F183" s="0" t="n">
        <v>72</v>
      </c>
      <c r="G183" s="0" t="n">
        <v>29.49</v>
      </c>
      <c r="H183" s="0" t="n">
        <v>97.5</v>
      </c>
      <c r="I183" s="0" t="n">
        <v>22.51</v>
      </c>
      <c r="J183" s="0" t="n">
        <v>74.43000000000001</v>
      </c>
      <c r="K183" s="0" t="n">
        <v>16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97</v>
      </c>
      <c r="X183" s="0" t="n">
        <v>10</v>
      </c>
      <c r="Y183" s="0" t="n">
        <v>7</v>
      </c>
      <c r="Z183" s="0" t="inlineStr">
        <is>
          <t>https://new.land.naver.com/complexes/18924?tab=detail&amp;rf=Y</t>
        </is>
      </c>
      <c r="AA183" s="0" t="inlineStr">
        <is>
          <t>경기도 하남시 덕풍동 519-4</t>
        </is>
      </c>
      <c r="AB183" s="0" t="inlineStr">
        <is>
          <t>경기도</t>
        </is>
      </c>
      <c r="AC183" s="0" t="inlineStr">
        <is>
          <t>하남시</t>
        </is>
      </c>
      <c r="AD183" s="0" t="inlineStr">
        <is>
          <t>덕풍동</t>
        </is>
      </c>
      <c r="AG183" s="0" t="inlineStr">
        <is>
          <t>경기도 하남시 역말로 20</t>
        </is>
      </c>
      <c r="AH183" s="0" t="n">
        <v>0</v>
      </c>
      <c r="AI183" s="0" t="n">
        <v>286</v>
      </c>
      <c r="AJ183" s="0" t="n">
        <v>34</v>
      </c>
      <c r="AK183" s="0" t="n">
        <v>72</v>
      </c>
      <c r="AL183" s="0" t="n">
        <v>1</v>
      </c>
    </row>
    <row r="184">
      <c r="A184" s="0" t="inlineStr">
        <is>
          <t>[덕풍동]</t>
        </is>
      </c>
      <c r="B184" s="0" t="n">
        <v>18924</v>
      </c>
      <c r="C184" s="0" t="n">
        <v>5</v>
      </c>
      <c r="D184" s="0" t="inlineStr">
        <is>
          <t>가화만사성</t>
        </is>
      </c>
      <c r="E184" s="0" t="inlineStr">
        <is>
          <t>2004.11.</t>
        </is>
      </c>
      <c r="F184" s="0" t="n">
        <v>72</v>
      </c>
      <c r="G184" s="0" t="n">
        <v>30.68</v>
      </c>
      <c r="H184" s="0" t="n">
        <v>101.45</v>
      </c>
      <c r="I184" s="0" t="n">
        <v>23.31</v>
      </c>
      <c r="J184" s="0" t="n">
        <v>77.09</v>
      </c>
      <c r="K184" s="0" t="n">
        <v>7</v>
      </c>
      <c r="T184" s="0" t="n">
        <v>3</v>
      </c>
      <c r="U184" s="0" t="n">
        <v>2</v>
      </c>
      <c r="V184" s="0" t="inlineStr">
        <is>
          <t>계단식</t>
        </is>
      </c>
      <c r="W184" s="0" t="n">
        <v>101</v>
      </c>
      <c r="X184" s="0" t="n">
        <v>10</v>
      </c>
      <c r="Y184" s="0" t="n">
        <v>7</v>
      </c>
      <c r="Z184" s="0" t="inlineStr">
        <is>
          <t>https://new.land.naver.com/complexes/18924?tab=detail&amp;rf=Y</t>
        </is>
      </c>
      <c r="AA184" s="0" t="inlineStr">
        <is>
          <t>경기도 하남시 덕풍동 519-4</t>
        </is>
      </c>
      <c r="AB184" s="0" t="inlineStr">
        <is>
          <t>경기도</t>
        </is>
      </c>
      <c r="AC184" s="0" t="inlineStr">
        <is>
          <t>하남시</t>
        </is>
      </c>
      <c r="AD184" s="0" t="inlineStr">
        <is>
          <t>덕풍동</t>
        </is>
      </c>
      <c r="AG184" s="0" t="inlineStr">
        <is>
          <t>경기도 하남시 역말로 20</t>
        </is>
      </c>
      <c r="AH184" s="0" t="n">
        <v>0</v>
      </c>
      <c r="AI184" s="0" t="n">
        <v>286</v>
      </c>
      <c r="AJ184" s="0" t="n">
        <v>34</v>
      </c>
      <c r="AK184" s="0" t="n">
        <v>72</v>
      </c>
      <c r="AL184" s="0" t="n">
        <v>1</v>
      </c>
    </row>
    <row r="185">
      <c r="A185" s="0" t="inlineStr">
        <is>
          <t>[덕풍동]</t>
        </is>
      </c>
      <c r="B185" s="0" t="n">
        <v>18924</v>
      </c>
      <c r="C185" s="0" t="n">
        <v>6</v>
      </c>
      <c r="D185" s="0" t="inlineStr">
        <is>
          <t>가화만사성</t>
        </is>
      </c>
      <c r="E185" s="0" t="inlineStr">
        <is>
          <t>2004.11.</t>
        </is>
      </c>
      <c r="F185" s="0" t="n">
        <v>72</v>
      </c>
      <c r="G185" s="0" t="n">
        <v>33.86</v>
      </c>
      <c r="H185" s="0" t="n">
        <v>111.96</v>
      </c>
      <c r="I185" s="0" t="n">
        <v>25.51</v>
      </c>
      <c r="J185" s="0" t="n">
        <v>84.36</v>
      </c>
      <c r="K185" s="0" t="n">
        <v>2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10</v>
      </c>
      <c r="Y185" s="0" t="n">
        <v>7</v>
      </c>
      <c r="Z185" s="0" t="inlineStr">
        <is>
          <t>https://new.land.naver.com/complexes/18924?tab=detail&amp;rf=Y</t>
        </is>
      </c>
      <c r="AA185" s="0" t="inlineStr">
        <is>
          <t>경기도 하남시 덕풍동 519-4</t>
        </is>
      </c>
      <c r="AB185" s="0" t="inlineStr">
        <is>
          <t>경기도</t>
        </is>
      </c>
      <c r="AC185" s="0" t="inlineStr">
        <is>
          <t>하남시</t>
        </is>
      </c>
      <c r="AD185" s="0" t="inlineStr">
        <is>
          <t>덕풍동</t>
        </is>
      </c>
      <c r="AG185" s="0" t="inlineStr">
        <is>
          <t>경기도 하남시 역말로 20</t>
        </is>
      </c>
      <c r="AH185" s="0" t="n">
        <v>0</v>
      </c>
      <c r="AI185" s="0" t="n">
        <v>286</v>
      </c>
      <c r="AJ185" s="0" t="n">
        <v>34</v>
      </c>
      <c r="AK185" s="0" t="n">
        <v>72</v>
      </c>
      <c r="AL185" s="0" t="n">
        <v>1</v>
      </c>
    </row>
    <row r="186">
      <c r="A186" s="0" t="inlineStr">
        <is>
          <t>[덕풍동]</t>
        </is>
      </c>
      <c r="B186" s="0" t="n">
        <v>18924</v>
      </c>
      <c r="C186" s="0" t="n">
        <v>7</v>
      </c>
      <c r="D186" s="0" t="inlineStr">
        <is>
          <t>가화만사성</t>
        </is>
      </c>
      <c r="E186" s="0" t="inlineStr">
        <is>
          <t>2004.11.</t>
        </is>
      </c>
      <c r="F186" s="0" t="n">
        <v>72</v>
      </c>
      <c r="G186" s="0" t="n">
        <v>33.75</v>
      </c>
      <c r="H186" s="0" t="n">
        <v>111.59</v>
      </c>
      <c r="I186" s="0" t="n">
        <v>25.7</v>
      </c>
      <c r="J186" s="0" t="n">
        <v>84.95999999999999</v>
      </c>
      <c r="K186" s="0" t="n">
        <v>2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10</v>
      </c>
      <c r="Y186" s="0" t="n">
        <v>7</v>
      </c>
      <c r="Z186" s="0" t="inlineStr">
        <is>
          <t>https://new.land.naver.com/complexes/18924?tab=detail&amp;rf=Y</t>
        </is>
      </c>
      <c r="AA186" s="0" t="inlineStr">
        <is>
          <t>경기도 하남시 덕풍동 519-4</t>
        </is>
      </c>
      <c r="AB186" s="0" t="inlineStr">
        <is>
          <t>경기도</t>
        </is>
      </c>
      <c r="AC186" s="0" t="inlineStr">
        <is>
          <t>하남시</t>
        </is>
      </c>
      <c r="AD186" s="0" t="inlineStr">
        <is>
          <t>덕풍동</t>
        </is>
      </c>
      <c r="AG186" s="0" t="inlineStr">
        <is>
          <t>경기도 하남시 역말로 20</t>
        </is>
      </c>
      <c r="AH186" s="0" t="n">
        <v>0</v>
      </c>
      <c r="AI186" s="0" t="n">
        <v>286</v>
      </c>
      <c r="AJ186" s="0" t="n">
        <v>34</v>
      </c>
      <c r="AK186" s="0" t="n">
        <v>72</v>
      </c>
      <c r="AL186" s="0" t="n">
        <v>1</v>
      </c>
    </row>
    <row r="187">
      <c r="A187" s="0" t="inlineStr">
        <is>
          <t>[덕풍동]</t>
        </is>
      </c>
      <c r="B187" s="0" t="n">
        <v>25541</v>
      </c>
      <c r="C187" s="0" t="n">
        <v>1</v>
      </c>
      <c r="D187" s="0" t="inlineStr">
        <is>
          <t>삼부르네상스</t>
        </is>
      </c>
      <c r="E187" s="0" t="inlineStr">
        <is>
          <t>2008.08.</t>
        </is>
      </c>
      <c r="F187" s="0" t="n">
        <v>471</v>
      </c>
      <c r="G187" s="0" t="n">
        <v>38.88</v>
      </c>
      <c r="H187" s="0" t="n">
        <v>128.53</v>
      </c>
      <c r="I187" s="0" t="n">
        <v>30.85</v>
      </c>
      <c r="J187" s="0" t="n">
        <v>101.99</v>
      </c>
      <c r="K187" s="0" t="n">
        <v>224</v>
      </c>
      <c r="T187" s="0" t="n">
        <v>4</v>
      </c>
      <c r="U187" s="0" t="n">
        <v>2</v>
      </c>
      <c r="V187" s="0" t="inlineStr">
        <is>
          <t>계단식</t>
        </is>
      </c>
      <c r="W187" s="0" t="inlineStr">
        <is>
          <t>128A</t>
        </is>
      </c>
      <c r="X187" s="0" t="n">
        <v>15</v>
      </c>
      <c r="Y187" s="0" t="n">
        <v>7</v>
      </c>
      <c r="Z187" s="0" t="inlineStr">
        <is>
          <t>https://new.land.naver.com/complexes/25541?tab=detail&amp;rf=Y</t>
        </is>
      </c>
      <c r="AA187" s="0" t="inlineStr">
        <is>
          <t>경기도 하남시 덕풍동 729</t>
        </is>
      </c>
      <c r="AB187" s="0" t="inlineStr">
        <is>
          <t>경기도</t>
        </is>
      </c>
      <c r="AC187" s="0" t="inlineStr">
        <is>
          <t>하남시</t>
        </is>
      </c>
      <c r="AD187" s="0" t="inlineStr">
        <is>
          <t>덕풍동</t>
        </is>
      </c>
      <c r="AG187" s="0" t="inlineStr">
        <is>
          <t>경기도 하남시 덕풍북로 140</t>
        </is>
      </c>
      <c r="AH187" s="0" t="n">
        <v>0</v>
      </c>
      <c r="AI187" s="0" t="n">
        <v>179</v>
      </c>
      <c r="AJ187" s="0" t="n">
        <v>19</v>
      </c>
      <c r="AK187" s="0" t="n">
        <v>880</v>
      </c>
      <c r="AL187" s="0" t="n">
        <v>1.87</v>
      </c>
    </row>
    <row r="188">
      <c r="A188" s="0" t="inlineStr">
        <is>
          <t>[덕풍동]</t>
        </is>
      </c>
      <c r="B188" s="0" t="n">
        <v>25541</v>
      </c>
      <c r="C188" s="0" t="n">
        <v>2</v>
      </c>
      <c r="D188" s="0" t="inlineStr">
        <is>
          <t>삼부르네상스</t>
        </is>
      </c>
      <c r="E188" s="0" t="inlineStr">
        <is>
          <t>2008.08.</t>
        </is>
      </c>
      <c r="F188" s="0" t="n">
        <v>471</v>
      </c>
      <c r="G188" s="0" t="n">
        <v>38.86</v>
      </c>
      <c r="H188" s="0" t="n">
        <v>128.49</v>
      </c>
      <c r="I188" s="0" t="n">
        <v>30.85</v>
      </c>
      <c r="J188" s="0" t="n">
        <v>101.99</v>
      </c>
      <c r="K188" s="0" t="n">
        <v>104</v>
      </c>
      <c r="T188" s="0" t="n">
        <v>4</v>
      </c>
      <c r="U188" s="0" t="n">
        <v>2</v>
      </c>
      <c r="V188" s="0" t="inlineStr">
        <is>
          <t>계단식</t>
        </is>
      </c>
      <c r="W188" s="0" t="inlineStr">
        <is>
          <t>128D</t>
        </is>
      </c>
      <c r="X188" s="0" t="n">
        <v>15</v>
      </c>
      <c r="Y188" s="0" t="n">
        <v>7</v>
      </c>
      <c r="Z188" s="0" t="inlineStr">
        <is>
          <t>https://new.land.naver.com/complexes/25541?tab=detail&amp;rf=Y</t>
        </is>
      </c>
      <c r="AA188" s="0" t="inlineStr">
        <is>
          <t>경기도 하남시 덕풍동 729</t>
        </is>
      </c>
      <c r="AB188" s="0" t="inlineStr">
        <is>
          <t>경기도</t>
        </is>
      </c>
      <c r="AC188" s="0" t="inlineStr">
        <is>
          <t>하남시</t>
        </is>
      </c>
      <c r="AD188" s="0" t="inlineStr">
        <is>
          <t>덕풍동</t>
        </is>
      </c>
      <c r="AG188" s="0" t="inlineStr">
        <is>
          <t>경기도 하남시 덕풍북로 140</t>
        </is>
      </c>
      <c r="AH188" s="0" t="n">
        <v>0</v>
      </c>
      <c r="AI188" s="0" t="n">
        <v>179</v>
      </c>
      <c r="AJ188" s="0" t="n">
        <v>19</v>
      </c>
      <c r="AK188" s="0" t="n">
        <v>880</v>
      </c>
      <c r="AL188" s="0" t="n">
        <v>1.87</v>
      </c>
    </row>
    <row r="189">
      <c r="A189" s="0" t="inlineStr">
        <is>
          <t>[덕풍동]</t>
        </is>
      </c>
      <c r="B189" s="0" t="n">
        <v>25541</v>
      </c>
      <c r="C189" s="0" t="n">
        <v>3</v>
      </c>
      <c r="D189" s="0" t="inlineStr">
        <is>
          <t>삼부르네상스</t>
        </is>
      </c>
      <c r="E189" s="0" t="inlineStr">
        <is>
          <t>2008.08.</t>
        </is>
      </c>
      <c r="F189" s="0" t="n">
        <v>471</v>
      </c>
      <c r="G189" s="0" t="n">
        <v>38.82</v>
      </c>
      <c r="H189" s="0" t="n">
        <v>128.34</v>
      </c>
      <c r="I189" s="0" t="n">
        <v>30.85</v>
      </c>
      <c r="J189" s="0" t="n">
        <v>101.99</v>
      </c>
      <c r="K189" s="0" t="n">
        <v>103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128C</t>
        </is>
      </c>
      <c r="X189" s="0" t="n">
        <v>15</v>
      </c>
      <c r="Y189" s="0" t="n">
        <v>7</v>
      </c>
      <c r="Z189" s="0" t="inlineStr">
        <is>
          <t>https://new.land.naver.com/complexes/25541?tab=detail&amp;rf=Y</t>
        </is>
      </c>
      <c r="AA189" s="0" t="inlineStr">
        <is>
          <t>경기도 하남시 덕풍동 729</t>
        </is>
      </c>
      <c r="AB189" s="0" t="inlineStr">
        <is>
          <t>경기도</t>
        </is>
      </c>
      <c r="AC189" s="0" t="inlineStr">
        <is>
          <t>하남시</t>
        </is>
      </c>
      <c r="AD189" s="0" t="inlineStr">
        <is>
          <t>덕풍동</t>
        </is>
      </c>
      <c r="AG189" s="0" t="inlineStr">
        <is>
          <t>경기도 하남시 덕풍북로 140</t>
        </is>
      </c>
      <c r="AH189" s="0" t="n">
        <v>0</v>
      </c>
      <c r="AI189" s="0" t="n">
        <v>179</v>
      </c>
      <c r="AJ189" s="0" t="n">
        <v>19</v>
      </c>
      <c r="AK189" s="0" t="n">
        <v>880</v>
      </c>
      <c r="AL189" s="0" t="n">
        <v>1.87</v>
      </c>
    </row>
    <row r="190">
      <c r="A190" s="0" t="inlineStr">
        <is>
          <t>[덕풍동]</t>
        </is>
      </c>
      <c r="B190" s="0" t="n">
        <v>25541</v>
      </c>
      <c r="C190" s="0" t="n">
        <v>4</v>
      </c>
      <c r="D190" s="0" t="inlineStr">
        <is>
          <t>삼부르네상스</t>
        </is>
      </c>
      <c r="E190" s="0" t="inlineStr">
        <is>
          <t>2008.08.</t>
        </is>
      </c>
      <c r="F190" s="0" t="n">
        <v>471</v>
      </c>
      <c r="G190" s="0" t="n">
        <v>38.82</v>
      </c>
      <c r="H190" s="0" t="n">
        <v>128.35</v>
      </c>
      <c r="I190" s="0" t="n">
        <v>30.85</v>
      </c>
      <c r="J190" s="0" t="n">
        <v>101.99</v>
      </c>
      <c r="K190" s="0" t="n">
        <v>40</v>
      </c>
      <c r="T190" s="0" t="n">
        <v>4</v>
      </c>
      <c r="U190" s="0" t="n">
        <v>2</v>
      </c>
      <c r="V190" s="0" t="inlineStr">
        <is>
          <t>계단식</t>
        </is>
      </c>
      <c r="W190" s="0" t="inlineStr">
        <is>
          <t>128B</t>
        </is>
      </c>
      <c r="X190" s="0" t="n">
        <v>15</v>
      </c>
      <c r="Y190" s="0" t="n">
        <v>7</v>
      </c>
      <c r="Z190" s="0" t="inlineStr">
        <is>
          <t>https://new.land.naver.com/complexes/25541?tab=detail&amp;rf=Y</t>
        </is>
      </c>
      <c r="AA190" s="0" t="inlineStr">
        <is>
          <t>경기도 하남시 덕풍동 729</t>
        </is>
      </c>
      <c r="AB190" s="0" t="inlineStr">
        <is>
          <t>경기도</t>
        </is>
      </c>
      <c r="AC190" s="0" t="inlineStr">
        <is>
          <t>하남시</t>
        </is>
      </c>
      <c r="AD190" s="0" t="inlineStr">
        <is>
          <t>덕풍동</t>
        </is>
      </c>
      <c r="AG190" s="0" t="inlineStr">
        <is>
          <t>경기도 하남시 덕풍북로 140</t>
        </is>
      </c>
      <c r="AH190" s="0" t="n">
        <v>0</v>
      </c>
      <c r="AI190" s="0" t="n">
        <v>179</v>
      </c>
      <c r="AJ190" s="0" t="n">
        <v>19</v>
      </c>
      <c r="AK190" s="0" t="n">
        <v>880</v>
      </c>
      <c r="AL190" s="0" t="n">
        <v>1.87</v>
      </c>
    </row>
    <row r="191">
      <c r="A191" s="0" t="inlineStr">
        <is>
          <t>[덕풍동]</t>
        </is>
      </c>
      <c r="B191" s="0" t="n">
        <v>19152</v>
      </c>
      <c r="C191" s="0" t="n">
        <v>1</v>
      </c>
      <c r="D191" s="0" t="inlineStr">
        <is>
          <t>하남자이</t>
        </is>
      </c>
      <c r="E191" s="0" t="inlineStr">
        <is>
          <t>2006.04.</t>
        </is>
      </c>
      <c r="F191" s="0" t="n">
        <v>875</v>
      </c>
      <c r="G191" s="0" t="n">
        <v>23.75</v>
      </c>
      <c r="H191" s="0" t="n">
        <v>78.54000000000001</v>
      </c>
      <c r="I191" s="0" t="n">
        <v>18.14</v>
      </c>
      <c r="J191" s="0" t="n">
        <v>59.98</v>
      </c>
      <c r="K191" s="0" t="n">
        <v>80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78</v>
      </c>
      <c r="X191" s="0" t="n">
        <v>26</v>
      </c>
      <c r="Y191" s="0" t="n">
        <v>8</v>
      </c>
      <c r="Z191" s="0" t="inlineStr">
        <is>
          <t>https://new.land.naver.com/complexes/19152?tab=detail&amp;rf=Y</t>
        </is>
      </c>
      <c r="AA191" s="0" t="inlineStr">
        <is>
          <t>경기도 하남시 덕풍동 691</t>
        </is>
      </c>
      <c r="AB191" s="0" t="inlineStr">
        <is>
          <t>경기도</t>
        </is>
      </c>
      <c r="AC191" s="0" t="inlineStr">
        <is>
          <t>하남시</t>
        </is>
      </c>
      <c r="AD191" s="0" t="inlineStr">
        <is>
          <t>덕풍동</t>
        </is>
      </c>
      <c r="AG191" s="0" t="inlineStr">
        <is>
          <t>경기도 하남시 덕풍공원로 38</t>
        </is>
      </c>
      <c r="AH191" s="0" t="n">
        <v>0</v>
      </c>
      <c r="AI191" s="0" t="n">
        <v>287</v>
      </c>
      <c r="AJ191" s="0" t="n">
        <v>16</v>
      </c>
      <c r="AK191" s="0" t="n">
        <v>928</v>
      </c>
      <c r="AL191" s="0" t="n">
        <v>1.06</v>
      </c>
    </row>
    <row r="192">
      <c r="A192" s="0" t="inlineStr">
        <is>
          <t>[덕풍동]</t>
        </is>
      </c>
      <c r="B192" s="0" t="n">
        <v>19152</v>
      </c>
      <c r="C192" s="0" t="n">
        <v>2</v>
      </c>
      <c r="D192" s="0" t="inlineStr">
        <is>
          <t>하남자이</t>
        </is>
      </c>
      <c r="E192" s="0" t="inlineStr">
        <is>
          <t>2006.04.</t>
        </is>
      </c>
      <c r="F192" s="0" t="n">
        <v>875</v>
      </c>
      <c r="G192" s="0" t="n">
        <v>24.59</v>
      </c>
      <c r="H192" s="0" t="n">
        <v>81.29000000000001</v>
      </c>
      <c r="I192" s="0" t="n">
        <v>18.14</v>
      </c>
      <c r="J192" s="0" t="n">
        <v>59.99</v>
      </c>
      <c r="K192" s="0" t="n">
        <v>104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81</v>
      </c>
      <c r="X192" s="0" t="n">
        <v>26</v>
      </c>
      <c r="Y192" s="0" t="n">
        <v>8</v>
      </c>
      <c r="Z192" s="0" t="inlineStr">
        <is>
          <t>https://new.land.naver.com/complexes/19152?tab=detail&amp;rf=Y</t>
        </is>
      </c>
      <c r="AA192" s="0" t="inlineStr">
        <is>
          <t>경기도 하남시 덕풍동 691</t>
        </is>
      </c>
      <c r="AB192" s="0" t="inlineStr">
        <is>
          <t>경기도</t>
        </is>
      </c>
      <c r="AC192" s="0" t="inlineStr">
        <is>
          <t>하남시</t>
        </is>
      </c>
      <c r="AD192" s="0" t="inlineStr">
        <is>
          <t>덕풍동</t>
        </is>
      </c>
      <c r="AG192" s="0" t="inlineStr">
        <is>
          <t>경기도 하남시 덕풍공원로 38</t>
        </is>
      </c>
      <c r="AH192" s="0" t="n">
        <v>0</v>
      </c>
      <c r="AI192" s="0" t="n">
        <v>287</v>
      </c>
      <c r="AJ192" s="0" t="n">
        <v>16</v>
      </c>
      <c r="AK192" s="0" t="n">
        <v>928</v>
      </c>
      <c r="AL192" s="0" t="n">
        <v>1.06</v>
      </c>
    </row>
    <row r="193">
      <c r="A193" s="0" t="inlineStr">
        <is>
          <t>[덕풍동]</t>
        </is>
      </c>
      <c r="B193" s="0" t="n">
        <v>19152</v>
      </c>
      <c r="C193" s="0" t="n">
        <v>3</v>
      </c>
      <c r="D193" s="0" t="inlineStr">
        <is>
          <t>하남자이</t>
        </is>
      </c>
      <c r="E193" s="0" t="inlineStr">
        <is>
          <t>2006.04.</t>
        </is>
      </c>
      <c r="F193" s="0" t="n">
        <v>875</v>
      </c>
      <c r="G193" s="0" t="n">
        <v>32.6</v>
      </c>
      <c r="H193" s="0" t="n">
        <v>107.79</v>
      </c>
      <c r="I193" s="0" t="n">
        <v>25.7</v>
      </c>
      <c r="J193" s="0" t="n">
        <v>84.98999999999999</v>
      </c>
      <c r="K193" s="0" t="n">
        <v>593</v>
      </c>
      <c r="T193" s="0" t="n">
        <v>3</v>
      </c>
      <c r="U193" s="0" t="n">
        <v>2</v>
      </c>
      <c r="V193" s="0" t="inlineStr">
        <is>
          <t>계단식</t>
        </is>
      </c>
      <c r="W193" s="0" t="n">
        <v>107</v>
      </c>
      <c r="X193" s="0" t="n">
        <v>26</v>
      </c>
      <c r="Y193" s="0" t="n">
        <v>8</v>
      </c>
      <c r="Z193" s="0" t="inlineStr">
        <is>
          <t>https://new.land.naver.com/complexes/19152?tab=detail&amp;rf=Y</t>
        </is>
      </c>
      <c r="AA193" s="0" t="inlineStr">
        <is>
          <t>경기도 하남시 덕풍동 691</t>
        </is>
      </c>
      <c r="AB193" s="0" t="inlineStr">
        <is>
          <t>경기도</t>
        </is>
      </c>
      <c r="AC193" s="0" t="inlineStr">
        <is>
          <t>하남시</t>
        </is>
      </c>
      <c r="AD193" s="0" t="inlineStr">
        <is>
          <t>덕풍동</t>
        </is>
      </c>
      <c r="AG193" s="0" t="inlineStr">
        <is>
          <t>경기도 하남시 덕풍공원로 38</t>
        </is>
      </c>
      <c r="AH193" s="0" t="n">
        <v>0</v>
      </c>
      <c r="AI193" s="0" t="n">
        <v>287</v>
      </c>
      <c r="AJ193" s="0" t="n">
        <v>16</v>
      </c>
      <c r="AK193" s="0" t="n">
        <v>928</v>
      </c>
      <c r="AL193" s="0" t="n">
        <v>1.06</v>
      </c>
    </row>
    <row r="194">
      <c r="A194" s="0" t="inlineStr">
        <is>
          <t>[덕풍동]</t>
        </is>
      </c>
      <c r="B194" s="0" t="n">
        <v>19152</v>
      </c>
      <c r="C194" s="0" t="n">
        <v>4</v>
      </c>
      <c r="D194" s="0" t="inlineStr">
        <is>
          <t>하남자이</t>
        </is>
      </c>
      <c r="E194" s="0" t="inlineStr">
        <is>
          <t>2006.04.</t>
        </is>
      </c>
      <c r="F194" s="0" t="n">
        <v>875</v>
      </c>
      <c r="G194" s="0" t="n">
        <v>46.86</v>
      </c>
      <c r="H194" s="0" t="n">
        <v>154.92</v>
      </c>
      <c r="I194" s="0" t="n">
        <v>37.83</v>
      </c>
      <c r="J194" s="0" t="n">
        <v>125.07</v>
      </c>
      <c r="K194" s="0" t="n">
        <v>98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154</v>
      </c>
      <c r="X194" s="0" t="n">
        <v>26</v>
      </c>
      <c r="Y194" s="0" t="n">
        <v>8</v>
      </c>
      <c r="Z194" s="0" t="inlineStr">
        <is>
          <t>https://new.land.naver.com/complexes/19152?tab=detail&amp;rf=Y</t>
        </is>
      </c>
      <c r="AA194" s="0" t="inlineStr">
        <is>
          <t>경기도 하남시 덕풍동 691</t>
        </is>
      </c>
      <c r="AB194" s="0" t="inlineStr">
        <is>
          <t>경기도</t>
        </is>
      </c>
      <c r="AC194" s="0" t="inlineStr">
        <is>
          <t>하남시</t>
        </is>
      </c>
      <c r="AD194" s="0" t="inlineStr">
        <is>
          <t>덕풍동</t>
        </is>
      </c>
      <c r="AG194" s="0" t="inlineStr">
        <is>
          <t>경기도 하남시 덕풍공원로 38</t>
        </is>
      </c>
      <c r="AH194" s="0" t="n">
        <v>0</v>
      </c>
      <c r="AI194" s="0" t="n">
        <v>287</v>
      </c>
      <c r="AJ194" s="0" t="n">
        <v>16</v>
      </c>
      <c r="AK194" s="0" t="n">
        <v>928</v>
      </c>
      <c r="AL194" s="0" t="n">
        <v>1.06</v>
      </c>
    </row>
    <row r="195">
      <c r="A195" s="0" t="inlineStr">
        <is>
          <t>[덕풍동]</t>
        </is>
      </c>
      <c r="B195" s="0" t="n">
        <v>9392</v>
      </c>
      <c r="C195" s="0" t="n">
        <v>1</v>
      </c>
      <c r="D195" s="0" t="inlineStr">
        <is>
          <t>한솔리치빌5단지</t>
        </is>
      </c>
      <c r="E195" s="0" t="inlineStr">
        <is>
          <t>2006.02.</t>
        </is>
      </c>
      <c r="F195" s="0" t="n">
        <v>268</v>
      </c>
      <c r="G195" s="0" t="n">
        <v>24.95</v>
      </c>
      <c r="H195" s="0" t="n">
        <v>82.48999999999999</v>
      </c>
      <c r="I195" s="0" t="n">
        <v>18.14</v>
      </c>
      <c r="J195" s="0" t="n">
        <v>59.99</v>
      </c>
      <c r="K195" s="0" t="n">
        <v>40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82</v>
      </c>
      <c r="X195" s="0" t="n">
        <v>25</v>
      </c>
      <c r="Y195" s="0" t="n">
        <v>19</v>
      </c>
      <c r="Z195" s="0" t="inlineStr">
        <is>
          <t>https://new.land.naver.com/complexes/9392?tab=detail&amp;rf=Y</t>
        </is>
      </c>
      <c r="AA195" s="0" t="inlineStr">
        <is>
          <t>경기도 하남시 덕풍동 689</t>
        </is>
      </c>
      <c r="AB195" s="0" t="inlineStr">
        <is>
          <t>경기도</t>
        </is>
      </c>
      <c r="AC195" s="0" t="inlineStr">
        <is>
          <t>하남시</t>
        </is>
      </c>
      <c r="AD195" s="0" t="inlineStr">
        <is>
          <t>덕풍동</t>
        </is>
      </c>
      <c r="AG195" s="0" t="inlineStr">
        <is>
          <t>경기도 하남시 덕산로 50</t>
        </is>
      </c>
      <c r="AH195" s="0" t="n">
        <v>0</v>
      </c>
      <c r="AI195" s="0" t="n">
        <v>349</v>
      </c>
      <c r="AJ195" s="0" t="n">
        <v>19</v>
      </c>
      <c r="AK195" s="0" t="n">
        <v>279</v>
      </c>
      <c r="AL195" s="0" t="n">
        <v>1.04</v>
      </c>
    </row>
    <row r="196">
      <c r="A196" s="0" t="inlineStr">
        <is>
          <t>[덕풍동]</t>
        </is>
      </c>
      <c r="B196" s="0" t="n">
        <v>9392</v>
      </c>
      <c r="C196" s="0" t="n">
        <v>2</v>
      </c>
      <c r="D196" s="0" t="inlineStr">
        <is>
          <t>한솔리치빌5단지</t>
        </is>
      </c>
      <c r="E196" s="0" t="inlineStr">
        <is>
          <t>2006.02.</t>
        </is>
      </c>
      <c r="F196" s="0" t="n">
        <v>268</v>
      </c>
      <c r="G196" s="0" t="n">
        <v>33.22</v>
      </c>
      <c r="H196" s="0" t="n">
        <v>109.82</v>
      </c>
      <c r="I196" s="0" t="n">
        <v>25.67</v>
      </c>
      <c r="J196" s="0" t="n">
        <v>84.86</v>
      </c>
      <c r="K196" s="0" t="n">
        <v>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109B</t>
        </is>
      </c>
      <c r="X196" s="0" t="n">
        <v>25</v>
      </c>
      <c r="Y196" s="0" t="n">
        <v>19</v>
      </c>
      <c r="Z196" s="0" t="inlineStr">
        <is>
          <t>https://new.land.naver.com/complexes/9392?tab=detail&amp;rf=Y</t>
        </is>
      </c>
      <c r="AA196" s="0" t="inlineStr">
        <is>
          <t>경기도 하남시 덕풍동 689</t>
        </is>
      </c>
      <c r="AB196" s="0" t="inlineStr">
        <is>
          <t>경기도</t>
        </is>
      </c>
      <c r="AC196" s="0" t="inlineStr">
        <is>
          <t>하남시</t>
        </is>
      </c>
      <c r="AD196" s="0" t="inlineStr">
        <is>
          <t>덕풍동</t>
        </is>
      </c>
      <c r="AG196" s="0" t="inlineStr">
        <is>
          <t>경기도 하남시 덕산로 50</t>
        </is>
      </c>
      <c r="AH196" s="0" t="n">
        <v>0</v>
      </c>
      <c r="AI196" s="0" t="n">
        <v>349</v>
      </c>
      <c r="AJ196" s="0" t="n">
        <v>19</v>
      </c>
      <c r="AK196" s="0" t="n">
        <v>279</v>
      </c>
      <c r="AL196" s="0" t="n">
        <v>1.04</v>
      </c>
    </row>
    <row r="197">
      <c r="A197" s="0" t="inlineStr">
        <is>
          <t>[덕풍동]</t>
        </is>
      </c>
      <c r="B197" s="0" t="n">
        <v>9392</v>
      </c>
      <c r="C197" s="0" t="n">
        <v>3</v>
      </c>
      <c r="D197" s="0" t="inlineStr">
        <is>
          <t>한솔리치빌5단지</t>
        </is>
      </c>
      <c r="E197" s="0" t="inlineStr">
        <is>
          <t>2006.02.</t>
        </is>
      </c>
      <c r="F197" s="0" t="n">
        <v>268</v>
      </c>
      <c r="G197" s="0" t="n">
        <v>33.31</v>
      </c>
      <c r="H197" s="0" t="n">
        <v>110.14</v>
      </c>
      <c r="I197" s="0" t="n">
        <v>25.7</v>
      </c>
      <c r="J197" s="0" t="n">
        <v>84.98999999999999</v>
      </c>
      <c r="K197" s="0" t="n">
        <v>210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110A</t>
        </is>
      </c>
      <c r="X197" s="0" t="n">
        <v>25</v>
      </c>
      <c r="Y197" s="0" t="n">
        <v>19</v>
      </c>
      <c r="Z197" s="0" t="inlineStr">
        <is>
          <t>https://new.land.naver.com/complexes/9392?tab=detail&amp;rf=Y</t>
        </is>
      </c>
      <c r="AA197" s="0" t="inlineStr">
        <is>
          <t>경기도 하남시 덕풍동 689</t>
        </is>
      </c>
      <c r="AB197" s="0" t="inlineStr">
        <is>
          <t>경기도</t>
        </is>
      </c>
      <c r="AC197" s="0" t="inlineStr">
        <is>
          <t>하남시</t>
        </is>
      </c>
      <c r="AD197" s="0" t="inlineStr">
        <is>
          <t>덕풍동</t>
        </is>
      </c>
      <c r="AG197" s="0" t="inlineStr">
        <is>
          <t>경기도 하남시 덕산로 50</t>
        </is>
      </c>
      <c r="AH197" s="0" t="n">
        <v>0</v>
      </c>
      <c r="AI197" s="0" t="n">
        <v>349</v>
      </c>
      <c r="AJ197" s="0" t="n">
        <v>19</v>
      </c>
      <c r="AK197" s="0" t="n">
        <v>279</v>
      </c>
      <c r="AL197" s="0" t="n">
        <v>1.04</v>
      </c>
    </row>
    <row r="198">
      <c r="A198" s="0" t="inlineStr">
        <is>
          <t>[덕풍동]</t>
        </is>
      </c>
      <c r="B198" s="0" t="n">
        <v>128881</v>
      </c>
      <c r="C198" s="0" t="n">
        <v>1</v>
      </c>
      <c r="D198" s="0" t="inlineStr">
        <is>
          <t>삼정풍경채</t>
        </is>
      </c>
      <c r="E198" s="0" t="inlineStr">
        <is>
          <t>2018.06.</t>
        </is>
      </c>
      <c r="F198" s="0" t="n">
        <v>8</v>
      </c>
      <c r="G198" s="0" t="n">
        <v>17.01</v>
      </c>
      <c r="H198" s="0" t="n">
        <v>56.25</v>
      </c>
      <c r="I198" s="0" t="n">
        <v>14.01</v>
      </c>
      <c r="J198" s="0" t="n">
        <v>46.32</v>
      </c>
      <c r="K198" s="0" t="n">
        <v>4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56</v>
      </c>
      <c r="X198" s="0" t="n">
        <v>7</v>
      </c>
      <c r="Y198" s="0" t="n">
        <v>7</v>
      </c>
      <c r="Z198" s="0" t="inlineStr">
        <is>
          <t>https://new.land.naver.com/complexes/128881?tab=detail&amp;rf=Y</t>
        </is>
      </c>
      <c r="AA198" s="0" t="inlineStr">
        <is>
          <t>경기도 하남시 덕풍동 330-46</t>
        </is>
      </c>
      <c r="AB198" s="0" t="inlineStr">
        <is>
          <t>경기도</t>
        </is>
      </c>
      <c r="AC198" s="0" t="inlineStr">
        <is>
          <t>하남시</t>
        </is>
      </c>
      <c r="AD198" s="0" t="inlineStr">
        <is>
          <t>덕풍동</t>
        </is>
      </c>
      <c r="AG198" s="0" t="inlineStr">
        <is>
          <t>경기도 하남시 하남대로855번길 41</t>
        </is>
      </c>
      <c r="AH198" s="0" t="n">
        <v>0</v>
      </c>
      <c r="AI198" s="0" t="n">
        <v>359</v>
      </c>
      <c r="AJ198" s="0" t="n">
        <v>58</v>
      </c>
      <c r="AK198" s="0" t="n">
        <v>6</v>
      </c>
      <c r="AL198" s="0" t="n">
        <v>0.75</v>
      </c>
    </row>
    <row r="199">
      <c r="A199" s="0" t="inlineStr">
        <is>
          <t>[덕풍동]</t>
        </is>
      </c>
      <c r="B199" s="0" t="n">
        <v>128881</v>
      </c>
      <c r="C199" s="0" t="n">
        <v>2</v>
      </c>
      <c r="D199" s="0" t="inlineStr">
        <is>
          <t>삼정풍경채</t>
        </is>
      </c>
      <c r="E199" s="0" t="inlineStr">
        <is>
          <t>2018.06.</t>
        </is>
      </c>
      <c r="F199" s="0" t="n">
        <v>8</v>
      </c>
      <c r="G199" s="0" t="n">
        <v>20.31</v>
      </c>
      <c r="H199" s="0" t="n">
        <v>67.16</v>
      </c>
      <c r="I199" s="0" t="n">
        <v>16.72</v>
      </c>
      <c r="J199" s="0" t="n">
        <v>55.3</v>
      </c>
      <c r="K199" s="0" t="n">
        <v>4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67</v>
      </c>
      <c r="X199" s="0" t="n">
        <v>7</v>
      </c>
      <c r="Y199" s="0" t="n">
        <v>7</v>
      </c>
      <c r="Z199" s="0" t="inlineStr">
        <is>
          <t>https://new.land.naver.com/complexes/128881?tab=detail&amp;rf=Y</t>
        </is>
      </c>
      <c r="AA199" s="0" t="inlineStr">
        <is>
          <t>경기도 하남시 덕풍동 330-46</t>
        </is>
      </c>
      <c r="AB199" s="0" t="inlineStr">
        <is>
          <t>경기도</t>
        </is>
      </c>
      <c r="AC199" s="0" t="inlineStr">
        <is>
          <t>하남시</t>
        </is>
      </c>
      <c r="AD199" s="0" t="inlineStr">
        <is>
          <t>덕풍동</t>
        </is>
      </c>
      <c r="AG199" s="0" t="inlineStr">
        <is>
          <t>경기도 하남시 하남대로855번길 41</t>
        </is>
      </c>
      <c r="AH199" s="0" t="n">
        <v>0</v>
      </c>
      <c r="AI199" s="0" t="n">
        <v>359</v>
      </c>
      <c r="AJ199" s="0" t="n">
        <v>58</v>
      </c>
      <c r="AK199" s="0" t="n">
        <v>6</v>
      </c>
      <c r="AL199" s="0" t="n">
        <v>0.75</v>
      </c>
    </row>
    <row r="200">
      <c r="A200" s="0" t="inlineStr">
        <is>
          <t>[덕풍동]</t>
        </is>
      </c>
      <c r="B200" s="0" t="n">
        <v>120533</v>
      </c>
      <c r="C200" s="0" t="n">
        <v>1</v>
      </c>
      <c r="D200" s="0" t="inlineStr">
        <is>
          <t>그린나래</t>
        </is>
      </c>
      <c r="E200" s="0" t="inlineStr">
        <is>
          <t>2017.08.</t>
        </is>
      </c>
      <c r="F200" s="0" t="n">
        <v>28</v>
      </c>
      <c r="G200" s="0" t="n">
        <v>19.26</v>
      </c>
      <c r="H200" s="0" t="n">
        <v>63.7</v>
      </c>
      <c r="I200" s="0" t="n">
        <v>17.02</v>
      </c>
      <c r="J200" s="0" t="n">
        <v>56.27</v>
      </c>
      <c r="K200" s="0" t="n">
        <v>7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63</v>
      </c>
      <c r="X200" s="0" t="n">
        <v>8</v>
      </c>
      <c r="Y200" s="0" t="n">
        <v>8</v>
      </c>
      <c r="Z200" s="0" t="inlineStr">
        <is>
          <t>https://new.land.naver.com/complexes/120533?tab=detail&amp;rf=Y</t>
        </is>
      </c>
      <c r="AA200" s="0" t="inlineStr">
        <is>
          <t>경기도 하남시 덕풍동 537-4</t>
        </is>
      </c>
      <c r="AB200" s="0" t="inlineStr">
        <is>
          <t>경기도</t>
        </is>
      </c>
      <c r="AC200" s="0" t="inlineStr">
        <is>
          <t>하남시</t>
        </is>
      </c>
      <c r="AD200" s="0" t="inlineStr">
        <is>
          <t>덕풍동</t>
        </is>
      </c>
      <c r="AG200" s="0" t="inlineStr">
        <is>
          <t>경기도 하남시 역말로15번길 30</t>
        </is>
      </c>
      <c r="AH200" s="0" t="n">
        <v>0</v>
      </c>
      <c r="AI200" s="0" t="n">
        <v>299</v>
      </c>
      <c r="AJ200" s="0" t="n">
        <v>36</v>
      </c>
      <c r="AK200" s="0" t="n">
        <v>24</v>
      </c>
      <c r="AL200" s="0" t="n">
        <v>0.86</v>
      </c>
    </row>
    <row r="201">
      <c r="A201" s="0" t="inlineStr">
        <is>
          <t>[덕풍동]</t>
        </is>
      </c>
      <c r="B201" s="0" t="n">
        <v>120533</v>
      </c>
      <c r="C201" s="0" t="n">
        <v>2</v>
      </c>
      <c r="D201" s="0" t="inlineStr">
        <is>
          <t>그린나래</t>
        </is>
      </c>
      <c r="E201" s="0" t="inlineStr">
        <is>
          <t>2017.08.</t>
        </is>
      </c>
      <c r="F201" s="0" t="n">
        <v>28</v>
      </c>
      <c r="G201" s="0" t="n">
        <v>19.7</v>
      </c>
      <c r="H201" s="0" t="n">
        <v>65.13</v>
      </c>
      <c r="I201" s="0" t="n">
        <v>17.4</v>
      </c>
      <c r="J201" s="0" t="n">
        <v>57.54</v>
      </c>
      <c r="K201" s="0" t="n">
        <v>7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65A</t>
        </is>
      </c>
      <c r="X201" s="0" t="n">
        <v>8</v>
      </c>
      <c r="Y201" s="0" t="n">
        <v>8</v>
      </c>
      <c r="Z201" s="0" t="inlineStr">
        <is>
          <t>https://new.land.naver.com/complexes/120533?tab=detail&amp;rf=Y</t>
        </is>
      </c>
      <c r="AA201" s="0" t="inlineStr">
        <is>
          <t>경기도 하남시 덕풍동 537-4</t>
        </is>
      </c>
      <c r="AB201" s="0" t="inlineStr">
        <is>
          <t>경기도</t>
        </is>
      </c>
      <c r="AC201" s="0" t="inlineStr">
        <is>
          <t>하남시</t>
        </is>
      </c>
      <c r="AD201" s="0" t="inlineStr">
        <is>
          <t>덕풍동</t>
        </is>
      </c>
      <c r="AG201" s="0" t="inlineStr">
        <is>
          <t>경기도 하남시 역말로15번길 30</t>
        </is>
      </c>
      <c r="AH201" s="0" t="n">
        <v>0</v>
      </c>
      <c r="AI201" s="0" t="n">
        <v>299</v>
      </c>
      <c r="AJ201" s="0" t="n">
        <v>36</v>
      </c>
      <c r="AK201" s="0" t="n">
        <v>24</v>
      </c>
      <c r="AL201" s="0" t="n">
        <v>0.86</v>
      </c>
    </row>
    <row r="202">
      <c r="A202" s="0" t="inlineStr">
        <is>
          <t>[덕풍동]</t>
        </is>
      </c>
      <c r="B202" s="0" t="n">
        <v>120533</v>
      </c>
      <c r="C202" s="0" t="n">
        <v>3</v>
      </c>
      <c r="D202" s="0" t="inlineStr">
        <is>
          <t>그린나래</t>
        </is>
      </c>
      <c r="E202" s="0" t="inlineStr">
        <is>
          <t>2017.08.</t>
        </is>
      </c>
      <c r="F202" s="0" t="n">
        <v>28</v>
      </c>
      <c r="G202" s="0" t="n">
        <v>19.77</v>
      </c>
      <c r="H202" s="0" t="n">
        <v>65.37</v>
      </c>
      <c r="I202" s="0" t="n">
        <v>17.46</v>
      </c>
      <c r="J202" s="0" t="n">
        <v>57.75</v>
      </c>
      <c r="K202" s="0" t="n">
        <v>7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65B</t>
        </is>
      </c>
      <c r="X202" s="0" t="n">
        <v>8</v>
      </c>
      <c r="Y202" s="0" t="n">
        <v>8</v>
      </c>
      <c r="Z202" s="0" t="inlineStr">
        <is>
          <t>https://new.land.naver.com/complexes/120533?tab=detail&amp;rf=Y</t>
        </is>
      </c>
      <c r="AA202" s="0" t="inlineStr">
        <is>
          <t>경기도 하남시 덕풍동 537-4</t>
        </is>
      </c>
      <c r="AB202" s="0" t="inlineStr">
        <is>
          <t>경기도</t>
        </is>
      </c>
      <c r="AC202" s="0" t="inlineStr">
        <is>
          <t>하남시</t>
        </is>
      </c>
      <c r="AD202" s="0" t="inlineStr">
        <is>
          <t>덕풍동</t>
        </is>
      </c>
      <c r="AG202" s="0" t="inlineStr">
        <is>
          <t>경기도 하남시 역말로15번길 30</t>
        </is>
      </c>
      <c r="AH202" s="0" t="n">
        <v>0</v>
      </c>
      <c r="AI202" s="0" t="n">
        <v>299</v>
      </c>
      <c r="AJ202" s="0" t="n">
        <v>36</v>
      </c>
      <c r="AK202" s="0" t="n">
        <v>24</v>
      </c>
      <c r="AL202" s="0" t="n">
        <v>0.86</v>
      </c>
    </row>
    <row r="203">
      <c r="A203" s="0" t="inlineStr">
        <is>
          <t>[덕풍동]</t>
        </is>
      </c>
      <c r="B203" s="0" t="n">
        <v>120533</v>
      </c>
      <c r="C203" s="0" t="n">
        <v>4</v>
      </c>
      <c r="D203" s="0" t="inlineStr">
        <is>
          <t>그린나래</t>
        </is>
      </c>
      <c r="E203" s="0" t="inlineStr">
        <is>
          <t>2017.08.</t>
        </is>
      </c>
      <c r="F203" s="0" t="n">
        <v>28</v>
      </c>
      <c r="G203" s="0" t="n">
        <v>19.95</v>
      </c>
      <c r="H203" s="0" t="n">
        <v>65.97</v>
      </c>
      <c r="I203" s="0" t="n">
        <v>17.62</v>
      </c>
      <c r="J203" s="0" t="n">
        <v>58.28</v>
      </c>
      <c r="K203" s="0" t="n">
        <v>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65C</t>
        </is>
      </c>
      <c r="X203" s="0" t="n">
        <v>8</v>
      </c>
      <c r="Y203" s="0" t="n">
        <v>8</v>
      </c>
      <c r="Z203" s="0" t="inlineStr">
        <is>
          <t>https://new.land.naver.com/complexes/120533?tab=detail&amp;rf=Y</t>
        </is>
      </c>
      <c r="AA203" s="0" t="inlineStr">
        <is>
          <t>경기도 하남시 덕풍동 537-4</t>
        </is>
      </c>
      <c r="AB203" s="0" t="inlineStr">
        <is>
          <t>경기도</t>
        </is>
      </c>
      <c r="AC203" s="0" t="inlineStr">
        <is>
          <t>하남시</t>
        </is>
      </c>
      <c r="AD203" s="0" t="inlineStr">
        <is>
          <t>덕풍동</t>
        </is>
      </c>
      <c r="AG203" s="0" t="inlineStr">
        <is>
          <t>경기도 하남시 역말로15번길 30</t>
        </is>
      </c>
      <c r="AH203" s="0" t="n">
        <v>0</v>
      </c>
      <c r="AI203" s="0" t="n">
        <v>299</v>
      </c>
      <c r="AJ203" s="0" t="n">
        <v>36</v>
      </c>
      <c r="AK203" s="0" t="n">
        <v>24</v>
      </c>
      <c r="AL203" s="0" t="n">
        <v>0.86</v>
      </c>
    </row>
    <row r="204">
      <c r="A204" s="0" t="inlineStr">
        <is>
          <t>[덕풍동]</t>
        </is>
      </c>
      <c r="B204" s="0" t="n">
        <v>144365</v>
      </c>
      <c r="C204" s="0" t="n">
        <v>1</v>
      </c>
      <c r="D204" s="0" t="inlineStr">
        <is>
          <t>더샵하남에디피스</t>
        </is>
      </c>
      <c r="E204" s="0" t="inlineStr">
        <is>
          <t>2024.03.</t>
        </is>
      </c>
      <c r="F204" s="0" t="n">
        <v>980</v>
      </c>
      <c r="G204" s="0" t="n">
        <v>16.93</v>
      </c>
      <c r="H204" s="0" t="n">
        <v>55.99</v>
      </c>
      <c r="I204" s="0" t="n">
        <v>11.95</v>
      </c>
      <c r="J204" s="0" t="n">
        <v>39.51</v>
      </c>
      <c r="K204" s="0" t="n">
        <v>2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55B</t>
        </is>
      </c>
      <c r="X204" s="0" t="n">
        <v>25</v>
      </c>
      <c r="Y204" s="0" t="n">
        <v>20</v>
      </c>
      <c r="Z204" s="0" t="inlineStr">
        <is>
          <t>https://new.land.naver.com/complexes/144365?tab=detail&amp;rf=Y</t>
        </is>
      </c>
      <c r="AA204" s="0" t="inlineStr">
        <is>
          <t>경기도 하남시 덕풍동 285-31번지 일원</t>
        </is>
      </c>
      <c r="AB204" s="0" t="inlineStr">
        <is>
          <t>경기도</t>
        </is>
      </c>
      <c r="AC204" s="0" t="inlineStr">
        <is>
          <t>하남시</t>
        </is>
      </c>
      <c r="AD204" s="0" t="inlineStr">
        <is>
          <t>덕풍동</t>
        </is>
      </c>
      <c r="AG204" s="0" t="inlineStr">
        <is>
          <t>경기도 하남시</t>
        </is>
      </c>
      <c r="AH204" s="0" t="n">
        <v>50</v>
      </c>
      <c r="AI204" s="0" t="n">
        <v>247</v>
      </c>
      <c r="AJ204" s="0" t="n">
        <v>19</v>
      </c>
      <c r="AK204" s="0" t="n">
        <v>1267</v>
      </c>
      <c r="AL204" s="0" t="n">
        <v>1.29</v>
      </c>
    </row>
    <row r="205">
      <c r="A205" s="0" t="inlineStr">
        <is>
          <t>[덕풍동]</t>
        </is>
      </c>
      <c r="B205" s="0" t="n">
        <v>144365</v>
      </c>
      <c r="C205" s="0" t="n">
        <v>2</v>
      </c>
      <c r="D205" s="0" t="inlineStr">
        <is>
          <t>더샵하남에디피스</t>
        </is>
      </c>
      <c r="E205" s="0" t="inlineStr">
        <is>
          <t>2024.03.</t>
        </is>
      </c>
      <c r="F205" s="0" t="n">
        <v>980</v>
      </c>
      <c r="G205" s="0" t="n">
        <v>16.96</v>
      </c>
      <c r="H205" s="0" t="n">
        <v>56.08</v>
      </c>
      <c r="I205" s="0" t="n">
        <v>11.93</v>
      </c>
      <c r="J205" s="0" t="n">
        <v>39.44</v>
      </c>
      <c r="K205" s="0" t="n">
        <v>10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56A</t>
        </is>
      </c>
      <c r="X205" s="0" t="n">
        <v>25</v>
      </c>
      <c r="Y205" s="0" t="n">
        <v>20</v>
      </c>
      <c r="Z205" s="0" t="inlineStr">
        <is>
          <t>https://new.land.naver.com/complexes/144365?tab=detail&amp;rf=Y</t>
        </is>
      </c>
      <c r="AA205" s="0" t="inlineStr">
        <is>
          <t>경기도 하남시 덕풍동 285-31번지 일원</t>
        </is>
      </c>
      <c r="AB205" s="0" t="inlineStr">
        <is>
          <t>경기도</t>
        </is>
      </c>
      <c r="AC205" s="0" t="inlineStr">
        <is>
          <t>하남시</t>
        </is>
      </c>
      <c r="AD205" s="0" t="inlineStr">
        <is>
          <t>덕풍동</t>
        </is>
      </c>
      <c r="AG205" s="0" t="inlineStr">
        <is>
          <t>경기도 하남시</t>
        </is>
      </c>
      <c r="AH205" s="0" t="n">
        <v>50</v>
      </c>
      <c r="AI205" s="0" t="n">
        <v>247</v>
      </c>
      <c r="AJ205" s="0" t="n">
        <v>19</v>
      </c>
      <c r="AK205" s="0" t="n">
        <v>1267</v>
      </c>
      <c r="AL205" s="0" t="n">
        <v>1.29</v>
      </c>
    </row>
    <row r="206">
      <c r="A206" s="0" t="inlineStr">
        <is>
          <t>[덕풍동]</t>
        </is>
      </c>
      <c r="B206" s="0" t="n">
        <v>144365</v>
      </c>
      <c r="C206" s="0" t="n">
        <v>3</v>
      </c>
      <c r="D206" s="0" t="inlineStr">
        <is>
          <t>더샵하남에디피스</t>
        </is>
      </c>
      <c r="E206" s="0" t="inlineStr">
        <is>
          <t>2024.03.</t>
        </is>
      </c>
      <c r="F206" s="0" t="n">
        <v>980</v>
      </c>
      <c r="G206" s="0" t="n">
        <v>20.99</v>
      </c>
      <c r="H206" s="0" t="n">
        <v>69.40000000000001</v>
      </c>
      <c r="I206" s="0" t="n">
        <v>15.18</v>
      </c>
      <c r="J206" s="0" t="n">
        <v>50.19</v>
      </c>
      <c r="K206" s="0" t="n">
        <v>12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69</v>
      </c>
      <c r="X206" s="0" t="n">
        <v>25</v>
      </c>
      <c r="Y206" s="0" t="n">
        <v>20</v>
      </c>
      <c r="Z206" s="0" t="inlineStr">
        <is>
          <t>https://new.land.naver.com/complexes/144365?tab=detail&amp;rf=Y</t>
        </is>
      </c>
      <c r="AA206" s="0" t="inlineStr">
        <is>
          <t>경기도 하남시 덕풍동 285-31번지 일원</t>
        </is>
      </c>
      <c r="AB206" s="0" t="inlineStr">
        <is>
          <t>경기도</t>
        </is>
      </c>
      <c r="AC206" s="0" t="inlineStr">
        <is>
          <t>하남시</t>
        </is>
      </c>
      <c r="AD206" s="0" t="inlineStr">
        <is>
          <t>덕풍동</t>
        </is>
      </c>
      <c r="AG206" s="0" t="inlineStr">
        <is>
          <t>경기도 하남시</t>
        </is>
      </c>
      <c r="AH206" s="0" t="n">
        <v>50</v>
      </c>
      <c r="AI206" s="0" t="n">
        <v>247</v>
      </c>
      <c r="AJ206" s="0" t="n">
        <v>19</v>
      </c>
      <c r="AK206" s="0" t="n">
        <v>1267</v>
      </c>
      <c r="AL206" s="0" t="n">
        <v>1.29</v>
      </c>
    </row>
    <row r="207">
      <c r="A207" s="0" t="inlineStr">
        <is>
          <t>[덕풍동]</t>
        </is>
      </c>
      <c r="B207" s="0" t="n">
        <v>144365</v>
      </c>
      <c r="C207" s="0" t="n">
        <v>4</v>
      </c>
      <c r="D207" s="0" t="inlineStr">
        <is>
          <t>더샵하남에디피스</t>
        </is>
      </c>
      <c r="E207" s="0" t="inlineStr">
        <is>
          <t>2024.03.</t>
        </is>
      </c>
      <c r="F207" s="0" t="n">
        <v>980</v>
      </c>
      <c r="G207" s="0" t="n">
        <v>24</v>
      </c>
      <c r="H207" s="0" t="n">
        <v>79.36</v>
      </c>
      <c r="I207" s="0" t="n">
        <v>18.14</v>
      </c>
      <c r="J207" s="0" t="n">
        <v>59.98</v>
      </c>
      <c r="K207" s="0" t="n">
        <v>408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79A</t>
        </is>
      </c>
      <c r="X207" s="0" t="n">
        <v>25</v>
      </c>
      <c r="Y207" s="0" t="n">
        <v>20</v>
      </c>
      <c r="Z207" s="0" t="inlineStr">
        <is>
          <t>https://new.land.naver.com/complexes/144365?tab=detail&amp;rf=Y</t>
        </is>
      </c>
      <c r="AA207" s="0" t="inlineStr">
        <is>
          <t>경기도 하남시 덕풍동 285-31번지 일원</t>
        </is>
      </c>
      <c r="AB207" s="0" t="inlineStr">
        <is>
          <t>경기도</t>
        </is>
      </c>
      <c r="AC207" s="0" t="inlineStr">
        <is>
          <t>하남시</t>
        </is>
      </c>
      <c r="AD207" s="0" t="inlineStr">
        <is>
          <t>덕풍동</t>
        </is>
      </c>
      <c r="AG207" s="0" t="inlineStr">
        <is>
          <t>경기도 하남시</t>
        </is>
      </c>
      <c r="AH207" s="0" t="n">
        <v>50</v>
      </c>
      <c r="AI207" s="0" t="n">
        <v>247</v>
      </c>
      <c r="AJ207" s="0" t="n">
        <v>19</v>
      </c>
      <c r="AK207" s="0" t="n">
        <v>1267</v>
      </c>
      <c r="AL207" s="0" t="n">
        <v>1.29</v>
      </c>
    </row>
    <row r="208">
      <c r="A208" s="0" t="inlineStr">
        <is>
          <t>[덕풍동]</t>
        </is>
      </c>
      <c r="B208" s="0" t="n">
        <v>144365</v>
      </c>
      <c r="C208" s="0" t="n">
        <v>5</v>
      </c>
      <c r="D208" s="0" t="inlineStr">
        <is>
          <t>더샵하남에디피스</t>
        </is>
      </c>
      <c r="E208" s="0" t="inlineStr">
        <is>
          <t>2024.03.</t>
        </is>
      </c>
      <c r="F208" s="0" t="n">
        <v>980</v>
      </c>
      <c r="G208" s="0" t="n">
        <v>24.09</v>
      </c>
      <c r="H208" s="0" t="n">
        <v>79.66</v>
      </c>
      <c r="I208" s="0" t="n">
        <v>18.11</v>
      </c>
      <c r="J208" s="0" t="n">
        <v>59.88</v>
      </c>
      <c r="K208" s="0" t="n">
        <v>118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79B</t>
        </is>
      </c>
      <c r="X208" s="0" t="n">
        <v>25</v>
      </c>
      <c r="Y208" s="0" t="n">
        <v>20</v>
      </c>
      <c r="Z208" s="0" t="inlineStr">
        <is>
          <t>https://new.land.naver.com/complexes/144365?tab=detail&amp;rf=Y</t>
        </is>
      </c>
      <c r="AA208" s="0" t="inlineStr">
        <is>
          <t>경기도 하남시 덕풍동 285-31번지 일원</t>
        </is>
      </c>
      <c r="AB208" s="0" t="inlineStr">
        <is>
          <t>경기도</t>
        </is>
      </c>
      <c r="AC208" s="0" t="inlineStr">
        <is>
          <t>하남시</t>
        </is>
      </c>
      <c r="AD208" s="0" t="inlineStr">
        <is>
          <t>덕풍동</t>
        </is>
      </c>
      <c r="AG208" s="0" t="inlineStr">
        <is>
          <t>경기도 하남시</t>
        </is>
      </c>
      <c r="AH208" s="0" t="n">
        <v>50</v>
      </c>
      <c r="AI208" s="0" t="n">
        <v>247</v>
      </c>
      <c r="AJ208" s="0" t="n">
        <v>19</v>
      </c>
      <c r="AK208" s="0" t="n">
        <v>1267</v>
      </c>
      <c r="AL208" s="0" t="n">
        <v>1.29</v>
      </c>
    </row>
    <row r="209">
      <c r="A209" s="0" t="inlineStr">
        <is>
          <t>[덕풍동]</t>
        </is>
      </c>
      <c r="B209" s="0" t="n">
        <v>144365</v>
      </c>
      <c r="C209" s="0" t="n">
        <v>6</v>
      </c>
      <c r="D209" s="0" t="inlineStr">
        <is>
          <t>더샵하남에디피스</t>
        </is>
      </c>
      <c r="E209" s="0" t="inlineStr">
        <is>
          <t>2024.03.</t>
        </is>
      </c>
      <c r="F209" s="0" t="n">
        <v>980</v>
      </c>
      <c r="G209" s="0" t="n">
        <v>29.98</v>
      </c>
      <c r="H209" s="0" t="n">
        <v>99.11</v>
      </c>
      <c r="I209" s="0" t="n">
        <v>22.57</v>
      </c>
      <c r="J209" s="0" t="n">
        <v>74.64</v>
      </c>
      <c r="K209" s="0" t="n">
        <v>139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99</v>
      </c>
      <c r="X209" s="0" t="n">
        <v>25</v>
      </c>
      <c r="Y209" s="0" t="n">
        <v>20</v>
      </c>
      <c r="Z209" s="0" t="inlineStr">
        <is>
          <t>https://new.land.naver.com/complexes/144365?tab=detail&amp;rf=Y</t>
        </is>
      </c>
      <c r="AA209" s="0" t="inlineStr">
        <is>
          <t>경기도 하남시 덕풍동 285-31번지 일원</t>
        </is>
      </c>
      <c r="AB209" s="0" t="inlineStr">
        <is>
          <t>경기도</t>
        </is>
      </c>
      <c r="AC209" s="0" t="inlineStr">
        <is>
          <t>하남시</t>
        </is>
      </c>
      <c r="AD209" s="0" t="inlineStr">
        <is>
          <t>덕풍동</t>
        </is>
      </c>
      <c r="AG209" s="0" t="inlineStr">
        <is>
          <t>경기도 하남시</t>
        </is>
      </c>
      <c r="AH209" s="0" t="n">
        <v>50</v>
      </c>
      <c r="AI209" s="0" t="n">
        <v>247</v>
      </c>
      <c r="AJ209" s="0" t="n">
        <v>19</v>
      </c>
      <c r="AK209" s="0" t="n">
        <v>1267</v>
      </c>
      <c r="AL209" s="0" t="n">
        <v>1.29</v>
      </c>
    </row>
    <row r="210">
      <c r="A210" s="0" t="inlineStr">
        <is>
          <t>[덕풍동]</t>
        </is>
      </c>
      <c r="B210" s="0" t="n">
        <v>144365</v>
      </c>
      <c r="C210" s="0" t="n">
        <v>7</v>
      </c>
      <c r="D210" s="0" t="inlineStr">
        <is>
          <t>더샵하남에디피스</t>
        </is>
      </c>
      <c r="E210" s="0" t="inlineStr">
        <is>
          <t>2024.03.</t>
        </is>
      </c>
      <c r="F210" s="0" t="n">
        <v>980</v>
      </c>
      <c r="G210" s="0" t="n">
        <v>33.18</v>
      </c>
      <c r="H210" s="0" t="n">
        <v>109.71</v>
      </c>
      <c r="I210" s="0" t="n">
        <v>25.67</v>
      </c>
      <c r="J210" s="0" t="n">
        <v>84.87</v>
      </c>
      <c r="K210" s="0" t="n">
        <v>241</v>
      </c>
      <c r="T210" s="0" t="n">
        <v>3</v>
      </c>
      <c r="U210" s="0" t="n">
        <v>2</v>
      </c>
      <c r="V210" s="0" t="inlineStr">
        <is>
          <t>계단식</t>
        </is>
      </c>
      <c r="W210" s="0" t="n">
        <v>109</v>
      </c>
      <c r="X210" s="0" t="n">
        <v>25</v>
      </c>
      <c r="Y210" s="0" t="n">
        <v>20</v>
      </c>
      <c r="Z210" s="0" t="inlineStr">
        <is>
          <t>https://new.land.naver.com/complexes/144365?tab=detail&amp;rf=Y</t>
        </is>
      </c>
      <c r="AA210" s="0" t="inlineStr">
        <is>
          <t>경기도 하남시 덕풍동 285-31번지 일원</t>
        </is>
      </c>
      <c r="AB210" s="0" t="inlineStr">
        <is>
          <t>경기도</t>
        </is>
      </c>
      <c r="AC210" s="0" t="inlineStr">
        <is>
          <t>하남시</t>
        </is>
      </c>
      <c r="AD210" s="0" t="inlineStr">
        <is>
          <t>덕풍동</t>
        </is>
      </c>
      <c r="AG210" s="0" t="inlineStr">
        <is>
          <t>경기도 하남시</t>
        </is>
      </c>
      <c r="AH210" s="0" t="n">
        <v>50</v>
      </c>
      <c r="AI210" s="0" t="n">
        <v>247</v>
      </c>
      <c r="AJ210" s="0" t="n">
        <v>19</v>
      </c>
      <c r="AK210" s="0" t="n">
        <v>1267</v>
      </c>
      <c r="AL210" s="0" t="n">
        <v>1.29</v>
      </c>
    </row>
    <row r="211">
      <c r="A211" s="0" t="inlineStr">
        <is>
          <t>[덕풍동]</t>
        </is>
      </c>
      <c r="B211" s="0" t="n">
        <v>25271</v>
      </c>
      <c r="C211" s="0" t="n">
        <v>1</v>
      </c>
      <c r="D211" s="0" t="inlineStr">
        <is>
          <t>하남풍산아이파크5단지</t>
        </is>
      </c>
      <c r="E211" s="0" t="inlineStr">
        <is>
          <t>2008.07.</t>
        </is>
      </c>
      <c r="F211" s="0" t="n">
        <v>365</v>
      </c>
      <c r="G211" s="0" t="n">
        <v>33.16</v>
      </c>
      <c r="H211" s="0" t="n">
        <v>109.64</v>
      </c>
      <c r="I211" s="0" t="n">
        <v>25.69</v>
      </c>
      <c r="J211" s="0" t="n">
        <v>84.95</v>
      </c>
      <c r="K211" s="0" t="n">
        <v>41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109E</t>
        </is>
      </c>
      <c r="X211" s="0" t="n">
        <v>15</v>
      </c>
      <c r="Y211" s="0" t="n">
        <v>9</v>
      </c>
      <c r="Z211" s="0" t="inlineStr">
        <is>
          <t>https://new.land.naver.com/complexes/25271?tab=detail&amp;rf=Y</t>
        </is>
      </c>
      <c r="AA211" s="0" t="inlineStr">
        <is>
          <t>경기도 하남시 덕풍동 731</t>
        </is>
      </c>
      <c r="AB211" s="0" t="inlineStr">
        <is>
          <t>경기도</t>
        </is>
      </c>
      <c r="AC211" s="0" t="inlineStr">
        <is>
          <t>하남시</t>
        </is>
      </c>
      <c r="AD211" s="0" t="inlineStr">
        <is>
          <t>덕풍동</t>
        </is>
      </c>
      <c r="AG211" s="0" t="inlineStr">
        <is>
          <t>경기도 하남시 덕풍서로 65</t>
        </is>
      </c>
      <c r="AH211" s="0" t="n">
        <v>0</v>
      </c>
      <c r="AI211" s="0" t="n">
        <v>179</v>
      </c>
      <c r="AJ211" s="0" t="n">
        <v>20</v>
      </c>
      <c r="AK211" s="0" t="n">
        <v>493</v>
      </c>
      <c r="AL211" s="0" t="n">
        <v>1.35</v>
      </c>
    </row>
    <row r="212">
      <c r="A212" s="0" t="inlineStr">
        <is>
          <t>[덕풍동]</t>
        </is>
      </c>
      <c r="B212" s="0" t="n">
        <v>25271</v>
      </c>
      <c r="C212" s="0" t="n">
        <v>2</v>
      </c>
      <c r="D212" s="0" t="inlineStr">
        <is>
          <t>하남풍산아이파크5단지</t>
        </is>
      </c>
      <c r="E212" s="0" t="inlineStr">
        <is>
          <t>2008.07.</t>
        </is>
      </c>
      <c r="F212" s="0" t="n">
        <v>365</v>
      </c>
      <c r="G212" s="0" t="n">
        <v>33.53</v>
      </c>
      <c r="H212" s="0" t="n">
        <v>110.85</v>
      </c>
      <c r="I212" s="0" t="n">
        <v>25.7</v>
      </c>
      <c r="J212" s="0" t="n">
        <v>84.95999999999999</v>
      </c>
      <c r="K212" s="0" t="n">
        <v>78</v>
      </c>
      <c r="T212" s="0" t="n">
        <v>3</v>
      </c>
      <c r="U212" s="0" t="n">
        <v>2</v>
      </c>
      <c r="V212" s="0" t="inlineStr">
        <is>
          <t>복도식</t>
        </is>
      </c>
      <c r="W212" s="0" t="inlineStr">
        <is>
          <t>110C</t>
        </is>
      </c>
      <c r="X212" s="0" t="n">
        <v>15</v>
      </c>
      <c r="Y212" s="0" t="n">
        <v>9</v>
      </c>
      <c r="Z212" s="0" t="inlineStr">
        <is>
          <t>https://new.land.naver.com/complexes/25271?tab=detail&amp;rf=Y</t>
        </is>
      </c>
      <c r="AA212" s="0" t="inlineStr">
        <is>
          <t>경기도 하남시 덕풍동 731</t>
        </is>
      </c>
      <c r="AB212" s="0" t="inlineStr">
        <is>
          <t>경기도</t>
        </is>
      </c>
      <c r="AC212" s="0" t="inlineStr">
        <is>
          <t>하남시</t>
        </is>
      </c>
      <c r="AD212" s="0" t="inlineStr">
        <is>
          <t>덕풍동</t>
        </is>
      </c>
      <c r="AG212" s="0" t="inlineStr">
        <is>
          <t>경기도 하남시 덕풍서로 65</t>
        </is>
      </c>
      <c r="AH212" s="0" t="n">
        <v>0</v>
      </c>
      <c r="AI212" s="0" t="n">
        <v>179</v>
      </c>
      <c r="AJ212" s="0" t="n">
        <v>20</v>
      </c>
      <c r="AK212" s="0" t="n">
        <v>493</v>
      </c>
      <c r="AL212" s="0" t="n">
        <v>1.35</v>
      </c>
    </row>
    <row r="213">
      <c r="A213" s="0" t="inlineStr">
        <is>
          <t>[덕풍동]</t>
        </is>
      </c>
      <c r="B213" s="0" t="n">
        <v>25271</v>
      </c>
      <c r="C213" s="0" t="n">
        <v>3</v>
      </c>
      <c r="D213" s="0" t="inlineStr">
        <is>
          <t>하남풍산아이파크5단지</t>
        </is>
      </c>
      <c r="E213" s="0" t="inlineStr">
        <is>
          <t>2008.07.</t>
        </is>
      </c>
      <c r="F213" s="0" t="n">
        <v>365</v>
      </c>
      <c r="G213" s="0" t="n">
        <v>33.34</v>
      </c>
      <c r="H213" s="0" t="n">
        <v>110.24</v>
      </c>
      <c r="I213" s="0" t="n">
        <v>25.7</v>
      </c>
      <c r="J213" s="0" t="n">
        <v>84.95999999999999</v>
      </c>
      <c r="K213" s="0" t="n">
        <v>74</v>
      </c>
      <c r="T213" s="0" t="n">
        <v>3</v>
      </c>
      <c r="U213" s="0" t="n">
        <v>2</v>
      </c>
      <c r="V213" s="0" t="inlineStr">
        <is>
          <t>복도식</t>
        </is>
      </c>
      <c r="W213" s="0" t="inlineStr">
        <is>
          <t>110D</t>
        </is>
      </c>
      <c r="X213" s="0" t="n">
        <v>15</v>
      </c>
      <c r="Y213" s="0" t="n">
        <v>9</v>
      </c>
      <c r="Z213" s="0" t="inlineStr">
        <is>
          <t>https://new.land.naver.com/complexes/25271?tab=detail&amp;rf=Y</t>
        </is>
      </c>
      <c r="AA213" s="0" t="inlineStr">
        <is>
          <t>경기도 하남시 덕풍동 731</t>
        </is>
      </c>
      <c r="AB213" s="0" t="inlineStr">
        <is>
          <t>경기도</t>
        </is>
      </c>
      <c r="AC213" s="0" t="inlineStr">
        <is>
          <t>하남시</t>
        </is>
      </c>
      <c r="AD213" s="0" t="inlineStr">
        <is>
          <t>덕풍동</t>
        </is>
      </c>
      <c r="AG213" s="0" t="inlineStr">
        <is>
          <t>경기도 하남시 덕풍서로 65</t>
        </is>
      </c>
      <c r="AH213" s="0" t="n">
        <v>0</v>
      </c>
      <c r="AI213" s="0" t="n">
        <v>179</v>
      </c>
      <c r="AJ213" s="0" t="n">
        <v>20</v>
      </c>
      <c r="AK213" s="0" t="n">
        <v>493</v>
      </c>
      <c r="AL213" s="0" t="n">
        <v>1.35</v>
      </c>
    </row>
    <row r="214">
      <c r="A214" s="0" t="inlineStr">
        <is>
          <t>[덕풍동]</t>
        </is>
      </c>
      <c r="B214" s="0" t="n">
        <v>25271</v>
      </c>
      <c r="C214" s="0" t="n">
        <v>4</v>
      </c>
      <c r="D214" s="0" t="inlineStr">
        <is>
          <t>하남풍산아이파크5단지</t>
        </is>
      </c>
      <c r="E214" s="0" t="inlineStr">
        <is>
          <t>2008.07.</t>
        </is>
      </c>
      <c r="F214" s="0" t="n">
        <v>365</v>
      </c>
      <c r="G214" s="0" t="n">
        <v>33.82</v>
      </c>
      <c r="H214" s="0" t="n">
        <v>111.83</v>
      </c>
      <c r="I214" s="0" t="n">
        <v>25.7</v>
      </c>
      <c r="J214" s="0" t="n">
        <v>84.95999999999999</v>
      </c>
      <c r="K214" s="0" t="n">
        <v>131</v>
      </c>
      <c r="T214" s="0" t="n">
        <v>3</v>
      </c>
      <c r="U214" s="0" t="n">
        <v>2</v>
      </c>
      <c r="V214" s="0" t="inlineStr">
        <is>
          <t>복도식</t>
        </is>
      </c>
      <c r="W214" s="0" t="inlineStr">
        <is>
          <t>111A</t>
        </is>
      </c>
      <c r="X214" s="0" t="n">
        <v>15</v>
      </c>
      <c r="Y214" s="0" t="n">
        <v>9</v>
      </c>
      <c r="Z214" s="0" t="inlineStr">
        <is>
          <t>https://new.land.naver.com/complexes/25271?tab=detail&amp;rf=Y</t>
        </is>
      </c>
      <c r="AA214" s="0" t="inlineStr">
        <is>
          <t>경기도 하남시 덕풍동 731</t>
        </is>
      </c>
      <c r="AB214" s="0" t="inlineStr">
        <is>
          <t>경기도</t>
        </is>
      </c>
      <c r="AC214" s="0" t="inlineStr">
        <is>
          <t>하남시</t>
        </is>
      </c>
      <c r="AD214" s="0" t="inlineStr">
        <is>
          <t>덕풍동</t>
        </is>
      </c>
      <c r="AG214" s="0" t="inlineStr">
        <is>
          <t>경기도 하남시 덕풍서로 65</t>
        </is>
      </c>
      <c r="AH214" s="0" t="n">
        <v>0</v>
      </c>
      <c r="AI214" s="0" t="n">
        <v>179</v>
      </c>
      <c r="AJ214" s="0" t="n">
        <v>20</v>
      </c>
      <c r="AK214" s="0" t="n">
        <v>493</v>
      </c>
      <c r="AL214" s="0" t="n">
        <v>1.35</v>
      </c>
    </row>
    <row r="215">
      <c r="A215" s="0" t="inlineStr">
        <is>
          <t>[덕풍동]</t>
        </is>
      </c>
      <c r="B215" s="0" t="n">
        <v>25271</v>
      </c>
      <c r="C215" s="0" t="n">
        <v>5</v>
      </c>
      <c r="D215" s="0" t="inlineStr">
        <is>
          <t>하남풍산아이파크5단지</t>
        </is>
      </c>
      <c r="E215" s="0" t="inlineStr">
        <is>
          <t>2008.07.</t>
        </is>
      </c>
      <c r="F215" s="0" t="n">
        <v>365</v>
      </c>
      <c r="G215" s="0" t="n">
        <v>33.97</v>
      </c>
      <c r="H215" s="0" t="n">
        <v>112.31</v>
      </c>
      <c r="I215" s="0" t="n">
        <v>25.69</v>
      </c>
      <c r="J215" s="0" t="n">
        <v>84.94</v>
      </c>
      <c r="K215" s="0" t="n">
        <v>41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112B</t>
        </is>
      </c>
      <c r="X215" s="0" t="n">
        <v>15</v>
      </c>
      <c r="Y215" s="0" t="n">
        <v>9</v>
      </c>
      <c r="Z215" s="0" t="inlineStr">
        <is>
          <t>https://new.land.naver.com/complexes/25271?tab=detail&amp;rf=Y</t>
        </is>
      </c>
      <c r="AA215" s="0" t="inlineStr">
        <is>
          <t>경기도 하남시 덕풍동 731</t>
        </is>
      </c>
      <c r="AB215" s="0" t="inlineStr">
        <is>
          <t>경기도</t>
        </is>
      </c>
      <c r="AC215" s="0" t="inlineStr">
        <is>
          <t>하남시</t>
        </is>
      </c>
      <c r="AD215" s="0" t="inlineStr">
        <is>
          <t>덕풍동</t>
        </is>
      </c>
      <c r="AG215" s="0" t="inlineStr">
        <is>
          <t>경기도 하남시 덕풍서로 65</t>
        </is>
      </c>
      <c r="AH215" s="0" t="n">
        <v>0</v>
      </c>
      <c r="AI215" s="0" t="n">
        <v>179</v>
      </c>
      <c r="AJ215" s="0" t="n">
        <v>20</v>
      </c>
      <c r="AK215" s="0" t="n">
        <v>493</v>
      </c>
      <c r="AL215" s="0" t="n">
        <v>1.35</v>
      </c>
    </row>
    <row r="216">
      <c r="A216" s="0" t="inlineStr">
        <is>
          <t>[망월동]</t>
        </is>
      </c>
      <c r="B216" s="0" t="n">
        <v>132188</v>
      </c>
      <c r="C216" s="0" t="n">
        <v>1</v>
      </c>
      <c r="D216" s="0" t="inlineStr">
        <is>
          <t>미사강변사랑으로부영</t>
        </is>
      </c>
      <c r="E216" s="0" t="inlineStr">
        <is>
          <t>2017.10.</t>
        </is>
      </c>
      <c r="F216" s="0" t="n">
        <v>1104</v>
      </c>
      <c r="G216" s="0" t="n">
        <v>25.55</v>
      </c>
      <c r="H216" s="0" t="n">
        <v>84.47</v>
      </c>
      <c r="I216" s="0" t="n">
        <v>18.41</v>
      </c>
      <c r="J216" s="0" t="n">
        <v>60.89</v>
      </c>
      <c r="K216" s="0" t="n">
        <v>196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84</v>
      </c>
      <c r="X216" s="0" t="n">
        <v>29</v>
      </c>
      <c r="Y216" s="0" t="n">
        <v>24</v>
      </c>
      <c r="Z216" s="0" t="inlineStr">
        <is>
          <t>https://new.land.naver.com/complexes/132188?tab=detail&amp;rf=Y</t>
        </is>
      </c>
      <c r="AA216" s="0" t="inlineStr">
        <is>
          <t>경기도 하남시 망월동 1177</t>
        </is>
      </c>
      <c r="AB216" s="0" t="inlineStr">
        <is>
          <t>경기도</t>
        </is>
      </c>
      <c r="AC216" s="0" t="inlineStr">
        <is>
          <t>하남시</t>
        </is>
      </c>
      <c r="AD216" s="0" t="inlineStr">
        <is>
          <t>망월동</t>
        </is>
      </c>
      <c r="AG216" s="0" t="inlineStr">
        <is>
          <t>경기도 하남시 미사강변동로 20</t>
        </is>
      </c>
      <c r="AH216" s="0" t="n">
        <v>0</v>
      </c>
      <c r="AI216" s="0" t="n">
        <v>209</v>
      </c>
      <c r="AJ216" s="0" t="n">
        <v>12</v>
      </c>
      <c r="AK216" s="0" t="n">
        <v>1342</v>
      </c>
      <c r="AL216" s="0" t="n">
        <v>1.22</v>
      </c>
    </row>
    <row r="217">
      <c r="A217" s="0" t="inlineStr">
        <is>
          <t>[망월동]</t>
        </is>
      </c>
      <c r="B217" s="0" t="n">
        <v>132188</v>
      </c>
      <c r="C217" s="0" t="n">
        <v>2</v>
      </c>
      <c r="D217" s="0" t="inlineStr">
        <is>
          <t>미사강변사랑으로부영</t>
        </is>
      </c>
      <c r="E217" s="0" t="inlineStr">
        <is>
          <t>2017.10.</t>
        </is>
      </c>
      <c r="F217" s="0" t="n">
        <v>1104</v>
      </c>
      <c r="G217" s="0" t="n">
        <v>34.4</v>
      </c>
      <c r="H217" s="0" t="n">
        <v>113.75</v>
      </c>
      <c r="I217" s="0" t="n">
        <v>25.7</v>
      </c>
      <c r="J217" s="0" t="n">
        <v>84.98999999999999</v>
      </c>
      <c r="K217" s="0" t="n">
        <v>452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113A</t>
        </is>
      </c>
      <c r="X217" s="0" t="n">
        <v>29</v>
      </c>
      <c r="Y217" s="0" t="n">
        <v>24</v>
      </c>
      <c r="Z217" s="0" t="inlineStr">
        <is>
          <t>https://new.land.naver.com/complexes/132188?tab=detail&amp;rf=Y</t>
        </is>
      </c>
      <c r="AA217" s="0" t="inlineStr">
        <is>
          <t>경기도 하남시 망월동 1177</t>
        </is>
      </c>
      <c r="AB217" s="0" t="inlineStr">
        <is>
          <t>경기도</t>
        </is>
      </c>
      <c r="AC217" s="0" t="inlineStr">
        <is>
          <t>하남시</t>
        </is>
      </c>
      <c r="AD217" s="0" t="inlineStr">
        <is>
          <t>망월동</t>
        </is>
      </c>
      <c r="AG217" s="0" t="inlineStr">
        <is>
          <t>경기도 하남시 미사강변동로 20</t>
        </is>
      </c>
      <c r="AH217" s="0" t="n">
        <v>0</v>
      </c>
      <c r="AI217" s="0" t="n">
        <v>209</v>
      </c>
      <c r="AJ217" s="0" t="n">
        <v>12</v>
      </c>
      <c r="AK217" s="0" t="n">
        <v>1342</v>
      </c>
      <c r="AL217" s="0" t="n">
        <v>1.22</v>
      </c>
    </row>
    <row r="218">
      <c r="A218" s="0" t="inlineStr">
        <is>
          <t>[망월동]</t>
        </is>
      </c>
      <c r="B218" s="0" t="n">
        <v>132188</v>
      </c>
      <c r="C218" s="0" t="n">
        <v>3</v>
      </c>
      <c r="D218" s="0" t="inlineStr">
        <is>
          <t>미사강변사랑으로부영</t>
        </is>
      </c>
      <c r="E218" s="0" t="inlineStr">
        <is>
          <t>2017.10.</t>
        </is>
      </c>
      <c r="F218" s="0" t="n">
        <v>1104</v>
      </c>
      <c r="G218" s="0" t="n">
        <v>34.33</v>
      </c>
      <c r="H218" s="0" t="n">
        <v>113.5</v>
      </c>
      <c r="I218" s="0" t="n">
        <v>25.7</v>
      </c>
      <c r="J218" s="0" t="n">
        <v>84.98999999999999</v>
      </c>
      <c r="K218" s="0" t="n">
        <v>230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113B</t>
        </is>
      </c>
      <c r="X218" s="0" t="n">
        <v>29</v>
      </c>
      <c r="Y218" s="0" t="n">
        <v>24</v>
      </c>
      <c r="Z218" s="0" t="inlineStr">
        <is>
          <t>https://new.land.naver.com/complexes/132188?tab=detail&amp;rf=Y</t>
        </is>
      </c>
      <c r="AA218" s="0" t="inlineStr">
        <is>
          <t>경기도 하남시 망월동 1177</t>
        </is>
      </c>
      <c r="AB218" s="0" t="inlineStr">
        <is>
          <t>경기도</t>
        </is>
      </c>
      <c r="AC218" s="0" t="inlineStr">
        <is>
          <t>하남시</t>
        </is>
      </c>
      <c r="AD218" s="0" t="inlineStr">
        <is>
          <t>망월동</t>
        </is>
      </c>
      <c r="AG218" s="0" t="inlineStr">
        <is>
          <t>경기도 하남시 미사강변동로 20</t>
        </is>
      </c>
      <c r="AH218" s="0" t="n">
        <v>0</v>
      </c>
      <c r="AI218" s="0" t="n">
        <v>209</v>
      </c>
      <c r="AJ218" s="0" t="n">
        <v>12</v>
      </c>
      <c r="AK218" s="0" t="n">
        <v>1342</v>
      </c>
      <c r="AL218" s="0" t="n">
        <v>1.22</v>
      </c>
    </row>
    <row r="219">
      <c r="A219" s="0" t="inlineStr">
        <is>
          <t>[망월동]</t>
        </is>
      </c>
      <c r="B219" s="0" t="n">
        <v>132188</v>
      </c>
      <c r="C219" s="0" t="n">
        <v>4</v>
      </c>
      <c r="D219" s="0" t="inlineStr">
        <is>
          <t>미사강변사랑으로부영</t>
        </is>
      </c>
      <c r="E219" s="0" t="inlineStr">
        <is>
          <t>2017.10.</t>
        </is>
      </c>
      <c r="F219" s="0" t="n">
        <v>1104</v>
      </c>
      <c r="G219" s="0" t="n">
        <v>34.4</v>
      </c>
      <c r="H219" s="0" t="n">
        <v>113.72</v>
      </c>
      <c r="I219" s="0" t="n">
        <v>25.7</v>
      </c>
      <c r="J219" s="0" t="n">
        <v>84.97</v>
      </c>
      <c r="K219" s="0" t="n">
        <v>226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113C</t>
        </is>
      </c>
      <c r="X219" s="0" t="n">
        <v>29</v>
      </c>
      <c r="Y219" s="0" t="n">
        <v>24</v>
      </c>
      <c r="Z219" s="0" t="inlineStr">
        <is>
          <t>https://new.land.naver.com/complexes/132188?tab=detail&amp;rf=Y</t>
        </is>
      </c>
      <c r="AA219" s="0" t="inlineStr">
        <is>
          <t>경기도 하남시 망월동 1177</t>
        </is>
      </c>
      <c r="AB219" s="0" t="inlineStr">
        <is>
          <t>경기도</t>
        </is>
      </c>
      <c r="AC219" s="0" t="inlineStr">
        <is>
          <t>하남시</t>
        </is>
      </c>
      <c r="AD219" s="0" t="inlineStr">
        <is>
          <t>망월동</t>
        </is>
      </c>
      <c r="AG219" s="0" t="inlineStr">
        <is>
          <t>경기도 하남시 미사강변동로 20</t>
        </is>
      </c>
      <c r="AH219" s="0" t="n">
        <v>0</v>
      </c>
      <c r="AI219" s="0" t="n">
        <v>209</v>
      </c>
      <c r="AJ219" s="0" t="n">
        <v>12</v>
      </c>
      <c r="AK219" s="0" t="n">
        <v>1342</v>
      </c>
      <c r="AL219" s="0" t="n">
        <v>1.22</v>
      </c>
    </row>
    <row r="220">
      <c r="A220" s="0" t="inlineStr">
        <is>
          <t>[망월동]</t>
        </is>
      </c>
      <c r="B220" s="0" t="n">
        <v>107024</v>
      </c>
      <c r="C220" s="0" t="n">
        <v>1</v>
      </c>
      <c r="D220" s="0" t="inlineStr">
        <is>
          <t>미사강변센텀팰리스</t>
        </is>
      </c>
      <c r="E220" s="0" t="inlineStr">
        <is>
          <t>2016.07.</t>
        </is>
      </c>
      <c r="F220" s="0" t="n">
        <v>1455</v>
      </c>
      <c r="G220" s="0" t="n">
        <v>29.73</v>
      </c>
      <c r="H220" s="0" t="n">
        <v>98.31</v>
      </c>
      <c r="I220" s="0" t="n">
        <v>22.64</v>
      </c>
      <c r="J220" s="0" t="n">
        <v>74.86</v>
      </c>
      <c r="K220" s="0" t="n">
        <v>249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98A</t>
        </is>
      </c>
      <c r="X220" s="0" t="n">
        <v>26</v>
      </c>
      <c r="Y220" s="0" t="n">
        <v>12</v>
      </c>
      <c r="Z220" s="0" t="inlineStr">
        <is>
          <t>https://new.land.naver.com/complexes/107024?tab=detail&amp;rf=Y</t>
        </is>
      </c>
      <c r="AA220" s="0" t="inlineStr">
        <is>
          <t>경기도 하남시 망월동 1050</t>
        </is>
      </c>
      <c r="AB220" s="0" t="inlineStr">
        <is>
          <t>경기도</t>
        </is>
      </c>
      <c r="AC220" s="0" t="inlineStr">
        <is>
          <t>하남시</t>
        </is>
      </c>
      <c r="AD220" s="0" t="inlineStr">
        <is>
          <t>망월동</t>
        </is>
      </c>
      <c r="AG220" s="0" t="inlineStr">
        <is>
          <t>경기도 하남시 미사강변서로 127</t>
        </is>
      </c>
      <c r="AH220" s="0" t="n">
        <v>0</v>
      </c>
      <c r="AI220" s="0" t="n">
        <v>208</v>
      </c>
      <c r="AJ220" s="0" t="n">
        <v>17</v>
      </c>
      <c r="AK220" s="0" t="n">
        <v>1752</v>
      </c>
      <c r="AL220" s="0" t="n">
        <v>1.2</v>
      </c>
    </row>
    <row r="221">
      <c r="A221" s="0" t="inlineStr">
        <is>
          <t>[망월동]</t>
        </is>
      </c>
      <c r="B221" s="0" t="n">
        <v>107024</v>
      </c>
      <c r="C221" s="0" t="n">
        <v>2</v>
      </c>
      <c r="D221" s="0" t="inlineStr">
        <is>
          <t>미사강변센텀팰리스</t>
        </is>
      </c>
      <c r="E221" s="0" t="inlineStr">
        <is>
          <t>2016.07.</t>
        </is>
      </c>
      <c r="F221" s="0" t="n">
        <v>1455</v>
      </c>
      <c r="G221" s="0" t="n">
        <v>29.76</v>
      </c>
      <c r="H221" s="0" t="n">
        <v>98.40000000000001</v>
      </c>
      <c r="I221" s="0" t="n">
        <v>22.66</v>
      </c>
      <c r="J221" s="0" t="n">
        <v>74.93000000000001</v>
      </c>
      <c r="K221" s="0" t="n">
        <v>100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98C</t>
        </is>
      </c>
      <c r="X221" s="0" t="n">
        <v>26</v>
      </c>
      <c r="Y221" s="0" t="n">
        <v>12</v>
      </c>
      <c r="Z221" s="0" t="inlineStr">
        <is>
          <t>https://new.land.naver.com/complexes/107024?tab=detail&amp;rf=Y</t>
        </is>
      </c>
      <c r="AA221" s="0" t="inlineStr">
        <is>
          <t>경기도 하남시 망월동 1050</t>
        </is>
      </c>
      <c r="AB221" s="0" t="inlineStr">
        <is>
          <t>경기도</t>
        </is>
      </c>
      <c r="AC221" s="0" t="inlineStr">
        <is>
          <t>하남시</t>
        </is>
      </c>
      <c r="AD221" s="0" t="inlineStr">
        <is>
          <t>망월동</t>
        </is>
      </c>
      <c r="AG221" s="0" t="inlineStr">
        <is>
          <t>경기도 하남시 미사강변서로 127</t>
        </is>
      </c>
      <c r="AH221" s="0" t="n">
        <v>0</v>
      </c>
      <c r="AI221" s="0" t="n">
        <v>208</v>
      </c>
      <c r="AJ221" s="0" t="n">
        <v>17</v>
      </c>
      <c r="AK221" s="0" t="n">
        <v>1752</v>
      </c>
      <c r="AL221" s="0" t="n">
        <v>1.2</v>
      </c>
    </row>
    <row r="222">
      <c r="A222" s="0" t="inlineStr">
        <is>
          <t>[망월동]</t>
        </is>
      </c>
      <c r="B222" s="0" t="n">
        <v>107024</v>
      </c>
      <c r="C222" s="0" t="n">
        <v>3</v>
      </c>
      <c r="D222" s="0" t="inlineStr">
        <is>
          <t>미사강변센텀팰리스</t>
        </is>
      </c>
      <c r="E222" s="0" t="inlineStr">
        <is>
          <t>2016.07.</t>
        </is>
      </c>
      <c r="F222" s="0" t="n">
        <v>1455</v>
      </c>
      <c r="G222" s="0" t="n">
        <v>29.76</v>
      </c>
      <c r="H222" s="0" t="n">
        <v>98.40000000000001</v>
      </c>
      <c r="I222" s="0" t="n">
        <v>22.66</v>
      </c>
      <c r="J222" s="0" t="n">
        <v>74.93000000000001</v>
      </c>
      <c r="K222" s="0" t="n">
        <v>65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98B</t>
        </is>
      </c>
      <c r="X222" s="0" t="n">
        <v>26</v>
      </c>
      <c r="Y222" s="0" t="n">
        <v>12</v>
      </c>
      <c r="Z222" s="0" t="inlineStr">
        <is>
          <t>https://new.land.naver.com/complexes/107024?tab=detail&amp;rf=Y</t>
        </is>
      </c>
      <c r="AA222" s="0" t="inlineStr">
        <is>
          <t>경기도 하남시 망월동 1050</t>
        </is>
      </c>
      <c r="AB222" s="0" t="inlineStr">
        <is>
          <t>경기도</t>
        </is>
      </c>
      <c r="AC222" s="0" t="inlineStr">
        <is>
          <t>하남시</t>
        </is>
      </c>
      <c r="AD222" s="0" t="inlineStr">
        <is>
          <t>망월동</t>
        </is>
      </c>
      <c r="AG222" s="0" t="inlineStr">
        <is>
          <t>경기도 하남시 미사강변서로 127</t>
        </is>
      </c>
      <c r="AH222" s="0" t="n">
        <v>0</v>
      </c>
      <c r="AI222" s="0" t="n">
        <v>208</v>
      </c>
      <c r="AJ222" s="0" t="n">
        <v>17</v>
      </c>
      <c r="AK222" s="0" t="n">
        <v>1752</v>
      </c>
      <c r="AL222" s="0" t="n">
        <v>1.2</v>
      </c>
    </row>
    <row r="223">
      <c r="A223" s="0" t="inlineStr">
        <is>
          <t>[망월동]</t>
        </is>
      </c>
      <c r="B223" s="0" t="n">
        <v>107024</v>
      </c>
      <c r="C223" s="0" t="n">
        <v>4</v>
      </c>
      <c r="D223" s="0" t="inlineStr">
        <is>
          <t>미사강변센텀팰리스</t>
        </is>
      </c>
      <c r="E223" s="0" t="inlineStr">
        <is>
          <t>2016.07.</t>
        </is>
      </c>
      <c r="F223" s="0" t="n">
        <v>1455</v>
      </c>
      <c r="G223" s="0" t="n">
        <v>29.73</v>
      </c>
      <c r="H223" s="0" t="n">
        <v>98.31</v>
      </c>
      <c r="I223" s="0" t="n">
        <v>22.64</v>
      </c>
      <c r="J223" s="0" t="n">
        <v>74.86</v>
      </c>
      <c r="K223" s="0" t="n">
        <v>44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98AN</t>
        </is>
      </c>
      <c r="X223" s="0" t="n">
        <v>26</v>
      </c>
      <c r="Y223" s="0" t="n">
        <v>12</v>
      </c>
      <c r="Z223" s="0" t="inlineStr">
        <is>
          <t>https://new.land.naver.com/complexes/107024?tab=detail&amp;rf=Y</t>
        </is>
      </c>
      <c r="AA223" s="0" t="inlineStr">
        <is>
          <t>경기도 하남시 망월동 1050</t>
        </is>
      </c>
      <c r="AB223" s="0" t="inlineStr">
        <is>
          <t>경기도</t>
        </is>
      </c>
      <c r="AC223" s="0" t="inlineStr">
        <is>
          <t>하남시</t>
        </is>
      </c>
      <c r="AD223" s="0" t="inlineStr">
        <is>
          <t>망월동</t>
        </is>
      </c>
      <c r="AG223" s="0" t="inlineStr">
        <is>
          <t>경기도 하남시 미사강변서로 127</t>
        </is>
      </c>
      <c r="AH223" s="0" t="n">
        <v>0</v>
      </c>
      <c r="AI223" s="0" t="n">
        <v>208</v>
      </c>
      <c r="AJ223" s="0" t="n">
        <v>17</v>
      </c>
      <c r="AK223" s="0" t="n">
        <v>1752</v>
      </c>
      <c r="AL223" s="0" t="n">
        <v>1.2</v>
      </c>
    </row>
    <row r="224">
      <c r="A224" s="0" t="inlineStr">
        <is>
          <t>[망월동]</t>
        </is>
      </c>
      <c r="B224" s="0" t="n">
        <v>107024</v>
      </c>
      <c r="C224" s="0" t="n">
        <v>5</v>
      </c>
      <c r="D224" s="0" t="inlineStr">
        <is>
          <t>미사강변센텀팰리스</t>
        </is>
      </c>
      <c r="E224" s="0" t="inlineStr">
        <is>
          <t>2016.07.</t>
        </is>
      </c>
      <c r="F224" s="0" t="n">
        <v>1455</v>
      </c>
      <c r="G224" s="0" t="n">
        <v>33.63</v>
      </c>
      <c r="H224" s="0" t="n">
        <v>111.19</v>
      </c>
      <c r="I224" s="0" t="n">
        <v>25.61</v>
      </c>
      <c r="J224" s="0" t="n">
        <v>84.67</v>
      </c>
      <c r="K224" s="0" t="n">
        <v>502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111B1</t>
        </is>
      </c>
      <c r="X224" s="0" t="n">
        <v>26</v>
      </c>
      <c r="Y224" s="0" t="n">
        <v>12</v>
      </c>
      <c r="Z224" s="0" t="inlineStr">
        <is>
          <t>https://new.land.naver.com/complexes/107024?tab=detail&amp;rf=Y</t>
        </is>
      </c>
      <c r="AA224" s="0" t="inlineStr">
        <is>
          <t>경기도 하남시 망월동 1050</t>
        </is>
      </c>
      <c r="AB224" s="0" t="inlineStr">
        <is>
          <t>경기도</t>
        </is>
      </c>
      <c r="AC224" s="0" t="inlineStr">
        <is>
          <t>하남시</t>
        </is>
      </c>
      <c r="AD224" s="0" t="inlineStr">
        <is>
          <t>망월동</t>
        </is>
      </c>
      <c r="AG224" s="0" t="inlineStr">
        <is>
          <t>경기도 하남시 미사강변서로 127</t>
        </is>
      </c>
      <c r="AH224" s="0" t="n">
        <v>0</v>
      </c>
      <c r="AI224" s="0" t="n">
        <v>208</v>
      </c>
      <c r="AJ224" s="0" t="n">
        <v>17</v>
      </c>
      <c r="AK224" s="0" t="n">
        <v>1752</v>
      </c>
      <c r="AL224" s="0" t="n">
        <v>1.2</v>
      </c>
    </row>
    <row r="225">
      <c r="A225" s="0" t="inlineStr">
        <is>
          <t>[망월동]</t>
        </is>
      </c>
      <c r="B225" s="0" t="n">
        <v>107024</v>
      </c>
      <c r="C225" s="0" t="n">
        <v>6</v>
      </c>
      <c r="D225" s="0" t="inlineStr">
        <is>
          <t>미사강변센텀팰리스</t>
        </is>
      </c>
      <c r="E225" s="0" t="inlineStr">
        <is>
          <t>2016.07.</t>
        </is>
      </c>
      <c r="F225" s="0" t="n">
        <v>1455</v>
      </c>
      <c r="G225" s="0" t="n">
        <v>33.74</v>
      </c>
      <c r="H225" s="0" t="n">
        <v>111.57</v>
      </c>
      <c r="I225" s="0" t="n">
        <v>25.7</v>
      </c>
      <c r="J225" s="0" t="n">
        <v>84.95999999999999</v>
      </c>
      <c r="K225" s="0" t="n">
        <v>202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111C</t>
        </is>
      </c>
      <c r="X225" s="0" t="n">
        <v>26</v>
      </c>
      <c r="Y225" s="0" t="n">
        <v>12</v>
      </c>
      <c r="Z225" s="0" t="inlineStr">
        <is>
          <t>https://new.land.naver.com/complexes/107024?tab=detail&amp;rf=Y</t>
        </is>
      </c>
      <c r="AA225" s="0" t="inlineStr">
        <is>
          <t>경기도 하남시 망월동 1050</t>
        </is>
      </c>
      <c r="AB225" s="0" t="inlineStr">
        <is>
          <t>경기도</t>
        </is>
      </c>
      <c r="AC225" s="0" t="inlineStr">
        <is>
          <t>하남시</t>
        </is>
      </c>
      <c r="AD225" s="0" t="inlineStr">
        <is>
          <t>망월동</t>
        </is>
      </c>
      <c r="AG225" s="0" t="inlineStr">
        <is>
          <t>경기도 하남시 미사강변서로 127</t>
        </is>
      </c>
      <c r="AH225" s="0" t="n">
        <v>0</v>
      </c>
      <c r="AI225" s="0" t="n">
        <v>208</v>
      </c>
      <c r="AJ225" s="0" t="n">
        <v>17</v>
      </c>
      <c r="AK225" s="0" t="n">
        <v>1752</v>
      </c>
      <c r="AL225" s="0" t="n">
        <v>1.2</v>
      </c>
    </row>
    <row r="226">
      <c r="A226" s="0" t="inlineStr">
        <is>
          <t>[망월동]</t>
        </is>
      </c>
      <c r="B226" s="0" t="n">
        <v>107024</v>
      </c>
      <c r="C226" s="0" t="n">
        <v>7</v>
      </c>
      <c r="D226" s="0" t="inlineStr">
        <is>
          <t>미사강변센텀팰리스</t>
        </is>
      </c>
      <c r="E226" s="0" t="inlineStr">
        <is>
          <t>2016.07.</t>
        </is>
      </c>
      <c r="F226" s="0" t="n">
        <v>1455</v>
      </c>
      <c r="G226" s="0" t="n">
        <v>33.71</v>
      </c>
      <c r="H226" s="0" t="n">
        <v>111.44</v>
      </c>
      <c r="I226" s="0" t="n">
        <v>25.67</v>
      </c>
      <c r="J226" s="0" t="n">
        <v>84.86</v>
      </c>
      <c r="K226" s="0" t="n">
        <v>174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111B3</t>
        </is>
      </c>
      <c r="X226" s="0" t="n">
        <v>26</v>
      </c>
      <c r="Y226" s="0" t="n">
        <v>12</v>
      </c>
      <c r="Z226" s="0" t="inlineStr">
        <is>
          <t>https://new.land.naver.com/complexes/107024?tab=detail&amp;rf=Y</t>
        </is>
      </c>
      <c r="AA226" s="0" t="inlineStr">
        <is>
          <t>경기도 하남시 망월동 1050</t>
        </is>
      </c>
      <c r="AB226" s="0" t="inlineStr">
        <is>
          <t>경기도</t>
        </is>
      </c>
      <c r="AC226" s="0" t="inlineStr">
        <is>
          <t>하남시</t>
        </is>
      </c>
      <c r="AD226" s="0" t="inlineStr">
        <is>
          <t>망월동</t>
        </is>
      </c>
      <c r="AG226" s="0" t="inlineStr">
        <is>
          <t>경기도 하남시 미사강변서로 127</t>
        </is>
      </c>
      <c r="AH226" s="0" t="n">
        <v>0</v>
      </c>
      <c r="AI226" s="0" t="n">
        <v>208</v>
      </c>
      <c r="AJ226" s="0" t="n">
        <v>17</v>
      </c>
      <c r="AK226" s="0" t="n">
        <v>1752</v>
      </c>
      <c r="AL226" s="0" t="n">
        <v>1.2</v>
      </c>
    </row>
    <row r="227">
      <c r="A227" s="0" t="inlineStr">
        <is>
          <t>[망월동]</t>
        </is>
      </c>
      <c r="B227" s="0" t="n">
        <v>107024</v>
      </c>
      <c r="C227" s="0" t="n">
        <v>8</v>
      </c>
      <c r="D227" s="0" t="inlineStr">
        <is>
          <t>미사강변센텀팰리스</t>
        </is>
      </c>
      <c r="E227" s="0" t="inlineStr">
        <is>
          <t>2016.07.</t>
        </is>
      </c>
      <c r="F227" s="0" t="n">
        <v>1455</v>
      </c>
      <c r="G227" s="0" t="n">
        <v>33.7</v>
      </c>
      <c r="H227" s="0" t="n">
        <v>111.43</v>
      </c>
      <c r="I227" s="0" t="n">
        <v>25.66</v>
      </c>
      <c r="J227" s="0" t="n">
        <v>84.84999999999999</v>
      </c>
      <c r="K227" s="0" t="n">
        <v>52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111B2</t>
        </is>
      </c>
      <c r="X227" s="0" t="n">
        <v>26</v>
      </c>
      <c r="Y227" s="0" t="n">
        <v>12</v>
      </c>
      <c r="Z227" s="0" t="inlineStr">
        <is>
          <t>https://new.land.naver.com/complexes/107024?tab=detail&amp;rf=Y</t>
        </is>
      </c>
      <c r="AA227" s="0" t="inlineStr">
        <is>
          <t>경기도 하남시 망월동 1050</t>
        </is>
      </c>
      <c r="AB227" s="0" t="inlineStr">
        <is>
          <t>경기도</t>
        </is>
      </c>
      <c r="AC227" s="0" t="inlineStr">
        <is>
          <t>하남시</t>
        </is>
      </c>
      <c r="AD227" s="0" t="inlineStr">
        <is>
          <t>망월동</t>
        </is>
      </c>
      <c r="AG227" s="0" t="inlineStr">
        <is>
          <t>경기도 하남시 미사강변서로 127</t>
        </is>
      </c>
      <c r="AH227" s="0" t="n">
        <v>0</v>
      </c>
      <c r="AI227" s="0" t="n">
        <v>208</v>
      </c>
      <c r="AJ227" s="0" t="n">
        <v>17</v>
      </c>
      <c r="AK227" s="0" t="n">
        <v>1752</v>
      </c>
      <c r="AL227" s="0" t="n">
        <v>1.2</v>
      </c>
    </row>
    <row r="228">
      <c r="A228" s="0" t="inlineStr">
        <is>
          <t>[망월동]</t>
        </is>
      </c>
      <c r="B228" s="0" t="n">
        <v>107024</v>
      </c>
      <c r="C228" s="0" t="n">
        <v>9</v>
      </c>
      <c r="D228" s="0" t="inlineStr">
        <is>
          <t>미사강변센텀팰리스</t>
        </is>
      </c>
      <c r="E228" s="0" t="inlineStr">
        <is>
          <t>2016.07.</t>
        </is>
      </c>
      <c r="F228" s="0" t="n">
        <v>1455</v>
      </c>
      <c r="G228" s="0" t="n">
        <v>33.75</v>
      </c>
      <c r="H228" s="0" t="n">
        <v>111.6</v>
      </c>
      <c r="I228" s="0" t="n">
        <v>25.7</v>
      </c>
      <c r="J228" s="0" t="n">
        <v>84.98</v>
      </c>
      <c r="K228" s="0" t="n">
        <v>35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111A</t>
        </is>
      </c>
      <c r="X228" s="0" t="n">
        <v>26</v>
      </c>
      <c r="Y228" s="0" t="n">
        <v>12</v>
      </c>
      <c r="Z228" s="0" t="inlineStr">
        <is>
          <t>https://new.land.naver.com/complexes/107024?tab=detail&amp;rf=Y</t>
        </is>
      </c>
      <c r="AA228" s="0" t="inlineStr">
        <is>
          <t>경기도 하남시 망월동 1050</t>
        </is>
      </c>
      <c r="AB228" s="0" t="inlineStr">
        <is>
          <t>경기도</t>
        </is>
      </c>
      <c r="AC228" s="0" t="inlineStr">
        <is>
          <t>하남시</t>
        </is>
      </c>
      <c r="AD228" s="0" t="inlineStr">
        <is>
          <t>망월동</t>
        </is>
      </c>
      <c r="AG228" s="0" t="inlineStr">
        <is>
          <t>경기도 하남시 미사강변서로 127</t>
        </is>
      </c>
      <c r="AH228" s="0" t="n">
        <v>0</v>
      </c>
      <c r="AI228" s="0" t="n">
        <v>208</v>
      </c>
      <c r="AJ228" s="0" t="n">
        <v>17</v>
      </c>
      <c r="AK228" s="0" t="n">
        <v>1752</v>
      </c>
      <c r="AL228" s="0" t="n">
        <v>1.2</v>
      </c>
    </row>
    <row r="229">
      <c r="A229" s="0" t="inlineStr">
        <is>
          <t>[망월동]</t>
        </is>
      </c>
      <c r="B229" s="0" t="n">
        <v>107024</v>
      </c>
      <c r="C229" s="0" t="n">
        <v>10</v>
      </c>
      <c r="D229" s="0" t="inlineStr">
        <is>
          <t>미사강변센텀팰리스</t>
        </is>
      </c>
      <c r="E229" s="0" t="inlineStr">
        <is>
          <t>2016.07.</t>
        </is>
      </c>
      <c r="F229" s="0" t="n">
        <v>1455</v>
      </c>
      <c r="G229" s="0" t="n">
        <v>33.75</v>
      </c>
      <c r="H229" s="0" t="n">
        <v>111.6</v>
      </c>
      <c r="I229" s="0" t="n">
        <v>25.7</v>
      </c>
      <c r="J229" s="0" t="n">
        <v>84.98</v>
      </c>
      <c r="K229" s="0" t="n">
        <v>32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111AN</t>
        </is>
      </c>
      <c r="X229" s="0" t="n">
        <v>26</v>
      </c>
      <c r="Y229" s="0" t="n">
        <v>12</v>
      </c>
      <c r="Z229" s="0" t="inlineStr">
        <is>
          <t>https://new.land.naver.com/complexes/107024?tab=detail&amp;rf=Y</t>
        </is>
      </c>
      <c r="AA229" s="0" t="inlineStr">
        <is>
          <t>경기도 하남시 망월동 1050</t>
        </is>
      </c>
      <c r="AB229" s="0" t="inlineStr">
        <is>
          <t>경기도</t>
        </is>
      </c>
      <c r="AC229" s="0" t="inlineStr">
        <is>
          <t>하남시</t>
        </is>
      </c>
      <c r="AD229" s="0" t="inlineStr">
        <is>
          <t>망월동</t>
        </is>
      </c>
      <c r="AG229" s="0" t="inlineStr">
        <is>
          <t>경기도 하남시 미사강변서로 127</t>
        </is>
      </c>
      <c r="AH229" s="0" t="n">
        <v>0</v>
      </c>
      <c r="AI229" s="0" t="n">
        <v>208</v>
      </c>
      <c r="AJ229" s="0" t="n">
        <v>17</v>
      </c>
      <c r="AK229" s="0" t="n">
        <v>1752</v>
      </c>
      <c r="AL229" s="0" t="n">
        <v>1.2</v>
      </c>
    </row>
    <row r="230">
      <c r="A230" s="0" t="inlineStr">
        <is>
          <t>[망월동]</t>
        </is>
      </c>
      <c r="B230" s="0" t="n">
        <v>107025</v>
      </c>
      <c r="C230" s="0" t="n">
        <v>1</v>
      </c>
      <c r="D230" s="0" t="inlineStr">
        <is>
          <t>미사강변하우스디더레이크</t>
        </is>
      </c>
      <c r="E230" s="0" t="inlineStr">
        <is>
          <t>2016.05.</t>
        </is>
      </c>
      <c r="F230" s="0" t="n">
        <v>821</v>
      </c>
      <c r="G230" s="0" t="n">
        <v>29.94</v>
      </c>
      <c r="H230" s="0" t="n">
        <v>98.98999999999999</v>
      </c>
      <c r="I230" s="0" t="n">
        <v>22.64</v>
      </c>
      <c r="J230" s="0" t="n">
        <v>74.86</v>
      </c>
      <c r="K230" s="0" t="n">
        <v>192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98A</t>
        </is>
      </c>
      <c r="X230" s="0" t="n">
        <v>27</v>
      </c>
      <c r="Y230" s="0" t="n">
        <v>13</v>
      </c>
      <c r="Z230" s="0" t="inlineStr">
        <is>
          <t>https://new.land.naver.com/complexes/107025?tab=detail&amp;rf=Y</t>
        </is>
      </c>
      <c r="AA230" s="0" t="inlineStr">
        <is>
          <t>경기도 하남시 망월동 1062</t>
        </is>
      </c>
      <c r="AB230" s="0" t="inlineStr">
        <is>
          <t>경기도</t>
        </is>
      </c>
      <c r="AC230" s="0" t="inlineStr">
        <is>
          <t>하남시</t>
        </is>
      </c>
      <c r="AD230" s="0" t="inlineStr">
        <is>
          <t>망월동</t>
        </is>
      </c>
      <c r="AG230" s="0" t="inlineStr">
        <is>
          <t>경기도 하남시 미사강변대로 135</t>
        </is>
      </c>
      <c r="AH230" s="0" t="n">
        <v>0</v>
      </c>
      <c r="AI230" s="0" t="n">
        <v>209</v>
      </c>
      <c r="AJ230" s="0" t="n">
        <v>17</v>
      </c>
      <c r="AK230" s="0" t="n">
        <v>980</v>
      </c>
      <c r="AL230" s="0" t="n">
        <v>1.19</v>
      </c>
    </row>
    <row r="231">
      <c r="A231" s="0" t="inlineStr">
        <is>
          <t>[망월동]</t>
        </is>
      </c>
      <c r="B231" s="0" t="n">
        <v>107025</v>
      </c>
      <c r="C231" s="0" t="n">
        <v>2</v>
      </c>
      <c r="D231" s="0" t="inlineStr">
        <is>
          <t>미사강변하우스디더레이크</t>
        </is>
      </c>
      <c r="E231" s="0" t="inlineStr">
        <is>
          <t>2016.05.</t>
        </is>
      </c>
      <c r="F231" s="0" t="n">
        <v>821</v>
      </c>
      <c r="G231" s="0" t="n">
        <v>29.94</v>
      </c>
      <c r="H231" s="0" t="n">
        <v>98.98999999999999</v>
      </c>
      <c r="I231" s="0" t="n">
        <v>22.64</v>
      </c>
      <c r="J231" s="0" t="n">
        <v>74.86</v>
      </c>
      <c r="K231" s="0" t="n">
        <v>27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98AN</t>
        </is>
      </c>
      <c r="X231" s="0" t="n">
        <v>27</v>
      </c>
      <c r="Y231" s="0" t="n">
        <v>13</v>
      </c>
      <c r="Z231" s="0" t="inlineStr">
        <is>
          <t>https://new.land.naver.com/complexes/107025?tab=detail&amp;rf=Y</t>
        </is>
      </c>
      <c r="AA231" s="0" t="inlineStr">
        <is>
          <t>경기도 하남시 망월동 1062</t>
        </is>
      </c>
      <c r="AB231" s="0" t="inlineStr">
        <is>
          <t>경기도</t>
        </is>
      </c>
      <c r="AC231" s="0" t="inlineStr">
        <is>
          <t>하남시</t>
        </is>
      </c>
      <c r="AD231" s="0" t="inlineStr">
        <is>
          <t>망월동</t>
        </is>
      </c>
      <c r="AG231" s="0" t="inlineStr">
        <is>
          <t>경기도 하남시 미사강변대로 135</t>
        </is>
      </c>
      <c r="AH231" s="0" t="n">
        <v>0</v>
      </c>
      <c r="AI231" s="0" t="n">
        <v>209</v>
      </c>
      <c r="AJ231" s="0" t="n">
        <v>17</v>
      </c>
      <c r="AK231" s="0" t="n">
        <v>980</v>
      </c>
      <c r="AL231" s="0" t="n">
        <v>1.19</v>
      </c>
    </row>
    <row r="232">
      <c r="A232" s="0" t="inlineStr">
        <is>
          <t>[망월동]</t>
        </is>
      </c>
      <c r="B232" s="0" t="n">
        <v>107025</v>
      </c>
      <c r="C232" s="0" t="n">
        <v>3</v>
      </c>
      <c r="D232" s="0" t="inlineStr">
        <is>
          <t>미사강변하우스디더레이크</t>
        </is>
      </c>
      <c r="E232" s="0" t="inlineStr">
        <is>
          <t>2016.05.</t>
        </is>
      </c>
      <c r="F232" s="0" t="n">
        <v>821</v>
      </c>
      <c r="G232" s="0" t="n">
        <v>29.97</v>
      </c>
      <c r="H232" s="0" t="n">
        <v>99.08</v>
      </c>
      <c r="I232" s="0" t="n">
        <v>22.66</v>
      </c>
      <c r="J232" s="0" t="n">
        <v>74.93000000000001</v>
      </c>
      <c r="K232" s="0" t="n">
        <v>30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99B</t>
        </is>
      </c>
      <c r="X232" s="0" t="n">
        <v>27</v>
      </c>
      <c r="Y232" s="0" t="n">
        <v>13</v>
      </c>
      <c r="Z232" s="0" t="inlineStr">
        <is>
          <t>https://new.land.naver.com/complexes/107025?tab=detail&amp;rf=Y</t>
        </is>
      </c>
      <c r="AA232" s="0" t="inlineStr">
        <is>
          <t>경기도 하남시 망월동 1062</t>
        </is>
      </c>
      <c r="AB232" s="0" t="inlineStr">
        <is>
          <t>경기도</t>
        </is>
      </c>
      <c r="AC232" s="0" t="inlineStr">
        <is>
          <t>하남시</t>
        </is>
      </c>
      <c r="AD232" s="0" t="inlineStr">
        <is>
          <t>망월동</t>
        </is>
      </c>
      <c r="AG232" s="0" t="inlineStr">
        <is>
          <t>경기도 하남시 미사강변대로 135</t>
        </is>
      </c>
      <c r="AH232" s="0" t="n">
        <v>0</v>
      </c>
      <c r="AI232" s="0" t="n">
        <v>209</v>
      </c>
      <c r="AJ232" s="0" t="n">
        <v>17</v>
      </c>
      <c r="AK232" s="0" t="n">
        <v>980</v>
      </c>
      <c r="AL232" s="0" t="n">
        <v>1.19</v>
      </c>
    </row>
    <row r="233">
      <c r="A233" s="0" t="inlineStr">
        <is>
          <t>[망월동]</t>
        </is>
      </c>
      <c r="B233" s="0" t="n">
        <v>107025</v>
      </c>
      <c r="C233" s="0" t="n">
        <v>4</v>
      </c>
      <c r="D233" s="0" t="inlineStr">
        <is>
          <t>미사강변하우스디더레이크</t>
        </is>
      </c>
      <c r="E233" s="0" t="inlineStr">
        <is>
          <t>2016.05.</t>
        </is>
      </c>
      <c r="F233" s="0" t="n">
        <v>821</v>
      </c>
      <c r="G233" s="0" t="n">
        <v>33.86</v>
      </c>
      <c r="H233" s="0" t="n">
        <v>111.96</v>
      </c>
      <c r="I233" s="0" t="n">
        <v>25.61</v>
      </c>
      <c r="J233" s="0" t="n">
        <v>84.67</v>
      </c>
      <c r="K233" s="0" t="n">
        <v>62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111B1</t>
        </is>
      </c>
      <c r="X233" s="0" t="n">
        <v>27</v>
      </c>
      <c r="Y233" s="0" t="n">
        <v>13</v>
      </c>
      <c r="Z233" s="0" t="inlineStr">
        <is>
          <t>https://new.land.naver.com/complexes/107025?tab=detail&amp;rf=Y</t>
        </is>
      </c>
      <c r="AA233" s="0" t="inlineStr">
        <is>
          <t>경기도 하남시 망월동 1062</t>
        </is>
      </c>
      <c r="AB233" s="0" t="inlineStr">
        <is>
          <t>경기도</t>
        </is>
      </c>
      <c r="AC233" s="0" t="inlineStr">
        <is>
          <t>하남시</t>
        </is>
      </c>
      <c r="AD233" s="0" t="inlineStr">
        <is>
          <t>망월동</t>
        </is>
      </c>
      <c r="AG233" s="0" t="inlineStr">
        <is>
          <t>경기도 하남시 미사강변대로 135</t>
        </is>
      </c>
      <c r="AH233" s="0" t="n">
        <v>0</v>
      </c>
      <c r="AI233" s="0" t="n">
        <v>209</v>
      </c>
      <c r="AJ233" s="0" t="n">
        <v>17</v>
      </c>
      <c r="AK233" s="0" t="n">
        <v>980</v>
      </c>
      <c r="AL233" s="0" t="n">
        <v>1.19</v>
      </c>
    </row>
    <row r="234">
      <c r="A234" s="0" t="inlineStr">
        <is>
          <t>[망월동]</t>
        </is>
      </c>
      <c r="B234" s="0" t="n">
        <v>107025</v>
      </c>
      <c r="C234" s="0" t="n">
        <v>5</v>
      </c>
      <c r="D234" s="0" t="inlineStr">
        <is>
          <t>미사강변하우스디더레이크</t>
        </is>
      </c>
      <c r="E234" s="0" t="inlineStr">
        <is>
          <t>2016.05.</t>
        </is>
      </c>
      <c r="F234" s="0" t="n">
        <v>821</v>
      </c>
      <c r="G234" s="0" t="n">
        <v>33.98</v>
      </c>
      <c r="H234" s="0" t="n">
        <v>112.35</v>
      </c>
      <c r="I234" s="0" t="n">
        <v>25.7</v>
      </c>
      <c r="J234" s="0" t="n">
        <v>84.95999999999999</v>
      </c>
      <c r="K234" s="0" t="n">
        <v>198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27</v>
      </c>
      <c r="Y234" s="0" t="n">
        <v>13</v>
      </c>
      <c r="Z234" s="0" t="inlineStr">
        <is>
          <t>https://new.land.naver.com/complexes/107025?tab=detail&amp;rf=Y</t>
        </is>
      </c>
      <c r="AA234" s="0" t="inlineStr">
        <is>
          <t>경기도 하남시 망월동 1062</t>
        </is>
      </c>
      <c r="AB234" s="0" t="inlineStr">
        <is>
          <t>경기도</t>
        </is>
      </c>
      <c r="AC234" s="0" t="inlineStr">
        <is>
          <t>하남시</t>
        </is>
      </c>
      <c r="AD234" s="0" t="inlineStr">
        <is>
          <t>망월동</t>
        </is>
      </c>
      <c r="AG234" s="0" t="inlineStr">
        <is>
          <t>경기도 하남시 미사강변대로 135</t>
        </is>
      </c>
      <c r="AH234" s="0" t="n">
        <v>0</v>
      </c>
      <c r="AI234" s="0" t="n">
        <v>209</v>
      </c>
      <c r="AJ234" s="0" t="n">
        <v>17</v>
      </c>
      <c r="AK234" s="0" t="n">
        <v>980</v>
      </c>
      <c r="AL234" s="0" t="n">
        <v>1.19</v>
      </c>
    </row>
    <row r="235">
      <c r="A235" s="0" t="inlineStr">
        <is>
          <t>[망월동]</t>
        </is>
      </c>
      <c r="B235" s="0" t="n">
        <v>107025</v>
      </c>
      <c r="C235" s="0" t="n">
        <v>6</v>
      </c>
      <c r="D235" s="0" t="inlineStr">
        <is>
          <t>미사강변하우스디더레이크</t>
        </is>
      </c>
      <c r="E235" s="0" t="inlineStr">
        <is>
          <t>2016.05.</t>
        </is>
      </c>
      <c r="F235" s="0" t="n">
        <v>821</v>
      </c>
      <c r="G235" s="0" t="n">
        <v>33.94</v>
      </c>
      <c r="H235" s="0" t="n">
        <v>112.2</v>
      </c>
      <c r="I235" s="0" t="n">
        <v>25.66</v>
      </c>
      <c r="J235" s="0" t="n">
        <v>84.84999999999999</v>
      </c>
      <c r="K235" s="0" t="n">
        <v>143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112B2</t>
        </is>
      </c>
      <c r="X235" s="0" t="n">
        <v>27</v>
      </c>
      <c r="Y235" s="0" t="n">
        <v>13</v>
      </c>
      <c r="Z235" s="0" t="inlineStr">
        <is>
          <t>https://new.land.naver.com/complexes/107025?tab=detail&amp;rf=Y</t>
        </is>
      </c>
      <c r="AA235" s="0" t="inlineStr">
        <is>
          <t>경기도 하남시 망월동 1062</t>
        </is>
      </c>
      <c r="AB235" s="0" t="inlineStr">
        <is>
          <t>경기도</t>
        </is>
      </c>
      <c r="AC235" s="0" t="inlineStr">
        <is>
          <t>하남시</t>
        </is>
      </c>
      <c r="AD235" s="0" t="inlineStr">
        <is>
          <t>망월동</t>
        </is>
      </c>
      <c r="AG235" s="0" t="inlineStr">
        <is>
          <t>경기도 하남시 미사강변대로 135</t>
        </is>
      </c>
      <c r="AH235" s="0" t="n">
        <v>0</v>
      </c>
      <c r="AI235" s="0" t="n">
        <v>209</v>
      </c>
      <c r="AJ235" s="0" t="n">
        <v>17</v>
      </c>
      <c r="AK235" s="0" t="n">
        <v>980</v>
      </c>
      <c r="AL235" s="0" t="n">
        <v>1.19</v>
      </c>
    </row>
    <row r="236">
      <c r="A236" s="0" t="inlineStr">
        <is>
          <t>[망월동]</t>
        </is>
      </c>
      <c r="B236" s="0" t="n">
        <v>107025</v>
      </c>
      <c r="C236" s="0" t="n">
        <v>7</v>
      </c>
      <c r="D236" s="0" t="inlineStr">
        <is>
          <t>미사강변하우스디더레이크</t>
        </is>
      </c>
      <c r="E236" s="0" t="inlineStr">
        <is>
          <t>2016.05.</t>
        </is>
      </c>
      <c r="F236" s="0" t="n">
        <v>821</v>
      </c>
      <c r="G236" s="0" t="n">
        <v>33.94</v>
      </c>
      <c r="H236" s="0" t="n">
        <v>112.21</v>
      </c>
      <c r="I236" s="0" t="n">
        <v>25.67</v>
      </c>
      <c r="J236" s="0" t="n">
        <v>84.86</v>
      </c>
      <c r="K236" s="0" t="n">
        <v>99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112B3</t>
        </is>
      </c>
      <c r="X236" s="0" t="n">
        <v>27</v>
      </c>
      <c r="Y236" s="0" t="n">
        <v>13</v>
      </c>
      <c r="Z236" s="0" t="inlineStr">
        <is>
          <t>https://new.land.naver.com/complexes/107025?tab=detail&amp;rf=Y</t>
        </is>
      </c>
      <c r="AA236" s="0" t="inlineStr">
        <is>
          <t>경기도 하남시 망월동 1062</t>
        </is>
      </c>
      <c r="AB236" s="0" t="inlineStr">
        <is>
          <t>경기도</t>
        </is>
      </c>
      <c r="AC236" s="0" t="inlineStr">
        <is>
          <t>하남시</t>
        </is>
      </c>
      <c r="AD236" s="0" t="inlineStr">
        <is>
          <t>망월동</t>
        </is>
      </c>
      <c r="AG236" s="0" t="inlineStr">
        <is>
          <t>경기도 하남시 미사강변대로 135</t>
        </is>
      </c>
      <c r="AH236" s="0" t="n">
        <v>0</v>
      </c>
      <c r="AI236" s="0" t="n">
        <v>209</v>
      </c>
      <c r="AJ236" s="0" t="n">
        <v>17</v>
      </c>
      <c r="AK236" s="0" t="n">
        <v>980</v>
      </c>
      <c r="AL236" s="0" t="n">
        <v>1.19</v>
      </c>
    </row>
    <row r="237">
      <c r="A237" s="0" t="inlineStr">
        <is>
          <t>[망월동]</t>
        </is>
      </c>
      <c r="B237" s="0" t="n">
        <v>107025</v>
      </c>
      <c r="C237" s="0" t="n">
        <v>8</v>
      </c>
      <c r="D237" s="0" t="inlineStr">
        <is>
          <t>미사강변하우스디더레이크</t>
        </is>
      </c>
      <c r="E237" s="0" t="inlineStr">
        <is>
          <t>2016.05.</t>
        </is>
      </c>
      <c r="F237" s="0" t="n">
        <v>821</v>
      </c>
      <c r="G237" s="0" t="n">
        <v>33.99</v>
      </c>
      <c r="H237" s="0" t="n">
        <v>112.37</v>
      </c>
      <c r="I237" s="0" t="n">
        <v>25.7</v>
      </c>
      <c r="J237" s="0" t="n">
        <v>84.98</v>
      </c>
      <c r="K237" s="0" t="n">
        <v>50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27</v>
      </c>
      <c r="Y237" s="0" t="n">
        <v>13</v>
      </c>
      <c r="Z237" s="0" t="inlineStr">
        <is>
          <t>https://new.land.naver.com/complexes/107025?tab=detail&amp;rf=Y</t>
        </is>
      </c>
      <c r="AA237" s="0" t="inlineStr">
        <is>
          <t>경기도 하남시 망월동 1062</t>
        </is>
      </c>
      <c r="AB237" s="0" t="inlineStr">
        <is>
          <t>경기도</t>
        </is>
      </c>
      <c r="AC237" s="0" t="inlineStr">
        <is>
          <t>하남시</t>
        </is>
      </c>
      <c r="AD237" s="0" t="inlineStr">
        <is>
          <t>망월동</t>
        </is>
      </c>
      <c r="AG237" s="0" t="inlineStr">
        <is>
          <t>경기도 하남시 미사강변대로 135</t>
        </is>
      </c>
      <c r="AH237" s="0" t="n">
        <v>0</v>
      </c>
      <c r="AI237" s="0" t="n">
        <v>209</v>
      </c>
      <c r="AJ237" s="0" t="n">
        <v>17</v>
      </c>
      <c r="AK237" s="0" t="n">
        <v>980</v>
      </c>
      <c r="AL237" s="0" t="n">
        <v>1.19</v>
      </c>
    </row>
    <row r="238">
      <c r="A238" s="0" t="inlineStr">
        <is>
          <t>[망월동]</t>
        </is>
      </c>
      <c r="B238" s="0" t="n">
        <v>107025</v>
      </c>
      <c r="C238" s="0" t="n">
        <v>9</v>
      </c>
      <c r="D238" s="0" t="inlineStr">
        <is>
          <t>미사강변하우스디더레이크</t>
        </is>
      </c>
      <c r="E238" s="0" t="inlineStr">
        <is>
          <t>2016.05.</t>
        </is>
      </c>
      <c r="F238" s="0" t="n">
        <v>821</v>
      </c>
      <c r="G238" s="0" t="n">
        <v>33.99</v>
      </c>
      <c r="H238" s="0" t="n">
        <v>112.37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112AN</t>
        </is>
      </c>
      <c r="X238" s="0" t="n">
        <v>27</v>
      </c>
      <c r="Y238" s="0" t="n">
        <v>13</v>
      </c>
      <c r="Z238" s="0" t="inlineStr">
        <is>
          <t>https://new.land.naver.com/complexes/107025?tab=detail&amp;rf=Y</t>
        </is>
      </c>
      <c r="AA238" s="0" t="inlineStr">
        <is>
          <t>경기도 하남시 망월동 1062</t>
        </is>
      </c>
      <c r="AB238" s="0" t="inlineStr">
        <is>
          <t>경기도</t>
        </is>
      </c>
      <c r="AC238" s="0" t="inlineStr">
        <is>
          <t>하남시</t>
        </is>
      </c>
      <c r="AD238" s="0" t="inlineStr">
        <is>
          <t>망월동</t>
        </is>
      </c>
      <c r="AG238" s="0" t="inlineStr">
        <is>
          <t>경기도 하남시 미사강변대로 135</t>
        </is>
      </c>
      <c r="AH238" s="0" t="n">
        <v>0</v>
      </c>
      <c r="AI238" s="0" t="n">
        <v>209</v>
      </c>
      <c r="AJ238" s="0" t="n">
        <v>17</v>
      </c>
      <c r="AK238" s="0" t="n">
        <v>980</v>
      </c>
      <c r="AL238" s="0" t="n">
        <v>1.19</v>
      </c>
    </row>
    <row r="239">
      <c r="A239" s="0" t="inlineStr">
        <is>
          <t>[망월동]</t>
        </is>
      </c>
      <c r="B239" s="0" t="n">
        <v>143079</v>
      </c>
      <c r="C239" s="0" t="n">
        <v>1</v>
      </c>
      <c r="D239" s="0" t="inlineStr">
        <is>
          <t>미사강변도시16단지</t>
        </is>
      </c>
      <c r="E239" s="0" t="inlineStr">
        <is>
          <t>2015.10.</t>
        </is>
      </c>
      <c r="F239" s="0" t="n">
        <v>620</v>
      </c>
      <c r="G239" s="0" t="n">
        <v>22.35</v>
      </c>
      <c r="H239" s="0" t="n">
        <v>73.90000000000001</v>
      </c>
      <c r="I239" s="0" t="n">
        <v>15.63</v>
      </c>
      <c r="J239" s="0" t="n">
        <v>51.67</v>
      </c>
      <c r="K239" s="0" t="n">
        <v>14</v>
      </c>
      <c r="T239" s="0" t="n">
        <v>2</v>
      </c>
      <c r="U239" s="0" t="n">
        <v>1</v>
      </c>
      <c r="V239" s="0" t="inlineStr">
        <is>
          <t>계단식</t>
        </is>
      </c>
      <c r="W239" s="0" t="inlineStr">
        <is>
          <t>73A</t>
        </is>
      </c>
      <c r="X239" s="0" t="n">
        <v>20</v>
      </c>
      <c r="Y239" s="0" t="n">
        <v>15</v>
      </c>
      <c r="Z239" s="0" t="inlineStr">
        <is>
          <t>https://new.land.naver.com/complexes/143079?tab=detail&amp;rf=Y</t>
        </is>
      </c>
      <c r="AA239" s="0" t="inlineStr">
        <is>
          <t>경기도 하남시 망월동 938</t>
        </is>
      </c>
      <c r="AB239" s="0" t="inlineStr">
        <is>
          <t>경기도</t>
        </is>
      </c>
      <c r="AC239" s="0" t="inlineStr">
        <is>
          <t>하남시</t>
        </is>
      </c>
      <c r="AD239" s="0" t="inlineStr">
        <is>
          <t>망월동</t>
        </is>
      </c>
      <c r="AG239" s="0" t="inlineStr">
        <is>
          <t>경기도 하남시 미사강변북로 130</t>
        </is>
      </c>
      <c r="AH239" s="0" t="n">
        <v>592</v>
      </c>
      <c r="AI239" s="0" t="n">
        <v>215</v>
      </c>
      <c r="AJ239" s="0" t="n">
        <v>20</v>
      </c>
      <c r="AK239" s="0" t="n">
        <v>647</v>
      </c>
      <c r="AL239" s="0" t="n">
        <v>1.04</v>
      </c>
    </row>
    <row r="240">
      <c r="A240" s="0" t="inlineStr">
        <is>
          <t>[망월동]</t>
        </is>
      </c>
      <c r="B240" s="0" t="n">
        <v>143079</v>
      </c>
      <c r="C240" s="0" t="n">
        <v>2</v>
      </c>
      <c r="D240" s="0" t="inlineStr">
        <is>
          <t>미사강변도시16단지</t>
        </is>
      </c>
      <c r="E240" s="0" t="inlineStr">
        <is>
          <t>2015.10.</t>
        </is>
      </c>
      <c r="F240" s="0" t="n">
        <v>620</v>
      </c>
      <c r="G240" s="0" t="n">
        <v>22.35</v>
      </c>
      <c r="H240" s="0" t="n">
        <v>73.90000000000001</v>
      </c>
      <c r="I240" s="0" t="n">
        <v>15.63</v>
      </c>
      <c r="J240" s="0" t="n">
        <v>51.67</v>
      </c>
      <c r="K240" s="0" t="n">
        <v>6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73B</t>
        </is>
      </c>
      <c r="X240" s="0" t="n">
        <v>20</v>
      </c>
      <c r="Y240" s="0" t="n">
        <v>15</v>
      </c>
      <c r="Z240" s="0" t="inlineStr">
        <is>
          <t>https://new.land.naver.com/complexes/143079?tab=detail&amp;rf=Y</t>
        </is>
      </c>
      <c r="AA240" s="0" t="inlineStr">
        <is>
          <t>경기도 하남시 망월동 938</t>
        </is>
      </c>
      <c r="AB240" s="0" t="inlineStr">
        <is>
          <t>경기도</t>
        </is>
      </c>
      <c r="AC240" s="0" t="inlineStr">
        <is>
          <t>하남시</t>
        </is>
      </c>
      <c r="AD240" s="0" t="inlineStr">
        <is>
          <t>망월동</t>
        </is>
      </c>
      <c r="AG240" s="0" t="inlineStr">
        <is>
          <t>경기도 하남시 미사강변북로 130</t>
        </is>
      </c>
      <c r="AH240" s="0" t="n">
        <v>592</v>
      </c>
      <c r="AI240" s="0" t="n">
        <v>215</v>
      </c>
      <c r="AJ240" s="0" t="n">
        <v>20</v>
      </c>
      <c r="AK240" s="0" t="n">
        <v>647</v>
      </c>
      <c r="AL240" s="0" t="n">
        <v>1.04</v>
      </c>
    </row>
    <row r="241">
      <c r="A241" s="0" t="inlineStr">
        <is>
          <t>[망월동]</t>
        </is>
      </c>
      <c r="B241" s="0" t="n">
        <v>143079</v>
      </c>
      <c r="C241" s="0" t="n">
        <v>3</v>
      </c>
      <c r="D241" s="0" t="inlineStr">
        <is>
          <t>미사강변도시16단지</t>
        </is>
      </c>
      <c r="E241" s="0" t="inlineStr">
        <is>
          <t>2015.10.</t>
        </is>
      </c>
      <c r="F241" s="0" t="n">
        <v>620</v>
      </c>
      <c r="G241" s="0" t="n">
        <v>22.45</v>
      </c>
      <c r="H241" s="0" t="n">
        <v>74.23</v>
      </c>
      <c r="I241" s="0" t="n">
        <v>15.69</v>
      </c>
      <c r="J241" s="0" t="n">
        <v>51.9</v>
      </c>
      <c r="K241" s="0" t="n">
        <v>3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74C</t>
        </is>
      </c>
      <c r="X241" s="0" t="n">
        <v>20</v>
      </c>
      <c r="Y241" s="0" t="n">
        <v>15</v>
      </c>
      <c r="Z241" s="0" t="inlineStr">
        <is>
          <t>https://new.land.naver.com/complexes/143079?tab=detail&amp;rf=Y</t>
        </is>
      </c>
      <c r="AA241" s="0" t="inlineStr">
        <is>
          <t>경기도 하남시 망월동 938</t>
        </is>
      </c>
      <c r="AB241" s="0" t="inlineStr">
        <is>
          <t>경기도</t>
        </is>
      </c>
      <c r="AC241" s="0" t="inlineStr">
        <is>
          <t>하남시</t>
        </is>
      </c>
      <c r="AD241" s="0" t="inlineStr">
        <is>
          <t>망월동</t>
        </is>
      </c>
      <c r="AG241" s="0" t="inlineStr">
        <is>
          <t>경기도 하남시 미사강변북로 130</t>
        </is>
      </c>
      <c r="AH241" s="0" t="n">
        <v>592</v>
      </c>
      <c r="AI241" s="0" t="n">
        <v>215</v>
      </c>
      <c r="AJ241" s="0" t="n">
        <v>20</v>
      </c>
      <c r="AK241" s="0" t="n">
        <v>647</v>
      </c>
      <c r="AL241" s="0" t="n">
        <v>1.04</v>
      </c>
    </row>
    <row r="242">
      <c r="A242" s="0" t="inlineStr">
        <is>
          <t>[망월동]</t>
        </is>
      </c>
      <c r="B242" s="0" t="n">
        <v>143079</v>
      </c>
      <c r="C242" s="0" t="n">
        <v>4</v>
      </c>
      <c r="D242" s="0" t="inlineStr">
        <is>
          <t>미사강변도시16단지</t>
        </is>
      </c>
      <c r="E242" s="0" t="inlineStr">
        <is>
          <t>2015.10.</t>
        </is>
      </c>
      <c r="F242" s="0" t="n">
        <v>620</v>
      </c>
      <c r="G242" s="0" t="n">
        <v>25.65</v>
      </c>
      <c r="H242" s="0" t="n">
        <v>84.81999999999999</v>
      </c>
      <c r="I242" s="0" t="n">
        <v>17.93</v>
      </c>
      <c r="J242" s="0" t="n">
        <v>59.3</v>
      </c>
      <c r="K242" s="0" t="n">
        <v>3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84B</t>
        </is>
      </c>
      <c r="X242" s="0" t="n">
        <v>20</v>
      </c>
      <c r="Y242" s="0" t="n">
        <v>15</v>
      </c>
      <c r="Z242" s="0" t="inlineStr">
        <is>
          <t>https://new.land.naver.com/complexes/143079?tab=detail&amp;rf=Y</t>
        </is>
      </c>
      <c r="AA242" s="0" t="inlineStr">
        <is>
          <t>경기도 하남시 망월동 938</t>
        </is>
      </c>
      <c r="AB242" s="0" t="inlineStr">
        <is>
          <t>경기도</t>
        </is>
      </c>
      <c r="AC242" s="0" t="inlineStr">
        <is>
          <t>하남시</t>
        </is>
      </c>
      <c r="AD242" s="0" t="inlineStr">
        <is>
          <t>망월동</t>
        </is>
      </c>
      <c r="AG242" s="0" t="inlineStr">
        <is>
          <t>경기도 하남시 미사강변북로 130</t>
        </is>
      </c>
      <c r="AH242" s="0" t="n">
        <v>592</v>
      </c>
      <c r="AI242" s="0" t="n">
        <v>215</v>
      </c>
      <c r="AJ242" s="0" t="n">
        <v>20</v>
      </c>
      <c r="AK242" s="0" t="n">
        <v>647</v>
      </c>
      <c r="AL242" s="0" t="n">
        <v>1.04</v>
      </c>
    </row>
    <row r="243">
      <c r="A243" s="0" t="inlineStr">
        <is>
          <t>[망월동]</t>
        </is>
      </c>
      <c r="B243" s="0" t="n">
        <v>143079</v>
      </c>
      <c r="C243" s="0" t="n">
        <v>5</v>
      </c>
      <c r="D243" s="0" t="inlineStr">
        <is>
          <t>미사강변도시16단지</t>
        </is>
      </c>
      <c r="E243" s="0" t="inlineStr">
        <is>
          <t>2015.10.</t>
        </is>
      </c>
      <c r="F243" s="0" t="n">
        <v>620</v>
      </c>
      <c r="G243" s="0" t="n">
        <v>25.81</v>
      </c>
      <c r="H243" s="0" t="n">
        <v>85.34999999999999</v>
      </c>
      <c r="I243" s="0" t="n">
        <v>18.05</v>
      </c>
      <c r="J243" s="0" t="n">
        <v>59.67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85A</t>
        </is>
      </c>
      <c r="X243" s="0" t="n">
        <v>20</v>
      </c>
      <c r="Y243" s="0" t="n">
        <v>15</v>
      </c>
      <c r="Z243" s="0" t="inlineStr">
        <is>
          <t>https://new.land.naver.com/complexes/143079?tab=detail&amp;rf=Y</t>
        </is>
      </c>
      <c r="AA243" s="0" t="inlineStr">
        <is>
          <t>경기도 하남시 망월동 938</t>
        </is>
      </c>
      <c r="AB243" s="0" t="inlineStr">
        <is>
          <t>경기도</t>
        </is>
      </c>
      <c r="AC243" s="0" t="inlineStr">
        <is>
          <t>하남시</t>
        </is>
      </c>
      <c r="AD243" s="0" t="inlineStr">
        <is>
          <t>망월동</t>
        </is>
      </c>
      <c r="AG243" s="0" t="inlineStr">
        <is>
          <t>경기도 하남시 미사강변북로 130</t>
        </is>
      </c>
      <c r="AH243" s="0" t="n">
        <v>592</v>
      </c>
      <c r="AI243" s="0" t="n">
        <v>215</v>
      </c>
      <c r="AJ243" s="0" t="n">
        <v>20</v>
      </c>
      <c r="AK243" s="0" t="n">
        <v>647</v>
      </c>
      <c r="AL243" s="0" t="n">
        <v>1.04</v>
      </c>
    </row>
    <row r="244">
      <c r="A244" s="0" t="inlineStr">
        <is>
          <t>[망월동]</t>
        </is>
      </c>
      <c r="B244" s="0" t="n">
        <v>106200</v>
      </c>
      <c r="C244" s="0" t="n">
        <v>1</v>
      </c>
      <c r="D244" s="0" t="inlineStr">
        <is>
          <t>미사강변루나리움</t>
        </is>
      </c>
      <c r="E244" s="0" t="inlineStr">
        <is>
          <t>2015.09.</t>
        </is>
      </c>
      <c r="F244" s="0" t="n">
        <v>1164</v>
      </c>
      <c r="G244" s="0" t="n">
        <v>23.99</v>
      </c>
      <c r="H244" s="0" t="n">
        <v>79.31999999999999</v>
      </c>
      <c r="I244" s="0" t="n">
        <v>18.11</v>
      </c>
      <c r="J244" s="0" t="n">
        <v>59.88</v>
      </c>
      <c r="K244" s="0" t="n">
        <v>261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79A</t>
        </is>
      </c>
      <c r="X244" s="0" t="n">
        <v>29</v>
      </c>
      <c r="Y244" s="0" t="n">
        <v>13</v>
      </c>
      <c r="Z244" s="0" t="inlineStr">
        <is>
          <t>https://new.land.naver.com/complexes/106200?tab=detail&amp;rf=Y</t>
        </is>
      </c>
      <c r="AA244" s="0" t="inlineStr">
        <is>
          <t>경기도 하남시 망월동 1034</t>
        </is>
      </c>
      <c r="AB244" s="0" t="inlineStr">
        <is>
          <t>경기도</t>
        </is>
      </c>
      <c r="AC244" s="0" t="inlineStr">
        <is>
          <t>하남시</t>
        </is>
      </c>
      <c r="AD244" s="0" t="inlineStr">
        <is>
          <t>망월동</t>
        </is>
      </c>
      <c r="AG244" s="0" t="inlineStr">
        <is>
          <t>경기도 하남시 아리수로 499</t>
        </is>
      </c>
      <c r="AH244" s="0" t="n">
        <v>0</v>
      </c>
      <c r="AI244" s="0" t="n">
        <v>201</v>
      </c>
      <c r="AJ244" s="0" t="n">
        <v>15</v>
      </c>
      <c r="AK244" s="0" t="n">
        <v>1343</v>
      </c>
      <c r="AL244" s="0" t="n">
        <v>1.15</v>
      </c>
    </row>
    <row r="245">
      <c r="A245" s="0" t="inlineStr">
        <is>
          <t>[망월동]</t>
        </is>
      </c>
      <c r="B245" s="0" t="n">
        <v>106200</v>
      </c>
      <c r="C245" s="0" t="n">
        <v>2</v>
      </c>
      <c r="D245" s="0" t="inlineStr">
        <is>
          <t>미사강변루나리움</t>
        </is>
      </c>
      <c r="E245" s="0" t="inlineStr">
        <is>
          <t>2015.09.</t>
        </is>
      </c>
      <c r="F245" s="0" t="n">
        <v>1164</v>
      </c>
      <c r="G245" s="0" t="n">
        <v>23.97</v>
      </c>
      <c r="H245" s="0" t="n">
        <v>79.26000000000001</v>
      </c>
      <c r="I245" s="0" t="n">
        <v>18.1</v>
      </c>
      <c r="J245" s="0" t="n">
        <v>59.84</v>
      </c>
      <c r="K245" s="0" t="n">
        <v>78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29</v>
      </c>
      <c r="Y245" s="0" t="n">
        <v>13</v>
      </c>
      <c r="Z245" s="0" t="inlineStr">
        <is>
          <t>https://new.land.naver.com/complexes/106200?tab=detail&amp;rf=Y</t>
        </is>
      </c>
      <c r="AA245" s="0" t="inlineStr">
        <is>
          <t>경기도 하남시 망월동 1034</t>
        </is>
      </c>
      <c r="AB245" s="0" t="inlineStr">
        <is>
          <t>경기도</t>
        </is>
      </c>
      <c r="AC245" s="0" t="inlineStr">
        <is>
          <t>하남시</t>
        </is>
      </c>
      <c r="AD245" s="0" t="inlineStr">
        <is>
          <t>망월동</t>
        </is>
      </c>
      <c r="AG245" s="0" t="inlineStr">
        <is>
          <t>경기도 하남시 아리수로 499</t>
        </is>
      </c>
      <c r="AH245" s="0" t="n">
        <v>0</v>
      </c>
      <c r="AI245" s="0" t="n">
        <v>201</v>
      </c>
      <c r="AJ245" s="0" t="n">
        <v>15</v>
      </c>
      <c r="AK245" s="0" t="n">
        <v>1343</v>
      </c>
      <c r="AL245" s="0" t="n">
        <v>1.15</v>
      </c>
    </row>
    <row r="246">
      <c r="A246" s="0" t="inlineStr">
        <is>
          <t>[망월동]</t>
        </is>
      </c>
      <c r="B246" s="0" t="n">
        <v>106200</v>
      </c>
      <c r="C246" s="0" t="n">
        <v>3</v>
      </c>
      <c r="D246" s="0" t="inlineStr">
        <is>
          <t>미사강변루나리움</t>
        </is>
      </c>
      <c r="E246" s="0" t="inlineStr">
        <is>
          <t>2015.09.</t>
        </is>
      </c>
      <c r="F246" s="0" t="n">
        <v>1164</v>
      </c>
      <c r="G246" s="0" t="n">
        <v>23.97</v>
      </c>
      <c r="H246" s="0" t="n">
        <v>79.26000000000001</v>
      </c>
      <c r="I246" s="0" t="n">
        <v>18.1</v>
      </c>
      <c r="J246" s="0" t="n">
        <v>59.84</v>
      </c>
      <c r="K246" s="0" t="n">
        <v>29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79BN</t>
        </is>
      </c>
      <c r="X246" s="0" t="n">
        <v>29</v>
      </c>
      <c r="Y246" s="0" t="n">
        <v>13</v>
      </c>
      <c r="Z246" s="0" t="inlineStr">
        <is>
          <t>https://new.land.naver.com/complexes/106200?tab=detail&amp;rf=Y</t>
        </is>
      </c>
      <c r="AA246" s="0" t="inlineStr">
        <is>
          <t>경기도 하남시 망월동 1034</t>
        </is>
      </c>
      <c r="AB246" s="0" t="inlineStr">
        <is>
          <t>경기도</t>
        </is>
      </c>
      <c r="AC246" s="0" t="inlineStr">
        <is>
          <t>하남시</t>
        </is>
      </c>
      <c r="AD246" s="0" t="inlineStr">
        <is>
          <t>망월동</t>
        </is>
      </c>
      <c r="AG246" s="0" t="inlineStr">
        <is>
          <t>경기도 하남시 아리수로 499</t>
        </is>
      </c>
      <c r="AH246" s="0" t="n">
        <v>0</v>
      </c>
      <c r="AI246" s="0" t="n">
        <v>201</v>
      </c>
      <c r="AJ246" s="0" t="n">
        <v>15</v>
      </c>
      <c r="AK246" s="0" t="n">
        <v>1343</v>
      </c>
      <c r="AL246" s="0" t="n">
        <v>1.15</v>
      </c>
    </row>
    <row r="247">
      <c r="A247" s="0" t="inlineStr">
        <is>
          <t>[망월동]</t>
        </is>
      </c>
      <c r="B247" s="0" t="n">
        <v>106200</v>
      </c>
      <c r="C247" s="0" t="n">
        <v>4</v>
      </c>
      <c r="D247" s="0" t="inlineStr">
        <is>
          <t>미사강변루나리움</t>
        </is>
      </c>
      <c r="E247" s="0" t="inlineStr">
        <is>
          <t>2015.09.</t>
        </is>
      </c>
      <c r="F247" s="0" t="n">
        <v>1164</v>
      </c>
      <c r="G247" s="0" t="n">
        <v>29.97</v>
      </c>
      <c r="H247" s="0" t="n">
        <v>99.08</v>
      </c>
      <c r="I247" s="0" t="n">
        <v>22.62</v>
      </c>
      <c r="J247" s="0" t="n">
        <v>74.8</v>
      </c>
      <c r="K247" s="0" t="n">
        <v>159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99A1</t>
        </is>
      </c>
      <c r="X247" s="0" t="n">
        <v>29</v>
      </c>
      <c r="Y247" s="0" t="n">
        <v>13</v>
      </c>
      <c r="Z247" s="0" t="inlineStr">
        <is>
          <t>https://new.land.naver.com/complexes/106200?tab=detail&amp;rf=Y</t>
        </is>
      </c>
      <c r="AA247" s="0" t="inlineStr">
        <is>
          <t>경기도 하남시 망월동 1034</t>
        </is>
      </c>
      <c r="AB247" s="0" t="inlineStr">
        <is>
          <t>경기도</t>
        </is>
      </c>
      <c r="AC247" s="0" t="inlineStr">
        <is>
          <t>하남시</t>
        </is>
      </c>
      <c r="AD247" s="0" t="inlineStr">
        <is>
          <t>망월동</t>
        </is>
      </c>
      <c r="AG247" s="0" t="inlineStr">
        <is>
          <t>경기도 하남시 아리수로 499</t>
        </is>
      </c>
      <c r="AH247" s="0" t="n">
        <v>0</v>
      </c>
      <c r="AI247" s="0" t="n">
        <v>201</v>
      </c>
      <c r="AJ247" s="0" t="n">
        <v>15</v>
      </c>
      <c r="AK247" s="0" t="n">
        <v>1343</v>
      </c>
      <c r="AL247" s="0" t="n">
        <v>1.15</v>
      </c>
    </row>
    <row r="248">
      <c r="A248" s="0" t="inlineStr">
        <is>
          <t>[망월동]</t>
        </is>
      </c>
      <c r="B248" s="0" t="n">
        <v>106200</v>
      </c>
      <c r="C248" s="0" t="n">
        <v>5</v>
      </c>
      <c r="D248" s="0" t="inlineStr">
        <is>
          <t>미사강변루나리움</t>
        </is>
      </c>
      <c r="E248" s="0" t="inlineStr">
        <is>
          <t>2015.09.</t>
        </is>
      </c>
      <c r="F248" s="0" t="n">
        <v>1164</v>
      </c>
      <c r="G248" s="0" t="n">
        <v>29.97</v>
      </c>
      <c r="H248" s="0" t="n">
        <v>99.08</v>
      </c>
      <c r="I248" s="0" t="n">
        <v>22.62</v>
      </c>
      <c r="J248" s="0" t="n">
        <v>74.8</v>
      </c>
      <c r="K248" s="0" t="n">
        <v>29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99A1N</t>
        </is>
      </c>
      <c r="X248" s="0" t="n">
        <v>29</v>
      </c>
      <c r="Y248" s="0" t="n">
        <v>13</v>
      </c>
      <c r="Z248" s="0" t="inlineStr">
        <is>
          <t>https://new.land.naver.com/complexes/106200?tab=detail&amp;rf=Y</t>
        </is>
      </c>
      <c r="AA248" s="0" t="inlineStr">
        <is>
          <t>경기도 하남시 망월동 1034</t>
        </is>
      </c>
      <c r="AB248" s="0" t="inlineStr">
        <is>
          <t>경기도</t>
        </is>
      </c>
      <c r="AC248" s="0" t="inlineStr">
        <is>
          <t>하남시</t>
        </is>
      </c>
      <c r="AD248" s="0" t="inlineStr">
        <is>
          <t>망월동</t>
        </is>
      </c>
      <c r="AG248" s="0" t="inlineStr">
        <is>
          <t>경기도 하남시 아리수로 499</t>
        </is>
      </c>
      <c r="AH248" s="0" t="n">
        <v>0</v>
      </c>
      <c r="AI248" s="0" t="n">
        <v>201</v>
      </c>
      <c r="AJ248" s="0" t="n">
        <v>15</v>
      </c>
      <c r="AK248" s="0" t="n">
        <v>1343</v>
      </c>
      <c r="AL248" s="0" t="n">
        <v>1.15</v>
      </c>
    </row>
    <row r="249">
      <c r="A249" s="0" t="inlineStr">
        <is>
          <t>[망월동]</t>
        </is>
      </c>
      <c r="B249" s="0" t="n">
        <v>106200</v>
      </c>
      <c r="C249" s="0" t="n">
        <v>6</v>
      </c>
      <c r="D249" s="0" t="inlineStr">
        <is>
          <t>미사강변루나리움</t>
        </is>
      </c>
      <c r="E249" s="0" t="inlineStr">
        <is>
          <t>2015.09.</t>
        </is>
      </c>
      <c r="F249" s="0" t="n">
        <v>1164</v>
      </c>
      <c r="G249" s="0" t="n">
        <v>29.97</v>
      </c>
      <c r="H249" s="0" t="n">
        <v>99.08</v>
      </c>
      <c r="I249" s="0" t="n">
        <v>22.62</v>
      </c>
      <c r="J249" s="0" t="n">
        <v>74.8</v>
      </c>
      <c r="K249" s="0" t="n">
        <v>24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99A2</t>
        </is>
      </c>
      <c r="X249" s="0" t="n">
        <v>29</v>
      </c>
      <c r="Y249" s="0" t="n">
        <v>13</v>
      </c>
      <c r="Z249" s="0" t="inlineStr">
        <is>
          <t>https://new.land.naver.com/complexes/106200?tab=detail&amp;rf=Y</t>
        </is>
      </c>
      <c r="AA249" s="0" t="inlineStr">
        <is>
          <t>경기도 하남시 망월동 1034</t>
        </is>
      </c>
      <c r="AB249" s="0" t="inlineStr">
        <is>
          <t>경기도</t>
        </is>
      </c>
      <c r="AC249" s="0" t="inlineStr">
        <is>
          <t>하남시</t>
        </is>
      </c>
      <c r="AD249" s="0" t="inlineStr">
        <is>
          <t>망월동</t>
        </is>
      </c>
      <c r="AG249" s="0" t="inlineStr">
        <is>
          <t>경기도 하남시 아리수로 499</t>
        </is>
      </c>
      <c r="AH249" s="0" t="n">
        <v>0</v>
      </c>
      <c r="AI249" s="0" t="n">
        <v>201</v>
      </c>
      <c r="AJ249" s="0" t="n">
        <v>15</v>
      </c>
      <c r="AK249" s="0" t="n">
        <v>1343</v>
      </c>
      <c r="AL249" s="0" t="n">
        <v>1.15</v>
      </c>
    </row>
    <row r="250">
      <c r="A250" s="0" t="inlineStr">
        <is>
          <t>[망월동]</t>
        </is>
      </c>
      <c r="B250" s="0" t="n">
        <v>106200</v>
      </c>
      <c r="C250" s="0" t="n">
        <v>7</v>
      </c>
      <c r="D250" s="0" t="inlineStr">
        <is>
          <t>미사강변루나리움</t>
        </is>
      </c>
      <c r="E250" s="0" t="inlineStr">
        <is>
          <t>2015.09.</t>
        </is>
      </c>
      <c r="F250" s="0" t="n">
        <v>1164</v>
      </c>
      <c r="G250" s="0" t="n">
        <v>34.05</v>
      </c>
      <c r="H250" s="0" t="n">
        <v>112.58</v>
      </c>
      <c r="I250" s="0" t="n">
        <v>25.7</v>
      </c>
      <c r="J250" s="0" t="n">
        <v>84.98999999999999</v>
      </c>
      <c r="K250" s="0" t="n">
        <v>331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112B1</t>
        </is>
      </c>
      <c r="X250" s="0" t="n">
        <v>29</v>
      </c>
      <c r="Y250" s="0" t="n">
        <v>13</v>
      </c>
      <c r="Z250" s="0" t="inlineStr">
        <is>
          <t>https://new.land.naver.com/complexes/106200?tab=detail&amp;rf=Y</t>
        </is>
      </c>
      <c r="AA250" s="0" t="inlineStr">
        <is>
          <t>경기도 하남시 망월동 1034</t>
        </is>
      </c>
      <c r="AB250" s="0" t="inlineStr">
        <is>
          <t>경기도</t>
        </is>
      </c>
      <c r="AC250" s="0" t="inlineStr">
        <is>
          <t>하남시</t>
        </is>
      </c>
      <c r="AD250" s="0" t="inlineStr">
        <is>
          <t>망월동</t>
        </is>
      </c>
      <c r="AG250" s="0" t="inlineStr">
        <is>
          <t>경기도 하남시 아리수로 499</t>
        </is>
      </c>
      <c r="AH250" s="0" t="n">
        <v>0</v>
      </c>
      <c r="AI250" s="0" t="n">
        <v>201</v>
      </c>
      <c r="AJ250" s="0" t="n">
        <v>15</v>
      </c>
      <c r="AK250" s="0" t="n">
        <v>1343</v>
      </c>
      <c r="AL250" s="0" t="n">
        <v>1.15</v>
      </c>
    </row>
    <row r="251">
      <c r="A251" s="0" t="inlineStr">
        <is>
          <t>[망월동]</t>
        </is>
      </c>
      <c r="B251" s="0" t="n">
        <v>106200</v>
      </c>
      <c r="C251" s="0" t="n">
        <v>8</v>
      </c>
      <c r="D251" s="0" t="inlineStr">
        <is>
          <t>미사강변루나리움</t>
        </is>
      </c>
      <c r="E251" s="0" t="inlineStr">
        <is>
          <t>2015.09.</t>
        </is>
      </c>
      <c r="F251" s="0" t="n">
        <v>1164</v>
      </c>
      <c r="G251" s="0" t="n">
        <v>34.05</v>
      </c>
      <c r="H251" s="0" t="n">
        <v>112.57</v>
      </c>
      <c r="I251" s="0" t="n">
        <v>25.7</v>
      </c>
      <c r="J251" s="0" t="n">
        <v>84.98</v>
      </c>
      <c r="K251" s="0" t="n">
        <v>87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112B2</t>
        </is>
      </c>
      <c r="X251" s="0" t="n">
        <v>29</v>
      </c>
      <c r="Y251" s="0" t="n">
        <v>13</v>
      </c>
      <c r="Z251" s="0" t="inlineStr">
        <is>
          <t>https://new.land.naver.com/complexes/106200?tab=detail&amp;rf=Y</t>
        </is>
      </c>
      <c r="AA251" s="0" t="inlineStr">
        <is>
          <t>경기도 하남시 망월동 1034</t>
        </is>
      </c>
      <c r="AB251" s="0" t="inlineStr">
        <is>
          <t>경기도</t>
        </is>
      </c>
      <c r="AC251" s="0" t="inlineStr">
        <is>
          <t>하남시</t>
        </is>
      </c>
      <c r="AD251" s="0" t="inlineStr">
        <is>
          <t>망월동</t>
        </is>
      </c>
      <c r="AG251" s="0" t="inlineStr">
        <is>
          <t>경기도 하남시 아리수로 499</t>
        </is>
      </c>
      <c r="AH251" s="0" t="n">
        <v>0</v>
      </c>
      <c r="AI251" s="0" t="n">
        <v>201</v>
      </c>
      <c r="AJ251" s="0" t="n">
        <v>15</v>
      </c>
      <c r="AK251" s="0" t="n">
        <v>1343</v>
      </c>
      <c r="AL251" s="0" t="n">
        <v>1.15</v>
      </c>
    </row>
    <row r="252">
      <c r="A252" s="0" t="inlineStr">
        <is>
          <t>[망월동]</t>
        </is>
      </c>
      <c r="B252" s="0" t="n">
        <v>106200</v>
      </c>
      <c r="C252" s="0" t="n">
        <v>9</v>
      </c>
      <c r="D252" s="0" t="inlineStr">
        <is>
          <t>미사강변루나리움</t>
        </is>
      </c>
      <c r="E252" s="0" t="inlineStr">
        <is>
          <t>2015.09.</t>
        </is>
      </c>
      <c r="F252" s="0" t="n">
        <v>1164</v>
      </c>
      <c r="G252" s="0" t="n">
        <v>34.04</v>
      </c>
      <c r="H252" s="0" t="n">
        <v>112.54</v>
      </c>
      <c r="I252" s="0" t="n">
        <v>25.7</v>
      </c>
      <c r="J252" s="0" t="n">
        <v>84.95999999999999</v>
      </c>
      <c r="K252" s="0" t="n">
        <v>87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112B3</t>
        </is>
      </c>
      <c r="X252" s="0" t="n">
        <v>29</v>
      </c>
      <c r="Y252" s="0" t="n">
        <v>13</v>
      </c>
      <c r="Z252" s="0" t="inlineStr">
        <is>
          <t>https://new.land.naver.com/complexes/106200?tab=detail&amp;rf=Y</t>
        </is>
      </c>
      <c r="AA252" s="0" t="inlineStr">
        <is>
          <t>경기도 하남시 망월동 1034</t>
        </is>
      </c>
      <c r="AB252" s="0" t="inlineStr">
        <is>
          <t>경기도</t>
        </is>
      </c>
      <c r="AC252" s="0" t="inlineStr">
        <is>
          <t>하남시</t>
        </is>
      </c>
      <c r="AD252" s="0" t="inlineStr">
        <is>
          <t>망월동</t>
        </is>
      </c>
      <c r="AG252" s="0" t="inlineStr">
        <is>
          <t>경기도 하남시 아리수로 499</t>
        </is>
      </c>
      <c r="AH252" s="0" t="n">
        <v>0</v>
      </c>
      <c r="AI252" s="0" t="n">
        <v>201</v>
      </c>
      <c r="AJ252" s="0" t="n">
        <v>15</v>
      </c>
      <c r="AK252" s="0" t="n">
        <v>1343</v>
      </c>
      <c r="AL252" s="0" t="n">
        <v>1.15</v>
      </c>
    </row>
    <row r="253">
      <c r="A253" s="0" t="inlineStr">
        <is>
          <t>[망월동]</t>
        </is>
      </c>
      <c r="B253" s="0" t="n">
        <v>106200</v>
      </c>
      <c r="C253" s="0" t="n">
        <v>10</v>
      </c>
      <c r="D253" s="0" t="inlineStr">
        <is>
          <t>미사강변루나리움</t>
        </is>
      </c>
      <c r="E253" s="0" t="inlineStr">
        <is>
          <t>2015.09.</t>
        </is>
      </c>
      <c r="F253" s="0" t="n">
        <v>1164</v>
      </c>
      <c r="G253" s="0" t="n">
        <v>34.04</v>
      </c>
      <c r="H253" s="0" t="n">
        <v>112.55</v>
      </c>
      <c r="I253" s="0" t="n">
        <v>25.7</v>
      </c>
      <c r="J253" s="0" t="n">
        <v>84.97</v>
      </c>
      <c r="K253" s="0" t="n">
        <v>52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112A</t>
        </is>
      </c>
      <c r="X253" s="0" t="n">
        <v>29</v>
      </c>
      <c r="Y253" s="0" t="n">
        <v>13</v>
      </c>
      <c r="Z253" s="0" t="inlineStr">
        <is>
          <t>https://new.land.naver.com/complexes/106200?tab=detail&amp;rf=Y</t>
        </is>
      </c>
      <c r="AA253" s="0" t="inlineStr">
        <is>
          <t>경기도 하남시 망월동 1034</t>
        </is>
      </c>
      <c r="AB253" s="0" t="inlineStr">
        <is>
          <t>경기도</t>
        </is>
      </c>
      <c r="AC253" s="0" t="inlineStr">
        <is>
          <t>하남시</t>
        </is>
      </c>
      <c r="AD253" s="0" t="inlineStr">
        <is>
          <t>망월동</t>
        </is>
      </c>
      <c r="AG253" s="0" t="inlineStr">
        <is>
          <t>경기도 하남시 아리수로 499</t>
        </is>
      </c>
      <c r="AH253" s="0" t="n">
        <v>0</v>
      </c>
      <c r="AI253" s="0" t="n">
        <v>201</v>
      </c>
      <c r="AJ253" s="0" t="n">
        <v>15</v>
      </c>
      <c r="AK253" s="0" t="n">
        <v>1343</v>
      </c>
      <c r="AL253" s="0" t="n">
        <v>1.15</v>
      </c>
    </row>
    <row r="254">
      <c r="A254" s="0" t="inlineStr">
        <is>
          <t>[망월동]</t>
        </is>
      </c>
      <c r="B254" s="0" t="n">
        <v>106200</v>
      </c>
      <c r="C254" s="0" t="n">
        <v>11</v>
      </c>
      <c r="D254" s="0" t="inlineStr">
        <is>
          <t>미사강변루나리움</t>
        </is>
      </c>
      <c r="E254" s="0" t="inlineStr">
        <is>
          <t>2015.09.</t>
        </is>
      </c>
      <c r="F254" s="0" t="n">
        <v>1164</v>
      </c>
      <c r="G254" s="0" t="n">
        <v>34.05</v>
      </c>
      <c r="H254" s="0" t="n">
        <v>112.58</v>
      </c>
      <c r="I254" s="0" t="n">
        <v>25.7</v>
      </c>
      <c r="J254" s="0" t="n">
        <v>84.98999999999999</v>
      </c>
      <c r="K254" s="0" t="n">
        <v>27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112B1N</t>
        </is>
      </c>
      <c r="X254" s="0" t="n">
        <v>29</v>
      </c>
      <c r="Y254" s="0" t="n">
        <v>13</v>
      </c>
      <c r="Z254" s="0" t="inlineStr">
        <is>
          <t>https://new.land.naver.com/complexes/106200?tab=detail&amp;rf=Y</t>
        </is>
      </c>
      <c r="AA254" s="0" t="inlineStr">
        <is>
          <t>경기도 하남시 망월동 1034</t>
        </is>
      </c>
      <c r="AB254" s="0" t="inlineStr">
        <is>
          <t>경기도</t>
        </is>
      </c>
      <c r="AC254" s="0" t="inlineStr">
        <is>
          <t>하남시</t>
        </is>
      </c>
      <c r="AD254" s="0" t="inlineStr">
        <is>
          <t>망월동</t>
        </is>
      </c>
      <c r="AG254" s="0" t="inlineStr">
        <is>
          <t>경기도 하남시 아리수로 499</t>
        </is>
      </c>
      <c r="AH254" s="0" t="n">
        <v>0</v>
      </c>
      <c r="AI254" s="0" t="n">
        <v>201</v>
      </c>
      <c r="AJ254" s="0" t="n">
        <v>15</v>
      </c>
      <c r="AK254" s="0" t="n">
        <v>1343</v>
      </c>
      <c r="AL254" s="0" t="n">
        <v>1.15</v>
      </c>
    </row>
    <row r="255">
      <c r="A255" s="0" t="inlineStr">
        <is>
          <t>[망월동]</t>
        </is>
      </c>
      <c r="B255" s="0" t="n">
        <v>107663</v>
      </c>
      <c r="C255" s="0" t="n">
        <v>1</v>
      </c>
      <c r="D255" s="0" t="inlineStr">
        <is>
          <t>미사강변푸르지오</t>
        </is>
      </c>
      <c r="E255" s="0" t="inlineStr">
        <is>
          <t>2016.04.</t>
        </is>
      </c>
      <c r="F255" s="0" t="n">
        <v>1188</v>
      </c>
      <c r="G255" s="0" t="n">
        <v>29.55</v>
      </c>
      <c r="H255" s="0" t="n">
        <v>97.7</v>
      </c>
      <c r="I255" s="0" t="n">
        <v>22.66</v>
      </c>
      <c r="J255" s="0" t="n">
        <v>74.94</v>
      </c>
      <c r="K255" s="0" t="n">
        <v>67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97A</t>
        </is>
      </c>
      <c r="X255" s="0" t="n">
        <v>29</v>
      </c>
      <c r="Y255" s="0" t="n">
        <v>15</v>
      </c>
      <c r="Z255" s="0" t="inlineStr">
        <is>
          <t>https://new.land.naver.com/complexes/107663?tab=detail&amp;rf=Y</t>
        </is>
      </c>
      <c r="AA255" s="0" t="inlineStr">
        <is>
          <t>경기도 하남시 망월동 1060</t>
        </is>
      </c>
      <c r="AB255" s="0" t="inlineStr">
        <is>
          <t>경기도</t>
        </is>
      </c>
      <c r="AC255" s="0" t="inlineStr">
        <is>
          <t>하남시</t>
        </is>
      </c>
      <c r="AD255" s="0" t="inlineStr">
        <is>
          <t>망월동</t>
        </is>
      </c>
      <c r="AG255" s="0" t="inlineStr">
        <is>
          <t>경기도 하남시 미사강변대로 165</t>
        </is>
      </c>
      <c r="AH255" s="0" t="n">
        <v>0</v>
      </c>
      <c r="AI255" s="0" t="n">
        <v>209</v>
      </c>
      <c r="AJ255" s="0" t="n">
        <v>20</v>
      </c>
      <c r="AK255" s="0" t="n">
        <v>1427</v>
      </c>
      <c r="AL255" s="0" t="n">
        <v>1.2</v>
      </c>
    </row>
    <row r="256">
      <c r="A256" s="0" t="inlineStr">
        <is>
          <t>[망월동]</t>
        </is>
      </c>
      <c r="B256" s="0" t="n">
        <v>107663</v>
      </c>
      <c r="C256" s="0" t="n">
        <v>2</v>
      </c>
      <c r="D256" s="0" t="inlineStr">
        <is>
          <t>미사강변푸르지오</t>
        </is>
      </c>
      <c r="E256" s="0" t="inlineStr">
        <is>
          <t>2016.04.</t>
        </is>
      </c>
      <c r="F256" s="0" t="n">
        <v>1188</v>
      </c>
      <c r="G256" s="0" t="n">
        <v>29.54</v>
      </c>
      <c r="H256" s="0" t="n">
        <v>97.66</v>
      </c>
      <c r="I256" s="0" t="n">
        <v>22.67</v>
      </c>
      <c r="J256" s="0" t="n">
        <v>74.95</v>
      </c>
      <c r="K256" s="0" t="n">
        <v>54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97B</t>
        </is>
      </c>
      <c r="X256" s="0" t="n">
        <v>29</v>
      </c>
      <c r="Y256" s="0" t="n">
        <v>15</v>
      </c>
      <c r="Z256" s="0" t="inlineStr">
        <is>
          <t>https://new.land.naver.com/complexes/107663?tab=detail&amp;rf=Y</t>
        </is>
      </c>
      <c r="AA256" s="0" t="inlineStr">
        <is>
          <t>경기도 하남시 망월동 1060</t>
        </is>
      </c>
      <c r="AB256" s="0" t="inlineStr">
        <is>
          <t>경기도</t>
        </is>
      </c>
      <c r="AC256" s="0" t="inlineStr">
        <is>
          <t>하남시</t>
        </is>
      </c>
      <c r="AD256" s="0" t="inlineStr">
        <is>
          <t>망월동</t>
        </is>
      </c>
      <c r="AG256" s="0" t="inlineStr">
        <is>
          <t>경기도 하남시 미사강변대로 165</t>
        </is>
      </c>
      <c r="AH256" s="0" t="n">
        <v>0</v>
      </c>
      <c r="AI256" s="0" t="n">
        <v>209</v>
      </c>
      <c r="AJ256" s="0" t="n">
        <v>20</v>
      </c>
      <c r="AK256" s="0" t="n">
        <v>1427</v>
      </c>
      <c r="AL256" s="0" t="n">
        <v>1.2</v>
      </c>
    </row>
    <row r="257">
      <c r="A257" s="0" t="inlineStr">
        <is>
          <t>[망월동]</t>
        </is>
      </c>
      <c r="B257" s="0" t="n">
        <v>107663</v>
      </c>
      <c r="C257" s="0" t="n">
        <v>3</v>
      </c>
      <c r="D257" s="0" t="inlineStr">
        <is>
          <t>미사강변푸르지오</t>
        </is>
      </c>
      <c r="E257" s="0" t="inlineStr">
        <is>
          <t>2016.04.</t>
        </is>
      </c>
      <c r="F257" s="0" t="n">
        <v>1188</v>
      </c>
      <c r="G257" s="0" t="n">
        <v>29.81</v>
      </c>
      <c r="H257" s="0" t="n">
        <v>98.55</v>
      </c>
      <c r="I257" s="0" t="n">
        <v>22.68</v>
      </c>
      <c r="J257" s="0" t="n">
        <v>74.98999999999999</v>
      </c>
      <c r="K257" s="0" t="n">
        <v>56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98C</t>
        </is>
      </c>
      <c r="X257" s="0" t="n">
        <v>29</v>
      </c>
      <c r="Y257" s="0" t="n">
        <v>15</v>
      </c>
      <c r="Z257" s="0" t="inlineStr">
        <is>
          <t>https://new.land.naver.com/complexes/107663?tab=detail&amp;rf=Y</t>
        </is>
      </c>
      <c r="AA257" s="0" t="inlineStr">
        <is>
          <t>경기도 하남시 망월동 1060</t>
        </is>
      </c>
      <c r="AB257" s="0" t="inlineStr">
        <is>
          <t>경기도</t>
        </is>
      </c>
      <c r="AC257" s="0" t="inlineStr">
        <is>
          <t>하남시</t>
        </is>
      </c>
      <c r="AD257" s="0" t="inlineStr">
        <is>
          <t>망월동</t>
        </is>
      </c>
      <c r="AG257" s="0" t="inlineStr">
        <is>
          <t>경기도 하남시 미사강변대로 165</t>
        </is>
      </c>
      <c r="AH257" s="0" t="n">
        <v>0</v>
      </c>
      <c r="AI257" s="0" t="n">
        <v>209</v>
      </c>
      <c r="AJ257" s="0" t="n">
        <v>20</v>
      </c>
      <c r="AK257" s="0" t="n">
        <v>1427</v>
      </c>
      <c r="AL257" s="0" t="n">
        <v>1.2</v>
      </c>
    </row>
    <row r="258">
      <c r="A258" s="0" t="inlineStr">
        <is>
          <t>[망월동]</t>
        </is>
      </c>
      <c r="B258" s="0" t="n">
        <v>107663</v>
      </c>
      <c r="C258" s="0" t="n">
        <v>4</v>
      </c>
      <c r="D258" s="0" t="inlineStr">
        <is>
          <t>미사강변푸르지오</t>
        </is>
      </c>
      <c r="E258" s="0" t="inlineStr">
        <is>
          <t>2016.04.</t>
        </is>
      </c>
      <c r="F258" s="0" t="n">
        <v>1188</v>
      </c>
      <c r="G258" s="0" t="n">
        <v>29.98</v>
      </c>
      <c r="H258" s="0" t="n">
        <v>99.13</v>
      </c>
      <c r="I258" s="0" t="n">
        <v>22.67</v>
      </c>
      <c r="J258" s="0" t="n">
        <v>74.97</v>
      </c>
      <c r="K258" s="0" t="n">
        <v>20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99D</t>
        </is>
      </c>
      <c r="X258" s="0" t="n">
        <v>29</v>
      </c>
      <c r="Y258" s="0" t="n">
        <v>15</v>
      </c>
      <c r="Z258" s="0" t="inlineStr">
        <is>
          <t>https://new.land.naver.com/complexes/107663?tab=detail&amp;rf=Y</t>
        </is>
      </c>
      <c r="AA258" s="0" t="inlineStr">
        <is>
          <t>경기도 하남시 망월동 1060</t>
        </is>
      </c>
      <c r="AB258" s="0" t="inlineStr">
        <is>
          <t>경기도</t>
        </is>
      </c>
      <c r="AC258" s="0" t="inlineStr">
        <is>
          <t>하남시</t>
        </is>
      </c>
      <c r="AD258" s="0" t="inlineStr">
        <is>
          <t>망월동</t>
        </is>
      </c>
      <c r="AG258" s="0" t="inlineStr">
        <is>
          <t>경기도 하남시 미사강변대로 165</t>
        </is>
      </c>
      <c r="AH258" s="0" t="n">
        <v>0</v>
      </c>
      <c r="AI258" s="0" t="n">
        <v>209</v>
      </c>
      <c r="AJ258" s="0" t="n">
        <v>20</v>
      </c>
      <c r="AK258" s="0" t="n">
        <v>1427</v>
      </c>
      <c r="AL258" s="0" t="n">
        <v>1.2</v>
      </c>
    </row>
    <row r="259">
      <c r="A259" s="0" t="inlineStr">
        <is>
          <t>[망월동]</t>
        </is>
      </c>
      <c r="B259" s="0" t="n">
        <v>107663</v>
      </c>
      <c r="C259" s="0" t="n">
        <v>5</v>
      </c>
      <c r="D259" s="0" t="inlineStr">
        <is>
          <t>미사강변푸르지오</t>
        </is>
      </c>
      <c r="E259" s="0" t="inlineStr">
        <is>
          <t>2016.04.</t>
        </is>
      </c>
      <c r="F259" s="0" t="n">
        <v>1188</v>
      </c>
      <c r="G259" s="0" t="n">
        <v>33.82</v>
      </c>
      <c r="H259" s="0" t="n">
        <v>111.83</v>
      </c>
      <c r="I259" s="0" t="n">
        <v>25.7</v>
      </c>
      <c r="J259" s="0" t="n">
        <v>84.98</v>
      </c>
      <c r="K259" s="0" t="n">
        <v>592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111A</t>
        </is>
      </c>
      <c r="X259" s="0" t="n">
        <v>29</v>
      </c>
      <c r="Y259" s="0" t="n">
        <v>15</v>
      </c>
      <c r="Z259" s="0" t="inlineStr">
        <is>
          <t>https://new.land.naver.com/complexes/107663?tab=detail&amp;rf=Y</t>
        </is>
      </c>
      <c r="AA259" s="0" t="inlineStr">
        <is>
          <t>경기도 하남시 망월동 1060</t>
        </is>
      </c>
      <c r="AB259" s="0" t="inlineStr">
        <is>
          <t>경기도</t>
        </is>
      </c>
      <c r="AC259" s="0" t="inlineStr">
        <is>
          <t>하남시</t>
        </is>
      </c>
      <c r="AD259" s="0" t="inlineStr">
        <is>
          <t>망월동</t>
        </is>
      </c>
      <c r="AG259" s="0" t="inlineStr">
        <is>
          <t>경기도 하남시 미사강변대로 165</t>
        </is>
      </c>
      <c r="AH259" s="0" t="n">
        <v>0</v>
      </c>
      <c r="AI259" s="0" t="n">
        <v>209</v>
      </c>
      <c r="AJ259" s="0" t="n">
        <v>20</v>
      </c>
      <c r="AK259" s="0" t="n">
        <v>1427</v>
      </c>
      <c r="AL259" s="0" t="n">
        <v>1.2</v>
      </c>
    </row>
    <row r="260">
      <c r="A260" s="0" t="inlineStr">
        <is>
          <t>[망월동]</t>
        </is>
      </c>
      <c r="B260" s="0" t="n">
        <v>107663</v>
      </c>
      <c r="C260" s="0" t="n">
        <v>6</v>
      </c>
      <c r="D260" s="0" t="inlineStr">
        <is>
          <t>미사강변푸르지오</t>
        </is>
      </c>
      <c r="E260" s="0" t="inlineStr">
        <is>
          <t>2016.04.</t>
        </is>
      </c>
      <c r="F260" s="0" t="n">
        <v>1188</v>
      </c>
      <c r="G260" s="0" t="n">
        <v>33.76</v>
      </c>
      <c r="H260" s="0" t="n">
        <v>111.63</v>
      </c>
      <c r="I260" s="0" t="n">
        <v>25.7</v>
      </c>
      <c r="J260" s="0" t="n">
        <v>84.98999999999999</v>
      </c>
      <c r="K260" s="0" t="n">
        <v>300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111B</t>
        </is>
      </c>
      <c r="X260" s="0" t="n">
        <v>29</v>
      </c>
      <c r="Y260" s="0" t="n">
        <v>15</v>
      </c>
      <c r="Z260" s="0" t="inlineStr">
        <is>
          <t>https://new.land.naver.com/complexes/107663?tab=detail&amp;rf=Y</t>
        </is>
      </c>
      <c r="AA260" s="0" t="inlineStr">
        <is>
          <t>경기도 하남시 망월동 1060</t>
        </is>
      </c>
      <c r="AB260" s="0" t="inlineStr">
        <is>
          <t>경기도</t>
        </is>
      </c>
      <c r="AC260" s="0" t="inlineStr">
        <is>
          <t>하남시</t>
        </is>
      </c>
      <c r="AD260" s="0" t="inlineStr">
        <is>
          <t>망월동</t>
        </is>
      </c>
      <c r="AG260" s="0" t="inlineStr">
        <is>
          <t>경기도 하남시 미사강변대로 165</t>
        </is>
      </c>
      <c r="AH260" s="0" t="n">
        <v>0</v>
      </c>
      <c r="AI260" s="0" t="n">
        <v>209</v>
      </c>
      <c r="AJ260" s="0" t="n">
        <v>20</v>
      </c>
      <c r="AK260" s="0" t="n">
        <v>1427</v>
      </c>
      <c r="AL260" s="0" t="n">
        <v>1.2</v>
      </c>
    </row>
    <row r="261">
      <c r="A261" s="0" t="inlineStr">
        <is>
          <t>[망월동]</t>
        </is>
      </c>
      <c r="B261" s="0" t="n">
        <v>107663</v>
      </c>
      <c r="C261" s="0" t="n">
        <v>7</v>
      </c>
      <c r="D261" s="0" t="inlineStr">
        <is>
          <t>미사강변푸르지오</t>
        </is>
      </c>
      <c r="E261" s="0" t="inlineStr">
        <is>
          <t>2016.04.</t>
        </is>
      </c>
      <c r="F261" s="0" t="n">
        <v>1188</v>
      </c>
      <c r="G261" s="0" t="n">
        <v>33.97</v>
      </c>
      <c r="H261" s="0" t="n">
        <v>112.33</v>
      </c>
      <c r="I261" s="0" t="n">
        <v>25.7</v>
      </c>
      <c r="J261" s="0" t="n">
        <v>84.97</v>
      </c>
      <c r="K261" s="0" t="n">
        <v>99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112C</t>
        </is>
      </c>
      <c r="X261" s="0" t="n">
        <v>29</v>
      </c>
      <c r="Y261" s="0" t="n">
        <v>15</v>
      </c>
      <c r="Z261" s="0" t="inlineStr">
        <is>
          <t>https://new.land.naver.com/complexes/107663?tab=detail&amp;rf=Y</t>
        </is>
      </c>
      <c r="AA261" s="0" t="inlineStr">
        <is>
          <t>경기도 하남시 망월동 1060</t>
        </is>
      </c>
      <c r="AB261" s="0" t="inlineStr">
        <is>
          <t>경기도</t>
        </is>
      </c>
      <c r="AC261" s="0" t="inlineStr">
        <is>
          <t>하남시</t>
        </is>
      </c>
      <c r="AD261" s="0" t="inlineStr">
        <is>
          <t>망월동</t>
        </is>
      </c>
      <c r="AG261" s="0" t="inlineStr">
        <is>
          <t>경기도 하남시 미사강변대로 165</t>
        </is>
      </c>
      <c r="AH261" s="0" t="n">
        <v>0</v>
      </c>
      <c r="AI261" s="0" t="n">
        <v>209</v>
      </c>
      <c r="AJ261" s="0" t="n">
        <v>20</v>
      </c>
      <c r="AK261" s="0" t="n">
        <v>1427</v>
      </c>
      <c r="AL261" s="0" t="n">
        <v>1.2</v>
      </c>
    </row>
    <row r="262">
      <c r="A262" s="0" t="inlineStr">
        <is>
          <t>[망월동]</t>
        </is>
      </c>
      <c r="B262" s="0" t="n">
        <v>106199</v>
      </c>
      <c r="C262" s="0" t="n">
        <v>1</v>
      </c>
      <c r="D262" s="0" t="inlineStr">
        <is>
          <t>미사강변한신휴플러스</t>
        </is>
      </c>
      <c r="E262" s="0" t="inlineStr">
        <is>
          <t>2015.01.</t>
        </is>
      </c>
      <c r="F262" s="0" t="n">
        <v>763</v>
      </c>
      <c r="G262" s="0" t="n">
        <v>29.91</v>
      </c>
      <c r="H262" s="0" t="n">
        <v>98.90000000000001</v>
      </c>
      <c r="I262" s="0" t="n">
        <v>22.56</v>
      </c>
      <c r="J262" s="0" t="n">
        <v>74.61</v>
      </c>
      <c r="K262" s="0" t="n">
        <v>240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22</v>
      </c>
      <c r="Y262" s="0" t="n">
        <v>12</v>
      </c>
      <c r="Z262" s="0" t="inlineStr">
        <is>
          <t>https://new.land.naver.com/complexes/106199?tab=detail&amp;rf=Y</t>
        </is>
      </c>
      <c r="AA262" s="0" t="inlineStr">
        <is>
          <t>경기도 하남시 망월동 904</t>
        </is>
      </c>
      <c r="AB262" s="0" t="inlineStr">
        <is>
          <t>경기도</t>
        </is>
      </c>
      <c r="AC262" s="0" t="inlineStr">
        <is>
          <t>하남시</t>
        </is>
      </c>
      <c r="AD262" s="0" t="inlineStr">
        <is>
          <t>망월동</t>
        </is>
      </c>
      <c r="AG262" s="0" t="inlineStr">
        <is>
          <t>경기도 하남시 미사강변한강로 170</t>
        </is>
      </c>
      <c r="AH262" s="0" t="n">
        <v>0</v>
      </c>
      <c r="AI262" s="0" t="n">
        <v>217</v>
      </c>
      <c r="AJ262" s="0" t="n">
        <v>21</v>
      </c>
      <c r="AK262" s="0" t="n">
        <v>915</v>
      </c>
      <c r="AL262" s="0" t="n">
        <v>1.2</v>
      </c>
    </row>
    <row r="263">
      <c r="A263" s="0" t="inlineStr">
        <is>
          <t>[망월동]</t>
        </is>
      </c>
      <c r="B263" s="0" t="n">
        <v>106199</v>
      </c>
      <c r="C263" s="0" t="n">
        <v>2</v>
      </c>
      <c r="D263" s="0" t="inlineStr">
        <is>
          <t>미사강변한신휴플러스</t>
        </is>
      </c>
      <c r="E263" s="0" t="inlineStr">
        <is>
          <t>2015.01.</t>
        </is>
      </c>
      <c r="F263" s="0" t="n">
        <v>763</v>
      </c>
      <c r="G263" s="0" t="n">
        <v>29.91</v>
      </c>
      <c r="H263" s="0" t="n">
        <v>98.90000000000001</v>
      </c>
      <c r="I263" s="0" t="n">
        <v>22.56</v>
      </c>
      <c r="J263" s="0" t="n">
        <v>74.61</v>
      </c>
      <c r="K263" s="0" t="n">
        <v>20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98AN</t>
        </is>
      </c>
      <c r="X263" s="0" t="n">
        <v>22</v>
      </c>
      <c r="Y263" s="0" t="n">
        <v>12</v>
      </c>
      <c r="Z263" s="0" t="inlineStr">
        <is>
          <t>https://new.land.naver.com/complexes/106199?tab=detail&amp;rf=Y</t>
        </is>
      </c>
      <c r="AA263" s="0" t="inlineStr">
        <is>
          <t>경기도 하남시 망월동 904</t>
        </is>
      </c>
      <c r="AB263" s="0" t="inlineStr">
        <is>
          <t>경기도</t>
        </is>
      </c>
      <c r="AC263" s="0" t="inlineStr">
        <is>
          <t>하남시</t>
        </is>
      </c>
      <c r="AD263" s="0" t="inlineStr">
        <is>
          <t>망월동</t>
        </is>
      </c>
      <c r="AG263" s="0" t="inlineStr">
        <is>
          <t>경기도 하남시 미사강변한강로 170</t>
        </is>
      </c>
      <c r="AH263" s="0" t="n">
        <v>0</v>
      </c>
      <c r="AI263" s="0" t="n">
        <v>217</v>
      </c>
      <c r="AJ263" s="0" t="n">
        <v>21</v>
      </c>
      <c r="AK263" s="0" t="n">
        <v>915</v>
      </c>
      <c r="AL263" s="0" t="n">
        <v>1.2</v>
      </c>
    </row>
    <row r="264">
      <c r="A264" s="0" t="inlineStr">
        <is>
          <t>[망월동]</t>
        </is>
      </c>
      <c r="B264" s="0" t="n">
        <v>106199</v>
      </c>
      <c r="C264" s="0" t="n">
        <v>3</v>
      </c>
      <c r="D264" s="0" t="inlineStr">
        <is>
          <t>미사강변한신휴플러스</t>
        </is>
      </c>
      <c r="E264" s="0" t="inlineStr">
        <is>
          <t>2015.01.</t>
        </is>
      </c>
      <c r="F264" s="0" t="n">
        <v>763</v>
      </c>
      <c r="G264" s="0" t="n">
        <v>34.07</v>
      </c>
      <c r="H264" s="0" t="n">
        <v>112.65</v>
      </c>
      <c r="I264" s="0" t="n">
        <v>25.7</v>
      </c>
      <c r="J264" s="0" t="n">
        <v>84.98</v>
      </c>
      <c r="K264" s="0" t="n">
        <v>192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112B1</t>
        </is>
      </c>
      <c r="X264" s="0" t="n">
        <v>22</v>
      </c>
      <c r="Y264" s="0" t="n">
        <v>12</v>
      </c>
      <c r="Z264" s="0" t="inlineStr">
        <is>
          <t>https://new.land.naver.com/complexes/106199?tab=detail&amp;rf=Y</t>
        </is>
      </c>
      <c r="AA264" s="0" t="inlineStr">
        <is>
          <t>경기도 하남시 망월동 904</t>
        </is>
      </c>
      <c r="AB264" s="0" t="inlineStr">
        <is>
          <t>경기도</t>
        </is>
      </c>
      <c r="AC264" s="0" t="inlineStr">
        <is>
          <t>하남시</t>
        </is>
      </c>
      <c r="AD264" s="0" t="inlineStr">
        <is>
          <t>망월동</t>
        </is>
      </c>
      <c r="AG264" s="0" t="inlineStr">
        <is>
          <t>경기도 하남시 미사강변한강로 170</t>
        </is>
      </c>
      <c r="AH264" s="0" t="n">
        <v>0</v>
      </c>
      <c r="AI264" s="0" t="n">
        <v>217</v>
      </c>
      <c r="AJ264" s="0" t="n">
        <v>21</v>
      </c>
      <c r="AK264" s="0" t="n">
        <v>915</v>
      </c>
      <c r="AL264" s="0" t="n">
        <v>1.2</v>
      </c>
    </row>
    <row r="265">
      <c r="A265" s="0" t="inlineStr">
        <is>
          <t>[망월동]</t>
        </is>
      </c>
      <c r="B265" s="0" t="n">
        <v>106199</v>
      </c>
      <c r="C265" s="0" t="n">
        <v>4</v>
      </c>
      <c r="D265" s="0" t="inlineStr">
        <is>
          <t>미사강변한신휴플러스</t>
        </is>
      </c>
      <c r="E265" s="0" t="inlineStr">
        <is>
          <t>2015.01.</t>
        </is>
      </c>
      <c r="F265" s="0" t="n">
        <v>763</v>
      </c>
      <c r="G265" s="0" t="n">
        <v>34.05</v>
      </c>
      <c r="H265" s="0" t="n">
        <v>112.57</v>
      </c>
      <c r="I265" s="0" t="n">
        <v>25.68</v>
      </c>
      <c r="J265" s="0" t="n">
        <v>84.92</v>
      </c>
      <c r="K265" s="0" t="n">
        <v>115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112B2</t>
        </is>
      </c>
      <c r="X265" s="0" t="n">
        <v>22</v>
      </c>
      <c r="Y265" s="0" t="n">
        <v>12</v>
      </c>
      <c r="Z265" s="0" t="inlineStr">
        <is>
          <t>https://new.land.naver.com/complexes/106199?tab=detail&amp;rf=Y</t>
        </is>
      </c>
      <c r="AA265" s="0" t="inlineStr">
        <is>
          <t>경기도 하남시 망월동 904</t>
        </is>
      </c>
      <c r="AB265" s="0" t="inlineStr">
        <is>
          <t>경기도</t>
        </is>
      </c>
      <c r="AC265" s="0" t="inlineStr">
        <is>
          <t>하남시</t>
        </is>
      </c>
      <c r="AD265" s="0" t="inlineStr">
        <is>
          <t>망월동</t>
        </is>
      </c>
      <c r="AG265" s="0" t="inlineStr">
        <is>
          <t>경기도 하남시 미사강변한강로 170</t>
        </is>
      </c>
      <c r="AH265" s="0" t="n">
        <v>0</v>
      </c>
      <c r="AI265" s="0" t="n">
        <v>217</v>
      </c>
      <c r="AJ265" s="0" t="n">
        <v>21</v>
      </c>
      <c r="AK265" s="0" t="n">
        <v>915</v>
      </c>
      <c r="AL265" s="0" t="n">
        <v>1.2</v>
      </c>
    </row>
    <row r="266">
      <c r="A266" s="0" t="inlineStr">
        <is>
          <t>[망월동]</t>
        </is>
      </c>
      <c r="B266" s="0" t="n">
        <v>106199</v>
      </c>
      <c r="C266" s="0" t="n">
        <v>5</v>
      </c>
      <c r="D266" s="0" t="inlineStr">
        <is>
          <t>미사강변한신휴플러스</t>
        </is>
      </c>
      <c r="E266" s="0" t="inlineStr">
        <is>
          <t>2015.01.</t>
        </is>
      </c>
      <c r="F266" s="0" t="n">
        <v>763</v>
      </c>
      <c r="G266" s="0" t="n">
        <v>33.97</v>
      </c>
      <c r="H266" s="0" t="n">
        <v>112.3</v>
      </c>
      <c r="I266" s="0" t="n">
        <v>25.62</v>
      </c>
      <c r="J266" s="0" t="n">
        <v>84.72</v>
      </c>
      <c r="K266" s="0" t="n">
        <v>88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112C</t>
        </is>
      </c>
      <c r="X266" s="0" t="n">
        <v>22</v>
      </c>
      <c r="Y266" s="0" t="n">
        <v>12</v>
      </c>
      <c r="Z266" s="0" t="inlineStr">
        <is>
          <t>https://new.land.naver.com/complexes/106199?tab=detail&amp;rf=Y</t>
        </is>
      </c>
      <c r="AA266" s="0" t="inlineStr">
        <is>
          <t>경기도 하남시 망월동 904</t>
        </is>
      </c>
      <c r="AB266" s="0" t="inlineStr">
        <is>
          <t>경기도</t>
        </is>
      </c>
      <c r="AC266" s="0" t="inlineStr">
        <is>
          <t>하남시</t>
        </is>
      </c>
      <c r="AD266" s="0" t="inlineStr">
        <is>
          <t>망월동</t>
        </is>
      </c>
      <c r="AG266" s="0" t="inlineStr">
        <is>
          <t>경기도 하남시 미사강변한강로 170</t>
        </is>
      </c>
      <c r="AH266" s="0" t="n">
        <v>0</v>
      </c>
      <c r="AI266" s="0" t="n">
        <v>217</v>
      </c>
      <c r="AJ266" s="0" t="n">
        <v>21</v>
      </c>
      <c r="AK266" s="0" t="n">
        <v>915</v>
      </c>
      <c r="AL266" s="0" t="n">
        <v>1.2</v>
      </c>
    </row>
    <row r="267">
      <c r="A267" s="0" t="inlineStr">
        <is>
          <t>[망월동]</t>
        </is>
      </c>
      <c r="B267" s="0" t="n">
        <v>106199</v>
      </c>
      <c r="C267" s="0" t="n">
        <v>6</v>
      </c>
      <c r="D267" s="0" t="inlineStr">
        <is>
          <t>미사강변한신휴플러스</t>
        </is>
      </c>
      <c r="E267" s="0" t="inlineStr">
        <is>
          <t>2015.01.</t>
        </is>
      </c>
      <c r="F267" s="0" t="n">
        <v>763</v>
      </c>
      <c r="G267" s="0" t="n">
        <v>34.06</v>
      </c>
      <c r="H267" s="0" t="n">
        <v>112.62</v>
      </c>
      <c r="I267" s="0" t="n">
        <v>25.7</v>
      </c>
      <c r="J267" s="0" t="n">
        <v>84.95999999999999</v>
      </c>
      <c r="K267" s="0" t="n">
        <v>76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112B3</t>
        </is>
      </c>
      <c r="X267" s="0" t="n">
        <v>22</v>
      </c>
      <c r="Y267" s="0" t="n">
        <v>12</v>
      </c>
      <c r="Z267" s="0" t="inlineStr">
        <is>
          <t>https://new.land.naver.com/complexes/106199?tab=detail&amp;rf=Y</t>
        </is>
      </c>
      <c r="AA267" s="0" t="inlineStr">
        <is>
          <t>경기도 하남시 망월동 904</t>
        </is>
      </c>
      <c r="AB267" s="0" t="inlineStr">
        <is>
          <t>경기도</t>
        </is>
      </c>
      <c r="AC267" s="0" t="inlineStr">
        <is>
          <t>하남시</t>
        </is>
      </c>
      <c r="AD267" s="0" t="inlineStr">
        <is>
          <t>망월동</t>
        </is>
      </c>
      <c r="AG267" s="0" t="inlineStr">
        <is>
          <t>경기도 하남시 미사강변한강로 170</t>
        </is>
      </c>
      <c r="AH267" s="0" t="n">
        <v>0</v>
      </c>
      <c r="AI267" s="0" t="n">
        <v>217</v>
      </c>
      <c r="AJ267" s="0" t="n">
        <v>21</v>
      </c>
      <c r="AK267" s="0" t="n">
        <v>915</v>
      </c>
      <c r="AL267" s="0" t="n">
        <v>1.2</v>
      </c>
    </row>
    <row r="268">
      <c r="A268" s="0" t="inlineStr">
        <is>
          <t>[망월동]</t>
        </is>
      </c>
      <c r="B268" s="0" t="n">
        <v>106199</v>
      </c>
      <c r="C268" s="0" t="n">
        <v>7</v>
      </c>
      <c r="D268" s="0" t="inlineStr">
        <is>
          <t>미사강변한신휴플러스</t>
        </is>
      </c>
      <c r="E268" s="0" t="inlineStr">
        <is>
          <t>2015.01.</t>
        </is>
      </c>
      <c r="F268" s="0" t="n">
        <v>763</v>
      </c>
      <c r="G268" s="0" t="n">
        <v>34.07</v>
      </c>
      <c r="H268" s="0" t="n">
        <v>112.65</v>
      </c>
      <c r="I268" s="0" t="n">
        <v>25.7</v>
      </c>
      <c r="J268" s="0" t="n">
        <v>84.98</v>
      </c>
      <c r="K268" s="0" t="n">
        <v>20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112B1N</t>
        </is>
      </c>
      <c r="X268" s="0" t="n">
        <v>22</v>
      </c>
      <c r="Y268" s="0" t="n">
        <v>12</v>
      </c>
      <c r="Z268" s="0" t="inlineStr">
        <is>
          <t>https://new.land.naver.com/complexes/106199?tab=detail&amp;rf=Y</t>
        </is>
      </c>
      <c r="AA268" s="0" t="inlineStr">
        <is>
          <t>경기도 하남시 망월동 904</t>
        </is>
      </c>
      <c r="AB268" s="0" t="inlineStr">
        <is>
          <t>경기도</t>
        </is>
      </c>
      <c r="AC268" s="0" t="inlineStr">
        <is>
          <t>하남시</t>
        </is>
      </c>
      <c r="AD268" s="0" t="inlineStr">
        <is>
          <t>망월동</t>
        </is>
      </c>
      <c r="AG268" s="0" t="inlineStr">
        <is>
          <t>경기도 하남시 미사강변한강로 170</t>
        </is>
      </c>
      <c r="AH268" s="0" t="n">
        <v>0</v>
      </c>
      <c r="AI268" s="0" t="n">
        <v>217</v>
      </c>
      <c r="AJ268" s="0" t="n">
        <v>21</v>
      </c>
      <c r="AK268" s="0" t="n">
        <v>915</v>
      </c>
      <c r="AL268" s="0" t="n">
        <v>1.2</v>
      </c>
    </row>
    <row r="269">
      <c r="A269" s="0" t="inlineStr">
        <is>
          <t>[망월동]</t>
        </is>
      </c>
      <c r="B269" s="0" t="n">
        <v>106199</v>
      </c>
      <c r="C269" s="0" t="n">
        <v>8</v>
      </c>
      <c r="D269" s="0" t="inlineStr">
        <is>
          <t>미사강변한신휴플러스</t>
        </is>
      </c>
      <c r="E269" s="0" t="inlineStr">
        <is>
          <t>2015.01.</t>
        </is>
      </c>
      <c r="F269" s="0" t="n">
        <v>763</v>
      </c>
      <c r="G269" s="0" t="n">
        <v>34.06</v>
      </c>
      <c r="H269" s="0" t="n">
        <v>112.62</v>
      </c>
      <c r="I269" s="0" t="n">
        <v>25.7</v>
      </c>
      <c r="J269" s="0" t="n">
        <v>84.95999999999999</v>
      </c>
      <c r="K269" s="0" t="n">
        <v>12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112B3N</t>
        </is>
      </c>
      <c r="X269" s="0" t="n">
        <v>22</v>
      </c>
      <c r="Y269" s="0" t="n">
        <v>12</v>
      </c>
      <c r="Z269" s="0" t="inlineStr">
        <is>
          <t>https://new.land.naver.com/complexes/106199?tab=detail&amp;rf=Y</t>
        </is>
      </c>
      <c r="AA269" s="0" t="inlineStr">
        <is>
          <t>경기도 하남시 망월동 904</t>
        </is>
      </c>
      <c r="AB269" s="0" t="inlineStr">
        <is>
          <t>경기도</t>
        </is>
      </c>
      <c r="AC269" s="0" t="inlineStr">
        <is>
          <t>하남시</t>
        </is>
      </c>
      <c r="AD269" s="0" t="inlineStr">
        <is>
          <t>망월동</t>
        </is>
      </c>
      <c r="AG269" s="0" t="inlineStr">
        <is>
          <t>경기도 하남시 미사강변한강로 170</t>
        </is>
      </c>
      <c r="AH269" s="0" t="n">
        <v>0</v>
      </c>
      <c r="AI269" s="0" t="n">
        <v>217</v>
      </c>
      <c r="AJ269" s="0" t="n">
        <v>21</v>
      </c>
      <c r="AK269" s="0" t="n">
        <v>915</v>
      </c>
      <c r="AL269" s="0" t="n">
        <v>1.2</v>
      </c>
    </row>
    <row r="270">
      <c r="A270" s="0" t="inlineStr">
        <is>
          <t>[망월동]</t>
        </is>
      </c>
      <c r="B270" s="0" t="n">
        <v>105286</v>
      </c>
      <c r="C270" s="0" t="n">
        <v>1</v>
      </c>
      <c r="D270" s="0" t="inlineStr">
        <is>
          <t>미사강변골든센트로</t>
        </is>
      </c>
      <c r="E270" s="0" t="inlineStr">
        <is>
          <t>2014.12.</t>
        </is>
      </c>
      <c r="F270" s="0" t="n">
        <v>1541</v>
      </c>
      <c r="G270" s="0" t="n">
        <v>24.79</v>
      </c>
      <c r="H270" s="0" t="n">
        <v>81.95999999999999</v>
      </c>
      <c r="I270" s="0" t="n">
        <v>18.02</v>
      </c>
      <c r="J270" s="0" t="n">
        <v>59.59</v>
      </c>
      <c r="K270" s="0" t="n">
        <v>75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81B1</t>
        </is>
      </c>
      <c r="X270" s="0" t="n">
        <v>30</v>
      </c>
      <c r="Y270" s="0" t="n">
        <v>16</v>
      </c>
      <c r="Z270" s="0" t="inlineStr">
        <is>
          <t>https://new.land.naver.com/complexes/105286?tab=detail&amp;rf=Y</t>
        </is>
      </c>
      <c r="AA270" s="0" t="inlineStr">
        <is>
          <t>경기도 하남시 망월동 1162</t>
        </is>
      </c>
      <c r="AB270" s="0" t="inlineStr">
        <is>
          <t>경기도</t>
        </is>
      </c>
      <c r="AC270" s="0" t="inlineStr">
        <is>
          <t>하남시</t>
        </is>
      </c>
      <c r="AD270" s="0" t="inlineStr">
        <is>
          <t>망월동</t>
        </is>
      </c>
      <c r="AG270" s="0" t="inlineStr">
        <is>
          <t>경기도 하남시 미사강변동로 50</t>
        </is>
      </c>
      <c r="AH270" s="0" t="n">
        <v>0</v>
      </c>
      <c r="AI270" s="0" t="n">
        <v>219</v>
      </c>
      <c r="AJ270" s="0" t="n">
        <v>14</v>
      </c>
      <c r="AK270" s="0" t="n">
        <v>1750</v>
      </c>
      <c r="AL270" s="0" t="n">
        <v>1.14</v>
      </c>
    </row>
    <row r="271">
      <c r="A271" s="0" t="inlineStr">
        <is>
          <t>[망월동]</t>
        </is>
      </c>
      <c r="B271" s="0" t="n">
        <v>105286</v>
      </c>
      <c r="C271" s="0" t="n">
        <v>2</v>
      </c>
      <c r="D271" s="0" t="inlineStr">
        <is>
          <t>미사강변골든센트로</t>
        </is>
      </c>
      <c r="E271" s="0" t="inlineStr">
        <is>
          <t>2014.12.</t>
        </is>
      </c>
      <c r="F271" s="0" t="n">
        <v>1541</v>
      </c>
      <c r="G271" s="0" t="n">
        <v>24.79</v>
      </c>
      <c r="H271" s="0" t="n">
        <v>81.97</v>
      </c>
      <c r="I271" s="0" t="n">
        <v>18.02</v>
      </c>
      <c r="J271" s="0" t="n">
        <v>59.6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81B3</t>
        </is>
      </c>
      <c r="X271" s="0" t="n">
        <v>30</v>
      </c>
      <c r="Y271" s="0" t="n">
        <v>16</v>
      </c>
      <c r="Z271" s="0" t="inlineStr">
        <is>
          <t>https://new.land.naver.com/complexes/105286?tab=detail&amp;rf=Y</t>
        </is>
      </c>
      <c r="AA271" s="0" t="inlineStr">
        <is>
          <t>경기도 하남시 망월동 1162</t>
        </is>
      </c>
      <c r="AB271" s="0" t="inlineStr">
        <is>
          <t>경기도</t>
        </is>
      </c>
      <c r="AC271" s="0" t="inlineStr">
        <is>
          <t>하남시</t>
        </is>
      </c>
      <c r="AD271" s="0" t="inlineStr">
        <is>
          <t>망월동</t>
        </is>
      </c>
      <c r="AG271" s="0" t="inlineStr">
        <is>
          <t>경기도 하남시 미사강변동로 50</t>
        </is>
      </c>
      <c r="AH271" s="0" t="n">
        <v>0</v>
      </c>
      <c r="AI271" s="0" t="n">
        <v>219</v>
      </c>
      <c r="AJ271" s="0" t="n">
        <v>14</v>
      </c>
      <c r="AK271" s="0" t="n">
        <v>1750</v>
      </c>
      <c r="AL271" s="0" t="n">
        <v>1.14</v>
      </c>
    </row>
    <row r="272">
      <c r="A272" s="0" t="inlineStr">
        <is>
          <t>[망월동]</t>
        </is>
      </c>
      <c r="B272" s="0" t="n">
        <v>105286</v>
      </c>
      <c r="C272" s="0" t="n">
        <v>3</v>
      </c>
      <c r="D272" s="0" t="inlineStr">
        <is>
          <t>미사강변골든센트로</t>
        </is>
      </c>
      <c r="E272" s="0" t="inlineStr">
        <is>
          <t>2014.12.</t>
        </is>
      </c>
      <c r="F272" s="0" t="n">
        <v>1541</v>
      </c>
      <c r="G272" s="0" t="n">
        <v>24.79</v>
      </c>
      <c r="H272" s="0" t="n">
        <v>81.95999999999999</v>
      </c>
      <c r="I272" s="0" t="n">
        <v>18.02</v>
      </c>
      <c r="J272" s="0" t="n">
        <v>59.59</v>
      </c>
      <c r="K272" s="0" t="n">
        <v>23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81B1N</t>
        </is>
      </c>
      <c r="X272" s="0" t="n">
        <v>30</v>
      </c>
      <c r="Y272" s="0" t="n">
        <v>16</v>
      </c>
      <c r="Z272" s="0" t="inlineStr">
        <is>
          <t>https://new.land.naver.com/complexes/105286?tab=detail&amp;rf=Y</t>
        </is>
      </c>
      <c r="AA272" s="0" t="inlineStr">
        <is>
          <t>경기도 하남시 망월동 1162</t>
        </is>
      </c>
      <c r="AB272" s="0" t="inlineStr">
        <is>
          <t>경기도</t>
        </is>
      </c>
      <c r="AC272" s="0" t="inlineStr">
        <is>
          <t>하남시</t>
        </is>
      </c>
      <c r="AD272" s="0" t="inlineStr">
        <is>
          <t>망월동</t>
        </is>
      </c>
      <c r="AG272" s="0" t="inlineStr">
        <is>
          <t>경기도 하남시 미사강변동로 50</t>
        </is>
      </c>
      <c r="AH272" s="0" t="n">
        <v>0</v>
      </c>
      <c r="AI272" s="0" t="n">
        <v>219</v>
      </c>
      <c r="AJ272" s="0" t="n">
        <v>14</v>
      </c>
      <c r="AK272" s="0" t="n">
        <v>1750</v>
      </c>
      <c r="AL272" s="0" t="n">
        <v>1.14</v>
      </c>
    </row>
    <row r="273">
      <c r="A273" s="0" t="inlineStr">
        <is>
          <t>[망월동]</t>
        </is>
      </c>
      <c r="B273" s="0" t="n">
        <v>105286</v>
      </c>
      <c r="C273" s="0" t="n">
        <v>4</v>
      </c>
      <c r="D273" s="0" t="inlineStr">
        <is>
          <t>미사강변골든센트로</t>
        </is>
      </c>
      <c r="E273" s="0" t="inlineStr">
        <is>
          <t>2014.12.</t>
        </is>
      </c>
      <c r="F273" s="0" t="n">
        <v>1541</v>
      </c>
      <c r="G273" s="0" t="n">
        <v>24.8</v>
      </c>
      <c r="H273" s="0" t="n">
        <v>81.98999999999999</v>
      </c>
      <c r="I273" s="0" t="n">
        <v>18.03</v>
      </c>
      <c r="J273" s="0" t="n">
        <v>59.61</v>
      </c>
      <c r="K273" s="0" t="n">
        <v>18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81C</t>
        </is>
      </c>
      <c r="X273" s="0" t="n">
        <v>30</v>
      </c>
      <c r="Y273" s="0" t="n">
        <v>16</v>
      </c>
      <c r="Z273" s="0" t="inlineStr">
        <is>
          <t>https://new.land.naver.com/complexes/105286?tab=detail&amp;rf=Y</t>
        </is>
      </c>
      <c r="AA273" s="0" t="inlineStr">
        <is>
          <t>경기도 하남시 망월동 1162</t>
        </is>
      </c>
      <c r="AB273" s="0" t="inlineStr">
        <is>
          <t>경기도</t>
        </is>
      </c>
      <c r="AC273" s="0" t="inlineStr">
        <is>
          <t>하남시</t>
        </is>
      </c>
      <c r="AD273" s="0" t="inlineStr">
        <is>
          <t>망월동</t>
        </is>
      </c>
      <c r="AG273" s="0" t="inlineStr">
        <is>
          <t>경기도 하남시 미사강변동로 50</t>
        </is>
      </c>
      <c r="AH273" s="0" t="n">
        <v>0</v>
      </c>
      <c r="AI273" s="0" t="n">
        <v>219</v>
      </c>
      <c r="AJ273" s="0" t="n">
        <v>14</v>
      </c>
      <c r="AK273" s="0" t="n">
        <v>1750</v>
      </c>
      <c r="AL273" s="0" t="n">
        <v>1.14</v>
      </c>
    </row>
    <row r="274">
      <c r="A274" s="0" t="inlineStr">
        <is>
          <t>[망월동]</t>
        </is>
      </c>
      <c r="B274" s="0" t="n">
        <v>105286</v>
      </c>
      <c r="C274" s="0" t="n">
        <v>5</v>
      </c>
      <c r="D274" s="0" t="inlineStr">
        <is>
          <t>미사강변골든센트로</t>
        </is>
      </c>
      <c r="E274" s="0" t="inlineStr">
        <is>
          <t>2014.12.</t>
        </is>
      </c>
      <c r="F274" s="0" t="n">
        <v>1541</v>
      </c>
      <c r="G274" s="0" t="n">
        <v>24.94</v>
      </c>
      <c r="H274" s="0" t="n">
        <v>82.47</v>
      </c>
      <c r="I274" s="0" t="n">
        <v>18.13</v>
      </c>
      <c r="J274" s="0" t="n">
        <v>59.96</v>
      </c>
      <c r="K274" s="0" t="n">
        <v>438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30</v>
      </c>
      <c r="Y274" s="0" t="n">
        <v>16</v>
      </c>
      <c r="Z274" s="0" t="inlineStr">
        <is>
          <t>https://new.land.naver.com/complexes/105286?tab=detail&amp;rf=Y</t>
        </is>
      </c>
      <c r="AA274" s="0" t="inlineStr">
        <is>
          <t>경기도 하남시 망월동 1162</t>
        </is>
      </c>
      <c r="AB274" s="0" t="inlineStr">
        <is>
          <t>경기도</t>
        </is>
      </c>
      <c r="AC274" s="0" t="inlineStr">
        <is>
          <t>하남시</t>
        </is>
      </c>
      <c r="AD274" s="0" t="inlineStr">
        <is>
          <t>망월동</t>
        </is>
      </c>
      <c r="AG274" s="0" t="inlineStr">
        <is>
          <t>경기도 하남시 미사강변동로 50</t>
        </is>
      </c>
      <c r="AH274" s="0" t="n">
        <v>0</v>
      </c>
      <c r="AI274" s="0" t="n">
        <v>219</v>
      </c>
      <c r="AJ274" s="0" t="n">
        <v>14</v>
      </c>
      <c r="AK274" s="0" t="n">
        <v>1750</v>
      </c>
      <c r="AL274" s="0" t="n">
        <v>1.14</v>
      </c>
    </row>
    <row r="275">
      <c r="A275" s="0" t="inlineStr">
        <is>
          <t>[망월동]</t>
        </is>
      </c>
      <c r="B275" s="0" t="n">
        <v>105286</v>
      </c>
      <c r="C275" s="0" t="n">
        <v>6</v>
      </c>
      <c r="D275" s="0" t="inlineStr">
        <is>
          <t>미사강변골든센트로</t>
        </is>
      </c>
      <c r="E275" s="0" t="inlineStr">
        <is>
          <t>2014.12.</t>
        </is>
      </c>
      <c r="F275" s="0" t="n">
        <v>1541</v>
      </c>
      <c r="G275" s="0" t="n">
        <v>24.88</v>
      </c>
      <c r="H275" s="0" t="n">
        <v>82.25</v>
      </c>
      <c r="I275" s="0" t="n">
        <v>18.08</v>
      </c>
      <c r="J275" s="0" t="n">
        <v>59.8</v>
      </c>
      <c r="K275" s="0" t="n">
        <v>49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82B2</t>
        </is>
      </c>
      <c r="X275" s="0" t="n">
        <v>30</v>
      </c>
      <c r="Y275" s="0" t="n">
        <v>16</v>
      </c>
      <c r="Z275" s="0" t="inlineStr">
        <is>
          <t>https://new.land.naver.com/complexes/105286?tab=detail&amp;rf=Y</t>
        </is>
      </c>
      <c r="AA275" s="0" t="inlineStr">
        <is>
          <t>경기도 하남시 망월동 1162</t>
        </is>
      </c>
      <c r="AB275" s="0" t="inlineStr">
        <is>
          <t>경기도</t>
        </is>
      </c>
      <c r="AC275" s="0" t="inlineStr">
        <is>
          <t>하남시</t>
        </is>
      </c>
      <c r="AD275" s="0" t="inlineStr">
        <is>
          <t>망월동</t>
        </is>
      </c>
      <c r="AG275" s="0" t="inlineStr">
        <is>
          <t>경기도 하남시 미사강변동로 50</t>
        </is>
      </c>
      <c r="AH275" s="0" t="n">
        <v>0</v>
      </c>
      <c r="AI275" s="0" t="n">
        <v>219</v>
      </c>
      <c r="AJ275" s="0" t="n">
        <v>14</v>
      </c>
      <c r="AK275" s="0" t="n">
        <v>1750</v>
      </c>
      <c r="AL275" s="0" t="n">
        <v>1.14</v>
      </c>
    </row>
    <row r="276">
      <c r="A276" s="0" t="inlineStr">
        <is>
          <t>[망월동]</t>
        </is>
      </c>
      <c r="B276" s="0" t="n">
        <v>105286</v>
      </c>
      <c r="C276" s="0" t="n">
        <v>7</v>
      </c>
      <c r="D276" s="0" t="inlineStr">
        <is>
          <t>미사강변골든센트로</t>
        </is>
      </c>
      <c r="E276" s="0" t="inlineStr">
        <is>
          <t>2014.12.</t>
        </is>
      </c>
      <c r="F276" s="0" t="n">
        <v>1541</v>
      </c>
      <c r="G276" s="0" t="n">
        <v>31.18</v>
      </c>
      <c r="H276" s="0" t="n">
        <v>103.1</v>
      </c>
      <c r="I276" s="0" t="n">
        <v>22.67</v>
      </c>
      <c r="J276" s="0" t="n">
        <v>74.95999999999999</v>
      </c>
      <c r="K276" s="0" t="n">
        <v>236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103A</t>
        </is>
      </c>
      <c r="X276" s="0" t="n">
        <v>30</v>
      </c>
      <c r="Y276" s="0" t="n">
        <v>16</v>
      </c>
      <c r="Z276" s="0" t="inlineStr">
        <is>
          <t>https://new.land.naver.com/complexes/105286?tab=detail&amp;rf=Y</t>
        </is>
      </c>
      <c r="AA276" s="0" t="inlineStr">
        <is>
          <t>경기도 하남시 망월동 1162</t>
        </is>
      </c>
      <c r="AB276" s="0" t="inlineStr">
        <is>
          <t>경기도</t>
        </is>
      </c>
      <c r="AC276" s="0" t="inlineStr">
        <is>
          <t>하남시</t>
        </is>
      </c>
      <c r="AD276" s="0" t="inlineStr">
        <is>
          <t>망월동</t>
        </is>
      </c>
      <c r="AG276" s="0" t="inlineStr">
        <is>
          <t>경기도 하남시 미사강변동로 50</t>
        </is>
      </c>
      <c r="AH276" s="0" t="n">
        <v>0</v>
      </c>
      <c r="AI276" s="0" t="n">
        <v>219</v>
      </c>
      <c r="AJ276" s="0" t="n">
        <v>14</v>
      </c>
      <c r="AK276" s="0" t="n">
        <v>1750</v>
      </c>
      <c r="AL276" s="0" t="n">
        <v>1.14</v>
      </c>
    </row>
    <row r="277">
      <c r="A277" s="0" t="inlineStr">
        <is>
          <t>[망월동]</t>
        </is>
      </c>
      <c r="B277" s="0" t="n">
        <v>105286</v>
      </c>
      <c r="C277" s="0" t="n">
        <v>8</v>
      </c>
      <c r="D277" s="0" t="inlineStr">
        <is>
          <t>미사강변골든센트로</t>
        </is>
      </c>
      <c r="E277" s="0" t="inlineStr">
        <is>
          <t>2014.12.</t>
        </is>
      </c>
      <c r="F277" s="0" t="n">
        <v>1541</v>
      </c>
      <c r="G277" s="0" t="n">
        <v>31.18</v>
      </c>
      <c r="H277" s="0" t="n">
        <v>103.1</v>
      </c>
      <c r="I277" s="0" t="n">
        <v>22.67</v>
      </c>
      <c r="J277" s="0" t="n">
        <v>74.95999999999999</v>
      </c>
      <c r="K277" s="0" t="n">
        <v>29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103AN</t>
        </is>
      </c>
      <c r="X277" s="0" t="n">
        <v>30</v>
      </c>
      <c r="Y277" s="0" t="n">
        <v>16</v>
      </c>
      <c r="Z277" s="0" t="inlineStr">
        <is>
          <t>https://new.land.naver.com/complexes/105286?tab=detail&amp;rf=Y</t>
        </is>
      </c>
      <c r="AA277" s="0" t="inlineStr">
        <is>
          <t>경기도 하남시 망월동 1162</t>
        </is>
      </c>
      <c r="AB277" s="0" t="inlineStr">
        <is>
          <t>경기도</t>
        </is>
      </c>
      <c r="AC277" s="0" t="inlineStr">
        <is>
          <t>하남시</t>
        </is>
      </c>
      <c r="AD277" s="0" t="inlineStr">
        <is>
          <t>망월동</t>
        </is>
      </c>
      <c r="AG277" s="0" t="inlineStr">
        <is>
          <t>경기도 하남시 미사강변동로 50</t>
        </is>
      </c>
      <c r="AH277" s="0" t="n">
        <v>0</v>
      </c>
      <c r="AI277" s="0" t="n">
        <v>219</v>
      </c>
      <c r="AJ277" s="0" t="n">
        <v>14</v>
      </c>
      <c r="AK277" s="0" t="n">
        <v>1750</v>
      </c>
      <c r="AL277" s="0" t="n">
        <v>1.14</v>
      </c>
    </row>
    <row r="278">
      <c r="A278" s="0" t="inlineStr">
        <is>
          <t>[망월동]</t>
        </is>
      </c>
      <c r="B278" s="0" t="n">
        <v>105286</v>
      </c>
      <c r="C278" s="0" t="n">
        <v>9</v>
      </c>
      <c r="D278" s="0" t="inlineStr">
        <is>
          <t>미사강변골든센트로</t>
        </is>
      </c>
      <c r="E278" s="0" t="inlineStr">
        <is>
          <t>2014.12.</t>
        </is>
      </c>
      <c r="F278" s="0" t="n">
        <v>1541</v>
      </c>
      <c r="G278" s="0" t="n">
        <v>35.2</v>
      </c>
      <c r="H278" s="0" t="n">
        <v>116.39</v>
      </c>
      <c r="I278" s="0" t="n">
        <v>25.59</v>
      </c>
      <c r="J278" s="0" t="n">
        <v>84.62</v>
      </c>
      <c r="K278" s="0" t="n">
        <v>149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116B1</t>
        </is>
      </c>
      <c r="X278" s="0" t="n">
        <v>30</v>
      </c>
      <c r="Y278" s="0" t="n">
        <v>16</v>
      </c>
      <c r="Z278" s="0" t="inlineStr">
        <is>
          <t>https://new.land.naver.com/complexes/105286?tab=detail&amp;rf=Y</t>
        </is>
      </c>
      <c r="AA278" s="0" t="inlineStr">
        <is>
          <t>경기도 하남시 망월동 1162</t>
        </is>
      </c>
      <c r="AB278" s="0" t="inlineStr">
        <is>
          <t>경기도</t>
        </is>
      </c>
      <c r="AC278" s="0" t="inlineStr">
        <is>
          <t>하남시</t>
        </is>
      </c>
      <c r="AD278" s="0" t="inlineStr">
        <is>
          <t>망월동</t>
        </is>
      </c>
      <c r="AG278" s="0" t="inlineStr">
        <is>
          <t>경기도 하남시 미사강변동로 50</t>
        </is>
      </c>
      <c r="AH278" s="0" t="n">
        <v>0</v>
      </c>
      <c r="AI278" s="0" t="n">
        <v>219</v>
      </c>
      <c r="AJ278" s="0" t="n">
        <v>14</v>
      </c>
      <c r="AK278" s="0" t="n">
        <v>1750</v>
      </c>
      <c r="AL278" s="0" t="n">
        <v>1.14</v>
      </c>
    </row>
    <row r="279">
      <c r="A279" s="0" t="inlineStr">
        <is>
          <t>[망월동]</t>
        </is>
      </c>
      <c r="B279" s="0" t="n">
        <v>105286</v>
      </c>
      <c r="C279" s="0" t="n">
        <v>10</v>
      </c>
      <c r="D279" s="0" t="inlineStr">
        <is>
          <t>미사강변골든센트로</t>
        </is>
      </c>
      <c r="E279" s="0" t="inlineStr">
        <is>
          <t>2014.12.</t>
        </is>
      </c>
      <c r="F279" s="0" t="n">
        <v>1541</v>
      </c>
      <c r="G279" s="0" t="n">
        <v>35.35</v>
      </c>
      <c r="H279" s="0" t="n">
        <v>116.88</v>
      </c>
      <c r="I279" s="0" t="n">
        <v>25.7</v>
      </c>
      <c r="J279" s="0" t="n">
        <v>84.98</v>
      </c>
      <c r="K279" s="0" t="n">
        <v>133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116B3</t>
        </is>
      </c>
      <c r="X279" s="0" t="n">
        <v>30</v>
      </c>
      <c r="Y279" s="0" t="n">
        <v>16</v>
      </c>
      <c r="Z279" s="0" t="inlineStr">
        <is>
          <t>https://new.land.naver.com/complexes/105286?tab=detail&amp;rf=Y</t>
        </is>
      </c>
      <c r="AA279" s="0" t="inlineStr">
        <is>
          <t>경기도 하남시 망월동 1162</t>
        </is>
      </c>
      <c r="AB279" s="0" t="inlineStr">
        <is>
          <t>경기도</t>
        </is>
      </c>
      <c r="AC279" s="0" t="inlineStr">
        <is>
          <t>하남시</t>
        </is>
      </c>
      <c r="AD279" s="0" t="inlineStr">
        <is>
          <t>망월동</t>
        </is>
      </c>
      <c r="AG279" s="0" t="inlineStr">
        <is>
          <t>경기도 하남시 미사강변동로 50</t>
        </is>
      </c>
      <c r="AH279" s="0" t="n">
        <v>0</v>
      </c>
      <c r="AI279" s="0" t="n">
        <v>219</v>
      </c>
      <c r="AJ279" s="0" t="n">
        <v>14</v>
      </c>
      <c r="AK279" s="0" t="n">
        <v>1750</v>
      </c>
      <c r="AL279" s="0" t="n">
        <v>1.14</v>
      </c>
    </row>
    <row r="280">
      <c r="A280" s="0" t="inlineStr">
        <is>
          <t>[망월동]</t>
        </is>
      </c>
      <c r="B280" s="0" t="n">
        <v>105286</v>
      </c>
      <c r="C280" s="0" t="n">
        <v>11</v>
      </c>
      <c r="D280" s="0" t="inlineStr">
        <is>
          <t>미사강변골든센트로</t>
        </is>
      </c>
      <c r="E280" s="0" t="inlineStr">
        <is>
          <t>2014.12.</t>
        </is>
      </c>
      <c r="F280" s="0" t="n">
        <v>1541</v>
      </c>
      <c r="G280" s="0" t="n">
        <v>35.31</v>
      </c>
      <c r="H280" s="0" t="n">
        <v>116.74</v>
      </c>
      <c r="I280" s="0" t="n">
        <v>25.67</v>
      </c>
      <c r="J280" s="0" t="n">
        <v>84.88</v>
      </c>
      <c r="K280" s="0" t="n">
        <v>116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116B2</t>
        </is>
      </c>
      <c r="X280" s="0" t="n">
        <v>30</v>
      </c>
      <c r="Y280" s="0" t="n">
        <v>16</v>
      </c>
      <c r="Z280" s="0" t="inlineStr">
        <is>
          <t>https://new.land.naver.com/complexes/105286?tab=detail&amp;rf=Y</t>
        </is>
      </c>
      <c r="AA280" s="0" t="inlineStr">
        <is>
          <t>경기도 하남시 망월동 1162</t>
        </is>
      </c>
      <c r="AB280" s="0" t="inlineStr">
        <is>
          <t>경기도</t>
        </is>
      </c>
      <c r="AC280" s="0" t="inlineStr">
        <is>
          <t>하남시</t>
        </is>
      </c>
      <c r="AD280" s="0" t="inlineStr">
        <is>
          <t>망월동</t>
        </is>
      </c>
      <c r="AG280" s="0" t="inlineStr">
        <is>
          <t>경기도 하남시 미사강변동로 50</t>
        </is>
      </c>
      <c r="AH280" s="0" t="n">
        <v>0</v>
      </c>
      <c r="AI280" s="0" t="n">
        <v>219</v>
      </c>
      <c r="AJ280" s="0" t="n">
        <v>14</v>
      </c>
      <c r="AK280" s="0" t="n">
        <v>1750</v>
      </c>
      <c r="AL280" s="0" t="n">
        <v>1.14</v>
      </c>
    </row>
    <row r="281">
      <c r="A281" s="0" t="inlineStr">
        <is>
          <t>[망월동]</t>
        </is>
      </c>
      <c r="B281" s="0" t="n">
        <v>105286</v>
      </c>
      <c r="C281" s="0" t="n">
        <v>12</v>
      </c>
      <c r="D281" s="0" t="inlineStr">
        <is>
          <t>미사강변골든센트로</t>
        </is>
      </c>
      <c r="E281" s="0" t="inlineStr">
        <is>
          <t>2014.12.</t>
        </is>
      </c>
      <c r="F281" s="0" t="n">
        <v>1541</v>
      </c>
      <c r="G281" s="0" t="n">
        <v>35.28</v>
      </c>
      <c r="H281" s="0" t="n">
        <v>116.66</v>
      </c>
      <c r="I281" s="0" t="n">
        <v>25.65</v>
      </c>
      <c r="J281" s="0" t="n">
        <v>84.81999999999999</v>
      </c>
      <c r="K281" s="0" t="n">
        <v>116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116C</t>
        </is>
      </c>
      <c r="X281" s="0" t="n">
        <v>30</v>
      </c>
      <c r="Y281" s="0" t="n">
        <v>16</v>
      </c>
      <c r="Z281" s="0" t="inlineStr">
        <is>
          <t>https://new.land.naver.com/complexes/105286?tab=detail&amp;rf=Y</t>
        </is>
      </c>
      <c r="AA281" s="0" t="inlineStr">
        <is>
          <t>경기도 하남시 망월동 1162</t>
        </is>
      </c>
      <c r="AB281" s="0" t="inlineStr">
        <is>
          <t>경기도</t>
        </is>
      </c>
      <c r="AC281" s="0" t="inlineStr">
        <is>
          <t>하남시</t>
        </is>
      </c>
      <c r="AD281" s="0" t="inlineStr">
        <is>
          <t>망월동</t>
        </is>
      </c>
      <c r="AG281" s="0" t="inlineStr">
        <is>
          <t>경기도 하남시 미사강변동로 50</t>
        </is>
      </c>
      <c r="AH281" s="0" t="n">
        <v>0</v>
      </c>
      <c r="AI281" s="0" t="n">
        <v>219</v>
      </c>
      <c r="AJ281" s="0" t="n">
        <v>14</v>
      </c>
      <c r="AK281" s="0" t="n">
        <v>1750</v>
      </c>
      <c r="AL281" s="0" t="n">
        <v>1.14</v>
      </c>
    </row>
    <row r="282">
      <c r="A282" s="0" t="inlineStr">
        <is>
          <t>[망월동]</t>
        </is>
      </c>
      <c r="B282" s="0" t="n">
        <v>105286</v>
      </c>
      <c r="C282" s="0" t="n">
        <v>13</v>
      </c>
      <c r="D282" s="0" t="inlineStr">
        <is>
          <t>미사강변골든센트로</t>
        </is>
      </c>
      <c r="E282" s="0" t="inlineStr">
        <is>
          <t>2014.12.</t>
        </is>
      </c>
      <c r="F282" s="0" t="n">
        <v>1541</v>
      </c>
      <c r="G282" s="0" t="n">
        <v>35.26</v>
      </c>
      <c r="H282" s="0" t="n">
        <v>116.59</v>
      </c>
      <c r="I282" s="0" t="n">
        <v>25.64</v>
      </c>
      <c r="J282" s="0" t="n">
        <v>84.77</v>
      </c>
      <c r="K282" s="0" t="n">
        <v>105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116A</t>
        </is>
      </c>
      <c r="X282" s="0" t="n">
        <v>30</v>
      </c>
      <c r="Y282" s="0" t="n">
        <v>16</v>
      </c>
      <c r="Z282" s="0" t="inlineStr">
        <is>
          <t>https://new.land.naver.com/complexes/105286?tab=detail&amp;rf=Y</t>
        </is>
      </c>
      <c r="AA282" s="0" t="inlineStr">
        <is>
          <t>경기도 하남시 망월동 1162</t>
        </is>
      </c>
      <c r="AB282" s="0" t="inlineStr">
        <is>
          <t>경기도</t>
        </is>
      </c>
      <c r="AC282" s="0" t="inlineStr">
        <is>
          <t>하남시</t>
        </is>
      </c>
      <c r="AD282" s="0" t="inlineStr">
        <is>
          <t>망월동</t>
        </is>
      </c>
      <c r="AG282" s="0" t="inlineStr">
        <is>
          <t>경기도 하남시 미사강변동로 50</t>
        </is>
      </c>
      <c r="AH282" s="0" t="n">
        <v>0</v>
      </c>
      <c r="AI282" s="0" t="n">
        <v>219</v>
      </c>
      <c r="AJ282" s="0" t="n">
        <v>14</v>
      </c>
      <c r="AK282" s="0" t="n">
        <v>1750</v>
      </c>
      <c r="AL282" s="0" t="n">
        <v>1.14</v>
      </c>
    </row>
    <row r="283">
      <c r="A283" s="0" t="inlineStr">
        <is>
          <t>[망월동]</t>
        </is>
      </c>
      <c r="B283" s="0" t="n">
        <v>105286</v>
      </c>
      <c r="C283" s="0" t="n">
        <v>14</v>
      </c>
      <c r="D283" s="0" t="inlineStr">
        <is>
          <t>미사강변골든센트로</t>
        </is>
      </c>
      <c r="E283" s="0" t="inlineStr">
        <is>
          <t>2014.12.</t>
        </is>
      </c>
      <c r="F283" s="0" t="n">
        <v>1541</v>
      </c>
      <c r="G283" s="0" t="n">
        <v>35.26</v>
      </c>
      <c r="H283" s="0" t="n">
        <v>116.59</v>
      </c>
      <c r="I283" s="0" t="n">
        <v>25.64</v>
      </c>
      <c r="J283" s="0" t="n">
        <v>84.77</v>
      </c>
      <c r="K283" s="0" t="n">
        <v>28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116AN</t>
        </is>
      </c>
      <c r="X283" s="0" t="n">
        <v>30</v>
      </c>
      <c r="Y283" s="0" t="n">
        <v>16</v>
      </c>
      <c r="Z283" s="0" t="inlineStr">
        <is>
          <t>https://new.land.naver.com/complexes/105286?tab=detail&amp;rf=Y</t>
        </is>
      </c>
      <c r="AA283" s="0" t="inlineStr">
        <is>
          <t>경기도 하남시 망월동 1162</t>
        </is>
      </c>
      <c r="AB283" s="0" t="inlineStr">
        <is>
          <t>경기도</t>
        </is>
      </c>
      <c r="AC283" s="0" t="inlineStr">
        <is>
          <t>하남시</t>
        </is>
      </c>
      <c r="AD283" s="0" t="inlineStr">
        <is>
          <t>망월동</t>
        </is>
      </c>
      <c r="AG283" s="0" t="inlineStr">
        <is>
          <t>경기도 하남시 미사강변동로 50</t>
        </is>
      </c>
      <c r="AH283" s="0" t="n">
        <v>0</v>
      </c>
      <c r="AI283" s="0" t="n">
        <v>219</v>
      </c>
      <c r="AJ283" s="0" t="n">
        <v>14</v>
      </c>
      <c r="AK283" s="0" t="n">
        <v>1750</v>
      </c>
      <c r="AL283" s="0" t="n">
        <v>1.14</v>
      </c>
    </row>
    <row r="284">
      <c r="A284" s="0" t="inlineStr">
        <is>
          <t>[망월동]</t>
        </is>
      </c>
      <c r="B284" s="0" t="n">
        <v>104310</v>
      </c>
      <c r="C284" s="0" t="n">
        <v>1</v>
      </c>
      <c r="D284" s="0" t="inlineStr">
        <is>
          <t>미사강변파밀리에</t>
        </is>
      </c>
      <c r="E284" s="0" t="inlineStr">
        <is>
          <t>2014.06.</t>
        </is>
      </c>
      <c r="F284" s="0" t="n">
        <v>976</v>
      </c>
      <c r="G284" s="0" t="n">
        <v>24.2</v>
      </c>
      <c r="H284" s="0" t="n">
        <v>80</v>
      </c>
      <c r="I284" s="0" t="n">
        <v>18.12</v>
      </c>
      <c r="J284" s="0" t="n">
        <v>59.91</v>
      </c>
      <c r="K284" s="0" t="n">
        <v>150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80B</t>
        </is>
      </c>
      <c r="X284" s="0" t="n">
        <v>28</v>
      </c>
      <c r="Y284" s="0" t="n">
        <v>15</v>
      </c>
      <c r="Z284" s="0" t="inlineStr">
        <is>
          <t>https://new.land.naver.com/complexes/104310?tab=detail&amp;rf=Y</t>
        </is>
      </c>
      <c r="AA284" s="0" t="inlineStr">
        <is>
          <t>경기도 하남시 망월동 910</t>
        </is>
      </c>
      <c r="AB284" s="0" t="inlineStr">
        <is>
          <t>경기도</t>
        </is>
      </c>
      <c r="AC284" s="0" t="inlineStr">
        <is>
          <t>하남시</t>
        </is>
      </c>
      <c r="AD284" s="0" t="inlineStr">
        <is>
          <t>망월동</t>
        </is>
      </c>
      <c r="AG284" s="0" t="inlineStr">
        <is>
          <t>경기도 하남시 아리수로 589</t>
        </is>
      </c>
      <c r="AH284" s="0" t="n">
        <v>0</v>
      </c>
      <c r="AI284" s="0" t="n">
        <v>217</v>
      </c>
      <c r="AJ284" s="0" t="n">
        <v>15</v>
      </c>
      <c r="AK284" s="0" t="n">
        <v>1134</v>
      </c>
      <c r="AL284" s="0" t="n">
        <v>1.16</v>
      </c>
    </row>
    <row r="285">
      <c r="A285" s="0" t="inlineStr">
        <is>
          <t>[망월동]</t>
        </is>
      </c>
      <c r="B285" s="0" t="n">
        <v>104310</v>
      </c>
      <c r="C285" s="0" t="n">
        <v>2</v>
      </c>
      <c r="D285" s="0" t="inlineStr">
        <is>
          <t>미사강변파밀리에</t>
        </is>
      </c>
      <c r="E285" s="0" t="inlineStr">
        <is>
          <t>2014.06.</t>
        </is>
      </c>
      <c r="F285" s="0" t="n">
        <v>976</v>
      </c>
      <c r="G285" s="0" t="n">
        <v>24.21</v>
      </c>
      <c r="H285" s="0" t="n">
        <v>80.06</v>
      </c>
      <c r="I285" s="0" t="n">
        <v>18.13</v>
      </c>
      <c r="J285" s="0" t="n">
        <v>59.96</v>
      </c>
      <c r="K285" s="0" t="n">
        <v>148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80A</t>
        </is>
      </c>
      <c r="X285" s="0" t="n">
        <v>28</v>
      </c>
      <c r="Y285" s="0" t="n">
        <v>15</v>
      </c>
      <c r="Z285" s="0" t="inlineStr">
        <is>
          <t>https://new.land.naver.com/complexes/104310?tab=detail&amp;rf=Y</t>
        </is>
      </c>
      <c r="AA285" s="0" t="inlineStr">
        <is>
          <t>경기도 하남시 망월동 910</t>
        </is>
      </c>
      <c r="AB285" s="0" t="inlineStr">
        <is>
          <t>경기도</t>
        </is>
      </c>
      <c r="AC285" s="0" t="inlineStr">
        <is>
          <t>하남시</t>
        </is>
      </c>
      <c r="AD285" s="0" t="inlineStr">
        <is>
          <t>망월동</t>
        </is>
      </c>
      <c r="AG285" s="0" t="inlineStr">
        <is>
          <t>경기도 하남시 아리수로 589</t>
        </is>
      </c>
      <c r="AH285" s="0" t="n">
        <v>0</v>
      </c>
      <c r="AI285" s="0" t="n">
        <v>217</v>
      </c>
      <c r="AJ285" s="0" t="n">
        <v>15</v>
      </c>
      <c r="AK285" s="0" t="n">
        <v>1134</v>
      </c>
      <c r="AL285" s="0" t="n">
        <v>1.16</v>
      </c>
    </row>
    <row r="286">
      <c r="A286" s="0" t="inlineStr">
        <is>
          <t>[망월동]</t>
        </is>
      </c>
      <c r="B286" s="0" t="n">
        <v>104310</v>
      </c>
      <c r="C286" s="0" t="n">
        <v>3</v>
      </c>
      <c r="D286" s="0" t="inlineStr">
        <is>
          <t>미사강변파밀리에</t>
        </is>
      </c>
      <c r="E286" s="0" t="inlineStr">
        <is>
          <t>2014.06.</t>
        </is>
      </c>
      <c r="F286" s="0" t="n">
        <v>976</v>
      </c>
      <c r="G286" s="0" t="n">
        <v>30.21</v>
      </c>
      <c r="H286" s="0" t="n">
        <v>99.88</v>
      </c>
      <c r="I286" s="0" t="n">
        <v>22.62</v>
      </c>
      <c r="J286" s="0" t="n">
        <v>74.8</v>
      </c>
      <c r="K286" s="0" t="n">
        <v>183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99A</t>
        </is>
      </c>
      <c r="X286" s="0" t="n">
        <v>28</v>
      </c>
      <c r="Y286" s="0" t="n">
        <v>15</v>
      </c>
      <c r="Z286" s="0" t="inlineStr">
        <is>
          <t>https://new.land.naver.com/complexes/104310?tab=detail&amp;rf=Y</t>
        </is>
      </c>
      <c r="AA286" s="0" t="inlineStr">
        <is>
          <t>경기도 하남시 망월동 910</t>
        </is>
      </c>
      <c r="AB286" s="0" t="inlineStr">
        <is>
          <t>경기도</t>
        </is>
      </c>
      <c r="AC286" s="0" t="inlineStr">
        <is>
          <t>하남시</t>
        </is>
      </c>
      <c r="AD286" s="0" t="inlineStr">
        <is>
          <t>망월동</t>
        </is>
      </c>
      <c r="AG286" s="0" t="inlineStr">
        <is>
          <t>경기도 하남시 아리수로 589</t>
        </is>
      </c>
      <c r="AH286" s="0" t="n">
        <v>0</v>
      </c>
      <c r="AI286" s="0" t="n">
        <v>217</v>
      </c>
      <c r="AJ286" s="0" t="n">
        <v>15</v>
      </c>
      <c r="AK286" s="0" t="n">
        <v>1134</v>
      </c>
      <c r="AL286" s="0" t="n">
        <v>1.16</v>
      </c>
    </row>
    <row r="287">
      <c r="A287" s="0" t="inlineStr">
        <is>
          <t>[망월동]</t>
        </is>
      </c>
      <c r="B287" s="0" t="n">
        <v>104310</v>
      </c>
      <c r="C287" s="0" t="n">
        <v>4</v>
      </c>
      <c r="D287" s="0" t="inlineStr">
        <is>
          <t>미사강변파밀리에</t>
        </is>
      </c>
      <c r="E287" s="0" t="inlineStr">
        <is>
          <t>2014.06.</t>
        </is>
      </c>
      <c r="F287" s="0" t="n">
        <v>976</v>
      </c>
      <c r="G287" s="0" t="n">
        <v>34.31</v>
      </c>
      <c r="H287" s="0" t="n">
        <v>113.43</v>
      </c>
      <c r="I287" s="0" t="n">
        <v>25.69</v>
      </c>
      <c r="J287" s="0" t="n">
        <v>84.95</v>
      </c>
      <c r="K287" s="0" t="n">
        <v>208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113B2</t>
        </is>
      </c>
      <c r="X287" s="0" t="n">
        <v>28</v>
      </c>
      <c r="Y287" s="0" t="n">
        <v>15</v>
      </c>
      <c r="Z287" s="0" t="inlineStr">
        <is>
          <t>https://new.land.naver.com/complexes/104310?tab=detail&amp;rf=Y</t>
        </is>
      </c>
      <c r="AA287" s="0" t="inlineStr">
        <is>
          <t>경기도 하남시 망월동 910</t>
        </is>
      </c>
      <c r="AB287" s="0" t="inlineStr">
        <is>
          <t>경기도</t>
        </is>
      </c>
      <c r="AC287" s="0" t="inlineStr">
        <is>
          <t>하남시</t>
        </is>
      </c>
      <c r="AD287" s="0" t="inlineStr">
        <is>
          <t>망월동</t>
        </is>
      </c>
      <c r="AG287" s="0" t="inlineStr">
        <is>
          <t>경기도 하남시 아리수로 589</t>
        </is>
      </c>
      <c r="AH287" s="0" t="n">
        <v>0</v>
      </c>
      <c r="AI287" s="0" t="n">
        <v>217</v>
      </c>
      <c r="AJ287" s="0" t="n">
        <v>15</v>
      </c>
      <c r="AK287" s="0" t="n">
        <v>1134</v>
      </c>
      <c r="AL287" s="0" t="n">
        <v>1.16</v>
      </c>
    </row>
    <row r="288">
      <c r="A288" s="0" t="inlineStr">
        <is>
          <t>[망월동]</t>
        </is>
      </c>
      <c r="B288" s="0" t="n">
        <v>104310</v>
      </c>
      <c r="C288" s="0" t="n">
        <v>5</v>
      </c>
      <c r="D288" s="0" t="inlineStr">
        <is>
          <t>미사강변파밀리에</t>
        </is>
      </c>
      <c r="E288" s="0" t="inlineStr">
        <is>
          <t>2014.06.</t>
        </is>
      </c>
      <c r="F288" s="0" t="n">
        <v>976</v>
      </c>
      <c r="G288" s="0" t="n">
        <v>34.23</v>
      </c>
      <c r="H288" s="0" t="n">
        <v>113.17</v>
      </c>
      <c r="I288" s="0" t="n">
        <v>25.63</v>
      </c>
      <c r="J288" s="0" t="n">
        <v>84.75</v>
      </c>
      <c r="K288" s="0" t="n">
        <v>191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113B1</t>
        </is>
      </c>
      <c r="X288" s="0" t="n">
        <v>28</v>
      </c>
      <c r="Y288" s="0" t="n">
        <v>15</v>
      </c>
      <c r="Z288" s="0" t="inlineStr">
        <is>
          <t>https://new.land.naver.com/complexes/104310?tab=detail&amp;rf=Y</t>
        </is>
      </c>
      <c r="AA288" s="0" t="inlineStr">
        <is>
          <t>경기도 하남시 망월동 910</t>
        </is>
      </c>
      <c r="AB288" s="0" t="inlineStr">
        <is>
          <t>경기도</t>
        </is>
      </c>
      <c r="AC288" s="0" t="inlineStr">
        <is>
          <t>하남시</t>
        </is>
      </c>
      <c r="AD288" s="0" t="inlineStr">
        <is>
          <t>망월동</t>
        </is>
      </c>
      <c r="AG288" s="0" t="inlineStr">
        <is>
          <t>경기도 하남시 아리수로 589</t>
        </is>
      </c>
      <c r="AH288" s="0" t="n">
        <v>0</v>
      </c>
      <c r="AI288" s="0" t="n">
        <v>217</v>
      </c>
      <c r="AJ288" s="0" t="n">
        <v>15</v>
      </c>
      <c r="AK288" s="0" t="n">
        <v>1134</v>
      </c>
      <c r="AL288" s="0" t="n">
        <v>1.16</v>
      </c>
    </row>
    <row r="289">
      <c r="A289" s="0" t="inlineStr">
        <is>
          <t>[망월동]</t>
        </is>
      </c>
      <c r="B289" s="0" t="n">
        <v>104310</v>
      </c>
      <c r="C289" s="0" t="n">
        <v>6</v>
      </c>
      <c r="D289" s="0" t="inlineStr">
        <is>
          <t>미사강변파밀리에</t>
        </is>
      </c>
      <c r="E289" s="0" t="inlineStr">
        <is>
          <t>2014.06.</t>
        </is>
      </c>
      <c r="F289" s="0" t="n">
        <v>976</v>
      </c>
      <c r="G289" s="0" t="n">
        <v>34.27</v>
      </c>
      <c r="H289" s="0" t="n">
        <v>113.3</v>
      </c>
      <c r="I289" s="0" t="n">
        <v>25.66</v>
      </c>
      <c r="J289" s="0" t="n">
        <v>84.84999999999999</v>
      </c>
      <c r="K289" s="0" t="n">
        <v>96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113C</t>
        </is>
      </c>
      <c r="X289" s="0" t="n">
        <v>28</v>
      </c>
      <c r="Y289" s="0" t="n">
        <v>15</v>
      </c>
      <c r="Z289" s="0" t="inlineStr">
        <is>
          <t>https://new.land.naver.com/complexes/104310?tab=detail&amp;rf=Y</t>
        </is>
      </c>
      <c r="AA289" s="0" t="inlineStr">
        <is>
          <t>경기도 하남시 망월동 910</t>
        </is>
      </c>
      <c r="AB289" s="0" t="inlineStr">
        <is>
          <t>경기도</t>
        </is>
      </c>
      <c r="AC289" s="0" t="inlineStr">
        <is>
          <t>하남시</t>
        </is>
      </c>
      <c r="AD289" s="0" t="inlineStr">
        <is>
          <t>망월동</t>
        </is>
      </c>
      <c r="AG289" s="0" t="inlineStr">
        <is>
          <t>경기도 하남시 아리수로 589</t>
        </is>
      </c>
      <c r="AH289" s="0" t="n">
        <v>0</v>
      </c>
      <c r="AI289" s="0" t="n">
        <v>217</v>
      </c>
      <c r="AJ289" s="0" t="n">
        <v>15</v>
      </c>
      <c r="AK289" s="0" t="n">
        <v>1134</v>
      </c>
      <c r="AL289" s="0" t="n">
        <v>1.16</v>
      </c>
    </row>
    <row r="290">
      <c r="A290" s="0" t="inlineStr">
        <is>
          <t>[망월동]</t>
        </is>
      </c>
      <c r="B290" s="0" t="n">
        <v>109097</v>
      </c>
      <c r="C290" s="0" t="n">
        <v>1</v>
      </c>
      <c r="D290" s="0" t="inlineStr">
        <is>
          <t>미사강변도시8단지스타힐스</t>
        </is>
      </c>
      <c r="E290" s="0" t="inlineStr">
        <is>
          <t>2016.11.</t>
        </is>
      </c>
      <c r="F290" s="0" t="n">
        <v>1389</v>
      </c>
      <c r="G290" s="0" t="n">
        <v>21.58</v>
      </c>
      <c r="H290" s="0" t="n">
        <v>71.34999999999999</v>
      </c>
      <c r="I290" s="0" t="n">
        <v>15.64</v>
      </c>
      <c r="J290" s="0" t="n">
        <v>51.73</v>
      </c>
      <c r="K290" s="0" t="n">
        <v>273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71A</t>
        </is>
      </c>
      <c r="X290" s="0" t="n">
        <v>26</v>
      </c>
      <c r="Y290" s="0" t="n">
        <v>14</v>
      </c>
      <c r="Z290" s="0" t="inlineStr">
        <is>
          <t>https://new.land.naver.com/complexes/109097?tab=detail&amp;rf=Y</t>
        </is>
      </c>
      <c r="AA290" s="0" t="inlineStr">
        <is>
          <t>경기도 하남시 망월동 956</t>
        </is>
      </c>
      <c r="AB290" s="0" t="inlineStr">
        <is>
          <t>경기도</t>
        </is>
      </c>
      <c r="AC290" s="0" t="inlineStr">
        <is>
          <t>하남시</t>
        </is>
      </c>
      <c r="AD290" s="0" t="inlineStr">
        <is>
          <t>망월동</t>
        </is>
      </c>
      <c r="AG290" s="0" t="inlineStr">
        <is>
          <t>경기도 하남시 미사강변대로 240</t>
        </is>
      </c>
      <c r="AH290" s="0" t="n">
        <v>0</v>
      </c>
      <c r="AI290" s="0" t="n">
        <v>219</v>
      </c>
      <c r="AJ290" s="0" t="n">
        <v>18</v>
      </c>
      <c r="AK290" s="0" t="n">
        <v>1569</v>
      </c>
      <c r="AL290" s="0" t="n">
        <v>1.13</v>
      </c>
    </row>
    <row r="291">
      <c r="A291" s="0" t="inlineStr">
        <is>
          <t>[망월동]</t>
        </is>
      </c>
      <c r="B291" s="0" t="n">
        <v>109097</v>
      </c>
      <c r="C291" s="0" t="n">
        <v>2</v>
      </c>
      <c r="D291" s="0" t="inlineStr">
        <is>
          <t>미사강변도시8단지스타힐스</t>
        </is>
      </c>
      <c r="E291" s="0" t="inlineStr">
        <is>
          <t>2016.11.</t>
        </is>
      </c>
      <c r="F291" s="0" t="n">
        <v>1389</v>
      </c>
      <c r="G291" s="0" t="n">
        <v>21.63</v>
      </c>
      <c r="H291" s="0" t="n">
        <v>71.53</v>
      </c>
      <c r="I291" s="0" t="n">
        <v>15.68</v>
      </c>
      <c r="J291" s="0" t="n">
        <v>51.86</v>
      </c>
      <c r="K291" s="0" t="n">
        <v>61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71B</t>
        </is>
      </c>
      <c r="X291" s="0" t="n">
        <v>26</v>
      </c>
      <c r="Y291" s="0" t="n">
        <v>14</v>
      </c>
      <c r="Z291" s="0" t="inlineStr">
        <is>
          <t>https://new.land.naver.com/complexes/109097?tab=detail&amp;rf=Y</t>
        </is>
      </c>
      <c r="AA291" s="0" t="inlineStr">
        <is>
          <t>경기도 하남시 망월동 956</t>
        </is>
      </c>
      <c r="AB291" s="0" t="inlineStr">
        <is>
          <t>경기도</t>
        </is>
      </c>
      <c r="AC291" s="0" t="inlineStr">
        <is>
          <t>하남시</t>
        </is>
      </c>
      <c r="AD291" s="0" t="inlineStr">
        <is>
          <t>망월동</t>
        </is>
      </c>
      <c r="AG291" s="0" t="inlineStr">
        <is>
          <t>경기도 하남시 미사강변대로 240</t>
        </is>
      </c>
      <c r="AH291" s="0" t="n">
        <v>0</v>
      </c>
      <c r="AI291" s="0" t="n">
        <v>219</v>
      </c>
      <c r="AJ291" s="0" t="n">
        <v>18</v>
      </c>
      <c r="AK291" s="0" t="n">
        <v>1569</v>
      </c>
      <c r="AL291" s="0" t="n">
        <v>1.13</v>
      </c>
    </row>
    <row r="292">
      <c r="A292" s="0" t="inlineStr">
        <is>
          <t>[망월동]</t>
        </is>
      </c>
      <c r="B292" s="0" t="n">
        <v>109097</v>
      </c>
      <c r="C292" s="0" t="n">
        <v>3</v>
      </c>
      <c r="D292" s="0" t="inlineStr">
        <is>
          <t>미사강변도시8단지스타힐스</t>
        </is>
      </c>
      <c r="E292" s="0" t="inlineStr">
        <is>
          <t>2016.11.</t>
        </is>
      </c>
      <c r="F292" s="0" t="n">
        <v>1389</v>
      </c>
      <c r="G292" s="0" t="n">
        <v>21.55</v>
      </c>
      <c r="H292" s="0" t="n">
        <v>71.27</v>
      </c>
      <c r="I292" s="0" t="n">
        <v>15.63</v>
      </c>
      <c r="J292" s="0" t="n">
        <v>51.67</v>
      </c>
      <c r="K292" s="0" t="n">
        <v>61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71C</t>
        </is>
      </c>
      <c r="X292" s="0" t="n">
        <v>26</v>
      </c>
      <c r="Y292" s="0" t="n">
        <v>14</v>
      </c>
      <c r="Z292" s="0" t="inlineStr">
        <is>
          <t>https://new.land.naver.com/complexes/109097?tab=detail&amp;rf=Y</t>
        </is>
      </c>
      <c r="AA292" s="0" t="inlineStr">
        <is>
          <t>경기도 하남시 망월동 956</t>
        </is>
      </c>
      <c r="AB292" s="0" t="inlineStr">
        <is>
          <t>경기도</t>
        </is>
      </c>
      <c r="AC292" s="0" t="inlineStr">
        <is>
          <t>하남시</t>
        </is>
      </c>
      <c r="AD292" s="0" t="inlineStr">
        <is>
          <t>망월동</t>
        </is>
      </c>
      <c r="AG292" s="0" t="inlineStr">
        <is>
          <t>경기도 하남시 미사강변대로 240</t>
        </is>
      </c>
      <c r="AH292" s="0" t="n">
        <v>0</v>
      </c>
      <c r="AI292" s="0" t="n">
        <v>219</v>
      </c>
      <c r="AJ292" s="0" t="n">
        <v>18</v>
      </c>
      <c r="AK292" s="0" t="n">
        <v>1569</v>
      </c>
      <c r="AL292" s="0" t="n">
        <v>1.13</v>
      </c>
    </row>
    <row r="293">
      <c r="A293" s="0" t="inlineStr">
        <is>
          <t>[망월동]</t>
        </is>
      </c>
      <c r="B293" s="0" t="n">
        <v>109097</v>
      </c>
      <c r="C293" s="0" t="n">
        <v>4</v>
      </c>
      <c r="D293" s="0" t="inlineStr">
        <is>
          <t>미사강변도시8단지스타힐스</t>
        </is>
      </c>
      <c r="E293" s="0" t="inlineStr">
        <is>
          <t>2016.11.</t>
        </is>
      </c>
      <c r="F293" s="0" t="n">
        <v>1389</v>
      </c>
      <c r="G293" s="0" t="n">
        <v>24.94</v>
      </c>
      <c r="H293" s="0" t="n">
        <v>82.47</v>
      </c>
      <c r="I293" s="0" t="n">
        <v>18.08</v>
      </c>
      <c r="J293" s="0" t="n">
        <v>59.79</v>
      </c>
      <c r="K293" s="0" t="n">
        <v>193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82A</t>
        </is>
      </c>
      <c r="X293" s="0" t="n">
        <v>26</v>
      </c>
      <c r="Y293" s="0" t="n">
        <v>14</v>
      </c>
      <c r="Z293" s="0" t="inlineStr">
        <is>
          <t>https://new.land.naver.com/complexes/109097?tab=detail&amp;rf=Y</t>
        </is>
      </c>
      <c r="AA293" s="0" t="inlineStr">
        <is>
          <t>경기도 하남시 망월동 956</t>
        </is>
      </c>
      <c r="AB293" s="0" t="inlineStr">
        <is>
          <t>경기도</t>
        </is>
      </c>
      <c r="AC293" s="0" t="inlineStr">
        <is>
          <t>하남시</t>
        </is>
      </c>
      <c r="AD293" s="0" t="inlineStr">
        <is>
          <t>망월동</t>
        </is>
      </c>
      <c r="AG293" s="0" t="inlineStr">
        <is>
          <t>경기도 하남시 미사강변대로 240</t>
        </is>
      </c>
      <c r="AH293" s="0" t="n">
        <v>0</v>
      </c>
      <c r="AI293" s="0" t="n">
        <v>219</v>
      </c>
      <c r="AJ293" s="0" t="n">
        <v>18</v>
      </c>
      <c r="AK293" s="0" t="n">
        <v>1569</v>
      </c>
      <c r="AL293" s="0" t="n">
        <v>1.13</v>
      </c>
    </row>
    <row r="294">
      <c r="A294" s="0" t="inlineStr">
        <is>
          <t>[망월동]</t>
        </is>
      </c>
      <c r="B294" s="0" t="n">
        <v>109097</v>
      </c>
      <c r="C294" s="0" t="n">
        <v>5</v>
      </c>
      <c r="D294" s="0" t="inlineStr">
        <is>
          <t>미사강변도시8단지스타힐스</t>
        </is>
      </c>
      <c r="E294" s="0" t="inlineStr">
        <is>
          <t>2016.11.</t>
        </is>
      </c>
      <c r="F294" s="0" t="n">
        <v>1389</v>
      </c>
      <c r="G294" s="0" t="n">
        <v>24.95</v>
      </c>
      <c r="H294" s="0" t="n">
        <v>82.48999999999999</v>
      </c>
      <c r="I294" s="0" t="n">
        <v>18.08</v>
      </c>
      <c r="J294" s="0" t="n">
        <v>59.8</v>
      </c>
      <c r="K294" s="0" t="n">
        <v>70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82B</t>
        </is>
      </c>
      <c r="X294" s="0" t="n">
        <v>26</v>
      </c>
      <c r="Y294" s="0" t="n">
        <v>14</v>
      </c>
      <c r="Z294" s="0" t="inlineStr">
        <is>
          <t>https://new.land.naver.com/complexes/109097?tab=detail&amp;rf=Y</t>
        </is>
      </c>
      <c r="AA294" s="0" t="inlineStr">
        <is>
          <t>경기도 하남시 망월동 956</t>
        </is>
      </c>
      <c r="AB294" s="0" t="inlineStr">
        <is>
          <t>경기도</t>
        </is>
      </c>
      <c r="AC294" s="0" t="inlineStr">
        <is>
          <t>하남시</t>
        </is>
      </c>
      <c r="AD294" s="0" t="inlineStr">
        <is>
          <t>망월동</t>
        </is>
      </c>
      <c r="AG294" s="0" t="inlineStr">
        <is>
          <t>경기도 하남시 미사강변대로 240</t>
        </is>
      </c>
      <c r="AH294" s="0" t="n">
        <v>0</v>
      </c>
      <c r="AI294" s="0" t="n">
        <v>219</v>
      </c>
      <c r="AJ294" s="0" t="n">
        <v>18</v>
      </c>
      <c r="AK294" s="0" t="n">
        <v>1569</v>
      </c>
      <c r="AL294" s="0" t="n">
        <v>1.13</v>
      </c>
    </row>
    <row r="295">
      <c r="A295" s="0" t="inlineStr">
        <is>
          <t>[망월동]</t>
        </is>
      </c>
      <c r="B295" s="0" t="n">
        <v>109097</v>
      </c>
      <c r="C295" s="0" t="n">
        <v>6</v>
      </c>
      <c r="D295" s="0" t="inlineStr">
        <is>
          <t>미사강변도시8단지스타힐스</t>
        </is>
      </c>
      <c r="E295" s="0" t="inlineStr">
        <is>
          <t>2016.11.</t>
        </is>
      </c>
      <c r="F295" s="0" t="n">
        <v>1389</v>
      </c>
      <c r="G295" s="0" t="n">
        <v>24.89</v>
      </c>
      <c r="H295" s="0" t="n">
        <v>82.31</v>
      </c>
      <c r="I295" s="0" t="n">
        <v>18.05</v>
      </c>
      <c r="J295" s="0" t="n">
        <v>59.67</v>
      </c>
      <c r="K295" s="0" t="n">
        <v>17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82A1</t>
        </is>
      </c>
      <c r="X295" s="0" t="n">
        <v>26</v>
      </c>
      <c r="Y295" s="0" t="n">
        <v>14</v>
      </c>
      <c r="Z295" s="0" t="inlineStr">
        <is>
          <t>https://new.land.naver.com/complexes/109097?tab=detail&amp;rf=Y</t>
        </is>
      </c>
      <c r="AA295" s="0" t="inlineStr">
        <is>
          <t>경기도 하남시 망월동 956</t>
        </is>
      </c>
      <c r="AB295" s="0" t="inlineStr">
        <is>
          <t>경기도</t>
        </is>
      </c>
      <c r="AC295" s="0" t="inlineStr">
        <is>
          <t>하남시</t>
        </is>
      </c>
      <c r="AD295" s="0" t="inlineStr">
        <is>
          <t>망월동</t>
        </is>
      </c>
      <c r="AG295" s="0" t="inlineStr">
        <is>
          <t>경기도 하남시 미사강변대로 240</t>
        </is>
      </c>
      <c r="AH295" s="0" t="n">
        <v>0</v>
      </c>
      <c r="AI295" s="0" t="n">
        <v>219</v>
      </c>
      <c r="AJ295" s="0" t="n">
        <v>18</v>
      </c>
      <c r="AK295" s="0" t="n">
        <v>1569</v>
      </c>
      <c r="AL295" s="0" t="n">
        <v>1.13</v>
      </c>
    </row>
    <row r="296">
      <c r="A296" s="0" t="inlineStr">
        <is>
          <t>[망월동]</t>
        </is>
      </c>
      <c r="B296" s="0" t="n">
        <v>109097</v>
      </c>
      <c r="C296" s="0" t="n">
        <v>7</v>
      </c>
      <c r="D296" s="0" t="inlineStr">
        <is>
          <t>미사강변도시8단지스타힐스</t>
        </is>
      </c>
      <c r="E296" s="0" t="inlineStr">
        <is>
          <t>2016.11.</t>
        </is>
      </c>
      <c r="F296" s="0" t="n">
        <v>1389</v>
      </c>
      <c r="G296" s="0" t="n">
        <v>31.28</v>
      </c>
      <c r="H296" s="0" t="n">
        <v>103.43</v>
      </c>
      <c r="I296" s="0" t="n">
        <v>22.68</v>
      </c>
      <c r="J296" s="0" t="n">
        <v>74.98</v>
      </c>
      <c r="K296" s="0" t="n">
        <v>272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103</v>
      </c>
      <c r="X296" s="0" t="n">
        <v>26</v>
      </c>
      <c r="Y296" s="0" t="n">
        <v>14</v>
      </c>
      <c r="Z296" s="0" t="inlineStr">
        <is>
          <t>https://new.land.naver.com/complexes/109097?tab=detail&amp;rf=Y</t>
        </is>
      </c>
      <c r="AA296" s="0" t="inlineStr">
        <is>
          <t>경기도 하남시 망월동 956</t>
        </is>
      </c>
      <c r="AB296" s="0" t="inlineStr">
        <is>
          <t>경기도</t>
        </is>
      </c>
      <c r="AC296" s="0" t="inlineStr">
        <is>
          <t>하남시</t>
        </is>
      </c>
      <c r="AD296" s="0" t="inlineStr">
        <is>
          <t>망월동</t>
        </is>
      </c>
      <c r="AG296" s="0" t="inlineStr">
        <is>
          <t>경기도 하남시 미사강변대로 240</t>
        </is>
      </c>
      <c r="AH296" s="0" t="n">
        <v>0</v>
      </c>
      <c r="AI296" s="0" t="n">
        <v>219</v>
      </c>
      <c r="AJ296" s="0" t="n">
        <v>18</v>
      </c>
      <c r="AK296" s="0" t="n">
        <v>1569</v>
      </c>
      <c r="AL296" s="0" t="n">
        <v>1.13</v>
      </c>
    </row>
    <row r="297">
      <c r="A297" s="0" t="inlineStr">
        <is>
          <t>[망월동]</t>
        </is>
      </c>
      <c r="B297" s="0" t="n">
        <v>109097</v>
      </c>
      <c r="C297" s="0" t="n">
        <v>8</v>
      </c>
      <c r="D297" s="0" t="inlineStr">
        <is>
          <t>미사강변도시8단지스타힐스</t>
        </is>
      </c>
      <c r="E297" s="0" t="inlineStr">
        <is>
          <t>2016.11.</t>
        </is>
      </c>
      <c r="F297" s="0" t="n">
        <v>1389</v>
      </c>
      <c r="G297" s="0" t="n">
        <v>35.42</v>
      </c>
      <c r="H297" s="0" t="n">
        <v>117.1</v>
      </c>
      <c r="I297" s="0" t="n">
        <v>25.67</v>
      </c>
      <c r="J297" s="0" t="n">
        <v>84.89</v>
      </c>
      <c r="K297" s="0" t="n">
        <v>358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117</v>
      </c>
      <c r="X297" s="0" t="n">
        <v>26</v>
      </c>
      <c r="Y297" s="0" t="n">
        <v>14</v>
      </c>
      <c r="Z297" s="0" t="inlineStr">
        <is>
          <t>https://new.land.naver.com/complexes/109097?tab=detail&amp;rf=Y</t>
        </is>
      </c>
      <c r="AA297" s="0" t="inlineStr">
        <is>
          <t>경기도 하남시 망월동 956</t>
        </is>
      </c>
      <c r="AB297" s="0" t="inlineStr">
        <is>
          <t>경기도</t>
        </is>
      </c>
      <c r="AC297" s="0" t="inlineStr">
        <is>
          <t>하남시</t>
        </is>
      </c>
      <c r="AD297" s="0" t="inlineStr">
        <is>
          <t>망월동</t>
        </is>
      </c>
      <c r="AG297" s="0" t="inlineStr">
        <is>
          <t>경기도 하남시 미사강변대로 240</t>
        </is>
      </c>
      <c r="AH297" s="0" t="n">
        <v>0</v>
      </c>
      <c r="AI297" s="0" t="n">
        <v>219</v>
      </c>
      <c r="AJ297" s="0" t="n">
        <v>18</v>
      </c>
      <c r="AK297" s="0" t="n">
        <v>1569</v>
      </c>
      <c r="AL297" s="0" t="n">
        <v>1.13</v>
      </c>
    </row>
    <row r="298">
      <c r="A298" s="0" t="inlineStr">
        <is>
          <t>[망월동]</t>
        </is>
      </c>
      <c r="B298" s="0" t="n">
        <v>109097</v>
      </c>
      <c r="C298" s="0" t="n">
        <v>9</v>
      </c>
      <c r="D298" s="0" t="inlineStr">
        <is>
          <t>미사강변도시8단지스타힐스</t>
        </is>
      </c>
      <c r="E298" s="0" t="inlineStr">
        <is>
          <t>2016.11.</t>
        </is>
      </c>
      <c r="F298" s="0" t="n">
        <v>1389</v>
      </c>
      <c r="G298" s="0" t="n">
        <v>35.44</v>
      </c>
      <c r="H298" s="0" t="n">
        <v>117.17</v>
      </c>
      <c r="I298" s="0" t="n">
        <v>25.69</v>
      </c>
      <c r="J298" s="0" t="n">
        <v>84.94</v>
      </c>
      <c r="K298" s="0" t="n">
        <v>84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117B</t>
        </is>
      </c>
      <c r="X298" s="0" t="n">
        <v>26</v>
      </c>
      <c r="Y298" s="0" t="n">
        <v>14</v>
      </c>
      <c r="Z298" s="0" t="inlineStr">
        <is>
          <t>https://new.land.naver.com/complexes/109097?tab=detail&amp;rf=Y</t>
        </is>
      </c>
      <c r="AA298" s="0" t="inlineStr">
        <is>
          <t>경기도 하남시 망월동 956</t>
        </is>
      </c>
      <c r="AB298" s="0" t="inlineStr">
        <is>
          <t>경기도</t>
        </is>
      </c>
      <c r="AC298" s="0" t="inlineStr">
        <is>
          <t>하남시</t>
        </is>
      </c>
      <c r="AD298" s="0" t="inlineStr">
        <is>
          <t>망월동</t>
        </is>
      </c>
      <c r="AG298" s="0" t="inlineStr">
        <is>
          <t>경기도 하남시 미사강변대로 240</t>
        </is>
      </c>
      <c r="AH298" s="0" t="n">
        <v>0</v>
      </c>
      <c r="AI298" s="0" t="n">
        <v>219</v>
      </c>
      <c r="AJ298" s="0" t="n">
        <v>18</v>
      </c>
      <c r="AK298" s="0" t="n">
        <v>1569</v>
      </c>
      <c r="AL298" s="0" t="n">
        <v>1.13</v>
      </c>
    </row>
    <row r="299">
      <c r="A299" s="0" t="inlineStr">
        <is>
          <t>[망월동]</t>
        </is>
      </c>
      <c r="B299" s="0" t="n">
        <v>117437</v>
      </c>
      <c r="C299" s="0" t="n">
        <v>1</v>
      </c>
      <c r="D299" s="0" t="inlineStr">
        <is>
          <t>미사강변호반써밋</t>
        </is>
      </c>
      <c r="E299" s="0" t="inlineStr">
        <is>
          <t>2019.06.</t>
        </is>
      </c>
      <c r="F299" s="0" t="n">
        <v>846</v>
      </c>
      <c r="G299" s="0" t="n">
        <v>39.79</v>
      </c>
      <c r="H299" s="0" t="n">
        <v>131.56</v>
      </c>
      <c r="I299" s="0" t="n">
        <v>30.21</v>
      </c>
      <c r="J299" s="0" t="n">
        <v>99.88</v>
      </c>
      <c r="K299" s="0" t="n">
        <v>490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131A</t>
        </is>
      </c>
      <c r="X299" s="0" t="n">
        <v>30</v>
      </c>
      <c r="Y299" s="0" t="n">
        <v>29</v>
      </c>
      <c r="Z299" s="0" t="inlineStr">
        <is>
          <t>https://new.land.naver.com/complexes/117437?tab=detail&amp;rf=Y</t>
        </is>
      </c>
      <c r="AA299" s="0" t="inlineStr">
        <is>
          <t>경기도 하남시 망월동 1127</t>
        </is>
      </c>
      <c r="AB299" s="0" t="inlineStr">
        <is>
          <t>경기도</t>
        </is>
      </c>
      <c r="AC299" s="0" t="inlineStr">
        <is>
          <t>하남시</t>
        </is>
      </c>
      <c r="AD299" s="0" t="inlineStr">
        <is>
          <t>망월동</t>
        </is>
      </c>
      <c r="AG299" s="0" t="inlineStr">
        <is>
          <t>경기도 하남시 미사강변한강로 270</t>
        </is>
      </c>
      <c r="AH299" s="0" t="n">
        <v>0</v>
      </c>
      <c r="AI299" s="0" t="n">
        <v>396</v>
      </c>
      <c r="AJ299" s="0" t="n">
        <v>42</v>
      </c>
      <c r="AK299" s="0" t="n">
        <v>1486</v>
      </c>
      <c r="AL299" s="0" t="n">
        <v>1.76</v>
      </c>
    </row>
    <row r="300">
      <c r="A300" s="0" t="inlineStr">
        <is>
          <t>[망월동]</t>
        </is>
      </c>
      <c r="B300" s="0" t="n">
        <v>117437</v>
      </c>
      <c r="C300" s="0" t="n">
        <v>2</v>
      </c>
      <c r="D300" s="0" t="inlineStr">
        <is>
          <t>미사강변호반써밋</t>
        </is>
      </c>
      <c r="E300" s="0" t="inlineStr">
        <is>
          <t>2019.06.</t>
        </is>
      </c>
      <c r="F300" s="0" t="n">
        <v>846</v>
      </c>
      <c r="G300" s="0" t="n">
        <v>39.86</v>
      </c>
      <c r="H300" s="0" t="n">
        <v>131.79</v>
      </c>
      <c r="I300" s="0" t="n">
        <v>30.11</v>
      </c>
      <c r="J300" s="0" t="n">
        <v>99.54000000000001</v>
      </c>
      <c r="K300" s="0" t="n">
        <v>108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131C</t>
        </is>
      </c>
      <c r="X300" s="0" t="n">
        <v>30</v>
      </c>
      <c r="Y300" s="0" t="n">
        <v>29</v>
      </c>
      <c r="Z300" s="0" t="inlineStr">
        <is>
          <t>https://new.land.naver.com/complexes/117437?tab=detail&amp;rf=Y</t>
        </is>
      </c>
      <c r="AA300" s="0" t="inlineStr">
        <is>
          <t>경기도 하남시 망월동 1127</t>
        </is>
      </c>
      <c r="AB300" s="0" t="inlineStr">
        <is>
          <t>경기도</t>
        </is>
      </c>
      <c r="AC300" s="0" t="inlineStr">
        <is>
          <t>하남시</t>
        </is>
      </c>
      <c r="AD300" s="0" t="inlineStr">
        <is>
          <t>망월동</t>
        </is>
      </c>
      <c r="AG300" s="0" t="inlineStr">
        <is>
          <t>경기도 하남시 미사강변한강로 270</t>
        </is>
      </c>
      <c r="AH300" s="0" t="n">
        <v>0</v>
      </c>
      <c r="AI300" s="0" t="n">
        <v>396</v>
      </c>
      <c r="AJ300" s="0" t="n">
        <v>42</v>
      </c>
      <c r="AK300" s="0" t="n">
        <v>1486</v>
      </c>
      <c r="AL300" s="0" t="n">
        <v>1.76</v>
      </c>
    </row>
    <row r="301">
      <c r="A301" s="0" t="inlineStr">
        <is>
          <t>[망월동]</t>
        </is>
      </c>
      <c r="B301" s="0" t="n">
        <v>117437</v>
      </c>
      <c r="C301" s="0" t="n">
        <v>3</v>
      </c>
      <c r="D301" s="0" t="inlineStr">
        <is>
          <t>미사강변호반써밋</t>
        </is>
      </c>
      <c r="E301" s="0" t="inlineStr">
        <is>
          <t>2019.06.</t>
        </is>
      </c>
      <c r="F301" s="0" t="n">
        <v>846</v>
      </c>
      <c r="G301" s="0" t="n">
        <v>39.97</v>
      </c>
      <c r="H301" s="0" t="n">
        <v>132.16</v>
      </c>
      <c r="I301" s="0" t="n">
        <v>29.99</v>
      </c>
      <c r="J301" s="0" t="n">
        <v>99.16</v>
      </c>
      <c r="K301" s="0" t="n">
        <v>244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132B</t>
        </is>
      </c>
      <c r="X301" s="0" t="n">
        <v>30</v>
      </c>
      <c r="Y301" s="0" t="n">
        <v>29</v>
      </c>
      <c r="Z301" s="0" t="inlineStr">
        <is>
          <t>https://new.land.naver.com/complexes/117437?tab=detail&amp;rf=Y</t>
        </is>
      </c>
      <c r="AA301" s="0" t="inlineStr">
        <is>
          <t>경기도 하남시 망월동 1127</t>
        </is>
      </c>
      <c r="AB301" s="0" t="inlineStr">
        <is>
          <t>경기도</t>
        </is>
      </c>
      <c r="AC301" s="0" t="inlineStr">
        <is>
          <t>하남시</t>
        </is>
      </c>
      <c r="AD301" s="0" t="inlineStr">
        <is>
          <t>망월동</t>
        </is>
      </c>
      <c r="AG301" s="0" t="inlineStr">
        <is>
          <t>경기도 하남시 미사강변한강로 270</t>
        </is>
      </c>
      <c r="AH301" s="0" t="n">
        <v>0</v>
      </c>
      <c r="AI301" s="0" t="n">
        <v>396</v>
      </c>
      <c r="AJ301" s="0" t="n">
        <v>42</v>
      </c>
      <c r="AK301" s="0" t="n">
        <v>1486</v>
      </c>
      <c r="AL301" s="0" t="n">
        <v>1.76</v>
      </c>
    </row>
    <row r="302">
      <c r="A302" s="0" t="inlineStr">
        <is>
          <t>[망월동]</t>
        </is>
      </c>
      <c r="B302" s="0" t="n">
        <v>117437</v>
      </c>
      <c r="C302" s="0" t="n">
        <v>4</v>
      </c>
      <c r="D302" s="0" t="inlineStr">
        <is>
          <t>미사강변호반써밋</t>
        </is>
      </c>
      <c r="E302" s="0" t="inlineStr">
        <is>
          <t>2019.06.</t>
        </is>
      </c>
      <c r="F302" s="0" t="n">
        <v>846</v>
      </c>
      <c r="G302" s="0" t="n">
        <v>59.58</v>
      </c>
      <c r="H302" s="0" t="n">
        <v>196.99</v>
      </c>
      <c r="I302" s="0" t="n">
        <v>44.51</v>
      </c>
      <c r="J302" s="0" t="n">
        <v>147.16</v>
      </c>
      <c r="K302" s="0" t="n">
        <v>1</v>
      </c>
      <c r="T302" s="0" t="n">
        <v>5</v>
      </c>
      <c r="U302" s="0" t="n">
        <v>3</v>
      </c>
      <c r="V302" s="0" t="inlineStr">
        <is>
          <t>계단식</t>
        </is>
      </c>
      <c r="W302" s="0" t="inlineStr">
        <is>
          <t>196A</t>
        </is>
      </c>
      <c r="X302" s="0" t="n">
        <v>30</v>
      </c>
      <c r="Y302" s="0" t="n">
        <v>29</v>
      </c>
      <c r="Z302" s="0" t="inlineStr">
        <is>
          <t>https://new.land.naver.com/complexes/117437?tab=detail&amp;rf=Y</t>
        </is>
      </c>
      <c r="AA302" s="0" t="inlineStr">
        <is>
          <t>경기도 하남시 망월동 1127</t>
        </is>
      </c>
      <c r="AB302" s="0" t="inlineStr">
        <is>
          <t>경기도</t>
        </is>
      </c>
      <c r="AC302" s="0" t="inlineStr">
        <is>
          <t>하남시</t>
        </is>
      </c>
      <c r="AD302" s="0" t="inlineStr">
        <is>
          <t>망월동</t>
        </is>
      </c>
      <c r="AG302" s="0" t="inlineStr">
        <is>
          <t>경기도 하남시 미사강변한강로 270</t>
        </is>
      </c>
      <c r="AH302" s="0" t="n">
        <v>0</v>
      </c>
      <c r="AI302" s="0" t="n">
        <v>396</v>
      </c>
      <c r="AJ302" s="0" t="n">
        <v>42</v>
      </c>
      <c r="AK302" s="0" t="n">
        <v>1486</v>
      </c>
      <c r="AL302" s="0" t="n">
        <v>1.76</v>
      </c>
    </row>
    <row r="303">
      <c r="A303" s="0" t="inlineStr">
        <is>
          <t>[망월동]</t>
        </is>
      </c>
      <c r="B303" s="0" t="n">
        <v>117437</v>
      </c>
      <c r="C303" s="0" t="n">
        <v>5</v>
      </c>
      <c r="D303" s="0" t="inlineStr">
        <is>
          <t>미사강변호반써밋</t>
        </is>
      </c>
      <c r="E303" s="0" t="inlineStr">
        <is>
          <t>2019.06.</t>
        </is>
      </c>
      <c r="F303" s="0" t="n">
        <v>846</v>
      </c>
      <c r="G303" s="0" t="n">
        <v>60.4</v>
      </c>
      <c r="H303" s="0" t="n">
        <v>199.69</v>
      </c>
      <c r="I303" s="0" t="n">
        <v>45.17</v>
      </c>
      <c r="J303" s="0" t="n">
        <v>149.33</v>
      </c>
      <c r="K303" s="0" t="n">
        <v>1</v>
      </c>
      <c r="T303" s="0" t="n">
        <v>5</v>
      </c>
      <c r="U303" s="0" t="n">
        <v>3</v>
      </c>
      <c r="V303" s="0" t="inlineStr">
        <is>
          <t>계단식</t>
        </is>
      </c>
      <c r="W303" s="0" t="inlineStr">
        <is>
          <t>199B</t>
        </is>
      </c>
      <c r="X303" s="0" t="n">
        <v>30</v>
      </c>
      <c r="Y303" s="0" t="n">
        <v>29</v>
      </c>
      <c r="Z303" s="0" t="inlineStr">
        <is>
          <t>https://new.land.naver.com/complexes/117437?tab=detail&amp;rf=Y</t>
        </is>
      </c>
      <c r="AA303" s="0" t="inlineStr">
        <is>
          <t>경기도 하남시 망월동 1127</t>
        </is>
      </c>
      <c r="AB303" s="0" t="inlineStr">
        <is>
          <t>경기도</t>
        </is>
      </c>
      <c r="AC303" s="0" t="inlineStr">
        <is>
          <t>하남시</t>
        </is>
      </c>
      <c r="AD303" s="0" t="inlineStr">
        <is>
          <t>망월동</t>
        </is>
      </c>
      <c r="AG303" s="0" t="inlineStr">
        <is>
          <t>경기도 하남시 미사강변한강로 270</t>
        </is>
      </c>
      <c r="AH303" s="0" t="n">
        <v>0</v>
      </c>
      <c r="AI303" s="0" t="n">
        <v>396</v>
      </c>
      <c r="AJ303" s="0" t="n">
        <v>42</v>
      </c>
      <c r="AK303" s="0" t="n">
        <v>1486</v>
      </c>
      <c r="AL303" s="0" t="n">
        <v>1.76</v>
      </c>
    </row>
    <row r="304">
      <c r="A304" s="0" t="inlineStr">
        <is>
          <t>[망월동]</t>
        </is>
      </c>
      <c r="B304" s="0" t="n">
        <v>117437</v>
      </c>
      <c r="C304" s="0" t="n">
        <v>6</v>
      </c>
      <c r="D304" s="0" t="inlineStr">
        <is>
          <t>미사강변호반써밋</t>
        </is>
      </c>
      <c r="E304" s="0" t="inlineStr">
        <is>
          <t>2019.06.</t>
        </is>
      </c>
      <c r="F304" s="0" t="n">
        <v>846</v>
      </c>
      <c r="G304" s="0" t="n">
        <v>62.2</v>
      </c>
      <c r="H304" s="0" t="n">
        <v>205.62</v>
      </c>
      <c r="I304" s="0" t="n">
        <v>46.63</v>
      </c>
      <c r="J304" s="0" t="n">
        <v>154.18</v>
      </c>
      <c r="K304" s="0" t="n">
        <v>2</v>
      </c>
      <c r="T304" s="0" t="n">
        <v>5</v>
      </c>
      <c r="U304" s="0" t="n">
        <v>3</v>
      </c>
      <c r="V304" s="0" t="inlineStr">
        <is>
          <t>계단식</t>
        </is>
      </c>
      <c r="W304" s="0" t="n">
        <v>205</v>
      </c>
      <c r="X304" s="0" t="n">
        <v>30</v>
      </c>
      <c r="Y304" s="0" t="n">
        <v>29</v>
      </c>
      <c r="Z304" s="0" t="inlineStr">
        <is>
          <t>https://new.land.naver.com/complexes/117437?tab=detail&amp;rf=Y</t>
        </is>
      </c>
      <c r="AA304" s="0" t="inlineStr">
        <is>
          <t>경기도 하남시 망월동 1127</t>
        </is>
      </c>
      <c r="AB304" s="0" t="inlineStr">
        <is>
          <t>경기도</t>
        </is>
      </c>
      <c r="AC304" s="0" t="inlineStr">
        <is>
          <t>하남시</t>
        </is>
      </c>
      <c r="AD304" s="0" t="inlineStr">
        <is>
          <t>망월동</t>
        </is>
      </c>
      <c r="AG304" s="0" t="inlineStr">
        <is>
          <t>경기도 하남시 미사강변한강로 270</t>
        </is>
      </c>
      <c r="AH304" s="0" t="n">
        <v>0</v>
      </c>
      <c r="AI304" s="0" t="n">
        <v>396</v>
      </c>
      <c r="AJ304" s="0" t="n">
        <v>42</v>
      </c>
      <c r="AK304" s="0" t="n">
        <v>1486</v>
      </c>
      <c r="AL304" s="0" t="n">
        <v>1.76</v>
      </c>
    </row>
    <row r="305">
      <c r="A305" s="0" t="inlineStr">
        <is>
          <t>[망월동]</t>
        </is>
      </c>
      <c r="B305" s="0" t="n">
        <v>125045</v>
      </c>
      <c r="C305" s="0" t="n">
        <v>1</v>
      </c>
      <c r="D305" s="0" t="inlineStr">
        <is>
          <t>미사역파라곤</t>
        </is>
      </c>
      <c r="E305" s="0" t="inlineStr">
        <is>
          <t>2021.07.</t>
        </is>
      </c>
      <c r="F305" s="0" t="n">
        <v>925</v>
      </c>
      <c r="G305" s="0" t="n">
        <v>39.09</v>
      </c>
      <c r="H305" s="0" t="n">
        <v>129.24</v>
      </c>
      <c r="I305" s="0" t="n">
        <v>31.11</v>
      </c>
      <c r="J305" s="0" t="n">
        <v>102.86</v>
      </c>
      <c r="K305" s="0" t="n">
        <v>462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129</v>
      </c>
      <c r="X305" s="0" t="n">
        <v>30</v>
      </c>
      <c r="Y305" s="0" t="n">
        <v>29</v>
      </c>
      <c r="Z305" s="0" t="inlineStr">
        <is>
          <t>https://new.land.naver.com/complexes/125045?tab=detail&amp;rf=Y</t>
        </is>
      </c>
      <c r="AA305" s="0" t="inlineStr">
        <is>
          <t>경기도 하남시 망월동 1125</t>
        </is>
      </c>
      <c r="AB305" s="0" t="inlineStr">
        <is>
          <t>경기도</t>
        </is>
      </c>
      <c r="AC305" s="0" t="inlineStr">
        <is>
          <t>하남시</t>
        </is>
      </c>
      <c r="AD305" s="0" t="inlineStr">
        <is>
          <t>망월동</t>
        </is>
      </c>
      <c r="AG305" s="0" t="inlineStr">
        <is>
          <t>경기도 하남시 미사강변동로 100</t>
        </is>
      </c>
      <c r="AH305" s="0" t="n">
        <v>0</v>
      </c>
      <c r="AI305" s="0" t="n">
        <v>399</v>
      </c>
      <c r="AJ305" s="0" t="n">
        <v>49</v>
      </c>
      <c r="AK305" s="0" t="n">
        <v>1576</v>
      </c>
      <c r="AL305" s="0" t="n">
        <v>1.7</v>
      </c>
    </row>
    <row r="306">
      <c r="A306" s="0" t="inlineStr">
        <is>
          <t>[망월동]</t>
        </is>
      </c>
      <c r="B306" s="0" t="n">
        <v>125045</v>
      </c>
      <c r="C306" s="0" t="n">
        <v>2</v>
      </c>
      <c r="D306" s="0" t="inlineStr">
        <is>
          <t>미사역파라곤</t>
        </is>
      </c>
      <c r="E306" s="0" t="inlineStr">
        <is>
          <t>2021.07.</t>
        </is>
      </c>
      <c r="F306" s="0" t="n">
        <v>925</v>
      </c>
      <c r="G306" s="0" t="n">
        <v>40.97</v>
      </c>
      <c r="H306" s="0" t="n">
        <v>135.46</v>
      </c>
      <c r="I306" s="0" t="n">
        <v>32.57</v>
      </c>
      <c r="J306" s="0" t="n">
        <v>107.68</v>
      </c>
      <c r="K306" s="0" t="n">
        <v>229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135</v>
      </c>
      <c r="X306" s="0" t="n">
        <v>30</v>
      </c>
      <c r="Y306" s="0" t="n">
        <v>29</v>
      </c>
      <c r="Z306" s="0" t="inlineStr">
        <is>
          <t>https://new.land.naver.com/complexes/125045?tab=detail&amp;rf=Y</t>
        </is>
      </c>
      <c r="AA306" s="0" t="inlineStr">
        <is>
          <t>경기도 하남시 망월동 1125</t>
        </is>
      </c>
      <c r="AB306" s="0" t="inlineStr">
        <is>
          <t>경기도</t>
        </is>
      </c>
      <c r="AC306" s="0" t="inlineStr">
        <is>
          <t>하남시</t>
        </is>
      </c>
      <c r="AD306" s="0" t="inlineStr">
        <is>
          <t>망월동</t>
        </is>
      </c>
      <c r="AG306" s="0" t="inlineStr">
        <is>
          <t>경기도 하남시 미사강변동로 100</t>
        </is>
      </c>
      <c r="AH306" s="0" t="n">
        <v>0</v>
      </c>
      <c r="AI306" s="0" t="n">
        <v>399</v>
      </c>
      <c r="AJ306" s="0" t="n">
        <v>49</v>
      </c>
      <c r="AK306" s="0" t="n">
        <v>1576</v>
      </c>
      <c r="AL306" s="0" t="n">
        <v>1.7</v>
      </c>
    </row>
    <row r="307">
      <c r="A307" s="0" t="inlineStr">
        <is>
          <t>[망월동]</t>
        </is>
      </c>
      <c r="B307" s="0" t="n">
        <v>125045</v>
      </c>
      <c r="C307" s="0" t="n">
        <v>3</v>
      </c>
      <c r="D307" s="0" t="inlineStr">
        <is>
          <t>미사역파라곤</t>
        </is>
      </c>
      <c r="E307" s="0" t="inlineStr">
        <is>
          <t>2021.07.</t>
        </is>
      </c>
      <c r="F307" s="0" t="n">
        <v>925</v>
      </c>
      <c r="G307" s="0" t="n">
        <v>44.48</v>
      </c>
      <c r="H307" s="0" t="n">
        <v>147.05</v>
      </c>
      <c r="I307" s="0" t="n">
        <v>35.4</v>
      </c>
      <c r="J307" s="0" t="n">
        <v>117.03</v>
      </c>
      <c r="K307" s="0" t="n">
        <v>232</v>
      </c>
      <c r="T307" s="0" t="n">
        <v>4</v>
      </c>
      <c r="U307" s="0" t="n">
        <v>2</v>
      </c>
      <c r="V307" s="0" t="inlineStr">
        <is>
          <t>계단식</t>
        </is>
      </c>
      <c r="W307" s="0" t="n">
        <v>147</v>
      </c>
      <c r="X307" s="0" t="n">
        <v>30</v>
      </c>
      <c r="Y307" s="0" t="n">
        <v>29</v>
      </c>
      <c r="Z307" s="0" t="inlineStr">
        <is>
          <t>https://new.land.naver.com/complexes/125045?tab=detail&amp;rf=Y</t>
        </is>
      </c>
      <c r="AA307" s="0" t="inlineStr">
        <is>
          <t>경기도 하남시 망월동 1125</t>
        </is>
      </c>
      <c r="AB307" s="0" t="inlineStr">
        <is>
          <t>경기도</t>
        </is>
      </c>
      <c r="AC307" s="0" t="inlineStr">
        <is>
          <t>하남시</t>
        </is>
      </c>
      <c r="AD307" s="0" t="inlineStr">
        <is>
          <t>망월동</t>
        </is>
      </c>
      <c r="AG307" s="0" t="inlineStr">
        <is>
          <t>경기도 하남시 미사강변동로 100</t>
        </is>
      </c>
      <c r="AH307" s="0" t="n">
        <v>0</v>
      </c>
      <c r="AI307" s="0" t="n">
        <v>399</v>
      </c>
      <c r="AJ307" s="0" t="n">
        <v>49</v>
      </c>
      <c r="AK307" s="0" t="n">
        <v>1576</v>
      </c>
      <c r="AL307" s="0" t="n">
        <v>1.7</v>
      </c>
    </row>
    <row r="308">
      <c r="A308" s="0" t="inlineStr">
        <is>
          <t>[망월동]</t>
        </is>
      </c>
      <c r="B308" s="0" t="n">
        <v>125045</v>
      </c>
      <c r="C308" s="0" t="n">
        <v>4</v>
      </c>
      <c r="D308" s="0" t="inlineStr">
        <is>
          <t>미사역파라곤</t>
        </is>
      </c>
      <c r="E308" s="0" t="inlineStr">
        <is>
          <t>2021.07.</t>
        </is>
      </c>
      <c r="F308" s="0" t="n">
        <v>925</v>
      </c>
      <c r="G308" s="0" t="n">
        <v>73.97</v>
      </c>
      <c r="H308" s="0" t="n">
        <v>244.56</v>
      </c>
      <c r="I308" s="0" t="n">
        <v>59.17</v>
      </c>
      <c r="J308" s="0" t="n">
        <v>195.61</v>
      </c>
      <c r="K308" s="0" t="n">
        <v>2</v>
      </c>
      <c r="T308" s="0" t="n">
        <v>4</v>
      </c>
      <c r="U308" s="0" t="n">
        <v>3</v>
      </c>
      <c r="V308" s="0" t="inlineStr">
        <is>
          <t>계단식</t>
        </is>
      </c>
      <c r="W308" s="0" t="n">
        <v>244</v>
      </c>
      <c r="X308" s="0" t="n">
        <v>30</v>
      </c>
      <c r="Y308" s="0" t="n">
        <v>29</v>
      </c>
      <c r="Z308" s="0" t="inlineStr">
        <is>
          <t>https://new.land.naver.com/complexes/125045?tab=detail&amp;rf=Y</t>
        </is>
      </c>
      <c r="AA308" s="0" t="inlineStr">
        <is>
          <t>경기도 하남시 망월동 1125</t>
        </is>
      </c>
      <c r="AB308" s="0" t="inlineStr">
        <is>
          <t>경기도</t>
        </is>
      </c>
      <c r="AC308" s="0" t="inlineStr">
        <is>
          <t>하남시</t>
        </is>
      </c>
      <c r="AD308" s="0" t="inlineStr">
        <is>
          <t>망월동</t>
        </is>
      </c>
      <c r="AG308" s="0" t="inlineStr">
        <is>
          <t>경기도 하남시 미사강변동로 100</t>
        </is>
      </c>
      <c r="AH308" s="0" t="n">
        <v>0</v>
      </c>
      <c r="AI308" s="0" t="n">
        <v>399</v>
      </c>
      <c r="AJ308" s="0" t="n">
        <v>49</v>
      </c>
      <c r="AK308" s="0" t="n">
        <v>1576</v>
      </c>
      <c r="AL308" s="0" t="n">
        <v>1.7</v>
      </c>
    </row>
    <row r="309">
      <c r="A309" s="0" t="inlineStr">
        <is>
          <t>[망월동]</t>
        </is>
      </c>
      <c r="B309" s="0" t="n">
        <v>143074</v>
      </c>
      <c r="C309" s="0" t="n">
        <v>1</v>
      </c>
      <c r="D309" s="0" t="inlineStr">
        <is>
          <t>미사강변도시12단지</t>
        </is>
      </c>
      <c r="E309" s="0" t="inlineStr">
        <is>
          <t>2015.07.</t>
        </is>
      </c>
      <c r="F309" s="0" t="n">
        <v>664</v>
      </c>
      <c r="G309" s="0" t="n">
        <v>29.79</v>
      </c>
      <c r="H309" s="0" t="n">
        <v>98.51000000000001</v>
      </c>
      <c r="I309" s="0" t="n">
        <v>22.67</v>
      </c>
      <c r="J309" s="0" t="n">
        <v>74.95999999999999</v>
      </c>
      <c r="K309" s="0" t="n">
        <v>331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98A</t>
        </is>
      </c>
      <c r="X309" s="0" t="n">
        <v>27</v>
      </c>
      <c r="Y309" s="0" t="n">
        <v>12</v>
      </c>
      <c r="Z309" s="0" t="inlineStr">
        <is>
          <t>https://new.land.naver.com/complexes/143074?tab=detail&amp;rf=Y</t>
        </is>
      </c>
      <c r="AA309" s="0" t="inlineStr">
        <is>
          <t>경기도 하남시 망월동 946</t>
        </is>
      </c>
      <c r="AB309" s="0" t="inlineStr">
        <is>
          <t>경기도</t>
        </is>
      </c>
      <c r="AC309" s="0" t="inlineStr">
        <is>
          <t>하남시</t>
        </is>
      </c>
      <c r="AD309" s="0" t="inlineStr">
        <is>
          <t>망월동</t>
        </is>
      </c>
      <c r="AG309" s="0" t="inlineStr">
        <is>
          <t>경기도 하남시 미사강변동로 177</t>
        </is>
      </c>
      <c r="AH309" s="0" t="n">
        <v>0</v>
      </c>
      <c r="AI309" s="0" t="n">
        <v>218</v>
      </c>
      <c r="AJ309" s="0" t="n">
        <v>20</v>
      </c>
      <c r="AK309" s="0" t="n">
        <v>802</v>
      </c>
      <c r="AL309" s="0" t="n">
        <v>1.21</v>
      </c>
    </row>
    <row r="310">
      <c r="A310" s="0" t="inlineStr">
        <is>
          <t>[망월동]</t>
        </is>
      </c>
      <c r="B310" s="0" t="n">
        <v>143074</v>
      </c>
      <c r="C310" s="0" t="n">
        <v>2</v>
      </c>
      <c r="D310" s="0" t="inlineStr">
        <is>
          <t>미사강변도시12단지</t>
        </is>
      </c>
      <c r="E310" s="0" t="inlineStr">
        <is>
          <t>2015.07.</t>
        </is>
      </c>
      <c r="F310" s="0" t="n">
        <v>664</v>
      </c>
      <c r="G310" s="0" t="n">
        <v>33.76</v>
      </c>
      <c r="H310" s="0" t="n">
        <v>111.61</v>
      </c>
      <c r="I310" s="0" t="n">
        <v>25.68</v>
      </c>
      <c r="J310" s="0" t="n">
        <v>84.92</v>
      </c>
      <c r="K310" s="0" t="n">
        <v>285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111B2</t>
        </is>
      </c>
      <c r="X310" s="0" t="n">
        <v>27</v>
      </c>
      <c r="Y310" s="0" t="n">
        <v>12</v>
      </c>
      <c r="Z310" s="0" t="inlineStr">
        <is>
          <t>https://new.land.naver.com/complexes/143074?tab=detail&amp;rf=Y</t>
        </is>
      </c>
      <c r="AA310" s="0" t="inlineStr">
        <is>
          <t>경기도 하남시 망월동 946</t>
        </is>
      </c>
      <c r="AB310" s="0" t="inlineStr">
        <is>
          <t>경기도</t>
        </is>
      </c>
      <c r="AC310" s="0" t="inlineStr">
        <is>
          <t>하남시</t>
        </is>
      </c>
      <c r="AD310" s="0" t="inlineStr">
        <is>
          <t>망월동</t>
        </is>
      </c>
      <c r="AG310" s="0" t="inlineStr">
        <is>
          <t>경기도 하남시 미사강변동로 177</t>
        </is>
      </c>
      <c r="AH310" s="0" t="n">
        <v>0</v>
      </c>
      <c r="AI310" s="0" t="n">
        <v>218</v>
      </c>
      <c r="AJ310" s="0" t="n">
        <v>20</v>
      </c>
      <c r="AK310" s="0" t="n">
        <v>802</v>
      </c>
      <c r="AL310" s="0" t="n">
        <v>1.21</v>
      </c>
    </row>
    <row r="311">
      <c r="A311" s="0" t="inlineStr">
        <is>
          <t>[망월동]</t>
        </is>
      </c>
      <c r="B311" s="0" t="n">
        <v>143074</v>
      </c>
      <c r="C311" s="0" t="n">
        <v>3</v>
      </c>
      <c r="D311" s="0" t="inlineStr">
        <is>
          <t>미사강변도시12단지</t>
        </is>
      </c>
      <c r="E311" s="0" t="inlineStr">
        <is>
          <t>2015.07.</t>
        </is>
      </c>
      <c r="F311" s="0" t="n">
        <v>664</v>
      </c>
      <c r="G311" s="0" t="n">
        <v>33.7</v>
      </c>
      <c r="H311" s="0" t="n">
        <v>111.41</v>
      </c>
      <c r="I311" s="0" t="n">
        <v>25.64</v>
      </c>
      <c r="J311" s="0" t="n">
        <v>84.77</v>
      </c>
      <c r="K311" s="0" t="n">
        <v>48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111B1</t>
        </is>
      </c>
      <c r="X311" s="0" t="n">
        <v>27</v>
      </c>
      <c r="Y311" s="0" t="n">
        <v>12</v>
      </c>
      <c r="Z311" s="0" t="inlineStr">
        <is>
          <t>https://new.land.naver.com/complexes/143074?tab=detail&amp;rf=Y</t>
        </is>
      </c>
      <c r="AA311" s="0" t="inlineStr">
        <is>
          <t>경기도 하남시 망월동 946</t>
        </is>
      </c>
      <c r="AB311" s="0" t="inlineStr">
        <is>
          <t>경기도</t>
        </is>
      </c>
      <c r="AC311" s="0" t="inlineStr">
        <is>
          <t>하남시</t>
        </is>
      </c>
      <c r="AD311" s="0" t="inlineStr">
        <is>
          <t>망월동</t>
        </is>
      </c>
      <c r="AG311" s="0" t="inlineStr">
        <is>
          <t>경기도 하남시 미사강변동로 177</t>
        </is>
      </c>
      <c r="AH311" s="0" t="n">
        <v>0</v>
      </c>
      <c r="AI311" s="0" t="n">
        <v>218</v>
      </c>
      <c r="AJ311" s="0" t="n">
        <v>20</v>
      </c>
      <c r="AK311" s="0" t="n">
        <v>802</v>
      </c>
      <c r="AL311" s="0" t="n">
        <v>1.21</v>
      </c>
    </row>
    <row r="312">
      <c r="A312" s="0" t="inlineStr">
        <is>
          <t>[선동]</t>
        </is>
      </c>
      <c r="B312" s="0" t="n">
        <v>104311</v>
      </c>
      <c r="C312" s="0" t="n">
        <v>1</v>
      </c>
      <c r="D312" s="0" t="inlineStr">
        <is>
          <t>리버나인</t>
        </is>
      </c>
      <c r="E312" s="0" t="inlineStr">
        <is>
          <t>2014.07.</t>
        </is>
      </c>
      <c r="F312" s="0" t="n">
        <v>712</v>
      </c>
      <c r="G312" s="0" t="n">
        <v>30.2</v>
      </c>
      <c r="H312" s="0" t="n">
        <v>99.84999999999999</v>
      </c>
      <c r="I312" s="0" t="n">
        <v>22.67</v>
      </c>
      <c r="J312" s="0" t="n">
        <v>74.95</v>
      </c>
      <c r="K312" s="0" t="n">
        <v>132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99B</t>
        </is>
      </c>
      <c r="X312" s="0" t="n">
        <v>28</v>
      </c>
      <c r="Y312" s="0" t="n">
        <v>15</v>
      </c>
      <c r="Z312" s="0" t="inlineStr">
        <is>
          <t>https://new.land.naver.com/complexes/104311?tab=detail&amp;rf=Y</t>
        </is>
      </c>
      <c r="AA312" s="0" t="inlineStr">
        <is>
          <t>경기도 하남시 선동 423</t>
        </is>
      </c>
      <c r="AB312" s="0" t="inlineStr">
        <is>
          <t>경기도</t>
        </is>
      </c>
      <c r="AC312" s="0" t="inlineStr">
        <is>
          <t>하남시</t>
        </is>
      </c>
      <c r="AD312" s="0" t="inlineStr">
        <is>
          <t>선동</t>
        </is>
      </c>
      <c r="AG312" s="0" t="inlineStr">
        <is>
          <t>경기도 하남시 미사강변한강로 110</t>
        </is>
      </c>
      <c r="AH312" s="0" t="n">
        <v>0</v>
      </c>
      <c r="AI312" s="0" t="n">
        <v>215</v>
      </c>
      <c r="AJ312" s="0" t="n">
        <v>18</v>
      </c>
      <c r="AK312" s="0" t="n">
        <v>861</v>
      </c>
      <c r="AL312" s="0" t="n">
        <v>1.21</v>
      </c>
    </row>
    <row r="313">
      <c r="A313" s="0" t="inlineStr">
        <is>
          <t>[선동]</t>
        </is>
      </c>
      <c r="B313" s="0" t="n">
        <v>104311</v>
      </c>
      <c r="C313" s="0" t="n">
        <v>2</v>
      </c>
      <c r="D313" s="0" t="inlineStr">
        <is>
          <t>리버나인</t>
        </is>
      </c>
      <c r="E313" s="0" t="inlineStr">
        <is>
          <t>2014.07.</t>
        </is>
      </c>
      <c r="F313" s="0" t="n">
        <v>712</v>
      </c>
      <c r="G313" s="0" t="n">
        <v>30.2</v>
      </c>
      <c r="H313" s="0" t="n">
        <v>99.84999999999999</v>
      </c>
      <c r="I313" s="0" t="n">
        <v>22.67</v>
      </c>
      <c r="J313" s="0" t="n">
        <v>74.95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99A1</t>
        </is>
      </c>
      <c r="X313" s="0" t="n">
        <v>28</v>
      </c>
      <c r="Y313" s="0" t="n">
        <v>15</v>
      </c>
      <c r="Z313" s="0" t="inlineStr">
        <is>
          <t>https://new.land.naver.com/complexes/104311?tab=detail&amp;rf=Y</t>
        </is>
      </c>
      <c r="AA313" s="0" t="inlineStr">
        <is>
          <t>경기도 하남시 선동 423</t>
        </is>
      </c>
      <c r="AB313" s="0" t="inlineStr">
        <is>
          <t>경기도</t>
        </is>
      </c>
      <c r="AC313" s="0" t="inlineStr">
        <is>
          <t>하남시</t>
        </is>
      </c>
      <c r="AD313" s="0" t="inlineStr">
        <is>
          <t>선동</t>
        </is>
      </c>
      <c r="AG313" s="0" t="inlineStr">
        <is>
          <t>경기도 하남시 미사강변한강로 110</t>
        </is>
      </c>
      <c r="AH313" s="0" t="n">
        <v>0</v>
      </c>
      <c r="AI313" s="0" t="n">
        <v>215</v>
      </c>
      <c r="AJ313" s="0" t="n">
        <v>18</v>
      </c>
      <c r="AK313" s="0" t="n">
        <v>861</v>
      </c>
      <c r="AL313" s="0" t="n">
        <v>1.21</v>
      </c>
    </row>
    <row r="314">
      <c r="A314" s="0" t="inlineStr">
        <is>
          <t>[선동]</t>
        </is>
      </c>
      <c r="B314" s="0" t="n">
        <v>104311</v>
      </c>
      <c r="C314" s="0" t="n">
        <v>3</v>
      </c>
      <c r="D314" s="0" t="inlineStr">
        <is>
          <t>리버나인</t>
        </is>
      </c>
      <c r="E314" s="0" t="inlineStr">
        <is>
          <t>2014.07.</t>
        </is>
      </c>
      <c r="F314" s="0" t="n">
        <v>712</v>
      </c>
      <c r="G314" s="0" t="n">
        <v>30.21</v>
      </c>
      <c r="H314" s="0" t="n">
        <v>99.90000000000001</v>
      </c>
      <c r="I314" s="0" t="n">
        <v>22.68</v>
      </c>
      <c r="J314" s="0" t="n">
        <v>74.98999999999999</v>
      </c>
      <c r="K314" s="0" t="n">
        <v>18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99A2</t>
        </is>
      </c>
      <c r="X314" s="0" t="n">
        <v>28</v>
      </c>
      <c r="Y314" s="0" t="n">
        <v>15</v>
      </c>
      <c r="Z314" s="0" t="inlineStr">
        <is>
          <t>https://new.land.naver.com/complexes/104311?tab=detail&amp;rf=Y</t>
        </is>
      </c>
      <c r="AA314" s="0" t="inlineStr">
        <is>
          <t>경기도 하남시 선동 423</t>
        </is>
      </c>
      <c r="AB314" s="0" t="inlineStr">
        <is>
          <t>경기도</t>
        </is>
      </c>
      <c r="AC314" s="0" t="inlineStr">
        <is>
          <t>하남시</t>
        </is>
      </c>
      <c r="AD314" s="0" t="inlineStr">
        <is>
          <t>선동</t>
        </is>
      </c>
      <c r="AG314" s="0" t="inlineStr">
        <is>
          <t>경기도 하남시 미사강변한강로 110</t>
        </is>
      </c>
      <c r="AH314" s="0" t="n">
        <v>0</v>
      </c>
      <c r="AI314" s="0" t="n">
        <v>215</v>
      </c>
      <c r="AJ314" s="0" t="n">
        <v>18</v>
      </c>
      <c r="AK314" s="0" t="n">
        <v>861</v>
      </c>
      <c r="AL314" s="0" t="n">
        <v>1.21</v>
      </c>
    </row>
    <row r="315">
      <c r="A315" s="0" t="inlineStr">
        <is>
          <t>[선동]</t>
        </is>
      </c>
      <c r="B315" s="0" t="n">
        <v>104311</v>
      </c>
      <c r="C315" s="0" t="n">
        <v>4</v>
      </c>
      <c r="D315" s="0" t="inlineStr">
        <is>
          <t>리버나인</t>
        </is>
      </c>
      <c r="E315" s="0" t="inlineStr">
        <is>
          <t>2014.07.</t>
        </is>
      </c>
      <c r="F315" s="0" t="n">
        <v>712</v>
      </c>
      <c r="G315" s="0" t="n">
        <v>30.2</v>
      </c>
      <c r="H315" s="0" t="n">
        <v>99.84999999999999</v>
      </c>
      <c r="I315" s="0" t="n">
        <v>22.67</v>
      </c>
      <c r="J315" s="0" t="n">
        <v>74.95</v>
      </c>
      <c r="K315" s="0" t="n">
        <v>15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99BN</t>
        </is>
      </c>
      <c r="X315" s="0" t="n">
        <v>28</v>
      </c>
      <c r="Y315" s="0" t="n">
        <v>15</v>
      </c>
      <c r="Z315" s="0" t="inlineStr">
        <is>
          <t>https://new.land.naver.com/complexes/104311?tab=detail&amp;rf=Y</t>
        </is>
      </c>
      <c r="AA315" s="0" t="inlineStr">
        <is>
          <t>경기도 하남시 선동 423</t>
        </is>
      </c>
      <c r="AB315" s="0" t="inlineStr">
        <is>
          <t>경기도</t>
        </is>
      </c>
      <c r="AC315" s="0" t="inlineStr">
        <is>
          <t>하남시</t>
        </is>
      </c>
      <c r="AD315" s="0" t="inlineStr">
        <is>
          <t>선동</t>
        </is>
      </c>
      <c r="AG315" s="0" t="inlineStr">
        <is>
          <t>경기도 하남시 미사강변한강로 110</t>
        </is>
      </c>
      <c r="AH315" s="0" t="n">
        <v>0</v>
      </c>
      <c r="AI315" s="0" t="n">
        <v>215</v>
      </c>
      <c r="AJ315" s="0" t="n">
        <v>18</v>
      </c>
      <c r="AK315" s="0" t="n">
        <v>861</v>
      </c>
      <c r="AL315" s="0" t="n">
        <v>1.21</v>
      </c>
    </row>
    <row r="316">
      <c r="A316" s="0" t="inlineStr">
        <is>
          <t>[선동]</t>
        </is>
      </c>
      <c r="B316" s="0" t="n">
        <v>104311</v>
      </c>
      <c r="C316" s="0" t="n">
        <v>5</v>
      </c>
      <c r="D316" s="0" t="inlineStr">
        <is>
          <t>리버나인</t>
        </is>
      </c>
      <c r="E316" s="0" t="inlineStr">
        <is>
          <t>2014.07.</t>
        </is>
      </c>
      <c r="F316" s="0" t="n">
        <v>712</v>
      </c>
      <c r="G316" s="0" t="n">
        <v>34.24</v>
      </c>
      <c r="H316" s="0" t="n">
        <v>113.2</v>
      </c>
      <c r="I316" s="0" t="n">
        <v>25.7</v>
      </c>
      <c r="J316" s="0" t="n">
        <v>84.97</v>
      </c>
      <c r="K316" s="0" t="n">
        <v>238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113B</t>
        </is>
      </c>
      <c r="X316" s="0" t="n">
        <v>28</v>
      </c>
      <c r="Y316" s="0" t="n">
        <v>15</v>
      </c>
      <c r="Z316" s="0" t="inlineStr">
        <is>
          <t>https://new.land.naver.com/complexes/104311?tab=detail&amp;rf=Y</t>
        </is>
      </c>
      <c r="AA316" s="0" t="inlineStr">
        <is>
          <t>경기도 하남시 선동 423</t>
        </is>
      </c>
      <c r="AB316" s="0" t="inlineStr">
        <is>
          <t>경기도</t>
        </is>
      </c>
      <c r="AC316" s="0" t="inlineStr">
        <is>
          <t>하남시</t>
        </is>
      </c>
      <c r="AD316" s="0" t="inlineStr">
        <is>
          <t>선동</t>
        </is>
      </c>
      <c r="AG316" s="0" t="inlineStr">
        <is>
          <t>경기도 하남시 미사강변한강로 110</t>
        </is>
      </c>
      <c r="AH316" s="0" t="n">
        <v>0</v>
      </c>
      <c r="AI316" s="0" t="n">
        <v>215</v>
      </c>
      <c r="AJ316" s="0" t="n">
        <v>18</v>
      </c>
      <c r="AK316" s="0" t="n">
        <v>861</v>
      </c>
      <c r="AL316" s="0" t="n">
        <v>1.21</v>
      </c>
    </row>
    <row r="317">
      <c r="A317" s="0" t="inlineStr">
        <is>
          <t>[선동]</t>
        </is>
      </c>
      <c r="B317" s="0" t="n">
        <v>104311</v>
      </c>
      <c r="C317" s="0" t="n">
        <v>6</v>
      </c>
      <c r="D317" s="0" t="inlineStr">
        <is>
          <t>리버나인</t>
        </is>
      </c>
      <c r="E317" s="0" t="inlineStr">
        <is>
          <t>2014.07.</t>
        </is>
      </c>
      <c r="F317" s="0" t="n">
        <v>712</v>
      </c>
      <c r="G317" s="0" t="n">
        <v>34.2</v>
      </c>
      <c r="H317" s="0" t="n">
        <v>113.09</v>
      </c>
      <c r="I317" s="0" t="n">
        <v>25.67</v>
      </c>
      <c r="J317" s="0" t="n">
        <v>84.89</v>
      </c>
      <c r="K317" s="0" t="n">
        <v>168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113C</t>
        </is>
      </c>
      <c r="X317" s="0" t="n">
        <v>28</v>
      </c>
      <c r="Y317" s="0" t="n">
        <v>15</v>
      </c>
      <c r="Z317" s="0" t="inlineStr">
        <is>
          <t>https://new.land.naver.com/complexes/104311?tab=detail&amp;rf=Y</t>
        </is>
      </c>
      <c r="AA317" s="0" t="inlineStr">
        <is>
          <t>경기도 하남시 선동 423</t>
        </is>
      </c>
      <c r="AB317" s="0" t="inlineStr">
        <is>
          <t>경기도</t>
        </is>
      </c>
      <c r="AC317" s="0" t="inlineStr">
        <is>
          <t>하남시</t>
        </is>
      </c>
      <c r="AD317" s="0" t="inlineStr">
        <is>
          <t>선동</t>
        </is>
      </c>
      <c r="AG317" s="0" t="inlineStr">
        <is>
          <t>경기도 하남시 미사강변한강로 110</t>
        </is>
      </c>
      <c r="AH317" s="0" t="n">
        <v>0</v>
      </c>
      <c r="AI317" s="0" t="n">
        <v>215</v>
      </c>
      <c r="AJ317" s="0" t="n">
        <v>18</v>
      </c>
      <c r="AK317" s="0" t="n">
        <v>861</v>
      </c>
      <c r="AL317" s="0" t="n">
        <v>1.21</v>
      </c>
    </row>
    <row r="318">
      <c r="A318" s="0" t="inlineStr">
        <is>
          <t>[선동]</t>
        </is>
      </c>
      <c r="B318" s="0" t="n">
        <v>104311</v>
      </c>
      <c r="C318" s="0" t="n">
        <v>7</v>
      </c>
      <c r="D318" s="0" t="inlineStr">
        <is>
          <t>리버나인</t>
        </is>
      </c>
      <c r="E318" s="0" t="inlineStr">
        <is>
          <t>2014.07.</t>
        </is>
      </c>
      <c r="F318" s="0" t="n">
        <v>712</v>
      </c>
      <c r="G318" s="0" t="n">
        <v>34.2</v>
      </c>
      <c r="H318" s="0" t="n">
        <v>113.08</v>
      </c>
      <c r="I318" s="0" t="n">
        <v>25.67</v>
      </c>
      <c r="J318" s="0" t="n">
        <v>84.88</v>
      </c>
      <c r="K318" s="0" t="n">
        <v>49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28</v>
      </c>
      <c r="Y318" s="0" t="n">
        <v>15</v>
      </c>
      <c r="Z318" s="0" t="inlineStr">
        <is>
          <t>https://new.land.naver.com/complexes/104311?tab=detail&amp;rf=Y</t>
        </is>
      </c>
      <c r="AA318" s="0" t="inlineStr">
        <is>
          <t>경기도 하남시 선동 423</t>
        </is>
      </c>
      <c r="AB318" s="0" t="inlineStr">
        <is>
          <t>경기도</t>
        </is>
      </c>
      <c r="AC318" s="0" t="inlineStr">
        <is>
          <t>하남시</t>
        </is>
      </c>
      <c r="AD318" s="0" t="inlineStr">
        <is>
          <t>선동</t>
        </is>
      </c>
      <c r="AG318" s="0" t="inlineStr">
        <is>
          <t>경기도 하남시 미사강변한강로 110</t>
        </is>
      </c>
      <c r="AH318" s="0" t="n">
        <v>0</v>
      </c>
      <c r="AI318" s="0" t="n">
        <v>215</v>
      </c>
      <c r="AJ318" s="0" t="n">
        <v>18</v>
      </c>
      <c r="AK318" s="0" t="n">
        <v>861</v>
      </c>
      <c r="AL318" s="0" t="n">
        <v>1.21</v>
      </c>
    </row>
    <row r="319">
      <c r="A319" s="0" t="inlineStr">
        <is>
          <t>[선동]</t>
        </is>
      </c>
      <c r="B319" s="0" t="n">
        <v>104311</v>
      </c>
      <c r="C319" s="0" t="n">
        <v>8</v>
      </c>
      <c r="D319" s="0" t="inlineStr">
        <is>
          <t>리버나인</t>
        </is>
      </c>
      <c r="E319" s="0" t="inlineStr">
        <is>
          <t>2014.07.</t>
        </is>
      </c>
      <c r="F319" s="0" t="n">
        <v>712</v>
      </c>
      <c r="G319" s="0" t="n">
        <v>34.24</v>
      </c>
      <c r="H319" s="0" t="n">
        <v>113.2</v>
      </c>
      <c r="I319" s="0" t="n">
        <v>25.7</v>
      </c>
      <c r="J319" s="0" t="n">
        <v>84.97</v>
      </c>
      <c r="K319" s="0" t="n">
        <v>28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113BN</t>
        </is>
      </c>
      <c r="X319" s="0" t="n">
        <v>28</v>
      </c>
      <c r="Y319" s="0" t="n">
        <v>15</v>
      </c>
      <c r="Z319" s="0" t="inlineStr">
        <is>
          <t>https://new.land.naver.com/complexes/104311?tab=detail&amp;rf=Y</t>
        </is>
      </c>
      <c r="AA319" s="0" t="inlineStr">
        <is>
          <t>경기도 하남시 선동 423</t>
        </is>
      </c>
      <c r="AB319" s="0" t="inlineStr">
        <is>
          <t>경기도</t>
        </is>
      </c>
      <c r="AC319" s="0" t="inlineStr">
        <is>
          <t>하남시</t>
        </is>
      </c>
      <c r="AD319" s="0" t="inlineStr">
        <is>
          <t>선동</t>
        </is>
      </c>
      <c r="AG319" s="0" t="inlineStr">
        <is>
          <t>경기도 하남시 미사강변한강로 110</t>
        </is>
      </c>
      <c r="AH319" s="0" t="n">
        <v>0</v>
      </c>
      <c r="AI319" s="0" t="n">
        <v>215</v>
      </c>
      <c r="AJ319" s="0" t="n">
        <v>18</v>
      </c>
      <c r="AK319" s="0" t="n">
        <v>861</v>
      </c>
      <c r="AL319" s="0" t="n">
        <v>1.21</v>
      </c>
    </row>
    <row r="320">
      <c r="A320" s="0" t="inlineStr">
        <is>
          <t>[선동]</t>
        </is>
      </c>
      <c r="B320" s="0" t="n">
        <v>110010</v>
      </c>
      <c r="C320" s="0" t="n">
        <v>1</v>
      </c>
      <c r="D320" s="0" t="inlineStr">
        <is>
          <t>미사강변리버뷰자이</t>
        </is>
      </c>
      <c r="E320" s="0" t="inlineStr">
        <is>
          <t>2017.08.</t>
        </is>
      </c>
      <c r="F320" s="0" t="n">
        <v>555</v>
      </c>
      <c r="G320" s="0" t="n">
        <v>35.88</v>
      </c>
      <c r="H320" s="0" t="n">
        <v>118.62</v>
      </c>
      <c r="I320" s="0" t="n">
        <v>27.72</v>
      </c>
      <c r="J320" s="0" t="n">
        <v>91.64</v>
      </c>
      <c r="K320" s="0" t="n">
        <v>139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118</v>
      </c>
      <c r="X320" s="0" t="n">
        <v>29</v>
      </c>
      <c r="Y320" s="0" t="n">
        <v>26</v>
      </c>
      <c r="Z320" s="0" t="inlineStr">
        <is>
          <t>https://new.land.naver.com/complexes/110010?tab=detail&amp;rf=Y</t>
        </is>
      </c>
      <c r="AA320" s="0" t="inlineStr">
        <is>
          <t>경기도 하남시 선동 455</t>
        </is>
      </c>
      <c r="AB320" s="0" t="inlineStr">
        <is>
          <t>경기도</t>
        </is>
      </c>
      <c r="AC320" s="0" t="inlineStr">
        <is>
          <t>하남시</t>
        </is>
      </c>
      <c r="AD320" s="0" t="inlineStr">
        <is>
          <t>선동</t>
        </is>
      </c>
      <c r="AG320" s="0" t="inlineStr">
        <is>
          <t>경기도 하남시 미사강변한강로 10</t>
        </is>
      </c>
      <c r="AH320" s="0" t="n">
        <v>0</v>
      </c>
      <c r="AI320" s="0" t="n">
        <v>209</v>
      </c>
      <c r="AJ320" s="0" t="n">
        <v>13</v>
      </c>
      <c r="AK320" s="0" t="n">
        <v>938</v>
      </c>
      <c r="AL320" s="0" t="n">
        <v>1.69</v>
      </c>
    </row>
    <row r="321">
      <c r="A321" s="0" t="inlineStr">
        <is>
          <t>[선동]</t>
        </is>
      </c>
      <c r="B321" s="0" t="n">
        <v>110010</v>
      </c>
      <c r="C321" s="0" t="n">
        <v>2</v>
      </c>
      <c r="D321" s="0" t="inlineStr">
        <is>
          <t>미사강변리버뷰자이</t>
        </is>
      </c>
      <c r="E321" s="0" t="inlineStr">
        <is>
          <t>2017.08.</t>
        </is>
      </c>
      <c r="F321" s="0" t="n">
        <v>555</v>
      </c>
      <c r="G321" s="0" t="n">
        <v>37.93</v>
      </c>
      <c r="H321" s="0" t="n">
        <v>125.41</v>
      </c>
      <c r="I321" s="0" t="n">
        <v>29.82</v>
      </c>
      <c r="J321" s="0" t="n">
        <v>98.61</v>
      </c>
      <c r="K321" s="0" t="n">
        <v>131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125A</t>
        </is>
      </c>
      <c r="X321" s="0" t="n">
        <v>29</v>
      </c>
      <c r="Y321" s="0" t="n">
        <v>26</v>
      </c>
      <c r="Z321" s="0" t="inlineStr">
        <is>
          <t>https://new.land.naver.com/complexes/110010?tab=detail&amp;rf=Y</t>
        </is>
      </c>
      <c r="AA321" s="0" t="inlineStr">
        <is>
          <t>경기도 하남시 선동 455</t>
        </is>
      </c>
      <c r="AB321" s="0" t="inlineStr">
        <is>
          <t>경기도</t>
        </is>
      </c>
      <c r="AC321" s="0" t="inlineStr">
        <is>
          <t>하남시</t>
        </is>
      </c>
      <c r="AD321" s="0" t="inlineStr">
        <is>
          <t>선동</t>
        </is>
      </c>
      <c r="AG321" s="0" t="inlineStr">
        <is>
          <t>경기도 하남시 미사강변한강로 10</t>
        </is>
      </c>
      <c r="AH321" s="0" t="n">
        <v>0</v>
      </c>
      <c r="AI321" s="0" t="n">
        <v>209</v>
      </c>
      <c r="AJ321" s="0" t="n">
        <v>13</v>
      </c>
      <c r="AK321" s="0" t="n">
        <v>938</v>
      </c>
      <c r="AL321" s="0" t="n">
        <v>1.69</v>
      </c>
    </row>
    <row r="322">
      <c r="A322" s="0" t="inlineStr">
        <is>
          <t>[선동]</t>
        </is>
      </c>
      <c r="B322" s="0" t="n">
        <v>110010</v>
      </c>
      <c r="C322" s="0" t="n">
        <v>3</v>
      </c>
      <c r="D322" s="0" t="inlineStr">
        <is>
          <t>미사강변리버뷰자이</t>
        </is>
      </c>
      <c r="E322" s="0" t="inlineStr">
        <is>
          <t>2017.08.</t>
        </is>
      </c>
      <c r="F322" s="0" t="n">
        <v>555</v>
      </c>
      <c r="G322" s="0" t="n">
        <v>37.99</v>
      </c>
      <c r="H322" s="0" t="n">
        <v>125.6</v>
      </c>
      <c r="I322" s="0" t="n">
        <v>29.8</v>
      </c>
      <c r="J322" s="0" t="n">
        <v>98.54000000000001</v>
      </c>
      <c r="K322" s="0" t="n">
        <v>56</v>
      </c>
      <c r="T322" s="0" t="n">
        <v>4</v>
      </c>
      <c r="U322" s="0" t="n">
        <v>2</v>
      </c>
      <c r="V322" s="0" t="inlineStr">
        <is>
          <t>계단식</t>
        </is>
      </c>
      <c r="W322" s="0" t="inlineStr">
        <is>
          <t>125B</t>
        </is>
      </c>
      <c r="X322" s="0" t="n">
        <v>29</v>
      </c>
      <c r="Y322" s="0" t="n">
        <v>26</v>
      </c>
      <c r="Z322" s="0" t="inlineStr">
        <is>
          <t>https://new.land.naver.com/complexes/110010?tab=detail&amp;rf=Y</t>
        </is>
      </c>
      <c r="AA322" s="0" t="inlineStr">
        <is>
          <t>경기도 하남시 선동 455</t>
        </is>
      </c>
      <c r="AB322" s="0" t="inlineStr">
        <is>
          <t>경기도</t>
        </is>
      </c>
      <c r="AC322" s="0" t="inlineStr">
        <is>
          <t>하남시</t>
        </is>
      </c>
      <c r="AD322" s="0" t="inlineStr">
        <is>
          <t>선동</t>
        </is>
      </c>
      <c r="AG322" s="0" t="inlineStr">
        <is>
          <t>경기도 하남시 미사강변한강로 10</t>
        </is>
      </c>
      <c r="AH322" s="0" t="n">
        <v>0</v>
      </c>
      <c r="AI322" s="0" t="n">
        <v>209</v>
      </c>
      <c r="AJ322" s="0" t="n">
        <v>13</v>
      </c>
      <c r="AK322" s="0" t="n">
        <v>938</v>
      </c>
      <c r="AL322" s="0" t="n">
        <v>1.69</v>
      </c>
    </row>
    <row r="323">
      <c r="A323" s="0" t="inlineStr">
        <is>
          <t>[선동]</t>
        </is>
      </c>
      <c r="B323" s="0" t="n">
        <v>110010</v>
      </c>
      <c r="C323" s="0" t="n">
        <v>4</v>
      </c>
      <c r="D323" s="0" t="inlineStr">
        <is>
          <t>미사강변리버뷰자이</t>
        </is>
      </c>
      <c r="E323" s="0" t="inlineStr">
        <is>
          <t>2017.08.</t>
        </is>
      </c>
      <c r="F323" s="0" t="n">
        <v>555</v>
      </c>
      <c r="G323" s="0" t="n">
        <v>37.96</v>
      </c>
      <c r="H323" s="0" t="n">
        <v>125.49</v>
      </c>
      <c r="I323" s="0" t="n">
        <v>29.64</v>
      </c>
      <c r="J323" s="0" t="n">
        <v>98</v>
      </c>
      <c r="K323" s="0" t="n">
        <v>52</v>
      </c>
      <c r="T323" s="0" t="n">
        <v>4</v>
      </c>
      <c r="U323" s="0" t="n">
        <v>2</v>
      </c>
      <c r="V323" s="0" t="inlineStr">
        <is>
          <t>계단식</t>
        </is>
      </c>
      <c r="W323" s="0" t="inlineStr">
        <is>
          <t>125C</t>
        </is>
      </c>
      <c r="X323" s="0" t="n">
        <v>29</v>
      </c>
      <c r="Y323" s="0" t="n">
        <v>26</v>
      </c>
      <c r="Z323" s="0" t="inlineStr">
        <is>
          <t>https://new.land.naver.com/complexes/110010?tab=detail&amp;rf=Y</t>
        </is>
      </c>
      <c r="AA323" s="0" t="inlineStr">
        <is>
          <t>경기도 하남시 선동 455</t>
        </is>
      </c>
      <c r="AB323" s="0" t="inlineStr">
        <is>
          <t>경기도</t>
        </is>
      </c>
      <c r="AC323" s="0" t="inlineStr">
        <is>
          <t>하남시</t>
        </is>
      </c>
      <c r="AD323" s="0" t="inlineStr">
        <is>
          <t>선동</t>
        </is>
      </c>
      <c r="AG323" s="0" t="inlineStr">
        <is>
          <t>경기도 하남시 미사강변한강로 10</t>
        </is>
      </c>
      <c r="AH323" s="0" t="n">
        <v>0</v>
      </c>
      <c r="AI323" s="0" t="n">
        <v>209</v>
      </c>
      <c r="AJ323" s="0" t="n">
        <v>13</v>
      </c>
      <c r="AK323" s="0" t="n">
        <v>938</v>
      </c>
      <c r="AL323" s="0" t="n">
        <v>1.69</v>
      </c>
    </row>
    <row r="324">
      <c r="A324" s="0" t="inlineStr">
        <is>
          <t>[선동]</t>
        </is>
      </c>
      <c r="B324" s="0" t="n">
        <v>110010</v>
      </c>
      <c r="C324" s="0" t="n">
        <v>5</v>
      </c>
      <c r="D324" s="0" t="inlineStr">
        <is>
          <t>미사강변리버뷰자이</t>
        </is>
      </c>
      <c r="E324" s="0" t="inlineStr">
        <is>
          <t>2017.08.</t>
        </is>
      </c>
      <c r="F324" s="0" t="n">
        <v>555</v>
      </c>
      <c r="G324" s="0" t="n">
        <v>39.68</v>
      </c>
      <c r="H324" s="0" t="n">
        <v>131.2</v>
      </c>
      <c r="I324" s="0" t="n">
        <v>31.08</v>
      </c>
      <c r="J324" s="0" t="n">
        <v>102.77</v>
      </c>
      <c r="K324" s="0" t="n">
        <v>44</v>
      </c>
      <c r="T324" s="0" t="n">
        <v>4</v>
      </c>
      <c r="U324" s="0" t="n">
        <v>2</v>
      </c>
      <c r="V324" s="0" t="inlineStr">
        <is>
          <t>계단식</t>
        </is>
      </c>
      <c r="W324" s="0" t="inlineStr">
        <is>
          <t>131C</t>
        </is>
      </c>
      <c r="X324" s="0" t="n">
        <v>29</v>
      </c>
      <c r="Y324" s="0" t="n">
        <v>26</v>
      </c>
      <c r="Z324" s="0" t="inlineStr">
        <is>
          <t>https://new.land.naver.com/complexes/110010?tab=detail&amp;rf=Y</t>
        </is>
      </c>
      <c r="AA324" s="0" t="inlineStr">
        <is>
          <t>경기도 하남시 선동 455</t>
        </is>
      </c>
      <c r="AB324" s="0" t="inlineStr">
        <is>
          <t>경기도</t>
        </is>
      </c>
      <c r="AC324" s="0" t="inlineStr">
        <is>
          <t>하남시</t>
        </is>
      </c>
      <c r="AD324" s="0" t="inlineStr">
        <is>
          <t>선동</t>
        </is>
      </c>
      <c r="AG324" s="0" t="inlineStr">
        <is>
          <t>경기도 하남시 미사강변한강로 10</t>
        </is>
      </c>
      <c r="AH324" s="0" t="n">
        <v>0</v>
      </c>
      <c r="AI324" s="0" t="n">
        <v>209</v>
      </c>
      <c r="AJ324" s="0" t="n">
        <v>13</v>
      </c>
      <c r="AK324" s="0" t="n">
        <v>938</v>
      </c>
      <c r="AL324" s="0" t="n">
        <v>1.69</v>
      </c>
    </row>
    <row r="325">
      <c r="A325" s="0" t="inlineStr">
        <is>
          <t>[선동]</t>
        </is>
      </c>
      <c r="B325" s="0" t="n">
        <v>110010</v>
      </c>
      <c r="C325" s="0" t="n">
        <v>6</v>
      </c>
      <c r="D325" s="0" t="inlineStr">
        <is>
          <t>미사강변리버뷰자이</t>
        </is>
      </c>
      <c r="E325" s="0" t="inlineStr">
        <is>
          <t>2017.08.</t>
        </is>
      </c>
      <c r="F325" s="0" t="n">
        <v>555</v>
      </c>
      <c r="G325" s="0" t="n">
        <v>39.68</v>
      </c>
      <c r="H325" s="0" t="n">
        <v>131.2</v>
      </c>
      <c r="I325" s="0" t="n">
        <v>31.08</v>
      </c>
      <c r="J325" s="0" t="n">
        <v>102.77</v>
      </c>
      <c r="K325" s="0" t="n">
        <v>40</v>
      </c>
      <c r="T325" s="0" t="n">
        <v>4</v>
      </c>
      <c r="U325" s="0" t="n">
        <v>2</v>
      </c>
      <c r="V325" s="0" t="inlineStr">
        <is>
          <t>계단식</t>
        </is>
      </c>
      <c r="W325" s="0" t="inlineStr">
        <is>
          <t>131B</t>
        </is>
      </c>
      <c r="X325" s="0" t="n">
        <v>29</v>
      </c>
      <c r="Y325" s="0" t="n">
        <v>26</v>
      </c>
      <c r="Z325" s="0" t="inlineStr">
        <is>
          <t>https://new.land.naver.com/complexes/110010?tab=detail&amp;rf=Y</t>
        </is>
      </c>
      <c r="AA325" s="0" t="inlineStr">
        <is>
          <t>경기도 하남시 선동 455</t>
        </is>
      </c>
      <c r="AB325" s="0" t="inlineStr">
        <is>
          <t>경기도</t>
        </is>
      </c>
      <c r="AC325" s="0" t="inlineStr">
        <is>
          <t>하남시</t>
        </is>
      </c>
      <c r="AD325" s="0" t="inlineStr">
        <is>
          <t>선동</t>
        </is>
      </c>
      <c r="AG325" s="0" t="inlineStr">
        <is>
          <t>경기도 하남시 미사강변한강로 10</t>
        </is>
      </c>
      <c r="AH325" s="0" t="n">
        <v>0</v>
      </c>
      <c r="AI325" s="0" t="n">
        <v>209</v>
      </c>
      <c r="AJ325" s="0" t="n">
        <v>13</v>
      </c>
      <c r="AK325" s="0" t="n">
        <v>938</v>
      </c>
      <c r="AL325" s="0" t="n">
        <v>1.69</v>
      </c>
    </row>
    <row r="326">
      <c r="A326" s="0" t="inlineStr">
        <is>
          <t>[선동]</t>
        </is>
      </c>
      <c r="B326" s="0" t="n">
        <v>110010</v>
      </c>
      <c r="C326" s="0" t="n">
        <v>7</v>
      </c>
      <c r="D326" s="0" t="inlineStr">
        <is>
          <t>미사강변리버뷰자이</t>
        </is>
      </c>
      <c r="E326" s="0" t="inlineStr">
        <is>
          <t>2017.08.</t>
        </is>
      </c>
      <c r="F326" s="0" t="n">
        <v>555</v>
      </c>
      <c r="G326" s="0" t="n">
        <v>39.99</v>
      </c>
      <c r="H326" s="0" t="n">
        <v>132.21</v>
      </c>
      <c r="I326" s="0" t="n">
        <v>30.86</v>
      </c>
      <c r="J326" s="0" t="n">
        <v>102.04</v>
      </c>
      <c r="K326" s="0" t="n">
        <v>83</v>
      </c>
      <c r="T326" s="0" t="n">
        <v>4</v>
      </c>
      <c r="U326" s="0" t="n">
        <v>2</v>
      </c>
      <c r="V326" s="0" t="inlineStr">
        <is>
          <t>계단식</t>
        </is>
      </c>
      <c r="W326" s="0" t="inlineStr">
        <is>
          <t>132A</t>
        </is>
      </c>
      <c r="X326" s="0" t="n">
        <v>29</v>
      </c>
      <c r="Y326" s="0" t="n">
        <v>26</v>
      </c>
      <c r="Z326" s="0" t="inlineStr">
        <is>
          <t>https://new.land.naver.com/complexes/110010?tab=detail&amp;rf=Y</t>
        </is>
      </c>
      <c r="AA326" s="0" t="inlineStr">
        <is>
          <t>경기도 하남시 선동 455</t>
        </is>
      </c>
      <c r="AB326" s="0" t="inlineStr">
        <is>
          <t>경기도</t>
        </is>
      </c>
      <c r="AC326" s="0" t="inlineStr">
        <is>
          <t>하남시</t>
        </is>
      </c>
      <c r="AD326" s="0" t="inlineStr">
        <is>
          <t>선동</t>
        </is>
      </c>
      <c r="AG326" s="0" t="inlineStr">
        <is>
          <t>경기도 하남시 미사강변한강로 10</t>
        </is>
      </c>
      <c r="AH326" s="0" t="n">
        <v>0</v>
      </c>
      <c r="AI326" s="0" t="n">
        <v>209</v>
      </c>
      <c r="AJ326" s="0" t="n">
        <v>13</v>
      </c>
      <c r="AK326" s="0" t="n">
        <v>938</v>
      </c>
      <c r="AL326" s="0" t="n">
        <v>1.69</v>
      </c>
    </row>
    <row r="327">
      <c r="A327" s="0" t="inlineStr">
        <is>
          <t>[선동]</t>
        </is>
      </c>
      <c r="B327" s="0" t="n">
        <v>110010</v>
      </c>
      <c r="C327" s="0" t="n">
        <v>8</v>
      </c>
      <c r="D327" s="0" t="inlineStr">
        <is>
          <t>미사강변리버뷰자이</t>
        </is>
      </c>
      <c r="E327" s="0" t="inlineStr">
        <is>
          <t>2017.08.</t>
        </is>
      </c>
      <c r="F327" s="0" t="n">
        <v>555</v>
      </c>
      <c r="G327" s="0" t="n">
        <v>50.48</v>
      </c>
      <c r="H327" s="0" t="n">
        <v>166.89</v>
      </c>
      <c r="I327" s="0" t="n">
        <v>38.93</v>
      </c>
      <c r="J327" s="0" t="n">
        <v>128.72</v>
      </c>
      <c r="K327" s="0" t="n">
        <v>2</v>
      </c>
      <c r="T327" s="0" t="n">
        <v>5</v>
      </c>
      <c r="U327" s="0" t="n">
        <v>3</v>
      </c>
      <c r="V327" s="0" t="inlineStr">
        <is>
          <t>계단식</t>
        </is>
      </c>
      <c r="W327" s="0" t="n">
        <v>166</v>
      </c>
      <c r="X327" s="0" t="n">
        <v>29</v>
      </c>
      <c r="Y327" s="0" t="n">
        <v>26</v>
      </c>
      <c r="Z327" s="0" t="inlineStr">
        <is>
          <t>https://new.land.naver.com/complexes/110010?tab=detail&amp;rf=Y</t>
        </is>
      </c>
      <c r="AA327" s="0" t="inlineStr">
        <is>
          <t>경기도 하남시 선동 455</t>
        </is>
      </c>
      <c r="AB327" s="0" t="inlineStr">
        <is>
          <t>경기도</t>
        </is>
      </c>
      <c r="AC327" s="0" t="inlineStr">
        <is>
          <t>하남시</t>
        </is>
      </c>
      <c r="AD327" s="0" t="inlineStr">
        <is>
          <t>선동</t>
        </is>
      </c>
      <c r="AG327" s="0" t="inlineStr">
        <is>
          <t>경기도 하남시 미사강변한강로 10</t>
        </is>
      </c>
      <c r="AH327" s="0" t="n">
        <v>0</v>
      </c>
      <c r="AI327" s="0" t="n">
        <v>209</v>
      </c>
      <c r="AJ327" s="0" t="n">
        <v>13</v>
      </c>
      <c r="AK327" s="0" t="n">
        <v>938</v>
      </c>
      <c r="AL327" s="0" t="n">
        <v>1.69</v>
      </c>
    </row>
    <row r="328">
      <c r="A328" s="0" t="inlineStr">
        <is>
          <t>[선동]</t>
        </is>
      </c>
      <c r="B328" s="0" t="n">
        <v>110010</v>
      </c>
      <c r="C328" s="0" t="n">
        <v>9</v>
      </c>
      <c r="D328" s="0" t="inlineStr">
        <is>
          <t>미사강변리버뷰자이</t>
        </is>
      </c>
      <c r="E328" s="0" t="inlineStr">
        <is>
          <t>2017.08.</t>
        </is>
      </c>
      <c r="F328" s="0" t="n">
        <v>555</v>
      </c>
      <c r="G328" s="0" t="n">
        <v>51.92</v>
      </c>
      <c r="H328" s="0" t="n">
        <v>171.66</v>
      </c>
      <c r="I328" s="0" t="n">
        <v>40.08</v>
      </c>
      <c r="J328" s="0" t="n">
        <v>132.5</v>
      </c>
      <c r="K328" s="0" t="n">
        <v>3</v>
      </c>
      <c r="T328" s="0" t="n">
        <v>5</v>
      </c>
      <c r="U328" s="0" t="n">
        <v>3</v>
      </c>
      <c r="V328" s="0" t="inlineStr">
        <is>
          <t>계단식</t>
        </is>
      </c>
      <c r="W328" s="0" t="inlineStr">
        <is>
          <t>171A</t>
        </is>
      </c>
      <c r="X328" s="0" t="n">
        <v>29</v>
      </c>
      <c r="Y328" s="0" t="n">
        <v>26</v>
      </c>
      <c r="Z328" s="0" t="inlineStr">
        <is>
          <t>https://new.land.naver.com/complexes/110010?tab=detail&amp;rf=Y</t>
        </is>
      </c>
      <c r="AA328" s="0" t="inlineStr">
        <is>
          <t>경기도 하남시 선동 455</t>
        </is>
      </c>
      <c r="AB328" s="0" t="inlineStr">
        <is>
          <t>경기도</t>
        </is>
      </c>
      <c r="AC328" s="0" t="inlineStr">
        <is>
          <t>하남시</t>
        </is>
      </c>
      <c r="AD328" s="0" t="inlineStr">
        <is>
          <t>선동</t>
        </is>
      </c>
      <c r="AG328" s="0" t="inlineStr">
        <is>
          <t>경기도 하남시 미사강변한강로 10</t>
        </is>
      </c>
      <c r="AH328" s="0" t="n">
        <v>0</v>
      </c>
      <c r="AI328" s="0" t="n">
        <v>209</v>
      </c>
      <c r="AJ328" s="0" t="n">
        <v>13</v>
      </c>
      <c r="AK328" s="0" t="n">
        <v>938</v>
      </c>
      <c r="AL328" s="0" t="n">
        <v>1.69</v>
      </c>
    </row>
    <row r="329">
      <c r="A329" s="0" t="inlineStr">
        <is>
          <t>[선동]</t>
        </is>
      </c>
      <c r="B329" s="0" t="n">
        <v>110010</v>
      </c>
      <c r="C329" s="0" t="n">
        <v>10</v>
      </c>
      <c r="D329" s="0" t="inlineStr">
        <is>
          <t>미사강변리버뷰자이</t>
        </is>
      </c>
      <c r="E329" s="0" t="inlineStr">
        <is>
          <t>2017.08.</t>
        </is>
      </c>
      <c r="F329" s="0" t="n">
        <v>555</v>
      </c>
      <c r="G329" s="0" t="n">
        <v>51.97</v>
      </c>
      <c r="H329" s="0" t="n">
        <v>171.83</v>
      </c>
      <c r="I329" s="0" t="n">
        <v>40.04</v>
      </c>
      <c r="J329" s="0" t="n">
        <v>132.38</v>
      </c>
      <c r="K329" s="0" t="n">
        <v>3</v>
      </c>
      <c r="T329" s="0" t="n">
        <v>5</v>
      </c>
      <c r="U329" s="0" t="n">
        <v>3</v>
      </c>
      <c r="V329" s="0" t="inlineStr">
        <is>
          <t>계단식</t>
        </is>
      </c>
      <c r="W329" s="0" t="inlineStr">
        <is>
          <t>171B</t>
        </is>
      </c>
      <c r="X329" s="0" t="n">
        <v>29</v>
      </c>
      <c r="Y329" s="0" t="n">
        <v>26</v>
      </c>
      <c r="Z329" s="0" t="inlineStr">
        <is>
          <t>https://new.land.naver.com/complexes/110010?tab=detail&amp;rf=Y</t>
        </is>
      </c>
      <c r="AA329" s="0" t="inlineStr">
        <is>
          <t>경기도 하남시 선동 455</t>
        </is>
      </c>
      <c r="AB329" s="0" t="inlineStr">
        <is>
          <t>경기도</t>
        </is>
      </c>
      <c r="AC329" s="0" t="inlineStr">
        <is>
          <t>하남시</t>
        </is>
      </c>
      <c r="AD329" s="0" t="inlineStr">
        <is>
          <t>선동</t>
        </is>
      </c>
      <c r="AG329" s="0" t="inlineStr">
        <is>
          <t>경기도 하남시 미사강변한강로 10</t>
        </is>
      </c>
      <c r="AH329" s="0" t="n">
        <v>0</v>
      </c>
      <c r="AI329" s="0" t="n">
        <v>209</v>
      </c>
      <c r="AJ329" s="0" t="n">
        <v>13</v>
      </c>
      <c r="AK329" s="0" t="n">
        <v>938</v>
      </c>
      <c r="AL329" s="0" t="n">
        <v>1.69</v>
      </c>
    </row>
    <row r="330">
      <c r="A330" s="0" t="inlineStr">
        <is>
          <t>[선동]</t>
        </is>
      </c>
      <c r="B330" s="0" t="n">
        <v>110010</v>
      </c>
      <c r="C330" s="0" t="n">
        <v>11</v>
      </c>
      <c r="D330" s="0" t="inlineStr">
        <is>
          <t>미사강변리버뷰자이</t>
        </is>
      </c>
      <c r="E330" s="0" t="inlineStr">
        <is>
          <t>2017.08.</t>
        </is>
      </c>
      <c r="F330" s="0" t="n">
        <v>555</v>
      </c>
      <c r="G330" s="0" t="n">
        <v>51.8</v>
      </c>
      <c r="H330" s="0" t="n">
        <v>171.27</v>
      </c>
      <c r="I330" s="0" t="n">
        <v>40.09</v>
      </c>
      <c r="J330" s="0" t="n">
        <v>132.54</v>
      </c>
      <c r="K330" s="0" t="n">
        <v>2</v>
      </c>
      <c r="T330" s="0" t="n">
        <v>5</v>
      </c>
      <c r="U330" s="0" t="n">
        <v>3</v>
      </c>
      <c r="V330" s="0" t="inlineStr">
        <is>
          <t>계단식</t>
        </is>
      </c>
      <c r="W330" s="0" t="inlineStr">
        <is>
          <t>171C</t>
        </is>
      </c>
      <c r="X330" s="0" t="n">
        <v>29</v>
      </c>
      <c r="Y330" s="0" t="n">
        <v>26</v>
      </c>
      <c r="Z330" s="0" t="inlineStr">
        <is>
          <t>https://new.land.naver.com/complexes/110010?tab=detail&amp;rf=Y</t>
        </is>
      </c>
      <c r="AA330" s="0" t="inlineStr">
        <is>
          <t>경기도 하남시 선동 455</t>
        </is>
      </c>
      <c r="AB330" s="0" t="inlineStr">
        <is>
          <t>경기도</t>
        </is>
      </c>
      <c r="AC330" s="0" t="inlineStr">
        <is>
          <t>하남시</t>
        </is>
      </c>
      <c r="AD330" s="0" t="inlineStr">
        <is>
          <t>선동</t>
        </is>
      </c>
      <c r="AG330" s="0" t="inlineStr">
        <is>
          <t>경기도 하남시 미사강변한강로 10</t>
        </is>
      </c>
      <c r="AH330" s="0" t="n">
        <v>0</v>
      </c>
      <c r="AI330" s="0" t="n">
        <v>209</v>
      </c>
      <c r="AJ330" s="0" t="n">
        <v>13</v>
      </c>
      <c r="AK330" s="0" t="n">
        <v>938</v>
      </c>
      <c r="AL330" s="0" t="n">
        <v>1.69</v>
      </c>
    </row>
    <row r="331">
      <c r="A331" s="0" t="inlineStr">
        <is>
          <t>[선동]</t>
        </is>
      </c>
      <c r="B331" s="0" t="n">
        <v>108472</v>
      </c>
      <c r="C331" s="0" t="n">
        <v>1</v>
      </c>
      <c r="D331" s="0" t="inlineStr">
        <is>
          <t>미사강변더샵리버포레</t>
        </is>
      </c>
      <c r="E331" s="0" t="inlineStr">
        <is>
          <t>2016.07.</t>
        </is>
      </c>
      <c r="F331" s="0" t="n">
        <v>875</v>
      </c>
      <c r="G331" s="0" t="n">
        <v>35.03</v>
      </c>
      <c r="H331" s="0" t="n">
        <v>115.81</v>
      </c>
      <c r="I331" s="0" t="n">
        <v>27.13</v>
      </c>
      <c r="J331" s="0" t="n">
        <v>89.7</v>
      </c>
      <c r="K331" s="0" t="n">
        <v>297</v>
      </c>
      <c r="T331" s="0" t="n">
        <v>4</v>
      </c>
      <c r="U331" s="0" t="n">
        <v>2</v>
      </c>
      <c r="V331" s="0" t="inlineStr">
        <is>
          <t>계단식</t>
        </is>
      </c>
      <c r="W331" s="0" t="inlineStr">
        <is>
          <t>115B</t>
        </is>
      </c>
      <c r="X331" s="0" t="n">
        <v>29</v>
      </c>
      <c r="Y331" s="0" t="n">
        <v>26</v>
      </c>
      <c r="Z331" s="0" t="inlineStr">
        <is>
          <t>https://new.land.naver.com/complexes/108472?tab=detail&amp;rf=Y</t>
        </is>
      </c>
      <c r="AA331" s="0" t="inlineStr">
        <is>
          <t>경기도 하남시 선동 427</t>
        </is>
      </c>
      <c r="AB331" s="0" t="inlineStr">
        <is>
          <t>경기도</t>
        </is>
      </c>
      <c r="AC331" s="0" t="inlineStr">
        <is>
          <t>하남시</t>
        </is>
      </c>
      <c r="AD331" s="0" t="inlineStr">
        <is>
          <t>선동</t>
        </is>
      </c>
      <c r="AG331" s="0" t="inlineStr">
        <is>
          <t>경기도 하남시 미사강변북로 65</t>
        </is>
      </c>
      <c r="AH331" s="0" t="n">
        <v>0</v>
      </c>
      <c r="AI331" s="0" t="n">
        <v>209</v>
      </c>
      <c r="AJ331" s="0" t="n">
        <v>13</v>
      </c>
      <c r="AK331" s="0" t="n">
        <v>1448</v>
      </c>
      <c r="AL331" s="0" t="n">
        <v>1.65</v>
      </c>
    </row>
    <row r="332">
      <c r="A332" s="0" t="inlineStr">
        <is>
          <t>[선동]</t>
        </is>
      </c>
      <c r="B332" s="0" t="n">
        <v>108472</v>
      </c>
      <c r="C332" s="0" t="n">
        <v>2</v>
      </c>
      <c r="D332" s="0" t="inlineStr">
        <is>
          <t>미사강변더샵리버포레</t>
        </is>
      </c>
      <c r="E332" s="0" t="inlineStr">
        <is>
          <t>2016.07.</t>
        </is>
      </c>
      <c r="F332" s="0" t="n">
        <v>875</v>
      </c>
      <c r="G332" s="0" t="n">
        <v>35.38</v>
      </c>
      <c r="H332" s="0" t="n">
        <v>116.99</v>
      </c>
      <c r="I332" s="0" t="n">
        <v>27.2</v>
      </c>
      <c r="J332" s="0" t="n">
        <v>89.92</v>
      </c>
      <c r="K332" s="0" t="n">
        <v>80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116A</t>
        </is>
      </c>
      <c r="X332" s="0" t="n">
        <v>29</v>
      </c>
      <c r="Y332" s="0" t="n">
        <v>26</v>
      </c>
      <c r="Z332" s="0" t="inlineStr">
        <is>
          <t>https://new.land.naver.com/complexes/108472?tab=detail&amp;rf=Y</t>
        </is>
      </c>
      <c r="AA332" s="0" t="inlineStr">
        <is>
          <t>경기도 하남시 선동 427</t>
        </is>
      </c>
      <c r="AB332" s="0" t="inlineStr">
        <is>
          <t>경기도</t>
        </is>
      </c>
      <c r="AC332" s="0" t="inlineStr">
        <is>
          <t>하남시</t>
        </is>
      </c>
      <c r="AD332" s="0" t="inlineStr">
        <is>
          <t>선동</t>
        </is>
      </c>
      <c r="AG332" s="0" t="inlineStr">
        <is>
          <t>경기도 하남시 미사강변북로 65</t>
        </is>
      </c>
      <c r="AH332" s="0" t="n">
        <v>0</v>
      </c>
      <c r="AI332" s="0" t="n">
        <v>209</v>
      </c>
      <c r="AJ332" s="0" t="n">
        <v>13</v>
      </c>
      <c r="AK332" s="0" t="n">
        <v>1448</v>
      </c>
      <c r="AL332" s="0" t="n">
        <v>1.65</v>
      </c>
    </row>
    <row r="333">
      <c r="A333" s="0" t="inlineStr">
        <is>
          <t>[선동]</t>
        </is>
      </c>
      <c r="B333" s="0" t="n">
        <v>108472</v>
      </c>
      <c r="C333" s="0" t="n">
        <v>3</v>
      </c>
      <c r="D333" s="0" t="inlineStr">
        <is>
          <t>미사강변더샵리버포레</t>
        </is>
      </c>
      <c r="E333" s="0" t="inlineStr">
        <is>
          <t>2016.07.</t>
        </is>
      </c>
      <c r="F333" s="0" t="n">
        <v>875</v>
      </c>
      <c r="G333" s="0" t="n">
        <v>38.1</v>
      </c>
      <c r="H333" s="0" t="n">
        <v>125.97</v>
      </c>
      <c r="I333" s="0" t="n">
        <v>29.88</v>
      </c>
      <c r="J333" s="0" t="n">
        <v>98.78</v>
      </c>
      <c r="K333" s="0" t="n">
        <v>112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125D</t>
        </is>
      </c>
      <c r="X333" s="0" t="n">
        <v>29</v>
      </c>
      <c r="Y333" s="0" t="n">
        <v>26</v>
      </c>
      <c r="Z333" s="0" t="inlineStr">
        <is>
          <t>https://new.land.naver.com/complexes/108472?tab=detail&amp;rf=Y</t>
        </is>
      </c>
      <c r="AA333" s="0" t="inlineStr">
        <is>
          <t>경기도 하남시 선동 427</t>
        </is>
      </c>
      <c r="AB333" s="0" t="inlineStr">
        <is>
          <t>경기도</t>
        </is>
      </c>
      <c r="AC333" s="0" t="inlineStr">
        <is>
          <t>하남시</t>
        </is>
      </c>
      <c r="AD333" s="0" t="inlineStr">
        <is>
          <t>선동</t>
        </is>
      </c>
      <c r="AG333" s="0" t="inlineStr">
        <is>
          <t>경기도 하남시 미사강변북로 65</t>
        </is>
      </c>
      <c r="AH333" s="0" t="n">
        <v>0</v>
      </c>
      <c r="AI333" s="0" t="n">
        <v>209</v>
      </c>
      <c r="AJ333" s="0" t="n">
        <v>13</v>
      </c>
      <c r="AK333" s="0" t="n">
        <v>1448</v>
      </c>
      <c r="AL333" s="0" t="n">
        <v>1.65</v>
      </c>
    </row>
    <row r="334">
      <c r="A334" s="0" t="inlineStr">
        <is>
          <t>[선동]</t>
        </is>
      </c>
      <c r="B334" s="0" t="n">
        <v>108472</v>
      </c>
      <c r="C334" s="0" t="n">
        <v>4</v>
      </c>
      <c r="D334" s="0" t="inlineStr">
        <is>
          <t>미사강변더샵리버포레</t>
        </is>
      </c>
      <c r="E334" s="0" t="inlineStr">
        <is>
          <t>2016.07.</t>
        </is>
      </c>
      <c r="F334" s="0" t="n">
        <v>875</v>
      </c>
      <c r="G334" s="0" t="n">
        <v>38.24</v>
      </c>
      <c r="H334" s="0" t="n">
        <v>126.42</v>
      </c>
      <c r="I334" s="0" t="n">
        <v>29.93</v>
      </c>
      <c r="J334" s="0" t="n">
        <v>98.95999999999999</v>
      </c>
      <c r="K334" s="0" t="n">
        <v>56</v>
      </c>
      <c r="T334" s="0" t="n">
        <v>4</v>
      </c>
      <c r="U334" s="0" t="n">
        <v>2</v>
      </c>
      <c r="V334" s="0" t="inlineStr">
        <is>
          <t>계단식</t>
        </is>
      </c>
      <c r="W334" s="0" t="inlineStr">
        <is>
          <t>126C</t>
        </is>
      </c>
      <c r="X334" s="0" t="n">
        <v>29</v>
      </c>
      <c r="Y334" s="0" t="n">
        <v>26</v>
      </c>
      <c r="Z334" s="0" t="inlineStr">
        <is>
          <t>https://new.land.naver.com/complexes/108472?tab=detail&amp;rf=Y</t>
        </is>
      </c>
      <c r="AA334" s="0" t="inlineStr">
        <is>
          <t>경기도 하남시 선동 427</t>
        </is>
      </c>
      <c r="AB334" s="0" t="inlineStr">
        <is>
          <t>경기도</t>
        </is>
      </c>
      <c r="AC334" s="0" t="inlineStr">
        <is>
          <t>하남시</t>
        </is>
      </c>
      <c r="AD334" s="0" t="inlineStr">
        <is>
          <t>선동</t>
        </is>
      </c>
      <c r="AG334" s="0" t="inlineStr">
        <is>
          <t>경기도 하남시 미사강변북로 65</t>
        </is>
      </c>
      <c r="AH334" s="0" t="n">
        <v>0</v>
      </c>
      <c r="AI334" s="0" t="n">
        <v>209</v>
      </c>
      <c r="AJ334" s="0" t="n">
        <v>13</v>
      </c>
      <c r="AK334" s="0" t="n">
        <v>1448</v>
      </c>
      <c r="AL334" s="0" t="n">
        <v>1.65</v>
      </c>
    </row>
    <row r="335">
      <c r="A335" s="0" t="inlineStr">
        <is>
          <t>[선동]</t>
        </is>
      </c>
      <c r="B335" s="0" t="n">
        <v>108472</v>
      </c>
      <c r="C335" s="0" t="n">
        <v>5</v>
      </c>
      <c r="D335" s="0" t="inlineStr">
        <is>
          <t>미사강변더샵리버포레</t>
        </is>
      </c>
      <c r="E335" s="0" t="inlineStr">
        <is>
          <t>2016.07.</t>
        </is>
      </c>
      <c r="F335" s="0" t="n">
        <v>875</v>
      </c>
      <c r="G335" s="0" t="n">
        <v>38.53</v>
      </c>
      <c r="H335" s="0" t="n">
        <v>127.39</v>
      </c>
      <c r="I335" s="0" t="n">
        <v>29.8</v>
      </c>
      <c r="J335" s="0" t="n">
        <v>98.54000000000001</v>
      </c>
      <c r="K335" s="0" t="n">
        <v>84</v>
      </c>
      <c r="T335" s="0" t="n">
        <v>4</v>
      </c>
      <c r="U335" s="0" t="n">
        <v>2</v>
      </c>
      <c r="V335" s="0" t="inlineStr">
        <is>
          <t>계단식</t>
        </is>
      </c>
      <c r="W335" s="0" t="inlineStr">
        <is>
          <t>127B</t>
        </is>
      </c>
      <c r="X335" s="0" t="n">
        <v>29</v>
      </c>
      <c r="Y335" s="0" t="n">
        <v>26</v>
      </c>
      <c r="Z335" s="0" t="inlineStr">
        <is>
          <t>https://new.land.naver.com/complexes/108472?tab=detail&amp;rf=Y</t>
        </is>
      </c>
      <c r="AA335" s="0" t="inlineStr">
        <is>
          <t>경기도 하남시 선동 427</t>
        </is>
      </c>
      <c r="AB335" s="0" t="inlineStr">
        <is>
          <t>경기도</t>
        </is>
      </c>
      <c r="AC335" s="0" t="inlineStr">
        <is>
          <t>하남시</t>
        </is>
      </c>
      <c r="AD335" s="0" t="inlineStr">
        <is>
          <t>선동</t>
        </is>
      </c>
      <c r="AG335" s="0" t="inlineStr">
        <is>
          <t>경기도 하남시 미사강변북로 65</t>
        </is>
      </c>
      <c r="AH335" s="0" t="n">
        <v>0</v>
      </c>
      <c r="AI335" s="0" t="n">
        <v>209</v>
      </c>
      <c r="AJ335" s="0" t="n">
        <v>13</v>
      </c>
      <c r="AK335" s="0" t="n">
        <v>1448</v>
      </c>
      <c r="AL335" s="0" t="n">
        <v>1.65</v>
      </c>
    </row>
    <row r="336">
      <c r="A336" s="0" t="inlineStr">
        <is>
          <t>[선동]</t>
        </is>
      </c>
      <c r="B336" s="0" t="n">
        <v>108472</v>
      </c>
      <c r="C336" s="0" t="n">
        <v>6</v>
      </c>
      <c r="D336" s="0" t="inlineStr">
        <is>
          <t>미사강변더샵리버포레</t>
        </is>
      </c>
      <c r="E336" s="0" t="inlineStr">
        <is>
          <t>2016.07.</t>
        </is>
      </c>
      <c r="F336" s="0" t="n">
        <v>875</v>
      </c>
      <c r="G336" s="0" t="n">
        <v>38.92</v>
      </c>
      <c r="H336" s="0" t="n">
        <v>128.69</v>
      </c>
      <c r="I336" s="0" t="n">
        <v>29.85</v>
      </c>
      <c r="J336" s="0" t="n">
        <v>98.69</v>
      </c>
      <c r="K336" s="0" t="n">
        <v>135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128A</t>
        </is>
      </c>
      <c r="X336" s="0" t="n">
        <v>29</v>
      </c>
      <c r="Y336" s="0" t="n">
        <v>26</v>
      </c>
      <c r="Z336" s="0" t="inlineStr">
        <is>
          <t>https://new.land.naver.com/complexes/108472?tab=detail&amp;rf=Y</t>
        </is>
      </c>
      <c r="AA336" s="0" t="inlineStr">
        <is>
          <t>경기도 하남시 선동 427</t>
        </is>
      </c>
      <c r="AB336" s="0" t="inlineStr">
        <is>
          <t>경기도</t>
        </is>
      </c>
      <c r="AC336" s="0" t="inlineStr">
        <is>
          <t>하남시</t>
        </is>
      </c>
      <c r="AD336" s="0" t="inlineStr">
        <is>
          <t>선동</t>
        </is>
      </c>
      <c r="AG336" s="0" t="inlineStr">
        <is>
          <t>경기도 하남시 미사강변북로 65</t>
        </is>
      </c>
      <c r="AH336" s="0" t="n">
        <v>0</v>
      </c>
      <c r="AI336" s="0" t="n">
        <v>209</v>
      </c>
      <c r="AJ336" s="0" t="n">
        <v>13</v>
      </c>
      <c r="AK336" s="0" t="n">
        <v>1448</v>
      </c>
      <c r="AL336" s="0" t="n">
        <v>1.65</v>
      </c>
    </row>
    <row r="337">
      <c r="A337" s="0" t="inlineStr">
        <is>
          <t>[선동]</t>
        </is>
      </c>
      <c r="B337" s="0" t="n">
        <v>108472</v>
      </c>
      <c r="C337" s="0" t="n">
        <v>7</v>
      </c>
      <c r="D337" s="0" t="inlineStr">
        <is>
          <t>미사강변더샵리버포레</t>
        </is>
      </c>
      <c r="E337" s="0" t="inlineStr">
        <is>
          <t>2016.07.</t>
        </is>
      </c>
      <c r="F337" s="0" t="n">
        <v>875</v>
      </c>
      <c r="G337" s="0" t="n">
        <v>42.67</v>
      </c>
      <c r="H337" s="0" t="n">
        <v>141.09</v>
      </c>
      <c r="I337" s="0" t="n">
        <v>34.15</v>
      </c>
      <c r="J337" s="0" t="n">
        <v>112.9</v>
      </c>
      <c r="K337" s="0" t="n">
        <v>56</v>
      </c>
      <c r="T337" s="0" t="n">
        <v>4</v>
      </c>
      <c r="U337" s="0" t="n">
        <v>2</v>
      </c>
      <c r="V337" s="0" t="inlineStr">
        <is>
          <t>계단식</t>
        </is>
      </c>
      <c r="W337" s="0" t="inlineStr">
        <is>
          <t>141A</t>
        </is>
      </c>
      <c r="X337" s="0" t="n">
        <v>29</v>
      </c>
      <c r="Y337" s="0" t="n">
        <v>26</v>
      </c>
      <c r="Z337" s="0" t="inlineStr">
        <is>
          <t>https://new.land.naver.com/complexes/108472?tab=detail&amp;rf=Y</t>
        </is>
      </c>
      <c r="AA337" s="0" t="inlineStr">
        <is>
          <t>경기도 하남시 선동 427</t>
        </is>
      </c>
      <c r="AB337" s="0" t="inlineStr">
        <is>
          <t>경기도</t>
        </is>
      </c>
      <c r="AC337" s="0" t="inlineStr">
        <is>
          <t>하남시</t>
        </is>
      </c>
      <c r="AD337" s="0" t="inlineStr">
        <is>
          <t>선동</t>
        </is>
      </c>
      <c r="AG337" s="0" t="inlineStr">
        <is>
          <t>경기도 하남시 미사강변북로 65</t>
        </is>
      </c>
      <c r="AH337" s="0" t="n">
        <v>0</v>
      </c>
      <c r="AI337" s="0" t="n">
        <v>209</v>
      </c>
      <c r="AJ337" s="0" t="n">
        <v>13</v>
      </c>
      <c r="AK337" s="0" t="n">
        <v>1448</v>
      </c>
      <c r="AL337" s="0" t="n">
        <v>1.65</v>
      </c>
    </row>
    <row r="338">
      <c r="A338" s="0" t="inlineStr">
        <is>
          <t>[선동]</t>
        </is>
      </c>
      <c r="B338" s="0" t="n">
        <v>108472</v>
      </c>
      <c r="C338" s="0" t="n">
        <v>8</v>
      </c>
      <c r="D338" s="0" t="inlineStr">
        <is>
          <t>미사강변더샵리버포레</t>
        </is>
      </c>
      <c r="E338" s="0" t="inlineStr">
        <is>
          <t>2016.07.</t>
        </is>
      </c>
      <c r="F338" s="0" t="n">
        <v>875</v>
      </c>
      <c r="G338" s="0" t="n">
        <v>42.74</v>
      </c>
      <c r="H338" s="0" t="n">
        <v>141.32</v>
      </c>
      <c r="I338" s="0" t="n">
        <v>34.15</v>
      </c>
      <c r="J338" s="0" t="n">
        <v>112.92</v>
      </c>
      <c r="K338" s="0" t="n">
        <v>55</v>
      </c>
      <c r="T338" s="0" t="n">
        <v>4</v>
      </c>
      <c r="U338" s="0" t="n">
        <v>2</v>
      </c>
      <c r="V338" s="0" t="inlineStr">
        <is>
          <t>계단식</t>
        </is>
      </c>
      <c r="W338" s="0" t="inlineStr">
        <is>
          <t>141B</t>
        </is>
      </c>
      <c r="X338" s="0" t="n">
        <v>29</v>
      </c>
      <c r="Y338" s="0" t="n">
        <v>26</v>
      </c>
      <c r="Z338" s="0" t="inlineStr">
        <is>
          <t>https://new.land.naver.com/complexes/108472?tab=detail&amp;rf=Y</t>
        </is>
      </c>
      <c r="AA338" s="0" t="inlineStr">
        <is>
          <t>경기도 하남시 선동 427</t>
        </is>
      </c>
      <c r="AB338" s="0" t="inlineStr">
        <is>
          <t>경기도</t>
        </is>
      </c>
      <c r="AC338" s="0" t="inlineStr">
        <is>
          <t>하남시</t>
        </is>
      </c>
      <c r="AD338" s="0" t="inlineStr">
        <is>
          <t>선동</t>
        </is>
      </c>
      <c r="AG338" s="0" t="inlineStr">
        <is>
          <t>경기도 하남시 미사강변북로 65</t>
        </is>
      </c>
      <c r="AH338" s="0" t="n">
        <v>0</v>
      </c>
      <c r="AI338" s="0" t="n">
        <v>209</v>
      </c>
      <c r="AJ338" s="0" t="n">
        <v>13</v>
      </c>
      <c r="AK338" s="0" t="n">
        <v>1448</v>
      </c>
      <c r="AL338" s="0" t="n">
        <v>1.65</v>
      </c>
    </row>
    <row r="339">
      <c r="A339" s="0" t="inlineStr">
        <is>
          <t>[선동]</t>
        </is>
      </c>
      <c r="B339" s="0" t="n">
        <v>108423</v>
      </c>
      <c r="C339" s="0" t="n">
        <v>1</v>
      </c>
      <c r="D339" s="0" t="inlineStr">
        <is>
          <t>미사강변센트리버</t>
        </is>
      </c>
      <c r="E339" s="0" t="inlineStr">
        <is>
          <t>2016.09.</t>
        </is>
      </c>
      <c r="F339" s="0" t="n">
        <v>1145</v>
      </c>
      <c r="G339" s="0" t="n">
        <v>24.62</v>
      </c>
      <c r="H339" s="0" t="n">
        <v>81.39</v>
      </c>
      <c r="I339" s="0" t="n">
        <v>18.12</v>
      </c>
      <c r="J339" s="0" t="n">
        <v>59.91</v>
      </c>
      <c r="K339" s="0" t="n">
        <v>196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81A</t>
        </is>
      </c>
      <c r="X339" s="0" t="n">
        <v>28</v>
      </c>
      <c r="Y339" s="0" t="n">
        <v>14</v>
      </c>
      <c r="Z339" s="0" t="inlineStr">
        <is>
          <t>https://new.land.naver.com/complexes/108423?tab=detail&amp;rf=Y</t>
        </is>
      </c>
      <c r="AA339" s="0" t="inlineStr">
        <is>
          <t>경기도 하남시 선동 436</t>
        </is>
      </c>
      <c r="AB339" s="0" t="inlineStr">
        <is>
          <t>경기도</t>
        </is>
      </c>
      <c r="AC339" s="0" t="inlineStr">
        <is>
          <t>하남시</t>
        </is>
      </c>
      <c r="AD339" s="0" t="inlineStr">
        <is>
          <t>선동</t>
        </is>
      </c>
      <c r="AG339" s="0" t="inlineStr">
        <is>
          <t>경기도 하남시 미사강변대로 270</t>
        </is>
      </c>
      <c r="AH339" s="0" t="n">
        <v>0</v>
      </c>
      <c r="AI339" s="0" t="n">
        <v>212</v>
      </c>
      <c r="AJ339" s="0" t="n">
        <v>15</v>
      </c>
      <c r="AK339" s="0" t="n">
        <v>1345</v>
      </c>
      <c r="AL339" s="0" t="n">
        <v>1.17</v>
      </c>
    </row>
    <row r="340">
      <c r="A340" s="0" t="inlineStr">
        <is>
          <t>[선동]</t>
        </is>
      </c>
      <c r="B340" s="0" t="n">
        <v>108423</v>
      </c>
      <c r="C340" s="0" t="n">
        <v>2</v>
      </c>
      <c r="D340" s="0" t="inlineStr">
        <is>
          <t>미사강변센트리버</t>
        </is>
      </c>
      <c r="E340" s="0" t="inlineStr">
        <is>
          <t>2016.09.</t>
        </is>
      </c>
      <c r="F340" s="0" t="n">
        <v>1145</v>
      </c>
      <c r="G340" s="0" t="n">
        <v>24.65</v>
      </c>
      <c r="H340" s="0" t="n">
        <v>81.48999999999999</v>
      </c>
      <c r="I340" s="0" t="n">
        <v>18.14</v>
      </c>
      <c r="J340" s="0" t="n">
        <v>59.98</v>
      </c>
      <c r="K340" s="0" t="n">
        <v>83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81B</t>
        </is>
      </c>
      <c r="X340" s="0" t="n">
        <v>28</v>
      </c>
      <c r="Y340" s="0" t="n">
        <v>14</v>
      </c>
      <c r="Z340" s="0" t="inlineStr">
        <is>
          <t>https://new.land.naver.com/complexes/108423?tab=detail&amp;rf=Y</t>
        </is>
      </c>
      <c r="AA340" s="0" t="inlineStr">
        <is>
          <t>경기도 하남시 선동 436</t>
        </is>
      </c>
      <c r="AB340" s="0" t="inlineStr">
        <is>
          <t>경기도</t>
        </is>
      </c>
      <c r="AC340" s="0" t="inlineStr">
        <is>
          <t>하남시</t>
        </is>
      </c>
      <c r="AD340" s="0" t="inlineStr">
        <is>
          <t>선동</t>
        </is>
      </c>
      <c r="AG340" s="0" t="inlineStr">
        <is>
          <t>경기도 하남시 미사강변대로 270</t>
        </is>
      </c>
      <c r="AH340" s="0" t="n">
        <v>0</v>
      </c>
      <c r="AI340" s="0" t="n">
        <v>212</v>
      </c>
      <c r="AJ340" s="0" t="n">
        <v>15</v>
      </c>
      <c r="AK340" s="0" t="n">
        <v>1345</v>
      </c>
      <c r="AL340" s="0" t="n">
        <v>1.17</v>
      </c>
    </row>
    <row r="341">
      <c r="A341" s="0" t="inlineStr">
        <is>
          <t>[선동]</t>
        </is>
      </c>
      <c r="B341" s="0" t="n">
        <v>108423</v>
      </c>
      <c r="C341" s="0" t="n">
        <v>3</v>
      </c>
      <c r="D341" s="0" t="inlineStr">
        <is>
          <t>미사강변센트리버</t>
        </is>
      </c>
      <c r="E341" s="0" t="inlineStr">
        <is>
          <t>2016.09.</t>
        </is>
      </c>
      <c r="F341" s="0" t="n">
        <v>1145</v>
      </c>
      <c r="G341" s="0" t="n">
        <v>24.55</v>
      </c>
      <c r="H341" s="0" t="n">
        <v>81.19</v>
      </c>
      <c r="I341" s="0" t="n">
        <v>18.07</v>
      </c>
      <c r="J341" s="0" t="n">
        <v>59.76</v>
      </c>
      <c r="K341" s="0" t="n">
        <v>37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81C</t>
        </is>
      </c>
      <c r="X341" s="0" t="n">
        <v>28</v>
      </c>
      <c r="Y341" s="0" t="n">
        <v>14</v>
      </c>
      <c r="Z341" s="0" t="inlineStr">
        <is>
          <t>https://new.land.naver.com/complexes/108423?tab=detail&amp;rf=Y</t>
        </is>
      </c>
      <c r="AA341" s="0" t="inlineStr">
        <is>
          <t>경기도 하남시 선동 436</t>
        </is>
      </c>
      <c r="AB341" s="0" t="inlineStr">
        <is>
          <t>경기도</t>
        </is>
      </c>
      <c r="AC341" s="0" t="inlineStr">
        <is>
          <t>하남시</t>
        </is>
      </c>
      <c r="AD341" s="0" t="inlineStr">
        <is>
          <t>선동</t>
        </is>
      </c>
      <c r="AG341" s="0" t="inlineStr">
        <is>
          <t>경기도 하남시 미사강변대로 270</t>
        </is>
      </c>
      <c r="AH341" s="0" t="n">
        <v>0</v>
      </c>
      <c r="AI341" s="0" t="n">
        <v>212</v>
      </c>
      <c r="AJ341" s="0" t="n">
        <v>15</v>
      </c>
      <c r="AK341" s="0" t="n">
        <v>1345</v>
      </c>
      <c r="AL341" s="0" t="n">
        <v>1.17</v>
      </c>
    </row>
    <row r="342">
      <c r="A342" s="0" t="inlineStr">
        <is>
          <t>[선동]</t>
        </is>
      </c>
      <c r="B342" s="0" t="n">
        <v>108423</v>
      </c>
      <c r="C342" s="0" t="n">
        <v>4</v>
      </c>
      <c r="D342" s="0" t="inlineStr">
        <is>
          <t>미사강변센트리버</t>
        </is>
      </c>
      <c r="E342" s="0" t="inlineStr">
        <is>
          <t>2016.09.</t>
        </is>
      </c>
      <c r="F342" s="0" t="n">
        <v>1145</v>
      </c>
      <c r="G342" s="0" t="n">
        <v>24.57</v>
      </c>
      <c r="H342" s="0" t="n">
        <v>81.25</v>
      </c>
      <c r="I342" s="0" t="n">
        <v>18.08</v>
      </c>
      <c r="J342" s="0" t="n">
        <v>59.8</v>
      </c>
      <c r="K342" s="0" t="n">
        <v>33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81A1</t>
        </is>
      </c>
      <c r="X342" s="0" t="n">
        <v>28</v>
      </c>
      <c r="Y342" s="0" t="n">
        <v>14</v>
      </c>
      <c r="Z342" s="0" t="inlineStr">
        <is>
          <t>https://new.land.naver.com/complexes/108423?tab=detail&amp;rf=Y</t>
        </is>
      </c>
      <c r="AA342" s="0" t="inlineStr">
        <is>
          <t>경기도 하남시 선동 436</t>
        </is>
      </c>
      <c r="AB342" s="0" t="inlineStr">
        <is>
          <t>경기도</t>
        </is>
      </c>
      <c r="AC342" s="0" t="inlineStr">
        <is>
          <t>하남시</t>
        </is>
      </c>
      <c r="AD342" s="0" t="inlineStr">
        <is>
          <t>선동</t>
        </is>
      </c>
      <c r="AG342" s="0" t="inlineStr">
        <is>
          <t>경기도 하남시 미사강변대로 270</t>
        </is>
      </c>
      <c r="AH342" s="0" t="n">
        <v>0</v>
      </c>
      <c r="AI342" s="0" t="n">
        <v>212</v>
      </c>
      <c r="AJ342" s="0" t="n">
        <v>15</v>
      </c>
      <c r="AK342" s="0" t="n">
        <v>1345</v>
      </c>
      <c r="AL342" s="0" t="n">
        <v>1.17</v>
      </c>
    </row>
    <row r="343">
      <c r="A343" s="0" t="inlineStr">
        <is>
          <t>[선동]</t>
        </is>
      </c>
      <c r="B343" s="0" t="n">
        <v>108423</v>
      </c>
      <c r="C343" s="0" t="n">
        <v>5</v>
      </c>
      <c r="D343" s="0" t="inlineStr">
        <is>
          <t>미사강변센트리버</t>
        </is>
      </c>
      <c r="E343" s="0" t="inlineStr">
        <is>
          <t>2016.09.</t>
        </is>
      </c>
      <c r="F343" s="0" t="n">
        <v>1145</v>
      </c>
      <c r="G343" s="0" t="n">
        <v>30.78</v>
      </c>
      <c r="H343" s="0" t="n">
        <v>101.78</v>
      </c>
      <c r="I343" s="0" t="n">
        <v>22.66</v>
      </c>
      <c r="J343" s="0" t="n">
        <v>74.91</v>
      </c>
      <c r="K343" s="0" t="n">
        <v>196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101A</t>
        </is>
      </c>
      <c r="X343" s="0" t="n">
        <v>28</v>
      </c>
      <c r="Y343" s="0" t="n">
        <v>14</v>
      </c>
      <c r="Z343" s="0" t="inlineStr">
        <is>
          <t>https://new.land.naver.com/complexes/108423?tab=detail&amp;rf=Y</t>
        </is>
      </c>
      <c r="AA343" s="0" t="inlineStr">
        <is>
          <t>경기도 하남시 선동 436</t>
        </is>
      </c>
      <c r="AB343" s="0" t="inlineStr">
        <is>
          <t>경기도</t>
        </is>
      </c>
      <c r="AC343" s="0" t="inlineStr">
        <is>
          <t>하남시</t>
        </is>
      </c>
      <c r="AD343" s="0" t="inlineStr">
        <is>
          <t>선동</t>
        </is>
      </c>
      <c r="AG343" s="0" t="inlineStr">
        <is>
          <t>경기도 하남시 미사강변대로 270</t>
        </is>
      </c>
      <c r="AH343" s="0" t="n">
        <v>0</v>
      </c>
      <c r="AI343" s="0" t="n">
        <v>212</v>
      </c>
      <c r="AJ343" s="0" t="n">
        <v>15</v>
      </c>
      <c r="AK343" s="0" t="n">
        <v>1345</v>
      </c>
      <c r="AL343" s="0" t="n">
        <v>1.17</v>
      </c>
    </row>
    <row r="344">
      <c r="A344" s="0" t="inlineStr">
        <is>
          <t>[선동]</t>
        </is>
      </c>
      <c r="B344" s="0" t="n">
        <v>108423</v>
      </c>
      <c r="C344" s="0" t="n">
        <v>6</v>
      </c>
      <c r="D344" s="0" t="inlineStr">
        <is>
          <t>미사강변센트리버</t>
        </is>
      </c>
      <c r="E344" s="0" t="inlineStr">
        <is>
          <t>2016.09.</t>
        </is>
      </c>
      <c r="F344" s="0" t="n">
        <v>1145</v>
      </c>
      <c r="G344" s="0" t="n">
        <v>30.81</v>
      </c>
      <c r="H344" s="0" t="n">
        <v>101.86</v>
      </c>
      <c r="I344" s="0" t="n">
        <v>22.67</v>
      </c>
      <c r="J344" s="0" t="n">
        <v>74.97</v>
      </c>
      <c r="K344" s="0" t="n">
        <v>46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101B</t>
        </is>
      </c>
      <c r="X344" s="0" t="n">
        <v>28</v>
      </c>
      <c r="Y344" s="0" t="n">
        <v>14</v>
      </c>
      <c r="Z344" s="0" t="inlineStr">
        <is>
          <t>https://new.land.naver.com/complexes/108423?tab=detail&amp;rf=Y</t>
        </is>
      </c>
      <c r="AA344" s="0" t="inlineStr">
        <is>
          <t>경기도 하남시 선동 436</t>
        </is>
      </c>
      <c r="AB344" s="0" t="inlineStr">
        <is>
          <t>경기도</t>
        </is>
      </c>
      <c r="AC344" s="0" t="inlineStr">
        <is>
          <t>하남시</t>
        </is>
      </c>
      <c r="AD344" s="0" t="inlineStr">
        <is>
          <t>선동</t>
        </is>
      </c>
      <c r="AG344" s="0" t="inlineStr">
        <is>
          <t>경기도 하남시 미사강변대로 270</t>
        </is>
      </c>
      <c r="AH344" s="0" t="n">
        <v>0</v>
      </c>
      <c r="AI344" s="0" t="n">
        <v>212</v>
      </c>
      <c r="AJ344" s="0" t="n">
        <v>15</v>
      </c>
      <c r="AK344" s="0" t="n">
        <v>1345</v>
      </c>
      <c r="AL344" s="0" t="n">
        <v>1.17</v>
      </c>
    </row>
    <row r="345">
      <c r="A345" s="0" t="inlineStr">
        <is>
          <t>[선동]</t>
        </is>
      </c>
      <c r="B345" s="0" t="n">
        <v>108423</v>
      </c>
      <c r="C345" s="0" t="n">
        <v>7</v>
      </c>
      <c r="D345" s="0" t="inlineStr">
        <is>
          <t>미사강변센트리버</t>
        </is>
      </c>
      <c r="E345" s="0" t="inlineStr">
        <is>
          <t>2016.09.</t>
        </is>
      </c>
      <c r="F345" s="0" t="n">
        <v>1145</v>
      </c>
      <c r="G345" s="0" t="n">
        <v>30.8</v>
      </c>
      <c r="H345" s="0" t="n">
        <v>101.83</v>
      </c>
      <c r="I345" s="0" t="n">
        <v>22.67</v>
      </c>
      <c r="J345" s="0" t="n">
        <v>74.95</v>
      </c>
      <c r="K345" s="0" t="n">
        <v>20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101C</t>
        </is>
      </c>
      <c r="X345" s="0" t="n">
        <v>28</v>
      </c>
      <c r="Y345" s="0" t="n">
        <v>14</v>
      </c>
      <c r="Z345" s="0" t="inlineStr">
        <is>
          <t>https://new.land.naver.com/complexes/108423?tab=detail&amp;rf=Y</t>
        </is>
      </c>
      <c r="AA345" s="0" t="inlineStr">
        <is>
          <t>경기도 하남시 선동 436</t>
        </is>
      </c>
      <c r="AB345" s="0" t="inlineStr">
        <is>
          <t>경기도</t>
        </is>
      </c>
      <c r="AC345" s="0" t="inlineStr">
        <is>
          <t>하남시</t>
        </is>
      </c>
      <c r="AD345" s="0" t="inlineStr">
        <is>
          <t>선동</t>
        </is>
      </c>
      <c r="AG345" s="0" t="inlineStr">
        <is>
          <t>경기도 하남시 미사강변대로 270</t>
        </is>
      </c>
      <c r="AH345" s="0" t="n">
        <v>0</v>
      </c>
      <c r="AI345" s="0" t="n">
        <v>212</v>
      </c>
      <c r="AJ345" s="0" t="n">
        <v>15</v>
      </c>
      <c r="AK345" s="0" t="n">
        <v>1345</v>
      </c>
      <c r="AL345" s="0" t="n">
        <v>1.17</v>
      </c>
    </row>
    <row r="346">
      <c r="A346" s="0" t="inlineStr">
        <is>
          <t>[선동]</t>
        </is>
      </c>
      <c r="B346" s="0" t="n">
        <v>108423</v>
      </c>
      <c r="C346" s="0" t="n">
        <v>8</v>
      </c>
      <c r="D346" s="0" t="inlineStr">
        <is>
          <t>미사강변센트리버</t>
        </is>
      </c>
      <c r="E346" s="0" t="inlineStr">
        <is>
          <t>2016.09.</t>
        </is>
      </c>
      <c r="F346" s="0" t="n">
        <v>1145</v>
      </c>
      <c r="G346" s="0" t="n">
        <v>34.89</v>
      </c>
      <c r="H346" s="0" t="n">
        <v>115.34</v>
      </c>
      <c r="I346" s="0" t="n">
        <v>25.67</v>
      </c>
      <c r="J346" s="0" t="n">
        <v>84.89</v>
      </c>
      <c r="K346" s="0" t="n">
        <v>206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115C</t>
        </is>
      </c>
      <c r="X346" s="0" t="n">
        <v>28</v>
      </c>
      <c r="Y346" s="0" t="n">
        <v>14</v>
      </c>
      <c r="Z346" s="0" t="inlineStr">
        <is>
          <t>https://new.land.naver.com/complexes/108423?tab=detail&amp;rf=Y</t>
        </is>
      </c>
      <c r="AA346" s="0" t="inlineStr">
        <is>
          <t>경기도 하남시 선동 436</t>
        </is>
      </c>
      <c r="AB346" s="0" t="inlineStr">
        <is>
          <t>경기도</t>
        </is>
      </c>
      <c r="AC346" s="0" t="inlineStr">
        <is>
          <t>하남시</t>
        </is>
      </c>
      <c r="AD346" s="0" t="inlineStr">
        <is>
          <t>선동</t>
        </is>
      </c>
      <c r="AG346" s="0" t="inlineStr">
        <is>
          <t>경기도 하남시 미사강변대로 270</t>
        </is>
      </c>
      <c r="AH346" s="0" t="n">
        <v>0</v>
      </c>
      <c r="AI346" s="0" t="n">
        <v>212</v>
      </c>
      <c r="AJ346" s="0" t="n">
        <v>15</v>
      </c>
      <c r="AK346" s="0" t="n">
        <v>1345</v>
      </c>
      <c r="AL346" s="0" t="n">
        <v>1.17</v>
      </c>
    </row>
    <row r="347">
      <c r="A347" s="0" t="inlineStr">
        <is>
          <t>[선동]</t>
        </is>
      </c>
      <c r="B347" s="0" t="n">
        <v>108423</v>
      </c>
      <c r="C347" s="0" t="n">
        <v>9</v>
      </c>
      <c r="D347" s="0" t="inlineStr">
        <is>
          <t>미사강변센트리버</t>
        </is>
      </c>
      <c r="E347" s="0" t="inlineStr">
        <is>
          <t>2016.09.</t>
        </is>
      </c>
      <c r="F347" s="0" t="n">
        <v>1145</v>
      </c>
      <c r="G347" s="0" t="n">
        <v>34.9</v>
      </c>
      <c r="H347" s="0" t="n">
        <v>115.4</v>
      </c>
      <c r="I347" s="0" t="n">
        <v>25.69</v>
      </c>
      <c r="J347" s="0" t="n">
        <v>84.94</v>
      </c>
      <c r="K347" s="0" t="n">
        <v>156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115B</t>
        </is>
      </c>
      <c r="X347" s="0" t="n">
        <v>28</v>
      </c>
      <c r="Y347" s="0" t="n">
        <v>14</v>
      </c>
      <c r="Z347" s="0" t="inlineStr">
        <is>
          <t>https://new.land.naver.com/complexes/108423?tab=detail&amp;rf=Y</t>
        </is>
      </c>
      <c r="AA347" s="0" t="inlineStr">
        <is>
          <t>경기도 하남시 선동 436</t>
        </is>
      </c>
      <c r="AB347" s="0" t="inlineStr">
        <is>
          <t>경기도</t>
        </is>
      </c>
      <c r="AC347" s="0" t="inlineStr">
        <is>
          <t>하남시</t>
        </is>
      </c>
      <c r="AD347" s="0" t="inlineStr">
        <is>
          <t>선동</t>
        </is>
      </c>
      <c r="AG347" s="0" t="inlineStr">
        <is>
          <t>경기도 하남시 미사강변대로 270</t>
        </is>
      </c>
      <c r="AH347" s="0" t="n">
        <v>0</v>
      </c>
      <c r="AI347" s="0" t="n">
        <v>212</v>
      </c>
      <c r="AJ347" s="0" t="n">
        <v>15</v>
      </c>
      <c r="AK347" s="0" t="n">
        <v>1345</v>
      </c>
      <c r="AL347" s="0" t="n">
        <v>1.17</v>
      </c>
    </row>
    <row r="348">
      <c r="A348" s="0" t="inlineStr">
        <is>
          <t>[선동]</t>
        </is>
      </c>
      <c r="B348" s="0" t="n">
        <v>108423</v>
      </c>
      <c r="C348" s="0" t="n">
        <v>10</v>
      </c>
      <c r="D348" s="0" t="inlineStr">
        <is>
          <t>미사강변센트리버</t>
        </is>
      </c>
      <c r="E348" s="0" t="inlineStr">
        <is>
          <t>2016.09.</t>
        </is>
      </c>
      <c r="F348" s="0" t="n">
        <v>1145</v>
      </c>
      <c r="G348" s="0" t="n">
        <v>34.83</v>
      </c>
      <c r="H348" s="0" t="n">
        <v>115.17</v>
      </c>
      <c r="I348" s="0" t="n">
        <v>25.64</v>
      </c>
      <c r="J348" s="0" t="n">
        <v>84.77</v>
      </c>
      <c r="K348" s="0" t="n">
        <v>87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115A</t>
        </is>
      </c>
      <c r="X348" s="0" t="n">
        <v>28</v>
      </c>
      <c r="Y348" s="0" t="n">
        <v>14</v>
      </c>
      <c r="Z348" s="0" t="inlineStr">
        <is>
          <t>https://new.land.naver.com/complexes/108423?tab=detail&amp;rf=Y</t>
        </is>
      </c>
      <c r="AA348" s="0" t="inlineStr">
        <is>
          <t>경기도 하남시 선동 436</t>
        </is>
      </c>
      <c r="AB348" s="0" t="inlineStr">
        <is>
          <t>경기도</t>
        </is>
      </c>
      <c r="AC348" s="0" t="inlineStr">
        <is>
          <t>하남시</t>
        </is>
      </c>
      <c r="AD348" s="0" t="inlineStr">
        <is>
          <t>선동</t>
        </is>
      </c>
      <c r="AG348" s="0" t="inlineStr">
        <is>
          <t>경기도 하남시 미사강변대로 270</t>
        </is>
      </c>
      <c r="AH348" s="0" t="n">
        <v>0</v>
      </c>
      <c r="AI348" s="0" t="n">
        <v>212</v>
      </c>
      <c r="AJ348" s="0" t="n">
        <v>15</v>
      </c>
      <c r="AK348" s="0" t="n">
        <v>1345</v>
      </c>
      <c r="AL348" s="0" t="n">
        <v>1.17</v>
      </c>
    </row>
    <row r="349">
      <c r="A349" s="0" t="inlineStr">
        <is>
          <t>[선동]</t>
        </is>
      </c>
      <c r="B349" s="0" t="n">
        <v>108423</v>
      </c>
      <c r="C349" s="0" t="n">
        <v>11</v>
      </c>
      <c r="D349" s="0" t="inlineStr">
        <is>
          <t>미사강변센트리버</t>
        </is>
      </c>
      <c r="E349" s="0" t="inlineStr">
        <is>
          <t>2016.09.</t>
        </is>
      </c>
      <c r="F349" s="0" t="n">
        <v>1145</v>
      </c>
      <c r="G349" s="0" t="n">
        <v>34.9</v>
      </c>
      <c r="H349" s="0" t="n">
        <v>115.39</v>
      </c>
      <c r="I349" s="0" t="n">
        <v>25.69</v>
      </c>
      <c r="J349" s="0" t="n">
        <v>84.93000000000001</v>
      </c>
      <c r="K349" s="0" t="n">
        <v>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115D</t>
        </is>
      </c>
      <c r="X349" s="0" t="n">
        <v>28</v>
      </c>
      <c r="Y349" s="0" t="n">
        <v>14</v>
      </c>
      <c r="Z349" s="0" t="inlineStr">
        <is>
          <t>https://new.land.naver.com/complexes/108423?tab=detail&amp;rf=Y</t>
        </is>
      </c>
      <c r="AA349" s="0" t="inlineStr">
        <is>
          <t>경기도 하남시 선동 436</t>
        </is>
      </c>
      <c r="AB349" s="0" t="inlineStr">
        <is>
          <t>경기도</t>
        </is>
      </c>
      <c r="AC349" s="0" t="inlineStr">
        <is>
          <t>하남시</t>
        </is>
      </c>
      <c r="AD349" s="0" t="inlineStr">
        <is>
          <t>선동</t>
        </is>
      </c>
      <c r="AG349" s="0" t="inlineStr">
        <is>
          <t>경기도 하남시 미사강변대로 270</t>
        </is>
      </c>
      <c r="AH349" s="0" t="n">
        <v>0</v>
      </c>
      <c r="AI349" s="0" t="n">
        <v>212</v>
      </c>
      <c r="AJ349" s="0" t="n">
        <v>15</v>
      </c>
      <c r="AK349" s="0" t="n">
        <v>1345</v>
      </c>
      <c r="AL349" s="0" t="n">
        <v>1.17</v>
      </c>
    </row>
    <row r="350">
      <c r="A350" s="0" t="inlineStr">
        <is>
          <t>[선동]</t>
        </is>
      </c>
      <c r="B350" s="0" t="n">
        <v>108479</v>
      </c>
      <c r="C350" s="0" t="n">
        <v>1</v>
      </c>
      <c r="D350" s="0" t="inlineStr">
        <is>
          <t>미사강변푸르지오2차</t>
        </is>
      </c>
      <c r="E350" s="0" t="inlineStr">
        <is>
          <t>2016.09.</t>
        </is>
      </c>
      <c r="F350" s="0" t="n">
        <v>1066</v>
      </c>
      <c r="G350" s="0" t="n">
        <v>36.78</v>
      </c>
      <c r="H350" s="0" t="n">
        <v>121.61</v>
      </c>
      <c r="I350" s="0" t="n">
        <v>28.41</v>
      </c>
      <c r="J350" s="0" t="n">
        <v>93.94</v>
      </c>
      <c r="K350" s="0" t="n">
        <v>257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29</v>
      </c>
      <c r="Y350" s="0" t="n">
        <v>25</v>
      </c>
      <c r="Z350" s="0" t="inlineStr">
        <is>
          <t>https://new.land.naver.com/complexes/108479?tab=detail&amp;rf=Y</t>
        </is>
      </c>
      <c r="AA350" s="0" t="inlineStr">
        <is>
          <t>경기도 하남시 선동 433</t>
        </is>
      </c>
      <c r="AB350" s="0" t="inlineStr">
        <is>
          <t>경기도</t>
        </is>
      </c>
      <c r="AC350" s="0" t="inlineStr">
        <is>
          <t>하남시</t>
        </is>
      </c>
      <c r="AD350" s="0" t="inlineStr">
        <is>
          <t>선동</t>
        </is>
      </c>
      <c r="AG350" s="0" t="inlineStr">
        <is>
          <t>경기도 하남시 미사강변한강로 60</t>
        </is>
      </c>
      <c r="AH350" s="0" t="n">
        <v>0</v>
      </c>
      <c r="AI350" s="0" t="n">
        <v>209</v>
      </c>
      <c r="AJ350" s="0" t="n">
        <v>14</v>
      </c>
      <c r="AK350" s="0" t="n">
        <v>1806</v>
      </c>
      <c r="AL350" s="0" t="n">
        <v>1.69</v>
      </c>
    </row>
    <row r="351">
      <c r="A351" s="0" t="inlineStr">
        <is>
          <t>[선동]</t>
        </is>
      </c>
      <c r="B351" s="0" t="n">
        <v>108479</v>
      </c>
      <c r="C351" s="0" t="n">
        <v>2</v>
      </c>
      <c r="D351" s="0" t="inlineStr">
        <is>
          <t>미사강변푸르지오2차</t>
        </is>
      </c>
      <c r="E351" s="0" t="inlineStr">
        <is>
          <t>2016.09.</t>
        </is>
      </c>
      <c r="F351" s="0" t="n">
        <v>1066</v>
      </c>
      <c r="G351" s="0" t="n">
        <v>39.78</v>
      </c>
      <c r="H351" s="0" t="n">
        <v>131.53</v>
      </c>
      <c r="I351" s="0" t="n">
        <v>30.79</v>
      </c>
      <c r="J351" s="0" t="n">
        <v>101.81</v>
      </c>
      <c r="K351" s="0" t="n">
        <v>365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131A</t>
        </is>
      </c>
      <c r="X351" s="0" t="n">
        <v>29</v>
      </c>
      <c r="Y351" s="0" t="n">
        <v>25</v>
      </c>
      <c r="Z351" s="0" t="inlineStr">
        <is>
          <t>https://new.land.naver.com/complexes/108479?tab=detail&amp;rf=Y</t>
        </is>
      </c>
      <c r="AA351" s="0" t="inlineStr">
        <is>
          <t>경기도 하남시 선동 433</t>
        </is>
      </c>
      <c r="AB351" s="0" t="inlineStr">
        <is>
          <t>경기도</t>
        </is>
      </c>
      <c r="AC351" s="0" t="inlineStr">
        <is>
          <t>하남시</t>
        </is>
      </c>
      <c r="AD351" s="0" t="inlineStr">
        <is>
          <t>선동</t>
        </is>
      </c>
      <c r="AG351" s="0" t="inlineStr">
        <is>
          <t>경기도 하남시 미사강변한강로 60</t>
        </is>
      </c>
      <c r="AH351" s="0" t="n">
        <v>0</v>
      </c>
      <c r="AI351" s="0" t="n">
        <v>209</v>
      </c>
      <c r="AJ351" s="0" t="n">
        <v>14</v>
      </c>
      <c r="AK351" s="0" t="n">
        <v>1806</v>
      </c>
      <c r="AL351" s="0" t="n">
        <v>1.69</v>
      </c>
    </row>
    <row r="352">
      <c r="A352" s="0" t="inlineStr">
        <is>
          <t>[선동]</t>
        </is>
      </c>
      <c r="B352" s="0" t="n">
        <v>108479</v>
      </c>
      <c r="C352" s="0" t="n">
        <v>3</v>
      </c>
      <c r="D352" s="0" t="inlineStr">
        <is>
          <t>미사강변푸르지오2차</t>
        </is>
      </c>
      <c r="E352" s="0" t="inlineStr">
        <is>
          <t>2016.09.</t>
        </is>
      </c>
      <c r="F352" s="0" t="n">
        <v>1066</v>
      </c>
      <c r="G352" s="0" t="n">
        <v>39.86</v>
      </c>
      <c r="H352" s="0" t="n">
        <v>131.79</v>
      </c>
      <c r="I352" s="0" t="n">
        <v>30.81</v>
      </c>
      <c r="J352" s="0" t="n">
        <v>101.88</v>
      </c>
      <c r="K352" s="0" t="n">
        <v>135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131C</t>
        </is>
      </c>
      <c r="X352" s="0" t="n">
        <v>29</v>
      </c>
      <c r="Y352" s="0" t="n">
        <v>25</v>
      </c>
      <c r="Z352" s="0" t="inlineStr">
        <is>
          <t>https://new.land.naver.com/complexes/108479?tab=detail&amp;rf=Y</t>
        </is>
      </c>
      <c r="AA352" s="0" t="inlineStr">
        <is>
          <t>경기도 하남시 선동 433</t>
        </is>
      </c>
      <c r="AB352" s="0" t="inlineStr">
        <is>
          <t>경기도</t>
        </is>
      </c>
      <c r="AC352" s="0" t="inlineStr">
        <is>
          <t>하남시</t>
        </is>
      </c>
      <c r="AD352" s="0" t="inlineStr">
        <is>
          <t>선동</t>
        </is>
      </c>
      <c r="AG352" s="0" t="inlineStr">
        <is>
          <t>경기도 하남시 미사강변한강로 60</t>
        </is>
      </c>
      <c r="AH352" s="0" t="n">
        <v>0</v>
      </c>
      <c r="AI352" s="0" t="n">
        <v>209</v>
      </c>
      <c r="AJ352" s="0" t="n">
        <v>14</v>
      </c>
      <c r="AK352" s="0" t="n">
        <v>1806</v>
      </c>
      <c r="AL352" s="0" t="n">
        <v>1.69</v>
      </c>
    </row>
    <row r="353">
      <c r="A353" s="0" t="inlineStr">
        <is>
          <t>[선동]</t>
        </is>
      </c>
      <c r="B353" s="0" t="n">
        <v>108479</v>
      </c>
      <c r="C353" s="0" t="n">
        <v>4</v>
      </c>
      <c r="D353" s="0" t="inlineStr">
        <is>
          <t>미사강변푸르지오2차</t>
        </is>
      </c>
      <c r="E353" s="0" t="inlineStr">
        <is>
          <t>2016.09.</t>
        </is>
      </c>
      <c r="F353" s="0" t="n">
        <v>1066</v>
      </c>
      <c r="G353" s="0" t="n">
        <v>39.74</v>
      </c>
      <c r="H353" s="0" t="n">
        <v>131.38</v>
      </c>
      <c r="I353" s="0" t="n">
        <v>30.81</v>
      </c>
      <c r="J353" s="0" t="n">
        <v>101.87</v>
      </c>
      <c r="K353" s="0" t="n">
        <v>38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131E</t>
        </is>
      </c>
      <c r="X353" s="0" t="n">
        <v>29</v>
      </c>
      <c r="Y353" s="0" t="n">
        <v>25</v>
      </c>
      <c r="Z353" s="0" t="inlineStr">
        <is>
          <t>https://new.land.naver.com/complexes/108479?tab=detail&amp;rf=Y</t>
        </is>
      </c>
      <c r="AA353" s="0" t="inlineStr">
        <is>
          <t>경기도 하남시 선동 433</t>
        </is>
      </c>
      <c r="AB353" s="0" t="inlineStr">
        <is>
          <t>경기도</t>
        </is>
      </c>
      <c r="AC353" s="0" t="inlineStr">
        <is>
          <t>하남시</t>
        </is>
      </c>
      <c r="AD353" s="0" t="inlineStr">
        <is>
          <t>선동</t>
        </is>
      </c>
      <c r="AG353" s="0" t="inlineStr">
        <is>
          <t>경기도 하남시 미사강변한강로 60</t>
        </is>
      </c>
      <c r="AH353" s="0" t="n">
        <v>0</v>
      </c>
      <c r="AI353" s="0" t="n">
        <v>209</v>
      </c>
      <c r="AJ353" s="0" t="n">
        <v>14</v>
      </c>
      <c r="AK353" s="0" t="n">
        <v>1806</v>
      </c>
      <c r="AL353" s="0" t="n">
        <v>1.69</v>
      </c>
    </row>
    <row r="354">
      <c r="A354" s="0" t="inlineStr">
        <is>
          <t>[선동]</t>
        </is>
      </c>
      <c r="B354" s="0" t="n">
        <v>108479</v>
      </c>
      <c r="C354" s="0" t="n">
        <v>5</v>
      </c>
      <c r="D354" s="0" t="inlineStr">
        <is>
          <t>미사강변푸르지오2차</t>
        </is>
      </c>
      <c r="E354" s="0" t="inlineStr">
        <is>
          <t>2016.09.</t>
        </is>
      </c>
      <c r="F354" s="0" t="n">
        <v>1066</v>
      </c>
      <c r="G354" s="0" t="n">
        <v>39.74</v>
      </c>
      <c r="H354" s="0" t="n">
        <v>131.38</v>
      </c>
      <c r="I354" s="0" t="n">
        <v>30.81</v>
      </c>
      <c r="J354" s="0" t="n">
        <v>101.87</v>
      </c>
      <c r="K354" s="0" t="n">
        <v>18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131D</t>
        </is>
      </c>
      <c r="X354" s="0" t="n">
        <v>29</v>
      </c>
      <c r="Y354" s="0" t="n">
        <v>25</v>
      </c>
      <c r="Z354" s="0" t="inlineStr">
        <is>
          <t>https://new.land.naver.com/complexes/108479?tab=detail&amp;rf=Y</t>
        </is>
      </c>
      <c r="AA354" s="0" t="inlineStr">
        <is>
          <t>경기도 하남시 선동 433</t>
        </is>
      </c>
      <c r="AB354" s="0" t="inlineStr">
        <is>
          <t>경기도</t>
        </is>
      </c>
      <c r="AC354" s="0" t="inlineStr">
        <is>
          <t>하남시</t>
        </is>
      </c>
      <c r="AD354" s="0" t="inlineStr">
        <is>
          <t>선동</t>
        </is>
      </c>
      <c r="AG354" s="0" t="inlineStr">
        <is>
          <t>경기도 하남시 미사강변한강로 60</t>
        </is>
      </c>
      <c r="AH354" s="0" t="n">
        <v>0</v>
      </c>
      <c r="AI354" s="0" t="n">
        <v>209</v>
      </c>
      <c r="AJ354" s="0" t="n">
        <v>14</v>
      </c>
      <c r="AK354" s="0" t="n">
        <v>1806</v>
      </c>
      <c r="AL354" s="0" t="n">
        <v>1.69</v>
      </c>
    </row>
    <row r="355">
      <c r="A355" s="0" t="inlineStr">
        <is>
          <t>[선동]</t>
        </is>
      </c>
      <c r="B355" s="0" t="n">
        <v>108479</v>
      </c>
      <c r="C355" s="0" t="n">
        <v>6</v>
      </c>
      <c r="D355" s="0" t="inlineStr">
        <is>
          <t>미사강변푸르지오2차</t>
        </is>
      </c>
      <c r="E355" s="0" t="inlineStr">
        <is>
          <t>2016.09.</t>
        </is>
      </c>
      <c r="F355" s="0" t="n">
        <v>1066</v>
      </c>
      <c r="G355" s="0" t="n">
        <v>39.94</v>
      </c>
      <c r="H355" s="0" t="n">
        <v>132.06</v>
      </c>
      <c r="I355" s="0" t="n">
        <v>30.82</v>
      </c>
      <c r="J355" s="0" t="n">
        <v>101.89</v>
      </c>
      <c r="K355" s="0" t="n">
        <v>249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132B</t>
        </is>
      </c>
      <c r="X355" s="0" t="n">
        <v>29</v>
      </c>
      <c r="Y355" s="0" t="n">
        <v>25</v>
      </c>
      <c r="Z355" s="0" t="inlineStr">
        <is>
          <t>https://new.land.naver.com/complexes/108479?tab=detail&amp;rf=Y</t>
        </is>
      </c>
      <c r="AA355" s="0" t="inlineStr">
        <is>
          <t>경기도 하남시 선동 433</t>
        </is>
      </c>
      <c r="AB355" s="0" t="inlineStr">
        <is>
          <t>경기도</t>
        </is>
      </c>
      <c r="AC355" s="0" t="inlineStr">
        <is>
          <t>하남시</t>
        </is>
      </c>
      <c r="AD355" s="0" t="inlineStr">
        <is>
          <t>선동</t>
        </is>
      </c>
      <c r="AG355" s="0" t="inlineStr">
        <is>
          <t>경기도 하남시 미사강변한강로 60</t>
        </is>
      </c>
      <c r="AH355" s="0" t="n">
        <v>0</v>
      </c>
      <c r="AI355" s="0" t="n">
        <v>209</v>
      </c>
      <c r="AJ355" s="0" t="n">
        <v>14</v>
      </c>
      <c r="AK355" s="0" t="n">
        <v>1806</v>
      </c>
      <c r="AL355" s="0" t="n">
        <v>1.69</v>
      </c>
    </row>
    <row r="356">
      <c r="A356" s="0" t="inlineStr">
        <is>
          <t>[선동]</t>
        </is>
      </c>
      <c r="B356" s="0" t="n">
        <v>108479</v>
      </c>
      <c r="C356" s="0" t="n">
        <v>7</v>
      </c>
      <c r="D356" s="0" t="inlineStr">
        <is>
          <t>미사강변푸르지오2차</t>
        </is>
      </c>
      <c r="E356" s="0" t="inlineStr">
        <is>
          <t>2016.09.</t>
        </is>
      </c>
      <c r="F356" s="0" t="n">
        <v>1066</v>
      </c>
      <c r="G356" s="0" t="n">
        <v>45.66</v>
      </c>
      <c r="H356" s="0" t="n">
        <v>150.96</v>
      </c>
      <c r="I356" s="0" t="n">
        <v>34.58</v>
      </c>
      <c r="J356" s="0" t="n">
        <v>114.34</v>
      </c>
      <c r="K356" s="0" t="n">
        <v>2</v>
      </c>
      <c r="T356" s="0" t="n">
        <v>4</v>
      </c>
      <c r="U356" s="0" t="n">
        <v>2</v>
      </c>
      <c r="V356" s="0" t="inlineStr">
        <is>
          <t>계단식</t>
        </is>
      </c>
      <c r="W356" s="0" t="inlineStr">
        <is>
          <t>150A</t>
        </is>
      </c>
      <c r="X356" s="0" t="n">
        <v>29</v>
      </c>
      <c r="Y356" s="0" t="n">
        <v>25</v>
      </c>
      <c r="Z356" s="0" t="inlineStr">
        <is>
          <t>https://new.land.naver.com/complexes/108479?tab=detail&amp;rf=Y</t>
        </is>
      </c>
      <c r="AA356" s="0" t="inlineStr">
        <is>
          <t>경기도 하남시 선동 433</t>
        </is>
      </c>
      <c r="AB356" s="0" t="inlineStr">
        <is>
          <t>경기도</t>
        </is>
      </c>
      <c r="AC356" s="0" t="inlineStr">
        <is>
          <t>하남시</t>
        </is>
      </c>
      <c r="AD356" s="0" t="inlineStr">
        <is>
          <t>선동</t>
        </is>
      </c>
      <c r="AG356" s="0" t="inlineStr">
        <is>
          <t>경기도 하남시 미사강변한강로 60</t>
        </is>
      </c>
      <c r="AH356" s="0" t="n">
        <v>0</v>
      </c>
      <c r="AI356" s="0" t="n">
        <v>209</v>
      </c>
      <c r="AJ356" s="0" t="n">
        <v>14</v>
      </c>
      <c r="AK356" s="0" t="n">
        <v>1806</v>
      </c>
      <c r="AL356" s="0" t="n">
        <v>1.69</v>
      </c>
    </row>
    <row r="357">
      <c r="A357" s="0" t="inlineStr">
        <is>
          <t>[선동]</t>
        </is>
      </c>
      <c r="B357" s="0" t="n">
        <v>108479</v>
      </c>
      <c r="C357" s="0" t="n">
        <v>8</v>
      </c>
      <c r="D357" s="0" t="inlineStr">
        <is>
          <t>미사강변푸르지오2차</t>
        </is>
      </c>
      <c r="E357" s="0" t="inlineStr">
        <is>
          <t>2016.09.</t>
        </is>
      </c>
      <c r="F357" s="0" t="n">
        <v>1066</v>
      </c>
      <c r="G357" s="0" t="n">
        <v>46.01</v>
      </c>
      <c r="H357" s="0" t="n">
        <v>152.12</v>
      </c>
      <c r="I357" s="0" t="n">
        <v>34.53</v>
      </c>
      <c r="J357" s="0" t="n">
        <v>114.15</v>
      </c>
      <c r="K357" s="0" t="n">
        <v>2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152B</t>
        </is>
      </c>
      <c r="X357" s="0" t="n">
        <v>29</v>
      </c>
      <c r="Y357" s="0" t="n">
        <v>25</v>
      </c>
      <c r="Z357" s="0" t="inlineStr">
        <is>
          <t>https://new.land.naver.com/complexes/108479?tab=detail&amp;rf=Y</t>
        </is>
      </c>
      <c r="AA357" s="0" t="inlineStr">
        <is>
          <t>경기도 하남시 선동 433</t>
        </is>
      </c>
      <c r="AB357" s="0" t="inlineStr">
        <is>
          <t>경기도</t>
        </is>
      </c>
      <c r="AC357" s="0" t="inlineStr">
        <is>
          <t>하남시</t>
        </is>
      </c>
      <c r="AD357" s="0" t="inlineStr">
        <is>
          <t>선동</t>
        </is>
      </c>
      <c r="AG357" s="0" t="inlineStr">
        <is>
          <t>경기도 하남시 미사강변한강로 60</t>
        </is>
      </c>
      <c r="AH357" s="0" t="n">
        <v>0</v>
      </c>
      <c r="AI357" s="0" t="n">
        <v>209</v>
      </c>
      <c r="AJ357" s="0" t="n">
        <v>14</v>
      </c>
      <c r="AK357" s="0" t="n">
        <v>1806</v>
      </c>
      <c r="AL357" s="0" t="n">
        <v>1.69</v>
      </c>
    </row>
    <row r="358">
      <c r="A358" s="0" t="inlineStr">
        <is>
          <t>[선동]</t>
        </is>
      </c>
      <c r="B358" s="0" t="n">
        <v>111865</v>
      </c>
      <c r="C358" s="0" t="n">
        <v>1</v>
      </c>
      <c r="D358" s="0" t="inlineStr">
        <is>
          <t>리버스위트칸타빌</t>
        </is>
      </c>
      <c r="E358" s="0" t="inlineStr">
        <is>
          <t>2018.05.</t>
        </is>
      </c>
      <c r="F358" s="0" t="n">
        <v>550</v>
      </c>
      <c r="G358" s="0" t="n">
        <v>35.79</v>
      </c>
      <c r="H358" s="0" t="n">
        <v>118.33</v>
      </c>
      <c r="I358" s="0" t="n">
        <v>27.99</v>
      </c>
      <c r="J358" s="0" t="n">
        <v>92.54000000000001</v>
      </c>
      <c r="K358" s="0" t="n">
        <v>135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118</v>
      </c>
      <c r="X358" s="0" t="n">
        <v>29</v>
      </c>
      <c r="Y358" s="0" t="n">
        <v>27</v>
      </c>
      <c r="Z358" s="0" t="inlineStr">
        <is>
          <t>https://new.land.naver.com/complexes/111865?tab=detail&amp;rf=Y</t>
        </is>
      </c>
      <c r="AA358" s="0" t="inlineStr">
        <is>
          <t>경기도 하남시 선동 441</t>
        </is>
      </c>
      <c r="AB358" s="0" t="inlineStr">
        <is>
          <t>경기도</t>
        </is>
      </c>
      <c r="AC358" s="0" t="inlineStr">
        <is>
          <t>하남시</t>
        </is>
      </c>
      <c r="AD358" s="0" t="inlineStr">
        <is>
          <t>선동</t>
        </is>
      </c>
      <c r="AG358" s="0" t="inlineStr">
        <is>
          <t>경기도 하남시 미사강변한강로 30</t>
        </is>
      </c>
      <c r="AH358" s="0" t="n">
        <v>0</v>
      </c>
      <c r="AI358" s="0" t="n">
        <v>209</v>
      </c>
      <c r="AJ358" s="0" t="n">
        <v>12</v>
      </c>
      <c r="AK358" s="0" t="n">
        <v>980</v>
      </c>
      <c r="AL358" s="0" t="n">
        <v>1.78</v>
      </c>
    </row>
    <row r="359">
      <c r="A359" s="0" t="inlineStr">
        <is>
          <t>[선동]</t>
        </is>
      </c>
      <c r="B359" s="0" t="n">
        <v>111865</v>
      </c>
      <c r="C359" s="0" t="n">
        <v>2</v>
      </c>
      <c r="D359" s="0" t="inlineStr">
        <is>
          <t>리버스위트칸타빌</t>
        </is>
      </c>
      <c r="E359" s="0" t="inlineStr">
        <is>
          <t>2018.05.</t>
        </is>
      </c>
      <c r="F359" s="0" t="n">
        <v>550</v>
      </c>
      <c r="G359" s="0" t="n">
        <v>35.79</v>
      </c>
      <c r="H359" s="0" t="n">
        <v>118.33</v>
      </c>
      <c r="I359" s="0" t="n">
        <v>27.99</v>
      </c>
      <c r="J359" s="0" t="n">
        <v>92.54000000000001</v>
      </c>
      <c r="K359" s="0" t="n">
        <v>4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118T</t>
        </is>
      </c>
      <c r="X359" s="0" t="n">
        <v>29</v>
      </c>
      <c r="Y359" s="0" t="n">
        <v>27</v>
      </c>
      <c r="Z359" s="0" t="inlineStr">
        <is>
          <t>https://new.land.naver.com/complexes/111865?tab=detail&amp;rf=Y</t>
        </is>
      </c>
      <c r="AA359" s="0" t="inlineStr">
        <is>
          <t>경기도 하남시 선동 441</t>
        </is>
      </c>
      <c r="AB359" s="0" t="inlineStr">
        <is>
          <t>경기도</t>
        </is>
      </c>
      <c r="AC359" s="0" t="inlineStr">
        <is>
          <t>하남시</t>
        </is>
      </c>
      <c r="AD359" s="0" t="inlineStr">
        <is>
          <t>선동</t>
        </is>
      </c>
      <c r="AG359" s="0" t="inlineStr">
        <is>
          <t>경기도 하남시 미사강변한강로 30</t>
        </is>
      </c>
      <c r="AH359" s="0" t="n">
        <v>0</v>
      </c>
      <c r="AI359" s="0" t="n">
        <v>209</v>
      </c>
      <c r="AJ359" s="0" t="n">
        <v>12</v>
      </c>
      <c r="AK359" s="0" t="n">
        <v>980</v>
      </c>
      <c r="AL359" s="0" t="n">
        <v>1.78</v>
      </c>
    </row>
    <row r="360">
      <c r="A360" s="0" t="inlineStr">
        <is>
          <t>[선동]</t>
        </is>
      </c>
      <c r="B360" s="0" t="n">
        <v>111865</v>
      </c>
      <c r="C360" s="0" t="n">
        <v>3</v>
      </c>
      <c r="D360" s="0" t="inlineStr">
        <is>
          <t>리버스위트칸타빌</t>
        </is>
      </c>
      <c r="E360" s="0" t="inlineStr">
        <is>
          <t>2018.05.</t>
        </is>
      </c>
      <c r="F360" s="0" t="n">
        <v>550</v>
      </c>
      <c r="G360" s="0" t="n">
        <v>37.05</v>
      </c>
      <c r="H360" s="0" t="n">
        <v>122.5</v>
      </c>
      <c r="I360" s="0" t="n">
        <v>28.85</v>
      </c>
      <c r="J360" s="0" t="n">
        <v>95.39</v>
      </c>
      <c r="K360" s="0" t="n">
        <v>131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122</v>
      </c>
      <c r="X360" s="0" t="n">
        <v>29</v>
      </c>
      <c r="Y360" s="0" t="n">
        <v>27</v>
      </c>
      <c r="Z360" s="0" t="inlineStr">
        <is>
          <t>https://new.land.naver.com/complexes/111865?tab=detail&amp;rf=Y</t>
        </is>
      </c>
      <c r="AA360" s="0" t="inlineStr">
        <is>
          <t>경기도 하남시 선동 441</t>
        </is>
      </c>
      <c r="AB360" s="0" t="inlineStr">
        <is>
          <t>경기도</t>
        </is>
      </c>
      <c r="AC360" s="0" t="inlineStr">
        <is>
          <t>하남시</t>
        </is>
      </c>
      <c r="AD360" s="0" t="inlineStr">
        <is>
          <t>선동</t>
        </is>
      </c>
      <c r="AG360" s="0" t="inlineStr">
        <is>
          <t>경기도 하남시 미사강변한강로 30</t>
        </is>
      </c>
      <c r="AH360" s="0" t="n">
        <v>0</v>
      </c>
      <c r="AI360" s="0" t="n">
        <v>209</v>
      </c>
      <c r="AJ360" s="0" t="n">
        <v>12</v>
      </c>
      <c r="AK360" s="0" t="n">
        <v>980</v>
      </c>
      <c r="AL360" s="0" t="n">
        <v>1.78</v>
      </c>
    </row>
    <row r="361">
      <c r="A361" s="0" t="inlineStr">
        <is>
          <t>[선동]</t>
        </is>
      </c>
      <c r="B361" s="0" t="n">
        <v>111865</v>
      </c>
      <c r="C361" s="0" t="n">
        <v>4</v>
      </c>
      <c r="D361" s="0" t="inlineStr">
        <is>
          <t>리버스위트칸타빌</t>
        </is>
      </c>
      <c r="E361" s="0" t="inlineStr">
        <is>
          <t>2018.05.</t>
        </is>
      </c>
      <c r="F361" s="0" t="n">
        <v>550</v>
      </c>
      <c r="G361" s="0" t="n">
        <v>38.05</v>
      </c>
      <c r="H361" s="0" t="n">
        <v>125.79</v>
      </c>
      <c r="I361" s="0" t="n">
        <v>29.56</v>
      </c>
      <c r="J361" s="0" t="n">
        <v>97.72</v>
      </c>
      <c r="K361" s="0" t="n">
        <v>81</v>
      </c>
      <c r="T361" s="0" t="n">
        <v>4</v>
      </c>
      <c r="U361" s="0" t="n">
        <v>2</v>
      </c>
      <c r="V361" s="0" t="inlineStr">
        <is>
          <t>계단식</t>
        </is>
      </c>
      <c r="W361" s="0" t="n">
        <v>125</v>
      </c>
      <c r="X361" s="0" t="n">
        <v>29</v>
      </c>
      <c r="Y361" s="0" t="n">
        <v>27</v>
      </c>
      <c r="Z361" s="0" t="inlineStr">
        <is>
          <t>https://new.land.naver.com/complexes/111865?tab=detail&amp;rf=Y</t>
        </is>
      </c>
      <c r="AA361" s="0" t="inlineStr">
        <is>
          <t>경기도 하남시 선동 441</t>
        </is>
      </c>
      <c r="AB361" s="0" t="inlineStr">
        <is>
          <t>경기도</t>
        </is>
      </c>
      <c r="AC361" s="0" t="inlineStr">
        <is>
          <t>하남시</t>
        </is>
      </c>
      <c r="AD361" s="0" t="inlineStr">
        <is>
          <t>선동</t>
        </is>
      </c>
      <c r="AG361" s="0" t="inlineStr">
        <is>
          <t>경기도 하남시 미사강변한강로 30</t>
        </is>
      </c>
      <c r="AH361" s="0" t="n">
        <v>0</v>
      </c>
      <c r="AI361" s="0" t="n">
        <v>209</v>
      </c>
      <c r="AJ361" s="0" t="n">
        <v>12</v>
      </c>
      <c r="AK361" s="0" t="n">
        <v>980</v>
      </c>
      <c r="AL361" s="0" t="n">
        <v>1.78</v>
      </c>
    </row>
    <row r="362">
      <c r="A362" s="0" t="inlineStr">
        <is>
          <t>[선동]</t>
        </is>
      </c>
      <c r="B362" s="0" t="n">
        <v>111865</v>
      </c>
      <c r="C362" s="0" t="n">
        <v>5</v>
      </c>
      <c r="D362" s="0" t="inlineStr">
        <is>
          <t>리버스위트칸타빌</t>
        </is>
      </c>
      <c r="E362" s="0" t="inlineStr">
        <is>
          <t>2018.05.</t>
        </is>
      </c>
      <c r="F362" s="0" t="n">
        <v>550</v>
      </c>
      <c r="G362" s="0" t="n">
        <v>38.05</v>
      </c>
      <c r="H362" s="0" t="n">
        <v>125.79</v>
      </c>
      <c r="I362" s="0" t="n">
        <v>29.56</v>
      </c>
      <c r="J362" s="0" t="n">
        <v>97.72</v>
      </c>
      <c r="K362" s="0" t="n">
        <v>3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125T</t>
        </is>
      </c>
      <c r="X362" s="0" t="n">
        <v>29</v>
      </c>
      <c r="Y362" s="0" t="n">
        <v>27</v>
      </c>
      <c r="Z362" s="0" t="inlineStr">
        <is>
          <t>https://new.land.naver.com/complexes/111865?tab=detail&amp;rf=Y</t>
        </is>
      </c>
      <c r="AA362" s="0" t="inlineStr">
        <is>
          <t>경기도 하남시 선동 441</t>
        </is>
      </c>
      <c r="AB362" s="0" t="inlineStr">
        <is>
          <t>경기도</t>
        </is>
      </c>
      <c r="AC362" s="0" t="inlineStr">
        <is>
          <t>하남시</t>
        </is>
      </c>
      <c r="AD362" s="0" t="inlineStr">
        <is>
          <t>선동</t>
        </is>
      </c>
      <c r="AG362" s="0" t="inlineStr">
        <is>
          <t>경기도 하남시 미사강변한강로 30</t>
        </is>
      </c>
      <c r="AH362" s="0" t="n">
        <v>0</v>
      </c>
      <c r="AI362" s="0" t="n">
        <v>209</v>
      </c>
      <c r="AJ362" s="0" t="n">
        <v>12</v>
      </c>
      <c r="AK362" s="0" t="n">
        <v>980</v>
      </c>
      <c r="AL362" s="0" t="n">
        <v>1.78</v>
      </c>
    </row>
    <row r="363">
      <c r="A363" s="0" t="inlineStr">
        <is>
          <t>[선동]</t>
        </is>
      </c>
      <c r="B363" s="0" t="n">
        <v>111865</v>
      </c>
      <c r="C363" s="0" t="n">
        <v>6</v>
      </c>
      <c r="D363" s="0" t="inlineStr">
        <is>
          <t>리버스위트칸타빌</t>
        </is>
      </c>
      <c r="E363" s="0" t="inlineStr">
        <is>
          <t>2018.05.</t>
        </is>
      </c>
      <c r="F363" s="0" t="n">
        <v>550</v>
      </c>
      <c r="G363" s="0" t="n">
        <v>39.53</v>
      </c>
      <c r="H363" s="0" t="n">
        <v>130.7</v>
      </c>
      <c r="I363" s="0" t="n">
        <v>30.99</v>
      </c>
      <c r="J363" s="0" t="n">
        <v>102.46</v>
      </c>
      <c r="K363" s="0" t="n">
        <v>176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130</v>
      </c>
      <c r="X363" s="0" t="n">
        <v>29</v>
      </c>
      <c r="Y363" s="0" t="n">
        <v>27</v>
      </c>
      <c r="Z363" s="0" t="inlineStr">
        <is>
          <t>https://new.land.naver.com/complexes/111865?tab=detail&amp;rf=Y</t>
        </is>
      </c>
      <c r="AA363" s="0" t="inlineStr">
        <is>
          <t>경기도 하남시 선동 441</t>
        </is>
      </c>
      <c r="AB363" s="0" t="inlineStr">
        <is>
          <t>경기도</t>
        </is>
      </c>
      <c r="AC363" s="0" t="inlineStr">
        <is>
          <t>하남시</t>
        </is>
      </c>
      <c r="AD363" s="0" t="inlineStr">
        <is>
          <t>선동</t>
        </is>
      </c>
      <c r="AG363" s="0" t="inlineStr">
        <is>
          <t>경기도 하남시 미사강변한강로 30</t>
        </is>
      </c>
      <c r="AH363" s="0" t="n">
        <v>0</v>
      </c>
      <c r="AI363" s="0" t="n">
        <v>209</v>
      </c>
      <c r="AJ363" s="0" t="n">
        <v>12</v>
      </c>
      <c r="AK363" s="0" t="n">
        <v>980</v>
      </c>
      <c r="AL363" s="0" t="n">
        <v>1.78</v>
      </c>
    </row>
    <row r="364">
      <c r="A364" s="0" t="inlineStr">
        <is>
          <t>[선동]</t>
        </is>
      </c>
      <c r="B364" s="0" t="n">
        <v>111865</v>
      </c>
      <c r="C364" s="0" t="n">
        <v>7</v>
      </c>
      <c r="D364" s="0" t="inlineStr">
        <is>
          <t>리버스위트칸타빌</t>
        </is>
      </c>
      <c r="E364" s="0" t="inlineStr">
        <is>
          <t>2018.05.</t>
        </is>
      </c>
      <c r="F364" s="0" t="n">
        <v>550</v>
      </c>
      <c r="G364" s="0" t="n">
        <v>39.53</v>
      </c>
      <c r="H364" s="0" t="n">
        <v>130.7</v>
      </c>
      <c r="I364" s="0" t="n">
        <v>30.99</v>
      </c>
      <c r="J364" s="0" t="n">
        <v>102.46</v>
      </c>
      <c r="K364" s="0" t="n">
        <v>5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130T</t>
        </is>
      </c>
      <c r="X364" s="0" t="n">
        <v>29</v>
      </c>
      <c r="Y364" s="0" t="n">
        <v>27</v>
      </c>
      <c r="Z364" s="0" t="inlineStr">
        <is>
          <t>https://new.land.naver.com/complexes/111865?tab=detail&amp;rf=Y</t>
        </is>
      </c>
      <c r="AA364" s="0" t="inlineStr">
        <is>
          <t>경기도 하남시 선동 441</t>
        </is>
      </c>
      <c r="AB364" s="0" t="inlineStr">
        <is>
          <t>경기도</t>
        </is>
      </c>
      <c r="AC364" s="0" t="inlineStr">
        <is>
          <t>하남시</t>
        </is>
      </c>
      <c r="AD364" s="0" t="inlineStr">
        <is>
          <t>선동</t>
        </is>
      </c>
      <c r="AG364" s="0" t="inlineStr">
        <is>
          <t>경기도 하남시 미사강변한강로 30</t>
        </is>
      </c>
      <c r="AH364" s="0" t="n">
        <v>0</v>
      </c>
      <c r="AI364" s="0" t="n">
        <v>209</v>
      </c>
      <c r="AJ364" s="0" t="n">
        <v>12</v>
      </c>
      <c r="AK364" s="0" t="n">
        <v>980</v>
      </c>
      <c r="AL364" s="0" t="n">
        <v>1.78</v>
      </c>
    </row>
    <row r="365">
      <c r="A365" s="0" t="inlineStr">
        <is>
          <t>[선동]</t>
        </is>
      </c>
      <c r="B365" s="0" t="n">
        <v>111865</v>
      </c>
      <c r="C365" s="0" t="n">
        <v>8</v>
      </c>
      <c r="D365" s="0" t="inlineStr">
        <is>
          <t>리버스위트칸타빌</t>
        </is>
      </c>
      <c r="E365" s="0" t="inlineStr">
        <is>
          <t>2018.05.</t>
        </is>
      </c>
      <c r="F365" s="0" t="n">
        <v>550</v>
      </c>
      <c r="G365" s="0" t="n">
        <v>49.66</v>
      </c>
      <c r="H365" s="0" t="n">
        <v>164.17</v>
      </c>
      <c r="I365" s="0" t="n">
        <v>38.31</v>
      </c>
      <c r="J365" s="0" t="n">
        <v>126.65</v>
      </c>
      <c r="K365" s="0" t="n">
        <v>5</v>
      </c>
      <c r="T365" s="0" t="n">
        <v>4</v>
      </c>
      <c r="U365" s="0" t="n">
        <v>3</v>
      </c>
      <c r="V365" s="0" t="inlineStr">
        <is>
          <t>계단식</t>
        </is>
      </c>
      <c r="W365" s="0" t="n">
        <v>164</v>
      </c>
      <c r="X365" s="0" t="n">
        <v>29</v>
      </c>
      <c r="Y365" s="0" t="n">
        <v>27</v>
      </c>
      <c r="Z365" s="0" t="inlineStr">
        <is>
          <t>https://new.land.naver.com/complexes/111865?tab=detail&amp;rf=Y</t>
        </is>
      </c>
      <c r="AA365" s="0" t="inlineStr">
        <is>
          <t>경기도 하남시 선동 441</t>
        </is>
      </c>
      <c r="AB365" s="0" t="inlineStr">
        <is>
          <t>경기도</t>
        </is>
      </c>
      <c r="AC365" s="0" t="inlineStr">
        <is>
          <t>하남시</t>
        </is>
      </c>
      <c r="AD365" s="0" t="inlineStr">
        <is>
          <t>선동</t>
        </is>
      </c>
      <c r="AG365" s="0" t="inlineStr">
        <is>
          <t>경기도 하남시 미사강변한강로 30</t>
        </is>
      </c>
      <c r="AH365" s="0" t="n">
        <v>0</v>
      </c>
      <c r="AI365" s="0" t="n">
        <v>209</v>
      </c>
      <c r="AJ365" s="0" t="n">
        <v>12</v>
      </c>
      <c r="AK365" s="0" t="n">
        <v>980</v>
      </c>
      <c r="AL365" s="0" t="n">
        <v>1.78</v>
      </c>
    </row>
    <row r="366">
      <c r="A366" s="0" t="inlineStr">
        <is>
          <t>[선동]</t>
        </is>
      </c>
      <c r="B366" s="0" t="n">
        <v>111865</v>
      </c>
      <c r="C366" s="0" t="n">
        <v>9</v>
      </c>
      <c r="D366" s="0" t="inlineStr">
        <is>
          <t>리버스위트칸타빌</t>
        </is>
      </c>
      <c r="E366" s="0" t="inlineStr">
        <is>
          <t>2018.05.</t>
        </is>
      </c>
      <c r="F366" s="0" t="n">
        <v>550</v>
      </c>
      <c r="G366" s="0" t="n">
        <v>54.48</v>
      </c>
      <c r="H366" s="0" t="n">
        <v>180.11</v>
      </c>
      <c r="I366" s="0" t="n">
        <v>41.97</v>
      </c>
      <c r="J366" s="0" t="n">
        <v>138.76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180</v>
      </c>
      <c r="X366" s="0" t="n">
        <v>29</v>
      </c>
      <c r="Y366" s="0" t="n">
        <v>27</v>
      </c>
      <c r="Z366" s="0" t="inlineStr">
        <is>
          <t>https://new.land.naver.com/complexes/111865?tab=detail&amp;rf=Y</t>
        </is>
      </c>
      <c r="AA366" s="0" t="inlineStr">
        <is>
          <t>경기도 하남시 선동 441</t>
        </is>
      </c>
      <c r="AB366" s="0" t="inlineStr">
        <is>
          <t>경기도</t>
        </is>
      </c>
      <c r="AC366" s="0" t="inlineStr">
        <is>
          <t>하남시</t>
        </is>
      </c>
      <c r="AD366" s="0" t="inlineStr">
        <is>
          <t>선동</t>
        </is>
      </c>
      <c r="AG366" s="0" t="inlineStr">
        <is>
          <t>경기도 하남시 미사강변한강로 30</t>
        </is>
      </c>
      <c r="AH366" s="0" t="n">
        <v>0</v>
      </c>
      <c r="AI366" s="0" t="n">
        <v>209</v>
      </c>
      <c r="AJ366" s="0" t="n">
        <v>12</v>
      </c>
      <c r="AK366" s="0" t="n">
        <v>980</v>
      </c>
      <c r="AL366" s="0" t="n">
        <v>1.78</v>
      </c>
    </row>
    <row r="367">
      <c r="A367" s="0" t="inlineStr">
        <is>
          <t>[선동]</t>
        </is>
      </c>
      <c r="B367" s="0" t="n">
        <v>111865</v>
      </c>
      <c r="C367" s="0" t="n">
        <v>10</v>
      </c>
      <c r="D367" s="0" t="inlineStr">
        <is>
          <t>리버스위트칸타빌</t>
        </is>
      </c>
      <c r="E367" s="0" t="inlineStr">
        <is>
          <t>2018.05.</t>
        </is>
      </c>
      <c r="F367" s="0" t="n">
        <v>550</v>
      </c>
      <c r="G367" s="0" t="n">
        <v>56.13</v>
      </c>
      <c r="H367" s="0" t="n">
        <v>185.56</v>
      </c>
      <c r="I367" s="0" t="n">
        <v>43.47</v>
      </c>
      <c r="J367" s="0" t="n">
        <v>143.72</v>
      </c>
      <c r="K367" s="0" t="n">
        <v>7</v>
      </c>
      <c r="T367" s="0" t="n">
        <v>5</v>
      </c>
      <c r="U367" s="0" t="n">
        <v>3</v>
      </c>
      <c r="V367" s="0" t="inlineStr">
        <is>
          <t>계단식</t>
        </is>
      </c>
      <c r="W367" s="0" t="n">
        <v>185</v>
      </c>
      <c r="X367" s="0" t="n">
        <v>29</v>
      </c>
      <c r="Y367" s="0" t="n">
        <v>27</v>
      </c>
      <c r="Z367" s="0" t="inlineStr">
        <is>
          <t>https://new.land.naver.com/complexes/111865?tab=detail&amp;rf=Y</t>
        </is>
      </c>
      <c r="AA367" s="0" t="inlineStr">
        <is>
          <t>경기도 하남시 선동 441</t>
        </is>
      </c>
      <c r="AB367" s="0" t="inlineStr">
        <is>
          <t>경기도</t>
        </is>
      </c>
      <c r="AC367" s="0" t="inlineStr">
        <is>
          <t>하남시</t>
        </is>
      </c>
      <c r="AD367" s="0" t="inlineStr">
        <is>
          <t>선동</t>
        </is>
      </c>
      <c r="AG367" s="0" t="inlineStr">
        <is>
          <t>경기도 하남시 미사강변한강로 30</t>
        </is>
      </c>
      <c r="AH367" s="0" t="n">
        <v>0</v>
      </c>
      <c r="AI367" s="0" t="n">
        <v>209</v>
      </c>
      <c r="AJ367" s="0" t="n">
        <v>12</v>
      </c>
      <c r="AK367" s="0" t="n">
        <v>980</v>
      </c>
      <c r="AL367" s="0" t="n">
        <v>1.78</v>
      </c>
    </row>
    <row r="368">
      <c r="A368" s="0" t="inlineStr">
        <is>
          <t>[선동]</t>
        </is>
      </c>
      <c r="B368" s="0" t="n">
        <v>106201</v>
      </c>
      <c r="C368" s="0" t="n">
        <v>1</v>
      </c>
      <c r="D368" s="0" t="inlineStr">
        <is>
          <t>미사강변도시베라체</t>
        </is>
      </c>
      <c r="E368" s="0" t="inlineStr">
        <is>
          <t>2015.05.</t>
        </is>
      </c>
      <c r="F368" s="0" t="n">
        <v>615</v>
      </c>
      <c r="G368" s="0" t="n">
        <v>29.35</v>
      </c>
      <c r="H368" s="0" t="n">
        <v>97.04000000000001</v>
      </c>
      <c r="I368" s="0" t="n">
        <v>22.64</v>
      </c>
      <c r="J368" s="0" t="n">
        <v>74.84999999999999</v>
      </c>
      <c r="K368" s="0" t="n">
        <v>162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97A</t>
        </is>
      </c>
      <c r="X368" s="0" t="n">
        <v>20</v>
      </c>
      <c r="Y368" s="0" t="n">
        <v>12</v>
      </c>
      <c r="Z368" s="0" t="inlineStr">
        <is>
          <t>https://new.land.naver.com/complexes/106201?tab=detail&amp;rf=Y</t>
        </is>
      </c>
      <c r="AA368" s="0" t="inlineStr">
        <is>
          <t>경기도 하남시 선동 453</t>
        </is>
      </c>
      <c r="AB368" s="0" t="inlineStr">
        <is>
          <t>경기도</t>
        </is>
      </c>
      <c r="AC368" s="0" t="inlineStr">
        <is>
          <t>하남시</t>
        </is>
      </c>
      <c r="AD368" s="0" t="inlineStr">
        <is>
          <t>선동</t>
        </is>
      </c>
      <c r="AG368" s="0" t="inlineStr">
        <is>
          <t>경기도 하남시 풍산로 270</t>
        </is>
      </c>
      <c r="AH368" s="0" t="n">
        <v>0</v>
      </c>
      <c r="AI368" s="0" t="n">
        <v>218</v>
      </c>
      <c r="AJ368" s="0" t="n">
        <v>19</v>
      </c>
      <c r="AK368" s="0" t="n">
        <v>742</v>
      </c>
      <c r="AL368" s="0" t="n">
        <v>1.21</v>
      </c>
    </row>
    <row r="369">
      <c r="A369" s="0" t="inlineStr">
        <is>
          <t>[선동]</t>
        </is>
      </c>
      <c r="B369" s="0" t="n">
        <v>106201</v>
      </c>
      <c r="C369" s="0" t="n">
        <v>2</v>
      </c>
      <c r="D369" s="0" t="inlineStr">
        <is>
          <t>미사강변도시베라체</t>
        </is>
      </c>
      <c r="E369" s="0" t="inlineStr">
        <is>
          <t>2015.05.</t>
        </is>
      </c>
      <c r="F369" s="0" t="n">
        <v>615</v>
      </c>
      <c r="G369" s="0" t="n">
        <v>29.35</v>
      </c>
      <c r="H369" s="0" t="n">
        <v>97.04000000000001</v>
      </c>
      <c r="I369" s="0" t="n">
        <v>22.64</v>
      </c>
      <c r="J369" s="0" t="n">
        <v>74.84999999999999</v>
      </c>
      <c r="K369" s="0" t="n">
        <v>20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97AN</t>
        </is>
      </c>
      <c r="X369" s="0" t="n">
        <v>20</v>
      </c>
      <c r="Y369" s="0" t="n">
        <v>12</v>
      </c>
      <c r="Z369" s="0" t="inlineStr">
        <is>
          <t>https://new.land.naver.com/complexes/106201?tab=detail&amp;rf=Y</t>
        </is>
      </c>
      <c r="AA369" s="0" t="inlineStr">
        <is>
          <t>경기도 하남시 선동 453</t>
        </is>
      </c>
      <c r="AB369" s="0" t="inlineStr">
        <is>
          <t>경기도</t>
        </is>
      </c>
      <c r="AC369" s="0" t="inlineStr">
        <is>
          <t>하남시</t>
        </is>
      </c>
      <c r="AD369" s="0" t="inlineStr">
        <is>
          <t>선동</t>
        </is>
      </c>
      <c r="AG369" s="0" t="inlineStr">
        <is>
          <t>경기도 하남시 풍산로 270</t>
        </is>
      </c>
      <c r="AH369" s="0" t="n">
        <v>0</v>
      </c>
      <c r="AI369" s="0" t="n">
        <v>218</v>
      </c>
      <c r="AJ369" s="0" t="n">
        <v>19</v>
      </c>
      <c r="AK369" s="0" t="n">
        <v>742</v>
      </c>
      <c r="AL369" s="0" t="n">
        <v>1.21</v>
      </c>
    </row>
    <row r="370">
      <c r="A370" s="0" t="inlineStr">
        <is>
          <t>[선동]</t>
        </is>
      </c>
      <c r="B370" s="0" t="n">
        <v>106201</v>
      </c>
      <c r="C370" s="0" t="n">
        <v>3</v>
      </c>
      <c r="D370" s="0" t="inlineStr">
        <is>
          <t>미사강변도시베라체</t>
        </is>
      </c>
      <c r="E370" s="0" t="inlineStr">
        <is>
          <t>2015.05.</t>
        </is>
      </c>
      <c r="F370" s="0" t="n">
        <v>615</v>
      </c>
      <c r="G370" s="0" t="n">
        <v>33.27</v>
      </c>
      <c r="H370" s="0" t="n">
        <v>109.99</v>
      </c>
      <c r="I370" s="0" t="n">
        <v>25.66</v>
      </c>
      <c r="J370" s="0" t="n">
        <v>84.84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109A</t>
        </is>
      </c>
      <c r="X370" s="0" t="n">
        <v>20</v>
      </c>
      <c r="Y370" s="0" t="n">
        <v>12</v>
      </c>
      <c r="Z370" s="0" t="inlineStr">
        <is>
          <t>https://new.land.naver.com/complexes/106201?tab=detail&amp;rf=Y</t>
        </is>
      </c>
      <c r="AA370" s="0" t="inlineStr">
        <is>
          <t>경기도 하남시 선동 453</t>
        </is>
      </c>
      <c r="AB370" s="0" t="inlineStr">
        <is>
          <t>경기도</t>
        </is>
      </c>
      <c r="AC370" s="0" t="inlineStr">
        <is>
          <t>하남시</t>
        </is>
      </c>
      <c r="AD370" s="0" t="inlineStr">
        <is>
          <t>선동</t>
        </is>
      </c>
      <c r="AG370" s="0" t="inlineStr">
        <is>
          <t>경기도 하남시 풍산로 270</t>
        </is>
      </c>
      <c r="AH370" s="0" t="n">
        <v>0</v>
      </c>
      <c r="AI370" s="0" t="n">
        <v>218</v>
      </c>
      <c r="AJ370" s="0" t="n">
        <v>19</v>
      </c>
      <c r="AK370" s="0" t="n">
        <v>742</v>
      </c>
      <c r="AL370" s="0" t="n">
        <v>1.21</v>
      </c>
    </row>
    <row r="371">
      <c r="A371" s="0" t="inlineStr">
        <is>
          <t>[선동]</t>
        </is>
      </c>
      <c r="B371" s="0" t="n">
        <v>106201</v>
      </c>
      <c r="C371" s="0" t="n">
        <v>4</v>
      </c>
      <c r="D371" s="0" t="inlineStr">
        <is>
          <t>미사강변도시베라체</t>
        </is>
      </c>
      <c r="E371" s="0" t="inlineStr">
        <is>
          <t>2015.05.</t>
        </is>
      </c>
      <c r="F371" s="0" t="n">
        <v>615</v>
      </c>
      <c r="G371" s="0" t="n">
        <v>33.28</v>
      </c>
      <c r="H371" s="0" t="n">
        <v>110.02</v>
      </c>
      <c r="I371" s="0" t="n">
        <v>25.67</v>
      </c>
      <c r="J371" s="0" t="n">
        <v>84.86</v>
      </c>
      <c r="K371" s="0" t="n">
        <v>366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110B2</t>
        </is>
      </c>
      <c r="X371" s="0" t="n">
        <v>20</v>
      </c>
      <c r="Y371" s="0" t="n">
        <v>12</v>
      </c>
      <c r="Z371" s="0" t="inlineStr">
        <is>
          <t>https://new.land.naver.com/complexes/106201?tab=detail&amp;rf=Y</t>
        </is>
      </c>
      <c r="AA371" s="0" t="inlineStr">
        <is>
          <t>경기도 하남시 선동 453</t>
        </is>
      </c>
      <c r="AB371" s="0" t="inlineStr">
        <is>
          <t>경기도</t>
        </is>
      </c>
      <c r="AC371" s="0" t="inlineStr">
        <is>
          <t>하남시</t>
        </is>
      </c>
      <c r="AD371" s="0" t="inlineStr">
        <is>
          <t>선동</t>
        </is>
      </c>
      <c r="AG371" s="0" t="inlineStr">
        <is>
          <t>경기도 하남시 풍산로 270</t>
        </is>
      </c>
      <c r="AH371" s="0" t="n">
        <v>0</v>
      </c>
      <c r="AI371" s="0" t="n">
        <v>218</v>
      </c>
      <c r="AJ371" s="0" t="n">
        <v>19</v>
      </c>
      <c r="AK371" s="0" t="n">
        <v>742</v>
      </c>
      <c r="AL371" s="0" t="n">
        <v>1.21</v>
      </c>
    </row>
    <row r="372">
      <c r="A372" s="0" t="inlineStr">
        <is>
          <t>[선동]</t>
        </is>
      </c>
      <c r="B372" s="0" t="n">
        <v>106201</v>
      </c>
      <c r="C372" s="0" t="n">
        <v>5</v>
      </c>
      <c r="D372" s="0" t="inlineStr">
        <is>
          <t>미사강변도시베라체</t>
        </is>
      </c>
      <c r="E372" s="0" t="inlineStr">
        <is>
          <t>2015.05.</t>
        </is>
      </c>
      <c r="F372" s="0" t="n">
        <v>615</v>
      </c>
      <c r="G372" s="0" t="n">
        <v>33.28</v>
      </c>
      <c r="H372" s="0" t="n">
        <v>110.02</v>
      </c>
      <c r="I372" s="0" t="n">
        <v>25.67</v>
      </c>
      <c r="J372" s="0" t="n">
        <v>84.86</v>
      </c>
      <c r="K372" s="0" t="n">
        <v>20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110B2N</t>
        </is>
      </c>
      <c r="X372" s="0" t="n">
        <v>20</v>
      </c>
      <c r="Y372" s="0" t="n">
        <v>12</v>
      </c>
      <c r="Z372" s="0" t="inlineStr">
        <is>
          <t>https://new.land.naver.com/complexes/106201?tab=detail&amp;rf=Y</t>
        </is>
      </c>
      <c r="AA372" s="0" t="inlineStr">
        <is>
          <t>경기도 하남시 선동 453</t>
        </is>
      </c>
      <c r="AB372" s="0" t="inlineStr">
        <is>
          <t>경기도</t>
        </is>
      </c>
      <c r="AC372" s="0" t="inlineStr">
        <is>
          <t>하남시</t>
        </is>
      </c>
      <c r="AD372" s="0" t="inlineStr">
        <is>
          <t>선동</t>
        </is>
      </c>
      <c r="AG372" s="0" t="inlineStr">
        <is>
          <t>경기도 하남시 풍산로 270</t>
        </is>
      </c>
      <c r="AH372" s="0" t="n">
        <v>0</v>
      </c>
      <c r="AI372" s="0" t="n">
        <v>218</v>
      </c>
      <c r="AJ372" s="0" t="n">
        <v>19</v>
      </c>
      <c r="AK372" s="0" t="n">
        <v>742</v>
      </c>
      <c r="AL372" s="0" t="n">
        <v>1.21</v>
      </c>
    </row>
    <row r="373">
      <c r="A373" s="0" t="inlineStr">
        <is>
          <t>[신장동]</t>
        </is>
      </c>
      <c r="B373" s="0" t="n">
        <v>9663</v>
      </c>
      <c r="C373" s="0" t="n">
        <v>1</v>
      </c>
      <c r="D373" s="0" t="inlineStr">
        <is>
          <t>에코타운1단지</t>
        </is>
      </c>
      <c r="E373" s="0" t="inlineStr">
        <is>
          <t>2004.11.</t>
        </is>
      </c>
      <c r="F373" s="0" t="n">
        <v>525</v>
      </c>
      <c r="G373" s="0" t="n">
        <v>23.29</v>
      </c>
      <c r="H373" s="0" t="n">
        <v>77.02</v>
      </c>
      <c r="I373" s="0" t="n">
        <v>17.36</v>
      </c>
      <c r="J373" s="0" t="n">
        <v>57.41</v>
      </c>
      <c r="K373" s="0" t="n">
        <v>397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77A</t>
        </is>
      </c>
      <c r="X373" s="0" t="n">
        <v>23</v>
      </c>
      <c r="Y373" s="0" t="n">
        <v>20</v>
      </c>
      <c r="Z373" s="0" t="inlineStr">
        <is>
          <t>https://new.land.naver.com/complexes/9663?tab=detail&amp;rf=Y</t>
        </is>
      </c>
      <c r="AA373" s="0" t="inlineStr">
        <is>
          <t>경기도 하남시 신장동 562</t>
        </is>
      </c>
      <c r="AB373" s="0" t="inlineStr">
        <is>
          <t>경기도</t>
        </is>
      </c>
      <c r="AC373" s="0" t="inlineStr">
        <is>
          <t>하남시</t>
        </is>
      </c>
      <c r="AD373" s="0" t="inlineStr">
        <is>
          <t>신장동</t>
        </is>
      </c>
      <c r="AG373" s="0" t="inlineStr">
        <is>
          <t>경기도 하남시 하남대로784번길 29</t>
        </is>
      </c>
      <c r="AH373" s="0" t="n">
        <v>0</v>
      </c>
      <c r="AI373" s="0" t="n">
        <v>235</v>
      </c>
      <c r="AJ373" s="0" t="n">
        <v>12</v>
      </c>
      <c r="AK373" s="0" t="n">
        <v>527</v>
      </c>
      <c r="AL373" s="0" t="n">
        <v>1</v>
      </c>
    </row>
    <row r="374">
      <c r="A374" s="0" t="inlineStr">
        <is>
          <t>[신장동]</t>
        </is>
      </c>
      <c r="B374" s="0" t="n">
        <v>9663</v>
      </c>
      <c r="C374" s="0" t="n">
        <v>2</v>
      </c>
      <c r="D374" s="0" t="inlineStr">
        <is>
          <t>에코타운1단지</t>
        </is>
      </c>
      <c r="E374" s="0" t="inlineStr">
        <is>
          <t>2004.11.</t>
        </is>
      </c>
      <c r="F374" s="0" t="n">
        <v>525</v>
      </c>
      <c r="G374" s="0" t="n">
        <v>23.29</v>
      </c>
      <c r="H374" s="0" t="n">
        <v>77</v>
      </c>
      <c r="I374" s="0" t="n">
        <v>17.57</v>
      </c>
      <c r="J374" s="0" t="n">
        <v>58.09</v>
      </c>
      <c r="K374" s="0" t="n">
        <v>128</v>
      </c>
      <c r="T374" s="0" t="n">
        <v>3</v>
      </c>
      <c r="U374" s="0" t="n">
        <v>1</v>
      </c>
      <c r="V374" s="0" t="inlineStr">
        <is>
          <t>복도식</t>
        </is>
      </c>
      <c r="W374" s="0" t="inlineStr">
        <is>
          <t>77B</t>
        </is>
      </c>
      <c r="X374" s="0" t="n">
        <v>23</v>
      </c>
      <c r="Y374" s="0" t="n">
        <v>20</v>
      </c>
      <c r="Z374" s="0" t="inlineStr">
        <is>
          <t>https://new.land.naver.com/complexes/9663?tab=detail&amp;rf=Y</t>
        </is>
      </c>
      <c r="AA374" s="0" t="inlineStr">
        <is>
          <t>경기도 하남시 신장동 562</t>
        </is>
      </c>
      <c r="AB374" s="0" t="inlineStr">
        <is>
          <t>경기도</t>
        </is>
      </c>
      <c r="AC374" s="0" t="inlineStr">
        <is>
          <t>하남시</t>
        </is>
      </c>
      <c r="AD374" s="0" t="inlineStr">
        <is>
          <t>신장동</t>
        </is>
      </c>
      <c r="AG374" s="0" t="inlineStr">
        <is>
          <t>경기도 하남시 하남대로784번길 29</t>
        </is>
      </c>
      <c r="AH374" s="0" t="n">
        <v>0</v>
      </c>
      <c r="AI374" s="0" t="n">
        <v>235</v>
      </c>
      <c r="AJ374" s="0" t="n">
        <v>12</v>
      </c>
      <c r="AK374" s="0" t="n">
        <v>527</v>
      </c>
      <c r="AL374" s="0" t="n">
        <v>1</v>
      </c>
    </row>
    <row r="375">
      <c r="A375" s="0" t="inlineStr">
        <is>
          <t>[신장동]</t>
        </is>
      </c>
      <c r="B375" s="0" t="n">
        <v>8305</v>
      </c>
      <c r="C375" s="0" t="n">
        <v>1</v>
      </c>
      <c r="D375" s="0" t="inlineStr">
        <is>
          <t>대명강변타운</t>
        </is>
      </c>
      <c r="E375" s="0" t="inlineStr">
        <is>
          <t>2007.08.</t>
        </is>
      </c>
      <c r="F375" s="0" t="n">
        <v>1369</v>
      </c>
      <c r="G375" s="0" t="n">
        <v>28.26</v>
      </c>
      <c r="H375" s="0" t="n">
        <v>93.44</v>
      </c>
      <c r="I375" s="0" t="n">
        <v>20.59</v>
      </c>
      <c r="J375" s="0" t="n">
        <v>68.06999999999999</v>
      </c>
      <c r="K375" s="0" t="n">
        <v>142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93</v>
      </c>
      <c r="X375" s="0" t="n">
        <v>25</v>
      </c>
      <c r="Y375" s="0" t="n">
        <v>16</v>
      </c>
      <c r="Z375" s="0" t="inlineStr">
        <is>
          <t>https://new.land.naver.com/complexes/8305?tab=detail&amp;rf=Y</t>
        </is>
      </c>
      <c r="AA375" s="0" t="inlineStr">
        <is>
          <t>경기도 하남시 신장동 569</t>
        </is>
      </c>
      <c r="AB375" s="0" t="inlineStr">
        <is>
          <t>경기도</t>
        </is>
      </c>
      <c r="AC375" s="0" t="inlineStr">
        <is>
          <t>하남시</t>
        </is>
      </c>
      <c r="AD375" s="0" t="inlineStr">
        <is>
          <t>신장동</t>
        </is>
      </c>
      <c r="AG375" s="0" t="inlineStr">
        <is>
          <t>경기도 하남시 대청로 79</t>
        </is>
      </c>
      <c r="AH375" s="0" t="n">
        <v>0</v>
      </c>
      <c r="AI375" s="0" t="n">
        <v>328</v>
      </c>
      <c r="AJ375" s="0" t="n">
        <v>18</v>
      </c>
      <c r="AK375" s="0" t="n">
        <v>1508</v>
      </c>
      <c r="AL375" s="0" t="n">
        <v>1.1</v>
      </c>
    </row>
    <row r="376">
      <c r="A376" s="0" t="inlineStr">
        <is>
          <t>[신장동]</t>
        </is>
      </c>
      <c r="B376" s="0" t="n">
        <v>8305</v>
      </c>
      <c r="C376" s="0" t="n">
        <v>2</v>
      </c>
      <c r="D376" s="0" t="inlineStr">
        <is>
          <t>대명강변타운</t>
        </is>
      </c>
      <c r="E376" s="0" t="inlineStr">
        <is>
          <t>2007.08.</t>
        </is>
      </c>
      <c r="F376" s="0" t="n">
        <v>1369</v>
      </c>
      <c r="G376" s="0" t="n">
        <v>33.75</v>
      </c>
      <c r="H376" s="0" t="n">
        <v>111.59</v>
      </c>
      <c r="I376" s="0" t="n">
        <v>25.66</v>
      </c>
      <c r="J376" s="0" t="n">
        <v>84.83</v>
      </c>
      <c r="K376" s="0" t="n">
        <v>1227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111</v>
      </c>
      <c r="X376" s="0" t="n">
        <v>25</v>
      </c>
      <c r="Y376" s="0" t="n">
        <v>16</v>
      </c>
      <c r="Z376" s="0" t="inlineStr">
        <is>
          <t>https://new.land.naver.com/complexes/8305?tab=detail&amp;rf=Y</t>
        </is>
      </c>
      <c r="AA376" s="0" t="inlineStr">
        <is>
          <t>경기도 하남시 신장동 569</t>
        </is>
      </c>
      <c r="AB376" s="0" t="inlineStr">
        <is>
          <t>경기도</t>
        </is>
      </c>
      <c r="AC376" s="0" t="inlineStr">
        <is>
          <t>하남시</t>
        </is>
      </c>
      <c r="AD376" s="0" t="inlineStr">
        <is>
          <t>신장동</t>
        </is>
      </c>
      <c r="AG376" s="0" t="inlineStr">
        <is>
          <t>경기도 하남시 대청로 79</t>
        </is>
      </c>
      <c r="AH376" s="0" t="n">
        <v>0</v>
      </c>
      <c r="AI376" s="0" t="n">
        <v>328</v>
      </c>
      <c r="AJ376" s="0" t="n">
        <v>18</v>
      </c>
      <c r="AK376" s="0" t="n">
        <v>1508</v>
      </c>
      <c r="AL376" s="0" t="n">
        <v>1.1</v>
      </c>
    </row>
    <row r="377">
      <c r="A377" s="0" t="inlineStr">
        <is>
          <t>[신장동]</t>
        </is>
      </c>
      <c r="B377" s="0" t="n">
        <v>101349</v>
      </c>
      <c r="C377" s="0" t="n">
        <v>1</v>
      </c>
      <c r="D377" s="0" t="inlineStr">
        <is>
          <t>벽산블루밍더클래식</t>
        </is>
      </c>
      <c r="E377" s="0" t="inlineStr">
        <is>
          <t>2010.08.</t>
        </is>
      </c>
      <c r="F377" s="0" t="n">
        <v>220</v>
      </c>
      <c r="G377" s="0" t="n">
        <v>34.31</v>
      </c>
      <c r="H377" s="0" t="n">
        <v>113.43</v>
      </c>
      <c r="I377" s="0" t="n">
        <v>25.03</v>
      </c>
      <c r="J377" s="0" t="n">
        <v>82.75</v>
      </c>
      <c r="K377" s="0" t="n">
        <v>73</v>
      </c>
      <c r="T377" s="0" t="n">
        <v>2</v>
      </c>
      <c r="U377" s="0" t="n">
        <v>2</v>
      </c>
      <c r="V377" s="0" t="inlineStr">
        <is>
          <t>계단식</t>
        </is>
      </c>
      <c r="W377" s="0" t="inlineStr">
        <is>
          <t>113A</t>
        </is>
      </c>
      <c r="X377" s="0" t="n">
        <v>20</v>
      </c>
      <c r="Y377" s="0" t="n">
        <v>20</v>
      </c>
      <c r="Z377" s="0" t="inlineStr">
        <is>
          <t>https://new.land.naver.com/complexes/101349?tab=detail&amp;rf=Y</t>
        </is>
      </c>
      <c r="AA377" s="0" t="inlineStr">
        <is>
          <t>경기도 하남시 신장동 517</t>
        </is>
      </c>
      <c r="AB377" s="0" t="inlineStr">
        <is>
          <t>경기도</t>
        </is>
      </c>
      <c r="AC377" s="0" t="inlineStr">
        <is>
          <t>하남시</t>
        </is>
      </c>
      <c r="AD377" s="0" t="inlineStr">
        <is>
          <t>신장동</t>
        </is>
      </c>
      <c r="AG377" s="0" t="inlineStr">
        <is>
          <t>경기도 하남시 하남대로 770</t>
        </is>
      </c>
      <c r="AH377" s="0" t="n">
        <v>0</v>
      </c>
      <c r="AI377" s="0" t="n">
        <v>0</v>
      </c>
      <c r="AJ377" s="0" t="n">
        <v>0</v>
      </c>
      <c r="AK377" s="0" t="n">
        <v>144</v>
      </c>
      <c r="AL377" s="0" t="n">
        <v>0.65</v>
      </c>
    </row>
    <row r="378">
      <c r="A378" s="0" t="inlineStr">
        <is>
          <t>[신장동]</t>
        </is>
      </c>
      <c r="B378" s="0" t="n">
        <v>101349</v>
      </c>
      <c r="C378" s="0" t="n">
        <v>2</v>
      </c>
      <c r="D378" s="0" t="inlineStr">
        <is>
          <t>벽산블루밍더클래식</t>
        </is>
      </c>
      <c r="E378" s="0" t="inlineStr">
        <is>
          <t>2010.08.</t>
        </is>
      </c>
      <c r="F378" s="0" t="n">
        <v>220</v>
      </c>
      <c r="G378" s="0" t="n">
        <v>34.82</v>
      </c>
      <c r="H378" s="0" t="n">
        <v>115.12</v>
      </c>
      <c r="I378" s="0" t="n">
        <v>25.46</v>
      </c>
      <c r="J378" s="0" t="n">
        <v>84.18000000000001</v>
      </c>
      <c r="K378" s="0" t="n">
        <v>75</v>
      </c>
      <c r="T378" s="0" t="n">
        <v>2</v>
      </c>
      <c r="U378" s="0" t="n">
        <v>2</v>
      </c>
      <c r="V378" s="0" t="inlineStr">
        <is>
          <t>계단식</t>
        </is>
      </c>
      <c r="W378" s="0" t="inlineStr">
        <is>
          <t>115B</t>
        </is>
      </c>
      <c r="X378" s="0" t="n">
        <v>20</v>
      </c>
      <c r="Y378" s="0" t="n">
        <v>20</v>
      </c>
      <c r="Z378" s="0" t="inlineStr">
        <is>
          <t>https://new.land.naver.com/complexes/101349?tab=detail&amp;rf=Y</t>
        </is>
      </c>
      <c r="AA378" s="0" t="inlineStr">
        <is>
          <t>경기도 하남시 신장동 517</t>
        </is>
      </c>
      <c r="AB378" s="0" t="inlineStr">
        <is>
          <t>경기도</t>
        </is>
      </c>
      <c r="AC378" s="0" t="inlineStr">
        <is>
          <t>하남시</t>
        </is>
      </c>
      <c r="AD378" s="0" t="inlineStr">
        <is>
          <t>신장동</t>
        </is>
      </c>
      <c r="AG378" s="0" t="inlineStr">
        <is>
          <t>경기도 하남시 하남대로 770</t>
        </is>
      </c>
      <c r="AH378" s="0" t="n">
        <v>0</v>
      </c>
      <c r="AI378" s="0" t="n">
        <v>0</v>
      </c>
      <c r="AJ378" s="0" t="n">
        <v>0</v>
      </c>
      <c r="AK378" s="0" t="n">
        <v>144</v>
      </c>
      <c r="AL378" s="0" t="n">
        <v>0.65</v>
      </c>
    </row>
    <row r="379">
      <c r="A379" s="0" t="inlineStr">
        <is>
          <t>[신장동]</t>
        </is>
      </c>
      <c r="B379" s="0" t="n">
        <v>101349</v>
      </c>
      <c r="C379" s="0" t="n">
        <v>3</v>
      </c>
      <c r="D379" s="0" t="inlineStr">
        <is>
          <t>벽산블루밍더클래식</t>
        </is>
      </c>
      <c r="E379" s="0" t="inlineStr">
        <is>
          <t>2010.08.</t>
        </is>
      </c>
      <c r="F379" s="0" t="n">
        <v>220</v>
      </c>
      <c r="G379" s="0" t="n">
        <v>35.26</v>
      </c>
      <c r="H379" s="0" t="n">
        <v>116.58</v>
      </c>
      <c r="I379" s="0" t="n">
        <v>25.67</v>
      </c>
      <c r="J379" s="0" t="n">
        <v>84.89</v>
      </c>
      <c r="K379" s="0" t="n">
        <v>18</v>
      </c>
      <c r="T379" s="0" t="n">
        <v>2</v>
      </c>
      <c r="U379" s="0" t="n">
        <v>2</v>
      </c>
      <c r="V379" s="0" t="inlineStr">
        <is>
          <t>계단식</t>
        </is>
      </c>
      <c r="W379" s="0" t="inlineStr">
        <is>
          <t>116C</t>
        </is>
      </c>
      <c r="X379" s="0" t="n">
        <v>20</v>
      </c>
      <c r="Y379" s="0" t="n">
        <v>20</v>
      </c>
      <c r="Z379" s="0" t="inlineStr">
        <is>
          <t>https://new.land.naver.com/complexes/101349?tab=detail&amp;rf=Y</t>
        </is>
      </c>
      <c r="AA379" s="0" t="inlineStr">
        <is>
          <t>경기도 하남시 신장동 517</t>
        </is>
      </c>
      <c r="AB379" s="0" t="inlineStr">
        <is>
          <t>경기도</t>
        </is>
      </c>
      <c r="AC379" s="0" t="inlineStr">
        <is>
          <t>하남시</t>
        </is>
      </c>
      <c r="AD379" s="0" t="inlineStr">
        <is>
          <t>신장동</t>
        </is>
      </c>
      <c r="AG379" s="0" t="inlineStr">
        <is>
          <t>경기도 하남시 하남대로 770</t>
        </is>
      </c>
      <c r="AH379" s="0" t="n">
        <v>0</v>
      </c>
      <c r="AI379" s="0" t="n">
        <v>0</v>
      </c>
      <c r="AJ379" s="0" t="n">
        <v>0</v>
      </c>
      <c r="AK379" s="0" t="n">
        <v>144</v>
      </c>
      <c r="AL379" s="0" t="n">
        <v>0.65</v>
      </c>
    </row>
    <row r="380">
      <c r="A380" s="0" t="inlineStr">
        <is>
          <t>[신장동]</t>
        </is>
      </c>
      <c r="B380" s="0" t="n">
        <v>101349</v>
      </c>
      <c r="C380" s="0" t="n">
        <v>4</v>
      </c>
      <c r="D380" s="0" t="inlineStr">
        <is>
          <t>벽산블루밍더클래식</t>
        </is>
      </c>
      <c r="E380" s="0" t="inlineStr">
        <is>
          <t>2010.08.</t>
        </is>
      </c>
      <c r="F380" s="0" t="n">
        <v>220</v>
      </c>
      <c r="G380" s="0" t="n">
        <v>35.26</v>
      </c>
      <c r="H380" s="0" t="n">
        <v>116.58</v>
      </c>
      <c r="I380" s="0" t="n">
        <v>25.67</v>
      </c>
      <c r="J380" s="0" t="n">
        <v>84.89</v>
      </c>
      <c r="K380" s="0" t="n">
        <v>18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116C-1</t>
        </is>
      </c>
      <c r="X380" s="0" t="n">
        <v>20</v>
      </c>
      <c r="Y380" s="0" t="n">
        <v>20</v>
      </c>
      <c r="Z380" s="0" t="inlineStr">
        <is>
          <t>https://new.land.naver.com/complexes/101349?tab=detail&amp;rf=Y</t>
        </is>
      </c>
      <c r="AA380" s="0" t="inlineStr">
        <is>
          <t>경기도 하남시 신장동 517</t>
        </is>
      </c>
      <c r="AB380" s="0" t="inlineStr">
        <is>
          <t>경기도</t>
        </is>
      </c>
      <c r="AC380" s="0" t="inlineStr">
        <is>
          <t>하남시</t>
        </is>
      </c>
      <c r="AD380" s="0" t="inlineStr">
        <is>
          <t>신장동</t>
        </is>
      </c>
      <c r="AG380" s="0" t="inlineStr">
        <is>
          <t>경기도 하남시 하남대로 770</t>
        </is>
      </c>
      <c r="AH380" s="0" t="n">
        <v>0</v>
      </c>
      <c r="AI380" s="0" t="n">
        <v>0</v>
      </c>
      <c r="AJ380" s="0" t="n">
        <v>0</v>
      </c>
      <c r="AK380" s="0" t="n">
        <v>144</v>
      </c>
      <c r="AL380" s="0" t="n">
        <v>0.65</v>
      </c>
    </row>
    <row r="381">
      <c r="A381" s="0" t="inlineStr">
        <is>
          <t>[신장동]</t>
        </is>
      </c>
      <c r="B381" s="0" t="n">
        <v>101349</v>
      </c>
      <c r="C381" s="0" t="n">
        <v>5</v>
      </c>
      <c r="D381" s="0" t="inlineStr">
        <is>
          <t>벽산블루밍더클래식</t>
        </is>
      </c>
      <c r="E381" s="0" t="inlineStr">
        <is>
          <t>2010.08.</t>
        </is>
      </c>
      <c r="F381" s="0" t="n">
        <v>220</v>
      </c>
      <c r="G381" s="0" t="n">
        <v>38.38</v>
      </c>
      <c r="H381" s="0" t="n">
        <v>126.89</v>
      </c>
      <c r="I381" s="0" t="n">
        <v>27.87</v>
      </c>
      <c r="J381" s="0" t="n">
        <v>92.14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126D</t>
        </is>
      </c>
      <c r="X381" s="0" t="n">
        <v>20</v>
      </c>
      <c r="Y381" s="0" t="n">
        <v>20</v>
      </c>
      <c r="Z381" s="0" t="inlineStr">
        <is>
          <t>https://new.land.naver.com/complexes/101349?tab=detail&amp;rf=Y</t>
        </is>
      </c>
      <c r="AA381" s="0" t="inlineStr">
        <is>
          <t>경기도 하남시 신장동 517</t>
        </is>
      </c>
      <c r="AB381" s="0" t="inlineStr">
        <is>
          <t>경기도</t>
        </is>
      </c>
      <c r="AC381" s="0" t="inlineStr">
        <is>
          <t>하남시</t>
        </is>
      </c>
      <c r="AD381" s="0" t="inlineStr">
        <is>
          <t>신장동</t>
        </is>
      </c>
      <c r="AG381" s="0" t="inlineStr">
        <is>
          <t>경기도 하남시 하남대로 770</t>
        </is>
      </c>
      <c r="AH381" s="0" t="n">
        <v>0</v>
      </c>
      <c r="AI381" s="0" t="n">
        <v>0</v>
      </c>
      <c r="AJ381" s="0" t="n">
        <v>0</v>
      </c>
      <c r="AK381" s="0" t="n">
        <v>144</v>
      </c>
      <c r="AL381" s="0" t="n">
        <v>0.65</v>
      </c>
    </row>
    <row r="382">
      <c r="A382" s="0" t="inlineStr">
        <is>
          <t>[신장동]</t>
        </is>
      </c>
      <c r="B382" s="0" t="n">
        <v>101349</v>
      </c>
      <c r="C382" s="0" t="n">
        <v>6</v>
      </c>
      <c r="D382" s="0" t="inlineStr">
        <is>
          <t>벽산블루밍더클래식</t>
        </is>
      </c>
      <c r="E382" s="0" t="inlineStr">
        <is>
          <t>2010.08.</t>
        </is>
      </c>
      <c r="F382" s="0" t="n">
        <v>220</v>
      </c>
      <c r="G382" s="0" t="n">
        <v>38.37</v>
      </c>
      <c r="H382" s="0" t="n">
        <v>126.87</v>
      </c>
      <c r="I382" s="0" t="n">
        <v>27.92</v>
      </c>
      <c r="J382" s="0" t="n">
        <v>92.3</v>
      </c>
      <c r="K382" s="0" t="n">
        <v>18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126D-1</t>
        </is>
      </c>
      <c r="X382" s="0" t="n">
        <v>20</v>
      </c>
      <c r="Y382" s="0" t="n">
        <v>20</v>
      </c>
      <c r="Z382" s="0" t="inlineStr">
        <is>
          <t>https://new.land.naver.com/complexes/101349?tab=detail&amp;rf=Y</t>
        </is>
      </c>
      <c r="AA382" s="0" t="inlineStr">
        <is>
          <t>경기도 하남시 신장동 517</t>
        </is>
      </c>
      <c r="AB382" s="0" t="inlineStr">
        <is>
          <t>경기도</t>
        </is>
      </c>
      <c r="AC382" s="0" t="inlineStr">
        <is>
          <t>하남시</t>
        </is>
      </c>
      <c r="AD382" s="0" t="inlineStr">
        <is>
          <t>신장동</t>
        </is>
      </c>
      <c r="AG382" s="0" t="inlineStr">
        <is>
          <t>경기도 하남시 하남대로 770</t>
        </is>
      </c>
      <c r="AH382" s="0" t="n">
        <v>0</v>
      </c>
      <c r="AI382" s="0" t="n">
        <v>0</v>
      </c>
      <c r="AJ382" s="0" t="n">
        <v>0</v>
      </c>
      <c r="AK382" s="0" t="n">
        <v>144</v>
      </c>
      <c r="AL382" s="0" t="n">
        <v>0.65</v>
      </c>
    </row>
    <row r="383">
      <c r="A383" s="0" t="inlineStr">
        <is>
          <t>[신장동]</t>
        </is>
      </c>
      <c r="B383" s="0" t="n">
        <v>2150</v>
      </c>
      <c r="C383" s="0" t="n">
        <v>1</v>
      </c>
      <c r="D383" s="0" t="inlineStr">
        <is>
          <t>하남</t>
        </is>
      </c>
      <c r="E383" s="0" t="inlineStr">
        <is>
          <t>1991.05.</t>
        </is>
      </c>
      <c r="F383" s="0" t="n">
        <v>84</v>
      </c>
      <c r="G383" s="0" t="n">
        <v>16.87</v>
      </c>
      <c r="H383" s="0" t="n">
        <v>55.79</v>
      </c>
      <c r="I383" s="0" t="n">
        <v>12</v>
      </c>
      <c r="J383" s="0" t="n">
        <v>39.7</v>
      </c>
      <c r="K383" s="0" t="n">
        <v>1</v>
      </c>
      <c r="T383" s="0" t="n">
        <v>2</v>
      </c>
      <c r="U383" s="0" t="n">
        <v>1</v>
      </c>
      <c r="V383" s="0" t="inlineStr">
        <is>
          <t>계단식</t>
        </is>
      </c>
      <c r="W383" s="0" t="inlineStr">
        <is>
          <t>55A</t>
        </is>
      </c>
      <c r="X383" s="0" t="n">
        <v>9</v>
      </c>
      <c r="Y383" s="0" t="n">
        <v>9</v>
      </c>
      <c r="Z383" s="0" t="inlineStr">
        <is>
          <t>https://new.land.naver.com/complexes/2150?tab=detail&amp;rf=Y</t>
        </is>
      </c>
      <c r="AA383" s="0" t="inlineStr">
        <is>
          <t>경기도 하남시 신장동 427-25</t>
        </is>
      </c>
      <c r="AB383" s="0" t="inlineStr">
        <is>
          <t>경기도</t>
        </is>
      </c>
      <c r="AC383" s="0" t="inlineStr">
        <is>
          <t>하남시</t>
        </is>
      </c>
      <c r="AD383" s="0" t="inlineStr">
        <is>
          <t>신장동</t>
        </is>
      </c>
      <c r="AG383" s="0" t="inlineStr">
        <is>
          <t>경기도 하남시 신장1로27번길 66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[신장동]</t>
        </is>
      </c>
      <c r="B384" s="0" t="n">
        <v>2150</v>
      </c>
      <c r="C384" s="0" t="n">
        <v>2</v>
      </c>
      <c r="D384" s="0" t="inlineStr">
        <is>
          <t>하남</t>
        </is>
      </c>
      <c r="E384" s="0" t="inlineStr">
        <is>
          <t>1991.05.</t>
        </is>
      </c>
      <c r="F384" s="0" t="n">
        <v>84</v>
      </c>
      <c r="G384" s="0" t="n">
        <v>17.35</v>
      </c>
      <c r="H384" s="0" t="n">
        <v>57.37</v>
      </c>
      <c r="I384" s="0" t="n">
        <v>12.34</v>
      </c>
      <c r="J384" s="0" t="n">
        <v>40.8</v>
      </c>
      <c r="K384" s="0" t="n">
        <v>83</v>
      </c>
      <c r="T384" s="0" t="n">
        <v>2</v>
      </c>
      <c r="U384" s="0" t="n">
        <v>1</v>
      </c>
      <c r="V384" s="0" t="inlineStr">
        <is>
          <t>복도식</t>
        </is>
      </c>
      <c r="W384" s="0" t="inlineStr">
        <is>
          <t>57B</t>
        </is>
      </c>
      <c r="X384" s="0" t="n">
        <v>9</v>
      </c>
      <c r="Y384" s="0" t="n">
        <v>9</v>
      </c>
      <c r="Z384" s="0" t="inlineStr">
        <is>
          <t>https://new.land.naver.com/complexes/2150?tab=detail&amp;rf=Y</t>
        </is>
      </c>
      <c r="AA384" s="0" t="inlineStr">
        <is>
          <t>경기도 하남시 신장동 427-25</t>
        </is>
      </c>
      <c r="AB384" s="0" t="inlineStr">
        <is>
          <t>경기도</t>
        </is>
      </c>
      <c r="AC384" s="0" t="inlineStr">
        <is>
          <t>하남시</t>
        </is>
      </c>
      <c r="AD384" s="0" t="inlineStr">
        <is>
          <t>신장동</t>
        </is>
      </c>
      <c r="AG384" s="0" t="inlineStr">
        <is>
          <t>경기도 하남시 신장1로27번길 66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[신장동]</t>
        </is>
      </c>
      <c r="B385" s="0" t="n">
        <v>142807</v>
      </c>
      <c r="C385" s="0" t="n">
        <v>1</v>
      </c>
      <c r="D385" s="0" t="inlineStr">
        <is>
          <t>해찬솔</t>
        </is>
      </c>
      <c r="E385" s="0" t="inlineStr">
        <is>
          <t>2013.01.</t>
        </is>
      </c>
      <c r="F385" s="0" t="n">
        <v>16</v>
      </c>
      <c r="G385" s="0" t="n">
        <v>5.44</v>
      </c>
      <c r="H385" s="0" t="n">
        <v>18.01</v>
      </c>
      <c r="I385" s="0" t="n">
        <v>3.71</v>
      </c>
      <c r="J385" s="0" t="n">
        <v>12.28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18A</t>
        </is>
      </c>
      <c r="X385" s="0" t="n">
        <v>6</v>
      </c>
      <c r="Y385" s="0" t="n">
        <v>6</v>
      </c>
      <c r="Z385" s="0" t="inlineStr">
        <is>
          <t>https://new.land.naver.com/complexes/142807?tab=detail&amp;rf=Y</t>
        </is>
      </c>
      <c r="AA385" s="0" t="inlineStr">
        <is>
          <t>경기도 하남시 신장동 430-9</t>
        </is>
      </c>
      <c r="AB385" s="0" t="inlineStr">
        <is>
          <t>경기도</t>
        </is>
      </c>
      <c r="AC385" s="0" t="inlineStr">
        <is>
          <t>하남시</t>
        </is>
      </c>
      <c r="AD385" s="0" t="inlineStr">
        <is>
          <t>신장동</t>
        </is>
      </c>
      <c r="AG385" s="0" t="inlineStr">
        <is>
          <t>경기도 하남시 대성로299번길 41</t>
        </is>
      </c>
      <c r="AH385" s="0" t="n">
        <v>0</v>
      </c>
      <c r="AI385" s="0" t="n">
        <v>340</v>
      </c>
      <c r="AJ385" s="0" t="n">
        <v>63</v>
      </c>
      <c r="AK385" s="0" t="n">
        <v>3</v>
      </c>
      <c r="AL385" s="0" t="n">
        <v>0.19</v>
      </c>
    </row>
    <row r="386">
      <c r="A386" s="0" t="inlineStr">
        <is>
          <t>[신장동]</t>
        </is>
      </c>
      <c r="B386" s="0" t="n">
        <v>142807</v>
      </c>
      <c r="C386" s="0" t="n">
        <v>2</v>
      </c>
      <c r="D386" s="0" t="inlineStr">
        <is>
          <t>해찬솔</t>
        </is>
      </c>
      <c r="E386" s="0" t="inlineStr">
        <is>
          <t>2013.01.</t>
        </is>
      </c>
      <c r="F386" s="0" t="n">
        <v>16</v>
      </c>
      <c r="G386" s="0" t="n">
        <v>5.46</v>
      </c>
      <c r="H386" s="0" t="n">
        <v>18.06</v>
      </c>
      <c r="I386" s="0" t="n">
        <v>3.72</v>
      </c>
      <c r="J386" s="0" t="n">
        <v>12.31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18B</t>
        </is>
      </c>
      <c r="X386" s="0" t="n">
        <v>6</v>
      </c>
      <c r="Y386" s="0" t="n">
        <v>6</v>
      </c>
      <c r="Z386" s="0" t="inlineStr">
        <is>
          <t>https://new.land.naver.com/complexes/142807?tab=detail&amp;rf=Y</t>
        </is>
      </c>
      <c r="AA386" s="0" t="inlineStr">
        <is>
          <t>경기도 하남시 신장동 430-9</t>
        </is>
      </c>
      <c r="AB386" s="0" t="inlineStr">
        <is>
          <t>경기도</t>
        </is>
      </c>
      <c r="AC386" s="0" t="inlineStr">
        <is>
          <t>하남시</t>
        </is>
      </c>
      <c r="AD386" s="0" t="inlineStr">
        <is>
          <t>신장동</t>
        </is>
      </c>
      <c r="AG386" s="0" t="inlineStr">
        <is>
          <t>경기도 하남시 대성로299번길 41</t>
        </is>
      </c>
      <c r="AH386" s="0" t="n">
        <v>0</v>
      </c>
      <c r="AI386" s="0" t="n">
        <v>340</v>
      </c>
      <c r="AJ386" s="0" t="n">
        <v>63</v>
      </c>
      <c r="AK386" s="0" t="n">
        <v>3</v>
      </c>
      <c r="AL386" s="0" t="n">
        <v>0.19</v>
      </c>
    </row>
    <row r="387">
      <c r="A387" s="0" t="inlineStr">
        <is>
          <t>[신장동]</t>
        </is>
      </c>
      <c r="B387" s="0" t="n">
        <v>142807</v>
      </c>
      <c r="C387" s="0" t="n">
        <v>3</v>
      </c>
      <c r="D387" s="0" t="inlineStr">
        <is>
          <t>해찬솔</t>
        </is>
      </c>
      <c r="E387" s="0" t="inlineStr">
        <is>
          <t>2013.01.</t>
        </is>
      </c>
      <c r="F387" s="0" t="n">
        <v>16</v>
      </c>
      <c r="G387" s="0" t="n">
        <v>6.16</v>
      </c>
      <c r="H387" s="0" t="n">
        <v>20.38</v>
      </c>
      <c r="I387" s="0" t="n">
        <v>4.2</v>
      </c>
      <c r="J387" s="0" t="n">
        <v>13.89</v>
      </c>
      <c r="K387" s="0" t="n">
        <v>3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20</v>
      </c>
      <c r="X387" s="0" t="n">
        <v>6</v>
      </c>
      <c r="Y387" s="0" t="n">
        <v>6</v>
      </c>
      <c r="Z387" s="0" t="inlineStr">
        <is>
          <t>https://new.land.naver.com/complexes/142807?tab=detail&amp;rf=Y</t>
        </is>
      </c>
      <c r="AA387" s="0" t="inlineStr">
        <is>
          <t>경기도 하남시 신장동 430-9</t>
        </is>
      </c>
      <c r="AB387" s="0" t="inlineStr">
        <is>
          <t>경기도</t>
        </is>
      </c>
      <c r="AC387" s="0" t="inlineStr">
        <is>
          <t>하남시</t>
        </is>
      </c>
      <c r="AD387" s="0" t="inlineStr">
        <is>
          <t>신장동</t>
        </is>
      </c>
      <c r="AG387" s="0" t="inlineStr">
        <is>
          <t>경기도 하남시 대성로299번길 41</t>
        </is>
      </c>
      <c r="AH387" s="0" t="n">
        <v>0</v>
      </c>
      <c r="AI387" s="0" t="n">
        <v>340</v>
      </c>
      <c r="AJ387" s="0" t="n">
        <v>63</v>
      </c>
      <c r="AK387" s="0" t="n">
        <v>3</v>
      </c>
      <c r="AL387" s="0" t="n">
        <v>0.19</v>
      </c>
    </row>
    <row r="388">
      <c r="A388" s="0" t="inlineStr">
        <is>
          <t>[신장동]</t>
        </is>
      </c>
      <c r="B388" s="0" t="n">
        <v>142807</v>
      </c>
      <c r="C388" s="0" t="n">
        <v>4</v>
      </c>
      <c r="D388" s="0" t="inlineStr">
        <is>
          <t>해찬솔</t>
        </is>
      </c>
      <c r="E388" s="0" t="inlineStr">
        <is>
          <t>2013.01.</t>
        </is>
      </c>
      <c r="F388" s="0" t="n">
        <v>16</v>
      </c>
      <c r="G388" s="0" t="n">
        <v>6.65</v>
      </c>
      <c r="H388" s="0" t="n">
        <v>21.99</v>
      </c>
      <c r="I388" s="0" t="n">
        <v>4.53</v>
      </c>
      <c r="J388" s="0" t="n">
        <v>14.99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inlineStr">
        <is>
          <t>21A</t>
        </is>
      </c>
      <c r="X388" s="0" t="n">
        <v>6</v>
      </c>
      <c r="Y388" s="0" t="n">
        <v>6</v>
      </c>
      <c r="Z388" s="0" t="inlineStr">
        <is>
          <t>https://new.land.naver.com/complexes/142807?tab=detail&amp;rf=Y</t>
        </is>
      </c>
      <c r="AA388" s="0" t="inlineStr">
        <is>
          <t>경기도 하남시 신장동 430-9</t>
        </is>
      </c>
      <c r="AB388" s="0" t="inlineStr">
        <is>
          <t>경기도</t>
        </is>
      </c>
      <c r="AC388" s="0" t="inlineStr">
        <is>
          <t>하남시</t>
        </is>
      </c>
      <c r="AD388" s="0" t="inlineStr">
        <is>
          <t>신장동</t>
        </is>
      </c>
      <c r="AG388" s="0" t="inlineStr">
        <is>
          <t>경기도 하남시 대성로299번길 41</t>
        </is>
      </c>
      <c r="AH388" s="0" t="n">
        <v>0</v>
      </c>
      <c r="AI388" s="0" t="n">
        <v>340</v>
      </c>
      <c r="AJ388" s="0" t="n">
        <v>63</v>
      </c>
      <c r="AK388" s="0" t="n">
        <v>3</v>
      </c>
      <c r="AL388" s="0" t="n">
        <v>0.19</v>
      </c>
    </row>
    <row r="389">
      <c r="A389" s="0" t="inlineStr">
        <is>
          <t>[신장동]</t>
        </is>
      </c>
      <c r="B389" s="0" t="n">
        <v>142807</v>
      </c>
      <c r="C389" s="0" t="n">
        <v>5</v>
      </c>
      <c r="D389" s="0" t="inlineStr">
        <is>
          <t>해찬솔</t>
        </is>
      </c>
      <c r="E389" s="0" t="inlineStr">
        <is>
          <t>2013.01.</t>
        </is>
      </c>
      <c r="F389" s="0" t="n">
        <v>16</v>
      </c>
      <c r="G389" s="0" t="n">
        <v>6.67</v>
      </c>
      <c r="H389" s="0" t="n">
        <v>22.05</v>
      </c>
      <c r="I389" s="0" t="n">
        <v>4.54</v>
      </c>
      <c r="J389" s="0" t="n">
        <v>15.03</v>
      </c>
      <c r="K389" s="0" t="n">
        <v>6</v>
      </c>
      <c r="T389" s="0" t="n">
        <v>1</v>
      </c>
      <c r="U389" s="0" t="n">
        <v>1</v>
      </c>
      <c r="V389" s="0" t="inlineStr">
        <is>
          <t>계단식</t>
        </is>
      </c>
      <c r="W389" s="0" t="inlineStr">
        <is>
          <t>22B</t>
        </is>
      </c>
      <c r="X389" s="0" t="n">
        <v>6</v>
      </c>
      <c r="Y389" s="0" t="n">
        <v>6</v>
      </c>
      <c r="Z389" s="0" t="inlineStr">
        <is>
          <t>https://new.land.naver.com/complexes/142807?tab=detail&amp;rf=Y</t>
        </is>
      </c>
      <c r="AA389" s="0" t="inlineStr">
        <is>
          <t>경기도 하남시 신장동 430-9</t>
        </is>
      </c>
      <c r="AB389" s="0" t="inlineStr">
        <is>
          <t>경기도</t>
        </is>
      </c>
      <c r="AC389" s="0" t="inlineStr">
        <is>
          <t>하남시</t>
        </is>
      </c>
      <c r="AD389" s="0" t="inlineStr">
        <is>
          <t>신장동</t>
        </is>
      </c>
      <c r="AG389" s="0" t="inlineStr">
        <is>
          <t>경기도 하남시 대성로299번길 41</t>
        </is>
      </c>
      <c r="AH389" s="0" t="n">
        <v>0</v>
      </c>
      <c r="AI389" s="0" t="n">
        <v>340</v>
      </c>
      <c r="AJ389" s="0" t="n">
        <v>63</v>
      </c>
      <c r="AK389" s="0" t="n">
        <v>3</v>
      </c>
      <c r="AL389" s="0" t="n">
        <v>0.19</v>
      </c>
    </row>
    <row r="390">
      <c r="A390" s="0" t="inlineStr">
        <is>
          <t>[신장동]</t>
        </is>
      </c>
      <c r="B390" s="0" t="n">
        <v>142807</v>
      </c>
      <c r="C390" s="0" t="n">
        <v>6</v>
      </c>
      <c r="D390" s="0" t="inlineStr">
        <is>
          <t>해찬솔</t>
        </is>
      </c>
      <c r="E390" s="0" t="inlineStr">
        <is>
          <t>2013.01.</t>
        </is>
      </c>
      <c r="F390" s="0" t="n">
        <v>16</v>
      </c>
      <c r="G390" s="0" t="n">
        <v>7.33</v>
      </c>
      <c r="H390" s="0" t="n">
        <v>24.24</v>
      </c>
      <c r="I390" s="0" t="n">
        <v>4.99</v>
      </c>
      <c r="J390" s="0" t="n">
        <v>16.52</v>
      </c>
      <c r="K390" s="0" t="n">
        <v>3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24C</t>
        </is>
      </c>
      <c r="X390" s="0" t="n">
        <v>6</v>
      </c>
      <c r="Y390" s="0" t="n">
        <v>6</v>
      </c>
      <c r="Z390" s="0" t="inlineStr">
        <is>
          <t>https://new.land.naver.com/complexes/142807?tab=detail&amp;rf=Y</t>
        </is>
      </c>
      <c r="AA390" s="0" t="inlineStr">
        <is>
          <t>경기도 하남시 신장동 430-9</t>
        </is>
      </c>
      <c r="AB390" s="0" t="inlineStr">
        <is>
          <t>경기도</t>
        </is>
      </c>
      <c r="AC390" s="0" t="inlineStr">
        <is>
          <t>하남시</t>
        </is>
      </c>
      <c r="AD390" s="0" t="inlineStr">
        <is>
          <t>신장동</t>
        </is>
      </c>
      <c r="AG390" s="0" t="inlineStr">
        <is>
          <t>경기도 하남시 대성로299번길 41</t>
        </is>
      </c>
      <c r="AH390" s="0" t="n">
        <v>0</v>
      </c>
      <c r="AI390" s="0" t="n">
        <v>340</v>
      </c>
      <c r="AJ390" s="0" t="n">
        <v>63</v>
      </c>
      <c r="AK390" s="0" t="n">
        <v>3</v>
      </c>
      <c r="AL390" s="0" t="n">
        <v>0.19</v>
      </c>
    </row>
    <row r="391">
      <c r="A391" s="0" t="inlineStr">
        <is>
          <t>[신장동]</t>
        </is>
      </c>
      <c r="B391" s="0" t="n">
        <v>101357</v>
      </c>
      <c r="C391" s="0" t="n">
        <v>1</v>
      </c>
      <c r="D391" s="0" t="inlineStr">
        <is>
          <t>하남두산위브파크</t>
        </is>
      </c>
      <c r="E391" s="0" t="inlineStr">
        <is>
          <t>2010.09.</t>
        </is>
      </c>
      <c r="F391" s="0" t="n">
        <v>189</v>
      </c>
      <c r="G391" s="0" t="n">
        <v>53.21</v>
      </c>
      <c r="H391" s="0" t="n">
        <v>175.92</v>
      </c>
      <c r="I391" s="0" t="n">
        <v>41.82</v>
      </c>
      <c r="J391" s="0" t="n">
        <v>138.27</v>
      </c>
      <c r="K391" s="0" t="n">
        <v>48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175A</t>
        </is>
      </c>
      <c r="X391" s="0" t="n">
        <v>20</v>
      </c>
      <c r="Y391" s="0" t="n">
        <v>20</v>
      </c>
      <c r="Z391" s="0" t="inlineStr">
        <is>
          <t>https://new.land.naver.com/complexes/101357?tab=detail&amp;rf=Y</t>
        </is>
      </c>
      <c r="AA391" s="0" t="inlineStr">
        <is>
          <t>경기도 하남시 신장동 570</t>
        </is>
      </c>
      <c r="AB391" s="0" t="inlineStr">
        <is>
          <t>경기도</t>
        </is>
      </c>
      <c r="AC391" s="0" t="inlineStr">
        <is>
          <t>하남시</t>
        </is>
      </c>
      <c r="AD391" s="0" t="inlineStr">
        <is>
          <t>신장동</t>
        </is>
      </c>
      <c r="AG391" s="0" t="inlineStr">
        <is>
          <t>경기도 하남시 하남대로 747</t>
        </is>
      </c>
      <c r="AH391" s="0" t="n">
        <v>0</v>
      </c>
      <c r="AI391" s="0" t="n">
        <v>437</v>
      </c>
      <c r="AJ391" s="0" t="n">
        <v>58</v>
      </c>
      <c r="AK391" s="0" t="n">
        <v>1083</v>
      </c>
      <c r="AL391" s="0" t="n">
        <v>5.73</v>
      </c>
    </row>
    <row r="392">
      <c r="A392" s="0" t="inlineStr">
        <is>
          <t>[신장동]</t>
        </is>
      </c>
      <c r="B392" s="0" t="n">
        <v>101357</v>
      </c>
      <c r="C392" s="0" t="n">
        <v>2</v>
      </c>
      <c r="D392" s="0" t="inlineStr">
        <is>
          <t>하남두산위브파크</t>
        </is>
      </c>
      <c r="E392" s="0" t="inlineStr">
        <is>
          <t>2010.09.</t>
        </is>
      </c>
      <c r="F392" s="0" t="n">
        <v>189</v>
      </c>
      <c r="G392" s="0" t="n">
        <v>53.36</v>
      </c>
      <c r="H392" s="0" t="n">
        <v>176.42</v>
      </c>
      <c r="I392" s="0" t="n">
        <v>41.94</v>
      </c>
      <c r="J392" s="0" t="n">
        <v>138.66</v>
      </c>
      <c r="K392" s="0" t="n">
        <v>48</v>
      </c>
      <c r="T392" s="0" t="n">
        <v>4</v>
      </c>
      <c r="U392" s="0" t="n">
        <v>2</v>
      </c>
      <c r="V392" s="0" t="inlineStr">
        <is>
          <t>계단식</t>
        </is>
      </c>
      <c r="W392" s="0" t="inlineStr">
        <is>
          <t>176B</t>
        </is>
      </c>
      <c r="X392" s="0" t="n">
        <v>20</v>
      </c>
      <c r="Y392" s="0" t="n">
        <v>20</v>
      </c>
      <c r="Z392" s="0" t="inlineStr">
        <is>
          <t>https://new.land.naver.com/complexes/101357?tab=detail&amp;rf=Y</t>
        </is>
      </c>
      <c r="AA392" s="0" t="inlineStr">
        <is>
          <t>경기도 하남시 신장동 570</t>
        </is>
      </c>
      <c r="AB392" s="0" t="inlineStr">
        <is>
          <t>경기도</t>
        </is>
      </c>
      <c r="AC392" s="0" t="inlineStr">
        <is>
          <t>하남시</t>
        </is>
      </c>
      <c r="AD392" s="0" t="inlineStr">
        <is>
          <t>신장동</t>
        </is>
      </c>
      <c r="AG392" s="0" t="inlineStr">
        <is>
          <t>경기도 하남시 하남대로 747</t>
        </is>
      </c>
      <c r="AH392" s="0" t="n">
        <v>0</v>
      </c>
      <c r="AI392" s="0" t="n">
        <v>437</v>
      </c>
      <c r="AJ392" s="0" t="n">
        <v>58</v>
      </c>
      <c r="AK392" s="0" t="n">
        <v>1083</v>
      </c>
      <c r="AL392" s="0" t="n">
        <v>5.73</v>
      </c>
    </row>
    <row r="393">
      <c r="A393" s="0" t="inlineStr">
        <is>
          <t>[신장동]</t>
        </is>
      </c>
      <c r="B393" s="0" t="n">
        <v>101357</v>
      </c>
      <c r="C393" s="0" t="n">
        <v>3</v>
      </c>
      <c r="D393" s="0" t="inlineStr">
        <is>
          <t>하남두산위브파크</t>
        </is>
      </c>
      <c r="E393" s="0" t="inlineStr">
        <is>
          <t>2010.09.</t>
        </is>
      </c>
      <c r="F393" s="0" t="n">
        <v>189</v>
      </c>
      <c r="G393" s="0" t="n">
        <v>59.02</v>
      </c>
      <c r="H393" s="0" t="n">
        <v>195.13</v>
      </c>
      <c r="I393" s="0" t="n">
        <v>46.48</v>
      </c>
      <c r="J393" s="0" t="n">
        <v>153.67</v>
      </c>
      <c r="K393" s="0" t="n">
        <v>48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195B</t>
        </is>
      </c>
      <c r="X393" s="0" t="n">
        <v>20</v>
      </c>
      <c r="Y393" s="0" t="n">
        <v>20</v>
      </c>
      <c r="Z393" s="0" t="inlineStr">
        <is>
          <t>https://new.land.naver.com/complexes/101357?tab=detail&amp;rf=Y</t>
        </is>
      </c>
      <c r="AA393" s="0" t="inlineStr">
        <is>
          <t>경기도 하남시 신장동 570</t>
        </is>
      </c>
      <c r="AB393" s="0" t="inlineStr">
        <is>
          <t>경기도</t>
        </is>
      </c>
      <c r="AC393" s="0" t="inlineStr">
        <is>
          <t>하남시</t>
        </is>
      </c>
      <c r="AD393" s="0" t="inlineStr">
        <is>
          <t>신장동</t>
        </is>
      </c>
      <c r="AG393" s="0" t="inlineStr">
        <is>
          <t>경기도 하남시 하남대로 747</t>
        </is>
      </c>
      <c r="AH393" s="0" t="n">
        <v>0</v>
      </c>
      <c r="AI393" s="0" t="n">
        <v>437</v>
      </c>
      <c r="AJ393" s="0" t="n">
        <v>58</v>
      </c>
      <c r="AK393" s="0" t="n">
        <v>1083</v>
      </c>
      <c r="AL393" s="0" t="n">
        <v>5.73</v>
      </c>
    </row>
    <row r="394">
      <c r="A394" s="0" t="inlineStr">
        <is>
          <t>[신장동]</t>
        </is>
      </c>
      <c r="B394" s="0" t="n">
        <v>101357</v>
      </c>
      <c r="C394" s="0" t="n">
        <v>4</v>
      </c>
      <c r="D394" s="0" t="inlineStr">
        <is>
          <t>하남두산위브파크</t>
        </is>
      </c>
      <c r="E394" s="0" t="inlineStr">
        <is>
          <t>2010.09.</t>
        </is>
      </c>
      <c r="F394" s="0" t="n">
        <v>189</v>
      </c>
      <c r="G394" s="0" t="n">
        <v>59.02</v>
      </c>
      <c r="H394" s="0" t="n">
        <v>195.13</v>
      </c>
      <c r="I394" s="0" t="n">
        <v>46.48</v>
      </c>
      <c r="J394" s="0" t="n">
        <v>153.67</v>
      </c>
      <c r="K394" s="0" t="n">
        <v>45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195A</t>
        </is>
      </c>
      <c r="X394" s="0" t="n">
        <v>20</v>
      </c>
      <c r="Y394" s="0" t="n">
        <v>20</v>
      </c>
      <c r="Z394" s="0" t="inlineStr">
        <is>
          <t>https://new.land.naver.com/complexes/101357?tab=detail&amp;rf=Y</t>
        </is>
      </c>
      <c r="AA394" s="0" t="inlineStr">
        <is>
          <t>경기도 하남시 신장동 570</t>
        </is>
      </c>
      <c r="AB394" s="0" t="inlineStr">
        <is>
          <t>경기도</t>
        </is>
      </c>
      <c r="AC394" s="0" t="inlineStr">
        <is>
          <t>하남시</t>
        </is>
      </c>
      <c r="AD394" s="0" t="inlineStr">
        <is>
          <t>신장동</t>
        </is>
      </c>
      <c r="AG394" s="0" t="inlineStr">
        <is>
          <t>경기도 하남시 하남대로 747</t>
        </is>
      </c>
      <c r="AH394" s="0" t="n">
        <v>0</v>
      </c>
      <c r="AI394" s="0" t="n">
        <v>437</v>
      </c>
      <c r="AJ394" s="0" t="n">
        <v>58</v>
      </c>
      <c r="AK394" s="0" t="n">
        <v>1083</v>
      </c>
      <c r="AL394" s="0" t="n">
        <v>5.73</v>
      </c>
    </row>
    <row r="395">
      <c r="A395" s="0" t="inlineStr">
        <is>
          <t>[신장동]</t>
        </is>
      </c>
      <c r="B395" s="0" t="n">
        <v>117769</v>
      </c>
      <c r="C395" s="0" t="n">
        <v>1</v>
      </c>
      <c r="D395" s="0" t="inlineStr">
        <is>
          <t>하남유시티대명루첸리버파크</t>
        </is>
      </c>
      <c r="E395" s="0" t="inlineStr">
        <is>
          <t>2018.09.</t>
        </is>
      </c>
      <c r="F395" s="0" t="n">
        <v>854</v>
      </c>
      <c r="G395" s="0" t="n">
        <v>30.4</v>
      </c>
      <c r="H395" s="0" t="n">
        <v>100.51</v>
      </c>
      <c r="I395" s="0" t="n">
        <v>22.48</v>
      </c>
      <c r="J395" s="0" t="n">
        <v>74.34</v>
      </c>
      <c r="K395" s="0" t="n">
        <v>764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100</v>
      </c>
      <c r="X395" s="0" t="n">
        <v>25</v>
      </c>
      <c r="Y395" s="0" t="n">
        <v>20</v>
      </c>
      <c r="Z395" s="0" t="inlineStr">
        <is>
          <t>https://new.land.naver.com/complexes/117769?tab=detail&amp;rf=Y</t>
        </is>
      </c>
      <c r="AA395" s="0" t="inlineStr">
        <is>
          <t>경기도 하남시 신장동 593</t>
        </is>
      </c>
      <c r="AB395" s="0" t="inlineStr">
        <is>
          <t>경기도</t>
        </is>
      </c>
      <c r="AC395" s="0" t="inlineStr">
        <is>
          <t>하남시</t>
        </is>
      </c>
      <c r="AD395" s="0" t="inlineStr">
        <is>
          <t>신장동</t>
        </is>
      </c>
      <c r="AG395" s="0" t="inlineStr">
        <is>
          <t>경기도 하남시 하남유니온로 30</t>
        </is>
      </c>
      <c r="AH395" s="0" t="n">
        <v>0</v>
      </c>
      <c r="AI395" s="0" t="n">
        <v>199</v>
      </c>
      <c r="AJ395" s="0" t="n">
        <v>15</v>
      </c>
      <c r="AK395" s="0" t="n">
        <v>1120</v>
      </c>
      <c r="AL395" s="0" t="n">
        <v>1.31</v>
      </c>
    </row>
    <row r="396">
      <c r="A396" s="0" t="inlineStr">
        <is>
          <t>[신장동]</t>
        </is>
      </c>
      <c r="B396" s="0" t="n">
        <v>117769</v>
      </c>
      <c r="C396" s="0" t="n">
        <v>2</v>
      </c>
      <c r="D396" s="0" t="inlineStr">
        <is>
          <t>하남유시티대명루첸리버파크</t>
        </is>
      </c>
      <c r="E396" s="0" t="inlineStr">
        <is>
          <t>2018.09.</t>
        </is>
      </c>
      <c r="F396" s="0" t="n">
        <v>854</v>
      </c>
      <c r="G396" s="0" t="n">
        <v>30.5</v>
      </c>
      <c r="H396" s="0" t="n">
        <v>100.83</v>
      </c>
      <c r="I396" s="0" t="n">
        <v>22.49</v>
      </c>
      <c r="J396" s="0" t="n">
        <v>74.38</v>
      </c>
      <c r="K396" s="0" t="n">
        <v>90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100</v>
      </c>
      <c r="X396" s="0" t="n">
        <v>25</v>
      </c>
      <c r="Y396" s="0" t="n">
        <v>20</v>
      </c>
      <c r="Z396" s="0" t="inlineStr">
        <is>
          <t>https://new.land.naver.com/complexes/117769?tab=detail&amp;rf=Y</t>
        </is>
      </c>
      <c r="AA396" s="0" t="inlineStr">
        <is>
          <t>경기도 하남시 신장동 593</t>
        </is>
      </c>
      <c r="AB396" s="0" t="inlineStr">
        <is>
          <t>경기도</t>
        </is>
      </c>
      <c r="AC396" s="0" t="inlineStr">
        <is>
          <t>하남시</t>
        </is>
      </c>
      <c r="AD396" s="0" t="inlineStr">
        <is>
          <t>신장동</t>
        </is>
      </c>
      <c r="AG396" s="0" t="inlineStr">
        <is>
          <t>경기도 하남시 하남유니온로 30</t>
        </is>
      </c>
      <c r="AH396" s="0" t="n">
        <v>0</v>
      </c>
      <c r="AI396" s="0" t="n">
        <v>199</v>
      </c>
      <c r="AJ396" s="0" t="n">
        <v>15</v>
      </c>
      <c r="AK396" s="0" t="n">
        <v>1120</v>
      </c>
      <c r="AL396" s="0" t="n">
        <v>1.31</v>
      </c>
    </row>
    <row r="397">
      <c r="A397" s="0" t="inlineStr">
        <is>
          <t>[신장동]</t>
        </is>
      </c>
      <c r="B397" s="0" t="n">
        <v>9443</v>
      </c>
      <c r="C397" s="0" t="n">
        <v>1</v>
      </c>
      <c r="D397" s="0" t="inlineStr">
        <is>
          <t>석바대마을동신</t>
        </is>
      </c>
      <c r="E397" s="0" t="inlineStr">
        <is>
          <t>2001.05.</t>
        </is>
      </c>
      <c r="F397" s="0" t="n">
        <v>149</v>
      </c>
      <c r="G397" s="0" t="n">
        <v>31.52</v>
      </c>
      <c r="H397" s="0" t="n">
        <v>104.2</v>
      </c>
      <c r="I397" s="0" t="n">
        <v>25.7</v>
      </c>
      <c r="J397" s="0" t="n">
        <v>84.97</v>
      </c>
      <c r="K397" s="0" t="n">
        <v>109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104A</t>
        </is>
      </c>
      <c r="X397" s="0" t="n">
        <v>20</v>
      </c>
      <c r="Y397" s="0" t="n">
        <v>12</v>
      </c>
      <c r="Z397" s="0" t="inlineStr">
        <is>
          <t>https://new.land.naver.com/complexes/9443?tab=detail&amp;rf=Y</t>
        </is>
      </c>
      <c r="AA397" s="0" t="inlineStr">
        <is>
          <t>경기도 하남시 신장동 452-1</t>
        </is>
      </c>
      <c r="AB397" s="0" t="inlineStr">
        <is>
          <t>경기도</t>
        </is>
      </c>
      <c r="AC397" s="0" t="inlineStr">
        <is>
          <t>하남시</t>
        </is>
      </c>
      <c r="AD397" s="0" t="inlineStr">
        <is>
          <t>신장동</t>
        </is>
      </c>
      <c r="AG397" s="0" t="inlineStr">
        <is>
          <t>경기도 하남시 하남대로739번길 54</t>
        </is>
      </c>
      <c r="AH397" s="0" t="n">
        <v>0</v>
      </c>
      <c r="AI397" s="0" t="n">
        <v>368</v>
      </c>
      <c r="AJ397" s="0" t="n">
        <v>26</v>
      </c>
      <c r="AK397" s="0" t="n">
        <v>150</v>
      </c>
      <c r="AL397" s="0" t="n">
        <v>1.01</v>
      </c>
    </row>
    <row r="398">
      <c r="A398" s="0" t="inlineStr">
        <is>
          <t>[신장동]</t>
        </is>
      </c>
      <c r="B398" s="0" t="n">
        <v>9443</v>
      </c>
      <c r="C398" s="0" t="n">
        <v>2</v>
      </c>
      <c r="D398" s="0" t="inlineStr">
        <is>
          <t>석바대마을동신</t>
        </is>
      </c>
      <c r="E398" s="0" t="inlineStr">
        <is>
          <t>2001.05.</t>
        </is>
      </c>
      <c r="F398" s="0" t="n">
        <v>149</v>
      </c>
      <c r="G398" s="0" t="n">
        <v>31.52</v>
      </c>
      <c r="H398" s="0" t="n">
        <v>104.2</v>
      </c>
      <c r="I398" s="0" t="n">
        <v>25.7</v>
      </c>
      <c r="J398" s="0" t="n">
        <v>84.97</v>
      </c>
      <c r="K398" s="0" t="n">
        <v>40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104B</t>
        </is>
      </c>
      <c r="X398" s="0" t="n">
        <v>20</v>
      </c>
      <c r="Y398" s="0" t="n">
        <v>12</v>
      </c>
      <c r="Z398" s="0" t="inlineStr">
        <is>
          <t>https://new.land.naver.com/complexes/9443?tab=detail&amp;rf=Y</t>
        </is>
      </c>
      <c r="AA398" s="0" t="inlineStr">
        <is>
          <t>경기도 하남시 신장동 452-1</t>
        </is>
      </c>
      <c r="AB398" s="0" t="inlineStr">
        <is>
          <t>경기도</t>
        </is>
      </c>
      <c r="AC398" s="0" t="inlineStr">
        <is>
          <t>하남시</t>
        </is>
      </c>
      <c r="AD398" s="0" t="inlineStr">
        <is>
          <t>신장동</t>
        </is>
      </c>
      <c r="AG398" s="0" t="inlineStr">
        <is>
          <t>경기도 하남시 하남대로739번길 54</t>
        </is>
      </c>
      <c r="AH398" s="0" t="n">
        <v>0</v>
      </c>
      <c r="AI398" s="0" t="n">
        <v>368</v>
      </c>
      <c r="AJ398" s="0" t="n">
        <v>26</v>
      </c>
      <c r="AK398" s="0" t="n">
        <v>150</v>
      </c>
      <c r="AL398" s="0" t="n">
        <v>1.01</v>
      </c>
    </row>
    <row r="399">
      <c r="A399" s="0" t="inlineStr">
        <is>
          <t>[신장동]</t>
        </is>
      </c>
      <c r="B399" s="0" t="n">
        <v>127009</v>
      </c>
      <c r="C399" s="0" t="n">
        <v>1</v>
      </c>
      <c r="D399" s="0" t="inlineStr">
        <is>
          <t>그린나래(430-35)</t>
        </is>
      </c>
      <c r="E399" s="0" t="inlineStr">
        <is>
          <t>2019.08.</t>
        </is>
      </c>
      <c r="F399" s="0" t="n">
        <v>61</v>
      </c>
      <c r="G399" s="0" t="n">
        <v>21.14</v>
      </c>
      <c r="H399" s="0" t="n">
        <v>69.91</v>
      </c>
      <c r="I399" s="0" t="n">
        <v>17.96</v>
      </c>
      <c r="J399" s="0" t="n">
        <v>59.4</v>
      </c>
      <c r="K399" s="0" t="n">
        <v>15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69A</t>
        </is>
      </c>
      <c r="X399" s="0" t="n">
        <v>18</v>
      </c>
      <c r="Y399" s="0" t="n">
        <v>17</v>
      </c>
      <c r="Z399" s="0" t="inlineStr">
        <is>
          <t>https://new.land.naver.com/complexes/127009?tab=detail&amp;rf=Y</t>
        </is>
      </c>
      <c r="AA399" s="0" t="inlineStr">
        <is>
          <t>경기도 하남시 신장동 430-35</t>
        </is>
      </c>
      <c r="AB399" s="0" t="inlineStr">
        <is>
          <t>경기도</t>
        </is>
      </c>
      <c r="AC399" s="0" t="inlineStr">
        <is>
          <t>하남시</t>
        </is>
      </c>
      <c r="AD399" s="0" t="inlineStr">
        <is>
          <t>신장동</t>
        </is>
      </c>
      <c r="AG399" s="0" t="inlineStr">
        <is>
          <t>경기도 하남시 신장1로3번길 35</t>
        </is>
      </c>
      <c r="AH399" s="0" t="n">
        <v>0</v>
      </c>
      <c r="AI399" s="0" t="n">
        <v>580</v>
      </c>
      <c r="AJ399" s="0" t="n">
        <v>57</v>
      </c>
      <c r="AK399" s="0" t="n">
        <v>63</v>
      </c>
      <c r="AL399" s="0" t="n">
        <v>1.03</v>
      </c>
    </row>
    <row r="400">
      <c r="A400" s="0" t="inlineStr">
        <is>
          <t>[신장동]</t>
        </is>
      </c>
      <c r="B400" s="0" t="n">
        <v>127009</v>
      </c>
      <c r="C400" s="0" t="n">
        <v>2</v>
      </c>
      <c r="D400" s="0" t="inlineStr">
        <is>
          <t>그린나래(430-35)</t>
        </is>
      </c>
      <c r="E400" s="0" t="inlineStr">
        <is>
          <t>2019.08.</t>
        </is>
      </c>
      <c r="F400" s="0" t="n">
        <v>61</v>
      </c>
      <c r="G400" s="0" t="n">
        <v>21.32</v>
      </c>
      <c r="H400" s="0" t="n">
        <v>70.48999999999999</v>
      </c>
      <c r="I400" s="0" t="n">
        <v>18.11</v>
      </c>
      <c r="J400" s="0" t="n">
        <v>59.89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70D</t>
        </is>
      </c>
      <c r="X400" s="0" t="n">
        <v>18</v>
      </c>
      <c r="Y400" s="0" t="n">
        <v>17</v>
      </c>
      <c r="Z400" s="0" t="inlineStr">
        <is>
          <t>https://new.land.naver.com/complexes/127009?tab=detail&amp;rf=Y</t>
        </is>
      </c>
      <c r="AA400" s="0" t="inlineStr">
        <is>
          <t>경기도 하남시 신장동 430-35</t>
        </is>
      </c>
      <c r="AB400" s="0" t="inlineStr">
        <is>
          <t>경기도</t>
        </is>
      </c>
      <c r="AC400" s="0" t="inlineStr">
        <is>
          <t>하남시</t>
        </is>
      </c>
      <c r="AD400" s="0" t="inlineStr">
        <is>
          <t>신장동</t>
        </is>
      </c>
      <c r="AG400" s="0" t="inlineStr">
        <is>
          <t>경기도 하남시 신장1로3번길 35</t>
        </is>
      </c>
      <c r="AH400" s="0" t="n">
        <v>0</v>
      </c>
      <c r="AI400" s="0" t="n">
        <v>580</v>
      </c>
      <c r="AJ400" s="0" t="n">
        <v>57</v>
      </c>
      <c r="AK400" s="0" t="n">
        <v>63</v>
      </c>
      <c r="AL400" s="0" t="n">
        <v>1.03</v>
      </c>
    </row>
    <row r="401">
      <c r="A401" s="0" t="inlineStr">
        <is>
          <t>[신장동]</t>
        </is>
      </c>
      <c r="B401" s="0" t="n">
        <v>127009</v>
      </c>
      <c r="C401" s="0" t="n">
        <v>3</v>
      </c>
      <c r="D401" s="0" t="inlineStr">
        <is>
          <t>그린나래(430-35)</t>
        </is>
      </c>
      <c r="E401" s="0" t="inlineStr">
        <is>
          <t>2019.08.</t>
        </is>
      </c>
      <c r="F401" s="0" t="n">
        <v>61</v>
      </c>
      <c r="G401" s="0" t="n">
        <v>21.3</v>
      </c>
      <c r="H401" s="0" t="n">
        <v>70.42</v>
      </c>
      <c r="I401" s="0" t="n">
        <v>18.09</v>
      </c>
      <c r="J401" s="0" t="n">
        <v>59.83</v>
      </c>
      <c r="K401" s="0" t="n">
        <v>15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70B</t>
        </is>
      </c>
      <c r="X401" s="0" t="n">
        <v>18</v>
      </c>
      <c r="Y401" s="0" t="n">
        <v>17</v>
      </c>
      <c r="Z401" s="0" t="inlineStr">
        <is>
          <t>https://new.land.naver.com/complexes/127009?tab=detail&amp;rf=Y</t>
        </is>
      </c>
      <c r="AA401" s="0" t="inlineStr">
        <is>
          <t>경기도 하남시 신장동 430-35</t>
        </is>
      </c>
      <c r="AB401" s="0" t="inlineStr">
        <is>
          <t>경기도</t>
        </is>
      </c>
      <c r="AC401" s="0" t="inlineStr">
        <is>
          <t>하남시</t>
        </is>
      </c>
      <c r="AD401" s="0" t="inlineStr">
        <is>
          <t>신장동</t>
        </is>
      </c>
      <c r="AG401" s="0" t="inlineStr">
        <is>
          <t>경기도 하남시 신장1로3번길 35</t>
        </is>
      </c>
      <c r="AH401" s="0" t="n">
        <v>0</v>
      </c>
      <c r="AI401" s="0" t="n">
        <v>580</v>
      </c>
      <c r="AJ401" s="0" t="n">
        <v>57</v>
      </c>
      <c r="AK401" s="0" t="n">
        <v>63</v>
      </c>
      <c r="AL401" s="0" t="n">
        <v>1.03</v>
      </c>
    </row>
    <row r="402">
      <c r="A402" s="0" t="inlineStr">
        <is>
          <t>[신장동]</t>
        </is>
      </c>
      <c r="B402" s="0" t="n">
        <v>127009</v>
      </c>
      <c r="C402" s="0" t="n">
        <v>4</v>
      </c>
      <c r="D402" s="0" t="inlineStr">
        <is>
          <t>그린나래(430-35)</t>
        </is>
      </c>
      <c r="E402" s="0" t="inlineStr">
        <is>
          <t>2019.08.</t>
        </is>
      </c>
      <c r="F402" s="0" t="n">
        <v>61</v>
      </c>
      <c r="G402" s="0" t="n">
        <v>21.32</v>
      </c>
      <c r="H402" s="0" t="n">
        <v>70.48</v>
      </c>
      <c r="I402" s="0" t="n">
        <v>18.11</v>
      </c>
      <c r="J402" s="0" t="n">
        <v>59.88</v>
      </c>
      <c r="K402" s="0" t="n">
        <v>15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70C</t>
        </is>
      </c>
      <c r="X402" s="0" t="n">
        <v>18</v>
      </c>
      <c r="Y402" s="0" t="n">
        <v>17</v>
      </c>
      <c r="Z402" s="0" t="inlineStr">
        <is>
          <t>https://new.land.naver.com/complexes/127009?tab=detail&amp;rf=Y</t>
        </is>
      </c>
      <c r="AA402" s="0" t="inlineStr">
        <is>
          <t>경기도 하남시 신장동 430-35</t>
        </is>
      </c>
      <c r="AB402" s="0" t="inlineStr">
        <is>
          <t>경기도</t>
        </is>
      </c>
      <c r="AC402" s="0" t="inlineStr">
        <is>
          <t>하남시</t>
        </is>
      </c>
      <c r="AD402" s="0" t="inlineStr">
        <is>
          <t>신장동</t>
        </is>
      </c>
      <c r="AG402" s="0" t="inlineStr">
        <is>
          <t>경기도 하남시 신장1로3번길 35</t>
        </is>
      </c>
      <c r="AH402" s="0" t="n">
        <v>0</v>
      </c>
      <c r="AI402" s="0" t="n">
        <v>580</v>
      </c>
      <c r="AJ402" s="0" t="n">
        <v>57</v>
      </c>
      <c r="AK402" s="0" t="n">
        <v>63</v>
      </c>
      <c r="AL402" s="0" t="n">
        <v>1.03</v>
      </c>
    </row>
    <row r="403">
      <c r="A403" s="0" t="inlineStr">
        <is>
          <t>[신장동]</t>
        </is>
      </c>
      <c r="B403" s="0" t="n">
        <v>2153</v>
      </c>
      <c r="C403" s="0" t="n">
        <v>1</v>
      </c>
      <c r="D403" s="0" t="inlineStr">
        <is>
          <t>백조현대</t>
        </is>
      </c>
      <c r="E403" s="0" t="inlineStr">
        <is>
          <t>1994.07.</t>
        </is>
      </c>
      <c r="F403" s="0" t="n">
        <v>880</v>
      </c>
      <c r="G403" s="0" t="n">
        <v>20.63</v>
      </c>
      <c r="H403" s="0" t="n">
        <v>68.20999999999999</v>
      </c>
      <c r="I403" s="0" t="n">
        <v>15.11</v>
      </c>
      <c r="J403" s="0" t="n">
        <v>49.98</v>
      </c>
      <c r="K403" s="0" t="n">
        <v>880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20</v>
      </c>
      <c r="Z403" s="0" t="inlineStr">
        <is>
          <t>https://new.land.naver.com/complexes/2153?tab=detail&amp;rf=Y</t>
        </is>
      </c>
      <c r="AA403" s="0" t="inlineStr">
        <is>
          <t>경기도 하남시 신장동 528</t>
        </is>
      </c>
      <c r="AB403" s="0" t="inlineStr">
        <is>
          <t>경기도</t>
        </is>
      </c>
      <c r="AC403" s="0" t="inlineStr">
        <is>
          <t>하남시</t>
        </is>
      </c>
      <c r="AD403" s="0" t="inlineStr">
        <is>
          <t>신장동</t>
        </is>
      </c>
      <c r="AG403" s="0" t="inlineStr">
        <is>
          <t>경기도 하남시 대청로 62</t>
        </is>
      </c>
      <c r="AH403" s="0" t="n">
        <v>0</v>
      </c>
      <c r="AI403" s="0" t="n">
        <v>235</v>
      </c>
      <c r="AJ403" s="0" t="n">
        <v>19</v>
      </c>
      <c r="AK403" s="0" t="n">
        <v>382</v>
      </c>
      <c r="AL403" s="0" t="n">
        <v>0.43</v>
      </c>
    </row>
    <row r="404">
      <c r="A404" s="0" t="inlineStr">
        <is>
          <t>[신장동]</t>
        </is>
      </c>
      <c r="B404" s="0" t="n">
        <v>2152</v>
      </c>
      <c r="C404" s="0" t="n">
        <v>1</v>
      </c>
      <c r="D404" s="0" t="inlineStr">
        <is>
          <t>동아</t>
        </is>
      </c>
      <c r="E404" s="0" t="inlineStr">
        <is>
          <t>1985.12.</t>
        </is>
      </c>
      <c r="F404" s="0" t="n">
        <v>55</v>
      </c>
      <c r="G404" s="0" t="n">
        <v>15.07</v>
      </c>
      <c r="H404" s="0" t="n">
        <v>49.83</v>
      </c>
      <c r="I404" s="0" t="n">
        <v>15.07</v>
      </c>
      <c r="J404" s="0" t="n">
        <v>49.83</v>
      </c>
      <c r="K404" s="0" t="n">
        <v>55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49</v>
      </c>
      <c r="X404" s="0" t="n">
        <v>5</v>
      </c>
      <c r="Y404" s="0" t="n">
        <v>5</v>
      </c>
      <c r="Z404" s="0" t="inlineStr">
        <is>
          <t>https://new.land.naver.com/complexes/2152?tab=detail&amp;rf=Y</t>
        </is>
      </c>
      <c r="AA404" s="0" t="inlineStr">
        <is>
          <t>경기도 하남시 신장동 381-8</t>
        </is>
      </c>
      <c r="AB404" s="0" t="inlineStr">
        <is>
          <t>경기도</t>
        </is>
      </c>
      <c r="AC404" s="0" t="inlineStr">
        <is>
          <t>하남시</t>
        </is>
      </c>
      <c r="AD404" s="0" t="inlineStr">
        <is>
          <t>신장동</t>
        </is>
      </c>
      <c r="AG404" s="0" t="inlineStr">
        <is>
          <t>경기도 하남시 하남대로784번안길 35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[신장동]</t>
        </is>
      </c>
      <c r="B405" s="0" t="n">
        <v>2149</v>
      </c>
      <c r="C405" s="0" t="n">
        <v>1</v>
      </c>
      <c r="D405" s="0" t="inlineStr">
        <is>
          <t>백송한신</t>
        </is>
      </c>
      <c r="E405" s="0" t="inlineStr">
        <is>
          <t>1994.06.</t>
        </is>
      </c>
      <c r="F405" s="0" t="n">
        <v>641</v>
      </c>
      <c r="G405" s="0" t="n">
        <v>20.4</v>
      </c>
      <c r="H405" s="0" t="n">
        <v>67.44</v>
      </c>
      <c r="I405" s="0" t="n">
        <v>15.11</v>
      </c>
      <c r="J405" s="0" t="n">
        <v>49.98</v>
      </c>
      <c r="K405" s="0" t="n">
        <v>641</v>
      </c>
      <c r="T405" s="0" t="n">
        <v>2</v>
      </c>
      <c r="U405" s="0" t="n">
        <v>1</v>
      </c>
      <c r="V405" s="0" t="inlineStr">
        <is>
          <t>복도식</t>
        </is>
      </c>
      <c r="W405" s="0" t="n">
        <v>67</v>
      </c>
      <c r="X405" s="0" t="n">
        <v>18</v>
      </c>
      <c r="Y405" s="0" t="n">
        <v>17</v>
      </c>
      <c r="Z405" s="0" t="inlineStr">
        <is>
          <t>https://new.land.naver.com/complexes/2149?tab=detail&amp;rf=Y</t>
        </is>
      </c>
      <c r="AA405" s="0" t="inlineStr">
        <is>
          <t>경기도 하남시 신장동 528-5</t>
        </is>
      </c>
      <c r="AB405" s="0" t="inlineStr">
        <is>
          <t>경기도</t>
        </is>
      </c>
      <c r="AC405" s="0" t="inlineStr">
        <is>
          <t>하남시</t>
        </is>
      </c>
      <c r="AD405" s="0" t="inlineStr">
        <is>
          <t>신장동</t>
        </is>
      </c>
      <c r="AG405" s="0" t="inlineStr">
        <is>
          <t>경기도 하남시 대청로 50</t>
        </is>
      </c>
      <c r="AH405" s="0" t="n">
        <v>0</v>
      </c>
      <c r="AI405" s="0" t="n">
        <v>219</v>
      </c>
      <c r="AJ405" s="0" t="n">
        <v>20</v>
      </c>
      <c r="AK405" s="0" t="n">
        <v>650</v>
      </c>
      <c r="AL405" s="0" t="n">
        <v>1.01</v>
      </c>
    </row>
    <row r="406">
      <c r="A406" s="0" t="inlineStr">
        <is>
          <t>[신장동]</t>
        </is>
      </c>
      <c r="B406" s="0" t="n">
        <v>9576</v>
      </c>
      <c r="C406" s="0" t="n">
        <v>1</v>
      </c>
      <c r="D406" s="0" t="inlineStr">
        <is>
          <t>성원상떼빌</t>
        </is>
      </c>
      <c r="E406" s="0" t="inlineStr">
        <is>
          <t>2003.11.</t>
        </is>
      </c>
      <c r="F406" s="0" t="n">
        <v>234</v>
      </c>
      <c r="G406" s="0" t="n">
        <v>9.4</v>
      </c>
      <c r="H406" s="0" t="n">
        <v>31.09</v>
      </c>
      <c r="I406" s="0" t="n">
        <v>6.08</v>
      </c>
      <c r="J406" s="0" t="n">
        <v>20.13</v>
      </c>
      <c r="K406" s="0" t="n">
        <v>2</v>
      </c>
      <c r="T406" s="0" t="n">
        <v>2</v>
      </c>
      <c r="U406" s="0" t="n">
        <v>1</v>
      </c>
      <c r="V406" s="0" t="inlineStr">
        <is>
          <t>계단식</t>
        </is>
      </c>
      <c r="W406" s="0" t="n">
        <v>31</v>
      </c>
      <c r="X406" s="0" t="n">
        <v>18</v>
      </c>
      <c r="Y406" s="0" t="n">
        <v>4</v>
      </c>
      <c r="Z406" s="0" t="inlineStr">
        <is>
          <t>https://new.land.naver.com/complexes/9576?tab=detail&amp;rf=Y</t>
        </is>
      </c>
      <c r="AA406" s="0" t="inlineStr">
        <is>
          <t>경기도 하남시 신장동 430-7</t>
        </is>
      </c>
      <c r="AB406" s="0" t="inlineStr">
        <is>
          <t>경기도</t>
        </is>
      </c>
      <c r="AC406" s="0" t="inlineStr">
        <is>
          <t>하남시</t>
        </is>
      </c>
      <c r="AD406" s="0" t="inlineStr">
        <is>
          <t>신장동</t>
        </is>
      </c>
      <c r="AG406" s="0" t="inlineStr">
        <is>
          <t>경기도 하남시 신장로 104</t>
        </is>
      </c>
      <c r="AH406" s="0" t="n">
        <v>0</v>
      </c>
      <c r="AI406" s="0" t="n">
        <v>593</v>
      </c>
      <c r="AJ406" s="0" t="n">
        <v>80</v>
      </c>
      <c r="AK406" s="0" t="n">
        <v>224</v>
      </c>
      <c r="AL406" s="0" t="n">
        <v>0.96</v>
      </c>
    </row>
    <row r="407">
      <c r="A407" s="0" t="inlineStr">
        <is>
          <t>[신장동]</t>
        </is>
      </c>
      <c r="B407" s="0" t="n">
        <v>9576</v>
      </c>
      <c r="C407" s="0" t="n">
        <v>2</v>
      </c>
      <c r="D407" s="0" t="inlineStr">
        <is>
          <t>성원상떼빌</t>
        </is>
      </c>
      <c r="E407" s="0" t="inlineStr">
        <is>
          <t>2003.11.</t>
        </is>
      </c>
      <c r="F407" s="0" t="n">
        <v>234</v>
      </c>
      <c r="G407" s="0" t="n">
        <v>11.11</v>
      </c>
      <c r="H407" s="0" t="n">
        <v>36.73</v>
      </c>
      <c r="I407" s="0" t="n">
        <v>7.19</v>
      </c>
      <c r="J407" s="0" t="n">
        <v>23.79</v>
      </c>
      <c r="K407" s="0" t="n">
        <v>2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36Aa</t>
        </is>
      </c>
      <c r="X407" s="0" t="n">
        <v>18</v>
      </c>
      <c r="Y407" s="0" t="n">
        <v>4</v>
      </c>
      <c r="Z407" s="0" t="inlineStr">
        <is>
          <t>https://new.land.naver.com/complexes/9576?tab=detail&amp;rf=Y</t>
        </is>
      </c>
      <c r="AA407" s="0" t="inlineStr">
        <is>
          <t>경기도 하남시 신장동 430-7</t>
        </is>
      </c>
      <c r="AB407" s="0" t="inlineStr">
        <is>
          <t>경기도</t>
        </is>
      </c>
      <c r="AC407" s="0" t="inlineStr">
        <is>
          <t>하남시</t>
        </is>
      </c>
      <c r="AD407" s="0" t="inlineStr">
        <is>
          <t>신장동</t>
        </is>
      </c>
      <c r="AG407" s="0" t="inlineStr">
        <is>
          <t>경기도 하남시 신장로 104</t>
        </is>
      </c>
      <c r="AH407" s="0" t="n">
        <v>0</v>
      </c>
      <c r="AI407" s="0" t="n">
        <v>593</v>
      </c>
      <c r="AJ407" s="0" t="n">
        <v>80</v>
      </c>
      <c r="AK407" s="0" t="n">
        <v>224</v>
      </c>
      <c r="AL407" s="0" t="n">
        <v>0.96</v>
      </c>
    </row>
    <row r="408">
      <c r="A408" s="0" t="inlineStr">
        <is>
          <t>[신장동]</t>
        </is>
      </c>
      <c r="B408" s="0" t="n">
        <v>9576</v>
      </c>
      <c r="C408" s="0" t="n">
        <v>3</v>
      </c>
      <c r="D408" s="0" t="inlineStr">
        <is>
          <t>성원상떼빌</t>
        </is>
      </c>
      <c r="E408" s="0" t="inlineStr">
        <is>
          <t>2003.11.</t>
        </is>
      </c>
      <c r="F408" s="0" t="n">
        <v>234</v>
      </c>
      <c r="G408" s="0" t="n">
        <v>11.71</v>
      </c>
      <c r="H408" s="0" t="n">
        <v>38.73</v>
      </c>
      <c r="I408" s="0" t="n">
        <v>7.58</v>
      </c>
      <c r="J408" s="0" t="n">
        <v>25.08</v>
      </c>
      <c r="K408" s="0" t="n">
        <v>3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38B</t>
        </is>
      </c>
      <c r="X408" s="0" t="n">
        <v>18</v>
      </c>
      <c r="Y408" s="0" t="n">
        <v>4</v>
      </c>
      <c r="Z408" s="0" t="inlineStr">
        <is>
          <t>https://new.land.naver.com/complexes/9576?tab=detail&amp;rf=Y</t>
        </is>
      </c>
      <c r="AA408" s="0" t="inlineStr">
        <is>
          <t>경기도 하남시 신장동 430-7</t>
        </is>
      </c>
      <c r="AB408" s="0" t="inlineStr">
        <is>
          <t>경기도</t>
        </is>
      </c>
      <c r="AC408" s="0" t="inlineStr">
        <is>
          <t>하남시</t>
        </is>
      </c>
      <c r="AD408" s="0" t="inlineStr">
        <is>
          <t>신장동</t>
        </is>
      </c>
      <c r="AG408" s="0" t="inlineStr">
        <is>
          <t>경기도 하남시 신장로 104</t>
        </is>
      </c>
      <c r="AH408" s="0" t="n">
        <v>0</v>
      </c>
      <c r="AI408" s="0" t="n">
        <v>593</v>
      </c>
      <c r="AJ408" s="0" t="n">
        <v>80</v>
      </c>
      <c r="AK408" s="0" t="n">
        <v>224</v>
      </c>
      <c r="AL408" s="0" t="n">
        <v>0.96</v>
      </c>
    </row>
    <row r="409">
      <c r="A409" s="0" t="inlineStr">
        <is>
          <t>[신장동]</t>
        </is>
      </c>
      <c r="B409" s="0" t="n">
        <v>9576</v>
      </c>
      <c r="C409" s="0" t="n">
        <v>4</v>
      </c>
      <c r="D409" s="0" t="inlineStr">
        <is>
          <t>성원상떼빌</t>
        </is>
      </c>
      <c r="E409" s="0" t="inlineStr">
        <is>
          <t>2003.11.</t>
        </is>
      </c>
      <c r="F409" s="0" t="n">
        <v>234</v>
      </c>
      <c r="G409" s="0" t="n">
        <v>12.02</v>
      </c>
      <c r="H409" s="0" t="n">
        <v>39.75</v>
      </c>
      <c r="I409" s="0" t="n">
        <v>7.78</v>
      </c>
      <c r="J409" s="0" t="n">
        <v>25.74</v>
      </c>
      <c r="K409" s="0" t="n">
        <v>36</v>
      </c>
      <c r="T409" s="0" t="n">
        <v>1</v>
      </c>
      <c r="U409" s="0" t="n">
        <v>1</v>
      </c>
      <c r="V409" s="0" t="inlineStr">
        <is>
          <t>계단식</t>
        </is>
      </c>
      <c r="W409" s="0" t="inlineStr">
        <is>
          <t>39A</t>
        </is>
      </c>
      <c r="X409" s="0" t="n">
        <v>18</v>
      </c>
      <c r="Y409" s="0" t="n">
        <v>4</v>
      </c>
      <c r="Z409" s="0" t="inlineStr">
        <is>
          <t>https://new.land.naver.com/complexes/9576?tab=detail&amp;rf=Y</t>
        </is>
      </c>
      <c r="AA409" s="0" t="inlineStr">
        <is>
          <t>경기도 하남시 신장동 430-7</t>
        </is>
      </c>
      <c r="AB409" s="0" t="inlineStr">
        <is>
          <t>경기도</t>
        </is>
      </c>
      <c r="AC409" s="0" t="inlineStr">
        <is>
          <t>하남시</t>
        </is>
      </c>
      <c r="AD409" s="0" t="inlineStr">
        <is>
          <t>신장동</t>
        </is>
      </c>
      <c r="AG409" s="0" t="inlineStr">
        <is>
          <t>경기도 하남시 신장로 104</t>
        </is>
      </c>
      <c r="AH409" s="0" t="n">
        <v>0</v>
      </c>
      <c r="AI409" s="0" t="n">
        <v>593</v>
      </c>
      <c r="AJ409" s="0" t="n">
        <v>80</v>
      </c>
      <c r="AK409" s="0" t="n">
        <v>224</v>
      </c>
      <c r="AL409" s="0" t="n">
        <v>0.96</v>
      </c>
    </row>
    <row r="410">
      <c r="A410" s="0" t="inlineStr">
        <is>
          <t>[신장동]</t>
        </is>
      </c>
      <c r="B410" s="0" t="n">
        <v>9576</v>
      </c>
      <c r="C410" s="0" t="n">
        <v>5</v>
      </c>
      <c r="D410" s="0" t="inlineStr">
        <is>
          <t>성원상떼빌</t>
        </is>
      </c>
      <c r="E410" s="0" t="inlineStr">
        <is>
          <t>2003.11.</t>
        </is>
      </c>
      <c r="F410" s="0" t="n">
        <v>234</v>
      </c>
      <c r="G410" s="0" t="n">
        <v>12.82</v>
      </c>
      <c r="H410" s="0" t="n">
        <v>42.39</v>
      </c>
      <c r="I410" s="0" t="n">
        <v>8.300000000000001</v>
      </c>
      <c r="J410" s="0" t="n">
        <v>27.45</v>
      </c>
      <c r="K410" s="0" t="n">
        <v>3</v>
      </c>
      <c r="T410" s="0" t="n">
        <v>1</v>
      </c>
      <c r="U410" s="0" t="n">
        <v>1</v>
      </c>
      <c r="V410" s="0" t="inlineStr">
        <is>
          <t>계단식</t>
        </is>
      </c>
      <c r="W410" s="0" t="n">
        <v>42</v>
      </c>
      <c r="X410" s="0" t="n">
        <v>18</v>
      </c>
      <c r="Y410" s="0" t="n">
        <v>4</v>
      </c>
      <c r="Z410" s="0" t="inlineStr">
        <is>
          <t>https://new.land.naver.com/complexes/9576?tab=detail&amp;rf=Y</t>
        </is>
      </c>
      <c r="AA410" s="0" t="inlineStr">
        <is>
          <t>경기도 하남시 신장동 430-7</t>
        </is>
      </c>
      <c r="AB410" s="0" t="inlineStr">
        <is>
          <t>경기도</t>
        </is>
      </c>
      <c r="AC410" s="0" t="inlineStr">
        <is>
          <t>하남시</t>
        </is>
      </c>
      <c r="AD410" s="0" t="inlineStr">
        <is>
          <t>신장동</t>
        </is>
      </c>
      <c r="AG410" s="0" t="inlineStr">
        <is>
          <t>경기도 하남시 신장로 104</t>
        </is>
      </c>
      <c r="AH410" s="0" t="n">
        <v>0</v>
      </c>
      <c r="AI410" s="0" t="n">
        <v>593</v>
      </c>
      <c r="AJ410" s="0" t="n">
        <v>80</v>
      </c>
      <c r="AK410" s="0" t="n">
        <v>224</v>
      </c>
      <c r="AL410" s="0" t="n">
        <v>0.96</v>
      </c>
    </row>
    <row r="411">
      <c r="A411" s="0" t="inlineStr">
        <is>
          <t>[신장동]</t>
        </is>
      </c>
      <c r="B411" s="0" t="n">
        <v>9576</v>
      </c>
      <c r="C411" s="0" t="n">
        <v>6</v>
      </c>
      <c r="D411" s="0" t="inlineStr">
        <is>
          <t>성원상떼빌</t>
        </is>
      </c>
      <c r="E411" s="0" t="inlineStr">
        <is>
          <t>2003.11.</t>
        </is>
      </c>
      <c r="F411" s="0" t="n">
        <v>234</v>
      </c>
      <c r="G411" s="0" t="n">
        <v>13.84</v>
      </c>
      <c r="H411" s="0" t="n">
        <v>45.77</v>
      </c>
      <c r="I411" s="0" t="n">
        <v>8.960000000000001</v>
      </c>
      <c r="J411" s="0" t="n">
        <v>29.64</v>
      </c>
      <c r="K411" s="0" t="n">
        <v>2</v>
      </c>
      <c r="T411" s="0" t="n">
        <v>2</v>
      </c>
      <c r="U411" s="0" t="n">
        <v>1</v>
      </c>
      <c r="V411" s="0" t="inlineStr">
        <is>
          <t>계단식</t>
        </is>
      </c>
      <c r="W411" s="0" t="inlineStr">
        <is>
          <t>45Ca</t>
        </is>
      </c>
      <c r="X411" s="0" t="n">
        <v>18</v>
      </c>
      <c r="Y411" s="0" t="n">
        <v>4</v>
      </c>
      <c r="Z411" s="0" t="inlineStr">
        <is>
          <t>https://new.land.naver.com/complexes/9576?tab=detail&amp;rf=Y</t>
        </is>
      </c>
      <c r="AA411" s="0" t="inlineStr">
        <is>
          <t>경기도 하남시 신장동 430-7</t>
        </is>
      </c>
      <c r="AB411" s="0" t="inlineStr">
        <is>
          <t>경기도</t>
        </is>
      </c>
      <c r="AC411" s="0" t="inlineStr">
        <is>
          <t>하남시</t>
        </is>
      </c>
      <c r="AD411" s="0" t="inlineStr">
        <is>
          <t>신장동</t>
        </is>
      </c>
      <c r="AG411" s="0" t="inlineStr">
        <is>
          <t>경기도 하남시 신장로 104</t>
        </is>
      </c>
      <c r="AH411" s="0" t="n">
        <v>0</v>
      </c>
      <c r="AI411" s="0" t="n">
        <v>593</v>
      </c>
      <c r="AJ411" s="0" t="n">
        <v>80</v>
      </c>
      <c r="AK411" s="0" t="n">
        <v>224</v>
      </c>
      <c r="AL411" s="0" t="n">
        <v>0.96</v>
      </c>
    </row>
    <row r="412">
      <c r="A412" s="0" t="inlineStr">
        <is>
          <t>[신장동]</t>
        </is>
      </c>
      <c r="B412" s="0" t="n">
        <v>9576</v>
      </c>
      <c r="C412" s="0" t="n">
        <v>7</v>
      </c>
      <c r="D412" s="0" t="inlineStr">
        <is>
          <t>성원상떼빌</t>
        </is>
      </c>
      <c r="E412" s="0" t="inlineStr">
        <is>
          <t>2003.11.</t>
        </is>
      </c>
      <c r="F412" s="0" t="n">
        <v>234</v>
      </c>
      <c r="G412" s="0" t="n">
        <v>13.84</v>
      </c>
      <c r="H412" s="0" t="n">
        <v>45.77</v>
      </c>
      <c r="I412" s="0" t="n">
        <v>8.960000000000001</v>
      </c>
      <c r="J412" s="0" t="n">
        <v>29.64</v>
      </c>
      <c r="K412" s="0" t="n">
        <v>1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45C1a</t>
        </is>
      </c>
      <c r="X412" s="0" t="n">
        <v>18</v>
      </c>
      <c r="Y412" s="0" t="n">
        <v>4</v>
      </c>
      <c r="Z412" s="0" t="inlineStr">
        <is>
          <t>https://new.land.naver.com/complexes/9576?tab=detail&amp;rf=Y</t>
        </is>
      </c>
      <c r="AA412" s="0" t="inlineStr">
        <is>
          <t>경기도 하남시 신장동 430-7</t>
        </is>
      </c>
      <c r="AB412" s="0" t="inlineStr">
        <is>
          <t>경기도</t>
        </is>
      </c>
      <c r="AC412" s="0" t="inlineStr">
        <is>
          <t>하남시</t>
        </is>
      </c>
      <c r="AD412" s="0" t="inlineStr">
        <is>
          <t>신장동</t>
        </is>
      </c>
      <c r="AG412" s="0" t="inlineStr">
        <is>
          <t>경기도 하남시 신장로 104</t>
        </is>
      </c>
      <c r="AH412" s="0" t="n">
        <v>0</v>
      </c>
      <c r="AI412" s="0" t="n">
        <v>593</v>
      </c>
      <c r="AJ412" s="0" t="n">
        <v>80</v>
      </c>
      <c r="AK412" s="0" t="n">
        <v>224</v>
      </c>
      <c r="AL412" s="0" t="n">
        <v>0.96</v>
      </c>
    </row>
    <row r="413">
      <c r="A413" s="0" t="inlineStr">
        <is>
          <t>[신장동]</t>
        </is>
      </c>
      <c r="B413" s="0" t="n">
        <v>9576</v>
      </c>
      <c r="C413" s="0" t="n">
        <v>8</v>
      </c>
      <c r="D413" s="0" t="inlineStr">
        <is>
          <t>성원상떼빌</t>
        </is>
      </c>
      <c r="E413" s="0" t="inlineStr">
        <is>
          <t>2003.11.</t>
        </is>
      </c>
      <c r="F413" s="0" t="n">
        <v>234</v>
      </c>
      <c r="G413" s="0" t="n">
        <v>14.2</v>
      </c>
      <c r="H413" s="0" t="n">
        <v>46.97</v>
      </c>
      <c r="I413" s="0" t="n">
        <v>9.199999999999999</v>
      </c>
      <c r="J413" s="0" t="n">
        <v>30.42</v>
      </c>
      <c r="K413" s="0" t="n">
        <v>14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46</v>
      </c>
      <c r="X413" s="0" t="n">
        <v>18</v>
      </c>
      <c r="Y413" s="0" t="n">
        <v>4</v>
      </c>
      <c r="Z413" s="0" t="inlineStr">
        <is>
          <t>https://new.land.naver.com/complexes/9576?tab=detail&amp;rf=Y</t>
        </is>
      </c>
      <c r="AA413" s="0" t="inlineStr">
        <is>
          <t>경기도 하남시 신장동 430-7</t>
        </is>
      </c>
      <c r="AB413" s="0" t="inlineStr">
        <is>
          <t>경기도</t>
        </is>
      </c>
      <c r="AC413" s="0" t="inlineStr">
        <is>
          <t>하남시</t>
        </is>
      </c>
      <c r="AD413" s="0" t="inlineStr">
        <is>
          <t>신장동</t>
        </is>
      </c>
      <c r="AG413" s="0" t="inlineStr">
        <is>
          <t>경기도 하남시 신장로 104</t>
        </is>
      </c>
      <c r="AH413" s="0" t="n">
        <v>0</v>
      </c>
      <c r="AI413" s="0" t="n">
        <v>593</v>
      </c>
      <c r="AJ413" s="0" t="n">
        <v>80</v>
      </c>
      <c r="AK413" s="0" t="n">
        <v>224</v>
      </c>
      <c r="AL413" s="0" t="n">
        <v>0.96</v>
      </c>
    </row>
    <row r="414">
      <c r="A414" s="0" t="inlineStr">
        <is>
          <t>[신장동]</t>
        </is>
      </c>
      <c r="B414" s="0" t="n">
        <v>9576</v>
      </c>
      <c r="C414" s="0" t="n">
        <v>9</v>
      </c>
      <c r="D414" s="0" t="inlineStr">
        <is>
          <t>성원상떼빌</t>
        </is>
      </c>
      <c r="E414" s="0" t="inlineStr">
        <is>
          <t>2003.11.</t>
        </is>
      </c>
      <c r="F414" s="0" t="n">
        <v>234</v>
      </c>
      <c r="G414" s="0" t="n">
        <v>15.97</v>
      </c>
      <c r="H414" s="0" t="n">
        <v>52.82</v>
      </c>
      <c r="I414" s="0" t="n">
        <v>10.34</v>
      </c>
      <c r="J414" s="0" t="n">
        <v>34.2</v>
      </c>
      <c r="K414" s="0" t="n">
        <v>15</v>
      </c>
      <c r="T414" s="0" t="n">
        <v>2</v>
      </c>
      <c r="U414" s="0" t="n">
        <v>1</v>
      </c>
      <c r="V414" s="0" t="inlineStr">
        <is>
          <t>계단식</t>
        </is>
      </c>
      <c r="W414" s="0" t="n">
        <v>52</v>
      </c>
      <c r="X414" s="0" t="n">
        <v>18</v>
      </c>
      <c r="Y414" s="0" t="n">
        <v>4</v>
      </c>
      <c r="Z414" s="0" t="inlineStr">
        <is>
          <t>https://new.land.naver.com/complexes/9576?tab=detail&amp;rf=Y</t>
        </is>
      </c>
      <c r="AA414" s="0" t="inlineStr">
        <is>
          <t>경기도 하남시 신장동 430-7</t>
        </is>
      </c>
      <c r="AB414" s="0" t="inlineStr">
        <is>
          <t>경기도</t>
        </is>
      </c>
      <c r="AC414" s="0" t="inlineStr">
        <is>
          <t>하남시</t>
        </is>
      </c>
      <c r="AD414" s="0" t="inlineStr">
        <is>
          <t>신장동</t>
        </is>
      </c>
      <c r="AG414" s="0" t="inlineStr">
        <is>
          <t>경기도 하남시 신장로 104</t>
        </is>
      </c>
      <c r="AH414" s="0" t="n">
        <v>0</v>
      </c>
      <c r="AI414" s="0" t="n">
        <v>593</v>
      </c>
      <c r="AJ414" s="0" t="n">
        <v>80</v>
      </c>
      <c r="AK414" s="0" t="n">
        <v>224</v>
      </c>
      <c r="AL414" s="0" t="n">
        <v>0.96</v>
      </c>
    </row>
    <row r="415">
      <c r="A415" s="0" t="inlineStr">
        <is>
          <t>[신장동]</t>
        </is>
      </c>
      <c r="B415" s="0" t="n">
        <v>9576</v>
      </c>
      <c r="C415" s="0" t="n">
        <v>10</v>
      </c>
      <c r="D415" s="0" t="inlineStr">
        <is>
          <t>성원상떼빌</t>
        </is>
      </c>
      <c r="E415" s="0" t="inlineStr">
        <is>
          <t>2003.11.</t>
        </is>
      </c>
      <c r="F415" s="0" t="n">
        <v>234</v>
      </c>
      <c r="G415" s="0" t="n">
        <v>16.03</v>
      </c>
      <c r="H415" s="0" t="n">
        <v>53</v>
      </c>
      <c r="I415" s="0" t="n">
        <v>10.38</v>
      </c>
      <c r="J415" s="0" t="n">
        <v>34.32</v>
      </c>
      <c r="K415" s="0" t="n">
        <v>2</v>
      </c>
      <c r="T415" s="0" t="n">
        <v>2</v>
      </c>
      <c r="U415" s="0" t="n">
        <v>1</v>
      </c>
      <c r="V415" s="0" t="inlineStr">
        <is>
          <t>계단식</t>
        </is>
      </c>
      <c r="W415" s="0" t="inlineStr">
        <is>
          <t>53A1a</t>
        </is>
      </c>
      <c r="X415" s="0" t="n">
        <v>18</v>
      </c>
      <c r="Y415" s="0" t="n">
        <v>4</v>
      </c>
      <c r="Z415" s="0" t="inlineStr">
        <is>
          <t>https://new.land.naver.com/complexes/9576?tab=detail&amp;rf=Y</t>
        </is>
      </c>
      <c r="AA415" s="0" t="inlineStr">
        <is>
          <t>경기도 하남시 신장동 430-7</t>
        </is>
      </c>
      <c r="AB415" s="0" t="inlineStr">
        <is>
          <t>경기도</t>
        </is>
      </c>
      <c r="AC415" s="0" t="inlineStr">
        <is>
          <t>하남시</t>
        </is>
      </c>
      <c r="AD415" s="0" t="inlineStr">
        <is>
          <t>신장동</t>
        </is>
      </c>
      <c r="AG415" s="0" t="inlineStr">
        <is>
          <t>경기도 하남시 신장로 104</t>
        </is>
      </c>
      <c r="AH415" s="0" t="n">
        <v>0</v>
      </c>
      <c r="AI415" s="0" t="n">
        <v>593</v>
      </c>
      <c r="AJ415" s="0" t="n">
        <v>80</v>
      </c>
      <c r="AK415" s="0" t="n">
        <v>224</v>
      </c>
      <c r="AL415" s="0" t="n">
        <v>0.96</v>
      </c>
    </row>
    <row r="416">
      <c r="A416" s="0" t="inlineStr">
        <is>
          <t>[신장동]</t>
        </is>
      </c>
      <c r="B416" s="0" t="n">
        <v>9576</v>
      </c>
      <c r="C416" s="0" t="n">
        <v>11</v>
      </c>
      <c r="D416" s="0" t="inlineStr">
        <is>
          <t>성원상떼빌</t>
        </is>
      </c>
      <c r="E416" s="0" t="inlineStr">
        <is>
          <t>2003.11.</t>
        </is>
      </c>
      <c r="F416" s="0" t="n">
        <v>234</v>
      </c>
      <c r="G416" s="0" t="n">
        <v>16.39</v>
      </c>
      <c r="H416" s="0" t="n">
        <v>54.21</v>
      </c>
      <c r="I416" s="0" t="n">
        <v>10.61</v>
      </c>
      <c r="J416" s="0" t="n">
        <v>35.1</v>
      </c>
      <c r="K416" s="0" t="n">
        <v>47</v>
      </c>
      <c r="T416" s="0" t="n">
        <v>2</v>
      </c>
      <c r="U416" s="0" t="n">
        <v>1</v>
      </c>
      <c r="V416" s="0" t="inlineStr">
        <is>
          <t>계단식</t>
        </is>
      </c>
      <c r="W416" s="0" t="inlineStr">
        <is>
          <t>54A4</t>
        </is>
      </c>
      <c r="X416" s="0" t="n">
        <v>18</v>
      </c>
      <c r="Y416" s="0" t="n">
        <v>4</v>
      </c>
      <c r="Z416" s="0" t="inlineStr">
        <is>
          <t>https://new.land.naver.com/complexes/9576?tab=detail&amp;rf=Y</t>
        </is>
      </c>
      <c r="AA416" s="0" t="inlineStr">
        <is>
          <t>경기도 하남시 신장동 430-7</t>
        </is>
      </c>
      <c r="AB416" s="0" t="inlineStr">
        <is>
          <t>경기도</t>
        </is>
      </c>
      <c r="AC416" s="0" t="inlineStr">
        <is>
          <t>하남시</t>
        </is>
      </c>
      <c r="AD416" s="0" t="inlineStr">
        <is>
          <t>신장동</t>
        </is>
      </c>
      <c r="AG416" s="0" t="inlineStr">
        <is>
          <t>경기도 하남시 신장로 104</t>
        </is>
      </c>
      <c r="AH416" s="0" t="n">
        <v>0</v>
      </c>
      <c r="AI416" s="0" t="n">
        <v>593</v>
      </c>
      <c r="AJ416" s="0" t="n">
        <v>80</v>
      </c>
      <c r="AK416" s="0" t="n">
        <v>224</v>
      </c>
      <c r="AL416" s="0" t="n">
        <v>0.96</v>
      </c>
    </row>
    <row r="417">
      <c r="A417" s="0" t="inlineStr">
        <is>
          <t>[신장동]</t>
        </is>
      </c>
      <c r="B417" s="0" t="n">
        <v>9576</v>
      </c>
      <c r="C417" s="0" t="n">
        <v>12</v>
      </c>
      <c r="D417" s="0" t="inlineStr">
        <is>
          <t>성원상떼빌</t>
        </is>
      </c>
      <c r="E417" s="0" t="inlineStr">
        <is>
          <t>2003.11.</t>
        </is>
      </c>
      <c r="F417" s="0" t="n">
        <v>234</v>
      </c>
      <c r="G417" s="0" t="n">
        <v>17.12</v>
      </c>
      <c r="H417" s="0" t="n">
        <v>56.62</v>
      </c>
      <c r="I417" s="0" t="n">
        <v>11.08</v>
      </c>
      <c r="J417" s="0" t="n">
        <v>36.66</v>
      </c>
      <c r="K417" s="0" t="n">
        <v>7</v>
      </c>
      <c r="T417" s="0" t="n">
        <v>2</v>
      </c>
      <c r="U417" s="0" t="n">
        <v>1</v>
      </c>
      <c r="V417" s="0" t="inlineStr">
        <is>
          <t>계단식</t>
        </is>
      </c>
      <c r="W417" s="0" t="n">
        <v>56</v>
      </c>
      <c r="X417" s="0" t="n">
        <v>18</v>
      </c>
      <c r="Y417" s="0" t="n">
        <v>4</v>
      </c>
      <c r="Z417" s="0" t="inlineStr">
        <is>
          <t>https://new.land.naver.com/complexes/9576?tab=detail&amp;rf=Y</t>
        </is>
      </c>
      <c r="AA417" s="0" t="inlineStr">
        <is>
          <t>경기도 하남시 신장동 430-7</t>
        </is>
      </c>
      <c r="AB417" s="0" t="inlineStr">
        <is>
          <t>경기도</t>
        </is>
      </c>
      <c r="AC417" s="0" t="inlineStr">
        <is>
          <t>하남시</t>
        </is>
      </c>
      <c r="AD417" s="0" t="inlineStr">
        <is>
          <t>신장동</t>
        </is>
      </c>
      <c r="AG417" s="0" t="inlineStr">
        <is>
          <t>경기도 하남시 신장로 104</t>
        </is>
      </c>
      <c r="AH417" s="0" t="n">
        <v>0</v>
      </c>
      <c r="AI417" s="0" t="n">
        <v>593</v>
      </c>
      <c r="AJ417" s="0" t="n">
        <v>80</v>
      </c>
      <c r="AK417" s="0" t="n">
        <v>224</v>
      </c>
      <c r="AL417" s="0" t="n">
        <v>0.96</v>
      </c>
    </row>
    <row r="418">
      <c r="A418" s="0" t="inlineStr">
        <is>
          <t>[신장동]</t>
        </is>
      </c>
      <c r="B418" s="0" t="n">
        <v>9576</v>
      </c>
      <c r="C418" s="0" t="n">
        <v>13</v>
      </c>
      <c r="D418" s="0" t="inlineStr">
        <is>
          <t>성원상떼빌</t>
        </is>
      </c>
      <c r="E418" s="0" t="inlineStr">
        <is>
          <t>2003.11.</t>
        </is>
      </c>
      <c r="F418" s="0" t="n">
        <v>234</v>
      </c>
      <c r="G418" s="0" t="n">
        <v>19.85</v>
      </c>
      <c r="H418" s="0" t="n">
        <v>65.65000000000001</v>
      </c>
      <c r="I418" s="0" t="n">
        <v>12.85</v>
      </c>
      <c r="J418" s="0" t="n">
        <v>42.51</v>
      </c>
      <c r="K418" s="0" t="n">
        <v>7</v>
      </c>
      <c r="T418" s="0" t="n">
        <v>2</v>
      </c>
      <c r="U418" s="0" t="n">
        <v>1</v>
      </c>
      <c r="V418" s="0" t="inlineStr">
        <is>
          <t>계단식</t>
        </is>
      </c>
      <c r="W418" s="0" t="n">
        <v>65</v>
      </c>
      <c r="X418" s="0" t="n">
        <v>18</v>
      </c>
      <c r="Y418" s="0" t="n">
        <v>4</v>
      </c>
      <c r="Z418" s="0" t="inlineStr">
        <is>
          <t>https://new.land.naver.com/complexes/9576?tab=detail&amp;rf=Y</t>
        </is>
      </c>
      <c r="AA418" s="0" t="inlineStr">
        <is>
          <t>경기도 하남시 신장동 430-7</t>
        </is>
      </c>
      <c r="AB418" s="0" t="inlineStr">
        <is>
          <t>경기도</t>
        </is>
      </c>
      <c r="AC418" s="0" t="inlineStr">
        <is>
          <t>하남시</t>
        </is>
      </c>
      <c r="AD418" s="0" t="inlineStr">
        <is>
          <t>신장동</t>
        </is>
      </c>
      <c r="AG418" s="0" t="inlineStr">
        <is>
          <t>경기도 하남시 신장로 104</t>
        </is>
      </c>
      <c r="AH418" s="0" t="n">
        <v>0</v>
      </c>
      <c r="AI418" s="0" t="n">
        <v>593</v>
      </c>
      <c r="AJ418" s="0" t="n">
        <v>80</v>
      </c>
      <c r="AK418" s="0" t="n">
        <v>224</v>
      </c>
      <c r="AL418" s="0" t="n">
        <v>0.96</v>
      </c>
    </row>
    <row r="419">
      <c r="A419" s="0" t="inlineStr">
        <is>
          <t>[신장동]</t>
        </is>
      </c>
      <c r="B419" s="0" t="n">
        <v>9576</v>
      </c>
      <c r="C419" s="0" t="n">
        <v>14</v>
      </c>
      <c r="D419" s="0" t="inlineStr">
        <is>
          <t>성원상떼빌</t>
        </is>
      </c>
      <c r="E419" s="0" t="inlineStr">
        <is>
          <t>2003.11.</t>
        </is>
      </c>
      <c r="F419" s="0" t="n">
        <v>234</v>
      </c>
      <c r="G419" s="0" t="n">
        <v>27.69</v>
      </c>
      <c r="H419" s="0" t="n">
        <v>91.55</v>
      </c>
      <c r="I419" s="0" t="n">
        <v>17.93</v>
      </c>
      <c r="J419" s="0" t="n">
        <v>59.28</v>
      </c>
      <c r="K419" s="0" t="n">
        <v>43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91</v>
      </c>
      <c r="X419" s="0" t="n">
        <v>18</v>
      </c>
      <c r="Y419" s="0" t="n">
        <v>4</v>
      </c>
      <c r="Z419" s="0" t="inlineStr">
        <is>
          <t>https://new.land.naver.com/complexes/9576?tab=detail&amp;rf=Y</t>
        </is>
      </c>
      <c r="AA419" s="0" t="inlineStr">
        <is>
          <t>경기도 하남시 신장동 430-7</t>
        </is>
      </c>
      <c r="AB419" s="0" t="inlineStr">
        <is>
          <t>경기도</t>
        </is>
      </c>
      <c r="AC419" s="0" t="inlineStr">
        <is>
          <t>하남시</t>
        </is>
      </c>
      <c r="AD419" s="0" t="inlineStr">
        <is>
          <t>신장동</t>
        </is>
      </c>
      <c r="AG419" s="0" t="inlineStr">
        <is>
          <t>경기도 하남시 신장로 104</t>
        </is>
      </c>
      <c r="AH419" s="0" t="n">
        <v>0</v>
      </c>
      <c r="AI419" s="0" t="n">
        <v>593</v>
      </c>
      <c r="AJ419" s="0" t="n">
        <v>80</v>
      </c>
      <c r="AK419" s="0" t="n">
        <v>224</v>
      </c>
      <c r="AL419" s="0" t="n">
        <v>0.96</v>
      </c>
    </row>
    <row r="420">
      <c r="A420" s="0" t="inlineStr">
        <is>
          <t>[신장동]</t>
        </is>
      </c>
      <c r="B420" s="0" t="n">
        <v>9576</v>
      </c>
      <c r="C420" s="0" t="n">
        <v>15</v>
      </c>
      <c r="D420" s="0" t="inlineStr">
        <is>
          <t>성원상떼빌</t>
        </is>
      </c>
      <c r="E420" s="0" t="inlineStr">
        <is>
          <t>2003.11.</t>
        </is>
      </c>
      <c r="F420" s="0" t="n">
        <v>234</v>
      </c>
      <c r="G420" s="0" t="n">
        <v>34.77</v>
      </c>
      <c r="H420" s="0" t="n">
        <v>114.96</v>
      </c>
      <c r="I420" s="0" t="n">
        <v>22.51</v>
      </c>
      <c r="J420" s="0" t="n">
        <v>74.44</v>
      </c>
      <c r="K420" s="0" t="n">
        <v>49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114</v>
      </c>
      <c r="X420" s="0" t="n">
        <v>18</v>
      </c>
      <c r="Y420" s="0" t="n">
        <v>4</v>
      </c>
      <c r="Z420" s="0" t="inlineStr">
        <is>
          <t>https://new.land.naver.com/complexes/9576?tab=detail&amp;rf=Y</t>
        </is>
      </c>
      <c r="AA420" s="0" t="inlineStr">
        <is>
          <t>경기도 하남시 신장동 430-7</t>
        </is>
      </c>
      <c r="AB420" s="0" t="inlineStr">
        <is>
          <t>경기도</t>
        </is>
      </c>
      <c r="AC420" s="0" t="inlineStr">
        <is>
          <t>하남시</t>
        </is>
      </c>
      <c r="AD420" s="0" t="inlineStr">
        <is>
          <t>신장동</t>
        </is>
      </c>
      <c r="AG420" s="0" t="inlineStr">
        <is>
          <t>경기도 하남시 신장로 104</t>
        </is>
      </c>
      <c r="AH420" s="0" t="n">
        <v>0</v>
      </c>
      <c r="AI420" s="0" t="n">
        <v>593</v>
      </c>
      <c r="AJ420" s="0" t="n">
        <v>80</v>
      </c>
      <c r="AK420" s="0" t="n">
        <v>224</v>
      </c>
      <c r="AL420" s="0" t="n">
        <v>0.96</v>
      </c>
    </row>
    <row r="421">
      <c r="A421" s="0" t="inlineStr">
        <is>
          <t>[신장동]</t>
        </is>
      </c>
      <c r="B421" s="0" t="n">
        <v>9576</v>
      </c>
      <c r="C421" s="0" t="n">
        <v>16</v>
      </c>
      <c r="D421" s="0" t="inlineStr">
        <is>
          <t>성원상떼빌</t>
        </is>
      </c>
      <c r="E421" s="0" t="inlineStr">
        <is>
          <t>2003.11.</t>
        </is>
      </c>
      <c r="F421" s="0" t="n">
        <v>234</v>
      </c>
      <c r="G421" s="0" t="n">
        <v>41.49</v>
      </c>
      <c r="H421" s="0" t="n">
        <v>137.16</v>
      </c>
      <c r="I421" s="0" t="n">
        <v>26.89</v>
      </c>
      <c r="J421" s="0" t="n">
        <v>88.92</v>
      </c>
      <c r="K421" s="0" t="n">
        <v>1</v>
      </c>
      <c r="T421" s="0" t="n">
        <v>4</v>
      </c>
      <c r="U421" s="0" t="n">
        <v>2</v>
      </c>
      <c r="V421" s="0" t="inlineStr">
        <is>
          <t>계단식</t>
        </is>
      </c>
      <c r="W421" s="0" t="inlineStr">
        <is>
          <t>137D</t>
        </is>
      </c>
      <c r="X421" s="0" t="n">
        <v>18</v>
      </c>
      <c r="Y421" s="0" t="n">
        <v>4</v>
      </c>
      <c r="Z421" s="0" t="inlineStr">
        <is>
          <t>https://new.land.naver.com/complexes/9576?tab=detail&amp;rf=Y</t>
        </is>
      </c>
      <c r="AA421" s="0" t="inlineStr">
        <is>
          <t>경기도 하남시 신장동 430-7</t>
        </is>
      </c>
      <c r="AB421" s="0" t="inlineStr">
        <is>
          <t>경기도</t>
        </is>
      </c>
      <c r="AC421" s="0" t="inlineStr">
        <is>
          <t>하남시</t>
        </is>
      </c>
      <c r="AD421" s="0" t="inlineStr">
        <is>
          <t>신장동</t>
        </is>
      </c>
      <c r="AG421" s="0" t="inlineStr">
        <is>
          <t>경기도 하남시 신장로 104</t>
        </is>
      </c>
      <c r="AH421" s="0" t="n">
        <v>0</v>
      </c>
      <c r="AI421" s="0" t="n">
        <v>593</v>
      </c>
      <c r="AJ421" s="0" t="n">
        <v>80</v>
      </c>
      <c r="AK421" s="0" t="n">
        <v>224</v>
      </c>
      <c r="AL421" s="0" t="n">
        <v>0.96</v>
      </c>
    </row>
    <row r="422">
      <c r="A422" s="0" t="inlineStr">
        <is>
          <t>[신장동]</t>
        </is>
      </c>
      <c r="B422" s="0" t="n">
        <v>9117</v>
      </c>
      <c r="C422" s="0" t="n">
        <v>1</v>
      </c>
      <c r="D422" s="0" t="inlineStr">
        <is>
          <t>하남신장현대홈타운</t>
        </is>
      </c>
      <c r="E422" s="0" t="inlineStr">
        <is>
          <t>2004.04.</t>
        </is>
      </c>
      <c r="F422" s="0" t="n">
        <v>212</v>
      </c>
      <c r="G422" s="0" t="n">
        <v>22.86</v>
      </c>
      <c r="H422" s="0" t="n">
        <v>75.59999999999999</v>
      </c>
      <c r="I422" s="0" t="n">
        <v>17.05</v>
      </c>
      <c r="J422" s="0" t="n">
        <v>56.39</v>
      </c>
      <c r="K422" s="0" t="n">
        <v>42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75</v>
      </c>
      <c r="X422" s="0" t="n">
        <v>22</v>
      </c>
      <c r="Y422" s="0" t="n">
        <v>21</v>
      </c>
      <c r="Z422" s="0" t="inlineStr">
        <is>
          <t>https://new.land.naver.com/complexes/9117?tab=detail&amp;rf=Y</t>
        </is>
      </c>
      <c r="AA422" s="0" t="inlineStr">
        <is>
          <t>경기도 하남시 신장동 568</t>
        </is>
      </c>
      <c r="AB422" s="0" t="inlineStr">
        <is>
          <t>경기도</t>
        </is>
      </c>
      <c r="AC422" s="0" t="inlineStr">
        <is>
          <t>하남시</t>
        </is>
      </c>
      <c r="AD422" s="0" t="inlineStr">
        <is>
          <t>신장동</t>
        </is>
      </c>
      <c r="AG422" s="0" t="inlineStr">
        <is>
          <t>경기도 하남시 신장로76번길 50</t>
        </is>
      </c>
      <c r="AH422" s="0" t="n">
        <v>0</v>
      </c>
      <c r="AI422" s="0" t="n">
        <v>301</v>
      </c>
      <c r="AJ422" s="0" t="n">
        <v>18</v>
      </c>
      <c r="AK422" s="0" t="n">
        <v>233</v>
      </c>
      <c r="AL422" s="0" t="n">
        <v>1.1</v>
      </c>
    </row>
    <row r="423">
      <c r="A423" s="0" t="inlineStr">
        <is>
          <t>[신장동]</t>
        </is>
      </c>
      <c r="B423" s="0" t="n">
        <v>9117</v>
      </c>
      <c r="C423" s="0" t="n">
        <v>2</v>
      </c>
      <c r="D423" s="0" t="inlineStr">
        <is>
          <t>하남신장현대홈타운</t>
        </is>
      </c>
      <c r="E423" s="0" t="inlineStr">
        <is>
          <t>2004.04.</t>
        </is>
      </c>
      <c r="F423" s="0" t="n">
        <v>212</v>
      </c>
      <c r="G423" s="0" t="n">
        <v>30.59</v>
      </c>
      <c r="H423" s="0" t="n">
        <v>101.15</v>
      </c>
      <c r="I423" s="0" t="n">
        <v>24.38</v>
      </c>
      <c r="J423" s="0" t="n">
        <v>80.59999999999999</v>
      </c>
      <c r="K423" s="0" t="n">
        <v>170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101</v>
      </c>
      <c r="X423" s="0" t="n">
        <v>22</v>
      </c>
      <c r="Y423" s="0" t="n">
        <v>21</v>
      </c>
      <c r="Z423" s="0" t="inlineStr">
        <is>
          <t>https://new.land.naver.com/complexes/9117?tab=detail&amp;rf=Y</t>
        </is>
      </c>
      <c r="AA423" s="0" t="inlineStr">
        <is>
          <t>경기도 하남시 신장동 568</t>
        </is>
      </c>
      <c r="AB423" s="0" t="inlineStr">
        <is>
          <t>경기도</t>
        </is>
      </c>
      <c r="AC423" s="0" t="inlineStr">
        <is>
          <t>하남시</t>
        </is>
      </c>
      <c r="AD423" s="0" t="inlineStr">
        <is>
          <t>신장동</t>
        </is>
      </c>
      <c r="AG423" s="0" t="inlineStr">
        <is>
          <t>경기도 하남시 신장로76번길 50</t>
        </is>
      </c>
      <c r="AH423" s="0" t="n">
        <v>0</v>
      </c>
      <c r="AI423" s="0" t="n">
        <v>301</v>
      </c>
      <c r="AJ423" s="0" t="n">
        <v>18</v>
      </c>
      <c r="AK423" s="0" t="n">
        <v>233</v>
      </c>
      <c r="AL423" s="0" t="n">
        <v>1.1</v>
      </c>
    </row>
    <row r="424">
      <c r="A424" s="0" t="inlineStr">
        <is>
          <t>[신장동]</t>
        </is>
      </c>
      <c r="B424" s="0" t="n">
        <v>26461</v>
      </c>
      <c r="C424" s="0" t="n">
        <v>1</v>
      </c>
      <c r="D424" s="0" t="inlineStr">
        <is>
          <t>에코타운3단지</t>
        </is>
      </c>
      <c r="E424" s="0" t="inlineStr">
        <is>
          <t>2004.11.</t>
        </is>
      </c>
      <c r="F424" s="0" t="n">
        <v>594</v>
      </c>
      <c r="G424" s="0" t="n">
        <v>38.08</v>
      </c>
      <c r="H424" s="0" t="n">
        <v>125.89</v>
      </c>
      <c r="I424" s="0" t="n">
        <v>29.82</v>
      </c>
      <c r="J424" s="0" t="n">
        <v>98.61</v>
      </c>
      <c r="K424" s="0" t="n">
        <v>88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125B</t>
        </is>
      </c>
      <c r="X424" s="0" t="n">
        <v>23</v>
      </c>
      <c r="Y424" s="0" t="n">
        <v>19</v>
      </c>
      <c r="Z424" s="0" t="inlineStr">
        <is>
          <t>https://new.land.naver.com/complexes/26461?tab=detail&amp;rf=Y</t>
        </is>
      </c>
      <c r="AA424" s="0" t="inlineStr">
        <is>
          <t>경기도 하남시 신장동 560</t>
        </is>
      </c>
      <c r="AB424" s="0" t="inlineStr">
        <is>
          <t>경기도</t>
        </is>
      </c>
      <c r="AC424" s="0" t="inlineStr">
        <is>
          <t>하남시</t>
        </is>
      </c>
      <c r="AD424" s="0" t="inlineStr">
        <is>
          <t>신장동</t>
        </is>
      </c>
      <c r="AG424" s="0" t="inlineStr">
        <is>
          <t>경기도 하남시 하남대로802번길 111</t>
        </is>
      </c>
      <c r="AH424" s="0" t="n">
        <v>0</v>
      </c>
      <c r="AI424" s="0" t="n">
        <v>254</v>
      </c>
      <c r="AJ424" s="0" t="n">
        <v>14</v>
      </c>
      <c r="AK424" s="0" t="n">
        <v>1044</v>
      </c>
      <c r="AL424" s="0" t="n">
        <v>1.76</v>
      </c>
    </row>
    <row r="425">
      <c r="A425" s="0" t="inlineStr">
        <is>
          <t>[신장동]</t>
        </is>
      </c>
      <c r="B425" s="0" t="n">
        <v>26461</v>
      </c>
      <c r="C425" s="0" t="n">
        <v>2</v>
      </c>
      <c r="D425" s="0" t="inlineStr">
        <is>
          <t>에코타운3단지</t>
        </is>
      </c>
      <c r="E425" s="0" t="inlineStr">
        <is>
          <t>2004.11.</t>
        </is>
      </c>
      <c r="F425" s="0" t="n">
        <v>594</v>
      </c>
      <c r="G425" s="0" t="n">
        <v>38.26</v>
      </c>
      <c r="H425" s="0" t="n">
        <v>126.51</v>
      </c>
      <c r="I425" s="0" t="n">
        <v>29.82</v>
      </c>
      <c r="J425" s="0" t="n">
        <v>98.61</v>
      </c>
      <c r="K425" s="0" t="n">
        <v>149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126A</t>
        </is>
      </c>
      <c r="X425" s="0" t="n">
        <v>23</v>
      </c>
      <c r="Y425" s="0" t="n">
        <v>19</v>
      </c>
      <c r="Z425" s="0" t="inlineStr">
        <is>
          <t>https://new.land.naver.com/complexes/26461?tab=detail&amp;rf=Y</t>
        </is>
      </c>
      <c r="AA425" s="0" t="inlineStr">
        <is>
          <t>경기도 하남시 신장동 560</t>
        </is>
      </c>
      <c r="AB425" s="0" t="inlineStr">
        <is>
          <t>경기도</t>
        </is>
      </c>
      <c r="AC425" s="0" t="inlineStr">
        <is>
          <t>하남시</t>
        </is>
      </c>
      <c r="AD425" s="0" t="inlineStr">
        <is>
          <t>신장동</t>
        </is>
      </c>
      <c r="AG425" s="0" t="inlineStr">
        <is>
          <t>경기도 하남시 하남대로802번길 111</t>
        </is>
      </c>
      <c r="AH425" s="0" t="n">
        <v>0</v>
      </c>
      <c r="AI425" s="0" t="n">
        <v>254</v>
      </c>
      <c r="AJ425" s="0" t="n">
        <v>14</v>
      </c>
      <c r="AK425" s="0" t="n">
        <v>1044</v>
      </c>
      <c r="AL425" s="0" t="n">
        <v>1.76</v>
      </c>
    </row>
    <row r="426">
      <c r="A426" s="0" t="inlineStr">
        <is>
          <t>[신장동]</t>
        </is>
      </c>
      <c r="B426" s="0" t="n">
        <v>26461</v>
      </c>
      <c r="C426" s="0" t="n">
        <v>3</v>
      </c>
      <c r="D426" s="0" t="inlineStr">
        <is>
          <t>에코타운3단지</t>
        </is>
      </c>
      <c r="E426" s="0" t="inlineStr">
        <is>
          <t>2004.11.</t>
        </is>
      </c>
      <c r="F426" s="0" t="n">
        <v>594</v>
      </c>
      <c r="G426" s="0" t="n">
        <v>38.72</v>
      </c>
      <c r="H426" s="0" t="n">
        <v>128.02</v>
      </c>
      <c r="I426" s="0" t="n">
        <v>29.87</v>
      </c>
      <c r="J426" s="0" t="n">
        <v>98.75</v>
      </c>
      <c r="K426" s="0" t="n">
        <v>66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128C</t>
        </is>
      </c>
      <c r="X426" s="0" t="n">
        <v>23</v>
      </c>
      <c r="Y426" s="0" t="n">
        <v>19</v>
      </c>
      <c r="Z426" s="0" t="inlineStr">
        <is>
          <t>https://new.land.naver.com/complexes/26461?tab=detail&amp;rf=Y</t>
        </is>
      </c>
      <c r="AA426" s="0" t="inlineStr">
        <is>
          <t>경기도 하남시 신장동 560</t>
        </is>
      </c>
      <c r="AB426" s="0" t="inlineStr">
        <is>
          <t>경기도</t>
        </is>
      </c>
      <c r="AC426" s="0" t="inlineStr">
        <is>
          <t>하남시</t>
        </is>
      </c>
      <c r="AD426" s="0" t="inlineStr">
        <is>
          <t>신장동</t>
        </is>
      </c>
      <c r="AG426" s="0" t="inlineStr">
        <is>
          <t>경기도 하남시 하남대로802번길 111</t>
        </is>
      </c>
      <c r="AH426" s="0" t="n">
        <v>0</v>
      </c>
      <c r="AI426" s="0" t="n">
        <v>254</v>
      </c>
      <c r="AJ426" s="0" t="n">
        <v>14</v>
      </c>
      <c r="AK426" s="0" t="n">
        <v>1044</v>
      </c>
      <c r="AL426" s="0" t="n">
        <v>1.76</v>
      </c>
    </row>
    <row r="427">
      <c r="A427" s="0" t="inlineStr">
        <is>
          <t>[신장동]</t>
        </is>
      </c>
      <c r="B427" s="0" t="n">
        <v>26461</v>
      </c>
      <c r="C427" s="0" t="n">
        <v>4</v>
      </c>
      <c r="D427" s="0" t="inlineStr">
        <is>
          <t>에코타운3단지</t>
        </is>
      </c>
      <c r="E427" s="0" t="inlineStr">
        <is>
          <t>2004.11.</t>
        </is>
      </c>
      <c r="F427" s="0" t="n">
        <v>594</v>
      </c>
      <c r="G427" s="0" t="n">
        <v>39.73</v>
      </c>
      <c r="H427" s="0" t="n">
        <v>131.37</v>
      </c>
      <c r="I427" s="0" t="n">
        <v>30.84</v>
      </c>
      <c r="J427" s="0" t="n">
        <v>101.97</v>
      </c>
      <c r="K427" s="0" t="n">
        <v>17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131</v>
      </c>
      <c r="X427" s="0" t="n">
        <v>23</v>
      </c>
      <c r="Y427" s="0" t="n">
        <v>19</v>
      </c>
      <c r="Z427" s="0" t="inlineStr">
        <is>
          <t>https://new.land.naver.com/complexes/26461?tab=detail&amp;rf=Y</t>
        </is>
      </c>
      <c r="AA427" s="0" t="inlineStr">
        <is>
          <t>경기도 하남시 신장동 560</t>
        </is>
      </c>
      <c r="AB427" s="0" t="inlineStr">
        <is>
          <t>경기도</t>
        </is>
      </c>
      <c r="AC427" s="0" t="inlineStr">
        <is>
          <t>하남시</t>
        </is>
      </c>
      <c r="AD427" s="0" t="inlineStr">
        <is>
          <t>신장동</t>
        </is>
      </c>
      <c r="AG427" s="0" t="inlineStr">
        <is>
          <t>경기도 하남시 하남대로802번길 111</t>
        </is>
      </c>
      <c r="AH427" s="0" t="n">
        <v>0</v>
      </c>
      <c r="AI427" s="0" t="n">
        <v>254</v>
      </c>
      <c r="AJ427" s="0" t="n">
        <v>14</v>
      </c>
      <c r="AK427" s="0" t="n">
        <v>1044</v>
      </c>
      <c r="AL427" s="0" t="n">
        <v>1.76</v>
      </c>
    </row>
    <row r="428">
      <c r="A428" s="0" t="inlineStr">
        <is>
          <t>[신장동]</t>
        </is>
      </c>
      <c r="B428" s="0" t="n">
        <v>26461</v>
      </c>
      <c r="C428" s="0" t="n">
        <v>5</v>
      </c>
      <c r="D428" s="0" t="inlineStr">
        <is>
          <t>에코타운3단지</t>
        </is>
      </c>
      <c r="E428" s="0" t="inlineStr">
        <is>
          <t>2004.11.</t>
        </is>
      </c>
      <c r="F428" s="0" t="n">
        <v>594</v>
      </c>
      <c r="G428" s="0" t="n">
        <v>47.47</v>
      </c>
      <c r="H428" s="0" t="n">
        <v>156.94</v>
      </c>
      <c r="I428" s="0" t="n">
        <v>38.36</v>
      </c>
      <c r="J428" s="0" t="n">
        <v>126.81</v>
      </c>
      <c r="K428" s="0" t="n">
        <v>112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156A</t>
        </is>
      </c>
      <c r="X428" s="0" t="n">
        <v>23</v>
      </c>
      <c r="Y428" s="0" t="n">
        <v>19</v>
      </c>
      <c r="Z428" s="0" t="inlineStr">
        <is>
          <t>https://new.land.naver.com/complexes/26461?tab=detail&amp;rf=Y</t>
        </is>
      </c>
      <c r="AA428" s="0" t="inlineStr">
        <is>
          <t>경기도 하남시 신장동 560</t>
        </is>
      </c>
      <c r="AB428" s="0" t="inlineStr">
        <is>
          <t>경기도</t>
        </is>
      </c>
      <c r="AC428" s="0" t="inlineStr">
        <is>
          <t>하남시</t>
        </is>
      </c>
      <c r="AD428" s="0" t="inlineStr">
        <is>
          <t>신장동</t>
        </is>
      </c>
      <c r="AG428" s="0" t="inlineStr">
        <is>
          <t>경기도 하남시 하남대로802번길 111</t>
        </is>
      </c>
      <c r="AH428" s="0" t="n">
        <v>0</v>
      </c>
      <c r="AI428" s="0" t="n">
        <v>254</v>
      </c>
      <c r="AJ428" s="0" t="n">
        <v>14</v>
      </c>
      <c r="AK428" s="0" t="n">
        <v>1044</v>
      </c>
      <c r="AL428" s="0" t="n">
        <v>1.76</v>
      </c>
    </row>
    <row r="429">
      <c r="A429" s="0" t="inlineStr">
        <is>
          <t>[신장동]</t>
        </is>
      </c>
      <c r="B429" s="0" t="n">
        <v>26461</v>
      </c>
      <c r="C429" s="0" t="n">
        <v>6</v>
      </c>
      <c r="D429" s="0" t="inlineStr">
        <is>
          <t>에코타운3단지</t>
        </is>
      </c>
      <c r="E429" s="0" t="inlineStr">
        <is>
          <t>2004.11.</t>
        </is>
      </c>
      <c r="F429" s="0" t="n">
        <v>594</v>
      </c>
      <c r="G429" s="0" t="n">
        <v>47.47</v>
      </c>
      <c r="H429" s="0" t="n">
        <v>156.94</v>
      </c>
      <c r="I429" s="0" t="n">
        <v>38.36</v>
      </c>
      <c r="J429" s="0" t="n">
        <v>126.81</v>
      </c>
      <c r="K429" s="0" t="n">
        <v>42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156C</t>
        </is>
      </c>
      <c r="X429" s="0" t="n">
        <v>23</v>
      </c>
      <c r="Y429" s="0" t="n">
        <v>19</v>
      </c>
      <c r="Z429" s="0" t="inlineStr">
        <is>
          <t>https://new.land.naver.com/complexes/26461?tab=detail&amp;rf=Y</t>
        </is>
      </c>
      <c r="AA429" s="0" t="inlineStr">
        <is>
          <t>경기도 하남시 신장동 560</t>
        </is>
      </c>
      <c r="AB429" s="0" t="inlineStr">
        <is>
          <t>경기도</t>
        </is>
      </c>
      <c r="AC429" s="0" t="inlineStr">
        <is>
          <t>하남시</t>
        </is>
      </c>
      <c r="AD429" s="0" t="inlineStr">
        <is>
          <t>신장동</t>
        </is>
      </c>
      <c r="AG429" s="0" t="inlineStr">
        <is>
          <t>경기도 하남시 하남대로802번길 111</t>
        </is>
      </c>
      <c r="AH429" s="0" t="n">
        <v>0</v>
      </c>
      <c r="AI429" s="0" t="n">
        <v>254</v>
      </c>
      <c r="AJ429" s="0" t="n">
        <v>14</v>
      </c>
      <c r="AK429" s="0" t="n">
        <v>1044</v>
      </c>
      <c r="AL429" s="0" t="n">
        <v>1.76</v>
      </c>
    </row>
    <row r="430">
      <c r="A430" s="0" t="inlineStr">
        <is>
          <t>[신장동]</t>
        </is>
      </c>
      <c r="B430" s="0" t="n">
        <v>26461</v>
      </c>
      <c r="C430" s="0" t="n">
        <v>7</v>
      </c>
      <c r="D430" s="0" t="inlineStr">
        <is>
          <t>에코타운3단지</t>
        </is>
      </c>
      <c r="E430" s="0" t="inlineStr">
        <is>
          <t>2004.11.</t>
        </is>
      </c>
      <c r="F430" s="0" t="n">
        <v>594</v>
      </c>
      <c r="G430" s="0" t="n">
        <v>47.47</v>
      </c>
      <c r="H430" s="0" t="n">
        <v>156.94</v>
      </c>
      <c r="I430" s="0" t="n">
        <v>38.36</v>
      </c>
      <c r="J430" s="0" t="n">
        <v>126.81</v>
      </c>
      <c r="K430" s="0" t="n">
        <v>39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156B</t>
        </is>
      </c>
      <c r="X430" s="0" t="n">
        <v>23</v>
      </c>
      <c r="Y430" s="0" t="n">
        <v>19</v>
      </c>
      <c r="Z430" s="0" t="inlineStr">
        <is>
          <t>https://new.land.naver.com/complexes/26461?tab=detail&amp;rf=Y</t>
        </is>
      </c>
      <c r="AA430" s="0" t="inlineStr">
        <is>
          <t>경기도 하남시 신장동 560</t>
        </is>
      </c>
      <c r="AB430" s="0" t="inlineStr">
        <is>
          <t>경기도</t>
        </is>
      </c>
      <c r="AC430" s="0" t="inlineStr">
        <is>
          <t>하남시</t>
        </is>
      </c>
      <c r="AD430" s="0" t="inlineStr">
        <is>
          <t>신장동</t>
        </is>
      </c>
      <c r="AG430" s="0" t="inlineStr">
        <is>
          <t>경기도 하남시 하남대로802번길 111</t>
        </is>
      </c>
      <c r="AH430" s="0" t="n">
        <v>0</v>
      </c>
      <c r="AI430" s="0" t="n">
        <v>254</v>
      </c>
      <c r="AJ430" s="0" t="n">
        <v>14</v>
      </c>
      <c r="AK430" s="0" t="n">
        <v>1044</v>
      </c>
      <c r="AL430" s="0" t="n">
        <v>1.76</v>
      </c>
    </row>
    <row r="431">
      <c r="A431" s="0" t="inlineStr">
        <is>
          <t>[신장동]</t>
        </is>
      </c>
      <c r="B431" s="0" t="n">
        <v>26461</v>
      </c>
      <c r="C431" s="0" t="n">
        <v>8</v>
      </c>
      <c r="D431" s="0" t="inlineStr">
        <is>
          <t>에코타운3단지</t>
        </is>
      </c>
      <c r="E431" s="0" t="inlineStr">
        <is>
          <t>2004.11.</t>
        </is>
      </c>
      <c r="F431" s="0" t="n">
        <v>594</v>
      </c>
      <c r="G431" s="0" t="n">
        <v>47.99</v>
      </c>
      <c r="H431" s="0" t="n">
        <v>158.66</v>
      </c>
      <c r="I431" s="0" t="n">
        <v>37.56</v>
      </c>
      <c r="J431" s="0" t="n">
        <v>124.19</v>
      </c>
      <c r="K431" s="0" t="n">
        <v>81</v>
      </c>
      <c r="T431" s="0" t="n">
        <v>4</v>
      </c>
      <c r="U431" s="0" t="n">
        <v>2</v>
      </c>
      <c r="V431" s="0" t="inlineStr">
        <is>
          <t>계단식</t>
        </is>
      </c>
      <c r="W431" s="0" t="inlineStr">
        <is>
          <t>158D</t>
        </is>
      </c>
      <c r="X431" s="0" t="n">
        <v>23</v>
      </c>
      <c r="Y431" s="0" t="n">
        <v>19</v>
      </c>
      <c r="Z431" s="0" t="inlineStr">
        <is>
          <t>https://new.land.naver.com/complexes/26461?tab=detail&amp;rf=Y</t>
        </is>
      </c>
      <c r="AA431" s="0" t="inlineStr">
        <is>
          <t>경기도 하남시 신장동 560</t>
        </is>
      </c>
      <c r="AB431" s="0" t="inlineStr">
        <is>
          <t>경기도</t>
        </is>
      </c>
      <c r="AC431" s="0" t="inlineStr">
        <is>
          <t>하남시</t>
        </is>
      </c>
      <c r="AD431" s="0" t="inlineStr">
        <is>
          <t>신장동</t>
        </is>
      </c>
      <c r="AG431" s="0" t="inlineStr">
        <is>
          <t>경기도 하남시 하남대로802번길 111</t>
        </is>
      </c>
      <c r="AH431" s="0" t="n">
        <v>0</v>
      </c>
      <c r="AI431" s="0" t="n">
        <v>254</v>
      </c>
      <c r="AJ431" s="0" t="n">
        <v>14</v>
      </c>
      <c r="AK431" s="0" t="n">
        <v>1044</v>
      </c>
      <c r="AL431" s="0" t="n">
        <v>1.76</v>
      </c>
    </row>
    <row r="432">
      <c r="A432" s="0" t="inlineStr">
        <is>
          <t>[신장동]</t>
        </is>
      </c>
      <c r="B432" s="0" t="n">
        <v>26460</v>
      </c>
      <c r="C432" s="0" t="n">
        <v>1</v>
      </c>
      <c r="D432" s="0" t="inlineStr">
        <is>
          <t>에코타운2단지</t>
        </is>
      </c>
      <c r="E432" s="0" t="inlineStr">
        <is>
          <t>2004.11.</t>
        </is>
      </c>
      <c r="F432" s="0" t="n">
        <v>488</v>
      </c>
      <c r="G432" s="0" t="n">
        <v>33.65</v>
      </c>
      <c r="H432" s="0" t="n">
        <v>111.27</v>
      </c>
      <c r="I432" s="0" t="n">
        <v>25.31</v>
      </c>
      <c r="J432" s="0" t="n">
        <v>83.67</v>
      </c>
      <c r="K432" s="0" t="n">
        <v>360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111A</t>
        </is>
      </c>
      <c r="X432" s="0" t="n">
        <v>23</v>
      </c>
      <c r="Y432" s="0" t="n">
        <v>16</v>
      </c>
      <c r="Z432" s="0" t="inlineStr">
        <is>
          <t>https://new.land.naver.com/complexes/26460?tab=detail&amp;rf=Y</t>
        </is>
      </c>
      <c r="AA432" s="0" t="inlineStr">
        <is>
          <t>경기도 하남시 신장동 561</t>
        </is>
      </c>
      <c r="AB432" s="0" t="inlineStr">
        <is>
          <t>경기도</t>
        </is>
      </c>
      <c r="AC432" s="0" t="inlineStr">
        <is>
          <t>하남시</t>
        </is>
      </c>
      <c r="AD432" s="0" t="inlineStr">
        <is>
          <t>신장동</t>
        </is>
      </c>
      <c r="AG432" s="0" t="inlineStr">
        <is>
          <t>경기도 하남시 하남대로802번길 55</t>
        </is>
      </c>
      <c r="AH432" s="0" t="n">
        <v>0</v>
      </c>
      <c r="AI432" s="0" t="n">
        <v>243</v>
      </c>
      <c r="AJ432" s="0" t="n">
        <v>14</v>
      </c>
      <c r="AK432" s="0" t="n">
        <v>541</v>
      </c>
      <c r="AL432" s="0" t="n">
        <v>1.11</v>
      </c>
    </row>
    <row r="433">
      <c r="A433" s="0" t="inlineStr">
        <is>
          <t>[신장동]</t>
        </is>
      </c>
      <c r="B433" s="0" t="n">
        <v>26460</v>
      </c>
      <c r="C433" s="0" t="n">
        <v>2</v>
      </c>
      <c r="D433" s="0" t="inlineStr">
        <is>
          <t>에코타운2단지</t>
        </is>
      </c>
      <c r="E433" s="0" t="inlineStr">
        <is>
          <t>2004.11.</t>
        </is>
      </c>
      <c r="F433" s="0" t="n">
        <v>488</v>
      </c>
      <c r="G433" s="0" t="n">
        <v>33.63</v>
      </c>
      <c r="H433" s="0" t="n">
        <v>111.18</v>
      </c>
      <c r="I433" s="0" t="n">
        <v>25.31</v>
      </c>
      <c r="J433" s="0" t="n">
        <v>83.67</v>
      </c>
      <c r="K433" s="0" t="n">
        <v>44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111C</t>
        </is>
      </c>
      <c r="X433" s="0" t="n">
        <v>23</v>
      </c>
      <c r="Y433" s="0" t="n">
        <v>16</v>
      </c>
      <c r="Z433" s="0" t="inlineStr">
        <is>
          <t>https://new.land.naver.com/complexes/26460?tab=detail&amp;rf=Y</t>
        </is>
      </c>
      <c r="AA433" s="0" t="inlineStr">
        <is>
          <t>경기도 하남시 신장동 561</t>
        </is>
      </c>
      <c r="AB433" s="0" t="inlineStr">
        <is>
          <t>경기도</t>
        </is>
      </c>
      <c r="AC433" s="0" t="inlineStr">
        <is>
          <t>하남시</t>
        </is>
      </c>
      <c r="AD433" s="0" t="inlineStr">
        <is>
          <t>신장동</t>
        </is>
      </c>
      <c r="AG433" s="0" t="inlineStr">
        <is>
          <t>경기도 하남시 하남대로802번길 55</t>
        </is>
      </c>
      <c r="AH433" s="0" t="n">
        <v>0</v>
      </c>
      <c r="AI433" s="0" t="n">
        <v>243</v>
      </c>
      <c r="AJ433" s="0" t="n">
        <v>14</v>
      </c>
      <c r="AK433" s="0" t="n">
        <v>541</v>
      </c>
      <c r="AL433" s="0" t="n">
        <v>1.11</v>
      </c>
    </row>
    <row r="434">
      <c r="A434" s="0" t="inlineStr">
        <is>
          <t>[신장동]</t>
        </is>
      </c>
      <c r="B434" s="0" t="n">
        <v>26460</v>
      </c>
      <c r="C434" s="0" t="n">
        <v>3</v>
      </c>
      <c r="D434" s="0" t="inlineStr">
        <is>
          <t>에코타운2단지</t>
        </is>
      </c>
      <c r="E434" s="0" t="inlineStr">
        <is>
          <t>2004.11.</t>
        </is>
      </c>
      <c r="F434" s="0" t="n">
        <v>488</v>
      </c>
      <c r="G434" s="0" t="n">
        <v>33.65</v>
      </c>
      <c r="H434" s="0" t="n">
        <v>111.27</v>
      </c>
      <c r="I434" s="0" t="n">
        <v>25.31</v>
      </c>
      <c r="J434" s="0" t="n">
        <v>83.67</v>
      </c>
      <c r="K434" s="0" t="n">
        <v>22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111B</t>
        </is>
      </c>
      <c r="X434" s="0" t="n">
        <v>23</v>
      </c>
      <c r="Y434" s="0" t="n">
        <v>16</v>
      </c>
      <c r="Z434" s="0" t="inlineStr">
        <is>
          <t>https://new.land.naver.com/complexes/26460?tab=detail&amp;rf=Y</t>
        </is>
      </c>
      <c r="AA434" s="0" t="inlineStr">
        <is>
          <t>경기도 하남시 신장동 561</t>
        </is>
      </c>
      <c r="AB434" s="0" t="inlineStr">
        <is>
          <t>경기도</t>
        </is>
      </c>
      <c r="AC434" s="0" t="inlineStr">
        <is>
          <t>하남시</t>
        </is>
      </c>
      <c r="AD434" s="0" t="inlineStr">
        <is>
          <t>신장동</t>
        </is>
      </c>
      <c r="AG434" s="0" t="inlineStr">
        <is>
          <t>경기도 하남시 하남대로802번길 55</t>
        </is>
      </c>
      <c r="AH434" s="0" t="n">
        <v>0</v>
      </c>
      <c r="AI434" s="0" t="n">
        <v>243</v>
      </c>
      <c r="AJ434" s="0" t="n">
        <v>14</v>
      </c>
      <c r="AK434" s="0" t="n">
        <v>541</v>
      </c>
      <c r="AL434" s="0" t="n">
        <v>1.11</v>
      </c>
    </row>
    <row r="435">
      <c r="A435" s="0" t="inlineStr">
        <is>
          <t>[신장동]</t>
        </is>
      </c>
      <c r="B435" s="0" t="n">
        <v>26460</v>
      </c>
      <c r="C435" s="0" t="n">
        <v>4</v>
      </c>
      <c r="D435" s="0" t="inlineStr">
        <is>
          <t>에코타운2단지</t>
        </is>
      </c>
      <c r="E435" s="0" t="inlineStr">
        <is>
          <t>2004.11.</t>
        </is>
      </c>
      <c r="F435" s="0" t="n">
        <v>488</v>
      </c>
      <c r="G435" s="0" t="n">
        <v>33.88</v>
      </c>
      <c r="H435" s="0" t="n">
        <v>112.02</v>
      </c>
      <c r="I435" s="0" t="n">
        <v>25.11</v>
      </c>
      <c r="J435" s="0" t="n">
        <v>83.04000000000001</v>
      </c>
      <c r="K435" s="0" t="n">
        <v>62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112D</t>
        </is>
      </c>
      <c r="X435" s="0" t="n">
        <v>23</v>
      </c>
      <c r="Y435" s="0" t="n">
        <v>16</v>
      </c>
      <c r="Z435" s="0" t="inlineStr">
        <is>
          <t>https://new.land.naver.com/complexes/26460?tab=detail&amp;rf=Y</t>
        </is>
      </c>
      <c r="AA435" s="0" t="inlineStr">
        <is>
          <t>경기도 하남시 신장동 561</t>
        </is>
      </c>
      <c r="AB435" s="0" t="inlineStr">
        <is>
          <t>경기도</t>
        </is>
      </c>
      <c r="AC435" s="0" t="inlineStr">
        <is>
          <t>하남시</t>
        </is>
      </c>
      <c r="AD435" s="0" t="inlineStr">
        <is>
          <t>신장동</t>
        </is>
      </c>
      <c r="AG435" s="0" t="inlineStr">
        <is>
          <t>경기도 하남시 하남대로802번길 55</t>
        </is>
      </c>
      <c r="AH435" s="0" t="n">
        <v>0</v>
      </c>
      <c r="AI435" s="0" t="n">
        <v>243</v>
      </c>
      <c r="AJ435" s="0" t="n">
        <v>14</v>
      </c>
      <c r="AK435" s="0" t="n">
        <v>541</v>
      </c>
      <c r="AL435" s="0" t="n">
        <v>1.11</v>
      </c>
    </row>
    <row r="436">
      <c r="A436" s="0" t="inlineStr">
        <is>
          <t>[신장동]</t>
        </is>
      </c>
      <c r="B436" s="0" t="n">
        <v>124165</v>
      </c>
      <c r="C436" s="0" t="n">
        <v>1</v>
      </c>
      <c r="D436" s="0" t="inlineStr">
        <is>
          <t>호반써밋에듀파크</t>
        </is>
      </c>
      <c r="E436" s="0" t="inlineStr">
        <is>
          <t>2021.08.</t>
        </is>
      </c>
      <c r="F436" s="0" t="n">
        <v>999</v>
      </c>
      <c r="G436" s="0" t="n">
        <v>24.73</v>
      </c>
      <c r="H436" s="0" t="n">
        <v>81.78</v>
      </c>
      <c r="I436" s="0" t="n">
        <v>18.1</v>
      </c>
      <c r="J436" s="0" t="n">
        <v>59.85</v>
      </c>
      <c r="K436" s="0" t="n">
        <v>335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81A-1</t>
        </is>
      </c>
      <c r="X436" s="0" t="n">
        <v>25</v>
      </c>
      <c r="Y436" s="0" t="n">
        <v>21</v>
      </c>
      <c r="Z436" s="0" t="inlineStr">
        <is>
          <t>https://new.land.naver.com/complexes/124165?tab=detail&amp;rf=Y</t>
        </is>
      </c>
      <c r="AA436" s="0" t="inlineStr">
        <is>
          <t>경기도 하남시 신장동 577번지(하남 지역현안사업2지구 A-1블록)</t>
        </is>
      </c>
      <c r="AB436" s="0" t="inlineStr">
        <is>
          <t>경기도</t>
        </is>
      </c>
      <c r="AC436" s="0" t="inlineStr">
        <is>
          <t>하남시</t>
        </is>
      </c>
      <c r="AD436" s="0" t="inlineStr">
        <is>
          <t>신장동</t>
        </is>
      </c>
      <c r="AG436" s="0" t="inlineStr">
        <is>
          <t>경기도 하남시 하남유니온로 10</t>
        </is>
      </c>
      <c r="AH436" s="0" t="n">
        <v>0</v>
      </c>
      <c r="AI436" s="0" t="n">
        <v>199</v>
      </c>
      <c r="AJ436" s="0" t="n">
        <v>15</v>
      </c>
      <c r="AK436" s="0" t="n">
        <v>0</v>
      </c>
      <c r="AL436" s="0" t="n">
        <v>0</v>
      </c>
    </row>
    <row r="437">
      <c r="A437" s="0" t="inlineStr">
        <is>
          <t>[신장동]</t>
        </is>
      </c>
      <c r="B437" s="0" t="n">
        <v>124165</v>
      </c>
      <c r="C437" s="0" t="n">
        <v>2</v>
      </c>
      <c r="D437" s="0" t="inlineStr">
        <is>
          <t>호반써밋에듀파크</t>
        </is>
      </c>
      <c r="E437" s="0" t="inlineStr">
        <is>
          <t>2021.08.</t>
        </is>
      </c>
      <c r="F437" s="0" t="n">
        <v>999</v>
      </c>
      <c r="G437" s="0" t="n">
        <v>24.63</v>
      </c>
      <c r="H437" s="0" t="n">
        <v>81.44</v>
      </c>
      <c r="I437" s="0" t="n">
        <v>18.03</v>
      </c>
      <c r="J437" s="0" t="n">
        <v>59.61</v>
      </c>
      <c r="K437" s="0" t="n">
        <v>290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81A</t>
        </is>
      </c>
      <c r="X437" s="0" t="n">
        <v>25</v>
      </c>
      <c r="Y437" s="0" t="n">
        <v>21</v>
      </c>
      <c r="Z437" s="0" t="inlineStr">
        <is>
          <t>https://new.land.naver.com/complexes/124165?tab=detail&amp;rf=Y</t>
        </is>
      </c>
      <c r="AA437" s="0" t="inlineStr">
        <is>
          <t>경기도 하남시 신장동 577번지(하남 지역현안사업2지구 A-1블록)</t>
        </is>
      </c>
      <c r="AB437" s="0" t="inlineStr">
        <is>
          <t>경기도</t>
        </is>
      </c>
      <c r="AC437" s="0" t="inlineStr">
        <is>
          <t>하남시</t>
        </is>
      </c>
      <c r="AD437" s="0" t="inlineStr">
        <is>
          <t>신장동</t>
        </is>
      </c>
      <c r="AG437" s="0" t="inlineStr">
        <is>
          <t>경기도 하남시 하남유니온로 10</t>
        </is>
      </c>
      <c r="AH437" s="0" t="n">
        <v>0</v>
      </c>
      <c r="AI437" s="0" t="n">
        <v>199</v>
      </c>
      <c r="AJ437" s="0" t="n">
        <v>15</v>
      </c>
      <c r="AK437" s="0" t="n">
        <v>0</v>
      </c>
      <c r="AL437" s="0" t="n">
        <v>0</v>
      </c>
    </row>
    <row r="438">
      <c r="A438" s="0" t="inlineStr">
        <is>
          <t>[신장동]</t>
        </is>
      </c>
      <c r="B438" s="0" t="n">
        <v>124165</v>
      </c>
      <c r="C438" s="0" t="n">
        <v>3</v>
      </c>
      <c r="D438" s="0" t="inlineStr">
        <is>
          <t>호반써밋에듀파크</t>
        </is>
      </c>
      <c r="E438" s="0" t="inlineStr">
        <is>
          <t>2021.08.</t>
        </is>
      </c>
      <c r="F438" s="0" t="n">
        <v>999</v>
      </c>
      <c r="G438" s="0" t="n">
        <v>24.75</v>
      </c>
      <c r="H438" s="0" t="n">
        <v>81.84</v>
      </c>
      <c r="I438" s="0" t="n">
        <v>18.11</v>
      </c>
      <c r="J438" s="0" t="n">
        <v>59.89</v>
      </c>
      <c r="K438" s="0" t="n">
        <v>118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81A-2</t>
        </is>
      </c>
      <c r="X438" s="0" t="n">
        <v>25</v>
      </c>
      <c r="Y438" s="0" t="n">
        <v>21</v>
      </c>
      <c r="Z438" s="0" t="inlineStr">
        <is>
          <t>https://new.land.naver.com/complexes/124165?tab=detail&amp;rf=Y</t>
        </is>
      </c>
      <c r="AA438" s="0" t="inlineStr">
        <is>
          <t>경기도 하남시 신장동 577번지(하남 지역현안사업2지구 A-1블록)</t>
        </is>
      </c>
      <c r="AB438" s="0" t="inlineStr">
        <is>
          <t>경기도</t>
        </is>
      </c>
      <c r="AC438" s="0" t="inlineStr">
        <is>
          <t>하남시</t>
        </is>
      </c>
      <c r="AD438" s="0" t="inlineStr">
        <is>
          <t>신장동</t>
        </is>
      </c>
      <c r="AG438" s="0" t="inlineStr">
        <is>
          <t>경기도 하남시 하남유니온로 10</t>
        </is>
      </c>
      <c r="AH438" s="0" t="n">
        <v>0</v>
      </c>
      <c r="AI438" s="0" t="n">
        <v>199</v>
      </c>
      <c r="AJ438" s="0" t="n">
        <v>15</v>
      </c>
      <c r="AK438" s="0" t="n">
        <v>0</v>
      </c>
      <c r="AL438" s="0" t="n">
        <v>0</v>
      </c>
    </row>
    <row r="439">
      <c r="A439" s="0" t="inlineStr">
        <is>
          <t>[신장동]</t>
        </is>
      </c>
      <c r="B439" s="0" t="n">
        <v>124165</v>
      </c>
      <c r="C439" s="0" t="n">
        <v>4</v>
      </c>
      <c r="D439" s="0" t="inlineStr">
        <is>
          <t>호반써밋에듀파크</t>
        </is>
      </c>
      <c r="E439" s="0" t="inlineStr">
        <is>
          <t>2021.08.</t>
        </is>
      </c>
      <c r="F439" s="0" t="n">
        <v>999</v>
      </c>
      <c r="G439" s="0" t="n">
        <v>25.04</v>
      </c>
      <c r="H439" s="0" t="n">
        <v>82.8</v>
      </c>
      <c r="I439" s="0" t="n">
        <v>18.13</v>
      </c>
      <c r="J439" s="0" t="n">
        <v>59.94</v>
      </c>
      <c r="K439" s="0" t="n">
        <v>110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82C</t>
        </is>
      </c>
      <c r="X439" s="0" t="n">
        <v>25</v>
      </c>
      <c r="Y439" s="0" t="n">
        <v>21</v>
      </c>
      <c r="Z439" s="0" t="inlineStr">
        <is>
          <t>https://new.land.naver.com/complexes/124165?tab=detail&amp;rf=Y</t>
        </is>
      </c>
      <c r="AA439" s="0" t="inlineStr">
        <is>
          <t>경기도 하남시 신장동 577번지(하남 지역현안사업2지구 A-1블록)</t>
        </is>
      </c>
      <c r="AB439" s="0" t="inlineStr">
        <is>
          <t>경기도</t>
        </is>
      </c>
      <c r="AC439" s="0" t="inlineStr">
        <is>
          <t>하남시</t>
        </is>
      </c>
      <c r="AD439" s="0" t="inlineStr">
        <is>
          <t>신장동</t>
        </is>
      </c>
      <c r="AG439" s="0" t="inlineStr">
        <is>
          <t>경기도 하남시 하남유니온로 10</t>
        </is>
      </c>
      <c r="AH439" s="0" t="n">
        <v>0</v>
      </c>
      <c r="AI439" s="0" t="n">
        <v>199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[신장동]</t>
        </is>
      </c>
      <c r="B440" s="0" t="n">
        <v>124165</v>
      </c>
      <c r="C440" s="0" t="n">
        <v>5</v>
      </c>
      <c r="D440" s="0" t="inlineStr">
        <is>
          <t>호반써밋에듀파크</t>
        </is>
      </c>
      <c r="E440" s="0" t="inlineStr">
        <is>
          <t>2021.08.</t>
        </is>
      </c>
      <c r="F440" s="0" t="n">
        <v>999</v>
      </c>
      <c r="G440" s="0" t="n">
        <v>25.27</v>
      </c>
      <c r="H440" s="0" t="n">
        <v>83.56</v>
      </c>
      <c r="I440" s="0" t="n">
        <v>18.13</v>
      </c>
      <c r="J440" s="0" t="n">
        <v>59.96</v>
      </c>
      <c r="K440" s="0" t="n">
        <v>146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83B</t>
        </is>
      </c>
      <c r="X440" s="0" t="n">
        <v>25</v>
      </c>
      <c r="Y440" s="0" t="n">
        <v>21</v>
      </c>
      <c r="Z440" s="0" t="inlineStr">
        <is>
          <t>https://new.land.naver.com/complexes/124165?tab=detail&amp;rf=Y</t>
        </is>
      </c>
      <c r="AA440" s="0" t="inlineStr">
        <is>
          <t>경기도 하남시 신장동 577번지(하남 지역현안사업2지구 A-1블록)</t>
        </is>
      </c>
      <c r="AB440" s="0" t="inlineStr">
        <is>
          <t>경기도</t>
        </is>
      </c>
      <c r="AC440" s="0" t="inlineStr">
        <is>
          <t>하남시</t>
        </is>
      </c>
      <c r="AD440" s="0" t="inlineStr">
        <is>
          <t>신장동</t>
        </is>
      </c>
      <c r="AG440" s="0" t="inlineStr">
        <is>
          <t>경기도 하남시 하남유니온로 10</t>
        </is>
      </c>
      <c r="AH440" s="0" t="n">
        <v>0</v>
      </c>
      <c r="AI440" s="0" t="n">
        <v>199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[신장동]</t>
        </is>
      </c>
      <c r="B441" s="0" t="n">
        <v>17809</v>
      </c>
      <c r="C441" s="0" t="n">
        <v>1</v>
      </c>
      <c r="D441" s="0" t="inlineStr">
        <is>
          <t>명지캐럿108</t>
        </is>
      </c>
      <c r="E441" s="0" t="inlineStr">
        <is>
          <t>2006.02.</t>
        </is>
      </c>
      <c r="F441" s="0" t="n">
        <v>108</v>
      </c>
      <c r="G441" s="0" t="n">
        <v>30.98</v>
      </c>
      <c r="H441" s="0" t="n">
        <v>102.42</v>
      </c>
      <c r="I441" s="0" t="n">
        <v>22.01</v>
      </c>
      <c r="J441" s="0" t="n">
        <v>72.77</v>
      </c>
      <c r="K441" s="0" t="n">
        <v>18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102</v>
      </c>
      <c r="X441" s="0" t="n">
        <v>20</v>
      </c>
      <c r="Y441" s="0" t="n">
        <v>20</v>
      </c>
      <c r="Z441" s="0" t="inlineStr">
        <is>
          <t>https://new.land.naver.com/complexes/17809?tab=detail&amp;rf=Y</t>
        </is>
      </c>
      <c r="AA441" s="0" t="inlineStr">
        <is>
          <t>경기도 하남시 신장동 415-10</t>
        </is>
      </c>
      <c r="AB441" s="0" t="inlineStr">
        <is>
          <t>경기도</t>
        </is>
      </c>
      <c r="AC441" s="0" t="inlineStr">
        <is>
          <t>하남시</t>
        </is>
      </c>
      <c r="AD441" s="0" t="inlineStr">
        <is>
          <t>신장동</t>
        </is>
      </c>
      <c r="AG441" s="0" t="inlineStr">
        <is>
          <t>경기도 하남시 하남대로 815</t>
        </is>
      </c>
      <c r="AH441" s="0" t="n">
        <v>0</v>
      </c>
      <c r="AI441" s="0" t="n">
        <v>566</v>
      </c>
      <c r="AJ441" s="0" t="n">
        <v>59</v>
      </c>
      <c r="AK441" s="0" t="n">
        <v>126</v>
      </c>
      <c r="AL441" s="0" t="n">
        <v>1.17</v>
      </c>
    </row>
    <row r="442">
      <c r="A442" s="0" t="inlineStr">
        <is>
          <t>[신장동]</t>
        </is>
      </c>
      <c r="B442" s="0" t="n">
        <v>17809</v>
      </c>
      <c r="C442" s="0" t="n">
        <v>2</v>
      </c>
      <c r="D442" s="0" t="inlineStr">
        <is>
          <t>명지캐럿108</t>
        </is>
      </c>
      <c r="E442" s="0" t="inlineStr">
        <is>
          <t>2006.02.</t>
        </is>
      </c>
      <c r="F442" s="0" t="n">
        <v>108</v>
      </c>
      <c r="G442" s="0" t="n">
        <v>34.65</v>
      </c>
      <c r="H442" s="0" t="n">
        <v>114.55</v>
      </c>
      <c r="I442" s="0" t="n">
        <v>24.8</v>
      </c>
      <c r="J442" s="0" t="n">
        <v>82</v>
      </c>
      <c r="K442" s="0" t="n">
        <v>18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20</v>
      </c>
      <c r="Y442" s="0" t="n">
        <v>20</v>
      </c>
      <c r="Z442" s="0" t="inlineStr">
        <is>
          <t>https://new.land.naver.com/complexes/17809?tab=detail&amp;rf=Y</t>
        </is>
      </c>
      <c r="AA442" s="0" t="inlineStr">
        <is>
          <t>경기도 하남시 신장동 415-10</t>
        </is>
      </c>
      <c r="AB442" s="0" t="inlineStr">
        <is>
          <t>경기도</t>
        </is>
      </c>
      <c r="AC442" s="0" t="inlineStr">
        <is>
          <t>하남시</t>
        </is>
      </c>
      <c r="AD442" s="0" t="inlineStr">
        <is>
          <t>신장동</t>
        </is>
      </c>
      <c r="AG442" s="0" t="inlineStr">
        <is>
          <t>경기도 하남시 하남대로 815</t>
        </is>
      </c>
      <c r="AH442" s="0" t="n">
        <v>0</v>
      </c>
      <c r="AI442" s="0" t="n">
        <v>566</v>
      </c>
      <c r="AJ442" s="0" t="n">
        <v>59</v>
      </c>
      <c r="AK442" s="0" t="n">
        <v>126</v>
      </c>
      <c r="AL442" s="0" t="n">
        <v>1.17</v>
      </c>
    </row>
    <row r="443">
      <c r="A443" s="0" t="inlineStr">
        <is>
          <t>[신장동]</t>
        </is>
      </c>
      <c r="B443" s="0" t="n">
        <v>17809</v>
      </c>
      <c r="C443" s="0" t="n">
        <v>3</v>
      </c>
      <c r="D443" s="0" t="inlineStr">
        <is>
          <t>명지캐럿108</t>
        </is>
      </c>
      <c r="E443" s="0" t="inlineStr">
        <is>
          <t>2006.02.</t>
        </is>
      </c>
      <c r="F443" s="0" t="n">
        <v>108</v>
      </c>
      <c r="G443" s="0" t="n">
        <v>35.45</v>
      </c>
      <c r="H443" s="0" t="n">
        <v>117.22</v>
      </c>
      <c r="I443" s="0" t="n">
        <v>25.41</v>
      </c>
      <c r="J443" s="0" t="n">
        <v>84.03</v>
      </c>
      <c r="K443" s="0" t="n">
        <v>54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117B</t>
        </is>
      </c>
      <c r="X443" s="0" t="n">
        <v>20</v>
      </c>
      <c r="Y443" s="0" t="n">
        <v>20</v>
      </c>
      <c r="Z443" s="0" t="inlineStr">
        <is>
          <t>https://new.land.naver.com/complexes/17809?tab=detail&amp;rf=Y</t>
        </is>
      </c>
      <c r="AA443" s="0" t="inlineStr">
        <is>
          <t>경기도 하남시 신장동 415-10</t>
        </is>
      </c>
      <c r="AB443" s="0" t="inlineStr">
        <is>
          <t>경기도</t>
        </is>
      </c>
      <c r="AC443" s="0" t="inlineStr">
        <is>
          <t>하남시</t>
        </is>
      </c>
      <c r="AD443" s="0" t="inlineStr">
        <is>
          <t>신장동</t>
        </is>
      </c>
      <c r="AG443" s="0" t="inlineStr">
        <is>
          <t>경기도 하남시 하남대로 815</t>
        </is>
      </c>
      <c r="AH443" s="0" t="n">
        <v>0</v>
      </c>
      <c r="AI443" s="0" t="n">
        <v>566</v>
      </c>
      <c r="AJ443" s="0" t="n">
        <v>59</v>
      </c>
      <c r="AK443" s="0" t="n">
        <v>126</v>
      </c>
      <c r="AL443" s="0" t="n">
        <v>1.17</v>
      </c>
    </row>
    <row r="444">
      <c r="A444" s="0" t="inlineStr">
        <is>
          <t>[신장동]</t>
        </is>
      </c>
      <c r="B444" s="0" t="n">
        <v>17809</v>
      </c>
      <c r="C444" s="0" t="n">
        <v>4</v>
      </c>
      <c r="D444" s="0" t="inlineStr">
        <is>
          <t>명지캐럿108</t>
        </is>
      </c>
      <c r="E444" s="0" t="inlineStr">
        <is>
          <t>2006.02.</t>
        </is>
      </c>
      <c r="F444" s="0" t="n">
        <v>108</v>
      </c>
      <c r="G444" s="0" t="n">
        <v>42.1</v>
      </c>
      <c r="H444" s="0" t="n">
        <v>139.18</v>
      </c>
      <c r="I444" s="0" t="n">
        <v>30.32</v>
      </c>
      <c r="J444" s="0" t="n">
        <v>100.26</v>
      </c>
      <c r="K444" s="0" t="n">
        <v>18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139</v>
      </c>
      <c r="X444" s="0" t="n">
        <v>20</v>
      </c>
      <c r="Y444" s="0" t="n">
        <v>20</v>
      </c>
      <c r="Z444" s="0" t="inlineStr">
        <is>
          <t>https://new.land.naver.com/complexes/17809?tab=detail&amp;rf=Y</t>
        </is>
      </c>
      <c r="AA444" s="0" t="inlineStr">
        <is>
          <t>경기도 하남시 신장동 415-10</t>
        </is>
      </c>
      <c r="AB444" s="0" t="inlineStr">
        <is>
          <t>경기도</t>
        </is>
      </c>
      <c r="AC444" s="0" t="inlineStr">
        <is>
          <t>하남시</t>
        </is>
      </c>
      <c r="AD444" s="0" t="inlineStr">
        <is>
          <t>신장동</t>
        </is>
      </c>
      <c r="AG444" s="0" t="inlineStr">
        <is>
          <t>경기도 하남시 하남대로 815</t>
        </is>
      </c>
      <c r="AH444" s="0" t="n">
        <v>0</v>
      </c>
      <c r="AI444" s="0" t="n">
        <v>566</v>
      </c>
      <c r="AJ444" s="0" t="n">
        <v>59</v>
      </c>
      <c r="AK444" s="0" t="n">
        <v>126</v>
      </c>
      <c r="AL444" s="0" t="n">
        <v>1.17</v>
      </c>
    </row>
    <row r="445">
      <c r="A445" s="0" t="inlineStr">
        <is>
          <t>[신장동]</t>
        </is>
      </c>
      <c r="B445" s="0" t="n">
        <v>112316</v>
      </c>
      <c r="C445" s="0" t="n">
        <v>1</v>
      </c>
      <c r="D445" s="0" t="inlineStr">
        <is>
          <t>그린나래(427-412)</t>
        </is>
      </c>
      <c r="E445" s="0" t="inlineStr">
        <is>
          <t>2016.04.</t>
        </is>
      </c>
      <c r="F445" s="0" t="n">
        <v>8</v>
      </c>
      <c r="G445" s="0" t="n">
        <v>22</v>
      </c>
      <c r="H445" s="0" t="n">
        <v>72.75</v>
      </c>
      <c r="I445" s="0" t="n">
        <v>18.1</v>
      </c>
      <c r="J445" s="0" t="n">
        <v>59.84</v>
      </c>
      <c r="K445" s="0" t="n">
        <v>8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72</v>
      </c>
      <c r="X445" s="0" t="n">
        <v>5</v>
      </c>
      <c r="Y445" s="0" t="n">
        <v>5</v>
      </c>
      <c r="Z445" s="0" t="inlineStr">
        <is>
          <t>https://new.land.naver.com/complexes/112316?tab=detail&amp;rf=Y</t>
        </is>
      </c>
      <c r="AA445" s="0" t="inlineStr">
        <is>
          <t>경기도 하남시 신장동 427-412</t>
        </is>
      </c>
      <c r="AB445" s="0" t="inlineStr">
        <is>
          <t>경기도</t>
        </is>
      </c>
      <c r="AC445" s="0" t="inlineStr">
        <is>
          <t>하남시</t>
        </is>
      </c>
      <c r="AD445" s="0" t="inlineStr">
        <is>
          <t>신장동</t>
        </is>
      </c>
      <c r="AG445" s="0" t="inlineStr">
        <is>
          <t>경기도 하남시 신장1로15번안길 14</t>
        </is>
      </c>
      <c r="AH445" s="0" t="n">
        <v>0</v>
      </c>
      <c r="AI445" s="0" t="n">
        <v>358</v>
      </c>
      <c r="AJ445" s="0" t="n">
        <v>71</v>
      </c>
      <c r="AK445" s="0" t="n">
        <v>5</v>
      </c>
      <c r="AL445" s="0" t="n">
        <v>0.62</v>
      </c>
    </row>
    <row r="446">
      <c r="A446" s="0" t="inlineStr">
        <is>
          <t>[신장동]</t>
        </is>
      </c>
      <c r="B446" s="0" t="n">
        <v>110547</v>
      </c>
      <c r="C446" s="0" t="n">
        <v>1</v>
      </c>
      <c r="D446" s="0" t="inlineStr">
        <is>
          <t>하남유니온시티에일린의뜰</t>
        </is>
      </c>
      <c r="E446" s="0" t="inlineStr">
        <is>
          <t>2017.08.</t>
        </is>
      </c>
      <c r="F446" s="0" t="n">
        <v>754</v>
      </c>
      <c r="G446" s="0" t="n">
        <v>29.85</v>
      </c>
      <c r="H446" s="0" t="n">
        <v>98.69</v>
      </c>
      <c r="I446" s="0" t="n">
        <v>22.68</v>
      </c>
      <c r="J446" s="0" t="n">
        <v>74.98999999999999</v>
      </c>
      <c r="K446" s="0" t="n">
        <v>190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98</v>
      </c>
      <c r="X446" s="0" t="n">
        <v>25</v>
      </c>
      <c r="Y446" s="0" t="n">
        <v>23</v>
      </c>
      <c r="Z446" s="0" t="inlineStr">
        <is>
          <t>https://new.land.naver.com/complexes/110547?tab=detail&amp;rf=Y</t>
        </is>
      </c>
      <c r="AA446" s="0" t="inlineStr">
        <is>
          <t>경기도 하남시 신장동 602</t>
        </is>
      </c>
      <c r="AB446" s="0" t="inlineStr">
        <is>
          <t>경기도</t>
        </is>
      </c>
      <c r="AC446" s="0" t="inlineStr">
        <is>
          <t>하남시</t>
        </is>
      </c>
      <c r="AD446" s="0" t="inlineStr">
        <is>
          <t>신장동</t>
        </is>
      </c>
      <c r="AG446" s="0" t="inlineStr">
        <is>
          <t>경기도 하남시 하남유니온로 70</t>
        </is>
      </c>
      <c r="AH446" s="0" t="n">
        <v>0</v>
      </c>
      <c r="AI446" s="0" t="n">
        <v>199</v>
      </c>
      <c r="AJ446" s="0" t="n">
        <v>16</v>
      </c>
      <c r="AK446" s="0" t="n">
        <v>944</v>
      </c>
      <c r="AL446" s="0" t="n">
        <v>1.25</v>
      </c>
    </row>
    <row r="447">
      <c r="A447" s="0" t="inlineStr">
        <is>
          <t>[신장동]</t>
        </is>
      </c>
      <c r="B447" s="0" t="n">
        <v>110547</v>
      </c>
      <c r="C447" s="0" t="n">
        <v>2</v>
      </c>
      <c r="D447" s="0" t="inlineStr">
        <is>
          <t>하남유니온시티에일린의뜰</t>
        </is>
      </c>
      <c r="E447" s="0" t="inlineStr">
        <is>
          <t>2017.08.</t>
        </is>
      </c>
      <c r="F447" s="0" t="n">
        <v>754</v>
      </c>
      <c r="G447" s="0" t="n">
        <v>33.79</v>
      </c>
      <c r="H447" s="0" t="n">
        <v>111.71</v>
      </c>
      <c r="I447" s="0" t="n">
        <v>25.7</v>
      </c>
      <c r="J447" s="0" t="n">
        <v>84.98</v>
      </c>
      <c r="K447" s="0" t="n">
        <v>187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111B</t>
        </is>
      </c>
      <c r="X447" s="0" t="n">
        <v>25</v>
      </c>
      <c r="Y447" s="0" t="n">
        <v>23</v>
      </c>
      <c r="Z447" s="0" t="inlineStr">
        <is>
          <t>https://new.land.naver.com/complexes/110547?tab=detail&amp;rf=Y</t>
        </is>
      </c>
      <c r="AA447" s="0" t="inlineStr">
        <is>
          <t>경기도 하남시 신장동 602</t>
        </is>
      </c>
      <c r="AB447" s="0" t="inlineStr">
        <is>
          <t>경기도</t>
        </is>
      </c>
      <c r="AC447" s="0" t="inlineStr">
        <is>
          <t>하남시</t>
        </is>
      </c>
      <c r="AD447" s="0" t="inlineStr">
        <is>
          <t>신장동</t>
        </is>
      </c>
      <c r="AG447" s="0" t="inlineStr">
        <is>
          <t>경기도 하남시 하남유니온로 70</t>
        </is>
      </c>
      <c r="AH447" s="0" t="n">
        <v>0</v>
      </c>
      <c r="AI447" s="0" t="n">
        <v>199</v>
      </c>
      <c r="AJ447" s="0" t="n">
        <v>16</v>
      </c>
      <c r="AK447" s="0" t="n">
        <v>944</v>
      </c>
      <c r="AL447" s="0" t="n">
        <v>1.25</v>
      </c>
    </row>
    <row r="448">
      <c r="A448" s="0" t="inlineStr">
        <is>
          <t>[신장동]</t>
        </is>
      </c>
      <c r="B448" s="0" t="n">
        <v>110547</v>
      </c>
      <c r="C448" s="0" t="n">
        <v>3</v>
      </c>
      <c r="D448" s="0" t="inlineStr">
        <is>
          <t>하남유니온시티에일린의뜰</t>
        </is>
      </c>
      <c r="E448" s="0" t="inlineStr">
        <is>
          <t>2017.08.</t>
        </is>
      </c>
      <c r="F448" s="0" t="n">
        <v>754</v>
      </c>
      <c r="G448" s="0" t="n">
        <v>33.88</v>
      </c>
      <c r="H448" s="0" t="n">
        <v>112.03</v>
      </c>
      <c r="I448" s="0" t="n">
        <v>25.7</v>
      </c>
      <c r="J448" s="0" t="n">
        <v>84.98999999999999</v>
      </c>
      <c r="K448" s="0" t="n">
        <v>189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112C</t>
        </is>
      </c>
      <c r="X448" s="0" t="n">
        <v>25</v>
      </c>
      <c r="Y448" s="0" t="n">
        <v>23</v>
      </c>
      <c r="Z448" s="0" t="inlineStr">
        <is>
          <t>https://new.land.naver.com/complexes/110547?tab=detail&amp;rf=Y</t>
        </is>
      </c>
      <c r="AA448" s="0" t="inlineStr">
        <is>
          <t>경기도 하남시 신장동 602</t>
        </is>
      </c>
      <c r="AB448" s="0" t="inlineStr">
        <is>
          <t>경기도</t>
        </is>
      </c>
      <c r="AC448" s="0" t="inlineStr">
        <is>
          <t>하남시</t>
        </is>
      </c>
      <c r="AD448" s="0" t="inlineStr">
        <is>
          <t>신장동</t>
        </is>
      </c>
      <c r="AG448" s="0" t="inlineStr">
        <is>
          <t>경기도 하남시 하남유니온로 70</t>
        </is>
      </c>
      <c r="AH448" s="0" t="n">
        <v>0</v>
      </c>
      <c r="AI448" s="0" t="n">
        <v>199</v>
      </c>
      <c r="AJ448" s="0" t="n">
        <v>16</v>
      </c>
      <c r="AK448" s="0" t="n">
        <v>944</v>
      </c>
      <c r="AL448" s="0" t="n">
        <v>1.25</v>
      </c>
    </row>
    <row r="449">
      <c r="A449" s="0" t="inlineStr">
        <is>
          <t>[신장동]</t>
        </is>
      </c>
      <c r="B449" s="0" t="n">
        <v>110547</v>
      </c>
      <c r="C449" s="0" t="n">
        <v>4</v>
      </c>
      <c r="D449" s="0" t="inlineStr">
        <is>
          <t>하남유니온시티에일린의뜰</t>
        </is>
      </c>
      <c r="E449" s="0" t="inlineStr">
        <is>
          <t>2017.08.</t>
        </is>
      </c>
      <c r="F449" s="0" t="n">
        <v>754</v>
      </c>
      <c r="G449" s="0" t="n">
        <v>33.94</v>
      </c>
      <c r="H449" s="0" t="n">
        <v>112.23</v>
      </c>
      <c r="I449" s="0" t="n">
        <v>25.7</v>
      </c>
      <c r="J449" s="0" t="n">
        <v>84.98999999999999</v>
      </c>
      <c r="K449" s="0" t="n">
        <v>188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112A</t>
        </is>
      </c>
      <c r="X449" s="0" t="n">
        <v>25</v>
      </c>
      <c r="Y449" s="0" t="n">
        <v>23</v>
      </c>
      <c r="Z449" s="0" t="inlineStr">
        <is>
          <t>https://new.land.naver.com/complexes/110547?tab=detail&amp;rf=Y</t>
        </is>
      </c>
      <c r="AA449" s="0" t="inlineStr">
        <is>
          <t>경기도 하남시 신장동 602</t>
        </is>
      </c>
      <c r="AB449" s="0" t="inlineStr">
        <is>
          <t>경기도</t>
        </is>
      </c>
      <c r="AC449" s="0" t="inlineStr">
        <is>
          <t>하남시</t>
        </is>
      </c>
      <c r="AD449" s="0" t="inlineStr">
        <is>
          <t>신장동</t>
        </is>
      </c>
      <c r="AG449" s="0" t="inlineStr">
        <is>
          <t>경기도 하남시 하남유니온로 70</t>
        </is>
      </c>
      <c r="AH449" s="0" t="n">
        <v>0</v>
      </c>
      <c r="AI449" s="0" t="n">
        <v>199</v>
      </c>
      <c r="AJ449" s="0" t="n">
        <v>16</v>
      </c>
      <c r="AK449" s="0" t="n">
        <v>944</v>
      </c>
      <c r="AL449" s="0" t="n">
        <v>1.25</v>
      </c>
    </row>
    <row r="450">
      <c r="A450" s="0" t="inlineStr">
        <is>
          <t>[신장동]</t>
        </is>
      </c>
      <c r="B450" s="0" t="n">
        <v>2151</v>
      </c>
      <c r="C450" s="0" t="n">
        <v>1</v>
      </c>
      <c r="D450" s="0" t="inlineStr">
        <is>
          <t>한국</t>
        </is>
      </c>
      <c r="E450" s="0" t="inlineStr">
        <is>
          <t>1996.08.</t>
        </is>
      </c>
      <c r="F450" s="0" t="n">
        <v>848</v>
      </c>
      <c r="G450" s="0" t="n">
        <v>18.42</v>
      </c>
      <c r="H450" s="0" t="n">
        <v>60.91</v>
      </c>
      <c r="I450" s="0" t="n">
        <v>13.47</v>
      </c>
      <c r="J450" s="0" t="n">
        <v>44.55</v>
      </c>
      <c r="K450" s="0" t="n">
        <v>128</v>
      </c>
      <c r="T450" s="0" t="n">
        <v>2</v>
      </c>
      <c r="U450" s="0" t="n">
        <v>1</v>
      </c>
      <c r="V450" s="0" t="inlineStr">
        <is>
          <t>복도식</t>
        </is>
      </c>
      <c r="W450" s="0" t="n">
        <v>60</v>
      </c>
      <c r="X450" s="0" t="n">
        <v>19</v>
      </c>
      <c r="Y450" s="0" t="n">
        <v>16</v>
      </c>
      <c r="Z450" s="0" t="inlineStr">
        <is>
          <t>https://new.land.naver.com/complexes/2151?tab=detail&amp;rf=Y</t>
        </is>
      </c>
      <c r="AA450" s="0" t="inlineStr">
        <is>
          <t>경기도 하남시 신장동 527</t>
        </is>
      </c>
      <c r="AB450" s="0" t="inlineStr">
        <is>
          <t>경기도</t>
        </is>
      </c>
      <c r="AC450" s="0" t="inlineStr">
        <is>
          <t>하남시</t>
        </is>
      </c>
      <c r="AD450" s="0" t="inlineStr">
        <is>
          <t>신장동</t>
        </is>
      </c>
      <c r="AG450" s="0" t="inlineStr">
        <is>
          <t>경기도 하남시 대청로59번길 15</t>
        </is>
      </c>
      <c r="AH450" s="0" t="n">
        <v>0</v>
      </c>
      <c r="AI450" s="0" t="n">
        <v>199</v>
      </c>
      <c r="AJ450" s="0" t="n">
        <v>15</v>
      </c>
      <c r="AK450" s="0" t="n">
        <v>890</v>
      </c>
      <c r="AL450" s="0" t="n">
        <v>1.05</v>
      </c>
    </row>
    <row r="451">
      <c r="A451" s="0" t="inlineStr">
        <is>
          <t>[신장동]</t>
        </is>
      </c>
      <c r="B451" s="0" t="n">
        <v>2151</v>
      </c>
      <c r="C451" s="0" t="n">
        <v>2</v>
      </c>
      <c r="D451" s="0" t="inlineStr">
        <is>
          <t>한국</t>
        </is>
      </c>
      <c r="E451" s="0" t="inlineStr">
        <is>
          <t>1996.08.</t>
        </is>
      </c>
      <c r="F451" s="0" t="n">
        <v>848</v>
      </c>
      <c r="G451" s="0" t="n">
        <v>23.59</v>
      </c>
      <c r="H451" s="0" t="n">
        <v>78</v>
      </c>
      <c r="I451" s="0" t="n">
        <v>18.12</v>
      </c>
      <c r="J451" s="0" t="n">
        <v>59.91</v>
      </c>
      <c r="K451" s="0" t="n">
        <v>720</v>
      </c>
      <c r="T451" s="0" t="n">
        <v>3</v>
      </c>
      <c r="U451" s="0" t="n">
        <v>1</v>
      </c>
      <c r="V451" s="0" t="inlineStr">
        <is>
          <t>계단식</t>
        </is>
      </c>
      <c r="W451" s="0" t="n">
        <v>78</v>
      </c>
      <c r="X451" s="0" t="n">
        <v>19</v>
      </c>
      <c r="Y451" s="0" t="n">
        <v>16</v>
      </c>
      <c r="Z451" s="0" t="inlineStr">
        <is>
          <t>https://new.land.naver.com/complexes/2151?tab=detail&amp;rf=Y</t>
        </is>
      </c>
      <c r="AA451" s="0" t="inlineStr">
        <is>
          <t>경기도 하남시 신장동 527</t>
        </is>
      </c>
      <c r="AB451" s="0" t="inlineStr">
        <is>
          <t>경기도</t>
        </is>
      </c>
      <c r="AC451" s="0" t="inlineStr">
        <is>
          <t>하남시</t>
        </is>
      </c>
      <c r="AD451" s="0" t="inlineStr">
        <is>
          <t>신장동</t>
        </is>
      </c>
      <c r="AG451" s="0" t="inlineStr">
        <is>
          <t>경기도 하남시 대청로59번길 15</t>
        </is>
      </c>
      <c r="AH451" s="0" t="n">
        <v>0</v>
      </c>
      <c r="AI451" s="0" t="n">
        <v>199</v>
      </c>
      <c r="AJ451" s="0" t="n">
        <v>15</v>
      </c>
      <c r="AK451" s="0" t="n">
        <v>890</v>
      </c>
      <c r="AL451" s="0" t="n">
        <v>1.05</v>
      </c>
    </row>
    <row r="452">
      <c r="A452" s="0" t="inlineStr">
        <is>
          <t>[신장동]</t>
        </is>
      </c>
      <c r="B452" s="0" t="n">
        <v>11093</v>
      </c>
      <c r="C452" s="0" t="n">
        <v>1</v>
      </c>
      <c r="D452" s="0" t="inlineStr">
        <is>
          <t>진도로르빌</t>
        </is>
      </c>
      <c r="E452" s="0" t="inlineStr">
        <is>
          <t>2003.11.</t>
        </is>
      </c>
      <c r="F452" s="0" t="n">
        <v>132</v>
      </c>
      <c r="G452" s="0" t="n">
        <v>22.51</v>
      </c>
      <c r="H452" s="0" t="n">
        <v>74.44</v>
      </c>
      <c r="I452" s="0" t="n">
        <v>17.23</v>
      </c>
      <c r="J452" s="0" t="n">
        <v>56.97</v>
      </c>
      <c r="K452" s="0" t="n">
        <v>52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74B</t>
        </is>
      </c>
      <c r="X452" s="0" t="n">
        <v>15</v>
      </c>
      <c r="Y452" s="0" t="n">
        <v>15</v>
      </c>
      <c r="Z452" s="0" t="inlineStr">
        <is>
          <t>https://new.land.naver.com/complexes/11093?tab=detail&amp;rf=Y</t>
        </is>
      </c>
      <c r="AA452" s="0" t="inlineStr">
        <is>
          <t>경기도 하남시 신장동 427-66</t>
        </is>
      </c>
      <c r="AB452" s="0" t="inlineStr">
        <is>
          <t>경기도</t>
        </is>
      </c>
      <c r="AC452" s="0" t="inlineStr">
        <is>
          <t>하남시</t>
        </is>
      </c>
      <c r="AD452" s="0" t="inlineStr">
        <is>
          <t>신장동</t>
        </is>
      </c>
      <c r="AG452" s="0" t="inlineStr">
        <is>
          <t>경기도 하남시 신평로55번길 8</t>
        </is>
      </c>
      <c r="AH452" s="0" t="n">
        <v>0</v>
      </c>
      <c r="AI452" s="0" t="n">
        <v>672</v>
      </c>
      <c r="AJ452" s="0" t="n">
        <v>66</v>
      </c>
      <c r="AK452" s="0" t="n">
        <v>104</v>
      </c>
      <c r="AL452" s="0" t="n">
        <v>0.79</v>
      </c>
    </row>
    <row r="453">
      <c r="A453" s="0" t="inlineStr">
        <is>
          <t>[신장동]</t>
        </is>
      </c>
      <c r="B453" s="0" t="n">
        <v>11093</v>
      </c>
      <c r="C453" s="0" t="n">
        <v>2</v>
      </c>
      <c r="D453" s="0" t="inlineStr">
        <is>
          <t>진도로르빌</t>
        </is>
      </c>
      <c r="E453" s="0" t="inlineStr">
        <is>
          <t>2003.11.</t>
        </is>
      </c>
      <c r="F453" s="0" t="n">
        <v>132</v>
      </c>
      <c r="G453" s="0" t="n">
        <v>22.51</v>
      </c>
      <c r="H453" s="0" t="n">
        <v>74.42</v>
      </c>
      <c r="I453" s="0" t="n">
        <v>17.23</v>
      </c>
      <c r="J453" s="0" t="n">
        <v>56.96</v>
      </c>
      <c r="K453" s="0" t="n">
        <v>26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74A</t>
        </is>
      </c>
      <c r="X453" s="0" t="n">
        <v>15</v>
      </c>
      <c r="Y453" s="0" t="n">
        <v>15</v>
      </c>
      <c r="Z453" s="0" t="inlineStr">
        <is>
          <t>https://new.land.naver.com/complexes/11093?tab=detail&amp;rf=Y</t>
        </is>
      </c>
      <c r="AA453" s="0" t="inlineStr">
        <is>
          <t>경기도 하남시 신장동 427-66</t>
        </is>
      </c>
      <c r="AB453" s="0" t="inlineStr">
        <is>
          <t>경기도</t>
        </is>
      </c>
      <c r="AC453" s="0" t="inlineStr">
        <is>
          <t>하남시</t>
        </is>
      </c>
      <c r="AD453" s="0" t="inlineStr">
        <is>
          <t>신장동</t>
        </is>
      </c>
      <c r="AG453" s="0" t="inlineStr">
        <is>
          <t>경기도 하남시 신평로55번길 8</t>
        </is>
      </c>
      <c r="AH453" s="0" t="n">
        <v>0</v>
      </c>
      <c r="AI453" s="0" t="n">
        <v>672</v>
      </c>
      <c r="AJ453" s="0" t="n">
        <v>66</v>
      </c>
      <c r="AK453" s="0" t="n">
        <v>104</v>
      </c>
      <c r="AL453" s="0" t="n">
        <v>0.79</v>
      </c>
    </row>
    <row r="454">
      <c r="A454" s="0" t="inlineStr">
        <is>
          <t>[신장동]</t>
        </is>
      </c>
      <c r="B454" s="0" t="n">
        <v>11093</v>
      </c>
      <c r="C454" s="0" t="n">
        <v>3</v>
      </c>
      <c r="D454" s="0" t="inlineStr">
        <is>
          <t>진도로르빌</t>
        </is>
      </c>
      <c r="E454" s="0" t="inlineStr">
        <is>
          <t>2003.11.</t>
        </is>
      </c>
      <c r="F454" s="0" t="n">
        <v>132</v>
      </c>
      <c r="G454" s="0" t="n">
        <v>32.89</v>
      </c>
      <c r="H454" s="0" t="n">
        <v>108.75</v>
      </c>
      <c r="I454" s="0" t="n">
        <v>25.17</v>
      </c>
      <c r="J454" s="0" t="n">
        <v>83.23</v>
      </c>
      <c r="K454" s="0" t="n">
        <v>41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108A</t>
        </is>
      </c>
      <c r="X454" s="0" t="n">
        <v>15</v>
      </c>
      <c r="Y454" s="0" t="n">
        <v>15</v>
      </c>
      <c r="Z454" s="0" t="inlineStr">
        <is>
          <t>https://new.land.naver.com/complexes/11093?tab=detail&amp;rf=Y</t>
        </is>
      </c>
      <c r="AA454" s="0" t="inlineStr">
        <is>
          <t>경기도 하남시 신장동 427-66</t>
        </is>
      </c>
      <c r="AB454" s="0" t="inlineStr">
        <is>
          <t>경기도</t>
        </is>
      </c>
      <c r="AC454" s="0" t="inlineStr">
        <is>
          <t>하남시</t>
        </is>
      </c>
      <c r="AD454" s="0" t="inlineStr">
        <is>
          <t>신장동</t>
        </is>
      </c>
      <c r="AG454" s="0" t="inlineStr">
        <is>
          <t>경기도 하남시 신평로55번길 8</t>
        </is>
      </c>
      <c r="AH454" s="0" t="n">
        <v>0</v>
      </c>
      <c r="AI454" s="0" t="n">
        <v>672</v>
      </c>
      <c r="AJ454" s="0" t="n">
        <v>66</v>
      </c>
      <c r="AK454" s="0" t="n">
        <v>104</v>
      </c>
      <c r="AL454" s="0" t="n">
        <v>0.79</v>
      </c>
    </row>
    <row r="455">
      <c r="A455" s="0" t="inlineStr">
        <is>
          <t>[신장동]</t>
        </is>
      </c>
      <c r="B455" s="0" t="n">
        <v>11093</v>
      </c>
      <c r="C455" s="0" t="n">
        <v>4</v>
      </c>
      <c r="D455" s="0" t="inlineStr">
        <is>
          <t>진도로르빌</t>
        </is>
      </c>
      <c r="E455" s="0" t="inlineStr">
        <is>
          <t>2003.11.</t>
        </is>
      </c>
      <c r="F455" s="0" t="n">
        <v>132</v>
      </c>
      <c r="G455" s="0" t="n">
        <v>33</v>
      </c>
      <c r="H455" s="0" t="n">
        <v>109.12</v>
      </c>
      <c r="I455" s="0" t="n">
        <v>25.26</v>
      </c>
      <c r="J455" s="0" t="n">
        <v>83.51000000000001</v>
      </c>
      <c r="K455" s="0" t="n">
        <v>13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109B</t>
        </is>
      </c>
      <c r="X455" s="0" t="n">
        <v>15</v>
      </c>
      <c r="Y455" s="0" t="n">
        <v>15</v>
      </c>
      <c r="Z455" s="0" t="inlineStr">
        <is>
          <t>https://new.land.naver.com/complexes/11093?tab=detail&amp;rf=Y</t>
        </is>
      </c>
      <c r="AA455" s="0" t="inlineStr">
        <is>
          <t>경기도 하남시 신장동 427-66</t>
        </is>
      </c>
      <c r="AB455" s="0" t="inlineStr">
        <is>
          <t>경기도</t>
        </is>
      </c>
      <c r="AC455" s="0" t="inlineStr">
        <is>
          <t>하남시</t>
        </is>
      </c>
      <c r="AD455" s="0" t="inlineStr">
        <is>
          <t>신장동</t>
        </is>
      </c>
      <c r="AG455" s="0" t="inlineStr">
        <is>
          <t>경기도 하남시 신평로55번길 8</t>
        </is>
      </c>
      <c r="AH455" s="0" t="n">
        <v>0</v>
      </c>
      <c r="AI455" s="0" t="n">
        <v>672</v>
      </c>
      <c r="AJ455" s="0" t="n">
        <v>66</v>
      </c>
      <c r="AK455" s="0" t="n">
        <v>104</v>
      </c>
      <c r="AL455" s="0" t="n">
        <v>0.79</v>
      </c>
    </row>
    <row r="456">
      <c r="A456" s="0" t="inlineStr">
        <is>
          <t>[신장동]</t>
        </is>
      </c>
      <c r="B456" s="0" t="n">
        <v>2856</v>
      </c>
      <c r="C456" s="0" t="n">
        <v>1</v>
      </c>
      <c r="D456" s="0" t="inlineStr">
        <is>
          <t>더우개마을동일</t>
        </is>
      </c>
      <c r="E456" s="0" t="inlineStr">
        <is>
          <t>1999.09.</t>
        </is>
      </c>
      <c r="F456" s="0" t="n">
        <v>438</v>
      </c>
      <c r="G456" s="0" t="n">
        <v>19.35</v>
      </c>
      <c r="H456" s="0" t="n">
        <v>63.99</v>
      </c>
      <c r="I456" s="0" t="n">
        <v>13.61</v>
      </c>
      <c r="J456" s="0" t="n">
        <v>45</v>
      </c>
      <c r="K456" s="0" t="n">
        <v>51</v>
      </c>
      <c r="T456" s="0" t="n">
        <v>2</v>
      </c>
      <c r="U456" s="0" t="n">
        <v>1</v>
      </c>
      <c r="V456" s="0" t="inlineStr">
        <is>
          <t>계단식</t>
        </is>
      </c>
      <c r="W456" s="0" t="n">
        <v>63</v>
      </c>
      <c r="X456" s="0" t="n">
        <v>20</v>
      </c>
      <c r="Y456" s="0" t="n">
        <v>9</v>
      </c>
      <c r="Z456" s="0" t="inlineStr">
        <is>
          <t>https://new.land.naver.com/complexes/2856?tab=detail&amp;rf=Y</t>
        </is>
      </c>
      <c r="AA456" s="0" t="inlineStr">
        <is>
          <t>경기도 하남시 신장동 100</t>
        </is>
      </c>
      <c r="AB456" s="0" t="inlineStr">
        <is>
          <t>경기도</t>
        </is>
      </c>
      <c r="AC456" s="0" t="inlineStr">
        <is>
          <t>하남시</t>
        </is>
      </c>
      <c r="AD456" s="0" t="inlineStr">
        <is>
          <t>신장동</t>
        </is>
      </c>
      <c r="AG456" s="0" t="inlineStr">
        <is>
          <t>경기도 하남시 대청로59번길 20</t>
        </is>
      </c>
      <c r="AH456" s="0" t="n">
        <v>0</v>
      </c>
      <c r="AI456" s="0" t="n">
        <v>349</v>
      </c>
      <c r="AJ456" s="0" t="n">
        <v>24</v>
      </c>
      <c r="AK456" s="0" t="n">
        <v>595</v>
      </c>
      <c r="AL456" s="0" t="n">
        <v>1.36</v>
      </c>
    </row>
    <row r="457">
      <c r="A457" s="0" t="inlineStr">
        <is>
          <t>[신장동]</t>
        </is>
      </c>
      <c r="B457" s="0" t="n">
        <v>2856</v>
      </c>
      <c r="C457" s="0" t="n">
        <v>2</v>
      </c>
      <c r="D457" s="0" t="inlineStr">
        <is>
          <t>더우개마을동일</t>
        </is>
      </c>
      <c r="E457" s="0" t="inlineStr">
        <is>
          <t>1999.09.</t>
        </is>
      </c>
      <c r="F457" s="0" t="n">
        <v>438</v>
      </c>
      <c r="G457" s="0" t="n">
        <v>23.88</v>
      </c>
      <c r="H457" s="0" t="n">
        <v>78.95</v>
      </c>
      <c r="I457" s="0" t="n">
        <v>18.15</v>
      </c>
      <c r="J457" s="0" t="n">
        <v>60</v>
      </c>
      <c r="K457" s="0" t="n">
        <v>80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78</v>
      </c>
      <c r="X457" s="0" t="n">
        <v>20</v>
      </c>
      <c r="Y457" s="0" t="n">
        <v>9</v>
      </c>
      <c r="Z457" s="0" t="inlineStr">
        <is>
          <t>https://new.land.naver.com/complexes/2856?tab=detail&amp;rf=Y</t>
        </is>
      </c>
      <c r="AA457" s="0" t="inlineStr">
        <is>
          <t>경기도 하남시 신장동 100</t>
        </is>
      </c>
      <c r="AB457" s="0" t="inlineStr">
        <is>
          <t>경기도</t>
        </is>
      </c>
      <c r="AC457" s="0" t="inlineStr">
        <is>
          <t>하남시</t>
        </is>
      </c>
      <c r="AD457" s="0" t="inlineStr">
        <is>
          <t>신장동</t>
        </is>
      </c>
      <c r="AG457" s="0" t="inlineStr">
        <is>
          <t>경기도 하남시 대청로59번길 20</t>
        </is>
      </c>
      <c r="AH457" s="0" t="n">
        <v>0</v>
      </c>
      <c r="AI457" s="0" t="n">
        <v>349</v>
      </c>
      <c r="AJ457" s="0" t="n">
        <v>24</v>
      </c>
      <c r="AK457" s="0" t="n">
        <v>595</v>
      </c>
      <c r="AL457" s="0" t="n">
        <v>1.36</v>
      </c>
    </row>
    <row r="458">
      <c r="A458" s="0" t="inlineStr">
        <is>
          <t>[신장동]</t>
        </is>
      </c>
      <c r="B458" s="0" t="n">
        <v>2856</v>
      </c>
      <c r="C458" s="0" t="n">
        <v>3</v>
      </c>
      <c r="D458" s="0" t="inlineStr">
        <is>
          <t>더우개마을동일</t>
        </is>
      </c>
      <c r="E458" s="0" t="inlineStr">
        <is>
          <t>1999.09.</t>
        </is>
      </c>
      <c r="F458" s="0" t="n">
        <v>438</v>
      </c>
      <c r="G458" s="0" t="n">
        <v>32.14</v>
      </c>
      <c r="H458" s="0" t="n">
        <v>106.27</v>
      </c>
      <c r="I458" s="0" t="n">
        <v>25.67</v>
      </c>
      <c r="J458" s="0" t="n">
        <v>84.87</v>
      </c>
      <c r="K458" s="0" t="n">
        <v>147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106</v>
      </c>
      <c r="X458" s="0" t="n">
        <v>20</v>
      </c>
      <c r="Y458" s="0" t="n">
        <v>9</v>
      </c>
      <c r="Z458" s="0" t="inlineStr">
        <is>
          <t>https://new.land.naver.com/complexes/2856?tab=detail&amp;rf=Y</t>
        </is>
      </c>
      <c r="AA458" s="0" t="inlineStr">
        <is>
          <t>경기도 하남시 신장동 100</t>
        </is>
      </c>
      <c r="AB458" s="0" t="inlineStr">
        <is>
          <t>경기도</t>
        </is>
      </c>
      <c r="AC458" s="0" t="inlineStr">
        <is>
          <t>하남시</t>
        </is>
      </c>
      <c r="AD458" s="0" t="inlineStr">
        <is>
          <t>신장동</t>
        </is>
      </c>
      <c r="AG458" s="0" t="inlineStr">
        <is>
          <t>경기도 하남시 대청로59번길 20</t>
        </is>
      </c>
      <c r="AH458" s="0" t="n">
        <v>0</v>
      </c>
      <c r="AI458" s="0" t="n">
        <v>349</v>
      </c>
      <c r="AJ458" s="0" t="n">
        <v>24</v>
      </c>
      <c r="AK458" s="0" t="n">
        <v>595</v>
      </c>
      <c r="AL458" s="0" t="n">
        <v>1.36</v>
      </c>
    </row>
    <row r="459">
      <c r="A459" s="0" t="inlineStr">
        <is>
          <t>[신장동]</t>
        </is>
      </c>
      <c r="B459" s="0" t="n">
        <v>2856</v>
      </c>
      <c r="C459" s="0" t="n">
        <v>4</v>
      </c>
      <c r="D459" s="0" t="inlineStr">
        <is>
          <t>더우개마을동일</t>
        </is>
      </c>
      <c r="E459" s="0" t="inlineStr">
        <is>
          <t>1999.09.</t>
        </is>
      </c>
      <c r="F459" s="0" t="n">
        <v>438</v>
      </c>
      <c r="G459" s="0" t="n">
        <v>47.93</v>
      </c>
      <c r="H459" s="0" t="n">
        <v>158.46</v>
      </c>
      <c r="I459" s="0" t="n">
        <v>40.58</v>
      </c>
      <c r="J459" s="0" t="n">
        <v>134.16</v>
      </c>
      <c r="K459" s="0" t="n">
        <v>80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158</v>
      </c>
      <c r="X459" s="0" t="n">
        <v>20</v>
      </c>
      <c r="Y459" s="0" t="n">
        <v>9</v>
      </c>
      <c r="Z459" s="0" t="inlineStr">
        <is>
          <t>https://new.land.naver.com/complexes/2856?tab=detail&amp;rf=Y</t>
        </is>
      </c>
      <c r="AA459" s="0" t="inlineStr">
        <is>
          <t>경기도 하남시 신장동 100</t>
        </is>
      </c>
      <c r="AB459" s="0" t="inlineStr">
        <is>
          <t>경기도</t>
        </is>
      </c>
      <c r="AC459" s="0" t="inlineStr">
        <is>
          <t>하남시</t>
        </is>
      </c>
      <c r="AD459" s="0" t="inlineStr">
        <is>
          <t>신장동</t>
        </is>
      </c>
      <c r="AG459" s="0" t="inlineStr">
        <is>
          <t>경기도 하남시 대청로59번길 20</t>
        </is>
      </c>
      <c r="AH459" s="0" t="n">
        <v>0</v>
      </c>
      <c r="AI459" s="0" t="n">
        <v>349</v>
      </c>
      <c r="AJ459" s="0" t="n">
        <v>24</v>
      </c>
      <c r="AK459" s="0" t="n">
        <v>595</v>
      </c>
      <c r="AL459" s="0" t="n">
        <v>1.36</v>
      </c>
    </row>
    <row r="460">
      <c r="A460" s="0" t="inlineStr">
        <is>
          <t>[신장동]</t>
        </is>
      </c>
      <c r="B460" s="0" t="n">
        <v>2856</v>
      </c>
      <c r="C460" s="0" t="n">
        <v>5</v>
      </c>
      <c r="D460" s="0" t="inlineStr">
        <is>
          <t>더우개마을동일</t>
        </is>
      </c>
      <c r="E460" s="0" t="inlineStr">
        <is>
          <t>1999.09.</t>
        </is>
      </c>
      <c r="F460" s="0" t="n">
        <v>438</v>
      </c>
      <c r="G460" s="0" t="n">
        <v>61.9</v>
      </c>
      <c r="H460" s="0" t="n">
        <v>204.65</v>
      </c>
      <c r="I460" s="0" t="n">
        <v>51.01</v>
      </c>
      <c r="J460" s="0" t="n">
        <v>168.65</v>
      </c>
      <c r="K460" s="0" t="n">
        <v>40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204</v>
      </c>
      <c r="X460" s="0" t="n">
        <v>20</v>
      </c>
      <c r="Y460" s="0" t="n">
        <v>9</v>
      </c>
      <c r="Z460" s="0" t="inlineStr">
        <is>
          <t>https://new.land.naver.com/complexes/2856?tab=detail&amp;rf=Y</t>
        </is>
      </c>
      <c r="AA460" s="0" t="inlineStr">
        <is>
          <t>경기도 하남시 신장동 100</t>
        </is>
      </c>
      <c r="AB460" s="0" t="inlineStr">
        <is>
          <t>경기도</t>
        </is>
      </c>
      <c r="AC460" s="0" t="inlineStr">
        <is>
          <t>하남시</t>
        </is>
      </c>
      <c r="AD460" s="0" t="inlineStr">
        <is>
          <t>신장동</t>
        </is>
      </c>
      <c r="AG460" s="0" t="inlineStr">
        <is>
          <t>경기도 하남시 대청로59번길 20</t>
        </is>
      </c>
      <c r="AH460" s="0" t="n">
        <v>0</v>
      </c>
      <c r="AI460" s="0" t="n">
        <v>349</v>
      </c>
      <c r="AJ460" s="0" t="n">
        <v>24</v>
      </c>
      <c r="AK460" s="0" t="n">
        <v>595</v>
      </c>
      <c r="AL460" s="0" t="n">
        <v>1.36</v>
      </c>
    </row>
    <row r="461">
      <c r="A461" s="0" t="inlineStr">
        <is>
          <t>[신장동]</t>
        </is>
      </c>
      <c r="B461" s="0" t="n">
        <v>2856</v>
      </c>
      <c r="C461" s="0" t="n">
        <v>6</v>
      </c>
      <c r="D461" s="0" t="inlineStr">
        <is>
          <t>더우개마을동일</t>
        </is>
      </c>
      <c r="E461" s="0" t="inlineStr">
        <is>
          <t>1999.09.</t>
        </is>
      </c>
      <c r="F461" s="0" t="n">
        <v>438</v>
      </c>
      <c r="G461" s="0" t="n">
        <v>66.45</v>
      </c>
      <c r="H461" s="0" t="n">
        <v>219.69</v>
      </c>
      <c r="I461" s="0" t="n">
        <v>54.94</v>
      </c>
      <c r="J461" s="0" t="n">
        <v>181.64</v>
      </c>
      <c r="K461" s="0" t="n">
        <v>40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219</v>
      </c>
      <c r="X461" s="0" t="n">
        <v>20</v>
      </c>
      <c r="Y461" s="0" t="n">
        <v>9</v>
      </c>
      <c r="Z461" s="0" t="inlineStr">
        <is>
          <t>https://new.land.naver.com/complexes/2856?tab=detail&amp;rf=Y</t>
        </is>
      </c>
      <c r="AA461" s="0" t="inlineStr">
        <is>
          <t>경기도 하남시 신장동 100</t>
        </is>
      </c>
      <c r="AB461" s="0" t="inlineStr">
        <is>
          <t>경기도</t>
        </is>
      </c>
      <c r="AC461" s="0" t="inlineStr">
        <is>
          <t>하남시</t>
        </is>
      </c>
      <c r="AD461" s="0" t="inlineStr">
        <is>
          <t>신장동</t>
        </is>
      </c>
      <c r="AG461" s="0" t="inlineStr">
        <is>
          <t>경기도 하남시 대청로59번길 20</t>
        </is>
      </c>
      <c r="AH461" s="0" t="n">
        <v>0</v>
      </c>
      <c r="AI461" s="0" t="n">
        <v>349</v>
      </c>
      <c r="AJ461" s="0" t="n">
        <v>24</v>
      </c>
      <c r="AK461" s="0" t="n">
        <v>595</v>
      </c>
      <c r="AL461" s="0" t="n">
        <v>1.36</v>
      </c>
    </row>
    <row r="462">
      <c r="A462" s="0" t="inlineStr">
        <is>
          <t>[창우동]</t>
        </is>
      </c>
      <c r="B462" s="0" t="n">
        <v>2156</v>
      </c>
      <c r="C462" s="0" t="n">
        <v>1</v>
      </c>
      <c r="D462" s="0" t="inlineStr">
        <is>
          <t>은행</t>
        </is>
      </c>
      <c r="E462" s="0" t="inlineStr">
        <is>
          <t>1994.05.</t>
        </is>
      </c>
      <c r="F462" s="0" t="n">
        <v>1360</v>
      </c>
      <c r="G462" s="0" t="n">
        <v>37.64</v>
      </c>
      <c r="H462" s="0" t="n">
        <v>124.46</v>
      </c>
      <c r="I462" s="0" t="n">
        <v>30.85</v>
      </c>
      <c r="J462" s="0" t="n">
        <v>102</v>
      </c>
      <c r="K462" s="0" t="n">
        <v>400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124A</t>
        </is>
      </c>
      <c r="X462" s="0" t="n">
        <v>18</v>
      </c>
      <c r="Y462" s="0" t="n">
        <v>16</v>
      </c>
      <c r="Z462" s="0" t="inlineStr">
        <is>
          <t>https://new.land.naver.com/complexes/2156?tab=detail&amp;rf=Y</t>
        </is>
      </c>
      <c r="AA462" s="0" t="inlineStr">
        <is>
          <t>경기도 하남시 창우동 520</t>
        </is>
      </c>
      <c r="AB462" s="0" t="inlineStr">
        <is>
          <t>경기도</t>
        </is>
      </c>
      <c r="AC462" s="0" t="inlineStr">
        <is>
          <t>하남시</t>
        </is>
      </c>
      <c r="AD462" s="0" t="inlineStr">
        <is>
          <t>창우동</t>
        </is>
      </c>
      <c r="AG462" s="0" t="inlineStr">
        <is>
          <t>경기도 하남시 대청로116번길 30</t>
        </is>
      </c>
      <c r="AH462" s="0" t="n">
        <v>0</v>
      </c>
      <c r="AI462" s="0" t="n">
        <v>219</v>
      </c>
      <c r="AJ462" s="0" t="n">
        <v>18</v>
      </c>
      <c r="AK462" s="0" t="n">
        <v>1691</v>
      </c>
      <c r="AL462" s="0" t="n">
        <v>1.24</v>
      </c>
    </row>
    <row r="463">
      <c r="A463" s="0" t="inlineStr">
        <is>
          <t>[창우동]</t>
        </is>
      </c>
      <c r="B463" s="0" t="n">
        <v>2156</v>
      </c>
      <c r="C463" s="0" t="n">
        <v>2</v>
      </c>
      <c r="D463" s="0" t="inlineStr">
        <is>
          <t>은행</t>
        </is>
      </c>
      <c r="E463" s="0" t="inlineStr">
        <is>
          <t>1994.05.</t>
        </is>
      </c>
      <c r="F463" s="0" t="n">
        <v>1360</v>
      </c>
      <c r="G463" s="0" t="n">
        <v>37.64</v>
      </c>
      <c r="H463" s="0" t="n">
        <v>124.46</v>
      </c>
      <c r="I463" s="0" t="n">
        <v>30.85</v>
      </c>
      <c r="J463" s="0" t="n">
        <v>101.99</v>
      </c>
      <c r="K463" s="0" t="n">
        <v>400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124B</t>
        </is>
      </c>
      <c r="X463" s="0" t="n">
        <v>18</v>
      </c>
      <c r="Y463" s="0" t="n">
        <v>16</v>
      </c>
      <c r="Z463" s="0" t="inlineStr">
        <is>
          <t>https://new.land.naver.com/complexes/2156?tab=detail&amp;rf=Y</t>
        </is>
      </c>
      <c r="AA463" s="0" t="inlineStr">
        <is>
          <t>경기도 하남시 창우동 520</t>
        </is>
      </c>
      <c r="AB463" s="0" t="inlineStr">
        <is>
          <t>경기도</t>
        </is>
      </c>
      <c r="AC463" s="0" t="inlineStr">
        <is>
          <t>하남시</t>
        </is>
      </c>
      <c r="AD463" s="0" t="inlineStr">
        <is>
          <t>창우동</t>
        </is>
      </c>
      <c r="AG463" s="0" t="inlineStr">
        <is>
          <t>경기도 하남시 대청로116번길 30</t>
        </is>
      </c>
      <c r="AH463" s="0" t="n">
        <v>0</v>
      </c>
      <c r="AI463" s="0" t="n">
        <v>219</v>
      </c>
      <c r="AJ463" s="0" t="n">
        <v>18</v>
      </c>
      <c r="AK463" s="0" t="n">
        <v>1691</v>
      </c>
      <c r="AL463" s="0" t="n">
        <v>1.24</v>
      </c>
    </row>
    <row r="464">
      <c r="A464" s="0" t="inlineStr">
        <is>
          <t>[창우동]</t>
        </is>
      </c>
      <c r="B464" s="0" t="n">
        <v>2156</v>
      </c>
      <c r="C464" s="0" t="n">
        <v>3</v>
      </c>
      <c r="D464" s="0" t="inlineStr">
        <is>
          <t>은행</t>
        </is>
      </c>
      <c r="E464" s="0" t="inlineStr">
        <is>
          <t>1994.05.</t>
        </is>
      </c>
      <c r="F464" s="0" t="n">
        <v>1360</v>
      </c>
      <c r="G464" s="0" t="n">
        <v>48.08</v>
      </c>
      <c r="H464" s="0" t="n">
        <v>158.97</v>
      </c>
      <c r="I464" s="0" t="n">
        <v>40.83</v>
      </c>
      <c r="J464" s="0" t="n">
        <v>135</v>
      </c>
      <c r="K464" s="0" t="n">
        <v>280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158A</t>
        </is>
      </c>
      <c r="X464" s="0" t="n">
        <v>18</v>
      </c>
      <c r="Y464" s="0" t="n">
        <v>16</v>
      </c>
      <c r="Z464" s="0" t="inlineStr">
        <is>
          <t>https://new.land.naver.com/complexes/2156?tab=detail&amp;rf=Y</t>
        </is>
      </c>
      <c r="AA464" s="0" t="inlineStr">
        <is>
          <t>경기도 하남시 창우동 520</t>
        </is>
      </c>
      <c r="AB464" s="0" t="inlineStr">
        <is>
          <t>경기도</t>
        </is>
      </c>
      <c r="AC464" s="0" t="inlineStr">
        <is>
          <t>하남시</t>
        </is>
      </c>
      <c r="AD464" s="0" t="inlineStr">
        <is>
          <t>창우동</t>
        </is>
      </c>
      <c r="AG464" s="0" t="inlineStr">
        <is>
          <t>경기도 하남시 대청로116번길 30</t>
        </is>
      </c>
      <c r="AH464" s="0" t="n">
        <v>0</v>
      </c>
      <c r="AI464" s="0" t="n">
        <v>219</v>
      </c>
      <c r="AJ464" s="0" t="n">
        <v>18</v>
      </c>
      <c r="AK464" s="0" t="n">
        <v>1691</v>
      </c>
      <c r="AL464" s="0" t="n">
        <v>1.24</v>
      </c>
    </row>
    <row r="465">
      <c r="A465" s="0" t="inlineStr">
        <is>
          <t>[창우동]</t>
        </is>
      </c>
      <c r="B465" s="0" t="n">
        <v>2156</v>
      </c>
      <c r="C465" s="0" t="n">
        <v>4</v>
      </c>
      <c r="D465" s="0" t="inlineStr">
        <is>
          <t>은행</t>
        </is>
      </c>
      <c r="E465" s="0" t="inlineStr">
        <is>
          <t>1994.05.</t>
        </is>
      </c>
      <c r="F465" s="0" t="n">
        <v>1360</v>
      </c>
      <c r="G465" s="0" t="n">
        <v>48.07</v>
      </c>
      <c r="H465" s="0" t="n">
        <v>158.94</v>
      </c>
      <c r="I465" s="0" t="n">
        <v>40.83</v>
      </c>
      <c r="J465" s="0" t="n">
        <v>134.98</v>
      </c>
      <c r="K465" s="0" t="n">
        <v>280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158B</t>
        </is>
      </c>
      <c r="X465" s="0" t="n">
        <v>18</v>
      </c>
      <c r="Y465" s="0" t="n">
        <v>16</v>
      </c>
      <c r="Z465" s="0" t="inlineStr">
        <is>
          <t>https://new.land.naver.com/complexes/2156?tab=detail&amp;rf=Y</t>
        </is>
      </c>
      <c r="AA465" s="0" t="inlineStr">
        <is>
          <t>경기도 하남시 창우동 520</t>
        </is>
      </c>
      <c r="AB465" s="0" t="inlineStr">
        <is>
          <t>경기도</t>
        </is>
      </c>
      <c r="AC465" s="0" t="inlineStr">
        <is>
          <t>하남시</t>
        </is>
      </c>
      <c r="AD465" s="0" t="inlineStr">
        <is>
          <t>창우동</t>
        </is>
      </c>
      <c r="AG465" s="0" t="inlineStr">
        <is>
          <t>경기도 하남시 대청로116번길 30</t>
        </is>
      </c>
      <c r="AH465" s="0" t="n">
        <v>0</v>
      </c>
      <c r="AI465" s="0" t="n">
        <v>219</v>
      </c>
      <c r="AJ465" s="0" t="n">
        <v>18</v>
      </c>
      <c r="AK465" s="0" t="n">
        <v>1691</v>
      </c>
      <c r="AL465" s="0" t="n">
        <v>1.24</v>
      </c>
    </row>
    <row r="466">
      <c r="A466" s="0" t="inlineStr">
        <is>
          <t>[창우동]</t>
        </is>
      </c>
      <c r="B466" s="0" t="n">
        <v>2154</v>
      </c>
      <c r="C466" s="0" t="n">
        <v>1</v>
      </c>
      <c r="D466" s="0" t="inlineStr">
        <is>
          <t>부영</t>
        </is>
      </c>
      <c r="E466" s="0" t="inlineStr">
        <is>
          <t>1994.12.</t>
        </is>
      </c>
      <c r="F466" s="0" t="n">
        <v>2055</v>
      </c>
      <c r="G466" s="0" t="n">
        <v>20.39</v>
      </c>
      <c r="H466" s="0" t="n">
        <v>67.43000000000001</v>
      </c>
      <c r="I466" s="0" t="n">
        <v>14.99</v>
      </c>
      <c r="J466" s="0" t="n">
        <v>49.58</v>
      </c>
      <c r="K466" s="0" t="n">
        <v>1140</v>
      </c>
      <c r="T466" s="0" t="n">
        <v>3</v>
      </c>
      <c r="U466" s="0" t="n">
        <v>1</v>
      </c>
      <c r="V466" s="0" t="inlineStr">
        <is>
          <t>복도식</t>
        </is>
      </c>
      <c r="W466" s="0" t="n">
        <v>67</v>
      </c>
      <c r="X466" s="0" t="n">
        <v>15</v>
      </c>
      <c r="Y466" s="0" t="n">
        <v>15</v>
      </c>
      <c r="Z466" s="0" t="inlineStr">
        <is>
          <t>https://new.land.naver.com/complexes/2154?tab=detail&amp;rf=Y</t>
        </is>
      </c>
      <c r="AA466" s="0" t="inlineStr">
        <is>
          <t>경기도 하남시 창우동 518</t>
        </is>
      </c>
      <c r="AB466" s="0" t="inlineStr">
        <is>
          <t>경기도</t>
        </is>
      </c>
      <c r="AC466" s="0" t="inlineStr">
        <is>
          <t>하남시</t>
        </is>
      </c>
      <c r="AD466" s="0" t="inlineStr">
        <is>
          <t>창우동</t>
        </is>
      </c>
      <c r="AG466" s="0" t="inlineStr">
        <is>
          <t>경기도 하남시 대청로 119</t>
        </is>
      </c>
      <c r="AH466" s="0" t="n">
        <v>0</v>
      </c>
      <c r="AI466" s="0" t="n">
        <v>203</v>
      </c>
      <c r="AJ466" s="0" t="n">
        <v>17</v>
      </c>
      <c r="AK466" s="0" t="n">
        <v>2124</v>
      </c>
      <c r="AL466" s="0" t="n">
        <v>1.03</v>
      </c>
    </row>
    <row r="467">
      <c r="A467" s="0" t="inlineStr">
        <is>
          <t>[창우동]</t>
        </is>
      </c>
      <c r="B467" s="0" t="n">
        <v>2154</v>
      </c>
      <c r="C467" s="0" t="n">
        <v>2</v>
      </c>
      <c r="D467" s="0" t="inlineStr">
        <is>
          <t>부영</t>
        </is>
      </c>
      <c r="E467" s="0" t="inlineStr">
        <is>
          <t>1994.12.</t>
        </is>
      </c>
      <c r="F467" s="0" t="n">
        <v>2055</v>
      </c>
      <c r="G467" s="0" t="n">
        <v>24.67</v>
      </c>
      <c r="H467" s="0" t="n">
        <v>81.56</v>
      </c>
      <c r="I467" s="0" t="n">
        <v>18.14</v>
      </c>
      <c r="J467" s="0" t="n">
        <v>59.97</v>
      </c>
      <c r="K467" s="0" t="n">
        <v>915</v>
      </c>
      <c r="T467" s="0" t="n">
        <v>3</v>
      </c>
      <c r="U467" s="0" t="n">
        <v>2</v>
      </c>
      <c r="V467" s="0" t="inlineStr">
        <is>
          <t>복도식</t>
        </is>
      </c>
      <c r="W467" s="0" t="n">
        <v>81</v>
      </c>
      <c r="X467" s="0" t="n">
        <v>15</v>
      </c>
      <c r="Y467" s="0" t="n">
        <v>15</v>
      </c>
      <c r="Z467" s="0" t="inlineStr">
        <is>
          <t>https://new.land.naver.com/complexes/2154?tab=detail&amp;rf=Y</t>
        </is>
      </c>
      <c r="AA467" s="0" t="inlineStr">
        <is>
          <t>경기도 하남시 창우동 518</t>
        </is>
      </c>
      <c r="AB467" s="0" t="inlineStr">
        <is>
          <t>경기도</t>
        </is>
      </c>
      <c r="AC467" s="0" t="inlineStr">
        <is>
          <t>하남시</t>
        </is>
      </c>
      <c r="AD467" s="0" t="inlineStr">
        <is>
          <t>창우동</t>
        </is>
      </c>
      <c r="AG467" s="0" t="inlineStr">
        <is>
          <t>경기도 하남시 대청로 119</t>
        </is>
      </c>
      <c r="AH467" s="0" t="n">
        <v>0</v>
      </c>
      <c r="AI467" s="0" t="n">
        <v>203</v>
      </c>
      <c r="AJ467" s="0" t="n">
        <v>17</v>
      </c>
      <c r="AK467" s="0" t="n">
        <v>2124</v>
      </c>
      <c r="AL467" s="0" t="n">
        <v>1.03</v>
      </c>
    </row>
    <row r="468">
      <c r="A468" s="0" t="inlineStr">
        <is>
          <t>[창우동]</t>
        </is>
      </c>
      <c r="B468" s="0" t="n">
        <v>9501</v>
      </c>
      <c r="C468" s="0" t="n">
        <v>1</v>
      </c>
      <c r="D468" s="0" t="inlineStr">
        <is>
          <t>창우마을</t>
        </is>
      </c>
      <c r="E468" s="0" t="inlineStr">
        <is>
          <t>2004.09.</t>
        </is>
      </c>
      <c r="F468" s="0" t="n">
        <v>154</v>
      </c>
      <c r="G468" s="0" t="n">
        <v>22.89</v>
      </c>
      <c r="H468" s="0" t="n">
        <v>75.69</v>
      </c>
      <c r="I468" s="0" t="n">
        <v>17.82</v>
      </c>
      <c r="J468" s="0" t="n">
        <v>58.92</v>
      </c>
      <c r="K468" s="0" t="n">
        <v>94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75</v>
      </c>
      <c r="X468" s="0" t="n">
        <v>20</v>
      </c>
      <c r="Y468" s="0" t="n">
        <v>16</v>
      </c>
      <c r="Z468" s="0" t="inlineStr">
        <is>
          <t>https://new.land.naver.com/complexes/9501?tab=detail&amp;rf=Y</t>
        </is>
      </c>
      <c r="AA468" s="0" t="inlineStr">
        <is>
          <t>경기도 하남시 창우동 537</t>
        </is>
      </c>
      <c r="AB468" s="0" t="inlineStr">
        <is>
          <t>경기도</t>
        </is>
      </c>
      <c r="AC468" s="0" t="inlineStr">
        <is>
          <t>하남시</t>
        </is>
      </c>
      <c r="AD468" s="0" t="inlineStr">
        <is>
          <t>창우동</t>
        </is>
      </c>
      <c r="AG468" s="0" t="inlineStr">
        <is>
          <t>경기도 하남시 대청로116번길 25</t>
        </is>
      </c>
      <c r="AH468" s="0" t="n">
        <v>0</v>
      </c>
      <c r="AI468" s="0" t="n">
        <v>394</v>
      </c>
      <c r="AJ468" s="0" t="n">
        <v>25</v>
      </c>
      <c r="AK468" s="0" t="n">
        <v>155</v>
      </c>
      <c r="AL468" s="0" t="n">
        <v>1.01</v>
      </c>
    </row>
    <row r="469">
      <c r="A469" s="0" t="inlineStr">
        <is>
          <t>[창우동]</t>
        </is>
      </c>
      <c r="B469" s="0" t="n">
        <v>9501</v>
      </c>
      <c r="C469" s="0" t="n">
        <v>2</v>
      </c>
      <c r="D469" s="0" t="inlineStr">
        <is>
          <t>창우마을</t>
        </is>
      </c>
      <c r="E469" s="0" t="inlineStr">
        <is>
          <t>2004.09.</t>
        </is>
      </c>
      <c r="F469" s="0" t="n">
        <v>154</v>
      </c>
      <c r="G469" s="0" t="n">
        <v>32.7</v>
      </c>
      <c r="H469" s="0" t="n">
        <v>108.12</v>
      </c>
      <c r="I469" s="0" t="n">
        <v>25.46</v>
      </c>
      <c r="J469" s="0" t="n">
        <v>84.17</v>
      </c>
      <c r="K469" s="0" t="n">
        <v>60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108</v>
      </c>
      <c r="X469" s="0" t="n">
        <v>20</v>
      </c>
      <c r="Y469" s="0" t="n">
        <v>16</v>
      </c>
      <c r="Z469" s="0" t="inlineStr">
        <is>
          <t>https://new.land.naver.com/complexes/9501?tab=detail&amp;rf=Y</t>
        </is>
      </c>
      <c r="AA469" s="0" t="inlineStr">
        <is>
          <t>경기도 하남시 창우동 537</t>
        </is>
      </c>
      <c r="AB469" s="0" t="inlineStr">
        <is>
          <t>경기도</t>
        </is>
      </c>
      <c r="AC469" s="0" t="inlineStr">
        <is>
          <t>하남시</t>
        </is>
      </c>
      <c r="AD469" s="0" t="inlineStr">
        <is>
          <t>창우동</t>
        </is>
      </c>
      <c r="AG469" s="0" t="inlineStr">
        <is>
          <t>경기도 하남시 대청로116번길 25</t>
        </is>
      </c>
      <c r="AH469" s="0" t="n">
        <v>0</v>
      </c>
      <c r="AI469" s="0" t="n">
        <v>394</v>
      </c>
      <c r="AJ469" s="0" t="n">
        <v>25</v>
      </c>
      <c r="AK469" s="0" t="n">
        <v>155</v>
      </c>
      <c r="AL469" s="0" t="n">
        <v>1.01</v>
      </c>
    </row>
    <row r="470">
      <c r="A470" s="0" t="inlineStr">
        <is>
          <t>[창우동]</t>
        </is>
      </c>
      <c r="B470" s="0" t="n">
        <v>2155</v>
      </c>
      <c r="C470" s="0" t="n">
        <v>1</v>
      </c>
      <c r="D470" s="0" t="inlineStr">
        <is>
          <t>꿈동산신안</t>
        </is>
      </c>
      <c r="E470" s="0" t="inlineStr">
        <is>
          <t>1994.12.</t>
        </is>
      </c>
      <c r="F470" s="0" t="n">
        <v>1704</v>
      </c>
      <c r="G470" s="0" t="n">
        <v>32.57</v>
      </c>
      <c r="H470" s="0" t="n">
        <v>107.7</v>
      </c>
      <c r="I470" s="0" t="n">
        <v>25.7</v>
      </c>
      <c r="J470" s="0" t="n">
        <v>84.95999999999999</v>
      </c>
      <c r="K470" s="0" t="n">
        <v>1206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107S</t>
        </is>
      </c>
      <c r="X470" s="0" t="n">
        <v>18</v>
      </c>
      <c r="Y470" s="0" t="n">
        <v>16</v>
      </c>
      <c r="Z470" s="0" t="inlineStr">
        <is>
          <t>https://new.land.naver.com/complexes/2155?tab=detail&amp;rf=Y</t>
        </is>
      </c>
      <c r="AA470" s="0" t="inlineStr">
        <is>
          <t>경기도 하남시 창우동 521</t>
        </is>
      </c>
      <c r="AB470" s="0" t="inlineStr">
        <is>
          <t>경기도</t>
        </is>
      </c>
      <c r="AC470" s="0" t="inlineStr">
        <is>
          <t>하남시</t>
        </is>
      </c>
      <c r="AD470" s="0" t="inlineStr">
        <is>
          <t>창우동</t>
        </is>
      </c>
      <c r="AG470" s="0" t="inlineStr">
        <is>
          <t>경기도 하남시 대청로116번길 59</t>
        </is>
      </c>
      <c r="AH470" s="0" t="n">
        <v>0</v>
      </c>
      <c r="AI470" s="0" t="n">
        <v>214</v>
      </c>
      <c r="AJ470" s="0" t="n">
        <v>17</v>
      </c>
      <c r="AK470" s="0" t="n">
        <v>1464</v>
      </c>
      <c r="AL470" s="0" t="n">
        <v>0.86</v>
      </c>
    </row>
    <row r="471">
      <c r="A471" s="0" t="inlineStr">
        <is>
          <t>[창우동]</t>
        </is>
      </c>
      <c r="B471" s="0" t="n">
        <v>2155</v>
      </c>
      <c r="C471" s="0" t="n">
        <v>2</v>
      </c>
      <c r="D471" s="0" t="inlineStr">
        <is>
          <t>꿈동산신안</t>
        </is>
      </c>
      <c r="E471" s="0" t="inlineStr">
        <is>
          <t>1994.12.</t>
        </is>
      </c>
      <c r="F471" s="0" t="n">
        <v>1704</v>
      </c>
      <c r="G471" s="0" t="n">
        <v>32.57</v>
      </c>
      <c r="H471" s="0" t="n">
        <v>107.68</v>
      </c>
      <c r="I471" s="0" t="n">
        <v>25.67</v>
      </c>
      <c r="J471" s="0" t="n">
        <v>84.89</v>
      </c>
      <c r="K471" s="0" t="n">
        <v>498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107</v>
      </c>
      <c r="X471" s="0" t="n">
        <v>18</v>
      </c>
      <c r="Y471" s="0" t="n">
        <v>16</v>
      </c>
      <c r="Z471" s="0" t="inlineStr">
        <is>
          <t>https://new.land.naver.com/complexes/2155?tab=detail&amp;rf=Y</t>
        </is>
      </c>
      <c r="AA471" s="0" t="inlineStr">
        <is>
          <t>경기도 하남시 창우동 521</t>
        </is>
      </c>
      <c r="AB471" s="0" t="inlineStr">
        <is>
          <t>경기도</t>
        </is>
      </c>
      <c r="AC471" s="0" t="inlineStr">
        <is>
          <t>하남시</t>
        </is>
      </c>
      <c r="AD471" s="0" t="inlineStr">
        <is>
          <t>창우동</t>
        </is>
      </c>
      <c r="AG471" s="0" t="inlineStr">
        <is>
          <t>경기도 하남시 대청로116번길 59</t>
        </is>
      </c>
      <c r="AH471" s="0" t="n">
        <v>0</v>
      </c>
      <c r="AI471" s="0" t="n">
        <v>214</v>
      </c>
      <c r="AJ471" s="0" t="n">
        <v>17</v>
      </c>
      <c r="AK471" s="0" t="n">
        <v>1464</v>
      </c>
      <c r="AL471" s="0" t="n">
        <v>0.86</v>
      </c>
    </row>
    <row r="472">
      <c r="A472" s="0" t="inlineStr">
        <is>
          <t>[풍산동]</t>
        </is>
      </c>
      <c r="B472" s="0" t="n">
        <v>115505</v>
      </c>
      <c r="C472" s="0" t="n">
        <v>1</v>
      </c>
      <c r="D472" s="0" t="inlineStr">
        <is>
          <t>미사강변센트럴풍경채</t>
        </is>
      </c>
      <c r="E472" s="0" t="inlineStr">
        <is>
          <t>2019.01.</t>
        </is>
      </c>
      <c r="F472" s="0" t="n">
        <v>726</v>
      </c>
      <c r="G472" s="0" t="n">
        <v>33.01</v>
      </c>
      <c r="H472" s="0" t="n">
        <v>109.15</v>
      </c>
      <c r="I472" s="0" t="n">
        <v>25.69</v>
      </c>
      <c r="J472" s="0" t="n">
        <v>84.94</v>
      </c>
      <c r="K472" s="0" t="n">
        <v>388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109A</t>
        </is>
      </c>
      <c r="X472" s="0" t="n">
        <v>29</v>
      </c>
      <c r="Y472" s="0" t="n">
        <v>18</v>
      </c>
      <c r="Z472" s="0" t="inlineStr">
        <is>
          <t>https://new.land.naver.com/complexes/115505?tab=detail&amp;rf=Y</t>
        </is>
      </c>
      <c r="AA472" s="0" t="inlineStr">
        <is>
          <t>경기도 하남시 풍산동 471</t>
        </is>
      </c>
      <c r="AB472" s="0" t="inlineStr">
        <is>
          <t>경기도</t>
        </is>
      </c>
      <c r="AC472" s="0" t="inlineStr">
        <is>
          <t>하남시</t>
        </is>
      </c>
      <c r="AD472" s="0" t="inlineStr">
        <is>
          <t>풍산동</t>
        </is>
      </c>
      <c r="AG472" s="0" t="inlineStr">
        <is>
          <t>경기도 하남시 미사강변서로 65</t>
        </is>
      </c>
      <c r="AH472" s="0" t="n">
        <v>0</v>
      </c>
      <c r="AI472" s="0" t="n">
        <v>209</v>
      </c>
      <c r="AJ472" s="0" t="n">
        <v>16</v>
      </c>
      <c r="AK472" s="0" t="n">
        <v>1058</v>
      </c>
      <c r="AL472" s="0" t="n">
        <v>1.46</v>
      </c>
    </row>
    <row r="473">
      <c r="A473" s="0" t="inlineStr">
        <is>
          <t>[풍산동]</t>
        </is>
      </c>
      <c r="B473" s="0" t="n">
        <v>115505</v>
      </c>
      <c r="C473" s="0" t="n">
        <v>2</v>
      </c>
      <c r="D473" s="0" t="inlineStr">
        <is>
          <t>미사강변센트럴풍경채</t>
        </is>
      </c>
      <c r="E473" s="0" t="inlineStr">
        <is>
          <t>2019.01.</t>
        </is>
      </c>
      <c r="F473" s="0" t="n">
        <v>726</v>
      </c>
      <c r="G473" s="0" t="n">
        <v>37.28</v>
      </c>
      <c r="H473" s="0" t="n">
        <v>123.27</v>
      </c>
      <c r="I473" s="0" t="n">
        <v>29.42</v>
      </c>
      <c r="J473" s="0" t="n">
        <v>97.28</v>
      </c>
      <c r="K473" s="0" t="n">
        <v>229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123A</t>
        </is>
      </c>
      <c r="X473" s="0" t="n">
        <v>29</v>
      </c>
      <c r="Y473" s="0" t="n">
        <v>18</v>
      </c>
      <c r="Z473" s="0" t="inlineStr">
        <is>
          <t>https://new.land.naver.com/complexes/115505?tab=detail&amp;rf=Y</t>
        </is>
      </c>
      <c r="AA473" s="0" t="inlineStr">
        <is>
          <t>경기도 하남시 풍산동 471</t>
        </is>
      </c>
      <c r="AB473" s="0" t="inlineStr">
        <is>
          <t>경기도</t>
        </is>
      </c>
      <c r="AC473" s="0" t="inlineStr">
        <is>
          <t>하남시</t>
        </is>
      </c>
      <c r="AD473" s="0" t="inlineStr">
        <is>
          <t>풍산동</t>
        </is>
      </c>
      <c r="AG473" s="0" t="inlineStr">
        <is>
          <t>경기도 하남시 미사강변서로 65</t>
        </is>
      </c>
      <c r="AH473" s="0" t="n">
        <v>0</v>
      </c>
      <c r="AI473" s="0" t="n">
        <v>209</v>
      </c>
      <c r="AJ473" s="0" t="n">
        <v>16</v>
      </c>
      <c r="AK473" s="0" t="n">
        <v>1058</v>
      </c>
      <c r="AL473" s="0" t="n">
        <v>1.46</v>
      </c>
    </row>
    <row r="474">
      <c r="A474" s="0" t="inlineStr">
        <is>
          <t>[풍산동]</t>
        </is>
      </c>
      <c r="B474" s="0" t="n">
        <v>115505</v>
      </c>
      <c r="C474" s="0" t="n">
        <v>3</v>
      </c>
      <c r="D474" s="0" t="inlineStr">
        <is>
          <t>미사강변센트럴풍경채</t>
        </is>
      </c>
      <c r="E474" s="0" t="inlineStr">
        <is>
          <t>2019.01.</t>
        </is>
      </c>
      <c r="F474" s="0" t="n">
        <v>726</v>
      </c>
      <c r="G474" s="0" t="n">
        <v>37.59</v>
      </c>
      <c r="H474" s="0" t="n">
        <v>124.27</v>
      </c>
      <c r="I474" s="0" t="n">
        <v>29.55</v>
      </c>
      <c r="J474" s="0" t="n">
        <v>97.70999999999999</v>
      </c>
      <c r="K474" s="0" t="n">
        <v>109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124B</t>
        </is>
      </c>
      <c r="X474" s="0" t="n">
        <v>29</v>
      </c>
      <c r="Y474" s="0" t="n">
        <v>18</v>
      </c>
      <c r="Z474" s="0" t="inlineStr">
        <is>
          <t>https://new.land.naver.com/complexes/115505?tab=detail&amp;rf=Y</t>
        </is>
      </c>
      <c r="AA474" s="0" t="inlineStr">
        <is>
          <t>경기도 하남시 풍산동 471</t>
        </is>
      </c>
      <c r="AB474" s="0" t="inlineStr">
        <is>
          <t>경기도</t>
        </is>
      </c>
      <c r="AC474" s="0" t="inlineStr">
        <is>
          <t>하남시</t>
        </is>
      </c>
      <c r="AD474" s="0" t="inlineStr">
        <is>
          <t>풍산동</t>
        </is>
      </c>
      <c r="AG474" s="0" t="inlineStr">
        <is>
          <t>경기도 하남시 미사강변서로 65</t>
        </is>
      </c>
      <c r="AH474" s="0" t="n">
        <v>0</v>
      </c>
      <c r="AI474" s="0" t="n">
        <v>209</v>
      </c>
      <c r="AJ474" s="0" t="n">
        <v>16</v>
      </c>
      <c r="AK474" s="0" t="n">
        <v>1058</v>
      </c>
      <c r="AL474" s="0" t="n">
        <v>1.46</v>
      </c>
    </row>
    <row r="475">
      <c r="A475" s="0" t="inlineStr">
        <is>
          <t>[풍산동]</t>
        </is>
      </c>
      <c r="B475" s="0" t="n">
        <v>113117</v>
      </c>
      <c r="C475" s="0" t="n">
        <v>1</v>
      </c>
      <c r="D475" s="0" t="inlineStr">
        <is>
          <t>미사강변동일하이빌</t>
        </is>
      </c>
      <c r="E475" s="0" t="inlineStr">
        <is>
          <t>2018.02.</t>
        </is>
      </c>
      <c r="F475" s="0" t="n">
        <v>655</v>
      </c>
      <c r="G475" s="0" t="n">
        <v>24.57</v>
      </c>
      <c r="H475" s="0" t="n">
        <v>81.23999999999999</v>
      </c>
      <c r="I475" s="0" t="n">
        <v>18.12</v>
      </c>
      <c r="J475" s="0" t="n">
        <v>59.93</v>
      </c>
      <c r="K475" s="0" t="n">
        <v>260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81A</t>
        </is>
      </c>
      <c r="X475" s="0" t="n">
        <v>27</v>
      </c>
      <c r="Y475" s="0" t="n">
        <v>19</v>
      </c>
      <c r="Z475" s="0" t="inlineStr">
        <is>
          <t>https://new.land.naver.com/complexes/113117?tab=detail&amp;rf=Y</t>
        </is>
      </c>
      <c r="AA475" s="0" t="inlineStr">
        <is>
          <t>경기도 하남시 풍산동 470</t>
        </is>
      </c>
      <c r="AB475" s="0" t="inlineStr">
        <is>
          <t>경기도</t>
        </is>
      </c>
      <c r="AC475" s="0" t="inlineStr">
        <is>
          <t>하남시</t>
        </is>
      </c>
      <c r="AD475" s="0" t="inlineStr">
        <is>
          <t>풍산동</t>
        </is>
      </c>
      <c r="AG475" s="0" t="inlineStr">
        <is>
          <t>경기도 하남시 미사강변서로 85</t>
        </is>
      </c>
      <c r="AH475" s="0" t="n">
        <v>0</v>
      </c>
      <c r="AI475" s="0" t="n">
        <v>218</v>
      </c>
      <c r="AJ475" s="0" t="n">
        <v>15</v>
      </c>
      <c r="AK475" s="0" t="n">
        <v>752</v>
      </c>
      <c r="AL475" s="0" t="n">
        <v>1.15</v>
      </c>
    </row>
    <row r="476">
      <c r="A476" s="0" t="inlineStr">
        <is>
          <t>[풍산동]</t>
        </is>
      </c>
      <c r="B476" s="0" t="n">
        <v>113117</v>
      </c>
      <c r="C476" s="0" t="n">
        <v>2</v>
      </c>
      <c r="D476" s="0" t="inlineStr">
        <is>
          <t>미사강변동일하이빌</t>
        </is>
      </c>
      <c r="E476" s="0" t="inlineStr">
        <is>
          <t>2018.02.</t>
        </is>
      </c>
      <c r="F476" s="0" t="n">
        <v>655</v>
      </c>
      <c r="G476" s="0" t="n">
        <v>24.57</v>
      </c>
      <c r="H476" s="0" t="n">
        <v>81.23999999999999</v>
      </c>
      <c r="I476" s="0" t="n">
        <v>18.12</v>
      </c>
      <c r="J476" s="0" t="n">
        <v>59.93</v>
      </c>
      <c r="K476" s="0" t="n">
        <v>20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81B</t>
        </is>
      </c>
      <c r="X476" s="0" t="n">
        <v>27</v>
      </c>
      <c r="Y476" s="0" t="n">
        <v>19</v>
      </c>
      <c r="Z476" s="0" t="inlineStr">
        <is>
          <t>https://new.land.naver.com/complexes/113117?tab=detail&amp;rf=Y</t>
        </is>
      </c>
      <c r="AA476" s="0" t="inlineStr">
        <is>
          <t>경기도 하남시 풍산동 470</t>
        </is>
      </c>
      <c r="AB476" s="0" t="inlineStr">
        <is>
          <t>경기도</t>
        </is>
      </c>
      <c r="AC476" s="0" t="inlineStr">
        <is>
          <t>하남시</t>
        </is>
      </c>
      <c r="AD476" s="0" t="inlineStr">
        <is>
          <t>풍산동</t>
        </is>
      </c>
      <c r="AG476" s="0" t="inlineStr">
        <is>
          <t>경기도 하남시 미사강변서로 85</t>
        </is>
      </c>
      <c r="AH476" s="0" t="n">
        <v>0</v>
      </c>
      <c r="AI476" s="0" t="n">
        <v>218</v>
      </c>
      <c r="AJ476" s="0" t="n">
        <v>15</v>
      </c>
      <c r="AK476" s="0" t="n">
        <v>752</v>
      </c>
      <c r="AL476" s="0" t="n">
        <v>1.15</v>
      </c>
    </row>
    <row r="477">
      <c r="A477" s="0" t="inlineStr">
        <is>
          <t>[풍산동]</t>
        </is>
      </c>
      <c r="B477" s="0" t="n">
        <v>113117</v>
      </c>
      <c r="C477" s="0" t="n">
        <v>3</v>
      </c>
      <c r="D477" s="0" t="inlineStr">
        <is>
          <t>미사강변동일하이빌</t>
        </is>
      </c>
      <c r="E477" s="0" t="inlineStr">
        <is>
          <t>2018.02.</t>
        </is>
      </c>
      <c r="F477" s="0" t="n">
        <v>655</v>
      </c>
      <c r="G477" s="0" t="n">
        <v>30.73</v>
      </c>
      <c r="H477" s="0" t="n">
        <v>101.59</v>
      </c>
      <c r="I477" s="0" t="n">
        <v>22.66</v>
      </c>
      <c r="J477" s="0" t="n">
        <v>74.94</v>
      </c>
      <c r="K477" s="0" t="n">
        <v>72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101A</t>
        </is>
      </c>
      <c r="X477" s="0" t="n">
        <v>27</v>
      </c>
      <c r="Y477" s="0" t="n">
        <v>19</v>
      </c>
      <c r="Z477" s="0" t="inlineStr">
        <is>
          <t>https://new.land.naver.com/complexes/113117?tab=detail&amp;rf=Y</t>
        </is>
      </c>
      <c r="AA477" s="0" t="inlineStr">
        <is>
          <t>경기도 하남시 풍산동 470</t>
        </is>
      </c>
      <c r="AB477" s="0" t="inlineStr">
        <is>
          <t>경기도</t>
        </is>
      </c>
      <c r="AC477" s="0" t="inlineStr">
        <is>
          <t>하남시</t>
        </is>
      </c>
      <c r="AD477" s="0" t="inlineStr">
        <is>
          <t>풍산동</t>
        </is>
      </c>
      <c r="AG477" s="0" t="inlineStr">
        <is>
          <t>경기도 하남시 미사강변서로 85</t>
        </is>
      </c>
      <c r="AH477" s="0" t="n">
        <v>0</v>
      </c>
      <c r="AI477" s="0" t="n">
        <v>218</v>
      </c>
      <c r="AJ477" s="0" t="n">
        <v>15</v>
      </c>
      <c r="AK477" s="0" t="n">
        <v>752</v>
      </c>
      <c r="AL477" s="0" t="n">
        <v>1.15</v>
      </c>
    </row>
    <row r="478">
      <c r="A478" s="0" t="inlineStr">
        <is>
          <t>[풍산동]</t>
        </is>
      </c>
      <c r="B478" s="0" t="n">
        <v>113117</v>
      </c>
      <c r="C478" s="0" t="n">
        <v>4</v>
      </c>
      <c r="D478" s="0" t="inlineStr">
        <is>
          <t>미사강변동일하이빌</t>
        </is>
      </c>
      <c r="E478" s="0" t="inlineStr">
        <is>
          <t>2018.02.</t>
        </is>
      </c>
      <c r="F478" s="0" t="n">
        <v>655</v>
      </c>
      <c r="G478" s="0" t="n">
        <v>30.74</v>
      </c>
      <c r="H478" s="0" t="n">
        <v>101.65</v>
      </c>
      <c r="I478" s="0" t="n">
        <v>22.68</v>
      </c>
      <c r="J478" s="0" t="n">
        <v>74.98</v>
      </c>
      <c r="K478" s="0" t="n">
        <v>54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101B</t>
        </is>
      </c>
      <c r="X478" s="0" t="n">
        <v>27</v>
      </c>
      <c r="Y478" s="0" t="n">
        <v>19</v>
      </c>
      <c r="Z478" s="0" t="inlineStr">
        <is>
          <t>https://new.land.naver.com/complexes/113117?tab=detail&amp;rf=Y</t>
        </is>
      </c>
      <c r="AA478" s="0" t="inlineStr">
        <is>
          <t>경기도 하남시 풍산동 470</t>
        </is>
      </c>
      <c r="AB478" s="0" t="inlineStr">
        <is>
          <t>경기도</t>
        </is>
      </c>
      <c r="AC478" s="0" t="inlineStr">
        <is>
          <t>하남시</t>
        </is>
      </c>
      <c r="AD478" s="0" t="inlineStr">
        <is>
          <t>풍산동</t>
        </is>
      </c>
      <c r="AG478" s="0" t="inlineStr">
        <is>
          <t>경기도 하남시 미사강변서로 85</t>
        </is>
      </c>
      <c r="AH478" s="0" t="n">
        <v>0</v>
      </c>
      <c r="AI478" s="0" t="n">
        <v>218</v>
      </c>
      <c r="AJ478" s="0" t="n">
        <v>15</v>
      </c>
      <c r="AK478" s="0" t="n">
        <v>752</v>
      </c>
      <c r="AL478" s="0" t="n">
        <v>1.15</v>
      </c>
    </row>
    <row r="479">
      <c r="A479" s="0" t="inlineStr">
        <is>
          <t>[풍산동]</t>
        </is>
      </c>
      <c r="B479" s="0" t="n">
        <v>113117</v>
      </c>
      <c r="C479" s="0" t="n">
        <v>5</v>
      </c>
      <c r="D479" s="0" t="inlineStr">
        <is>
          <t>미사강변동일하이빌</t>
        </is>
      </c>
      <c r="E479" s="0" t="inlineStr">
        <is>
          <t>2018.02.</t>
        </is>
      </c>
      <c r="F479" s="0" t="n">
        <v>655</v>
      </c>
      <c r="G479" s="0" t="n">
        <v>34.84</v>
      </c>
      <c r="H479" s="0" t="n">
        <v>115.18</v>
      </c>
      <c r="I479" s="0" t="n">
        <v>25.7</v>
      </c>
      <c r="J479" s="0" t="n">
        <v>84.95999999999999</v>
      </c>
      <c r="K479" s="0" t="n">
        <v>176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115A</t>
        </is>
      </c>
      <c r="X479" s="0" t="n">
        <v>27</v>
      </c>
      <c r="Y479" s="0" t="n">
        <v>19</v>
      </c>
      <c r="Z479" s="0" t="inlineStr">
        <is>
          <t>https://new.land.naver.com/complexes/113117?tab=detail&amp;rf=Y</t>
        </is>
      </c>
      <c r="AA479" s="0" t="inlineStr">
        <is>
          <t>경기도 하남시 풍산동 470</t>
        </is>
      </c>
      <c r="AB479" s="0" t="inlineStr">
        <is>
          <t>경기도</t>
        </is>
      </c>
      <c r="AC479" s="0" t="inlineStr">
        <is>
          <t>하남시</t>
        </is>
      </c>
      <c r="AD479" s="0" t="inlineStr">
        <is>
          <t>풍산동</t>
        </is>
      </c>
      <c r="AG479" s="0" t="inlineStr">
        <is>
          <t>경기도 하남시 미사강변서로 85</t>
        </is>
      </c>
      <c r="AH479" s="0" t="n">
        <v>0</v>
      </c>
      <c r="AI479" s="0" t="n">
        <v>218</v>
      </c>
      <c r="AJ479" s="0" t="n">
        <v>15</v>
      </c>
      <c r="AK479" s="0" t="n">
        <v>752</v>
      </c>
      <c r="AL479" s="0" t="n">
        <v>1.15</v>
      </c>
    </row>
    <row r="480">
      <c r="A480" s="0" t="inlineStr">
        <is>
          <t>[풍산동]</t>
        </is>
      </c>
      <c r="B480" s="0" t="n">
        <v>113117</v>
      </c>
      <c r="C480" s="0" t="n">
        <v>6</v>
      </c>
      <c r="D480" s="0" t="inlineStr">
        <is>
          <t>미사강변동일하이빌</t>
        </is>
      </c>
      <c r="E480" s="0" t="inlineStr">
        <is>
          <t>2018.02.</t>
        </is>
      </c>
      <c r="F480" s="0" t="n">
        <v>655</v>
      </c>
      <c r="G480" s="0" t="n">
        <v>34.83</v>
      </c>
      <c r="H480" s="0" t="n">
        <v>115.15</v>
      </c>
      <c r="I480" s="0" t="n">
        <v>25.69</v>
      </c>
      <c r="J480" s="0" t="n">
        <v>84.94</v>
      </c>
      <c r="K480" s="0" t="n">
        <v>73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115B</t>
        </is>
      </c>
      <c r="X480" s="0" t="n">
        <v>27</v>
      </c>
      <c r="Y480" s="0" t="n">
        <v>19</v>
      </c>
      <c r="Z480" s="0" t="inlineStr">
        <is>
          <t>https://new.land.naver.com/complexes/113117?tab=detail&amp;rf=Y</t>
        </is>
      </c>
      <c r="AA480" s="0" t="inlineStr">
        <is>
          <t>경기도 하남시 풍산동 470</t>
        </is>
      </c>
      <c r="AB480" s="0" t="inlineStr">
        <is>
          <t>경기도</t>
        </is>
      </c>
      <c r="AC480" s="0" t="inlineStr">
        <is>
          <t>하남시</t>
        </is>
      </c>
      <c r="AD480" s="0" t="inlineStr">
        <is>
          <t>풍산동</t>
        </is>
      </c>
      <c r="AG480" s="0" t="inlineStr">
        <is>
          <t>경기도 하남시 미사강변서로 85</t>
        </is>
      </c>
      <c r="AH480" s="0" t="n">
        <v>0</v>
      </c>
      <c r="AI480" s="0" t="n">
        <v>218</v>
      </c>
      <c r="AJ480" s="0" t="n">
        <v>15</v>
      </c>
      <c r="AK480" s="0" t="n">
        <v>752</v>
      </c>
      <c r="AL480" s="0" t="n">
        <v>1.15</v>
      </c>
    </row>
    <row r="481">
      <c r="A481" s="0" t="inlineStr">
        <is>
          <t>[풍산동]</t>
        </is>
      </c>
      <c r="B481" s="0" t="n">
        <v>107686</v>
      </c>
      <c r="C481" s="0" t="n">
        <v>1</v>
      </c>
      <c r="D481" s="0" t="inlineStr">
        <is>
          <t>미사강변동원로얄듀크</t>
        </is>
      </c>
      <c r="E481" s="0" t="inlineStr">
        <is>
          <t>2016.04.</t>
        </is>
      </c>
      <c r="F481" s="0" t="n">
        <v>808</v>
      </c>
      <c r="G481" s="0" t="n">
        <v>30.21</v>
      </c>
      <c r="H481" s="0" t="n">
        <v>99.87</v>
      </c>
      <c r="I481" s="0" t="n">
        <v>22.59</v>
      </c>
      <c r="J481" s="0" t="n">
        <v>74.7</v>
      </c>
      <c r="K481" s="0" t="n">
        <v>208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99</v>
      </c>
      <c r="X481" s="0" t="n">
        <v>28</v>
      </c>
      <c r="Y481" s="0" t="n">
        <v>24</v>
      </c>
      <c r="Z481" s="0" t="inlineStr">
        <is>
          <t>https://new.land.naver.com/complexes/107686?tab=detail&amp;rf=Y</t>
        </is>
      </c>
      <c r="AA481" s="0" t="inlineStr">
        <is>
          <t>경기도 하남시 풍산동 477</t>
        </is>
      </c>
      <c r="AB481" s="0" t="inlineStr">
        <is>
          <t>경기도</t>
        </is>
      </c>
      <c r="AC481" s="0" t="inlineStr">
        <is>
          <t>하남시</t>
        </is>
      </c>
      <c r="AD481" s="0" t="inlineStr">
        <is>
          <t>풍산동</t>
        </is>
      </c>
      <c r="AG481" s="0" t="inlineStr">
        <is>
          <t>경기도 하남시 미사강변서로 45</t>
        </is>
      </c>
      <c r="AH481" s="0" t="n">
        <v>0</v>
      </c>
      <c r="AI481" s="0" t="n">
        <v>209</v>
      </c>
      <c r="AJ481" s="0" t="n">
        <v>16</v>
      </c>
      <c r="AK481" s="0" t="n">
        <v>983</v>
      </c>
      <c r="AL481" s="0" t="n">
        <v>1.22</v>
      </c>
    </row>
    <row r="482">
      <c r="A482" s="0" t="inlineStr">
        <is>
          <t>[풍산동]</t>
        </is>
      </c>
      <c r="B482" s="0" t="n">
        <v>107686</v>
      </c>
      <c r="C482" s="0" t="n">
        <v>2</v>
      </c>
      <c r="D482" s="0" t="inlineStr">
        <is>
          <t>미사강변동원로얄듀크</t>
        </is>
      </c>
      <c r="E482" s="0" t="inlineStr">
        <is>
          <t>2016.04.</t>
        </is>
      </c>
      <c r="F482" s="0" t="n">
        <v>808</v>
      </c>
      <c r="G482" s="0" t="n">
        <v>34.04</v>
      </c>
      <c r="H482" s="0" t="n">
        <v>112.53</v>
      </c>
      <c r="I482" s="0" t="n">
        <v>25.52</v>
      </c>
      <c r="J482" s="0" t="n">
        <v>84.38</v>
      </c>
      <c r="K482" s="0" t="n">
        <v>599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28</v>
      </c>
      <c r="Y482" s="0" t="n">
        <v>24</v>
      </c>
      <c r="Z482" s="0" t="inlineStr">
        <is>
          <t>https://new.land.naver.com/complexes/107686?tab=detail&amp;rf=Y</t>
        </is>
      </c>
      <c r="AA482" s="0" t="inlineStr">
        <is>
          <t>경기도 하남시 풍산동 477</t>
        </is>
      </c>
      <c r="AB482" s="0" t="inlineStr">
        <is>
          <t>경기도</t>
        </is>
      </c>
      <c r="AC482" s="0" t="inlineStr">
        <is>
          <t>하남시</t>
        </is>
      </c>
      <c r="AD482" s="0" t="inlineStr">
        <is>
          <t>풍산동</t>
        </is>
      </c>
      <c r="AG482" s="0" t="inlineStr">
        <is>
          <t>경기도 하남시 미사강변서로 45</t>
        </is>
      </c>
      <c r="AH482" s="0" t="n">
        <v>0</v>
      </c>
      <c r="AI482" s="0" t="n">
        <v>209</v>
      </c>
      <c r="AJ482" s="0" t="n">
        <v>16</v>
      </c>
      <c r="AK482" s="0" t="n">
        <v>983</v>
      </c>
      <c r="AL482" s="0" t="n">
        <v>1.22</v>
      </c>
    </row>
    <row r="483">
      <c r="A483" s="0" t="inlineStr">
        <is>
          <t>[풍산동]</t>
        </is>
      </c>
      <c r="B483" s="0" t="n">
        <v>107686</v>
      </c>
      <c r="C483" s="0" t="n">
        <v>3</v>
      </c>
      <c r="D483" s="0" t="inlineStr">
        <is>
          <t>미사강변동원로얄듀크</t>
        </is>
      </c>
      <c r="E483" s="0" t="inlineStr">
        <is>
          <t>2016.04.</t>
        </is>
      </c>
      <c r="F483" s="0" t="n">
        <v>808</v>
      </c>
      <c r="G483" s="0" t="n">
        <v>34.04</v>
      </c>
      <c r="H483" s="0" t="n">
        <v>112.54</v>
      </c>
      <c r="I483" s="0" t="n">
        <v>25.52</v>
      </c>
      <c r="J483" s="0" t="n">
        <v>84.38</v>
      </c>
      <c r="K483" s="0" t="n">
        <v>1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112A</t>
        </is>
      </c>
      <c r="X483" s="0" t="n">
        <v>28</v>
      </c>
      <c r="Y483" s="0" t="n">
        <v>24</v>
      </c>
      <c r="Z483" s="0" t="inlineStr">
        <is>
          <t>https://new.land.naver.com/complexes/107686?tab=detail&amp;rf=Y</t>
        </is>
      </c>
      <c r="AA483" s="0" t="inlineStr">
        <is>
          <t>경기도 하남시 풍산동 477</t>
        </is>
      </c>
      <c r="AB483" s="0" t="inlineStr">
        <is>
          <t>경기도</t>
        </is>
      </c>
      <c r="AC483" s="0" t="inlineStr">
        <is>
          <t>하남시</t>
        </is>
      </c>
      <c r="AD483" s="0" t="inlineStr">
        <is>
          <t>풍산동</t>
        </is>
      </c>
      <c r="AG483" s="0" t="inlineStr">
        <is>
          <t>경기도 하남시 미사강변서로 45</t>
        </is>
      </c>
      <c r="AH483" s="0" t="n">
        <v>0</v>
      </c>
      <c r="AI483" s="0" t="n">
        <v>209</v>
      </c>
      <c r="AJ483" s="0" t="n">
        <v>16</v>
      </c>
      <c r="AK483" s="0" t="n">
        <v>983</v>
      </c>
      <c r="AL483" s="0" t="n">
        <v>1.22</v>
      </c>
    </row>
    <row r="484">
      <c r="A484" s="0" t="inlineStr">
        <is>
          <t>[풍산동]</t>
        </is>
      </c>
      <c r="B484" s="0" t="n">
        <v>113236</v>
      </c>
      <c r="C484" s="0" t="n">
        <v>1</v>
      </c>
      <c r="D484" s="0" t="inlineStr">
        <is>
          <t>신안인스빌</t>
        </is>
      </c>
      <c r="E484" s="0" t="inlineStr">
        <is>
          <t>2019.01.</t>
        </is>
      </c>
      <c r="F484" s="0" t="n">
        <v>734</v>
      </c>
      <c r="G484" s="0" t="n">
        <v>33.44</v>
      </c>
      <c r="H484" s="0" t="n">
        <v>110.56</v>
      </c>
      <c r="I484" s="0" t="n">
        <v>25.5</v>
      </c>
      <c r="J484" s="0" t="n">
        <v>84.31999999999999</v>
      </c>
      <c r="K484" s="0" t="n">
        <v>390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110</v>
      </c>
      <c r="X484" s="0" t="n">
        <v>29</v>
      </c>
      <c r="Y484" s="0" t="n">
        <v>24</v>
      </c>
      <c r="Z484" s="0" t="inlineStr">
        <is>
          <t>https://new.land.naver.com/complexes/113236?tab=detail&amp;rf=Y</t>
        </is>
      </c>
      <c r="AA484" s="0" t="inlineStr">
        <is>
          <t>경기도 하남시 풍산동 573</t>
        </is>
      </c>
      <c r="AB484" s="0" t="inlineStr">
        <is>
          <t>경기도</t>
        </is>
      </c>
      <c r="AC484" s="0" t="inlineStr">
        <is>
          <t>하남시</t>
        </is>
      </c>
      <c r="AD484" s="0" t="inlineStr">
        <is>
          <t>풍산동</t>
        </is>
      </c>
      <c r="AG484" s="0" t="inlineStr">
        <is>
          <t>경기도 하남시 미사강변동로 19</t>
        </is>
      </c>
      <c r="AH484" s="0" t="n">
        <v>0</v>
      </c>
      <c r="AI484" s="0" t="n">
        <v>209</v>
      </c>
      <c r="AJ484" s="0" t="n">
        <v>13</v>
      </c>
      <c r="AK484" s="0" t="n">
        <v>1059</v>
      </c>
      <c r="AL484" s="0" t="n">
        <v>1.44</v>
      </c>
    </row>
    <row r="485">
      <c r="A485" s="0" t="inlineStr">
        <is>
          <t>[풍산동]</t>
        </is>
      </c>
      <c r="B485" s="0" t="n">
        <v>113236</v>
      </c>
      <c r="C485" s="0" t="n">
        <v>2</v>
      </c>
      <c r="D485" s="0" t="inlineStr">
        <is>
          <t>신안인스빌</t>
        </is>
      </c>
      <c r="E485" s="0" t="inlineStr">
        <is>
          <t>2019.01.</t>
        </is>
      </c>
      <c r="F485" s="0" t="n">
        <v>734</v>
      </c>
      <c r="G485" s="0" t="n">
        <v>36.74</v>
      </c>
      <c r="H485" s="0" t="n">
        <v>121.47</v>
      </c>
      <c r="I485" s="0" t="n">
        <v>28.13</v>
      </c>
      <c r="J485" s="0" t="n">
        <v>93.01000000000001</v>
      </c>
      <c r="K485" s="0" t="n">
        <v>241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121A</t>
        </is>
      </c>
      <c r="X485" s="0" t="n">
        <v>29</v>
      </c>
      <c r="Y485" s="0" t="n">
        <v>24</v>
      </c>
      <c r="Z485" s="0" t="inlineStr">
        <is>
          <t>https://new.land.naver.com/complexes/113236?tab=detail&amp;rf=Y</t>
        </is>
      </c>
      <c r="AA485" s="0" t="inlineStr">
        <is>
          <t>경기도 하남시 풍산동 573</t>
        </is>
      </c>
      <c r="AB485" s="0" t="inlineStr">
        <is>
          <t>경기도</t>
        </is>
      </c>
      <c r="AC485" s="0" t="inlineStr">
        <is>
          <t>하남시</t>
        </is>
      </c>
      <c r="AD485" s="0" t="inlineStr">
        <is>
          <t>풍산동</t>
        </is>
      </c>
      <c r="AG485" s="0" t="inlineStr">
        <is>
          <t>경기도 하남시 미사강변동로 19</t>
        </is>
      </c>
      <c r="AH485" s="0" t="n">
        <v>0</v>
      </c>
      <c r="AI485" s="0" t="n">
        <v>209</v>
      </c>
      <c r="AJ485" s="0" t="n">
        <v>13</v>
      </c>
      <c r="AK485" s="0" t="n">
        <v>1059</v>
      </c>
      <c r="AL485" s="0" t="n">
        <v>1.44</v>
      </c>
    </row>
    <row r="486">
      <c r="A486" s="0" t="inlineStr">
        <is>
          <t>[풍산동]</t>
        </is>
      </c>
      <c r="B486" s="0" t="n">
        <v>113236</v>
      </c>
      <c r="C486" s="0" t="n">
        <v>3</v>
      </c>
      <c r="D486" s="0" t="inlineStr">
        <is>
          <t>신안인스빌</t>
        </is>
      </c>
      <c r="E486" s="0" t="inlineStr">
        <is>
          <t>2019.01.</t>
        </is>
      </c>
      <c r="F486" s="0" t="n">
        <v>734</v>
      </c>
      <c r="G486" s="0" t="n">
        <v>36.97</v>
      </c>
      <c r="H486" s="0" t="n">
        <v>122.24</v>
      </c>
      <c r="I486" s="0" t="n">
        <v>28.13</v>
      </c>
      <c r="J486" s="0" t="n">
        <v>93</v>
      </c>
      <c r="K486" s="0" t="n">
        <v>103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122B</t>
        </is>
      </c>
      <c r="X486" s="0" t="n">
        <v>29</v>
      </c>
      <c r="Y486" s="0" t="n">
        <v>24</v>
      </c>
      <c r="Z486" s="0" t="inlineStr">
        <is>
          <t>https://new.land.naver.com/complexes/113236?tab=detail&amp;rf=Y</t>
        </is>
      </c>
      <c r="AA486" s="0" t="inlineStr">
        <is>
          <t>경기도 하남시 풍산동 573</t>
        </is>
      </c>
      <c r="AB486" s="0" t="inlineStr">
        <is>
          <t>경기도</t>
        </is>
      </c>
      <c r="AC486" s="0" t="inlineStr">
        <is>
          <t>하남시</t>
        </is>
      </c>
      <c r="AD486" s="0" t="inlineStr">
        <is>
          <t>풍산동</t>
        </is>
      </c>
      <c r="AG486" s="0" t="inlineStr">
        <is>
          <t>경기도 하남시 미사강변동로 19</t>
        </is>
      </c>
      <c r="AH486" s="0" t="n">
        <v>0</v>
      </c>
      <c r="AI486" s="0" t="n">
        <v>209</v>
      </c>
      <c r="AJ486" s="0" t="n">
        <v>13</v>
      </c>
      <c r="AK486" s="0" t="n">
        <v>1059</v>
      </c>
      <c r="AL486" s="0" t="n">
        <v>1.44</v>
      </c>
    </row>
    <row r="487">
      <c r="A487" s="0" t="inlineStr">
        <is>
          <t>[풍산동]</t>
        </is>
      </c>
      <c r="B487" s="0" t="n">
        <v>112142</v>
      </c>
      <c r="C487" s="0" t="n">
        <v>1</v>
      </c>
      <c r="D487" s="0" t="inlineStr">
        <is>
          <t>e편한세상미사</t>
        </is>
      </c>
      <c r="E487" s="0" t="inlineStr">
        <is>
          <t>2018.06.</t>
        </is>
      </c>
      <c r="F487" s="0" t="n">
        <v>652</v>
      </c>
      <c r="G487" s="0" t="n">
        <v>28.45</v>
      </c>
      <c r="H487" s="0" t="n">
        <v>94.06</v>
      </c>
      <c r="I487" s="0" t="n">
        <v>21.12</v>
      </c>
      <c r="J487" s="0" t="n">
        <v>69.84999999999999</v>
      </c>
      <c r="K487" s="0" t="n">
        <v>145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94</v>
      </c>
      <c r="X487" s="0" t="n">
        <v>29</v>
      </c>
      <c r="Y487" s="0" t="n">
        <v>24</v>
      </c>
      <c r="Z487" s="0" t="inlineStr">
        <is>
          <t>https://new.land.naver.com/complexes/112142?tab=detail&amp;rf=Y</t>
        </is>
      </c>
      <c r="AA487" s="0" t="inlineStr">
        <is>
          <t>경기도 하남시 풍산동 568</t>
        </is>
      </c>
      <c r="AB487" s="0" t="inlineStr">
        <is>
          <t>경기도</t>
        </is>
      </c>
      <c r="AC487" s="0" t="inlineStr">
        <is>
          <t>하남시</t>
        </is>
      </c>
      <c r="AD487" s="0" t="inlineStr">
        <is>
          <t>풍산동</t>
        </is>
      </c>
      <c r="AG487" s="0" t="inlineStr">
        <is>
          <t>경기도 하남시 미사강변중앙로 90</t>
        </is>
      </c>
      <c r="AH487" s="0" t="n">
        <v>0</v>
      </c>
      <c r="AI487" s="0" t="n">
        <v>209</v>
      </c>
      <c r="AJ487" s="0" t="n">
        <v>13</v>
      </c>
      <c r="AK487" s="0" t="n">
        <v>801</v>
      </c>
      <c r="AL487" s="0" t="n">
        <v>1.23</v>
      </c>
    </row>
    <row r="488">
      <c r="A488" s="0" t="inlineStr">
        <is>
          <t>[풍산동]</t>
        </is>
      </c>
      <c r="B488" s="0" t="n">
        <v>112142</v>
      </c>
      <c r="C488" s="0" t="n">
        <v>2</v>
      </c>
      <c r="D488" s="0" t="inlineStr">
        <is>
          <t>e편한세상미사</t>
        </is>
      </c>
      <c r="E488" s="0" t="inlineStr">
        <is>
          <t>2018.06.</t>
        </is>
      </c>
      <c r="F488" s="0" t="n">
        <v>652</v>
      </c>
      <c r="G488" s="0" t="n">
        <v>34.16</v>
      </c>
      <c r="H488" s="0" t="n">
        <v>112.93</v>
      </c>
      <c r="I488" s="0" t="n">
        <v>25.69</v>
      </c>
      <c r="J488" s="0" t="n">
        <v>84.94</v>
      </c>
      <c r="K488" s="0" t="n">
        <v>507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112</v>
      </c>
      <c r="X488" s="0" t="n">
        <v>29</v>
      </c>
      <c r="Y488" s="0" t="n">
        <v>24</v>
      </c>
      <c r="Z488" s="0" t="inlineStr">
        <is>
          <t>https://new.land.naver.com/complexes/112142?tab=detail&amp;rf=Y</t>
        </is>
      </c>
      <c r="AA488" s="0" t="inlineStr">
        <is>
          <t>경기도 하남시 풍산동 568</t>
        </is>
      </c>
      <c r="AB488" s="0" t="inlineStr">
        <is>
          <t>경기도</t>
        </is>
      </c>
      <c r="AC488" s="0" t="inlineStr">
        <is>
          <t>하남시</t>
        </is>
      </c>
      <c r="AD488" s="0" t="inlineStr">
        <is>
          <t>풍산동</t>
        </is>
      </c>
      <c r="AG488" s="0" t="inlineStr">
        <is>
          <t>경기도 하남시 미사강변중앙로 90</t>
        </is>
      </c>
      <c r="AH488" s="0" t="n">
        <v>0</v>
      </c>
      <c r="AI488" s="0" t="n">
        <v>209</v>
      </c>
      <c r="AJ488" s="0" t="n">
        <v>13</v>
      </c>
      <c r="AK488" s="0" t="n">
        <v>801</v>
      </c>
      <c r="AL488" s="0" t="n">
        <v>1.23</v>
      </c>
    </row>
    <row r="489">
      <c r="A489" s="0" t="inlineStr">
        <is>
          <t>[풍산동]</t>
        </is>
      </c>
      <c r="B489" s="0" t="n">
        <v>111028</v>
      </c>
      <c r="C489" s="0" t="n">
        <v>1</v>
      </c>
      <c r="D489" s="0" t="inlineStr">
        <is>
          <t>미사강변더샵센트럴포레</t>
        </is>
      </c>
      <c r="E489" s="0" t="inlineStr">
        <is>
          <t>2017.10.</t>
        </is>
      </c>
      <c r="F489" s="0" t="n">
        <v>487</v>
      </c>
      <c r="G489" s="0" t="n">
        <v>29.08</v>
      </c>
      <c r="H489" s="0" t="n">
        <v>96.14</v>
      </c>
      <c r="I489" s="0" t="n">
        <v>22.08</v>
      </c>
      <c r="J489" s="0" t="n">
        <v>73.02</v>
      </c>
      <c r="K489" s="0" t="n">
        <v>48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96A</t>
        </is>
      </c>
      <c r="X489" s="0" t="n">
        <v>29</v>
      </c>
      <c r="Y489" s="0" t="n">
        <v>25</v>
      </c>
      <c r="Z489" s="0" t="inlineStr">
        <is>
          <t>https://new.land.naver.com/complexes/111028?tab=detail&amp;rf=Y</t>
        </is>
      </c>
      <c r="AA489" s="0" t="inlineStr">
        <is>
          <t>경기도 하남시 풍산동 486</t>
        </is>
      </c>
      <c r="AB489" s="0" t="inlineStr">
        <is>
          <t>경기도</t>
        </is>
      </c>
      <c r="AC489" s="0" t="inlineStr">
        <is>
          <t>하남시</t>
        </is>
      </c>
      <c r="AD489" s="0" t="inlineStr">
        <is>
          <t>풍산동</t>
        </is>
      </c>
      <c r="AG489" s="0" t="inlineStr">
        <is>
          <t>경기도 하남시 미사강변대로 55</t>
        </is>
      </c>
      <c r="AH489" s="0" t="n">
        <v>0</v>
      </c>
      <c r="AI489" s="0" t="n">
        <v>209</v>
      </c>
      <c r="AJ489" s="0" t="n">
        <v>13</v>
      </c>
      <c r="AK489" s="0" t="n">
        <v>700</v>
      </c>
      <c r="AL489" s="0" t="n">
        <v>1.44</v>
      </c>
    </row>
    <row r="490">
      <c r="A490" s="0" t="inlineStr">
        <is>
          <t>[풍산동]</t>
        </is>
      </c>
      <c r="B490" s="0" t="n">
        <v>111028</v>
      </c>
      <c r="C490" s="0" t="n">
        <v>2</v>
      </c>
      <c r="D490" s="0" t="inlineStr">
        <is>
          <t>미사강변더샵센트럴포레</t>
        </is>
      </c>
      <c r="E490" s="0" t="inlineStr">
        <is>
          <t>2017.10.</t>
        </is>
      </c>
      <c r="F490" s="0" t="n">
        <v>487</v>
      </c>
      <c r="G490" s="0" t="n">
        <v>29.25</v>
      </c>
      <c r="H490" s="0" t="n">
        <v>96.7</v>
      </c>
      <c r="I490" s="0" t="n">
        <v>22.1</v>
      </c>
      <c r="J490" s="0" t="n">
        <v>73.06999999999999</v>
      </c>
      <c r="K490" s="0" t="n">
        <v>25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96B</t>
        </is>
      </c>
      <c r="X490" s="0" t="n">
        <v>29</v>
      </c>
      <c r="Y490" s="0" t="n">
        <v>25</v>
      </c>
      <c r="Z490" s="0" t="inlineStr">
        <is>
          <t>https://new.land.naver.com/complexes/111028?tab=detail&amp;rf=Y</t>
        </is>
      </c>
      <c r="AA490" s="0" t="inlineStr">
        <is>
          <t>경기도 하남시 풍산동 486</t>
        </is>
      </c>
      <c r="AB490" s="0" t="inlineStr">
        <is>
          <t>경기도</t>
        </is>
      </c>
      <c r="AC490" s="0" t="inlineStr">
        <is>
          <t>하남시</t>
        </is>
      </c>
      <c r="AD490" s="0" t="inlineStr">
        <is>
          <t>풍산동</t>
        </is>
      </c>
      <c r="AG490" s="0" t="inlineStr">
        <is>
          <t>경기도 하남시 미사강변대로 55</t>
        </is>
      </c>
      <c r="AH490" s="0" t="n">
        <v>0</v>
      </c>
      <c r="AI490" s="0" t="n">
        <v>209</v>
      </c>
      <c r="AJ490" s="0" t="n">
        <v>13</v>
      </c>
      <c r="AK490" s="0" t="n">
        <v>700</v>
      </c>
      <c r="AL490" s="0" t="n">
        <v>1.44</v>
      </c>
    </row>
    <row r="491">
      <c r="A491" s="0" t="inlineStr">
        <is>
          <t>[풍산동]</t>
        </is>
      </c>
      <c r="B491" s="0" t="n">
        <v>111028</v>
      </c>
      <c r="C491" s="0" t="n">
        <v>3</v>
      </c>
      <c r="D491" s="0" t="inlineStr">
        <is>
          <t>미사강변더샵센트럴포레</t>
        </is>
      </c>
      <c r="E491" s="0" t="inlineStr">
        <is>
          <t>2017.10.</t>
        </is>
      </c>
      <c r="F491" s="0" t="n">
        <v>487</v>
      </c>
      <c r="G491" s="0" t="n">
        <v>33.39</v>
      </c>
      <c r="H491" s="0" t="n">
        <v>110.41</v>
      </c>
      <c r="I491" s="0" t="n">
        <v>25.41</v>
      </c>
      <c r="J491" s="0" t="n">
        <v>84.03</v>
      </c>
      <c r="K491" s="0" t="n">
        <v>128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110A</t>
        </is>
      </c>
      <c r="X491" s="0" t="n">
        <v>29</v>
      </c>
      <c r="Y491" s="0" t="n">
        <v>25</v>
      </c>
      <c r="Z491" s="0" t="inlineStr">
        <is>
          <t>https://new.land.naver.com/complexes/111028?tab=detail&amp;rf=Y</t>
        </is>
      </c>
      <c r="AA491" s="0" t="inlineStr">
        <is>
          <t>경기도 하남시 풍산동 486</t>
        </is>
      </c>
      <c r="AB491" s="0" t="inlineStr">
        <is>
          <t>경기도</t>
        </is>
      </c>
      <c r="AC491" s="0" t="inlineStr">
        <is>
          <t>하남시</t>
        </is>
      </c>
      <c r="AD491" s="0" t="inlineStr">
        <is>
          <t>풍산동</t>
        </is>
      </c>
      <c r="AG491" s="0" t="inlineStr">
        <is>
          <t>경기도 하남시 미사강변대로 55</t>
        </is>
      </c>
      <c r="AH491" s="0" t="n">
        <v>0</v>
      </c>
      <c r="AI491" s="0" t="n">
        <v>209</v>
      </c>
      <c r="AJ491" s="0" t="n">
        <v>13</v>
      </c>
      <c r="AK491" s="0" t="n">
        <v>700</v>
      </c>
      <c r="AL491" s="0" t="n">
        <v>1.44</v>
      </c>
    </row>
    <row r="492">
      <c r="A492" s="0" t="inlineStr">
        <is>
          <t>[풍산동]</t>
        </is>
      </c>
      <c r="B492" s="0" t="n">
        <v>111028</v>
      </c>
      <c r="C492" s="0" t="n">
        <v>4</v>
      </c>
      <c r="D492" s="0" t="inlineStr">
        <is>
          <t>미사강변더샵센트럴포레</t>
        </is>
      </c>
      <c r="E492" s="0" t="inlineStr">
        <is>
          <t>2017.10.</t>
        </is>
      </c>
      <c r="F492" s="0" t="n">
        <v>487</v>
      </c>
      <c r="G492" s="0" t="n">
        <v>33.43</v>
      </c>
      <c r="H492" s="0" t="n">
        <v>110.53</v>
      </c>
      <c r="I492" s="0" t="n">
        <v>25.44</v>
      </c>
      <c r="J492" s="0" t="n">
        <v>84.09999999999999</v>
      </c>
      <c r="K492" s="0" t="n">
        <v>58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110B</t>
        </is>
      </c>
      <c r="X492" s="0" t="n">
        <v>29</v>
      </c>
      <c r="Y492" s="0" t="n">
        <v>25</v>
      </c>
      <c r="Z492" s="0" t="inlineStr">
        <is>
          <t>https://new.land.naver.com/complexes/111028?tab=detail&amp;rf=Y</t>
        </is>
      </c>
      <c r="AA492" s="0" t="inlineStr">
        <is>
          <t>경기도 하남시 풍산동 486</t>
        </is>
      </c>
      <c r="AB492" s="0" t="inlineStr">
        <is>
          <t>경기도</t>
        </is>
      </c>
      <c r="AC492" s="0" t="inlineStr">
        <is>
          <t>하남시</t>
        </is>
      </c>
      <c r="AD492" s="0" t="inlineStr">
        <is>
          <t>풍산동</t>
        </is>
      </c>
      <c r="AG492" s="0" t="inlineStr">
        <is>
          <t>경기도 하남시 미사강변대로 55</t>
        </is>
      </c>
      <c r="AH492" s="0" t="n">
        <v>0</v>
      </c>
      <c r="AI492" s="0" t="n">
        <v>209</v>
      </c>
      <c r="AJ492" s="0" t="n">
        <v>13</v>
      </c>
      <c r="AK492" s="0" t="n">
        <v>700</v>
      </c>
      <c r="AL492" s="0" t="n">
        <v>1.44</v>
      </c>
    </row>
    <row r="493">
      <c r="A493" s="0" t="inlineStr">
        <is>
          <t>[풍산동]</t>
        </is>
      </c>
      <c r="B493" s="0" t="n">
        <v>111028</v>
      </c>
      <c r="C493" s="0" t="n">
        <v>5</v>
      </c>
      <c r="D493" s="0" t="inlineStr">
        <is>
          <t>미사강변더샵센트럴포레</t>
        </is>
      </c>
      <c r="E493" s="0" t="inlineStr">
        <is>
          <t>2017.10.</t>
        </is>
      </c>
      <c r="F493" s="0" t="n">
        <v>487</v>
      </c>
      <c r="G493" s="0" t="n">
        <v>37.02</v>
      </c>
      <c r="H493" s="0" t="n">
        <v>122.39</v>
      </c>
      <c r="I493" s="0" t="n">
        <v>28.15</v>
      </c>
      <c r="J493" s="0" t="n">
        <v>93.06</v>
      </c>
      <c r="K493" s="0" t="n">
        <v>58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122B</t>
        </is>
      </c>
      <c r="X493" s="0" t="n">
        <v>29</v>
      </c>
      <c r="Y493" s="0" t="n">
        <v>25</v>
      </c>
      <c r="Z493" s="0" t="inlineStr">
        <is>
          <t>https://new.land.naver.com/complexes/111028?tab=detail&amp;rf=Y</t>
        </is>
      </c>
      <c r="AA493" s="0" t="inlineStr">
        <is>
          <t>경기도 하남시 풍산동 486</t>
        </is>
      </c>
      <c r="AB493" s="0" t="inlineStr">
        <is>
          <t>경기도</t>
        </is>
      </c>
      <c r="AC493" s="0" t="inlineStr">
        <is>
          <t>하남시</t>
        </is>
      </c>
      <c r="AD493" s="0" t="inlineStr">
        <is>
          <t>풍산동</t>
        </is>
      </c>
      <c r="AG493" s="0" t="inlineStr">
        <is>
          <t>경기도 하남시 미사강변대로 55</t>
        </is>
      </c>
      <c r="AH493" s="0" t="n">
        <v>0</v>
      </c>
      <c r="AI493" s="0" t="n">
        <v>209</v>
      </c>
      <c r="AJ493" s="0" t="n">
        <v>13</v>
      </c>
      <c r="AK493" s="0" t="n">
        <v>700</v>
      </c>
      <c r="AL493" s="0" t="n">
        <v>1.44</v>
      </c>
    </row>
    <row r="494">
      <c r="A494" s="0" t="inlineStr">
        <is>
          <t>[풍산동]</t>
        </is>
      </c>
      <c r="B494" s="0" t="n">
        <v>111028</v>
      </c>
      <c r="C494" s="0" t="n">
        <v>6</v>
      </c>
      <c r="D494" s="0" t="inlineStr">
        <is>
          <t>미사강변더샵센트럴포레</t>
        </is>
      </c>
      <c r="E494" s="0" t="inlineStr">
        <is>
          <t>2017.10.</t>
        </is>
      </c>
      <c r="F494" s="0" t="n">
        <v>487</v>
      </c>
      <c r="G494" s="0" t="n">
        <v>37.04</v>
      </c>
      <c r="H494" s="0" t="n">
        <v>122.46</v>
      </c>
      <c r="I494" s="0" t="n">
        <v>28.24</v>
      </c>
      <c r="J494" s="0" t="n">
        <v>93.36</v>
      </c>
      <c r="K494" s="0" t="n">
        <v>58</v>
      </c>
      <c r="T494" s="0" t="n">
        <v>4</v>
      </c>
      <c r="U494" s="0" t="n">
        <v>2</v>
      </c>
      <c r="V494" s="0" t="inlineStr">
        <is>
          <t>계단식</t>
        </is>
      </c>
      <c r="W494" s="0" t="inlineStr">
        <is>
          <t>122C</t>
        </is>
      </c>
      <c r="X494" s="0" t="n">
        <v>29</v>
      </c>
      <c r="Y494" s="0" t="n">
        <v>25</v>
      </c>
      <c r="Z494" s="0" t="inlineStr">
        <is>
          <t>https://new.land.naver.com/complexes/111028?tab=detail&amp;rf=Y</t>
        </is>
      </c>
      <c r="AA494" s="0" t="inlineStr">
        <is>
          <t>경기도 하남시 풍산동 486</t>
        </is>
      </c>
      <c r="AB494" s="0" t="inlineStr">
        <is>
          <t>경기도</t>
        </is>
      </c>
      <c r="AC494" s="0" t="inlineStr">
        <is>
          <t>하남시</t>
        </is>
      </c>
      <c r="AD494" s="0" t="inlineStr">
        <is>
          <t>풍산동</t>
        </is>
      </c>
      <c r="AG494" s="0" t="inlineStr">
        <is>
          <t>경기도 하남시 미사강변대로 55</t>
        </is>
      </c>
      <c r="AH494" s="0" t="n">
        <v>0</v>
      </c>
      <c r="AI494" s="0" t="n">
        <v>209</v>
      </c>
      <c r="AJ494" s="0" t="n">
        <v>13</v>
      </c>
      <c r="AK494" s="0" t="n">
        <v>700</v>
      </c>
      <c r="AL494" s="0" t="n">
        <v>1.44</v>
      </c>
    </row>
    <row r="495">
      <c r="A495" s="0" t="inlineStr">
        <is>
          <t>[풍산동]</t>
        </is>
      </c>
      <c r="B495" s="0" t="n">
        <v>111028</v>
      </c>
      <c r="C495" s="0" t="n">
        <v>7</v>
      </c>
      <c r="D495" s="0" t="inlineStr">
        <is>
          <t>미사강변더샵센트럴포레</t>
        </is>
      </c>
      <c r="E495" s="0" t="inlineStr">
        <is>
          <t>2017.10.</t>
        </is>
      </c>
      <c r="F495" s="0" t="n">
        <v>487</v>
      </c>
      <c r="G495" s="0" t="n">
        <v>37</v>
      </c>
      <c r="H495" s="0" t="n">
        <v>122.32</v>
      </c>
      <c r="I495" s="0" t="n">
        <v>28.18</v>
      </c>
      <c r="J495" s="0" t="n">
        <v>93.18000000000001</v>
      </c>
      <c r="K495" s="0" t="n">
        <v>56</v>
      </c>
      <c r="T495" s="0" t="n">
        <v>4</v>
      </c>
      <c r="U495" s="0" t="n">
        <v>2</v>
      </c>
      <c r="V495" s="0" t="inlineStr">
        <is>
          <t>계단식</t>
        </is>
      </c>
      <c r="W495" s="0" t="inlineStr">
        <is>
          <t>122A</t>
        </is>
      </c>
      <c r="X495" s="0" t="n">
        <v>29</v>
      </c>
      <c r="Y495" s="0" t="n">
        <v>25</v>
      </c>
      <c r="Z495" s="0" t="inlineStr">
        <is>
          <t>https://new.land.naver.com/complexes/111028?tab=detail&amp;rf=Y</t>
        </is>
      </c>
      <c r="AA495" s="0" t="inlineStr">
        <is>
          <t>경기도 하남시 풍산동 486</t>
        </is>
      </c>
      <c r="AB495" s="0" t="inlineStr">
        <is>
          <t>경기도</t>
        </is>
      </c>
      <c r="AC495" s="0" t="inlineStr">
        <is>
          <t>하남시</t>
        </is>
      </c>
      <c r="AD495" s="0" t="inlineStr">
        <is>
          <t>풍산동</t>
        </is>
      </c>
      <c r="AG495" s="0" t="inlineStr">
        <is>
          <t>경기도 하남시 미사강변대로 55</t>
        </is>
      </c>
      <c r="AH495" s="0" t="n">
        <v>0</v>
      </c>
      <c r="AI495" s="0" t="n">
        <v>209</v>
      </c>
      <c r="AJ495" s="0" t="n">
        <v>13</v>
      </c>
      <c r="AK495" s="0" t="n">
        <v>700</v>
      </c>
      <c r="AL495" s="0" t="n">
        <v>1.44</v>
      </c>
    </row>
    <row r="496">
      <c r="A496" s="0" t="inlineStr">
        <is>
          <t>[풍산동]</t>
        </is>
      </c>
      <c r="B496" s="0" t="n">
        <v>111028</v>
      </c>
      <c r="C496" s="0" t="n">
        <v>8</v>
      </c>
      <c r="D496" s="0" t="inlineStr">
        <is>
          <t>미사강변더샵센트럴포레</t>
        </is>
      </c>
      <c r="E496" s="0" t="inlineStr">
        <is>
          <t>2017.10.</t>
        </is>
      </c>
      <c r="F496" s="0" t="n">
        <v>487</v>
      </c>
      <c r="G496" s="0" t="n">
        <v>40.05</v>
      </c>
      <c r="H496" s="0" t="n">
        <v>132.4</v>
      </c>
      <c r="I496" s="0" t="n">
        <v>30.79</v>
      </c>
      <c r="J496" s="0" t="n">
        <v>101.81</v>
      </c>
      <c r="K496" s="0" t="n">
        <v>56</v>
      </c>
      <c r="T496" s="0" t="n">
        <v>4</v>
      </c>
      <c r="U496" s="0" t="n">
        <v>2</v>
      </c>
      <c r="V496" s="0" t="inlineStr">
        <is>
          <t>계단식</t>
        </is>
      </c>
      <c r="W496" s="0" t="n">
        <v>132</v>
      </c>
      <c r="X496" s="0" t="n">
        <v>29</v>
      </c>
      <c r="Y496" s="0" t="n">
        <v>25</v>
      </c>
      <c r="Z496" s="0" t="inlineStr">
        <is>
          <t>https://new.land.naver.com/complexes/111028?tab=detail&amp;rf=Y</t>
        </is>
      </c>
      <c r="AA496" s="0" t="inlineStr">
        <is>
          <t>경기도 하남시 풍산동 486</t>
        </is>
      </c>
      <c r="AB496" s="0" t="inlineStr">
        <is>
          <t>경기도</t>
        </is>
      </c>
      <c r="AC496" s="0" t="inlineStr">
        <is>
          <t>하남시</t>
        </is>
      </c>
      <c r="AD496" s="0" t="inlineStr">
        <is>
          <t>풍산동</t>
        </is>
      </c>
      <c r="AG496" s="0" t="inlineStr">
        <is>
          <t>경기도 하남시 미사강변대로 55</t>
        </is>
      </c>
      <c r="AH496" s="0" t="n">
        <v>0</v>
      </c>
      <c r="AI496" s="0" t="n">
        <v>209</v>
      </c>
      <c r="AJ496" s="0" t="n">
        <v>13</v>
      </c>
      <c r="AK496" s="0" t="n">
        <v>700</v>
      </c>
      <c r="AL496" s="0" t="n">
        <v>1.44</v>
      </c>
    </row>
    <row r="497">
      <c r="A497" s="0" t="inlineStr">
        <is>
          <t>[풍산동]</t>
        </is>
      </c>
      <c r="B497" s="0" t="n">
        <v>119713</v>
      </c>
      <c r="C497" s="0" t="n">
        <v>1</v>
      </c>
      <c r="D497" s="0" t="inlineStr">
        <is>
          <t>하남힐즈파크푸르지오1단지</t>
        </is>
      </c>
      <c r="E497" s="0" t="inlineStr">
        <is>
          <t>2020.04.</t>
        </is>
      </c>
      <c r="F497" s="0" t="n">
        <v>404</v>
      </c>
      <c r="G497" s="0" t="n">
        <v>22.85</v>
      </c>
      <c r="H497" s="0" t="n">
        <v>75.55</v>
      </c>
      <c r="I497" s="0" t="n">
        <v>15.83</v>
      </c>
      <c r="J497" s="0" t="n">
        <v>52.34</v>
      </c>
      <c r="K497" s="0" t="n">
        <v>110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75</v>
      </c>
      <c r="X497" s="0" t="n">
        <v>22</v>
      </c>
      <c r="Y497" s="0" t="n">
        <v>17</v>
      </c>
      <c r="Z497" s="0" t="inlineStr">
        <is>
          <t>https://new.land.naver.com/complexes/119713?tab=detail&amp;rf=Y</t>
        </is>
      </c>
      <c r="AA497" s="0" t="inlineStr">
        <is>
          <t>경기도 하남시 풍산동 630</t>
        </is>
      </c>
      <c r="AB497" s="0" t="inlineStr">
        <is>
          <t>경기도</t>
        </is>
      </c>
      <c r="AC497" s="0" t="inlineStr">
        <is>
          <t>하남시</t>
        </is>
      </c>
      <c r="AD497" s="0" t="inlineStr">
        <is>
          <t>풍산동</t>
        </is>
      </c>
      <c r="AG497" s="0" t="inlineStr">
        <is>
          <t>경기도 하남시 세미로1길 10</t>
        </is>
      </c>
      <c r="AH497" s="0" t="n">
        <v>0</v>
      </c>
      <c r="AI497" s="0" t="n">
        <v>199</v>
      </c>
      <c r="AJ497" s="0" t="n">
        <v>18</v>
      </c>
      <c r="AK497" s="0" t="n">
        <v>513</v>
      </c>
      <c r="AL497" s="0" t="n">
        <v>1.27</v>
      </c>
    </row>
    <row r="498">
      <c r="A498" s="0" t="inlineStr">
        <is>
          <t>[풍산동]</t>
        </is>
      </c>
      <c r="B498" s="0" t="n">
        <v>119713</v>
      </c>
      <c r="C498" s="0" t="n">
        <v>2</v>
      </c>
      <c r="D498" s="0" t="inlineStr">
        <is>
          <t>하남힐즈파크푸르지오1단지</t>
        </is>
      </c>
      <c r="E498" s="0" t="inlineStr">
        <is>
          <t>2020.04.</t>
        </is>
      </c>
      <c r="F498" s="0" t="n">
        <v>404</v>
      </c>
      <c r="G498" s="0" t="n">
        <v>24.43</v>
      </c>
      <c r="H498" s="0" t="n">
        <v>80.79000000000001</v>
      </c>
      <c r="I498" s="0" t="n">
        <v>18.1</v>
      </c>
      <c r="J498" s="0" t="n">
        <v>59.84</v>
      </c>
      <c r="K498" s="0" t="n">
        <v>183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80A</t>
        </is>
      </c>
      <c r="X498" s="0" t="n">
        <v>22</v>
      </c>
      <c r="Y498" s="0" t="n">
        <v>17</v>
      </c>
      <c r="Z498" s="0" t="inlineStr">
        <is>
          <t>https://new.land.naver.com/complexes/119713?tab=detail&amp;rf=Y</t>
        </is>
      </c>
      <c r="AA498" s="0" t="inlineStr">
        <is>
          <t>경기도 하남시 풍산동 630</t>
        </is>
      </c>
      <c r="AB498" s="0" t="inlineStr">
        <is>
          <t>경기도</t>
        </is>
      </c>
      <c r="AC498" s="0" t="inlineStr">
        <is>
          <t>하남시</t>
        </is>
      </c>
      <c r="AD498" s="0" t="inlineStr">
        <is>
          <t>풍산동</t>
        </is>
      </c>
      <c r="AG498" s="0" t="inlineStr">
        <is>
          <t>경기도 하남시 세미로1길 10</t>
        </is>
      </c>
      <c r="AH498" s="0" t="n">
        <v>0</v>
      </c>
      <c r="AI498" s="0" t="n">
        <v>199</v>
      </c>
      <c r="AJ498" s="0" t="n">
        <v>18</v>
      </c>
      <c r="AK498" s="0" t="n">
        <v>513</v>
      </c>
      <c r="AL498" s="0" t="n">
        <v>1.27</v>
      </c>
    </row>
    <row r="499">
      <c r="A499" s="0" t="inlineStr">
        <is>
          <t>[풍산동]</t>
        </is>
      </c>
      <c r="B499" s="0" t="n">
        <v>119713</v>
      </c>
      <c r="C499" s="0" t="n">
        <v>3</v>
      </c>
      <c r="D499" s="0" t="inlineStr">
        <is>
          <t>하남힐즈파크푸르지오1단지</t>
        </is>
      </c>
      <c r="E499" s="0" t="inlineStr">
        <is>
          <t>2020.04.</t>
        </is>
      </c>
      <c r="F499" s="0" t="n">
        <v>404</v>
      </c>
      <c r="G499" s="0" t="n">
        <v>24.35</v>
      </c>
      <c r="H499" s="0" t="n">
        <v>80.51000000000001</v>
      </c>
      <c r="I499" s="0" t="n">
        <v>18.05</v>
      </c>
      <c r="J499" s="0" t="n">
        <v>59.67</v>
      </c>
      <c r="K499" s="0" t="n">
        <v>111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80B</t>
        </is>
      </c>
      <c r="X499" s="0" t="n">
        <v>22</v>
      </c>
      <c r="Y499" s="0" t="n">
        <v>17</v>
      </c>
      <c r="Z499" s="0" t="inlineStr">
        <is>
          <t>https://new.land.naver.com/complexes/119713?tab=detail&amp;rf=Y</t>
        </is>
      </c>
      <c r="AA499" s="0" t="inlineStr">
        <is>
          <t>경기도 하남시 풍산동 630</t>
        </is>
      </c>
      <c r="AB499" s="0" t="inlineStr">
        <is>
          <t>경기도</t>
        </is>
      </c>
      <c r="AC499" s="0" t="inlineStr">
        <is>
          <t>하남시</t>
        </is>
      </c>
      <c r="AD499" s="0" t="inlineStr">
        <is>
          <t>풍산동</t>
        </is>
      </c>
      <c r="AG499" s="0" t="inlineStr">
        <is>
          <t>경기도 하남시 세미로1길 10</t>
        </is>
      </c>
      <c r="AH499" s="0" t="n">
        <v>0</v>
      </c>
      <c r="AI499" s="0" t="n">
        <v>199</v>
      </c>
      <c r="AJ499" s="0" t="n">
        <v>18</v>
      </c>
      <c r="AK499" s="0" t="n">
        <v>513</v>
      </c>
      <c r="AL499" s="0" t="n">
        <v>1.27</v>
      </c>
    </row>
    <row r="500">
      <c r="A500" s="0" t="inlineStr">
        <is>
          <t>[풍산동]</t>
        </is>
      </c>
      <c r="B500" s="0" t="n">
        <v>114094</v>
      </c>
      <c r="C500" s="0" t="n">
        <v>1</v>
      </c>
      <c r="D500" s="0" t="inlineStr">
        <is>
          <t>하남힐즈파크푸르지오3단지</t>
        </is>
      </c>
      <c r="E500" s="0" t="inlineStr">
        <is>
          <t>2018.09.</t>
        </is>
      </c>
      <c r="F500" s="0" t="n">
        <v>358</v>
      </c>
      <c r="G500" s="0" t="n">
        <v>38.88</v>
      </c>
      <c r="H500" s="0" t="n">
        <v>128.53</v>
      </c>
      <c r="I500" s="0" t="n">
        <v>29.93</v>
      </c>
      <c r="J500" s="0" t="n">
        <v>98.95999999999999</v>
      </c>
      <c r="K500" s="0" t="n">
        <v>294</v>
      </c>
      <c r="T500" s="0" t="n">
        <v>4</v>
      </c>
      <c r="U500" s="0" t="n">
        <v>2</v>
      </c>
      <c r="V500" s="0" t="inlineStr">
        <is>
          <t>계단식</t>
        </is>
      </c>
      <c r="W500" s="0" t="inlineStr">
        <is>
          <t>128A</t>
        </is>
      </c>
      <c r="X500" s="0" t="n">
        <v>22</v>
      </c>
      <c r="Y500" s="0" t="n">
        <v>15</v>
      </c>
      <c r="Z500" s="0" t="inlineStr">
        <is>
          <t>https://new.land.naver.com/complexes/114094?tab=detail&amp;rf=Y</t>
        </is>
      </c>
      <c r="AA500" s="0" t="inlineStr">
        <is>
          <t>경기도 하남시 풍산동 627</t>
        </is>
      </c>
      <c r="AB500" s="0" t="inlineStr">
        <is>
          <t>경기도</t>
        </is>
      </c>
      <c r="AC500" s="0" t="inlineStr">
        <is>
          <t>하남시</t>
        </is>
      </c>
      <c r="AD500" s="0" t="inlineStr">
        <is>
          <t>풍산동</t>
        </is>
      </c>
      <c r="AG500" s="0" t="inlineStr">
        <is>
          <t>경기도 하남시 세미로1길 30</t>
        </is>
      </c>
      <c r="AH500" s="0" t="n">
        <v>0</v>
      </c>
      <c r="AI500" s="0" t="n">
        <v>198</v>
      </c>
      <c r="AJ500" s="0" t="n">
        <v>17</v>
      </c>
      <c r="AK500" s="0" t="n">
        <v>703</v>
      </c>
      <c r="AL500" s="0" t="n">
        <v>1.96</v>
      </c>
    </row>
    <row r="501">
      <c r="A501" s="0" t="inlineStr">
        <is>
          <t>[풍산동]</t>
        </is>
      </c>
      <c r="B501" s="0" t="n">
        <v>114094</v>
      </c>
      <c r="C501" s="0" t="n">
        <v>2</v>
      </c>
      <c r="D501" s="0" t="inlineStr">
        <is>
          <t>하남힐즈파크푸르지오3단지</t>
        </is>
      </c>
      <c r="E501" s="0" t="inlineStr">
        <is>
          <t>2018.09.</t>
        </is>
      </c>
      <c r="F501" s="0" t="n">
        <v>358</v>
      </c>
      <c r="G501" s="0" t="n">
        <v>39.11</v>
      </c>
      <c r="H501" s="0" t="n">
        <v>129.29</v>
      </c>
      <c r="I501" s="0" t="n">
        <v>29.81</v>
      </c>
      <c r="J501" s="0" t="n">
        <v>98.56</v>
      </c>
      <c r="K501" s="0" t="n">
        <v>61</v>
      </c>
      <c r="T501" s="0" t="n">
        <v>4</v>
      </c>
      <c r="U501" s="0" t="n">
        <v>2</v>
      </c>
      <c r="V501" s="0" t="inlineStr">
        <is>
          <t>계단식</t>
        </is>
      </c>
      <c r="W501" s="0" t="inlineStr">
        <is>
          <t>129B</t>
        </is>
      </c>
      <c r="X501" s="0" t="n">
        <v>22</v>
      </c>
      <c r="Y501" s="0" t="n">
        <v>15</v>
      </c>
      <c r="Z501" s="0" t="inlineStr">
        <is>
          <t>https://new.land.naver.com/complexes/114094?tab=detail&amp;rf=Y</t>
        </is>
      </c>
      <c r="AA501" s="0" t="inlineStr">
        <is>
          <t>경기도 하남시 풍산동 627</t>
        </is>
      </c>
      <c r="AB501" s="0" t="inlineStr">
        <is>
          <t>경기도</t>
        </is>
      </c>
      <c r="AC501" s="0" t="inlineStr">
        <is>
          <t>하남시</t>
        </is>
      </c>
      <c r="AD501" s="0" t="inlineStr">
        <is>
          <t>풍산동</t>
        </is>
      </c>
      <c r="AG501" s="0" t="inlineStr">
        <is>
          <t>경기도 하남시 세미로1길 30</t>
        </is>
      </c>
      <c r="AH501" s="0" t="n">
        <v>0</v>
      </c>
      <c r="AI501" s="0" t="n">
        <v>198</v>
      </c>
      <c r="AJ501" s="0" t="n">
        <v>17</v>
      </c>
      <c r="AK501" s="0" t="n">
        <v>703</v>
      </c>
      <c r="AL501" s="0" t="n">
        <v>1.96</v>
      </c>
    </row>
    <row r="502">
      <c r="A502" s="0" t="inlineStr">
        <is>
          <t>[풍산동]</t>
        </is>
      </c>
      <c r="B502" s="0" t="n">
        <v>114094</v>
      </c>
      <c r="C502" s="0" t="n">
        <v>3</v>
      </c>
      <c r="D502" s="0" t="inlineStr">
        <is>
          <t>하남힐즈파크푸르지오3단지</t>
        </is>
      </c>
      <c r="E502" s="0" t="inlineStr">
        <is>
          <t>2018.09.</t>
        </is>
      </c>
      <c r="F502" s="0" t="n">
        <v>358</v>
      </c>
      <c r="G502" s="0" t="n">
        <v>56.73</v>
      </c>
      <c r="H502" s="0" t="n">
        <v>187.56</v>
      </c>
      <c r="I502" s="0" t="n">
        <v>42.92</v>
      </c>
      <c r="J502" s="0" t="n">
        <v>141.9</v>
      </c>
      <c r="K502" s="0" t="n">
        <v>3</v>
      </c>
      <c r="T502" s="0" t="n">
        <v>4</v>
      </c>
      <c r="U502" s="0" t="n">
        <v>3</v>
      </c>
      <c r="V502" s="0" t="inlineStr">
        <is>
          <t>계단식</t>
        </is>
      </c>
      <c r="W502" s="0" t="n">
        <v>187</v>
      </c>
      <c r="X502" s="0" t="n">
        <v>22</v>
      </c>
      <c r="Y502" s="0" t="n">
        <v>15</v>
      </c>
      <c r="Z502" s="0" t="inlineStr">
        <is>
          <t>https://new.land.naver.com/complexes/114094?tab=detail&amp;rf=Y</t>
        </is>
      </c>
      <c r="AA502" s="0" t="inlineStr">
        <is>
          <t>경기도 하남시 풍산동 627</t>
        </is>
      </c>
      <c r="AB502" s="0" t="inlineStr">
        <is>
          <t>경기도</t>
        </is>
      </c>
      <c r="AC502" s="0" t="inlineStr">
        <is>
          <t>하남시</t>
        </is>
      </c>
      <c r="AD502" s="0" t="inlineStr">
        <is>
          <t>풍산동</t>
        </is>
      </c>
      <c r="AG502" s="0" t="inlineStr">
        <is>
          <t>경기도 하남시 세미로1길 30</t>
        </is>
      </c>
      <c r="AH502" s="0" t="n">
        <v>0</v>
      </c>
      <c r="AI502" s="0" t="n">
        <v>198</v>
      </c>
      <c r="AJ502" s="0" t="n">
        <v>17</v>
      </c>
      <c r="AK502" s="0" t="n">
        <v>703</v>
      </c>
      <c r="AL502" s="0" t="n">
        <v>1.96</v>
      </c>
    </row>
    <row r="503">
      <c r="A503" s="0" t="inlineStr">
        <is>
          <t>[풍산동]</t>
        </is>
      </c>
      <c r="B503" s="0" t="n">
        <v>114092</v>
      </c>
      <c r="C503" s="0" t="n">
        <v>1</v>
      </c>
      <c r="D503" s="0" t="inlineStr">
        <is>
          <t>하남힐즈파크푸르지오2단지</t>
        </is>
      </c>
      <c r="E503" s="0" t="inlineStr">
        <is>
          <t>2018.09.</t>
        </is>
      </c>
      <c r="F503" s="0" t="n">
        <v>456</v>
      </c>
      <c r="G503" s="0" t="n">
        <v>24.4</v>
      </c>
      <c r="H503" s="0" t="n">
        <v>80.67</v>
      </c>
      <c r="I503" s="0" t="n">
        <v>18.06</v>
      </c>
      <c r="J503" s="0" t="n">
        <v>59.71</v>
      </c>
      <c r="K503" s="0" t="n">
        <v>133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80</v>
      </c>
      <c r="X503" s="0" t="n">
        <v>22</v>
      </c>
      <c r="Y503" s="0" t="n">
        <v>13</v>
      </c>
      <c r="Z503" s="0" t="inlineStr">
        <is>
          <t>https://new.land.naver.com/complexes/114092?tab=detail&amp;rf=Y</t>
        </is>
      </c>
      <c r="AA503" s="0" t="inlineStr">
        <is>
          <t>경기도 하남시 풍산동 626</t>
        </is>
      </c>
      <c r="AB503" s="0" t="inlineStr">
        <is>
          <t>경기도</t>
        </is>
      </c>
      <c r="AC503" s="0" t="inlineStr">
        <is>
          <t>하남시</t>
        </is>
      </c>
      <c r="AD503" s="0" t="inlineStr">
        <is>
          <t>풍산동</t>
        </is>
      </c>
      <c r="AG503" s="0" t="inlineStr">
        <is>
          <t>경기도 하남시 세미로1길 11</t>
        </is>
      </c>
      <c r="AH503" s="0" t="n">
        <v>0</v>
      </c>
      <c r="AI503" s="0" t="n">
        <v>199</v>
      </c>
      <c r="AJ503" s="0" t="n">
        <v>19</v>
      </c>
      <c r="AK503" s="0" t="n">
        <v>638</v>
      </c>
      <c r="AL503" s="0" t="n">
        <v>1.4</v>
      </c>
    </row>
    <row r="504">
      <c r="A504" s="0" t="inlineStr">
        <is>
          <t>[풍산동]</t>
        </is>
      </c>
      <c r="B504" s="0" t="n">
        <v>114092</v>
      </c>
      <c r="C504" s="0" t="n">
        <v>2</v>
      </c>
      <c r="D504" s="0" t="inlineStr">
        <is>
          <t>하남힐즈파크푸르지오2단지</t>
        </is>
      </c>
      <c r="E504" s="0" t="inlineStr">
        <is>
          <t>2018.09.</t>
        </is>
      </c>
      <c r="F504" s="0" t="n">
        <v>456</v>
      </c>
      <c r="G504" s="0" t="n">
        <v>33.99</v>
      </c>
      <c r="H504" s="0" t="n">
        <v>112.38</v>
      </c>
      <c r="I504" s="0" t="n">
        <v>25.65</v>
      </c>
      <c r="J504" s="0" t="n">
        <v>84.81999999999999</v>
      </c>
      <c r="K504" s="0" t="n">
        <v>215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112A</t>
        </is>
      </c>
      <c r="X504" s="0" t="n">
        <v>22</v>
      </c>
      <c r="Y504" s="0" t="n">
        <v>13</v>
      </c>
      <c r="Z504" s="0" t="inlineStr">
        <is>
          <t>https://new.land.naver.com/complexes/114092?tab=detail&amp;rf=Y</t>
        </is>
      </c>
      <c r="AA504" s="0" t="inlineStr">
        <is>
          <t>경기도 하남시 풍산동 626</t>
        </is>
      </c>
      <c r="AB504" s="0" t="inlineStr">
        <is>
          <t>경기도</t>
        </is>
      </c>
      <c r="AC504" s="0" t="inlineStr">
        <is>
          <t>하남시</t>
        </is>
      </c>
      <c r="AD504" s="0" t="inlineStr">
        <is>
          <t>풍산동</t>
        </is>
      </c>
      <c r="AG504" s="0" t="inlineStr">
        <is>
          <t>경기도 하남시 세미로1길 11</t>
        </is>
      </c>
      <c r="AH504" s="0" t="n">
        <v>0</v>
      </c>
      <c r="AI504" s="0" t="n">
        <v>199</v>
      </c>
      <c r="AJ504" s="0" t="n">
        <v>19</v>
      </c>
      <c r="AK504" s="0" t="n">
        <v>638</v>
      </c>
      <c r="AL504" s="0" t="n">
        <v>1.4</v>
      </c>
    </row>
    <row r="505">
      <c r="A505" s="0" t="inlineStr">
        <is>
          <t>[풍산동]</t>
        </is>
      </c>
      <c r="B505" s="0" t="n">
        <v>114092</v>
      </c>
      <c r="C505" s="0" t="n">
        <v>3</v>
      </c>
      <c r="D505" s="0" t="inlineStr">
        <is>
          <t>하남힐즈파크푸르지오2단지</t>
        </is>
      </c>
      <c r="E505" s="0" t="inlineStr">
        <is>
          <t>2018.09.</t>
        </is>
      </c>
      <c r="F505" s="0" t="n">
        <v>456</v>
      </c>
      <c r="G505" s="0" t="n">
        <v>34.35</v>
      </c>
      <c r="H505" s="0" t="n">
        <v>113.56</v>
      </c>
      <c r="I505" s="0" t="n">
        <v>25.44</v>
      </c>
      <c r="J505" s="0" t="n">
        <v>84.12</v>
      </c>
      <c r="K505" s="0" t="n">
        <v>108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113B</t>
        </is>
      </c>
      <c r="X505" s="0" t="n">
        <v>22</v>
      </c>
      <c r="Y505" s="0" t="n">
        <v>13</v>
      </c>
      <c r="Z505" s="0" t="inlineStr">
        <is>
          <t>https://new.land.naver.com/complexes/114092?tab=detail&amp;rf=Y</t>
        </is>
      </c>
      <c r="AA505" s="0" t="inlineStr">
        <is>
          <t>경기도 하남시 풍산동 626</t>
        </is>
      </c>
      <c r="AB505" s="0" t="inlineStr">
        <is>
          <t>경기도</t>
        </is>
      </c>
      <c r="AC505" s="0" t="inlineStr">
        <is>
          <t>하남시</t>
        </is>
      </c>
      <c r="AD505" s="0" t="inlineStr">
        <is>
          <t>풍산동</t>
        </is>
      </c>
      <c r="AG505" s="0" t="inlineStr">
        <is>
          <t>경기도 하남시 세미로1길 11</t>
        </is>
      </c>
      <c r="AH505" s="0" t="n">
        <v>0</v>
      </c>
      <c r="AI505" s="0" t="n">
        <v>199</v>
      </c>
      <c r="AJ505" s="0" t="n">
        <v>19</v>
      </c>
      <c r="AK505" s="0" t="n">
        <v>638</v>
      </c>
      <c r="AL505" s="0" t="n">
        <v>1.4</v>
      </c>
    </row>
    <row r="506">
      <c r="A506" s="0" t="inlineStr">
        <is>
          <t>[풍산동]</t>
        </is>
      </c>
      <c r="B506" s="0" t="n">
        <v>109215</v>
      </c>
      <c r="C506" s="0" t="n">
        <v>1</v>
      </c>
      <c r="D506" s="0" t="inlineStr">
        <is>
          <t>미사강변센트럴자이</t>
        </is>
      </c>
      <c r="E506" s="0" t="inlineStr">
        <is>
          <t>2017.02.</t>
        </is>
      </c>
      <c r="F506" s="0" t="n">
        <v>1222</v>
      </c>
      <c r="G506" s="0" t="n">
        <v>35.65</v>
      </c>
      <c r="H506" s="0" t="n">
        <v>117.87</v>
      </c>
      <c r="I506" s="0" t="n">
        <v>27.66</v>
      </c>
      <c r="J506" s="0" t="n">
        <v>91.44</v>
      </c>
      <c r="K506" s="0" t="n">
        <v>273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117</v>
      </c>
      <c r="X506" s="0" t="n">
        <v>29</v>
      </c>
      <c r="Y506" s="0" t="n">
        <v>23</v>
      </c>
      <c r="Z506" s="0" t="inlineStr">
        <is>
          <t>https://new.land.naver.com/complexes/109215?tab=detail&amp;rf=Y</t>
        </is>
      </c>
      <c r="AA506" s="0" t="inlineStr">
        <is>
          <t>경기도 하남시 풍산동 480</t>
        </is>
      </c>
      <c r="AB506" s="0" t="inlineStr">
        <is>
          <t>경기도</t>
        </is>
      </c>
      <c r="AC506" s="0" t="inlineStr">
        <is>
          <t>하남시</t>
        </is>
      </c>
      <c r="AD506" s="0" t="inlineStr">
        <is>
          <t>풍산동</t>
        </is>
      </c>
      <c r="AG506" s="0" t="inlineStr">
        <is>
          <t>경기도 하남시 미사강변대로 95</t>
        </is>
      </c>
      <c r="AH506" s="0" t="n">
        <v>0</v>
      </c>
      <c r="AI506" s="0" t="n">
        <v>209</v>
      </c>
      <c r="AJ506" s="0" t="n">
        <v>13</v>
      </c>
      <c r="AK506" s="0" t="n">
        <v>2053</v>
      </c>
      <c r="AL506" s="0" t="n">
        <v>1.68</v>
      </c>
    </row>
    <row r="507">
      <c r="A507" s="0" t="inlineStr">
        <is>
          <t>[풍산동]</t>
        </is>
      </c>
      <c r="B507" s="0" t="n">
        <v>109215</v>
      </c>
      <c r="C507" s="0" t="n">
        <v>2</v>
      </c>
      <c r="D507" s="0" t="inlineStr">
        <is>
          <t>미사강변센트럴자이</t>
        </is>
      </c>
      <c r="E507" s="0" t="inlineStr">
        <is>
          <t>2017.02.</t>
        </is>
      </c>
      <c r="F507" s="0" t="n">
        <v>1222</v>
      </c>
      <c r="G507" s="0" t="n">
        <v>37.36</v>
      </c>
      <c r="H507" s="0" t="n">
        <v>123.52</v>
      </c>
      <c r="I507" s="0" t="n">
        <v>29.33</v>
      </c>
      <c r="J507" s="0" t="n">
        <v>96.98</v>
      </c>
      <c r="K507" s="0" t="n">
        <v>380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123A</t>
        </is>
      </c>
      <c r="X507" s="0" t="n">
        <v>29</v>
      </c>
      <c r="Y507" s="0" t="n">
        <v>23</v>
      </c>
      <c r="Z507" s="0" t="inlineStr">
        <is>
          <t>https://new.land.naver.com/complexes/109215?tab=detail&amp;rf=Y</t>
        </is>
      </c>
      <c r="AA507" s="0" t="inlineStr">
        <is>
          <t>경기도 하남시 풍산동 480</t>
        </is>
      </c>
      <c r="AB507" s="0" t="inlineStr">
        <is>
          <t>경기도</t>
        </is>
      </c>
      <c r="AC507" s="0" t="inlineStr">
        <is>
          <t>하남시</t>
        </is>
      </c>
      <c r="AD507" s="0" t="inlineStr">
        <is>
          <t>풍산동</t>
        </is>
      </c>
      <c r="AG507" s="0" t="inlineStr">
        <is>
          <t>경기도 하남시 미사강변대로 95</t>
        </is>
      </c>
      <c r="AH507" s="0" t="n">
        <v>0</v>
      </c>
      <c r="AI507" s="0" t="n">
        <v>209</v>
      </c>
      <c r="AJ507" s="0" t="n">
        <v>13</v>
      </c>
      <c r="AK507" s="0" t="n">
        <v>2053</v>
      </c>
      <c r="AL507" s="0" t="n">
        <v>1.68</v>
      </c>
    </row>
    <row r="508">
      <c r="A508" s="0" t="inlineStr">
        <is>
          <t>[풍산동]</t>
        </is>
      </c>
      <c r="B508" s="0" t="n">
        <v>109215</v>
      </c>
      <c r="C508" s="0" t="n">
        <v>3</v>
      </c>
      <c r="D508" s="0" t="inlineStr">
        <is>
          <t>미사강변센트럴자이</t>
        </is>
      </c>
      <c r="E508" s="0" t="inlineStr">
        <is>
          <t>2017.02.</t>
        </is>
      </c>
      <c r="F508" s="0" t="n">
        <v>1222</v>
      </c>
      <c r="G508" s="0" t="n">
        <v>37.31</v>
      </c>
      <c r="H508" s="0" t="n">
        <v>123.37</v>
      </c>
      <c r="I508" s="0" t="n">
        <v>29.15</v>
      </c>
      <c r="J508" s="0" t="n">
        <v>96.38</v>
      </c>
      <c r="K508" s="0" t="n">
        <v>279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123C</t>
        </is>
      </c>
      <c r="X508" s="0" t="n">
        <v>29</v>
      </c>
      <c r="Y508" s="0" t="n">
        <v>23</v>
      </c>
      <c r="Z508" s="0" t="inlineStr">
        <is>
          <t>https://new.land.naver.com/complexes/109215?tab=detail&amp;rf=Y</t>
        </is>
      </c>
      <c r="AA508" s="0" t="inlineStr">
        <is>
          <t>경기도 하남시 풍산동 480</t>
        </is>
      </c>
      <c r="AB508" s="0" t="inlineStr">
        <is>
          <t>경기도</t>
        </is>
      </c>
      <c r="AC508" s="0" t="inlineStr">
        <is>
          <t>하남시</t>
        </is>
      </c>
      <c r="AD508" s="0" t="inlineStr">
        <is>
          <t>풍산동</t>
        </is>
      </c>
      <c r="AG508" s="0" t="inlineStr">
        <is>
          <t>경기도 하남시 미사강변대로 95</t>
        </is>
      </c>
      <c r="AH508" s="0" t="n">
        <v>0</v>
      </c>
      <c r="AI508" s="0" t="n">
        <v>209</v>
      </c>
      <c r="AJ508" s="0" t="n">
        <v>13</v>
      </c>
      <c r="AK508" s="0" t="n">
        <v>2053</v>
      </c>
      <c r="AL508" s="0" t="n">
        <v>1.68</v>
      </c>
    </row>
    <row r="509">
      <c r="A509" s="0" t="inlineStr">
        <is>
          <t>[풍산동]</t>
        </is>
      </c>
      <c r="B509" s="0" t="n">
        <v>109215</v>
      </c>
      <c r="C509" s="0" t="n">
        <v>4</v>
      </c>
      <c r="D509" s="0" t="inlineStr">
        <is>
          <t>미사강변센트럴자이</t>
        </is>
      </c>
      <c r="E509" s="0" t="inlineStr">
        <is>
          <t>2017.02.</t>
        </is>
      </c>
      <c r="F509" s="0" t="n">
        <v>1222</v>
      </c>
      <c r="G509" s="0" t="n">
        <v>37.4</v>
      </c>
      <c r="H509" s="0" t="n">
        <v>123.64</v>
      </c>
      <c r="I509" s="0" t="n">
        <v>29.26</v>
      </c>
      <c r="J509" s="0" t="n">
        <v>96.75</v>
      </c>
      <c r="K509" s="0" t="n">
        <v>139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123B</t>
        </is>
      </c>
      <c r="X509" s="0" t="n">
        <v>29</v>
      </c>
      <c r="Y509" s="0" t="n">
        <v>23</v>
      </c>
      <c r="Z509" s="0" t="inlineStr">
        <is>
          <t>https://new.land.naver.com/complexes/109215?tab=detail&amp;rf=Y</t>
        </is>
      </c>
      <c r="AA509" s="0" t="inlineStr">
        <is>
          <t>경기도 하남시 풍산동 480</t>
        </is>
      </c>
      <c r="AB509" s="0" t="inlineStr">
        <is>
          <t>경기도</t>
        </is>
      </c>
      <c r="AC509" s="0" t="inlineStr">
        <is>
          <t>하남시</t>
        </is>
      </c>
      <c r="AD509" s="0" t="inlineStr">
        <is>
          <t>풍산동</t>
        </is>
      </c>
      <c r="AG509" s="0" t="inlineStr">
        <is>
          <t>경기도 하남시 미사강변대로 95</t>
        </is>
      </c>
      <c r="AH509" s="0" t="n">
        <v>0</v>
      </c>
      <c r="AI509" s="0" t="n">
        <v>209</v>
      </c>
      <c r="AJ509" s="0" t="n">
        <v>13</v>
      </c>
      <c r="AK509" s="0" t="n">
        <v>2053</v>
      </c>
      <c r="AL509" s="0" t="n">
        <v>1.68</v>
      </c>
    </row>
    <row r="510">
      <c r="A510" s="0" t="inlineStr">
        <is>
          <t>[풍산동]</t>
        </is>
      </c>
      <c r="B510" s="0" t="n">
        <v>109215</v>
      </c>
      <c r="C510" s="0" t="n">
        <v>5</v>
      </c>
      <c r="D510" s="0" t="inlineStr">
        <is>
          <t>미사강변센트럴자이</t>
        </is>
      </c>
      <c r="E510" s="0" t="inlineStr">
        <is>
          <t>2017.02.</t>
        </is>
      </c>
      <c r="F510" s="0" t="n">
        <v>1222</v>
      </c>
      <c r="G510" s="0" t="n">
        <v>39.34</v>
      </c>
      <c r="H510" s="0" t="n">
        <v>130.08</v>
      </c>
      <c r="I510" s="0" t="n">
        <v>30.79</v>
      </c>
      <c r="J510" s="0" t="n">
        <v>101.79</v>
      </c>
      <c r="K510" s="0" t="n">
        <v>135</v>
      </c>
      <c r="T510" s="0" t="n">
        <v>5</v>
      </c>
      <c r="U510" s="0" t="n">
        <v>2</v>
      </c>
      <c r="V510" s="0" t="inlineStr">
        <is>
          <t>계단식</t>
        </is>
      </c>
      <c r="W510" s="0" t="n">
        <v>130</v>
      </c>
      <c r="X510" s="0" t="n">
        <v>29</v>
      </c>
      <c r="Y510" s="0" t="n">
        <v>23</v>
      </c>
      <c r="Z510" s="0" t="inlineStr">
        <is>
          <t>https://new.land.naver.com/complexes/109215?tab=detail&amp;rf=Y</t>
        </is>
      </c>
      <c r="AA510" s="0" t="inlineStr">
        <is>
          <t>경기도 하남시 풍산동 480</t>
        </is>
      </c>
      <c r="AB510" s="0" t="inlineStr">
        <is>
          <t>경기도</t>
        </is>
      </c>
      <c r="AC510" s="0" t="inlineStr">
        <is>
          <t>하남시</t>
        </is>
      </c>
      <c r="AD510" s="0" t="inlineStr">
        <is>
          <t>풍산동</t>
        </is>
      </c>
      <c r="AG510" s="0" t="inlineStr">
        <is>
          <t>경기도 하남시 미사강변대로 95</t>
        </is>
      </c>
      <c r="AH510" s="0" t="n">
        <v>0</v>
      </c>
      <c r="AI510" s="0" t="n">
        <v>209</v>
      </c>
      <c r="AJ510" s="0" t="n">
        <v>13</v>
      </c>
      <c r="AK510" s="0" t="n">
        <v>2053</v>
      </c>
      <c r="AL510" s="0" t="n">
        <v>1.68</v>
      </c>
    </row>
    <row r="511">
      <c r="A511" s="0" t="inlineStr">
        <is>
          <t>[풍산동]</t>
        </is>
      </c>
      <c r="B511" s="0" t="n">
        <v>109215</v>
      </c>
      <c r="C511" s="0" t="n">
        <v>6</v>
      </c>
      <c r="D511" s="0" t="inlineStr">
        <is>
          <t>미사강변센트럴자이</t>
        </is>
      </c>
      <c r="E511" s="0" t="inlineStr">
        <is>
          <t>2017.02.</t>
        </is>
      </c>
      <c r="F511" s="0" t="n">
        <v>1222</v>
      </c>
      <c r="G511" s="0" t="n">
        <v>51.96</v>
      </c>
      <c r="H511" s="0" t="n">
        <v>171.78</v>
      </c>
      <c r="I511" s="0" t="n">
        <v>40.21</v>
      </c>
      <c r="J511" s="0" t="n">
        <v>132.94</v>
      </c>
      <c r="K511" s="0" t="n">
        <v>10</v>
      </c>
      <c r="T511" s="0" t="n">
        <v>5</v>
      </c>
      <c r="U511" s="0" t="n">
        <v>3</v>
      </c>
      <c r="V511" s="0" t="inlineStr">
        <is>
          <t>계단식</t>
        </is>
      </c>
      <c r="W511" s="0" t="inlineStr">
        <is>
          <t>171A</t>
        </is>
      </c>
      <c r="X511" s="0" t="n">
        <v>29</v>
      </c>
      <c r="Y511" s="0" t="n">
        <v>23</v>
      </c>
      <c r="Z511" s="0" t="inlineStr">
        <is>
          <t>https://new.land.naver.com/complexes/109215?tab=detail&amp;rf=Y</t>
        </is>
      </c>
      <c r="AA511" s="0" t="inlineStr">
        <is>
          <t>경기도 하남시 풍산동 480</t>
        </is>
      </c>
      <c r="AB511" s="0" t="inlineStr">
        <is>
          <t>경기도</t>
        </is>
      </c>
      <c r="AC511" s="0" t="inlineStr">
        <is>
          <t>하남시</t>
        </is>
      </c>
      <c r="AD511" s="0" t="inlineStr">
        <is>
          <t>풍산동</t>
        </is>
      </c>
      <c r="AG511" s="0" t="inlineStr">
        <is>
          <t>경기도 하남시 미사강변대로 95</t>
        </is>
      </c>
      <c r="AH511" s="0" t="n">
        <v>0</v>
      </c>
      <c r="AI511" s="0" t="n">
        <v>209</v>
      </c>
      <c r="AJ511" s="0" t="n">
        <v>13</v>
      </c>
      <c r="AK511" s="0" t="n">
        <v>2053</v>
      </c>
      <c r="AL511" s="0" t="n">
        <v>1.68</v>
      </c>
    </row>
    <row r="512">
      <c r="A512" s="0" t="inlineStr">
        <is>
          <t>[풍산동]</t>
        </is>
      </c>
      <c r="B512" s="0" t="n">
        <v>109215</v>
      </c>
      <c r="C512" s="0" t="n">
        <v>7</v>
      </c>
      <c r="D512" s="0" t="inlineStr">
        <is>
          <t>미사강변센트럴자이</t>
        </is>
      </c>
      <c r="E512" s="0" t="inlineStr">
        <is>
          <t>2017.02.</t>
        </is>
      </c>
      <c r="F512" s="0" t="n">
        <v>1222</v>
      </c>
      <c r="G512" s="0" t="n">
        <v>51.73</v>
      </c>
      <c r="H512" s="0" t="n">
        <v>171.03</v>
      </c>
      <c r="I512" s="0" t="n">
        <v>40</v>
      </c>
      <c r="J512" s="0" t="n">
        <v>132.26</v>
      </c>
      <c r="K512" s="0" t="n">
        <v>4</v>
      </c>
      <c r="T512" s="0" t="n">
        <v>5</v>
      </c>
      <c r="U512" s="0" t="n">
        <v>3</v>
      </c>
      <c r="V512" s="0" t="inlineStr">
        <is>
          <t>계단식</t>
        </is>
      </c>
      <c r="W512" s="0" t="inlineStr">
        <is>
          <t>171C</t>
        </is>
      </c>
      <c r="X512" s="0" t="n">
        <v>29</v>
      </c>
      <c r="Y512" s="0" t="n">
        <v>23</v>
      </c>
      <c r="Z512" s="0" t="inlineStr">
        <is>
          <t>https://new.land.naver.com/complexes/109215?tab=detail&amp;rf=Y</t>
        </is>
      </c>
      <c r="AA512" s="0" t="inlineStr">
        <is>
          <t>경기도 하남시 풍산동 480</t>
        </is>
      </c>
      <c r="AB512" s="0" t="inlineStr">
        <is>
          <t>경기도</t>
        </is>
      </c>
      <c r="AC512" s="0" t="inlineStr">
        <is>
          <t>하남시</t>
        </is>
      </c>
      <c r="AD512" s="0" t="inlineStr">
        <is>
          <t>풍산동</t>
        </is>
      </c>
      <c r="AG512" s="0" t="inlineStr">
        <is>
          <t>경기도 하남시 미사강변대로 95</t>
        </is>
      </c>
      <c r="AH512" s="0" t="n">
        <v>0</v>
      </c>
      <c r="AI512" s="0" t="n">
        <v>209</v>
      </c>
      <c r="AJ512" s="0" t="n">
        <v>13</v>
      </c>
      <c r="AK512" s="0" t="n">
        <v>2053</v>
      </c>
      <c r="AL512" s="0" t="n">
        <v>1.68</v>
      </c>
    </row>
    <row r="513">
      <c r="A513" s="0" t="inlineStr">
        <is>
          <t>[풍산동]</t>
        </is>
      </c>
      <c r="B513" s="0" t="n">
        <v>109215</v>
      </c>
      <c r="C513" s="0" t="n">
        <v>8</v>
      </c>
      <c r="D513" s="0" t="inlineStr">
        <is>
          <t>미사강변센트럴자이</t>
        </is>
      </c>
      <c r="E513" s="0" t="inlineStr">
        <is>
          <t>2017.02.</t>
        </is>
      </c>
      <c r="F513" s="0" t="n">
        <v>1222</v>
      </c>
      <c r="G513" s="0" t="n">
        <v>51.96</v>
      </c>
      <c r="H513" s="0" t="n">
        <v>171.77</v>
      </c>
      <c r="I513" s="0" t="n">
        <v>40.15</v>
      </c>
      <c r="J513" s="0" t="n">
        <v>132.76</v>
      </c>
      <c r="K513" s="0" t="n">
        <v>2</v>
      </c>
      <c r="T513" s="0" t="n">
        <v>5</v>
      </c>
      <c r="U513" s="0" t="n">
        <v>3</v>
      </c>
      <c r="V513" s="0" t="inlineStr">
        <is>
          <t>계단식</t>
        </is>
      </c>
      <c r="W513" s="0" t="inlineStr">
        <is>
          <t>171B</t>
        </is>
      </c>
      <c r="X513" s="0" t="n">
        <v>29</v>
      </c>
      <c r="Y513" s="0" t="n">
        <v>23</v>
      </c>
      <c r="Z513" s="0" t="inlineStr">
        <is>
          <t>https://new.land.naver.com/complexes/109215?tab=detail&amp;rf=Y</t>
        </is>
      </c>
      <c r="AA513" s="0" t="inlineStr">
        <is>
          <t>경기도 하남시 풍산동 480</t>
        </is>
      </c>
      <c r="AB513" s="0" t="inlineStr">
        <is>
          <t>경기도</t>
        </is>
      </c>
      <c r="AC513" s="0" t="inlineStr">
        <is>
          <t>하남시</t>
        </is>
      </c>
      <c r="AD513" s="0" t="inlineStr">
        <is>
          <t>풍산동</t>
        </is>
      </c>
      <c r="AG513" s="0" t="inlineStr">
        <is>
          <t>경기도 하남시 미사강변대로 95</t>
        </is>
      </c>
      <c r="AH513" s="0" t="n">
        <v>0</v>
      </c>
      <c r="AI513" s="0" t="n">
        <v>209</v>
      </c>
      <c r="AJ513" s="0" t="n">
        <v>13</v>
      </c>
      <c r="AK513" s="0" t="n">
        <v>2053</v>
      </c>
      <c r="AL513" s="0" t="n">
        <v>1.68</v>
      </c>
    </row>
    <row r="514">
      <c r="A514" s="0" t="inlineStr">
        <is>
          <t>[학암동]</t>
        </is>
      </c>
      <c r="B514" s="0" t="n">
        <v>124942</v>
      </c>
      <c r="C514" s="0" t="n">
        <v>1</v>
      </c>
      <c r="D514" s="0" t="inlineStr">
        <is>
          <t>위례포레자이</t>
        </is>
      </c>
      <c r="E514" s="0" t="inlineStr">
        <is>
          <t>2021.04.</t>
        </is>
      </c>
      <c r="F514" s="0" t="n">
        <v>558</v>
      </c>
      <c r="G514" s="0" t="n">
        <v>36.2</v>
      </c>
      <c r="H514" s="0" t="n">
        <v>119.68</v>
      </c>
      <c r="I514" s="0" t="n">
        <v>29.02</v>
      </c>
      <c r="J514" s="0" t="n">
        <v>95.95999999999999</v>
      </c>
      <c r="K514" s="0" t="n">
        <v>78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119A</t>
        </is>
      </c>
      <c r="X514" s="0" t="n">
        <v>23</v>
      </c>
      <c r="Y514" s="0" t="n">
        <v>12</v>
      </c>
      <c r="Z514" s="0" t="inlineStr">
        <is>
          <t>https://new.land.naver.com/complexes/124942?tab=detail&amp;rf=Y</t>
        </is>
      </c>
      <c r="AA514" s="0" t="inlineStr">
        <is>
          <t>경기도 하남시 학암동 635</t>
        </is>
      </c>
      <c r="AB514" s="0" t="inlineStr">
        <is>
          <t>경기도</t>
        </is>
      </c>
      <c r="AC514" s="0" t="inlineStr">
        <is>
          <t>하남시</t>
        </is>
      </c>
      <c r="AD514" s="0" t="inlineStr">
        <is>
          <t>학암동</t>
        </is>
      </c>
      <c r="AG514" s="0" t="inlineStr">
        <is>
          <t>경기도 하남시 위례대로6길 95</t>
        </is>
      </c>
      <c r="AH514" s="0" t="n">
        <v>0</v>
      </c>
      <c r="AI514" s="0" t="n">
        <v>199</v>
      </c>
      <c r="AJ514" s="0" t="n">
        <v>17</v>
      </c>
      <c r="AK514" s="0" t="n">
        <v>1037</v>
      </c>
      <c r="AL514" s="0" t="n">
        <v>1.86</v>
      </c>
    </row>
    <row r="515">
      <c r="A515" s="0" t="inlineStr">
        <is>
          <t>[학암동]</t>
        </is>
      </c>
      <c r="B515" s="0" t="n">
        <v>124942</v>
      </c>
      <c r="C515" s="0" t="n">
        <v>2</v>
      </c>
      <c r="D515" s="0" t="inlineStr">
        <is>
          <t>위례포레자이</t>
        </is>
      </c>
      <c r="E515" s="0" t="inlineStr">
        <is>
          <t>2021.04.</t>
        </is>
      </c>
      <c r="F515" s="0" t="n">
        <v>558</v>
      </c>
      <c r="G515" s="0" t="n">
        <v>36.37</v>
      </c>
      <c r="H515" s="0" t="n">
        <v>120.26</v>
      </c>
      <c r="I515" s="0" t="n">
        <v>29</v>
      </c>
      <c r="J515" s="0" t="n">
        <v>95.87</v>
      </c>
      <c r="K515" s="0" t="n">
        <v>43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120B</t>
        </is>
      </c>
      <c r="X515" s="0" t="n">
        <v>23</v>
      </c>
      <c r="Y515" s="0" t="n">
        <v>12</v>
      </c>
      <c r="Z515" s="0" t="inlineStr">
        <is>
          <t>https://new.land.naver.com/complexes/124942?tab=detail&amp;rf=Y</t>
        </is>
      </c>
      <c r="AA515" s="0" t="inlineStr">
        <is>
          <t>경기도 하남시 학암동 635</t>
        </is>
      </c>
      <c r="AB515" s="0" t="inlineStr">
        <is>
          <t>경기도</t>
        </is>
      </c>
      <c r="AC515" s="0" t="inlineStr">
        <is>
          <t>하남시</t>
        </is>
      </c>
      <c r="AD515" s="0" t="inlineStr">
        <is>
          <t>학암동</t>
        </is>
      </c>
      <c r="AG515" s="0" t="inlineStr">
        <is>
          <t>경기도 하남시 위례대로6길 95</t>
        </is>
      </c>
      <c r="AH515" s="0" t="n">
        <v>0</v>
      </c>
      <c r="AI515" s="0" t="n">
        <v>199</v>
      </c>
      <c r="AJ515" s="0" t="n">
        <v>17</v>
      </c>
      <c r="AK515" s="0" t="n">
        <v>1037</v>
      </c>
      <c r="AL515" s="0" t="n">
        <v>1.86</v>
      </c>
    </row>
    <row r="516">
      <c r="A516" s="0" t="inlineStr">
        <is>
          <t>[학암동]</t>
        </is>
      </c>
      <c r="B516" s="0" t="n">
        <v>124942</v>
      </c>
      <c r="C516" s="0" t="n">
        <v>3</v>
      </c>
      <c r="D516" s="0" t="inlineStr">
        <is>
          <t>위례포레자이</t>
        </is>
      </c>
      <c r="E516" s="0" t="inlineStr">
        <is>
          <t>2021.04.</t>
        </is>
      </c>
      <c r="F516" s="0" t="n">
        <v>558</v>
      </c>
      <c r="G516" s="0" t="n">
        <v>38.39</v>
      </c>
      <c r="H516" s="0" t="n">
        <v>126.92</v>
      </c>
      <c r="I516" s="0" t="n">
        <v>30.79</v>
      </c>
      <c r="J516" s="0" t="n">
        <v>101.81</v>
      </c>
      <c r="K516" s="0" t="n">
        <v>239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126A</t>
        </is>
      </c>
      <c r="X516" s="0" t="n">
        <v>23</v>
      </c>
      <c r="Y516" s="0" t="n">
        <v>12</v>
      </c>
      <c r="Z516" s="0" t="inlineStr">
        <is>
          <t>https://new.land.naver.com/complexes/124942?tab=detail&amp;rf=Y</t>
        </is>
      </c>
      <c r="AA516" s="0" t="inlineStr">
        <is>
          <t>경기도 하남시 학암동 635</t>
        </is>
      </c>
      <c r="AB516" s="0" t="inlineStr">
        <is>
          <t>경기도</t>
        </is>
      </c>
      <c r="AC516" s="0" t="inlineStr">
        <is>
          <t>하남시</t>
        </is>
      </c>
      <c r="AD516" s="0" t="inlineStr">
        <is>
          <t>학암동</t>
        </is>
      </c>
      <c r="AG516" s="0" t="inlineStr">
        <is>
          <t>경기도 하남시 위례대로6길 95</t>
        </is>
      </c>
      <c r="AH516" s="0" t="n">
        <v>0</v>
      </c>
      <c r="AI516" s="0" t="n">
        <v>199</v>
      </c>
      <c r="AJ516" s="0" t="n">
        <v>17</v>
      </c>
      <c r="AK516" s="0" t="n">
        <v>1037</v>
      </c>
      <c r="AL516" s="0" t="n">
        <v>1.86</v>
      </c>
    </row>
    <row r="517">
      <c r="A517" s="0" t="inlineStr">
        <is>
          <t>[학암동]</t>
        </is>
      </c>
      <c r="B517" s="0" t="n">
        <v>124942</v>
      </c>
      <c r="C517" s="0" t="n">
        <v>4</v>
      </c>
      <c r="D517" s="0" t="inlineStr">
        <is>
          <t>위례포레자이</t>
        </is>
      </c>
      <c r="E517" s="0" t="inlineStr">
        <is>
          <t>2021.04.</t>
        </is>
      </c>
      <c r="F517" s="0" t="n">
        <v>558</v>
      </c>
      <c r="G517" s="0" t="n">
        <v>38.21</v>
      </c>
      <c r="H517" s="0" t="n">
        <v>126.33</v>
      </c>
      <c r="I517" s="0" t="n">
        <v>30.71</v>
      </c>
      <c r="J517" s="0" t="n">
        <v>101.54</v>
      </c>
      <c r="K517" s="0" t="n">
        <v>163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126B</t>
        </is>
      </c>
      <c r="X517" s="0" t="n">
        <v>23</v>
      </c>
      <c r="Y517" s="0" t="n">
        <v>12</v>
      </c>
      <c r="Z517" s="0" t="inlineStr">
        <is>
          <t>https://new.land.naver.com/complexes/124942?tab=detail&amp;rf=Y</t>
        </is>
      </c>
      <c r="AA517" s="0" t="inlineStr">
        <is>
          <t>경기도 하남시 학암동 635</t>
        </is>
      </c>
      <c r="AB517" s="0" t="inlineStr">
        <is>
          <t>경기도</t>
        </is>
      </c>
      <c r="AC517" s="0" t="inlineStr">
        <is>
          <t>하남시</t>
        </is>
      </c>
      <c r="AD517" s="0" t="inlineStr">
        <is>
          <t>학암동</t>
        </is>
      </c>
      <c r="AG517" s="0" t="inlineStr">
        <is>
          <t>경기도 하남시 위례대로6길 95</t>
        </is>
      </c>
      <c r="AH517" s="0" t="n">
        <v>0</v>
      </c>
      <c r="AI517" s="0" t="n">
        <v>199</v>
      </c>
      <c r="AJ517" s="0" t="n">
        <v>17</v>
      </c>
      <c r="AK517" s="0" t="n">
        <v>1037</v>
      </c>
      <c r="AL517" s="0" t="n">
        <v>1.86</v>
      </c>
    </row>
    <row r="518">
      <c r="A518" s="0" t="inlineStr">
        <is>
          <t>[학암동]</t>
        </is>
      </c>
      <c r="B518" s="0" t="n">
        <v>124942</v>
      </c>
      <c r="C518" s="0" t="n">
        <v>5</v>
      </c>
      <c r="D518" s="0" t="inlineStr">
        <is>
          <t>위례포레자이</t>
        </is>
      </c>
      <c r="E518" s="0" t="inlineStr">
        <is>
          <t>2021.04.</t>
        </is>
      </c>
      <c r="F518" s="0" t="n">
        <v>558</v>
      </c>
      <c r="G518" s="0" t="n">
        <v>41.37</v>
      </c>
      <c r="H518" s="0" t="n">
        <v>136.79</v>
      </c>
      <c r="I518" s="0" t="n">
        <v>32.91</v>
      </c>
      <c r="J518" s="0" t="n">
        <v>108.81</v>
      </c>
      <c r="K518" s="0" t="n">
        <v>3</v>
      </c>
      <c r="T518" s="0" t="n">
        <v>4</v>
      </c>
      <c r="U518" s="0" t="n">
        <v>2</v>
      </c>
      <c r="V518" s="0" t="inlineStr">
        <is>
          <t>계단식</t>
        </is>
      </c>
      <c r="W518" s="0" t="inlineStr">
        <is>
          <t>136T</t>
        </is>
      </c>
      <c r="X518" s="0" t="n">
        <v>23</v>
      </c>
      <c r="Y518" s="0" t="n">
        <v>12</v>
      </c>
      <c r="Z518" s="0" t="inlineStr">
        <is>
          <t>https://new.land.naver.com/complexes/124942?tab=detail&amp;rf=Y</t>
        </is>
      </c>
      <c r="AA518" s="0" t="inlineStr">
        <is>
          <t>경기도 하남시 학암동 635</t>
        </is>
      </c>
      <c r="AB518" s="0" t="inlineStr">
        <is>
          <t>경기도</t>
        </is>
      </c>
      <c r="AC518" s="0" t="inlineStr">
        <is>
          <t>하남시</t>
        </is>
      </c>
      <c r="AD518" s="0" t="inlineStr">
        <is>
          <t>학암동</t>
        </is>
      </c>
      <c r="AG518" s="0" t="inlineStr">
        <is>
          <t>경기도 하남시 위례대로6길 95</t>
        </is>
      </c>
      <c r="AH518" s="0" t="n">
        <v>0</v>
      </c>
      <c r="AI518" s="0" t="n">
        <v>199</v>
      </c>
      <c r="AJ518" s="0" t="n">
        <v>17</v>
      </c>
      <c r="AK518" s="0" t="n">
        <v>1037</v>
      </c>
      <c r="AL518" s="0" t="n">
        <v>1.86</v>
      </c>
    </row>
    <row r="519">
      <c r="A519" s="0" t="inlineStr">
        <is>
          <t>[학암동]</t>
        </is>
      </c>
      <c r="B519" s="0" t="n">
        <v>124942</v>
      </c>
      <c r="C519" s="0" t="n">
        <v>6</v>
      </c>
      <c r="D519" s="0" t="inlineStr">
        <is>
          <t>위례포레자이</t>
        </is>
      </c>
      <c r="E519" s="0" t="inlineStr">
        <is>
          <t>2021.04.</t>
        </is>
      </c>
      <c r="F519" s="0" t="n">
        <v>558</v>
      </c>
      <c r="G519" s="0" t="n">
        <v>49.37</v>
      </c>
      <c r="H519" s="0" t="n">
        <v>163.21</v>
      </c>
      <c r="I519" s="0" t="n">
        <v>39.89</v>
      </c>
      <c r="J519" s="0" t="n">
        <v>131.88</v>
      </c>
      <c r="K519" s="0" t="n">
        <v>32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163</v>
      </c>
      <c r="X519" s="0" t="n">
        <v>23</v>
      </c>
      <c r="Y519" s="0" t="n">
        <v>12</v>
      </c>
      <c r="Z519" s="0" t="inlineStr">
        <is>
          <t>https://new.land.naver.com/complexes/124942?tab=detail&amp;rf=Y</t>
        </is>
      </c>
      <c r="AA519" s="0" t="inlineStr">
        <is>
          <t>경기도 하남시 학암동 635</t>
        </is>
      </c>
      <c r="AB519" s="0" t="inlineStr">
        <is>
          <t>경기도</t>
        </is>
      </c>
      <c r="AC519" s="0" t="inlineStr">
        <is>
          <t>하남시</t>
        </is>
      </c>
      <c r="AD519" s="0" t="inlineStr">
        <is>
          <t>학암동</t>
        </is>
      </c>
      <c r="AG519" s="0" t="inlineStr">
        <is>
          <t>경기도 하남시 위례대로6길 95</t>
        </is>
      </c>
      <c r="AH519" s="0" t="n">
        <v>0</v>
      </c>
      <c r="AI519" s="0" t="n">
        <v>199</v>
      </c>
      <c r="AJ519" s="0" t="n">
        <v>17</v>
      </c>
      <c r="AK519" s="0" t="n">
        <v>1037</v>
      </c>
      <c r="AL519" s="0" t="n">
        <v>1.86</v>
      </c>
    </row>
    <row r="520">
      <c r="A520" s="0" t="inlineStr">
        <is>
          <t>[학암동]</t>
        </is>
      </c>
      <c r="B520" s="0" t="n">
        <v>137253</v>
      </c>
      <c r="C520" s="0" t="n">
        <v>1</v>
      </c>
      <c r="D520" s="0" t="inlineStr">
        <is>
          <t>위례A3-3a블럭</t>
        </is>
      </c>
      <c r="E520" s="0" t="inlineStr">
        <is>
          <t>2023.06.</t>
        </is>
      </c>
      <c r="F520" s="0" t="n">
        <v>411</v>
      </c>
      <c r="G520" s="0" t="n">
        <v>21.71</v>
      </c>
      <c r="H520" s="0" t="n">
        <v>71.77</v>
      </c>
      <c r="I520" s="0" t="n">
        <v>15.72</v>
      </c>
      <c r="J520" s="0" t="n">
        <v>51.98</v>
      </c>
      <c r="K520" s="0" t="n">
        <v>107</v>
      </c>
      <c r="T520" s="0" t="n">
        <v>2</v>
      </c>
      <c r="U520" s="0" t="n">
        <v>2</v>
      </c>
      <c r="V520" s="0" t="inlineStr">
        <is>
          <t>계단식</t>
        </is>
      </c>
      <c r="W520" s="0" t="n">
        <v>71</v>
      </c>
      <c r="X520" s="0" t="n">
        <v>25</v>
      </c>
      <c r="Y520" s="0" t="n">
        <v>14</v>
      </c>
      <c r="Z520" s="0" t="inlineStr">
        <is>
          <t>https://new.land.naver.com/complexes/137253?tab=detail&amp;rf=Y</t>
        </is>
      </c>
      <c r="AA520" s="0" t="inlineStr">
        <is>
          <t>경기도 하남시 학암동 위례 택지개발지구 A3-3a블럭</t>
        </is>
      </c>
      <c r="AB520" s="0" t="inlineStr">
        <is>
          <t>경기도</t>
        </is>
      </c>
      <c r="AC520" s="0" t="inlineStr">
        <is>
          <t>하남시</t>
        </is>
      </c>
      <c r="AD520" s="0" t="inlineStr">
        <is>
          <t>학암동</t>
        </is>
      </c>
      <c r="AG520" s="0" t="inlineStr">
        <is>
          <t>경기도 하남시</t>
        </is>
      </c>
      <c r="AH520" s="0" t="n">
        <v>75</v>
      </c>
      <c r="AI520" s="0" t="n">
        <v>0</v>
      </c>
      <c r="AJ520" s="0" t="n">
        <v>0</v>
      </c>
      <c r="AK520" s="0" t="n">
        <v>497</v>
      </c>
      <c r="AL520" s="0" t="n">
        <v>1.21</v>
      </c>
    </row>
    <row r="521">
      <c r="A521" s="0" t="inlineStr">
        <is>
          <t>[학암동]</t>
        </is>
      </c>
      <c r="B521" s="0" t="n">
        <v>137253</v>
      </c>
      <c r="C521" s="0" t="n">
        <v>2</v>
      </c>
      <c r="D521" s="0" t="inlineStr">
        <is>
          <t>위례A3-3a블럭</t>
        </is>
      </c>
      <c r="E521" s="0" t="inlineStr">
        <is>
          <t>2023.06.</t>
        </is>
      </c>
      <c r="F521" s="0" t="n">
        <v>411</v>
      </c>
      <c r="G521" s="0" t="n">
        <v>24.95</v>
      </c>
      <c r="H521" s="0" t="n">
        <v>82.51000000000001</v>
      </c>
      <c r="I521" s="0" t="n">
        <v>18.07</v>
      </c>
      <c r="J521" s="0" t="n">
        <v>59.76</v>
      </c>
      <c r="K521" s="0" t="n">
        <v>106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82A</t>
        </is>
      </c>
      <c r="X521" s="0" t="n">
        <v>25</v>
      </c>
      <c r="Y521" s="0" t="n">
        <v>14</v>
      </c>
      <c r="Z521" s="0" t="inlineStr">
        <is>
          <t>https://new.land.naver.com/complexes/137253?tab=detail&amp;rf=Y</t>
        </is>
      </c>
      <c r="AA521" s="0" t="inlineStr">
        <is>
          <t>경기도 하남시 학암동 위례 택지개발지구 A3-3a블럭</t>
        </is>
      </c>
      <c r="AB521" s="0" t="inlineStr">
        <is>
          <t>경기도</t>
        </is>
      </c>
      <c r="AC521" s="0" t="inlineStr">
        <is>
          <t>하남시</t>
        </is>
      </c>
      <c r="AD521" s="0" t="inlineStr">
        <is>
          <t>학암동</t>
        </is>
      </c>
      <c r="AG521" s="0" t="inlineStr">
        <is>
          <t>경기도 하남시</t>
        </is>
      </c>
      <c r="AH521" s="0" t="n">
        <v>75</v>
      </c>
      <c r="AI521" s="0" t="n">
        <v>0</v>
      </c>
      <c r="AJ521" s="0" t="n">
        <v>0</v>
      </c>
      <c r="AK521" s="0" t="n">
        <v>497</v>
      </c>
      <c r="AL521" s="0" t="n">
        <v>1.21</v>
      </c>
    </row>
    <row r="522">
      <c r="A522" s="0" t="inlineStr">
        <is>
          <t>[학암동]</t>
        </is>
      </c>
      <c r="B522" s="0" t="n">
        <v>137253</v>
      </c>
      <c r="C522" s="0" t="n">
        <v>3</v>
      </c>
      <c r="D522" s="0" t="inlineStr">
        <is>
          <t>위례A3-3a블럭</t>
        </is>
      </c>
      <c r="E522" s="0" t="inlineStr">
        <is>
          <t>2023.06.</t>
        </is>
      </c>
      <c r="F522" s="0" t="n">
        <v>411</v>
      </c>
      <c r="G522" s="0" t="n">
        <v>25.04</v>
      </c>
      <c r="H522" s="0" t="n">
        <v>82.78</v>
      </c>
      <c r="I522" s="0" t="n">
        <v>18.13</v>
      </c>
      <c r="J522" s="0" t="n">
        <v>59.95</v>
      </c>
      <c r="K522" s="0" t="n">
        <v>84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82B</t>
        </is>
      </c>
      <c r="X522" s="0" t="n">
        <v>25</v>
      </c>
      <c r="Y522" s="0" t="n">
        <v>14</v>
      </c>
      <c r="Z522" s="0" t="inlineStr">
        <is>
          <t>https://new.land.naver.com/complexes/137253?tab=detail&amp;rf=Y</t>
        </is>
      </c>
      <c r="AA522" s="0" t="inlineStr">
        <is>
          <t>경기도 하남시 학암동 위례 택지개발지구 A3-3a블럭</t>
        </is>
      </c>
      <c r="AB522" s="0" t="inlineStr">
        <is>
          <t>경기도</t>
        </is>
      </c>
      <c r="AC522" s="0" t="inlineStr">
        <is>
          <t>하남시</t>
        </is>
      </c>
      <c r="AD522" s="0" t="inlineStr">
        <is>
          <t>학암동</t>
        </is>
      </c>
      <c r="AG522" s="0" t="inlineStr">
        <is>
          <t>경기도 하남시</t>
        </is>
      </c>
      <c r="AH522" s="0" t="n">
        <v>75</v>
      </c>
      <c r="AI522" s="0" t="n">
        <v>0</v>
      </c>
      <c r="AJ522" s="0" t="n">
        <v>0</v>
      </c>
      <c r="AK522" s="0" t="n">
        <v>497</v>
      </c>
      <c r="AL522" s="0" t="n">
        <v>1.21</v>
      </c>
    </row>
    <row r="523">
      <c r="A523" s="0" t="inlineStr">
        <is>
          <t>[학암동]</t>
        </is>
      </c>
      <c r="B523" s="0" t="n">
        <v>137253</v>
      </c>
      <c r="C523" s="0" t="n">
        <v>4</v>
      </c>
      <c r="D523" s="0" t="inlineStr">
        <is>
          <t>위례A3-3a블럭</t>
        </is>
      </c>
      <c r="E523" s="0" t="inlineStr">
        <is>
          <t>2023.06.</t>
        </is>
      </c>
      <c r="F523" s="0" t="n">
        <v>411</v>
      </c>
      <c r="G523" s="0" t="n">
        <v>25.02</v>
      </c>
      <c r="H523" s="0" t="n">
        <v>82.73</v>
      </c>
      <c r="I523" s="0" t="n">
        <v>18.12</v>
      </c>
      <c r="J523" s="0" t="n">
        <v>59.92</v>
      </c>
      <c r="K523" s="0" t="n">
        <v>37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82D</t>
        </is>
      </c>
      <c r="X523" s="0" t="n">
        <v>25</v>
      </c>
      <c r="Y523" s="0" t="n">
        <v>14</v>
      </c>
      <c r="Z523" s="0" t="inlineStr">
        <is>
          <t>https://new.land.naver.com/complexes/137253?tab=detail&amp;rf=Y</t>
        </is>
      </c>
      <c r="AA523" s="0" t="inlineStr">
        <is>
          <t>경기도 하남시 학암동 위례 택지개발지구 A3-3a블럭</t>
        </is>
      </c>
      <c r="AB523" s="0" t="inlineStr">
        <is>
          <t>경기도</t>
        </is>
      </c>
      <c r="AC523" s="0" t="inlineStr">
        <is>
          <t>하남시</t>
        </is>
      </c>
      <c r="AD523" s="0" t="inlineStr">
        <is>
          <t>학암동</t>
        </is>
      </c>
      <c r="AG523" s="0" t="inlineStr">
        <is>
          <t>경기도 하남시</t>
        </is>
      </c>
      <c r="AH523" s="0" t="n">
        <v>75</v>
      </c>
      <c r="AI523" s="0" t="n">
        <v>0</v>
      </c>
      <c r="AJ523" s="0" t="n">
        <v>0</v>
      </c>
      <c r="AK523" s="0" t="n">
        <v>497</v>
      </c>
      <c r="AL523" s="0" t="n">
        <v>1.21</v>
      </c>
    </row>
    <row r="524">
      <c r="A524" s="0" t="inlineStr">
        <is>
          <t>[학암동]</t>
        </is>
      </c>
      <c r="B524" s="0" t="n">
        <v>137253</v>
      </c>
      <c r="C524" s="0" t="n">
        <v>5</v>
      </c>
      <c r="D524" s="0" t="inlineStr">
        <is>
          <t>위례A3-3a블럭</t>
        </is>
      </c>
      <c r="E524" s="0" t="inlineStr">
        <is>
          <t>2023.06.</t>
        </is>
      </c>
      <c r="F524" s="0" t="n">
        <v>411</v>
      </c>
      <c r="G524" s="0" t="n">
        <v>24.93</v>
      </c>
      <c r="H524" s="0" t="n">
        <v>82.44</v>
      </c>
      <c r="I524" s="0" t="n">
        <v>18.06</v>
      </c>
      <c r="J524" s="0" t="n">
        <v>59.71</v>
      </c>
      <c r="K524" s="0" t="n">
        <v>2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82C</t>
        </is>
      </c>
      <c r="X524" s="0" t="n">
        <v>25</v>
      </c>
      <c r="Y524" s="0" t="n">
        <v>14</v>
      </c>
      <c r="Z524" s="0" t="inlineStr">
        <is>
          <t>https://new.land.naver.com/complexes/137253?tab=detail&amp;rf=Y</t>
        </is>
      </c>
      <c r="AA524" s="0" t="inlineStr">
        <is>
          <t>경기도 하남시 학암동 위례 택지개발지구 A3-3a블럭</t>
        </is>
      </c>
      <c r="AB524" s="0" t="inlineStr">
        <is>
          <t>경기도</t>
        </is>
      </c>
      <c r="AC524" s="0" t="inlineStr">
        <is>
          <t>하남시</t>
        </is>
      </c>
      <c r="AD524" s="0" t="inlineStr">
        <is>
          <t>학암동</t>
        </is>
      </c>
      <c r="AG524" s="0" t="inlineStr">
        <is>
          <t>경기도 하남시</t>
        </is>
      </c>
      <c r="AH524" s="0" t="n">
        <v>75</v>
      </c>
      <c r="AI524" s="0" t="n">
        <v>0</v>
      </c>
      <c r="AJ524" s="0" t="n">
        <v>0</v>
      </c>
      <c r="AK524" s="0" t="n">
        <v>497</v>
      </c>
      <c r="AL524" s="0" t="n">
        <v>1.21</v>
      </c>
    </row>
    <row r="525">
      <c r="A525" s="0" t="inlineStr">
        <is>
          <t>[학암동]</t>
        </is>
      </c>
      <c r="B525" s="0" t="n">
        <v>107662</v>
      </c>
      <c r="C525" s="0" t="n">
        <v>1</v>
      </c>
      <c r="D525" s="0" t="inlineStr">
        <is>
          <t>위례그린파크푸르지오</t>
        </is>
      </c>
      <c r="E525" s="0" t="inlineStr">
        <is>
          <t>2016.01.</t>
        </is>
      </c>
      <c r="F525" s="0" t="n">
        <v>972</v>
      </c>
      <c r="G525" s="0" t="n">
        <v>39.61</v>
      </c>
      <c r="H525" s="0" t="n">
        <v>130.96</v>
      </c>
      <c r="I525" s="0" t="n">
        <v>30.57</v>
      </c>
      <c r="J525" s="0" t="n">
        <v>101.09</v>
      </c>
      <c r="K525" s="0" t="n">
        <v>495</v>
      </c>
      <c r="T525" s="0" t="n">
        <v>4</v>
      </c>
      <c r="U525" s="0" t="n">
        <v>2</v>
      </c>
      <c r="V525" s="0" t="inlineStr">
        <is>
          <t>계단식</t>
        </is>
      </c>
      <c r="W525" s="0" t="inlineStr">
        <is>
          <t>130A</t>
        </is>
      </c>
      <c r="X525" s="0" t="n">
        <v>23</v>
      </c>
      <c r="Y525" s="0" t="n">
        <v>10</v>
      </c>
      <c r="Z525" s="0" t="inlineStr">
        <is>
          <t>https://new.land.naver.com/complexes/107662?tab=detail&amp;rf=Y</t>
        </is>
      </c>
      <c r="AA525" s="0" t="inlineStr">
        <is>
          <t>경기도 하남시 학암동 673</t>
        </is>
      </c>
      <c r="AB525" s="0" t="inlineStr">
        <is>
          <t>경기도</t>
        </is>
      </c>
      <c r="AC525" s="0" t="inlineStr">
        <is>
          <t>하남시</t>
        </is>
      </c>
      <c r="AD525" s="0" t="inlineStr">
        <is>
          <t>학암동</t>
        </is>
      </c>
      <c r="AG525" s="0" t="inlineStr">
        <is>
          <t>경기도 하남시 위례순환로 270</t>
        </is>
      </c>
      <c r="AH525" s="0" t="n">
        <v>0</v>
      </c>
      <c r="AI525" s="0" t="n">
        <v>179</v>
      </c>
      <c r="AJ525" s="0" t="n">
        <v>15</v>
      </c>
      <c r="AK525" s="0" t="n">
        <v>1636</v>
      </c>
      <c r="AL525" s="0" t="n">
        <v>1.68</v>
      </c>
    </row>
    <row r="526">
      <c r="A526" s="0" t="inlineStr">
        <is>
          <t>[학암동]</t>
        </is>
      </c>
      <c r="B526" s="0" t="n">
        <v>107662</v>
      </c>
      <c r="C526" s="0" t="n">
        <v>2</v>
      </c>
      <c r="D526" s="0" t="inlineStr">
        <is>
          <t>위례그린파크푸르지오</t>
        </is>
      </c>
      <c r="E526" s="0" t="inlineStr">
        <is>
          <t>2016.01.</t>
        </is>
      </c>
      <c r="F526" s="0" t="n">
        <v>972</v>
      </c>
      <c r="G526" s="0" t="n">
        <v>39.58</v>
      </c>
      <c r="H526" s="0" t="n">
        <v>130.87</v>
      </c>
      <c r="I526" s="0" t="n">
        <v>30.83</v>
      </c>
      <c r="J526" s="0" t="n">
        <v>101.93</v>
      </c>
      <c r="K526" s="0" t="n">
        <v>238</v>
      </c>
      <c r="T526" s="0" t="n">
        <v>4</v>
      </c>
      <c r="U526" s="0" t="n">
        <v>2</v>
      </c>
      <c r="V526" s="0" t="inlineStr">
        <is>
          <t>계단식</t>
        </is>
      </c>
      <c r="W526" s="0" t="inlineStr">
        <is>
          <t>130C</t>
        </is>
      </c>
      <c r="X526" s="0" t="n">
        <v>23</v>
      </c>
      <c r="Y526" s="0" t="n">
        <v>10</v>
      </c>
      <c r="Z526" s="0" t="inlineStr">
        <is>
          <t>https://new.land.naver.com/complexes/107662?tab=detail&amp;rf=Y</t>
        </is>
      </c>
      <c r="AA526" s="0" t="inlineStr">
        <is>
          <t>경기도 하남시 학암동 673</t>
        </is>
      </c>
      <c r="AB526" s="0" t="inlineStr">
        <is>
          <t>경기도</t>
        </is>
      </c>
      <c r="AC526" s="0" t="inlineStr">
        <is>
          <t>하남시</t>
        </is>
      </c>
      <c r="AD526" s="0" t="inlineStr">
        <is>
          <t>학암동</t>
        </is>
      </c>
      <c r="AG526" s="0" t="inlineStr">
        <is>
          <t>경기도 하남시 위례순환로 270</t>
        </is>
      </c>
      <c r="AH526" s="0" t="n">
        <v>0</v>
      </c>
      <c r="AI526" s="0" t="n">
        <v>179</v>
      </c>
      <c r="AJ526" s="0" t="n">
        <v>15</v>
      </c>
      <c r="AK526" s="0" t="n">
        <v>1636</v>
      </c>
      <c r="AL526" s="0" t="n">
        <v>1.68</v>
      </c>
    </row>
    <row r="527">
      <c r="A527" s="0" t="inlineStr">
        <is>
          <t>[학암동]</t>
        </is>
      </c>
      <c r="B527" s="0" t="n">
        <v>107662</v>
      </c>
      <c r="C527" s="0" t="n">
        <v>3</v>
      </c>
      <c r="D527" s="0" t="inlineStr">
        <is>
          <t>위례그린파크푸르지오</t>
        </is>
      </c>
      <c r="E527" s="0" t="inlineStr">
        <is>
          <t>2016.01.</t>
        </is>
      </c>
      <c r="F527" s="0" t="n">
        <v>972</v>
      </c>
      <c r="G527" s="0" t="n">
        <v>39.87</v>
      </c>
      <c r="H527" s="0" t="n">
        <v>131.83</v>
      </c>
      <c r="I527" s="0" t="n">
        <v>30.84</v>
      </c>
      <c r="J527" s="0" t="n">
        <v>101.98</v>
      </c>
      <c r="K527" s="0" t="n">
        <v>124</v>
      </c>
      <c r="T527" s="0" t="n">
        <v>4</v>
      </c>
      <c r="U527" s="0" t="n">
        <v>2</v>
      </c>
      <c r="V527" s="0" t="inlineStr">
        <is>
          <t>계단식</t>
        </is>
      </c>
      <c r="W527" s="0" t="inlineStr">
        <is>
          <t>131B</t>
        </is>
      </c>
      <c r="X527" s="0" t="n">
        <v>23</v>
      </c>
      <c r="Y527" s="0" t="n">
        <v>10</v>
      </c>
      <c r="Z527" s="0" t="inlineStr">
        <is>
          <t>https://new.land.naver.com/complexes/107662?tab=detail&amp;rf=Y</t>
        </is>
      </c>
      <c r="AA527" s="0" t="inlineStr">
        <is>
          <t>경기도 하남시 학암동 673</t>
        </is>
      </c>
      <c r="AB527" s="0" t="inlineStr">
        <is>
          <t>경기도</t>
        </is>
      </c>
      <c r="AC527" s="0" t="inlineStr">
        <is>
          <t>하남시</t>
        </is>
      </c>
      <c r="AD527" s="0" t="inlineStr">
        <is>
          <t>학암동</t>
        </is>
      </c>
      <c r="AG527" s="0" t="inlineStr">
        <is>
          <t>경기도 하남시 위례순환로 270</t>
        </is>
      </c>
      <c r="AH527" s="0" t="n">
        <v>0</v>
      </c>
      <c r="AI527" s="0" t="n">
        <v>179</v>
      </c>
      <c r="AJ527" s="0" t="n">
        <v>15</v>
      </c>
      <c r="AK527" s="0" t="n">
        <v>1636</v>
      </c>
      <c r="AL527" s="0" t="n">
        <v>1.68</v>
      </c>
    </row>
    <row r="528">
      <c r="A528" s="0" t="inlineStr">
        <is>
          <t>[학암동]</t>
        </is>
      </c>
      <c r="B528" s="0" t="n">
        <v>107662</v>
      </c>
      <c r="C528" s="0" t="n">
        <v>4</v>
      </c>
      <c r="D528" s="0" t="inlineStr">
        <is>
          <t>위례그린파크푸르지오</t>
        </is>
      </c>
      <c r="E528" s="0" t="inlineStr">
        <is>
          <t>2016.01.</t>
        </is>
      </c>
      <c r="F528" s="0" t="n">
        <v>972</v>
      </c>
      <c r="G528" s="0" t="n">
        <v>39.84</v>
      </c>
      <c r="H528" s="0" t="n">
        <v>131.71</v>
      </c>
      <c r="I528" s="0" t="n">
        <v>30.83</v>
      </c>
      <c r="J528" s="0" t="n">
        <v>101.93</v>
      </c>
      <c r="K528" s="0" t="n">
        <v>106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131D</t>
        </is>
      </c>
      <c r="X528" s="0" t="n">
        <v>23</v>
      </c>
      <c r="Y528" s="0" t="n">
        <v>10</v>
      </c>
      <c r="Z528" s="0" t="inlineStr">
        <is>
          <t>https://new.land.naver.com/complexes/107662?tab=detail&amp;rf=Y</t>
        </is>
      </c>
      <c r="AA528" s="0" t="inlineStr">
        <is>
          <t>경기도 하남시 학암동 673</t>
        </is>
      </c>
      <c r="AB528" s="0" t="inlineStr">
        <is>
          <t>경기도</t>
        </is>
      </c>
      <c r="AC528" s="0" t="inlineStr">
        <is>
          <t>하남시</t>
        </is>
      </c>
      <c r="AD528" s="0" t="inlineStr">
        <is>
          <t>학암동</t>
        </is>
      </c>
      <c r="AG528" s="0" t="inlineStr">
        <is>
          <t>경기도 하남시 위례순환로 270</t>
        </is>
      </c>
      <c r="AH528" s="0" t="n">
        <v>0</v>
      </c>
      <c r="AI528" s="0" t="n">
        <v>179</v>
      </c>
      <c r="AJ528" s="0" t="n">
        <v>15</v>
      </c>
      <c r="AK528" s="0" t="n">
        <v>1636</v>
      </c>
      <c r="AL528" s="0" t="n">
        <v>1.68</v>
      </c>
    </row>
    <row r="529">
      <c r="A529" s="0" t="inlineStr">
        <is>
          <t>[학암동]</t>
        </is>
      </c>
      <c r="B529" s="0" t="n">
        <v>107662</v>
      </c>
      <c r="C529" s="0" t="n">
        <v>5</v>
      </c>
      <c r="D529" s="0" t="inlineStr">
        <is>
          <t>위례그린파크푸르지오</t>
        </is>
      </c>
      <c r="E529" s="0" t="inlineStr">
        <is>
          <t>2016.01.</t>
        </is>
      </c>
      <c r="F529" s="0" t="n">
        <v>972</v>
      </c>
      <c r="G529" s="0" t="n">
        <v>45.55</v>
      </c>
      <c r="H529" s="0" t="n">
        <v>150.59</v>
      </c>
      <c r="I529" s="0" t="n">
        <v>34.46</v>
      </c>
      <c r="J529" s="0" t="n">
        <v>113.92</v>
      </c>
      <c r="K529" s="0" t="n">
        <v>5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150PA</t>
        </is>
      </c>
      <c r="X529" s="0" t="n">
        <v>23</v>
      </c>
      <c r="Y529" s="0" t="n">
        <v>10</v>
      </c>
      <c r="Z529" s="0" t="inlineStr">
        <is>
          <t>https://new.land.naver.com/complexes/107662?tab=detail&amp;rf=Y</t>
        </is>
      </c>
      <c r="AA529" s="0" t="inlineStr">
        <is>
          <t>경기도 하남시 학암동 673</t>
        </is>
      </c>
      <c r="AB529" s="0" t="inlineStr">
        <is>
          <t>경기도</t>
        </is>
      </c>
      <c r="AC529" s="0" t="inlineStr">
        <is>
          <t>하남시</t>
        </is>
      </c>
      <c r="AD529" s="0" t="inlineStr">
        <is>
          <t>학암동</t>
        </is>
      </c>
      <c r="AG529" s="0" t="inlineStr">
        <is>
          <t>경기도 하남시 위례순환로 270</t>
        </is>
      </c>
      <c r="AH529" s="0" t="n">
        <v>0</v>
      </c>
      <c r="AI529" s="0" t="n">
        <v>179</v>
      </c>
      <c r="AJ529" s="0" t="n">
        <v>15</v>
      </c>
      <c r="AK529" s="0" t="n">
        <v>1636</v>
      </c>
      <c r="AL529" s="0" t="n">
        <v>1.68</v>
      </c>
    </row>
    <row r="530">
      <c r="A530" s="0" t="inlineStr">
        <is>
          <t>[학암동]</t>
        </is>
      </c>
      <c r="B530" s="0" t="n">
        <v>107662</v>
      </c>
      <c r="C530" s="0" t="n">
        <v>6</v>
      </c>
      <c r="D530" s="0" t="inlineStr">
        <is>
          <t>위례그린파크푸르지오</t>
        </is>
      </c>
      <c r="E530" s="0" t="inlineStr">
        <is>
          <t>2016.01.</t>
        </is>
      </c>
      <c r="F530" s="0" t="n">
        <v>972</v>
      </c>
      <c r="G530" s="0" t="n">
        <v>45.71</v>
      </c>
      <c r="H530" s="0" t="n">
        <v>151.11</v>
      </c>
      <c r="I530" s="0" t="n">
        <v>34.46</v>
      </c>
      <c r="J530" s="0" t="n">
        <v>113.95</v>
      </c>
      <c r="K530" s="0" t="n">
        <v>4</v>
      </c>
      <c r="T530" s="0" t="n">
        <v>4</v>
      </c>
      <c r="U530" s="0" t="n">
        <v>3</v>
      </c>
      <c r="V530" s="0" t="inlineStr">
        <is>
          <t>계단식</t>
        </is>
      </c>
      <c r="W530" s="0" t="inlineStr">
        <is>
          <t>151PB</t>
        </is>
      </c>
      <c r="X530" s="0" t="n">
        <v>23</v>
      </c>
      <c r="Y530" s="0" t="n">
        <v>10</v>
      </c>
      <c r="Z530" s="0" t="inlineStr">
        <is>
          <t>https://new.land.naver.com/complexes/107662?tab=detail&amp;rf=Y</t>
        </is>
      </c>
      <c r="AA530" s="0" t="inlineStr">
        <is>
          <t>경기도 하남시 학암동 673</t>
        </is>
      </c>
      <c r="AB530" s="0" t="inlineStr">
        <is>
          <t>경기도</t>
        </is>
      </c>
      <c r="AC530" s="0" t="inlineStr">
        <is>
          <t>하남시</t>
        </is>
      </c>
      <c r="AD530" s="0" t="inlineStr">
        <is>
          <t>학암동</t>
        </is>
      </c>
      <c r="AG530" s="0" t="inlineStr">
        <is>
          <t>경기도 하남시 위례순환로 270</t>
        </is>
      </c>
      <c r="AH530" s="0" t="n">
        <v>0</v>
      </c>
      <c r="AI530" s="0" t="n">
        <v>179</v>
      </c>
      <c r="AJ530" s="0" t="n">
        <v>15</v>
      </c>
      <c r="AK530" s="0" t="n">
        <v>1636</v>
      </c>
      <c r="AL530" s="0" t="n">
        <v>1.68</v>
      </c>
    </row>
    <row r="531">
      <c r="A531" s="0" t="inlineStr">
        <is>
          <t>[학암동]</t>
        </is>
      </c>
      <c r="B531" s="0" t="n">
        <v>129426</v>
      </c>
      <c r="C531" s="0" t="n">
        <v>1</v>
      </c>
      <c r="D531" s="0" t="inlineStr">
        <is>
          <t>위례신도시중흥S-클래스</t>
        </is>
      </c>
      <c r="E531" s="0" t="inlineStr">
        <is>
          <t>2022.10.</t>
        </is>
      </c>
      <c r="F531" s="0" t="n">
        <v>475</v>
      </c>
      <c r="G531" s="0" t="n">
        <v>38.23</v>
      </c>
      <c r="H531" s="0" t="n">
        <v>126.41</v>
      </c>
      <c r="I531" s="0" t="n">
        <v>30.83</v>
      </c>
      <c r="J531" s="0" t="n">
        <v>101.93</v>
      </c>
      <c r="K531" s="0" t="n">
        <v>248</v>
      </c>
      <c r="T531" s="0" t="n">
        <v>4</v>
      </c>
      <c r="U531" s="0" t="n">
        <v>2</v>
      </c>
      <c r="V531" s="0" t="inlineStr">
        <is>
          <t>계단식</t>
        </is>
      </c>
      <c r="W531" s="0" t="inlineStr">
        <is>
          <t>126A</t>
        </is>
      </c>
      <c r="X531" s="0" t="n">
        <v>20</v>
      </c>
      <c r="Y531" s="0" t="n">
        <v>8</v>
      </c>
      <c r="Z531" s="0" t="inlineStr">
        <is>
          <t>https://new.land.naver.com/complexes/129426?tab=detail&amp;rf=Y</t>
        </is>
      </c>
      <c r="AA531" s="0" t="inlineStr">
        <is>
          <t>경기도 하남시 학암동 위례택지개발지구 A3-10블록</t>
        </is>
      </c>
      <c r="AB531" s="0" t="inlineStr">
        <is>
          <t>경기도</t>
        </is>
      </c>
      <c r="AC531" s="0" t="inlineStr">
        <is>
          <t>하남시</t>
        </is>
      </c>
      <c r="AD531" s="0" t="inlineStr">
        <is>
          <t>학암동</t>
        </is>
      </c>
      <c r="AG531" s="0" t="inlineStr">
        <is>
          <t>경기도 하남시</t>
        </is>
      </c>
      <c r="AH531" s="0" t="n">
        <v>0</v>
      </c>
      <c r="AI531" s="0" t="n">
        <v>169</v>
      </c>
      <c r="AJ531" s="0" t="n">
        <v>18</v>
      </c>
      <c r="AK531" s="0" t="n">
        <v>812</v>
      </c>
      <c r="AL531" s="0" t="n">
        <v>1.71</v>
      </c>
    </row>
    <row r="532">
      <c r="A532" s="0" t="inlineStr">
        <is>
          <t>[학암동]</t>
        </is>
      </c>
      <c r="B532" s="0" t="n">
        <v>129426</v>
      </c>
      <c r="C532" s="0" t="n">
        <v>2</v>
      </c>
      <c r="D532" s="0" t="inlineStr">
        <is>
          <t>위례신도시중흥S-클래스</t>
        </is>
      </c>
      <c r="E532" s="0" t="inlineStr">
        <is>
          <t>2022.10.</t>
        </is>
      </c>
      <c r="F532" s="0" t="n">
        <v>475</v>
      </c>
      <c r="G532" s="0" t="n">
        <v>38.32</v>
      </c>
      <c r="H532" s="0" t="n">
        <v>126.71</v>
      </c>
      <c r="I532" s="0" t="n">
        <v>30.76</v>
      </c>
      <c r="J532" s="0" t="n">
        <v>101.7</v>
      </c>
      <c r="K532" s="0" t="n">
        <v>88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126B</t>
        </is>
      </c>
      <c r="X532" s="0" t="n">
        <v>20</v>
      </c>
      <c r="Y532" s="0" t="n">
        <v>8</v>
      </c>
      <c r="Z532" s="0" t="inlineStr">
        <is>
          <t>https://new.land.naver.com/complexes/129426?tab=detail&amp;rf=Y</t>
        </is>
      </c>
      <c r="AA532" s="0" t="inlineStr">
        <is>
          <t>경기도 하남시 학암동 위례택지개발지구 A3-10블록</t>
        </is>
      </c>
      <c r="AB532" s="0" t="inlineStr">
        <is>
          <t>경기도</t>
        </is>
      </c>
      <c r="AC532" s="0" t="inlineStr">
        <is>
          <t>하남시</t>
        </is>
      </c>
      <c r="AD532" s="0" t="inlineStr">
        <is>
          <t>학암동</t>
        </is>
      </c>
      <c r="AG532" s="0" t="inlineStr">
        <is>
          <t>경기도 하남시</t>
        </is>
      </c>
      <c r="AH532" s="0" t="n">
        <v>0</v>
      </c>
      <c r="AI532" s="0" t="n">
        <v>169</v>
      </c>
      <c r="AJ532" s="0" t="n">
        <v>18</v>
      </c>
      <c r="AK532" s="0" t="n">
        <v>812</v>
      </c>
      <c r="AL532" s="0" t="n">
        <v>1.71</v>
      </c>
    </row>
    <row r="533">
      <c r="A533" s="0" t="inlineStr">
        <is>
          <t>[학암동]</t>
        </is>
      </c>
      <c r="B533" s="0" t="n">
        <v>129426</v>
      </c>
      <c r="C533" s="0" t="n">
        <v>3</v>
      </c>
      <c r="D533" s="0" t="inlineStr">
        <is>
          <t>위례신도시중흥S-클래스</t>
        </is>
      </c>
      <c r="E533" s="0" t="inlineStr">
        <is>
          <t>2022.10.</t>
        </is>
      </c>
      <c r="F533" s="0" t="n">
        <v>475</v>
      </c>
      <c r="G533" s="0" t="n">
        <v>38.53</v>
      </c>
      <c r="H533" s="0" t="n">
        <v>127.39</v>
      </c>
      <c r="I533" s="0" t="n">
        <v>30.77</v>
      </c>
      <c r="J533" s="0" t="n">
        <v>101.75</v>
      </c>
      <c r="K533" s="0" t="n">
        <v>45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127C</t>
        </is>
      </c>
      <c r="X533" s="0" t="n">
        <v>20</v>
      </c>
      <c r="Y533" s="0" t="n">
        <v>8</v>
      </c>
      <c r="Z533" s="0" t="inlineStr">
        <is>
          <t>https://new.land.naver.com/complexes/129426?tab=detail&amp;rf=Y</t>
        </is>
      </c>
      <c r="AA533" s="0" t="inlineStr">
        <is>
          <t>경기도 하남시 학암동 위례택지개발지구 A3-10블록</t>
        </is>
      </c>
      <c r="AB533" s="0" t="inlineStr">
        <is>
          <t>경기도</t>
        </is>
      </c>
      <c r="AC533" s="0" t="inlineStr">
        <is>
          <t>하남시</t>
        </is>
      </c>
      <c r="AD533" s="0" t="inlineStr">
        <is>
          <t>학암동</t>
        </is>
      </c>
      <c r="AG533" s="0" t="inlineStr">
        <is>
          <t>경기도 하남시</t>
        </is>
      </c>
      <c r="AH533" s="0" t="n">
        <v>0</v>
      </c>
      <c r="AI533" s="0" t="n">
        <v>169</v>
      </c>
      <c r="AJ533" s="0" t="n">
        <v>18</v>
      </c>
      <c r="AK533" s="0" t="n">
        <v>812</v>
      </c>
      <c r="AL533" s="0" t="n">
        <v>1.71</v>
      </c>
    </row>
    <row r="534">
      <c r="A534" s="0" t="inlineStr">
        <is>
          <t>[학암동]</t>
        </is>
      </c>
      <c r="B534" s="0" t="n">
        <v>129426</v>
      </c>
      <c r="C534" s="0" t="n">
        <v>4</v>
      </c>
      <c r="D534" s="0" t="inlineStr">
        <is>
          <t>위례신도시중흥S-클래스</t>
        </is>
      </c>
      <c r="E534" s="0" t="inlineStr">
        <is>
          <t>2022.10.</t>
        </is>
      </c>
      <c r="F534" s="0" t="n">
        <v>475</v>
      </c>
      <c r="G534" s="0" t="n">
        <v>48.85</v>
      </c>
      <c r="H534" s="0" t="n">
        <v>161.5</v>
      </c>
      <c r="I534" s="0" t="n">
        <v>39.48</v>
      </c>
      <c r="J534" s="0" t="n">
        <v>130.54</v>
      </c>
      <c r="K534" s="0" t="n">
        <v>76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161</v>
      </c>
      <c r="X534" s="0" t="n">
        <v>20</v>
      </c>
      <c r="Y534" s="0" t="n">
        <v>8</v>
      </c>
      <c r="Z534" s="0" t="inlineStr">
        <is>
          <t>https://new.land.naver.com/complexes/129426?tab=detail&amp;rf=Y</t>
        </is>
      </c>
      <c r="AA534" s="0" t="inlineStr">
        <is>
          <t>경기도 하남시 학암동 위례택지개발지구 A3-10블록</t>
        </is>
      </c>
      <c r="AB534" s="0" t="inlineStr">
        <is>
          <t>경기도</t>
        </is>
      </c>
      <c r="AC534" s="0" t="inlineStr">
        <is>
          <t>하남시</t>
        </is>
      </c>
      <c r="AD534" s="0" t="inlineStr">
        <is>
          <t>학암동</t>
        </is>
      </c>
      <c r="AG534" s="0" t="inlineStr">
        <is>
          <t>경기도 하남시</t>
        </is>
      </c>
      <c r="AH534" s="0" t="n">
        <v>0</v>
      </c>
      <c r="AI534" s="0" t="n">
        <v>169</v>
      </c>
      <c r="AJ534" s="0" t="n">
        <v>18</v>
      </c>
      <c r="AK534" s="0" t="n">
        <v>812</v>
      </c>
      <c r="AL534" s="0" t="n">
        <v>1.71</v>
      </c>
    </row>
    <row r="535">
      <c r="A535" s="0" t="inlineStr">
        <is>
          <t>[학암동]</t>
        </is>
      </c>
      <c r="B535" s="0" t="n">
        <v>129426</v>
      </c>
      <c r="C535" s="0" t="n">
        <v>5</v>
      </c>
      <c r="D535" s="0" t="inlineStr">
        <is>
          <t>위례신도시중흥S-클래스</t>
        </is>
      </c>
      <c r="E535" s="0" t="inlineStr">
        <is>
          <t>2022.10.</t>
        </is>
      </c>
      <c r="F535" s="0" t="n">
        <v>475</v>
      </c>
      <c r="G535" s="0" t="n">
        <v>54.57</v>
      </c>
      <c r="H535" s="0" t="n">
        <v>180.4</v>
      </c>
      <c r="I535" s="0" t="n">
        <v>44.12</v>
      </c>
      <c r="J535" s="0" t="n">
        <v>145.87</v>
      </c>
      <c r="K535" s="0" t="n">
        <v>8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180T</t>
        </is>
      </c>
      <c r="X535" s="0" t="n">
        <v>20</v>
      </c>
      <c r="Y535" s="0" t="n">
        <v>8</v>
      </c>
      <c r="Z535" s="0" t="inlineStr">
        <is>
          <t>https://new.land.naver.com/complexes/129426?tab=detail&amp;rf=Y</t>
        </is>
      </c>
      <c r="AA535" s="0" t="inlineStr">
        <is>
          <t>경기도 하남시 학암동 위례택지개발지구 A3-10블록</t>
        </is>
      </c>
      <c r="AB535" s="0" t="inlineStr">
        <is>
          <t>경기도</t>
        </is>
      </c>
      <c r="AC535" s="0" t="inlineStr">
        <is>
          <t>하남시</t>
        </is>
      </c>
      <c r="AD535" s="0" t="inlineStr">
        <is>
          <t>학암동</t>
        </is>
      </c>
      <c r="AG535" s="0" t="inlineStr">
        <is>
          <t>경기도 하남시</t>
        </is>
      </c>
      <c r="AH535" s="0" t="n">
        <v>0</v>
      </c>
      <c r="AI535" s="0" t="n">
        <v>169</v>
      </c>
      <c r="AJ535" s="0" t="n">
        <v>18</v>
      </c>
      <c r="AK535" s="0" t="n">
        <v>812</v>
      </c>
      <c r="AL535" s="0" t="n">
        <v>1.71</v>
      </c>
    </row>
    <row r="536">
      <c r="A536" s="0" t="inlineStr">
        <is>
          <t>[학암동]</t>
        </is>
      </c>
      <c r="B536" s="0" t="n">
        <v>129426</v>
      </c>
      <c r="C536" s="0" t="n">
        <v>6</v>
      </c>
      <c r="D536" s="0" t="inlineStr">
        <is>
          <t>위례신도시중흥S-클래스</t>
        </is>
      </c>
      <c r="E536" s="0" t="inlineStr">
        <is>
          <t>2022.10.</t>
        </is>
      </c>
      <c r="F536" s="0" t="n">
        <v>475</v>
      </c>
      <c r="G536" s="0" t="n">
        <v>64.95</v>
      </c>
      <c r="H536" s="0" t="n">
        <v>214.74</v>
      </c>
      <c r="I536" s="0" t="n">
        <v>52.19</v>
      </c>
      <c r="J536" s="0" t="n">
        <v>172.53</v>
      </c>
      <c r="K536" s="0" t="n">
        <v>2</v>
      </c>
      <c r="T536" s="0" t="n">
        <v>5</v>
      </c>
      <c r="U536" s="0" t="n">
        <v>3</v>
      </c>
      <c r="V536" s="0" t="inlineStr">
        <is>
          <t>계단식</t>
        </is>
      </c>
      <c r="W536" s="0" t="inlineStr">
        <is>
          <t>214P</t>
        </is>
      </c>
      <c r="X536" s="0" t="n">
        <v>20</v>
      </c>
      <c r="Y536" s="0" t="n">
        <v>8</v>
      </c>
      <c r="Z536" s="0" t="inlineStr">
        <is>
          <t>https://new.land.naver.com/complexes/129426?tab=detail&amp;rf=Y</t>
        </is>
      </c>
      <c r="AA536" s="0" t="inlineStr">
        <is>
          <t>경기도 하남시 학암동 위례택지개발지구 A3-10블록</t>
        </is>
      </c>
      <c r="AB536" s="0" t="inlineStr">
        <is>
          <t>경기도</t>
        </is>
      </c>
      <c r="AC536" s="0" t="inlineStr">
        <is>
          <t>하남시</t>
        </is>
      </c>
      <c r="AD536" s="0" t="inlineStr">
        <is>
          <t>학암동</t>
        </is>
      </c>
      <c r="AG536" s="0" t="inlineStr">
        <is>
          <t>경기도 하남시</t>
        </is>
      </c>
      <c r="AH536" s="0" t="n">
        <v>0</v>
      </c>
      <c r="AI536" s="0" t="n">
        <v>169</v>
      </c>
      <c r="AJ536" s="0" t="n">
        <v>18</v>
      </c>
      <c r="AK536" s="0" t="n">
        <v>812</v>
      </c>
      <c r="AL536" s="0" t="n">
        <v>1.71</v>
      </c>
    </row>
    <row r="537">
      <c r="A537" s="0" t="inlineStr">
        <is>
          <t>[학암동]</t>
        </is>
      </c>
      <c r="B537" s="0" t="n">
        <v>129426</v>
      </c>
      <c r="C537" s="0" t="n">
        <v>7</v>
      </c>
      <c r="D537" s="0" t="inlineStr">
        <is>
          <t>위례신도시중흥S-클래스</t>
        </is>
      </c>
      <c r="E537" s="0" t="inlineStr">
        <is>
          <t>2022.10.</t>
        </is>
      </c>
      <c r="F537" s="0" t="n">
        <v>475</v>
      </c>
      <c r="G537" s="0" t="n">
        <v>88.65000000000001</v>
      </c>
      <c r="H537" s="0" t="n">
        <v>293.09</v>
      </c>
      <c r="I537" s="0" t="n">
        <v>71.68000000000001</v>
      </c>
      <c r="J537" s="0" t="n">
        <v>236.96</v>
      </c>
      <c r="K537" s="0" t="n">
        <v>8</v>
      </c>
      <c r="T537" s="0" t="n">
        <v>6</v>
      </c>
      <c r="U537" s="0" t="n">
        <v>4</v>
      </c>
      <c r="V537" s="0" t="inlineStr">
        <is>
          <t>계단식</t>
        </is>
      </c>
      <c r="W537" s="0" t="inlineStr">
        <is>
          <t>293T</t>
        </is>
      </c>
      <c r="X537" s="0" t="n">
        <v>20</v>
      </c>
      <c r="Y537" s="0" t="n">
        <v>8</v>
      </c>
      <c r="Z537" s="0" t="inlineStr">
        <is>
          <t>https://new.land.naver.com/complexes/129426?tab=detail&amp;rf=Y</t>
        </is>
      </c>
      <c r="AA537" s="0" t="inlineStr">
        <is>
          <t>경기도 하남시 학암동 위례택지개발지구 A3-10블록</t>
        </is>
      </c>
      <c r="AB537" s="0" t="inlineStr">
        <is>
          <t>경기도</t>
        </is>
      </c>
      <c r="AC537" s="0" t="inlineStr">
        <is>
          <t>하남시</t>
        </is>
      </c>
      <c r="AD537" s="0" t="inlineStr">
        <is>
          <t>학암동</t>
        </is>
      </c>
      <c r="AG537" s="0" t="inlineStr">
        <is>
          <t>경기도 하남시</t>
        </is>
      </c>
      <c r="AH537" s="0" t="n">
        <v>0</v>
      </c>
      <c r="AI537" s="0" t="n">
        <v>169</v>
      </c>
      <c r="AJ537" s="0" t="n">
        <v>18</v>
      </c>
      <c r="AK537" s="0" t="n">
        <v>812</v>
      </c>
      <c r="AL537" s="0" t="n">
        <v>1.71</v>
      </c>
    </row>
    <row r="538">
      <c r="A538" s="0" t="inlineStr">
        <is>
          <t>[학암동]</t>
        </is>
      </c>
      <c r="B538" s="0" t="n">
        <v>107022</v>
      </c>
      <c r="C538" s="0" t="n">
        <v>1</v>
      </c>
      <c r="D538" s="0" t="inlineStr">
        <is>
          <t>플로리체위례</t>
        </is>
      </c>
      <c r="E538" s="0" t="inlineStr">
        <is>
          <t>2015.10.</t>
        </is>
      </c>
      <c r="F538" s="0" t="n">
        <v>970</v>
      </c>
      <c r="G538" s="0" t="n">
        <v>37.73</v>
      </c>
      <c r="H538" s="0" t="n">
        <v>124.73</v>
      </c>
      <c r="I538" s="0" t="n">
        <v>29.03</v>
      </c>
      <c r="J538" s="0" t="n">
        <v>95.98999999999999</v>
      </c>
      <c r="K538" s="0" t="n">
        <v>132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124A</t>
        </is>
      </c>
      <c r="X538" s="0" t="n">
        <v>24</v>
      </c>
      <c r="Y538" s="0" t="n">
        <v>15</v>
      </c>
      <c r="Z538" s="0" t="inlineStr">
        <is>
          <t>https://new.land.naver.com/complexes/107022?tab=detail&amp;rf=Y</t>
        </is>
      </c>
      <c r="AA538" s="0" t="inlineStr">
        <is>
          <t>경기도 하남시 학암동 671</t>
        </is>
      </c>
      <c r="AB538" s="0" t="inlineStr">
        <is>
          <t>경기도</t>
        </is>
      </c>
      <c r="AC538" s="0" t="inlineStr">
        <is>
          <t>하남시</t>
        </is>
      </c>
      <c r="AD538" s="0" t="inlineStr">
        <is>
          <t>학암동</t>
        </is>
      </c>
      <c r="AG538" s="0" t="inlineStr">
        <is>
          <t>경기도 하남시 위례중앙로 185</t>
        </is>
      </c>
      <c r="AH538" s="0" t="n">
        <v>0</v>
      </c>
      <c r="AI538" s="0" t="n">
        <v>218</v>
      </c>
      <c r="AJ538" s="0" t="n">
        <v>19</v>
      </c>
      <c r="AK538" s="0" t="n">
        <v>1579</v>
      </c>
      <c r="AL538" s="0" t="n">
        <v>1.63</v>
      </c>
    </row>
    <row r="539">
      <c r="A539" s="0" t="inlineStr">
        <is>
          <t>[학암동]</t>
        </is>
      </c>
      <c r="B539" s="0" t="n">
        <v>107022</v>
      </c>
      <c r="C539" s="0" t="n">
        <v>2</v>
      </c>
      <c r="D539" s="0" t="inlineStr">
        <is>
          <t>플로리체위례</t>
        </is>
      </c>
      <c r="E539" s="0" t="inlineStr">
        <is>
          <t>2015.10.</t>
        </is>
      </c>
      <c r="F539" s="0" t="n">
        <v>970</v>
      </c>
      <c r="G539" s="0" t="n">
        <v>37.53</v>
      </c>
      <c r="H539" s="0" t="n">
        <v>124.08</v>
      </c>
      <c r="I539" s="0" t="n">
        <v>29.03</v>
      </c>
      <c r="J539" s="0" t="n">
        <v>95.98</v>
      </c>
      <c r="K539" s="0" t="n">
        <v>132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124D</t>
        </is>
      </c>
      <c r="X539" s="0" t="n">
        <v>24</v>
      </c>
      <c r="Y539" s="0" t="n">
        <v>15</v>
      </c>
      <c r="Z539" s="0" t="inlineStr">
        <is>
          <t>https://new.land.naver.com/complexes/107022?tab=detail&amp;rf=Y</t>
        </is>
      </c>
      <c r="AA539" s="0" t="inlineStr">
        <is>
          <t>경기도 하남시 학암동 671</t>
        </is>
      </c>
      <c r="AB539" s="0" t="inlineStr">
        <is>
          <t>경기도</t>
        </is>
      </c>
      <c r="AC539" s="0" t="inlineStr">
        <is>
          <t>하남시</t>
        </is>
      </c>
      <c r="AD539" s="0" t="inlineStr">
        <is>
          <t>학암동</t>
        </is>
      </c>
      <c r="AG539" s="0" t="inlineStr">
        <is>
          <t>경기도 하남시 위례중앙로 185</t>
        </is>
      </c>
      <c r="AH539" s="0" t="n">
        <v>0</v>
      </c>
      <c r="AI539" s="0" t="n">
        <v>218</v>
      </c>
      <c r="AJ539" s="0" t="n">
        <v>19</v>
      </c>
      <c r="AK539" s="0" t="n">
        <v>1579</v>
      </c>
      <c r="AL539" s="0" t="n">
        <v>1.63</v>
      </c>
    </row>
    <row r="540">
      <c r="A540" s="0" t="inlineStr">
        <is>
          <t>[학암동]</t>
        </is>
      </c>
      <c r="B540" s="0" t="n">
        <v>107022</v>
      </c>
      <c r="C540" s="0" t="n">
        <v>3</v>
      </c>
      <c r="D540" s="0" t="inlineStr">
        <is>
          <t>플로리체위례</t>
        </is>
      </c>
      <c r="E540" s="0" t="inlineStr">
        <is>
          <t>2015.10.</t>
        </is>
      </c>
      <c r="F540" s="0" t="n">
        <v>970</v>
      </c>
      <c r="G540" s="0" t="n">
        <v>37.62</v>
      </c>
      <c r="H540" s="0" t="n">
        <v>124.39</v>
      </c>
      <c r="I540" s="0" t="n">
        <v>29.03</v>
      </c>
      <c r="J540" s="0" t="n">
        <v>95.98</v>
      </c>
      <c r="K540" s="0" t="n">
        <v>95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124C</t>
        </is>
      </c>
      <c r="X540" s="0" t="n">
        <v>24</v>
      </c>
      <c r="Y540" s="0" t="n">
        <v>15</v>
      </c>
      <c r="Z540" s="0" t="inlineStr">
        <is>
          <t>https://new.land.naver.com/complexes/107022?tab=detail&amp;rf=Y</t>
        </is>
      </c>
      <c r="AA540" s="0" t="inlineStr">
        <is>
          <t>경기도 하남시 학암동 671</t>
        </is>
      </c>
      <c r="AB540" s="0" t="inlineStr">
        <is>
          <t>경기도</t>
        </is>
      </c>
      <c r="AC540" s="0" t="inlineStr">
        <is>
          <t>하남시</t>
        </is>
      </c>
      <c r="AD540" s="0" t="inlineStr">
        <is>
          <t>학암동</t>
        </is>
      </c>
      <c r="AG540" s="0" t="inlineStr">
        <is>
          <t>경기도 하남시 위례중앙로 185</t>
        </is>
      </c>
      <c r="AH540" s="0" t="n">
        <v>0</v>
      </c>
      <c r="AI540" s="0" t="n">
        <v>218</v>
      </c>
      <c r="AJ540" s="0" t="n">
        <v>19</v>
      </c>
      <c r="AK540" s="0" t="n">
        <v>1579</v>
      </c>
      <c r="AL540" s="0" t="n">
        <v>1.63</v>
      </c>
    </row>
    <row r="541">
      <c r="A541" s="0" t="inlineStr">
        <is>
          <t>[학암동]</t>
        </is>
      </c>
      <c r="B541" s="0" t="n">
        <v>107022</v>
      </c>
      <c r="C541" s="0" t="n">
        <v>4</v>
      </c>
      <c r="D541" s="0" t="inlineStr">
        <is>
          <t>플로리체위례</t>
        </is>
      </c>
      <c r="E541" s="0" t="inlineStr">
        <is>
          <t>2015.10.</t>
        </is>
      </c>
      <c r="F541" s="0" t="n">
        <v>970</v>
      </c>
      <c r="G541" s="0" t="n">
        <v>37.87</v>
      </c>
      <c r="H541" s="0" t="n">
        <v>125.22</v>
      </c>
      <c r="I541" s="0" t="n">
        <v>29.03</v>
      </c>
      <c r="J541" s="0" t="n">
        <v>95.98</v>
      </c>
      <c r="K541" s="0" t="n">
        <v>243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125B</t>
        </is>
      </c>
      <c r="X541" s="0" t="n">
        <v>24</v>
      </c>
      <c r="Y541" s="0" t="n">
        <v>15</v>
      </c>
      <c r="Z541" s="0" t="inlineStr">
        <is>
          <t>https://new.land.naver.com/complexes/107022?tab=detail&amp;rf=Y</t>
        </is>
      </c>
      <c r="AA541" s="0" t="inlineStr">
        <is>
          <t>경기도 하남시 학암동 671</t>
        </is>
      </c>
      <c r="AB541" s="0" t="inlineStr">
        <is>
          <t>경기도</t>
        </is>
      </c>
      <c r="AC541" s="0" t="inlineStr">
        <is>
          <t>하남시</t>
        </is>
      </c>
      <c r="AD541" s="0" t="inlineStr">
        <is>
          <t>학암동</t>
        </is>
      </c>
      <c r="AG541" s="0" t="inlineStr">
        <is>
          <t>경기도 하남시 위례중앙로 185</t>
        </is>
      </c>
      <c r="AH541" s="0" t="n">
        <v>0</v>
      </c>
      <c r="AI541" s="0" t="n">
        <v>218</v>
      </c>
      <c r="AJ541" s="0" t="n">
        <v>19</v>
      </c>
      <c r="AK541" s="0" t="n">
        <v>1579</v>
      </c>
      <c r="AL541" s="0" t="n">
        <v>1.63</v>
      </c>
    </row>
    <row r="542">
      <c r="A542" s="0" t="inlineStr">
        <is>
          <t>[학암동]</t>
        </is>
      </c>
      <c r="B542" s="0" t="n">
        <v>107022</v>
      </c>
      <c r="C542" s="0" t="n">
        <v>5</v>
      </c>
      <c r="D542" s="0" t="inlineStr">
        <is>
          <t>플로리체위례</t>
        </is>
      </c>
      <c r="E542" s="0" t="inlineStr">
        <is>
          <t>2015.10.</t>
        </is>
      </c>
      <c r="F542" s="0" t="n">
        <v>970</v>
      </c>
      <c r="G542" s="0" t="n">
        <v>39.98</v>
      </c>
      <c r="H542" s="0" t="n">
        <v>132.19</v>
      </c>
      <c r="I542" s="0" t="n">
        <v>30.84</v>
      </c>
      <c r="J542" s="0" t="n">
        <v>101.98</v>
      </c>
      <c r="K542" s="0" t="n">
        <v>368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132</v>
      </c>
      <c r="X542" s="0" t="n">
        <v>24</v>
      </c>
      <c r="Y542" s="0" t="n">
        <v>15</v>
      </c>
      <c r="Z542" s="0" t="inlineStr">
        <is>
          <t>https://new.land.naver.com/complexes/107022?tab=detail&amp;rf=Y</t>
        </is>
      </c>
      <c r="AA542" s="0" t="inlineStr">
        <is>
          <t>경기도 하남시 학암동 671</t>
        </is>
      </c>
      <c r="AB542" s="0" t="inlineStr">
        <is>
          <t>경기도</t>
        </is>
      </c>
      <c r="AC542" s="0" t="inlineStr">
        <is>
          <t>하남시</t>
        </is>
      </c>
      <c r="AD542" s="0" t="inlineStr">
        <is>
          <t>학암동</t>
        </is>
      </c>
      <c r="AG542" s="0" t="inlineStr">
        <is>
          <t>경기도 하남시 위례중앙로 185</t>
        </is>
      </c>
      <c r="AH542" s="0" t="n">
        <v>0</v>
      </c>
      <c r="AI542" s="0" t="n">
        <v>218</v>
      </c>
      <c r="AJ542" s="0" t="n">
        <v>19</v>
      </c>
      <c r="AK542" s="0" t="n">
        <v>1579</v>
      </c>
      <c r="AL542" s="0" t="n">
        <v>1.63</v>
      </c>
    </row>
    <row r="543">
      <c r="A543" s="0" t="inlineStr">
        <is>
          <t>[학암동]</t>
        </is>
      </c>
      <c r="B543" s="0" t="n">
        <v>107958</v>
      </c>
      <c r="C543" s="0" t="n">
        <v>1</v>
      </c>
      <c r="D543" s="0" t="inlineStr">
        <is>
          <t>위례신도시엠코타운센트로엘</t>
        </is>
      </c>
      <c r="E543" s="0" t="inlineStr">
        <is>
          <t>2016.06.</t>
        </is>
      </c>
      <c r="F543" s="0" t="n">
        <v>673</v>
      </c>
      <c r="G543" s="0" t="n">
        <v>37.66</v>
      </c>
      <c r="H543" s="0" t="n">
        <v>124.52</v>
      </c>
      <c r="I543" s="0" t="n">
        <v>28.86</v>
      </c>
      <c r="J543" s="0" t="n">
        <v>95.42</v>
      </c>
      <c r="K543" s="0" t="n">
        <v>161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124</v>
      </c>
      <c r="X543" s="0" t="n">
        <v>26</v>
      </c>
      <c r="Y543" s="0" t="n">
        <v>13</v>
      </c>
      <c r="Z543" s="0" t="inlineStr">
        <is>
          <t>https://new.land.naver.com/complexes/107958?tab=detail&amp;rf=Y</t>
        </is>
      </c>
      <c r="AA543" s="0" t="inlineStr">
        <is>
          <t>경기도 하남시 학암동 662</t>
        </is>
      </c>
      <c r="AB543" s="0" t="inlineStr">
        <is>
          <t>경기도</t>
        </is>
      </c>
      <c r="AC543" s="0" t="inlineStr">
        <is>
          <t>하남시</t>
        </is>
      </c>
      <c r="AD543" s="0" t="inlineStr">
        <is>
          <t>학암동</t>
        </is>
      </c>
      <c r="AG543" s="0" t="inlineStr">
        <is>
          <t>경기도 하남시 위례광장로 265</t>
        </is>
      </c>
      <c r="AH543" s="0" t="n">
        <v>0</v>
      </c>
      <c r="AI543" s="0" t="n">
        <v>209</v>
      </c>
      <c r="AJ543" s="0" t="n">
        <v>18</v>
      </c>
      <c r="AK543" s="0" t="n">
        <v>1124</v>
      </c>
      <c r="AL543" s="0" t="n">
        <v>1.67</v>
      </c>
    </row>
    <row r="544">
      <c r="A544" s="0" t="inlineStr">
        <is>
          <t>[학암동]</t>
        </is>
      </c>
      <c r="B544" s="0" t="n">
        <v>107958</v>
      </c>
      <c r="C544" s="0" t="n">
        <v>2</v>
      </c>
      <c r="D544" s="0" t="inlineStr">
        <is>
          <t>위례신도시엠코타운센트로엘</t>
        </is>
      </c>
      <c r="E544" s="0" t="inlineStr">
        <is>
          <t>2016.06.</t>
        </is>
      </c>
      <c r="F544" s="0" t="n">
        <v>673</v>
      </c>
      <c r="G544" s="0" t="n">
        <v>38.87</v>
      </c>
      <c r="H544" s="0" t="n">
        <v>128.52</v>
      </c>
      <c r="I544" s="0" t="n">
        <v>29.87</v>
      </c>
      <c r="J544" s="0" t="n">
        <v>98.75</v>
      </c>
      <c r="K544" s="0" t="n">
        <v>265</v>
      </c>
      <c r="T544" s="0" t="n">
        <v>4</v>
      </c>
      <c r="U544" s="0" t="n">
        <v>2</v>
      </c>
      <c r="V544" s="0" t="inlineStr">
        <is>
          <t>계단식</t>
        </is>
      </c>
      <c r="W544" s="0" t="inlineStr">
        <is>
          <t>128B</t>
        </is>
      </c>
      <c r="X544" s="0" t="n">
        <v>26</v>
      </c>
      <c r="Y544" s="0" t="n">
        <v>13</v>
      </c>
      <c r="Z544" s="0" t="inlineStr">
        <is>
          <t>https://new.land.naver.com/complexes/107958?tab=detail&amp;rf=Y</t>
        </is>
      </c>
      <c r="AA544" s="0" t="inlineStr">
        <is>
          <t>경기도 하남시 학암동 662</t>
        </is>
      </c>
      <c r="AB544" s="0" t="inlineStr">
        <is>
          <t>경기도</t>
        </is>
      </c>
      <c r="AC544" s="0" t="inlineStr">
        <is>
          <t>하남시</t>
        </is>
      </c>
      <c r="AD544" s="0" t="inlineStr">
        <is>
          <t>학암동</t>
        </is>
      </c>
      <c r="AG544" s="0" t="inlineStr">
        <is>
          <t>경기도 하남시 위례광장로 265</t>
        </is>
      </c>
      <c r="AH544" s="0" t="n">
        <v>0</v>
      </c>
      <c r="AI544" s="0" t="n">
        <v>209</v>
      </c>
      <c r="AJ544" s="0" t="n">
        <v>18</v>
      </c>
      <c r="AK544" s="0" t="n">
        <v>1124</v>
      </c>
      <c r="AL544" s="0" t="n">
        <v>1.67</v>
      </c>
    </row>
    <row r="545">
      <c r="A545" s="0" t="inlineStr">
        <is>
          <t>[학암동]</t>
        </is>
      </c>
      <c r="B545" s="0" t="n">
        <v>107958</v>
      </c>
      <c r="C545" s="0" t="n">
        <v>3</v>
      </c>
      <c r="D545" s="0" t="inlineStr">
        <is>
          <t>위례신도시엠코타운센트로엘</t>
        </is>
      </c>
      <c r="E545" s="0" t="inlineStr">
        <is>
          <t>2016.06.</t>
        </is>
      </c>
      <c r="F545" s="0" t="n">
        <v>673</v>
      </c>
      <c r="G545" s="0" t="n">
        <v>38.72</v>
      </c>
      <c r="H545" s="0" t="n">
        <v>128.02</v>
      </c>
      <c r="I545" s="0" t="n">
        <v>29.88</v>
      </c>
      <c r="J545" s="0" t="n">
        <v>98.79000000000001</v>
      </c>
      <c r="K545" s="0" t="n">
        <v>247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128A</t>
        </is>
      </c>
      <c r="X545" s="0" t="n">
        <v>26</v>
      </c>
      <c r="Y545" s="0" t="n">
        <v>13</v>
      </c>
      <c r="Z545" s="0" t="inlineStr">
        <is>
          <t>https://new.land.naver.com/complexes/107958?tab=detail&amp;rf=Y</t>
        </is>
      </c>
      <c r="AA545" s="0" t="inlineStr">
        <is>
          <t>경기도 하남시 학암동 662</t>
        </is>
      </c>
      <c r="AB545" s="0" t="inlineStr">
        <is>
          <t>경기도</t>
        </is>
      </c>
      <c r="AC545" s="0" t="inlineStr">
        <is>
          <t>하남시</t>
        </is>
      </c>
      <c r="AD545" s="0" t="inlineStr">
        <is>
          <t>학암동</t>
        </is>
      </c>
      <c r="AG545" s="0" t="inlineStr">
        <is>
          <t>경기도 하남시 위례광장로 265</t>
        </is>
      </c>
      <c r="AH545" s="0" t="n">
        <v>0</v>
      </c>
      <c r="AI545" s="0" t="n">
        <v>209</v>
      </c>
      <c r="AJ545" s="0" t="n">
        <v>18</v>
      </c>
      <c r="AK545" s="0" t="n">
        <v>1124</v>
      </c>
      <c r="AL545" s="0" t="n">
        <v>1.67</v>
      </c>
    </row>
    <row r="546">
      <c r="A546" s="0" t="inlineStr">
        <is>
          <t>[학암동]</t>
        </is>
      </c>
      <c r="B546" s="0" t="n">
        <v>125343</v>
      </c>
      <c r="C546" s="0" t="n">
        <v>1</v>
      </c>
      <c r="D546" s="0" t="inlineStr">
        <is>
          <t>LH위례포엘리움</t>
        </is>
      </c>
      <c r="E546" s="0" t="inlineStr">
        <is>
          <t>2021.09.</t>
        </is>
      </c>
      <c r="F546" s="0" t="n">
        <v>508</v>
      </c>
      <c r="G546" s="0" t="n">
        <v>20.74</v>
      </c>
      <c r="H546" s="0" t="n">
        <v>68.58</v>
      </c>
      <c r="I546" s="0" t="n">
        <v>14.19</v>
      </c>
      <c r="J546" s="0" t="n">
        <v>46.92</v>
      </c>
      <c r="K546" s="0" t="n">
        <v>115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68A</t>
        </is>
      </c>
      <c r="X546" s="0" t="n">
        <v>25</v>
      </c>
      <c r="Y546" s="0" t="n">
        <v>16</v>
      </c>
      <c r="Z546" s="0" t="inlineStr">
        <is>
          <t>https://new.land.naver.com/complexes/125343?tab=detail&amp;rf=Y</t>
        </is>
      </c>
      <c r="AA546" s="0" t="inlineStr">
        <is>
          <t>경기도 하남시 학암동 645</t>
        </is>
      </c>
      <c r="AB546" s="0" t="inlineStr">
        <is>
          <t>경기도</t>
        </is>
      </c>
      <c r="AC546" s="0" t="inlineStr">
        <is>
          <t>하남시</t>
        </is>
      </c>
      <c r="AD546" s="0" t="inlineStr">
        <is>
          <t>학암동</t>
        </is>
      </c>
      <c r="AG546" s="0" t="inlineStr">
        <is>
          <t>경기도 하남시 위례학암로 30</t>
        </is>
      </c>
      <c r="AH546" s="0" t="n">
        <v>168</v>
      </c>
      <c r="AI546" s="0" t="n">
        <v>194</v>
      </c>
      <c r="AJ546" s="0" t="n">
        <v>20</v>
      </c>
      <c r="AK546" s="0" t="n">
        <v>612</v>
      </c>
      <c r="AL546" s="0" t="n">
        <v>1.2</v>
      </c>
    </row>
    <row r="547">
      <c r="A547" s="0" t="inlineStr">
        <is>
          <t>[학암동]</t>
        </is>
      </c>
      <c r="B547" s="0" t="n">
        <v>125343</v>
      </c>
      <c r="C547" s="0" t="n">
        <v>2</v>
      </c>
      <c r="D547" s="0" t="inlineStr">
        <is>
          <t>LH위례포엘리움</t>
        </is>
      </c>
      <c r="E547" s="0" t="inlineStr">
        <is>
          <t>2021.09.</t>
        </is>
      </c>
      <c r="F547" s="0" t="n">
        <v>508</v>
      </c>
      <c r="G547" s="0" t="n">
        <v>20.7</v>
      </c>
      <c r="H547" s="0" t="n">
        <v>68.45999999999999</v>
      </c>
      <c r="I547" s="0" t="n">
        <v>14.16</v>
      </c>
      <c r="J547" s="0" t="n">
        <v>46.84</v>
      </c>
      <c r="K547" s="0" t="n">
        <v>68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68B</t>
        </is>
      </c>
      <c r="X547" s="0" t="n">
        <v>25</v>
      </c>
      <c r="Y547" s="0" t="n">
        <v>16</v>
      </c>
      <c r="Z547" s="0" t="inlineStr">
        <is>
          <t>https://new.land.naver.com/complexes/125343?tab=detail&amp;rf=Y</t>
        </is>
      </c>
      <c r="AA547" s="0" t="inlineStr">
        <is>
          <t>경기도 하남시 학암동 645</t>
        </is>
      </c>
      <c r="AB547" s="0" t="inlineStr">
        <is>
          <t>경기도</t>
        </is>
      </c>
      <c r="AC547" s="0" t="inlineStr">
        <is>
          <t>하남시</t>
        </is>
      </c>
      <c r="AD547" s="0" t="inlineStr">
        <is>
          <t>학암동</t>
        </is>
      </c>
      <c r="AG547" s="0" t="inlineStr">
        <is>
          <t>경기도 하남시 위례학암로 30</t>
        </is>
      </c>
      <c r="AH547" s="0" t="n">
        <v>168</v>
      </c>
      <c r="AI547" s="0" t="n">
        <v>194</v>
      </c>
      <c r="AJ547" s="0" t="n">
        <v>20</v>
      </c>
      <c r="AK547" s="0" t="n">
        <v>612</v>
      </c>
      <c r="AL547" s="0" t="n">
        <v>1.2</v>
      </c>
    </row>
    <row r="548">
      <c r="A548" s="0" t="inlineStr">
        <is>
          <t>[학암동]</t>
        </is>
      </c>
      <c r="B548" s="0" t="n">
        <v>125343</v>
      </c>
      <c r="C548" s="0" t="n">
        <v>3</v>
      </c>
      <c r="D548" s="0" t="inlineStr">
        <is>
          <t>LH위례포엘리움</t>
        </is>
      </c>
      <c r="E548" s="0" t="inlineStr">
        <is>
          <t>2021.09.</t>
        </is>
      </c>
      <c r="F548" s="0" t="n">
        <v>508</v>
      </c>
      <c r="G548" s="0" t="n">
        <v>20.69</v>
      </c>
      <c r="H548" s="0" t="n">
        <v>68.41</v>
      </c>
      <c r="I548" s="0" t="n">
        <v>14.16</v>
      </c>
      <c r="J548" s="0" t="n">
        <v>46.81</v>
      </c>
      <c r="K548" s="0" t="n">
        <v>14</v>
      </c>
      <c r="T548" s="0" t="n">
        <v>2</v>
      </c>
      <c r="U548" s="0" t="n">
        <v>1</v>
      </c>
      <c r="V548" s="0" t="inlineStr">
        <is>
          <t>계단식</t>
        </is>
      </c>
      <c r="W548" s="0" t="inlineStr">
        <is>
          <t>68B-1</t>
        </is>
      </c>
      <c r="X548" s="0" t="n">
        <v>25</v>
      </c>
      <c r="Y548" s="0" t="n">
        <v>16</v>
      </c>
      <c r="Z548" s="0" t="inlineStr">
        <is>
          <t>https://new.land.naver.com/complexes/125343?tab=detail&amp;rf=Y</t>
        </is>
      </c>
      <c r="AA548" s="0" t="inlineStr">
        <is>
          <t>경기도 하남시 학암동 645</t>
        </is>
      </c>
      <c r="AB548" s="0" t="inlineStr">
        <is>
          <t>경기도</t>
        </is>
      </c>
      <c r="AC548" s="0" t="inlineStr">
        <is>
          <t>하남시</t>
        </is>
      </c>
      <c r="AD548" s="0" t="inlineStr">
        <is>
          <t>학암동</t>
        </is>
      </c>
      <c r="AG548" s="0" t="inlineStr">
        <is>
          <t>경기도 하남시 위례학암로 30</t>
        </is>
      </c>
      <c r="AH548" s="0" t="n">
        <v>168</v>
      </c>
      <c r="AI548" s="0" t="n">
        <v>194</v>
      </c>
      <c r="AJ548" s="0" t="n">
        <v>20</v>
      </c>
      <c r="AK548" s="0" t="n">
        <v>612</v>
      </c>
      <c r="AL548" s="0" t="n">
        <v>1.2</v>
      </c>
    </row>
    <row r="549">
      <c r="A549" s="0" t="inlineStr">
        <is>
          <t>[학암동]</t>
        </is>
      </c>
      <c r="B549" s="0" t="n">
        <v>125343</v>
      </c>
      <c r="C549" s="0" t="n">
        <v>4</v>
      </c>
      <c r="D549" s="0" t="inlineStr">
        <is>
          <t>LH위례포엘리움</t>
        </is>
      </c>
      <c r="E549" s="0" t="inlineStr">
        <is>
          <t>2021.09.</t>
        </is>
      </c>
      <c r="F549" s="0" t="n">
        <v>508</v>
      </c>
      <c r="G549" s="0" t="n">
        <v>20.74</v>
      </c>
      <c r="H549" s="0" t="n">
        <v>68.58</v>
      </c>
      <c r="I549" s="0" t="n">
        <v>14.19</v>
      </c>
      <c r="J549" s="0" t="n">
        <v>46.92</v>
      </c>
      <c r="K549" s="0" t="n">
        <v>12</v>
      </c>
      <c r="T549" s="0" t="n">
        <v>2</v>
      </c>
      <c r="U549" s="0" t="n">
        <v>1</v>
      </c>
      <c r="V549" s="0" t="inlineStr">
        <is>
          <t>계단식</t>
        </is>
      </c>
      <c r="W549" s="0" t="inlineStr">
        <is>
          <t>68A-1</t>
        </is>
      </c>
      <c r="X549" s="0" t="n">
        <v>25</v>
      </c>
      <c r="Y549" s="0" t="n">
        <v>16</v>
      </c>
      <c r="Z549" s="0" t="inlineStr">
        <is>
          <t>https://new.land.naver.com/complexes/125343?tab=detail&amp;rf=Y</t>
        </is>
      </c>
      <c r="AA549" s="0" t="inlineStr">
        <is>
          <t>경기도 하남시 학암동 645</t>
        </is>
      </c>
      <c r="AB549" s="0" t="inlineStr">
        <is>
          <t>경기도</t>
        </is>
      </c>
      <c r="AC549" s="0" t="inlineStr">
        <is>
          <t>하남시</t>
        </is>
      </c>
      <c r="AD549" s="0" t="inlineStr">
        <is>
          <t>학암동</t>
        </is>
      </c>
      <c r="AG549" s="0" t="inlineStr">
        <is>
          <t>경기도 하남시 위례학암로 30</t>
        </is>
      </c>
      <c r="AH549" s="0" t="n">
        <v>168</v>
      </c>
      <c r="AI549" s="0" t="n">
        <v>194</v>
      </c>
      <c r="AJ549" s="0" t="n">
        <v>20</v>
      </c>
      <c r="AK549" s="0" t="n">
        <v>612</v>
      </c>
      <c r="AL549" s="0" t="n">
        <v>1.2</v>
      </c>
    </row>
    <row r="550">
      <c r="A550" s="0" t="inlineStr">
        <is>
          <t>[학암동]</t>
        </is>
      </c>
      <c r="B550" s="0" t="n">
        <v>125343</v>
      </c>
      <c r="C550" s="0" t="n">
        <v>5</v>
      </c>
      <c r="D550" s="0" t="inlineStr">
        <is>
          <t>LH위례포엘리움</t>
        </is>
      </c>
      <c r="E550" s="0" t="inlineStr">
        <is>
          <t>2021.09.</t>
        </is>
      </c>
      <c r="F550" s="0" t="n">
        <v>508</v>
      </c>
      <c r="G550" s="0" t="n">
        <v>24.74</v>
      </c>
      <c r="H550" s="0" t="n">
        <v>81.79000000000001</v>
      </c>
      <c r="I550" s="0" t="n">
        <v>16.92</v>
      </c>
      <c r="J550" s="0" t="n">
        <v>55.96</v>
      </c>
      <c r="K550" s="0" t="n">
        <v>70</v>
      </c>
      <c r="T550" s="0" t="n">
        <v>2</v>
      </c>
      <c r="U550" s="0" t="n">
        <v>2</v>
      </c>
      <c r="V550" s="0" t="inlineStr">
        <is>
          <t>계단식</t>
        </is>
      </c>
      <c r="W550" s="0" t="inlineStr">
        <is>
          <t>81A</t>
        </is>
      </c>
      <c r="X550" s="0" t="n">
        <v>25</v>
      </c>
      <c r="Y550" s="0" t="n">
        <v>16</v>
      </c>
      <c r="Z550" s="0" t="inlineStr">
        <is>
          <t>https://new.land.naver.com/complexes/125343?tab=detail&amp;rf=Y</t>
        </is>
      </c>
      <c r="AA550" s="0" t="inlineStr">
        <is>
          <t>경기도 하남시 학암동 645</t>
        </is>
      </c>
      <c r="AB550" s="0" t="inlineStr">
        <is>
          <t>경기도</t>
        </is>
      </c>
      <c r="AC550" s="0" t="inlineStr">
        <is>
          <t>하남시</t>
        </is>
      </c>
      <c r="AD550" s="0" t="inlineStr">
        <is>
          <t>학암동</t>
        </is>
      </c>
      <c r="AG550" s="0" t="inlineStr">
        <is>
          <t>경기도 하남시 위례학암로 30</t>
        </is>
      </c>
      <c r="AH550" s="0" t="n">
        <v>168</v>
      </c>
      <c r="AI550" s="0" t="n">
        <v>194</v>
      </c>
      <c r="AJ550" s="0" t="n">
        <v>20</v>
      </c>
      <c r="AK550" s="0" t="n">
        <v>612</v>
      </c>
      <c r="AL550" s="0" t="n">
        <v>1.2</v>
      </c>
    </row>
    <row r="551">
      <c r="A551" s="0" t="inlineStr">
        <is>
          <t>[학암동]</t>
        </is>
      </c>
      <c r="B551" s="0" t="n">
        <v>125343</v>
      </c>
      <c r="C551" s="0" t="n">
        <v>6</v>
      </c>
      <c r="D551" s="0" t="inlineStr">
        <is>
          <t>LH위례포엘리움</t>
        </is>
      </c>
      <c r="E551" s="0" t="inlineStr">
        <is>
          <t>2021.09.</t>
        </is>
      </c>
      <c r="F551" s="0" t="n">
        <v>508</v>
      </c>
      <c r="G551" s="0" t="n">
        <v>24.75</v>
      </c>
      <c r="H551" s="0" t="n">
        <v>81.83</v>
      </c>
      <c r="I551" s="0" t="n">
        <v>16.93</v>
      </c>
      <c r="J551" s="0" t="n">
        <v>55.99</v>
      </c>
      <c r="K551" s="0" t="n">
        <v>45</v>
      </c>
      <c r="T551" s="0" t="n">
        <v>2</v>
      </c>
      <c r="U551" s="0" t="n">
        <v>2</v>
      </c>
      <c r="V551" s="0" t="inlineStr">
        <is>
          <t>계단식</t>
        </is>
      </c>
      <c r="W551" s="0" t="inlineStr">
        <is>
          <t>81B</t>
        </is>
      </c>
      <c r="X551" s="0" t="n">
        <v>25</v>
      </c>
      <c r="Y551" s="0" t="n">
        <v>16</v>
      </c>
      <c r="Z551" s="0" t="inlineStr">
        <is>
          <t>https://new.land.naver.com/complexes/125343?tab=detail&amp;rf=Y</t>
        </is>
      </c>
      <c r="AA551" s="0" t="inlineStr">
        <is>
          <t>경기도 하남시 학암동 645</t>
        </is>
      </c>
      <c r="AB551" s="0" t="inlineStr">
        <is>
          <t>경기도</t>
        </is>
      </c>
      <c r="AC551" s="0" t="inlineStr">
        <is>
          <t>하남시</t>
        </is>
      </c>
      <c r="AD551" s="0" t="inlineStr">
        <is>
          <t>학암동</t>
        </is>
      </c>
      <c r="AG551" s="0" t="inlineStr">
        <is>
          <t>경기도 하남시 위례학암로 30</t>
        </is>
      </c>
      <c r="AH551" s="0" t="n">
        <v>168</v>
      </c>
      <c r="AI551" s="0" t="n">
        <v>194</v>
      </c>
      <c r="AJ551" s="0" t="n">
        <v>20</v>
      </c>
      <c r="AK551" s="0" t="n">
        <v>612</v>
      </c>
      <c r="AL551" s="0" t="n">
        <v>1.2</v>
      </c>
    </row>
    <row r="552">
      <c r="A552" s="0" t="inlineStr">
        <is>
          <t>[학암동]</t>
        </is>
      </c>
      <c r="B552" s="0" t="n">
        <v>125343</v>
      </c>
      <c r="C552" s="0" t="n">
        <v>7</v>
      </c>
      <c r="D552" s="0" t="inlineStr">
        <is>
          <t>LH위례포엘리움</t>
        </is>
      </c>
      <c r="E552" s="0" t="inlineStr">
        <is>
          <t>2021.09.</t>
        </is>
      </c>
      <c r="F552" s="0" t="n">
        <v>508</v>
      </c>
      <c r="G552" s="0" t="n">
        <v>24.75</v>
      </c>
      <c r="H552" s="0" t="n">
        <v>81.83</v>
      </c>
      <c r="I552" s="0" t="n">
        <v>16.93</v>
      </c>
      <c r="J552" s="0" t="n">
        <v>55.99</v>
      </c>
      <c r="K552" s="0" t="n">
        <v>12</v>
      </c>
      <c r="T552" s="0" t="n">
        <v>2</v>
      </c>
      <c r="U552" s="0" t="n">
        <v>2</v>
      </c>
      <c r="V552" s="0" t="inlineStr">
        <is>
          <t>계단식</t>
        </is>
      </c>
      <c r="W552" s="0" t="inlineStr">
        <is>
          <t>81B-1</t>
        </is>
      </c>
      <c r="X552" s="0" t="n">
        <v>25</v>
      </c>
      <c r="Y552" s="0" t="n">
        <v>16</v>
      </c>
      <c r="Z552" s="0" t="inlineStr">
        <is>
          <t>https://new.land.naver.com/complexes/125343?tab=detail&amp;rf=Y</t>
        </is>
      </c>
      <c r="AA552" s="0" t="inlineStr">
        <is>
          <t>경기도 하남시 학암동 645</t>
        </is>
      </c>
      <c r="AB552" s="0" t="inlineStr">
        <is>
          <t>경기도</t>
        </is>
      </c>
      <c r="AC552" s="0" t="inlineStr">
        <is>
          <t>하남시</t>
        </is>
      </c>
      <c r="AD552" s="0" t="inlineStr">
        <is>
          <t>학암동</t>
        </is>
      </c>
      <c r="AG552" s="0" t="inlineStr">
        <is>
          <t>경기도 하남시 위례학암로 30</t>
        </is>
      </c>
      <c r="AH552" s="0" t="n">
        <v>168</v>
      </c>
      <c r="AI552" s="0" t="n">
        <v>194</v>
      </c>
      <c r="AJ552" s="0" t="n">
        <v>20</v>
      </c>
      <c r="AK552" s="0" t="n">
        <v>612</v>
      </c>
      <c r="AL552" s="0" t="n">
        <v>1.2</v>
      </c>
    </row>
    <row r="553">
      <c r="A553" s="0" t="inlineStr">
        <is>
          <t>[학암동]</t>
        </is>
      </c>
      <c r="B553" s="0" t="n">
        <v>125343</v>
      </c>
      <c r="C553" s="0" t="n">
        <v>8</v>
      </c>
      <c r="D553" s="0" t="inlineStr">
        <is>
          <t>LH위례포엘리움</t>
        </is>
      </c>
      <c r="E553" s="0" t="inlineStr">
        <is>
          <t>2021.09.</t>
        </is>
      </c>
      <c r="F553" s="0" t="n">
        <v>508</v>
      </c>
      <c r="G553" s="0" t="n">
        <v>24.75</v>
      </c>
      <c r="H553" s="0" t="n">
        <v>81.81999999999999</v>
      </c>
      <c r="I553" s="0" t="n">
        <v>16.93</v>
      </c>
      <c r="J553" s="0" t="n">
        <v>55.98</v>
      </c>
      <c r="K553" s="0" t="n">
        <v>9</v>
      </c>
      <c r="T553" s="0" t="n">
        <v>2</v>
      </c>
      <c r="U553" s="0" t="n">
        <v>2</v>
      </c>
      <c r="V553" s="0" t="inlineStr">
        <is>
          <t>계단식</t>
        </is>
      </c>
      <c r="W553" s="0" t="inlineStr">
        <is>
          <t>81A-1</t>
        </is>
      </c>
      <c r="X553" s="0" t="n">
        <v>25</v>
      </c>
      <c r="Y553" s="0" t="n">
        <v>16</v>
      </c>
      <c r="Z553" s="0" t="inlineStr">
        <is>
          <t>https://new.land.naver.com/complexes/125343?tab=detail&amp;rf=Y</t>
        </is>
      </c>
      <c r="AA553" s="0" t="inlineStr">
        <is>
          <t>경기도 하남시 학암동 645</t>
        </is>
      </c>
      <c r="AB553" s="0" t="inlineStr">
        <is>
          <t>경기도</t>
        </is>
      </c>
      <c r="AC553" s="0" t="inlineStr">
        <is>
          <t>하남시</t>
        </is>
      </c>
      <c r="AD553" s="0" t="inlineStr">
        <is>
          <t>학암동</t>
        </is>
      </c>
      <c r="AG553" s="0" t="inlineStr">
        <is>
          <t>경기도 하남시 위례학암로 30</t>
        </is>
      </c>
      <c r="AH553" s="0" t="n">
        <v>168</v>
      </c>
      <c r="AI553" s="0" t="n">
        <v>194</v>
      </c>
      <c r="AJ553" s="0" t="n">
        <v>20</v>
      </c>
      <c r="AK553" s="0" t="n">
        <v>612</v>
      </c>
      <c r="AL553" s="0" t="n">
        <v>1.2</v>
      </c>
    </row>
    <row r="554">
      <c r="A554" s="0" t="inlineStr">
        <is>
          <t>[학암동]</t>
        </is>
      </c>
      <c r="B554" s="0" t="n">
        <v>108651</v>
      </c>
      <c r="C554" s="0" t="n">
        <v>1</v>
      </c>
      <c r="D554" s="0" t="inlineStr">
        <is>
          <t>위례신도시신안인스빌아스트로</t>
        </is>
      </c>
      <c r="E554" s="0" t="inlineStr">
        <is>
          <t>2017.02.</t>
        </is>
      </c>
      <c r="F554" s="0" t="n">
        <v>694</v>
      </c>
      <c r="G554" s="0" t="n">
        <v>37.44</v>
      </c>
      <c r="H554" s="0" t="n">
        <v>123.8</v>
      </c>
      <c r="I554" s="0" t="n">
        <v>29.33</v>
      </c>
      <c r="J554" s="0" t="n">
        <v>96.98999999999999</v>
      </c>
      <c r="K554" s="0" t="n">
        <v>273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123A</t>
        </is>
      </c>
      <c r="X554" s="0" t="n">
        <v>25</v>
      </c>
      <c r="Y554" s="0" t="n">
        <v>15</v>
      </c>
      <c r="Z554" s="0" t="inlineStr">
        <is>
          <t>https://new.land.naver.com/complexes/108651?tab=detail&amp;rf=Y</t>
        </is>
      </c>
      <c r="AA554" s="0" t="inlineStr">
        <is>
          <t>경기도 하남시 학암동 663</t>
        </is>
      </c>
      <c r="AB554" s="0" t="inlineStr">
        <is>
          <t>경기도</t>
        </is>
      </c>
      <c r="AC554" s="0" t="inlineStr">
        <is>
          <t>하남시</t>
        </is>
      </c>
      <c r="AD554" s="0" t="inlineStr">
        <is>
          <t>학암동</t>
        </is>
      </c>
      <c r="AG554" s="0" t="inlineStr">
        <is>
          <t>경기도 하남시 위례광장로 285</t>
        </is>
      </c>
      <c r="AH554" s="0" t="n">
        <v>0</v>
      </c>
      <c r="AI554" s="0" t="n">
        <v>209</v>
      </c>
      <c r="AJ554" s="0" t="n">
        <v>18</v>
      </c>
      <c r="AK554" s="0" t="n">
        <v>1172</v>
      </c>
      <c r="AL554" s="0" t="n">
        <v>1.69</v>
      </c>
    </row>
    <row r="555">
      <c r="A555" s="0" t="inlineStr">
        <is>
          <t>[학암동]</t>
        </is>
      </c>
      <c r="B555" s="0" t="n">
        <v>108651</v>
      </c>
      <c r="C555" s="0" t="n">
        <v>2</v>
      </c>
      <c r="D555" s="0" t="inlineStr">
        <is>
          <t>위례신도시신안인스빌아스트로</t>
        </is>
      </c>
      <c r="E555" s="0" t="inlineStr">
        <is>
          <t>2017.02.</t>
        </is>
      </c>
      <c r="F555" s="0" t="n">
        <v>694</v>
      </c>
      <c r="G555" s="0" t="n">
        <v>37.71</v>
      </c>
      <c r="H555" s="0" t="n">
        <v>124.68</v>
      </c>
      <c r="I555" s="0" t="n">
        <v>29.32</v>
      </c>
      <c r="J555" s="0" t="n">
        <v>96.94</v>
      </c>
      <c r="K555" s="0" t="n">
        <v>197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124B</t>
        </is>
      </c>
      <c r="X555" s="0" t="n">
        <v>25</v>
      </c>
      <c r="Y555" s="0" t="n">
        <v>15</v>
      </c>
      <c r="Z555" s="0" t="inlineStr">
        <is>
          <t>https://new.land.naver.com/complexes/108651?tab=detail&amp;rf=Y</t>
        </is>
      </c>
      <c r="AA555" s="0" t="inlineStr">
        <is>
          <t>경기도 하남시 학암동 663</t>
        </is>
      </c>
      <c r="AB555" s="0" t="inlineStr">
        <is>
          <t>경기도</t>
        </is>
      </c>
      <c r="AC555" s="0" t="inlineStr">
        <is>
          <t>하남시</t>
        </is>
      </c>
      <c r="AD555" s="0" t="inlineStr">
        <is>
          <t>학암동</t>
        </is>
      </c>
      <c r="AG555" s="0" t="inlineStr">
        <is>
          <t>경기도 하남시 위례광장로 285</t>
        </is>
      </c>
      <c r="AH555" s="0" t="n">
        <v>0</v>
      </c>
      <c r="AI555" s="0" t="n">
        <v>209</v>
      </c>
      <c r="AJ555" s="0" t="n">
        <v>18</v>
      </c>
      <c r="AK555" s="0" t="n">
        <v>1172</v>
      </c>
      <c r="AL555" s="0" t="n">
        <v>1.69</v>
      </c>
    </row>
    <row r="556">
      <c r="A556" s="0" t="inlineStr">
        <is>
          <t>[학암동]</t>
        </is>
      </c>
      <c r="B556" s="0" t="n">
        <v>108651</v>
      </c>
      <c r="C556" s="0" t="n">
        <v>3</v>
      </c>
      <c r="D556" s="0" t="inlineStr">
        <is>
          <t>위례신도시신안인스빌아스트로</t>
        </is>
      </c>
      <c r="E556" s="0" t="inlineStr">
        <is>
          <t>2017.02.</t>
        </is>
      </c>
      <c r="F556" s="0" t="n">
        <v>694</v>
      </c>
      <c r="G556" s="0" t="n">
        <v>39.71</v>
      </c>
      <c r="H556" s="0" t="n">
        <v>131.28</v>
      </c>
      <c r="I556" s="0" t="n">
        <v>30.62</v>
      </c>
      <c r="J556" s="0" t="n">
        <v>101.23</v>
      </c>
      <c r="K556" s="0" t="n">
        <v>149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131A</t>
        </is>
      </c>
      <c r="X556" s="0" t="n">
        <v>25</v>
      </c>
      <c r="Y556" s="0" t="n">
        <v>15</v>
      </c>
      <c r="Z556" s="0" t="inlineStr">
        <is>
          <t>https://new.land.naver.com/complexes/108651?tab=detail&amp;rf=Y</t>
        </is>
      </c>
      <c r="AA556" s="0" t="inlineStr">
        <is>
          <t>경기도 하남시 학암동 663</t>
        </is>
      </c>
      <c r="AB556" s="0" t="inlineStr">
        <is>
          <t>경기도</t>
        </is>
      </c>
      <c r="AC556" s="0" t="inlineStr">
        <is>
          <t>하남시</t>
        </is>
      </c>
      <c r="AD556" s="0" t="inlineStr">
        <is>
          <t>학암동</t>
        </is>
      </c>
      <c r="AG556" s="0" t="inlineStr">
        <is>
          <t>경기도 하남시 위례광장로 285</t>
        </is>
      </c>
      <c r="AH556" s="0" t="n">
        <v>0</v>
      </c>
      <c r="AI556" s="0" t="n">
        <v>209</v>
      </c>
      <c r="AJ556" s="0" t="n">
        <v>18</v>
      </c>
      <c r="AK556" s="0" t="n">
        <v>1172</v>
      </c>
      <c r="AL556" s="0" t="n">
        <v>1.69</v>
      </c>
    </row>
    <row r="557">
      <c r="A557" s="0" t="inlineStr">
        <is>
          <t>[학암동]</t>
        </is>
      </c>
      <c r="B557" s="0" t="n">
        <v>108651</v>
      </c>
      <c r="C557" s="0" t="n">
        <v>4</v>
      </c>
      <c r="D557" s="0" t="inlineStr">
        <is>
          <t>위례신도시신안인스빌아스트로</t>
        </is>
      </c>
      <c r="E557" s="0" t="inlineStr">
        <is>
          <t>2017.02.</t>
        </is>
      </c>
      <c r="F557" s="0" t="n">
        <v>694</v>
      </c>
      <c r="G557" s="0" t="n">
        <v>39.69</v>
      </c>
      <c r="H557" s="0" t="n">
        <v>131.23</v>
      </c>
      <c r="I557" s="0" t="n">
        <v>30.77</v>
      </c>
      <c r="J557" s="0" t="n">
        <v>101.72</v>
      </c>
      <c r="K557" s="0" t="n">
        <v>75</v>
      </c>
      <c r="T557" s="0" t="n">
        <v>4</v>
      </c>
      <c r="U557" s="0" t="n">
        <v>2</v>
      </c>
      <c r="V557" s="0" t="inlineStr">
        <is>
          <t>계단식</t>
        </is>
      </c>
      <c r="W557" s="0" t="inlineStr">
        <is>
          <t>131B</t>
        </is>
      </c>
      <c r="X557" s="0" t="n">
        <v>25</v>
      </c>
      <c r="Y557" s="0" t="n">
        <v>15</v>
      </c>
      <c r="Z557" s="0" t="inlineStr">
        <is>
          <t>https://new.land.naver.com/complexes/108651?tab=detail&amp;rf=Y</t>
        </is>
      </c>
      <c r="AA557" s="0" t="inlineStr">
        <is>
          <t>경기도 하남시 학암동 663</t>
        </is>
      </c>
      <c r="AB557" s="0" t="inlineStr">
        <is>
          <t>경기도</t>
        </is>
      </c>
      <c r="AC557" s="0" t="inlineStr">
        <is>
          <t>하남시</t>
        </is>
      </c>
      <c r="AD557" s="0" t="inlineStr">
        <is>
          <t>학암동</t>
        </is>
      </c>
      <c r="AG557" s="0" t="inlineStr">
        <is>
          <t>경기도 하남시 위례광장로 285</t>
        </is>
      </c>
      <c r="AH557" s="0" t="n">
        <v>0</v>
      </c>
      <c r="AI557" s="0" t="n">
        <v>209</v>
      </c>
      <c r="AJ557" s="0" t="n">
        <v>18</v>
      </c>
      <c r="AK557" s="0" t="n">
        <v>1172</v>
      </c>
      <c r="AL557" s="0" t="n">
        <v>1.69</v>
      </c>
    </row>
    <row r="558">
      <c r="A558" s="0" t="inlineStr">
        <is>
          <t>[학암동]</t>
        </is>
      </c>
      <c r="B558" s="0" t="n">
        <v>125354</v>
      </c>
      <c r="C558" s="0" t="n">
        <v>1</v>
      </c>
      <c r="D558" s="0" t="inlineStr">
        <is>
          <t>힐스테이트센트럴위례</t>
        </is>
      </c>
      <c r="E558" s="0" t="inlineStr">
        <is>
          <t>2021.05.</t>
        </is>
      </c>
      <c r="F558" s="0" t="n">
        <v>1078</v>
      </c>
      <c r="G558" s="0" t="n">
        <v>35.15</v>
      </c>
      <c r="H558" s="0" t="n">
        <v>116.23</v>
      </c>
      <c r="I558" s="0" t="n">
        <v>27.96</v>
      </c>
      <c r="J558" s="0" t="n">
        <v>92.43000000000001</v>
      </c>
      <c r="K558" s="0" t="n">
        <v>167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116</v>
      </c>
      <c r="X558" s="0" t="n">
        <v>25</v>
      </c>
      <c r="Y558" s="0" t="n">
        <v>10</v>
      </c>
      <c r="Z558" s="0" t="inlineStr">
        <is>
          <t>https://new.land.naver.com/complexes/125354?tab=detail&amp;rf=Y</t>
        </is>
      </c>
      <c r="AA558" s="0" t="inlineStr">
        <is>
          <t>경기도 하남시 학암동 651</t>
        </is>
      </c>
      <c r="AB558" s="0" t="inlineStr">
        <is>
          <t>경기도</t>
        </is>
      </c>
      <c r="AC558" s="0" t="inlineStr">
        <is>
          <t>하남시</t>
        </is>
      </c>
      <c r="AD558" s="0" t="inlineStr">
        <is>
          <t>학암동</t>
        </is>
      </c>
      <c r="AG558" s="0" t="inlineStr">
        <is>
          <t>경기도 하남시 위례대로6길 15</t>
        </is>
      </c>
      <c r="AH558" s="0" t="n">
        <v>0</v>
      </c>
      <c r="AI558" s="0" t="n">
        <v>229</v>
      </c>
      <c r="AJ558" s="0" t="n">
        <v>18</v>
      </c>
      <c r="AK558" s="0" t="n">
        <v>1778</v>
      </c>
      <c r="AL558" s="0" t="n">
        <v>1.65</v>
      </c>
    </row>
    <row r="559">
      <c r="A559" s="0" t="inlineStr">
        <is>
          <t>[학암동]</t>
        </is>
      </c>
      <c r="B559" s="0" t="n">
        <v>125354</v>
      </c>
      <c r="C559" s="0" t="n">
        <v>2</v>
      </c>
      <c r="D559" s="0" t="inlineStr">
        <is>
          <t>힐스테이트센트럴위례</t>
        </is>
      </c>
      <c r="E559" s="0" t="inlineStr">
        <is>
          <t>2021.05.</t>
        </is>
      </c>
      <c r="F559" s="0" t="n">
        <v>1078</v>
      </c>
      <c r="G559" s="0" t="n">
        <v>38.19</v>
      </c>
      <c r="H559" s="0" t="n">
        <v>126.26</v>
      </c>
      <c r="I559" s="0" t="n">
        <v>29.85</v>
      </c>
      <c r="J559" s="0" t="n">
        <v>98.70999999999999</v>
      </c>
      <c r="K559" s="0" t="n">
        <v>192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126</v>
      </c>
      <c r="X559" s="0" t="n">
        <v>25</v>
      </c>
      <c r="Y559" s="0" t="n">
        <v>10</v>
      </c>
      <c r="Z559" s="0" t="inlineStr">
        <is>
          <t>https://new.land.naver.com/complexes/125354?tab=detail&amp;rf=Y</t>
        </is>
      </c>
      <c r="AA559" s="0" t="inlineStr">
        <is>
          <t>경기도 하남시 학암동 651</t>
        </is>
      </c>
      <c r="AB559" s="0" t="inlineStr">
        <is>
          <t>경기도</t>
        </is>
      </c>
      <c r="AC559" s="0" t="inlineStr">
        <is>
          <t>하남시</t>
        </is>
      </c>
      <c r="AD559" s="0" t="inlineStr">
        <is>
          <t>학암동</t>
        </is>
      </c>
      <c r="AG559" s="0" t="inlineStr">
        <is>
          <t>경기도 하남시 위례대로6길 15</t>
        </is>
      </c>
      <c r="AH559" s="0" t="n">
        <v>0</v>
      </c>
      <c r="AI559" s="0" t="n">
        <v>229</v>
      </c>
      <c r="AJ559" s="0" t="n">
        <v>18</v>
      </c>
      <c r="AK559" s="0" t="n">
        <v>1778</v>
      </c>
      <c r="AL559" s="0" t="n">
        <v>1.65</v>
      </c>
    </row>
    <row r="560">
      <c r="A560" s="0" t="inlineStr">
        <is>
          <t>[학암동]</t>
        </is>
      </c>
      <c r="B560" s="0" t="n">
        <v>125354</v>
      </c>
      <c r="C560" s="0" t="n">
        <v>3</v>
      </c>
      <c r="D560" s="0" t="inlineStr">
        <is>
          <t>힐스테이트센트럴위례</t>
        </is>
      </c>
      <c r="E560" s="0" t="inlineStr">
        <is>
          <t>2021.05.</t>
        </is>
      </c>
      <c r="F560" s="0" t="n">
        <v>1078</v>
      </c>
      <c r="G560" s="0" t="n">
        <v>39.36</v>
      </c>
      <c r="H560" s="0" t="n">
        <v>130.14</v>
      </c>
      <c r="I560" s="0" t="n">
        <v>31.02</v>
      </c>
      <c r="J560" s="0" t="n">
        <v>102.55</v>
      </c>
      <c r="K560" s="0" t="n">
        <v>719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130</v>
      </c>
      <c r="X560" s="0" t="n">
        <v>25</v>
      </c>
      <c r="Y560" s="0" t="n">
        <v>10</v>
      </c>
      <c r="Z560" s="0" t="inlineStr">
        <is>
          <t>https://new.land.naver.com/complexes/125354?tab=detail&amp;rf=Y</t>
        </is>
      </c>
      <c r="AA560" s="0" t="inlineStr">
        <is>
          <t>경기도 하남시 학암동 651</t>
        </is>
      </c>
      <c r="AB560" s="0" t="inlineStr">
        <is>
          <t>경기도</t>
        </is>
      </c>
      <c r="AC560" s="0" t="inlineStr">
        <is>
          <t>하남시</t>
        </is>
      </c>
      <c r="AD560" s="0" t="inlineStr">
        <is>
          <t>학암동</t>
        </is>
      </c>
      <c r="AG560" s="0" t="inlineStr">
        <is>
          <t>경기도 하남시 위례대로6길 15</t>
        </is>
      </c>
      <c r="AH560" s="0" t="n">
        <v>0</v>
      </c>
      <c r="AI560" s="0" t="n">
        <v>229</v>
      </c>
      <c r="AJ560" s="0" t="n">
        <v>18</v>
      </c>
      <c r="AK560" s="0" t="n">
        <v>1778</v>
      </c>
      <c r="AL560" s="0" t="n">
        <v>1.65</v>
      </c>
    </row>
    <row r="561">
      <c r="A561" s="0" t="inlineStr">
        <is>
          <t>[학암동]</t>
        </is>
      </c>
      <c r="B561" s="0" t="n">
        <v>131709</v>
      </c>
      <c r="C561" s="0" t="n">
        <v>1</v>
      </c>
      <c r="D561" s="0" t="inlineStr">
        <is>
          <t>위례신도시우미린2차</t>
        </is>
      </c>
      <c r="E561" s="0" t="inlineStr">
        <is>
          <t>2022.12.</t>
        </is>
      </c>
      <c r="F561" s="0" t="n">
        <v>420</v>
      </c>
      <c r="G561" s="0" t="n">
        <v>34.44</v>
      </c>
      <c r="H561" s="0" t="n">
        <v>113.87</v>
      </c>
      <c r="I561" s="0" t="n">
        <v>27.34</v>
      </c>
      <c r="J561" s="0" t="n">
        <v>90.41</v>
      </c>
      <c r="K561" s="0" t="n">
        <v>47</v>
      </c>
      <c r="T561" s="0" t="n">
        <v>4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25</v>
      </c>
      <c r="Y561" s="0" t="n">
        <v>12</v>
      </c>
      <c r="Z561" s="0" t="inlineStr">
        <is>
          <t>https://new.land.naver.com/complexes/131709?tab=detail&amp;rf=Y</t>
        </is>
      </c>
      <c r="AA561" s="0" t="inlineStr">
        <is>
          <t>경기도 하남시 학암동 위례신도시 A3-2블록</t>
        </is>
      </c>
      <c r="AB561" s="0" t="inlineStr">
        <is>
          <t>경기도</t>
        </is>
      </c>
      <c r="AC561" s="0" t="inlineStr">
        <is>
          <t>하남시</t>
        </is>
      </c>
      <c r="AD561" s="0" t="inlineStr">
        <is>
          <t>학암동</t>
        </is>
      </c>
      <c r="AG561" s="0" t="inlineStr">
        <is>
          <t>경기도 하남시</t>
        </is>
      </c>
      <c r="AH561" s="0" t="n">
        <v>0</v>
      </c>
      <c r="AI561" s="0" t="n">
        <v>179</v>
      </c>
      <c r="AJ561" s="0" t="n">
        <v>14</v>
      </c>
      <c r="AK561" s="0" t="n">
        <v>751</v>
      </c>
      <c r="AL561" s="0" t="n">
        <v>1.79</v>
      </c>
    </row>
    <row r="562">
      <c r="A562" s="0" t="inlineStr">
        <is>
          <t>[학암동]</t>
        </is>
      </c>
      <c r="B562" s="0" t="n">
        <v>131709</v>
      </c>
      <c r="C562" s="0" t="n">
        <v>2</v>
      </c>
      <c r="D562" s="0" t="inlineStr">
        <is>
          <t>위례신도시우미린2차</t>
        </is>
      </c>
      <c r="E562" s="0" t="inlineStr">
        <is>
          <t>2022.12.</t>
        </is>
      </c>
      <c r="F562" s="0" t="n">
        <v>420</v>
      </c>
      <c r="G562" s="0" t="n">
        <v>38.77</v>
      </c>
      <c r="H562" s="0" t="n">
        <v>128.18</v>
      </c>
      <c r="I562" s="0" t="n">
        <v>30.92</v>
      </c>
      <c r="J562" s="0" t="n">
        <v>102.24</v>
      </c>
      <c r="K562" s="0" t="n">
        <v>163</v>
      </c>
      <c r="T562" s="0" t="n">
        <v>4</v>
      </c>
      <c r="U562" s="0" t="n">
        <v>2</v>
      </c>
      <c r="V562" s="0" t="inlineStr">
        <is>
          <t>계단식</t>
        </is>
      </c>
      <c r="W562" s="0" t="inlineStr">
        <is>
          <t>128A</t>
        </is>
      </c>
      <c r="X562" s="0" t="n">
        <v>25</v>
      </c>
      <c r="Y562" s="0" t="n">
        <v>12</v>
      </c>
      <c r="Z562" s="0" t="inlineStr">
        <is>
          <t>https://new.land.naver.com/complexes/131709?tab=detail&amp;rf=Y</t>
        </is>
      </c>
      <c r="AA562" s="0" t="inlineStr">
        <is>
          <t>경기도 하남시 학암동 위례신도시 A3-2블록</t>
        </is>
      </c>
      <c r="AB562" s="0" t="inlineStr">
        <is>
          <t>경기도</t>
        </is>
      </c>
      <c r="AC562" s="0" t="inlineStr">
        <is>
          <t>하남시</t>
        </is>
      </c>
      <c r="AD562" s="0" t="inlineStr">
        <is>
          <t>학암동</t>
        </is>
      </c>
      <c r="AG562" s="0" t="inlineStr">
        <is>
          <t>경기도 하남시</t>
        </is>
      </c>
      <c r="AH562" s="0" t="n">
        <v>0</v>
      </c>
      <c r="AI562" s="0" t="n">
        <v>179</v>
      </c>
      <c r="AJ562" s="0" t="n">
        <v>14</v>
      </c>
      <c r="AK562" s="0" t="n">
        <v>751</v>
      </c>
      <c r="AL562" s="0" t="n">
        <v>1.79</v>
      </c>
    </row>
    <row r="563">
      <c r="A563" s="0" t="inlineStr">
        <is>
          <t>[학암동]</t>
        </is>
      </c>
      <c r="B563" s="0" t="n">
        <v>131709</v>
      </c>
      <c r="C563" s="0" t="n">
        <v>3</v>
      </c>
      <c r="D563" s="0" t="inlineStr">
        <is>
          <t>위례신도시우미린2차</t>
        </is>
      </c>
      <c r="E563" s="0" t="inlineStr">
        <is>
          <t>2022.12.</t>
        </is>
      </c>
      <c r="F563" s="0" t="n">
        <v>420</v>
      </c>
      <c r="G563" s="0" t="n">
        <v>39.29</v>
      </c>
      <c r="H563" s="0" t="n">
        <v>129.89</v>
      </c>
      <c r="I563" s="0" t="n">
        <v>30.99</v>
      </c>
      <c r="J563" s="0" t="n">
        <v>102.47</v>
      </c>
      <c r="K563" s="0" t="n">
        <v>66</v>
      </c>
      <c r="T563" s="0" t="n">
        <v>4</v>
      </c>
      <c r="U563" s="0" t="n">
        <v>2</v>
      </c>
      <c r="V563" s="0" t="inlineStr">
        <is>
          <t>계단식</t>
        </is>
      </c>
      <c r="W563" s="0" t="inlineStr">
        <is>
          <t>129B</t>
        </is>
      </c>
      <c r="X563" s="0" t="n">
        <v>25</v>
      </c>
      <c r="Y563" s="0" t="n">
        <v>12</v>
      </c>
      <c r="Z563" s="0" t="inlineStr">
        <is>
          <t>https://new.land.naver.com/complexes/131709?tab=detail&amp;rf=Y</t>
        </is>
      </c>
      <c r="AA563" s="0" t="inlineStr">
        <is>
          <t>경기도 하남시 학암동 위례신도시 A3-2블록</t>
        </is>
      </c>
      <c r="AB563" s="0" t="inlineStr">
        <is>
          <t>경기도</t>
        </is>
      </c>
      <c r="AC563" s="0" t="inlineStr">
        <is>
          <t>하남시</t>
        </is>
      </c>
      <c r="AD563" s="0" t="inlineStr">
        <is>
          <t>학암동</t>
        </is>
      </c>
      <c r="AG563" s="0" t="inlineStr">
        <is>
          <t>경기도 하남시</t>
        </is>
      </c>
      <c r="AH563" s="0" t="n">
        <v>0</v>
      </c>
      <c r="AI563" s="0" t="n">
        <v>179</v>
      </c>
      <c r="AJ563" s="0" t="n">
        <v>14</v>
      </c>
      <c r="AK563" s="0" t="n">
        <v>751</v>
      </c>
      <c r="AL563" s="0" t="n">
        <v>1.79</v>
      </c>
    </row>
    <row r="564">
      <c r="A564" s="0" t="inlineStr">
        <is>
          <t>[학암동]</t>
        </is>
      </c>
      <c r="B564" s="0" t="n">
        <v>131709</v>
      </c>
      <c r="C564" s="0" t="n">
        <v>4</v>
      </c>
      <c r="D564" s="0" t="inlineStr">
        <is>
          <t>위례신도시우미린2차</t>
        </is>
      </c>
      <c r="E564" s="0" t="inlineStr">
        <is>
          <t>2022.12.</t>
        </is>
      </c>
      <c r="F564" s="0" t="n">
        <v>420</v>
      </c>
      <c r="G564" s="0" t="n">
        <v>45.16</v>
      </c>
      <c r="H564" s="0" t="n">
        <v>149.31</v>
      </c>
      <c r="I564" s="0" t="n">
        <v>36.09</v>
      </c>
      <c r="J564" s="0" t="n">
        <v>119.31</v>
      </c>
      <c r="K564" s="0" t="n">
        <v>144</v>
      </c>
      <c r="T564" s="0" t="n">
        <v>4</v>
      </c>
      <c r="U564" s="0" t="n">
        <v>2</v>
      </c>
      <c r="V564" s="0" t="inlineStr">
        <is>
          <t>계단식</t>
        </is>
      </c>
      <c r="W564" s="0" t="inlineStr">
        <is>
          <t>149A</t>
        </is>
      </c>
      <c r="X564" s="0" t="n">
        <v>25</v>
      </c>
      <c r="Y564" s="0" t="n">
        <v>12</v>
      </c>
      <c r="Z564" s="0" t="inlineStr">
        <is>
          <t>https://new.land.naver.com/complexes/131709?tab=detail&amp;rf=Y</t>
        </is>
      </c>
      <c r="AA564" s="0" t="inlineStr">
        <is>
          <t>경기도 하남시 학암동 위례신도시 A3-2블록</t>
        </is>
      </c>
      <c r="AB564" s="0" t="inlineStr">
        <is>
          <t>경기도</t>
        </is>
      </c>
      <c r="AC564" s="0" t="inlineStr">
        <is>
          <t>하남시</t>
        </is>
      </c>
      <c r="AD564" s="0" t="inlineStr">
        <is>
          <t>학암동</t>
        </is>
      </c>
      <c r="AG564" s="0" t="inlineStr">
        <is>
          <t>경기도 하남시</t>
        </is>
      </c>
      <c r="AH564" s="0" t="n">
        <v>0</v>
      </c>
      <c r="AI564" s="0" t="n">
        <v>179</v>
      </c>
      <c r="AJ564" s="0" t="n">
        <v>14</v>
      </c>
      <c r="AK564" s="0" t="n">
        <v>751</v>
      </c>
      <c r="AL564" s="0" t="n">
        <v>1.79</v>
      </c>
    </row>
    <row r="565">
      <c r="A565" s="0" t="inlineStr">
        <is>
          <t>[학암동]</t>
        </is>
      </c>
      <c r="B565" s="0" t="n">
        <v>125768</v>
      </c>
      <c r="C565" s="0" t="n">
        <v>1</v>
      </c>
      <c r="D565" s="0" t="inlineStr">
        <is>
          <t>위례신도시우미린1차</t>
        </is>
      </c>
      <c r="E565" s="0" t="inlineStr">
        <is>
          <t>2022.01.</t>
        </is>
      </c>
      <c r="F565" s="0" t="n">
        <v>875</v>
      </c>
      <c r="G565" s="0" t="n">
        <v>39.37</v>
      </c>
      <c r="H565" s="0" t="n">
        <v>130.16</v>
      </c>
      <c r="I565" s="0" t="n">
        <v>30.92</v>
      </c>
      <c r="J565" s="0" t="n">
        <v>102.24</v>
      </c>
      <c r="K565" s="0" t="n">
        <v>248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130A</t>
        </is>
      </c>
      <c r="X565" s="0" t="n">
        <v>26</v>
      </c>
      <c r="Y565" s="0" t="n">
        <v>3</v>
      </c>
      <c r="Z565" s="0" t="inlineStr">
        <is>
          <t>https://new.land.naver.com/complexes/125768?tab=detail&amp;rf=Y</t>
        </is>
      </c>
      <c r="AA565" s="0" t="inlineStr">
        <is>
          <t>경기도 하남시 학암동 위례신도시 A3-4b블록</t>
        </is>
      </c>
      <c r="AB565" s="0" t="inlineStr">
        <is>
          <t>경기도</t>
        </is>
      </c>
      <c r="AC565" s="0" t="inlineStr">
        <is>
          <t>하남시</t>
        </is>
      </c>
      <c r="AD565" s="0" t="inlineStr">
        <is>
          <t>학암동</t>
        </is>
      </c>
      <c r="AG565" s="0" t="inlineStr">
        <is>
          <t>경기도 하남시</t>
        </is>
      </c>
      <c r="AH565" s="0" t="n">
        <v>0</v>
      </c>
      <c r="AI565" s="0" t="n">
        <v>0</v>
      </c>
      <c r="AJ565" s="0" t="n">
        <v>0</v>
      </c>
      <c r="AK565" s="0" t="n">
        <v>1538</v>
      </c>
      <c r="AL565" s="0" t="n">
        <v>1.76</v>
      </c>
    </row>
    <row r="566">
      <c r="A566" s="0" t="inlineStr">
        <is>
          <t>[학암동]</t>
        </is>
      </c>
      <c r="B566" s="0" t="n">
        <v>125768</v>
      </c>
      <c r="C566" s="0" t="n">
        <v>2</v>
      </c>
      <c r="D566" s="0" t="inlineStr">
        <is>
          <t>위례신도시우미린1차</t>
        </is>
      </c>
      <c r="E566" s="0" t="inlineStr">
        <is>
          <t>2022.01.</t>
        </is>
      </c>
      <c r="F566" s="0" t="n">
        <v>875</v>
      </c>
      <c r="G566" s="0" t="n">
        <v>39.32</v>
      </c>
      <c r="H566" s="0" t="n">
        <v>130</v>
      </c>
      <c r="I566" s="0" t="n">
        <v>30.88</v>
      </c>
      <c r="J566" s="0" t="n">
        <v>102.09</v>
      </c>
      <c r="K566" s="0" t="n">
        <v>171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130A1</t>
        </is>
      </c>
      <c r="X566" s="0" t="n">
        <v>26</v>
      </c>
      <c r="Y566" s="0" t="n">
        <v>3</v>
      </c>
      <c r="Z566" s="0" t="inlineStr">
        <is>
          <t>https://new.land.naver.com/complexes/125768?tab=detail&amp;rf=Y</t>
        </is>
      </c>
      <c r="AA566" s="0" t="inlineStr">
        <is>
          <t>경기도 하남시 학암동 위례신도시 A3-4b블록</t>
        </is>
      </c>
      <c r="AB566" s="0" t="inlineStr">
        <is>
          <t>경기도</t>
        </is>
      </c>
      <c r="AC566" s="0" t="inlineStr">
        <is>
          <t>하남시</t>
        </is>
      </c>
      <c r="AD566" s="0" t="inlineStr">
        <is>
          <t>학암동</t>
        </is>
      </c>
      <c r="AG566" s="0" t="inlineStr">
        <is>
          <t>경기도 하남시</t>
        </is>
      </c>
      <c r="AH566" s="0" t="n">
        <v>0</v>
      </c>
      <c r="AI566" s="0" t="n">
        <v>0</v>
      </c>
      <c r="AJ566" s="0" t="n">
        <v>0</v>
      </c>
      <c r="AK566" s="0" t="n">
        <v>1538</v>
      </c>
      <c r="AL566" s="0" t="n">
        <v>1.76</v>
      </c>
    </row>
    <row r="567">
      <c r="A567" s="0" t="inlineStr">
        <is>
          <t>[학암동]</t>
        </is>
      </c>
      <c r="B567" s="0" t="n">
        <v>125768</v>
      </c>
      <c r="C567" s="0" t="n">
        <v>3</v>
      </c>
      <c r="D567" s="0" t="inlineStr">
        <is>
          <t>위례신도시우미린1차</t>
        </is>
      </c>
      <c r="E567" s="0" t="inlineStr">
        <is>
          <t>2022.01.</t>
        </is>
      </c>
      <c r="F567" s="0" t="n">
        <v>875</v>
      </c>
      <c r="G567" s="0" t="n">
        <v>39.45</v>
      </c>
      <c r="H567" s="0" t="n">
        <v>130.43</v>
      </c>
      <c r="I567" s="0" t="n">
        <v>30.98</v>
      </c>
      <c r="J567" s="0" t="n">
        <v>102.43</v>
      </c>
      <c r="K567" s="0" t="n">
        <v>10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130A2</t>
        </is>
      </c>
      <c r="X567" s="0" t="n">
        <v>26</v>
      </c>
      <c r="Y567" s="0" t="n">
        <v>3</v>
      </c>
      <c r="Z567" s="0" t="inlineStr">
        <is>
          <t>https://new.land.naver.com/complexes/125768?tab=detail&amp;rf=Y</t>
        </is>
      </c>
      <c r="AA567" s="0" t="inlineStr">
        <is>
          <t>경기도 하남시 학암동 위례신도시 A3-4b블록</t>
        </is>
      </c>
      <c r="AB567" s="0" t="inlineStr">
        <is>
          <t>경기도</t>
        </is>
      </c>
      <c r="AC567" s="0" t="inlineStr">
        <is>
          <t>하남시</t>
        </is>
      </c>
      <c r="AD567" s="0" t="inlineStr">
        <is>
          <t>학암동</t>
        </is>
      </c>
      <c r="AG567" s="0" t="inlineStr">
        <is>
          <t>경기도 하남시</t>
        </is>
      </c>
      <c r="AH567" s="0" t="n">
        <v>0</v>
      </c>
      <c r="AI567" s="0" t="n">
        <v>0</v>
      </c>
      <c r="AJ567" s="0" t="n">
        <v>0</v>
      </c>
      <c r="AK567" s="0" t="n">
        <v>1538</v>
      </c>
      <c r="AL567" s="0" t="n">
        <v>1.76</v>
      </c>
    </row>
    <row r="568">
      <c r="A568" s="0" t="inlineStr">
        <is>
          <t>[학암동]</t>
        </is>
      </c>
      <c r="B568" s="0" t="n">
        <v>125768</v>
      </c>
      <c r="C568" s="0" t="n">
        <v>4</v>
      </c>
      <c r="D568" s="0" t="inlineStr">
        <is>
          <t>위례신도시우미린1차</t>
        </is>
      </c>
      <c r="E568" s="0" t="inlineStr">
        <is>
          <t>2022.01.</t>
        </is>
      </c>
      <c r="F568" s="0" t="n">
        <v>875</v>
      </c>
      <c r="G568" s="0" t="n">
        <v>39.66</v>
      </c>
      <c r="H568" s="0" t="n">
        <v>131.11</v>
      </c>
      <c r="I568" s="0" t="n">
        <v>30.91</v>
      </c>
      <c r="J568" s="0" t="n">
        <v>102.2</v>
      </c>
      <c r="K568" s="0" t="n">
        <v>172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131C</t>
        </is>
      </c>
      <c r="X568" s="0" t="n">
        <v>26</v>
      </c>
      <c r="Y568" s="0" t="n">
        <v>3</v>
      </c>
      <c r="Z568" s="0" t="inlineStr">
        <is>
          <t>https://new.land.naver.com/complexes/125768?tab=detail&amp;rf=Y</t>
        </is>
      </c>
      <c r="AA568" s="0" t="inlineStr">
        <is>
          <t>경기도 하남시 학암동 위례신도시 A3-4b블록</t>
        </is>
      </c>
      <c r="AB568" s="0" t="inlineStr">
        <is>
          <t>경기도</t>
        </is>
      </c>
      <c r="AC568" s="0" t="inlineStr">
        <is>
          <t>하남시</t>
        </is>
      </c>
      <c r="AD568" s="0" t="inlineStr">
        <is>
          <t>학암동</t>
        </is>
      </c>
      <c r="AG568" s="0" t="inlineStr">
        <is>
          <t>경기도 하남시</t>
        </is>
      </c>
      <c r="AH568" s="0" t="n">
        <v>0</v>
      </c>
      <c r="AI568" s="0" t="n">
        <v>0</v>
      </c>
      <c r="AJ568" s="0" t="n">
        <v>0</v>
      </c>
      <c r="AK568" s="0" t="n">
        <v>1538</v>
      </c>
      <c r="AL568" s="0" t="n">
        <v>1.76</v>
      </c>
    </row>
    <row r="569">
      <c r="A569" s="0" t="inlineStr">
        <is>
          <t>[학암동]</t>
        </is>
      </c>
      <c r="B569" s="0" t="n">
        <v>125768</v>
      </c>
      <c r="C569" s="0" t="n">
        <v>5</v>
      </c>
      <c r="D569" s="0" t="inlineStr">
        <is>
          <t>위례신도시우미린1차</t>
        </is>
      </c>
      <c r="E569" s="0" t="inlineStr">
        <is>
          <t>2022.01.</t>
        </is>
      </c>
      <c r="F569" s="0" t="n">
        <v>875</v>
      </c>
      <c r="G569" s="0" t="n">
        <v>39.92</v>
      </c>
      <c r="H569" s="0" t="n">
        <v>131.99</v>
      </c>
      <c r="I569" s="0" t="n">
        <v>30.9</v>
      </c>
      <c r="J569" s="0" t="n">
        <v>102.17</v>
      </c>
      <c r="K569" s="0" t="n">
        <v>77</v>
      </c>
      <c r="T569" s="0" t="n">
        <v>4</v>
      </c>
      <c r="U569" s="0" t="n">
        <v>2</v>
      </c>
      <c r="V569" s="0" t="inlineStr">
        <is>
          <t>계단식</t>
        </is>
      </c>
      <c r="W569" s="0" t="inlineStr">
        <is>
          <t>131B</t>
        </is>
      </c>
      <c r="X569" s="0" t="n">
        <v>26</v>
      </c>
      <c r="Y569" s="0" t="n">
        <v>3</v>
      </c>
      <c r="Z569" s="0" t="inlineStr">
        <is>
          <t>https://new.land.naver.com/complexes/125768?tab=detail&amp;rf=Y</t>
        </is>
      </c>
      <c r="AA569" s="0" t="inlineStr">
        <is>
          <t>경기도 하남시 학암동 위례신도시 A3-4b블록</t>
        </is>
      </c>
      <c r="AB569" s="0" t="inlineStr">
        <is>
          <t>경기도</t>
        </is>
      </c>
      <c r="AC569" s="0" t="inlineStr">
        <is>
          <t>하남시</t>
        </is>
      </c>
      <c r="AD569" s="0" t="inlineStr">
        <is>
          <t>학암동</t>
        </is>
      </c>
      <c r="AG569" s="0" t="inlineStr">
        <is>
          <t>경기도 하남시</t>
        </is>
      </c>
      <c r="AH569" s="0" t="n">
        <v>0</v>
      </c>
      <c r="AI569" s="0" t="n">
        <v>0</v>
      </c>
      <c r="AJ569" s="0" t="n">
        <v>0</v>
      </c>
      <c r="AK569" s="0" t="n">
        <v>1538</v>
      </c>
      <c r="AL569" s="0" t="n">
        <v>1.76</v>
      </c>
    </row>
    <row r="570">
      <c r="A570" s="0" t="inlineStr">
        <is>
          <t>[학암동]</t>
        </is>
      </c>
      <c r="B570" s="0" t="n">
        <v>125768</v>
      </c>
      <c r="C570" s="0" t="n">
        <v>6</v>
      </c>
      <c r="D570" s="0" t="inlineStr">
        <is>
          <t>위례신도시우미린1차</t>
        </is>
      </c>
      <c r="E570" s="0" t="inlineStr">
        <is>
          <t>2022.01.</t>
        </is>
      </c>
      <c r="F570" s="0" t="n">
        <v>875</v>
      </c>
      <c r="G570" s="0" t="n">
        <v>39.89</v>
      </c>
      <c r="H570" s="0" t="n">
        <v>131.87</v>
      </c>
      <c r="I570" s="0" t="n">
        <v>30.99</v>
      </c>
      <c r="J570" s="0" t="n">
        <v>102.47</v>
      </c>
      <c r="K570" s="0" t="n">
        <v>15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131D</t>
        </is>
      </c>
      <c r="X570" s="0" t="n">
        <v>26</v>
      </c>
      <c r="Y570" s="0" t="n">
        <v>3</v>
      </c>
      <c r="Z570" s="0" t="inlineStr">
        <is>
          <t>https://new.land.naver.com/complexes/125768?tab=detail&amp;rf=Y</t>
        </is>
      </c>
      <c r="AA570" s="0" t="inlineStr">
        <is>
          <t>경기도 하남시 학암동 위례신도시 A3-4b블록</t>
        </is>
      </c>
      <c r="AB570" s="0" t="inlineStr">
        <is>
          <t>경기도</t>
        </is>
      </c>
      <c r="AC570" s="0" t="inlineStr">
        <is>
          <t>하남시</t>
        </is>
      </c>
      <c r="AD570" s="0" t="inlineStr">
        <is>
          <t>학암동</t>
        </is>
      </c>
      <c r="AG570" s="0" t="inlineStr">
        <is>
          <t>경기도 하남시</t>
        </is>
      </c>
      <c r="AH570" s="0" t="n">
        <v>0</v>
      </c>
      <c r="AI570" s="0" t="n">
        <v>0</v>
      </c>
      <c r="AJ570" s="0" t="n">
        <v>0</v>
      </c>
      <c r="AK570" s="0" t="n">
        <v>1538</v>
      </c>
      <c r="AL570" s="0" t="n">
        <v>1.76</v>
      </c>
    </row>
    <row r="571">
      <c r="A571" s="0" t="inlineStr">
        <is>
          <t>[학암동]</t>
        </is>
      </c>
      <c r="B571" s="0" t="n">
        <v>125768</v>
      </c>
      <c r="C571" s="0" t="n">
        <v>7</v>
      </c>
      <c r="D571" s="0" t="inlineStr">
        <is>
          <t>위례신도시우미린1차</t>
        </is>
      </c>
      <c r="E571" s="0" t="inlineStr">
        <is>
          <t>2022.01.</t>
        </is>
      </c>
      <c r="F571" s="0" t="n">
        <v>875</v>
      </c>
      <c r="G571" s="0" t="n">
        <v>43.56</v>
      </c>
      <c r="H571" s="0" t="n">
        <v>144.02</v>
      </c>
      <c r="I571" s="0" t="n">
        <v>34.22</v>
      </c>
      <c r="J571" s="0" t="n">
        <v>113.14</v>
      </c>
      <c r="K571" s="0" t="n">
        <v>163</v>
      </c>
      <c r="T571" s="0" t="n">
        <v>4</v>
      </c>
      <c r="U571" s="0" t="n">
        <v>2</v>
      </c>
      <c r="V571" s="0" t="inlineStr">
        <is>
          <t>계단식</t>
        </is>
      </c>
      <c r="W571" s="0" t="inlineStr">
        <is>
          <t>144A</t>
        </is>
      </c>
      <c r="X571" s="0" t="n">
        <v>26</v>
      </c>
      <c r="Y571" s="0" t="n">
        <v>3</v>
      </c>
      <c r="Z571" s="0" t="inlineStr">
        <is>
          <t>https://new.land.naver.com/complexes/125768?tab=detail&amp;rf=Y</t>
        </is>
      </c>
      <c r="AA571" s="0" t="inlineStr">
        <is>
          <t>경기도 하남시 학암동 위례신도시 A3-4b블록</t>
        </is>
      </c>
      <c r="AB571" s="0" t="inlineStr">
        <is>
          <t>경기도</t>
        </is>
      </c>
      <c r="AC571" s="0" t="inlineStr">
        <is>
          <t>하남시</t>
        </is>
      </c>
      <c r="AD571" s="0" t="inlineStr">
        <is>
          <t>학암동</t>
        </is>
      </c>
      <c r="AG571" s="0" t="inlineStr">
        <is>
          <t>경기도 하남시</t>
        </is>
      </c>
      <c r="AH571" s="0" t="n">
        <v>0</v>
      </c>
      <c r="AI571" s="0" t="n">
        <v>0</v>
      </c>
      <c r="AJ571" s="0" t="n">
        <v>0</v>
      </c>
      <c r="AK571" s="0" t="n">
        <v>1538</v>
      </c>
      <c r="AL571" s="0" t="n">
        <v>1.76</v>
      </c>
    </row>
    <row r="572">
      <c r="A572" s="0" t="inlineStr">
        <is>
          <t>[학암동]</t>
        </is>
      </c>
      <c r="B572" s="0" t="n">
        <v>125768</v>
      </c>
      <c r="C572" s="0" t="n">
        <v>8</v>
      </c>
      <c r="D572" s="0" t="inlineStr">
        <is>
          <t>위례신도시우미린1차</t>
        </is>
      </c>
      <c r="E572" s="0" t="inlineStr">
        <is>
          <t>2022.01.</t>
        </is>
      </c>
      <c r="F572" s="0" t="n">
        <v>875</v>
      </c>
      <c r="G572" s="0" t="n">
        <v>43.83</v>
      </c>
      <c r="H572" s="0" t="n">
        <v>144.9</v>
      </c>
      <c r="I572" s="0" t="n">
        <v>34.36</v>
      </c>
      <c r="J572" s="0" t="n">
        <v>113.6</v>
      </c>
      <c r="K572" s="0" t="n">
        <v>14</v>
      </c>
      <c r="T572" s="0" t="n">
        <v>4</v>
      </c>
      <c r="U572" s="0" t="n">
        <v>2</v>
      </c>
      <c r="V572" s="0" t="inlineStr">
        <is>
          <t>계단식</t>
        </is>
      </c>
      <c r="W572" s="0" t="inlineStr">
        <is>
          <t>144A1</t>
        </is>
      </c>
      <c r="X572" s="0" t="n">
        <v>26</v>
      </c>
      <c r="Y572" s="0" t="n">
        <v>3</v>
      </c>
      <c r="Z572" s="0" t="inlineStr">
        <is>
          <t>https://new.land.naver.com/complexes/125768?tab=detail&amp;rf=Y</t>
        </is>
      </c>
      <c r="AA572" s="0" t="inlineStr">
        <is>
          <t>경기도 하남시 학암동 위례신도시 A3-4b블록</t>
        </is>
      </c>
      <c r="AB572" s="0" t="inlineStr">
        <is>
          <t>경기도</t>
        </is>
      </c>
      <c r="AC572" s="0" t="inlineStr">
        <is>
          <t>하남시</t>
        </is>
      </c>
      <c r="AD572" s="0" t="inlineStr">
        <is>
          <t>학암동</t>
        </is>
      </c>
      <c r="AG572" s="0" t="inlineStr">
        <is>
          <t>경기도 하남시</t>
        </is>
      </c>
      <c r="AH572" s="0" t="n">
        <v>0</v>
      </c>
      <c r="AI572" s="0" t="n">
        <v>0</v>
      </c>
      <c r="AJ572" s="0" t="n">
        <v>0</v>
      </c>
      <c r="AK572" s="0" t="n">
        <v>1538</v>
      </c>
      <c r="AL572" s="0" t="n">
        <v>1.76</v>
      </c>
    </row>
    <row r="573">
      <c r="A573" s="0" t="inlineStr">
        <is>
          <t>[학암동]</t>
        </is>
      </c>
      <c r="B573" s="0" t="n">
        <v>125768</v>
      </c>
      <c r="C573" s="0" t="n">
        <v>9</v>
      </c>
      <c r="D573" s="0" t="inlineStr">
        <is>
          <t>위례신도시우미린1차</t>
        </is>
      </c>
      <c r="E573" s="0" t="inlineStr">
        <is>
          <t>2022.01.</t>
        </is>
      </c>
      <c r="F573" s="0" t="n">
        <v>875</v>
      </c>
      <c r="G573" s="0" t="n">
        <v>43.82</v>
      </c>
      <c r="H573" s="0" t="n">
        <v>144.87</v>
      </c>
      <c r="I573" s="0" t="n">
        <v>34.76</v>
      </c>
      <c r="J573" s="0" t="n">
        <v>114.93</v>
      </c>
      <c r="K573" s="0" t="n">
        <v>5</v>
      </c>
      <c r="T573" s="0" t="n">
        <v>4</v>
      </c>
      <c r="U573" s="0" t="n">
        <v>2</v>
      </c>
      <c r="V573" s="0" t="inlineStr">
        <is>
          <t>계단식</t>
        </is>
      </c>
      <c r="W573" s="0" t="inlineStr">
        <is>
          <t>144T</t>
        </is>
      </c>
      <c r="X573" s="0" t="n">
        <v>26</v>
      </c>
      <c r="Y573" s="0" t="n">
        <v>3</v>
      </c>
      <c r="Z573" s="0" t="inlineStr">
        <is>
          <t>https://new.land.naver.com/complexes/125768?tab=detail&amp;rf=Y</t>
        </is>
      </c>
      <c r="AA573" s="0" t="inlineStr">
        <is>
          <t>경기도 하남시 학암동 위례신도시 A3-4b블록</t>
        </is>
      </c>
      <c r="AB573" s="0" t="inlineStr">
        <is>
          <t>경기도</t>
        </is>
      </c>
      <c r="AC573" s="0" t="inlineStr">
        <is>
          <t>하남시</t>
        </is>
      </c>
      <c r="AD573" s="0" t="inlineStr">
        <is>
          <t>학암동</t>
        </is>
      </c>
      <c r="AG573" s="0" t="inlineStr">
        <is>
          <t>경기도 하남시</t>
        </is>
      </c>
      <c r="AH573" s="0" t="n">
        <v>0</v>
      </c>
      <c r="AI573" s="0" t="n">
        <v>0</v>
      </c>
      <c r="AJ573" s="0" t="n">
        <v>0</v>
      </c>
      <c r="AK573" s="0" t="n">
        <v>1538</v>
      </c>
      <c r="AL573" s="0" t="n">
        <v>1.76</v>
      </c>
    </row>
    <row r="574">
      <c r="A574" s="0" t="inlineStr">
        <is>
          <t>[학암동]</t>
        </is>
      </c>
      <c r="B574" s="0" t="n">
        <v>107023</v>
      </c>
      <c r="C574" s="0" t="n">
        <v>1</v>
      </c>
      <c r="D574" s="0" t="inlineStr">
        <is>
          <t>위례롯데캐슬</t>
        </is>
      </c>
      <c r="E574" s="0" t="inlineStr">
        <is>
          <t>2016.01.</t>
        </is>
      </c>
      <c r="F574" s="0" t="n">
        <v>1673</v>
      </c>
      <c r="G574" s="0" t="n">
        <v>30.69</v>
      </c>
      <c r="H574" s="0" t="n">
        <v>101.46</v>
      </c>
      <c r="I574" s="0" t="n">
        <v>22.83</v>
      </c>
      <c r="J574" s="0" t="n">
        <v>75.48</v>
      </c>
      <c r="K574" s="0" t="n">
        <v>292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101B</t>
        </is>
      </c>
      <c r="X574" s="0" t="n">
        <v>27</v>
      </c>
      <c r="Y574" s="0" t="n">
        <v>15</v>
      </c>
      <c r="Z574" s="0" t="inlineStr">
        <is>
          <t>https://new.land.naver.com/complexes/107023?tab=detail&amp;rf=Y</t>
        </is>
      </c>
      <c r="AA574" s="0" t="inlineStr">
        <is>
          <t>경기도 하남시 학암동 672</t>
        </is>
      </c>
      <c r="AB574" s="0" t="inlineStr">
        <is>
          <t>경기도</t>
        </is>
      </c>
      <c r="AC574" s="0" t="inlineStr">
        <is>
          <t>하남시</t>
        </is>
      </c>
      <c r="AD574" s="0" t="inlineStr">
        <is>
          <t>학암동</t>
        </is>
      </c>
      <c r="AG574" s="0" t="inlineStr">
        <is>
          <t>경기도 하남시 위례중앙로 215</t>
        </is>
      </c>
      <c r="AH574" s="0" t="n">
        <v>0</v>
      </c>
      <c r="AI574" s="0" t="n">
        <v>223</v>
      </c>
      <c r="AJ574" s="0" t="n">
        <v>19</v>
      </c>
      <c r="AK574" s="0" t="n">
        <v>2185</v>
      </c>
      <c r="AL574" s="0" t="n">
        <v>1.31</v>
      </c>
    </row>
    <row r="575">
      <c r="A575" s="0" t="inlineStr">
        <is>
          <t>[학암동]</t>
        </is>
      </c>
      <c r="B575" s="0" t="n">
        <v>107023</v>
      </c>
      <c r="C575" s="0" t="n">
        <v>2</v>
      </c>
      <c r="D575" s="0" t="inlineStr">
        <is>
          <t>위례롯데캐슬</t>
        </is>
      </c>
      <c r="E575" s="0" t="inlineStr">
        <is>
          <t>2016.01.</t>
        </is>
      </c>
      <c r="F575" s="0" t="n">
        <v>1673</v>
      </c>
      <c r="G575" s="0" t="n">
        <v>30.69</v>
      </c>
      <c r="H575" s="0" t="n">
        <v>101.46</v>
      </c>
      <c r="I575" s="0" t="n">
        <v>22.83</v>
      </c>
      <c r="J575" s="0" t="n">
        <v>75.48</v>
      </c>
      <c r="K575" s="0" t="n">
        <v>92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101A</t>
        </is>
      </c>
      <c r="X575" s="0" t="n">
        <v>27</v>
      </c>
      <c r="Y575" s="0" t="n">
        <v>15</v>
      </c>
      <c r="Z575" s="0" t="inlineStr">
        <is>
          <t>https://new.land.naver.com/complexes/107023?tab=detail&amp;rf=Y</t>
        </is>
      </c>
      <c r="AA575" s="0" t="inlineStr">
        <is>
          <t>경기도 하남시 학암동 672</t>
        </is>
      </c>
      <c r="AB575" s="0" t="inlineStr">
        <is>
          <t>경기도</t>
        </is>
      </c>
      <c r="AC575" s="0" t="inlineStr">
        <is>
          <t>하남시</t>
        </is>
      </c>
      <c r="AD575" s="0" t="inlineStr">
        <is>
          <t>학암동</t>
        </is>
      </c>
      <c r="AG575" s="0" t="inlineStr">
        <is>
          <t>경기도 하남시 위례중앙로 215</t>
        </is>
      </c>
      <c r="AH575" s="0" t="n">
        <v>0</v>
      </c>
      <c r="AI575" s="0" t="n">
        <v>223</v>
      </c>
      <c r="AJ575" s="0" t="n">
        <v>19</v>
      </c>
      <c r="AK575" s="0" t="n">
        <v>2185</v>
      </c>
      <c r="AL575" s="0" t="n">
        <v>1.31</v>
      </c>
    </row>
    <row r="576">
      <c r="A576" s="0" t="inlineStr">
        <is>
          <t>[학암동]</t>
        </is>
      </c>
      <c r="B576" s="0" t="n">
        <v>107023</v>
      </c>
      <c r="C576" s="0" t="n">
        <v>3</v>
      </c>
      <c r="D576" s="0" t="inlineStr">
        <is>
          <t>위례롯데캐슬</t>
        </is>
      </c>
      <c r="E576" s="0" t="inlineStr">
        <is>
          <t>2016.01.</t>
        </is>
      </c>
      <c r="F576" s="0" t="n">
        <v>1673</v>
      </c>
      <c r="G576" s="0" t="n">
        <v>30.69</v>
      </c>
      <c r="H576" s="0" t="n">
        <v>101.46</v>
      </c>
      <c r="I576" s="0" t="n">
        <v>22.83</v>
      </c>
      <c r="J576" s="0" t="n">
        <v>75.48</v>
      </c>
      <c r="K576" s="0" t="n">
        <v>54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101C</t>
        </is>
      </c>
      <c r="X576" s="0" t="n">
        <v>27</v>
      </c>
      <c r="Y576" s="0" t="n">
        <v>15</v>
      </c>
      <c r="Z576" s="0" t="inlineStr">
        <is>
          <t>https://new.land.naver.com/complexes/107023?tab=detail&amp;rf=Y</t>
        </is>
      </c>
      <c r="AA576" s="0" t="inlineStr">
        <is>
          <t>경기도 하남시 학암동 672</t>
        </is>
      </c>
      <c r="AB576" s="0" t="inlineStr">
        <is>
          <t>경기도</t>
        </is>
      </c>
      <c r="AC576" s="0" t="inlineStr">
        <is>
          <t>하남시</t>
        </is>
      </c>
      <c r="AD576" s="0" t="inlineStr">
        <is>
          <t>학암동</t>
        </is>
      </c>
      <c r="AG576" s="0" t="inlineStr">
        <is>
          <t>경기도 하남시 위례중앙로 215</t>
        </is>
      </c>
      <c r="AH576" s="0" t="n">
        <v>0</v>
      </c>
      <c r="AI576" s="0" t="n">
        <v>223</v>
      </c>
      <c r="AJ576" s="0" t="n">
        <v>19</v>
      </c>
      <c r="AK576" s="0" t="n">
        <v>2185</v>
      </c>
      <c r="AL576" s="0" t="n">
        <v>1.31</v>
      </c>
    </row>
    <row r="577">
      <c r="A577" s="0" t="inlineStr">
        <is>
          <t>[학암동]</t>
        </is>
      </c>
      <c r="B577" s="0" t="n">
        <v>107023</v>
      </c>
      <c r="C577" s="0" t="n">
        <v>4</v>
      </c>
      <c r="D577" s="0" t="inlineStr">
        <is>
          <t>위례롯데캐슬</t>
        </is>
      </c>
      <c r="E577" s="0" t="inlineStr">
        <is>
          <t>2016.01.</t>
        </is>
      </c>
      <c r="F577" s="0" t="n">
        <v>1673</v>
      </c>
      <c r="G577" s="0" t="n">
        <v>34.55</v>
      </c>
      <c r="H577" s="0" t="n">
        <v>114.23</v>
      </c>
      <c r="I577" s="0" t="n">
        <v>25.7</v>
      </c>
      <c r="J577" s="0" t="n">
        <v>84.98</v>
      </c>
      <c r="K577" s="0" t="n">
        <v>699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114A</t>
        </is>
      </c>
      <c r="X577" s="0" t="n">
        <v>27</v>
      </c>
      <c r="Y577" s="0" t="n">
        <v>15</v>
      </c>
      <c r="Z577" s="0" t="inlineStr">
        <is>
          <t>https://new.land.naver.com/complexes/107023?tab=detail&amp;rf=Y</t>
        </is>
      </c>
      <c r="AA577" s="0" t="inlineStr">
        <is>
          <t>경기도 하남시 학암동 672</t>
        </is>
      </c>
      <c r="AB577" s="0" t="inlineStr">
        <is>
          <t>경기도</t>
        </is>
      </c>
      <c r="AC577" s="0" t="inlineStr">
        <is>
          <t>하남시</t>
        </is>
      </c>
      <c r="AD577" s="0" t="inlineStr">
        <is>
          <t>학암동</t>
        </is>
      </c>
      <c r="AG577" s="0" t="inlineStr">
        <is>
          <t>경기도 하남시 위례중앙로 215</t>
        </is>
      </c>
      <c r="AH577" s="0" t="n">
        <v>0</v>
      </c>
      <c r="AI577" s="0" t="n">
        <v>223</v>
      </c>
      <c r="AJ577" s="0" t="n">
        <v>19</v>
      </c>
      <c r="AK577" s="0" t="n">
        <v>2185</v>
      </c>
      <c r="AL577" s="0" t="n">
        <v>1.31</v>
      </c>
    </row>
    <row r="578">
      <c r="A578" s="0" t="inlineStr">
        <is>
          <t>[학암동]</t>
        </is>
      </c>
      <c r="B578" s="0" t="n">
        <v>107023</v>
      </c>
      <c r="C578" s="0" t="n">
        <v>5</v>
      </c>
      <c r="D578" s="0" t="inlineStr">
        <is>
          <t>위례롯데캐슬</t>
        </is>
      </c>
      <c r="E578" s="0" t="inlineStr">
        <is>
          <t>2016.01.</t>
        </is>
      </c>
      <c r="F578" s="0" t="n">
        <v>1673</v>
      </c>
      <c r="G578" s="0" t="n">
        <v>34.55</v>
      </c>
      <c r="H578" s="0" t="n">
        <v>114.23</v>
      </c>
      <c r="I578" s="0" t="n">
        <v>25.7</v>
      </c>
      <c r="J578" s="0" t="n">
        <v>84.98</v>
      </c>
      <c r="K578" s="0" t="n">
        <v>482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114B</t>
        </is>
      </c>
      <c r="X578" s="0" t="n">
        <v>27</v>
      </c>
      <c r="Y578" s="0" t="n">
        <v>15</v>
      </c>
      <c r="Z578" s="0" t="inlineStr">
        <is>
          <t>https://new.land.naver.com/complexes/107023?tab=detail&amp;rf=Y</t>
        </is>
      </c>
      <c r="AA578" s="0" t="inlineStr">
        <is>
          <t>경기도 하남시 학암동 672</t>
        </is>
      </c>
      <c r="AB578" s="0" t="inlineStr">
        <is>
          <t>경기도</t>
        </is>
      </c>
      <c r="AC578" s="0" t="inlineStr">
        <is>
          <t>하남시</t>
        </is>
      </c>
      <c r="AD578" s="0" t="inlineStr">
        <is>
          <t>학암동</t>
        </is>
      </c>
      <c r="AG578" s="0" t="inlineStr">
        <is>
          <t>경기도 하남시 위례중앙로 215</t>
        </is>
      </c>
      <c r="AH578" s="0" t="n">
        <v>0</v>
      </c>
      <c r="AI578" s="0" t="n">
        <v>223</v>
      </c>
      <c r="AJ578" s="0" t="n">
        <v>19</v>
      </c>
      <c r="AK578" s="0" t="n">
        <v>2185</v>
      </c>
      <c r="AL578" s="0" t="n">
        <v>1.31</v>
      </c>
    </row>
    <row r="579">
      <c r="A579" s="0" t="inlineStr">
        <is>
          <t>[학암동]</t>
        </is>
      </c>
      <c r="B579" s="0" t="n">
        <v>107023</v>
      </c>
      <c r="C579" s="0" t="n">
        <v>6</v>
      </c>
      <c r="D579" s="0" t="inlineStr">
        <is>
          <t>위례롯데캐슬</t>
        </is>
      </c>
      <c r="E579" s="0" t="inlineStr">
        <is>
          <t>2016.01.</t>
        </is>
      </c>
      <c r="F579" s="0" t="n">
        <v>1673</v>
      </c>
      <c r="G579" s="0" t="n">
        <v>34.55</v>
      </c>
      <c r="H579" s="0" t="n">
        <v>114.23</v>
      </c>
      <c r="I579" s="0" t="n">
        <v>25.7</v>
      </c>
      <c r="J579" s="0" t="n">
        <v>84.98</v>
      </c>
      <c r="K579" s="0" t="n">
        <v>54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114C</t>
        </is>
      </c>
      <c r="X579" s="0" t="n">
        <v>27</v>
      </c>
      <c r="Y579" s="0" t="n">
        <v>15</v>
      </c>
      <c r="Z579" s="0" t="inlineStr">
        <is>
          <t>https://new.land.naver.com/complexes/107023?tab=detail&amp;rf=Y</t>
        </is>
      </c>
      <c r="AA579" s="0" t="inlineStr">
        <is>
          <t>경기도 하남시 학암동 672</t>
        </is>
      </c>
      <c r="AB579" s="0" t="inlineStr">
        <is>
          <t>경기도</t>
        </is>
      </c>
      <c r="AC579" s="0" t="inlineStr">
        <is>
          <t>하남시</t>
        </is>
      </c>
      <c r="AD579" s="0" t="inlineStr">
        <is>
          <t>학암동</t>
        </is>
      </c>
      <c r="AG579" s="0" t="inlineStr">
        <is>
          <t>경기도 하남시 위례중앙로 215</t>
        </is>
      </c>
      <c r="AH579" s="0" t="n">
        <v>0</v>
      </c>
      <c r="AI579" s="0" t="n">
        <v>223</v>
      </c>
      <c r="AJ579" s="0" t="n">
        <v>19</v>
      </c>
      <c r="AK579" s="0" t="n">
        <v>2185</v>
      </c>
      <c r="AL579" s="0" t="n">
        <v>1.31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감이동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감일한라비발디</t>
        </is>
      </c>
      <c r="B6" s="16" t="inlineStr">
        <is>
          <t>'19.06.</t>
        </is>
      </c>
      <c r="C6" s="164" t="n">
        <v>934</v>
      </c>
      <c r="D6" s="161" t="n">
        <v>101.6</v>
      </c>
      <c r="E6" s="163" t="n">
        <v>31</v>
      </c>
      <c r="F6" s="161" t="n">
        <v>74.90000000000001</v>
      </c>
      <c r="G6" s="27" t="n">
        <v>23</v>
      </c>
      <c r="H6" s="164" t="n">
        <v>169</v>
      </c>
      <c r="I6" s="165" t="n">
        <v>99000</v>
      </c>
      <c r="J6" s="165" t="inlineStr">
        <is>
          <t>중</t>
        </is>
      </c>
      <c r="K6" s="165" t="n">
        <v>55000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감일한라비발디</t>
        </is>
      </c>
      <c r="B7" s="16" t="inlineStr">
        <is>
          <t>'19.06.</t>
        </is>
      </c>
      <c r="C7" s="164" t="n">
        <v>934</v>
      </c>
      <c r="D7" s="161" t="n">
        <v>115.1</v>
      </c>
      <c r="E7" s="163" t="n">
        <v>35</v>
      </c>
      <c r="F7" s="161" t="n">
        <v>84.90000000000001</v>
      </c>
      <c r="G7" s="27" t="n">
        <v>26</v>
      </c>
      <c r="H7" s="164" t="n">
        <v>592</v>
      </c>
      <c r="I7" s="165" t="n">
        <v>107000</v>
      </c>
      <c r="J7" s="165" t="inlineStr">
        <is>
          <t>중</t>
        </is>
      </c>
      <c r="K7" s="165" t="n">
        <v>61000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감일한라비발디</t>
        </is>
      </c>
      <c r="B8" s="16" t="inlineStr">
        <is>
          <t>'19.06.</t>
        </is>
      </c>
      <c r="C8" s="164" t="n">
        <v>934</v>
      </c>
      <c r="D8" s="161" t="n">
        <v>115.1</v>
      </c>
      <c r="E8" s="163" t="n">
        <v>35</v>
      </c>
      <c r="F8" s="161" t="n">
        <v>84.90000000000001</v>
      </c>
      <c r="G8" s="27" t="n">
        <v>26</v>
      </c>
      <c r="H8" s="164" t="n">
        <v>173</v>
      </c>
      <c r="I8" s="165" t="n">
        <v>107000</v>
      </c>
      <c r="J8" s="165" t="inlineStr">
        <is>
          <t>중</t>
        </is>
      </c>
      <c r="K8" s="165" t="n">
        <v>61000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더샵포웰시티</t>
        </is>
      </c>
      <c r="B10" s="16" t="inlineStr">
        <is>
          <t>'21.01.</t>
        </is>
      </c>
      <c r="C10" s="164" t="n">
        <v>881</v>
      </c>
      <c r="D10" s="161" t="n">
        <v>116.5</v>
      </c>
      <c r="E10" s="163" t="n">
        <v>35</v>
      </c>
      <c r="F10" s="161" t="n">
        <v>90.8</v>
      </c>
      <c r="G10" s="27" t="n">
        <v>27</v>
      </c>
      <c r="H10" s="164" t="n">
        <v>450</v>
      </c>
      <c r="I10" s="165" t="n">
        <v>138000</v>
      </c>
      <c r="J10" s="165" t="inlineStr">
        <is>
          <t>9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더샵포웰시티</t>
        </is>
      </c>
      <c r="B11" s="16" t="inlineStr">
        <is>
          <t>'21.01.</t>
        </is>
      </c>
      <c r="C11" s="164" t="n">
        <v>881</v>
      </c>
      <c r="D11" s="161" t="n">
        <v>127.7</v>
      </c>
      <c r="E11" s="163" t="n">
        <v>39</v>
      </c>
      <c r="F11" s="161" t="n">
        <v>99.59999999999999</v>
      </c>
      <c r="G11" s="27" t="n">
        <v>30</v>
      </c>
      <c r="H11" s="164" t="n">
        <v>332</v>
      </c>
      <c r="I11" s="165" t="n">
        <v>170000</v>
      </c>
      <c r="J11" s="165" t="inlineStr">
        <is>
          <t>중</t>
        </is>
      </c>
      <c r="K11" s="165" t="n">
        <v>73000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127A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더샵포웰시티</t>
        </is>
      </c>
      <c r="B12" s="16" t="inlineStr">
        <is>
          <t>'21.01.</t>
        </is>
      </c>
      <c r="C12" s="164" t="n">
        <v>881</v>
      </c>
      <c r="D12" s="161" t="n">
        <v>128</v>
      </c>
      <c r="E12" s="163" t="n">
        <v>39</v>
      </c>
      <c r="F12" s="161" t="n">
        <v>99.40000000000001</v>
      </c>
      <c r="G12" s="27" t="n">
        <v>30</v>
      </c>
      <c r="H12" s="164" t="n">
        <v>84</v>
      </c>
      <c r="I12" s="165" t="n">
        <v>180000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128B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더샵포웰시티</t>
        </is>
      </c>
      <c r="B13" s="16" t="inlineStr">
        <is>
          <t>'21.01.</t>
        </is>
      </c>
      <c r="C13" s="164" t="n">
        <v>881</v>
      </c>
      <c r="D13" s="161" t="n">
        <v>162.8</v>
      </c>
      <c r="E13" s="163" t="n">
        <v>49</v>
      </c>
      <c r="F13" s="161" t="n">
        <v>125.9</v>
      </c>
      <c r="G13" s="27" t="n">
        <v>38</v>
      </c>
      <c r="H13" s="164" t="n">
        <v>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3</v>
      </c>
      <c r="S13" s="113" t="inlineStr">
        <is>
          <t>계</t>
        </is>
      </c>
      <c r="T13" s="8" t="n">
        <v>162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더샵포웰시티</t>
        </is>
      </c>
      <c r="B14" s="16" t="inlineStr">
        <is>
          <t>'21.01.</t>
        </is>
      </c>
      <c r="C14" s="164" t="n">
        <v>881</v>
      </c>
      <c r="D14" s="161" t="n">
        <v>200</v>
      </c>
      <c r="E14" s="163" t="n">
        <v>60</v>
      </c>
      <c r="F14" s="161" t="n">
        <v>152.5</v>
      </c>
      <c r="G14" s="27" t="n">
        <v>46</v>
      </c>
      <c r="H14" s="164" t="n">
        <v>8</v>
      </c>
      <c r="I14" s="165" t="n">
        <v>320000</v>
      </c>
      <c r="J14" s="165" t="inlineStr">
        <is>
          <t>21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199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하남감일한양수자인</t>
        </is>
      </c>
      <c r="B16" s="16" t="inlineStr">
        <is>
          <t>'22.09.</t>
        </is>
      </c>
      <c r="C16" s="164" t="n">
        <v>512</v>
      </c>
      <c r="D16" s="161" t="n">
        <v>112.8</v>
      </c>
      <c r="E16" s="163" t="n">
        <v>34</v>
      </c>
      <c r="F16" s="161" t="n">
        <v>84.59999999999999</v>
      </c>
      <c r="G16" s="27" t="n">
        <v>26</v>
      </c>
      <c r="H16" s="164" t="n">
        <v>512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감일푸르지오마크베르</t>
        </is>
      </c>
      <c r="B18" s="16" t="inlineStr">
        <is>
          <t>'23.06.</t>
        </is>
      </c>
      <c r="C18" s="164" t="n">
        <v>496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203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감일푸르지오마크베르</t>
        </is>
      </c>
      <c r="B19" s="16" t="inlineStr">
        <is>
          <t>'23.06.</t>
        </is>
      </c>
      <c r="C19" s="164" t="n">
        <v>496</v>
      </c>
      <c r="D19" s="161" t="n">
        <v>109.9</v>
      </c>
      <c r="E19" s="163" t="n">
        <v>33</v>
      </c>
      <c r="F19" s="161" t="n">
        <v>84.90000000000001</v>
      </c>
      <c r="G19" s="27" t="n">
        <v>26</v>
      </c>
      <c r="H19" s="164" t="n">
        <v>127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감일푸르지오마크베르</t>
        </is>
      </c>
      <c r="B20" s="16" t="inlineStr">
        <is>
          <t>'23.06.</t>
        </is>
      </c>
      <c r="C20" s="164" t="n">
        <v>496</v>
      </c>
      <c r="D20" s="161" t="n">
        <v>146.6</v>
      </c>
      <c r="E20" s="163" t="n">
        <v>44</v>
      </c>
      <c r="F20" s="161" t="n">
        <v>114.9</v>
      </c>
      <c r="G20" s="27" t="n">
        <v>35</v>
      </c>
      <c r="H20" s="164" t="n">
        <v>115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146A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감일푸르지오마크베르</t>
        </is>
      </c>
      <c r="B21" s="16" t="inlineStr">
        <is>
          <t>'23.06.</t>
        </is>
      </c>
      <c r="C21" s="164" t="n">
        <v>496</v>
      </c>
      <c r="D21" s="161" t="n">
        <v>146.1</v>
      </c>
      <c r="E21" s="163" t="n">
        <v>44</v>
      </c>
      <c r="F21" s="161" t="n">
        <v>114.8</v>
      </c>
      <c r="G21" s="27" t="n">
        <v>35</v>
      </c>
      <c r="H21" s="164" t="n">
        <v>51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146B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포웰시티푸르지오라포레</t>
        </is>
      </c>
      <c r="B23" s="16" t="inlineStr">
        <is>
          <t>'21.02.</t>
        </is>
      </c>
      <c r="C23" s="164" t="n">
        <v>790</v>
      </c>
      <c r="D23" s="161" t="n">
        <v>116.3</v>
      </c>
      <c r="E23" s="163" t="n">
        <v>35</v>
      </c>
      <c r="F23" s="161" t="n">
        <v>90.8</v>
      </c>
      <c r="G23" s="27" t="n">
        <v>27</v>
      </c>
      <c r="H23" s="164" t="n">
        <v>86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116A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포웰시티푸르지오라포레</t>
        </is>
      </c>
      <c r="B24" s="16" t="inlineStr">
        <is>
          <t>'21.02.</t>
        </is>
      </c>
      <c r="C24" s="164" t="n">
        <v>790</v>
      </c>
      <c r="D24" s="161" t="n">
        <v>117.7</v>
      </c>
      <c r="E24" s="163" t="n">
        <v>36</v>
      </c>
      <c r="F24" s="161" t="n">
        <v>90.2</v>
      </c>
      <c r="G24" s="27" t="n">
        <v>27</v>
      </c>
      <c r="H24" s="164" t="n">
        <v>173</v>
      </c>
      <c r="I24" s="165" t="n"/>
      <c r="J24" s="165" t="n"/>
      <c r="K24" s="165" t="n">
        <v>75000</v>
      </c>
      <c r="L24" s="165" t="inlineStr">
        <is>
          <t>11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117B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포웰시티푸르지오라포레</t>
        </is>
      </c>
      <c r="B25" s="16" t="inlineStr">
        <is>
          <t>'21.02.</t>
        </is>
      </c>
      <c r="C25" s="164" t="n">
        <v>790</v>
      </c>
      <c r="D25" s="161" t="n">
        <v>118.7</v>
      </c>
      <c r="E25" s="163" t="n">
        <v>36</v>
      </c>
      <c r="F25" s="161" t="n">
        <v>90.59999999999999</v>
      </c>
      <c r="G25" s="27" t="n">
        <v>27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118T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포웰시티푸르지오라포레</t>
        </is>
      </c>
      <c r="B26" s="16" t="inlineStr">
        <is>
          <t>'21.02.</t>
        </is>
      </c>
      <c r="C26" s="164" t="n">
        <v>790</v>
      </c>
      <c r="D26" s="161" t="n">
        <v>127.5</v>
      </c>
      <c r="E26" s="163" t="n">
        <v>39</v>
      </c>
      <c r="F26" s="161" t="n">
        <v>99.59999999999999</v>
      </c>
      <c r="G26" s="27" t="n">
        <v>30</v>
      </c>
      <c r="H26" s="164" t="n">
        <v>414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127A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포웰시티푸르지오라포레</t>
        </is>
      </c>
      <c r="B27" s="16" t="inlineStr">
        <is>
          <t>'21.02.</t>
        </is>
      </c>
      <c r="C27" s="164" t="n">
        <v>790</v>
      </c>
      <c r="D27" s="161" t="n">
        <v>127.8</v>
      </c>
      <c r="E27" s="163" t="n">
        <v>39</v>
      </c>
      <c r="F27" s="161" t="n">
        <v>99.40000000000001</v>
      </c>
      <c r="G27" s="27" t="n">
        <v>30</v>
      </c>
      <c r="H27" s="164" t="n">
        <v>111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127B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포웰시티푸르지오라포레</t>
        </is>
      </c>
      <c r="B28" s="16" t="inlineStr">
        <is>
          <t>'21.02.</t>
        </is>
      </c>
      <c r="C28" s="164" t="n">
        <v>790</v>
      </c>
      <c r="D28" s="161" t="n">
        <v>199.6</v>
      </c>
      <c r="E28" s="163" t="n">
        <v>60</v>
      </c>
      <c r="F28" s="161" t="n">
        <v>152.5</v>
      </c>
      <c r="G28" s="27" t="n">
        <v>46</v>
      </c>
      <c r="H28" s="164" t="n">
        <v>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3</v>
      </c>
      <c r="S28" s="113" t="inlineStr">
        <is>
          <t>계</t>
        </is>
      </c>
      <c r="T28" s="8" t="n">
        <v>199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감일에코앤e편한세상</t>
        </is>
      </c>
      <c r="B30" s="16" t="inlineStr">
        <is>
          <t>'21.10.</t>
        </is>
      </c>
      <c r="C30" s="164" t="n">
        <v>866</v>
      </c>
      <c r="D30" s="161" t="n">
        <v>100.6</v>
      </c>
      <c r="E30" s="163" t="n">
        <v>30</v>
      </c>
      <c r="F30" s="161" t="n">
        <v>78</v>
      </c>
      <c r="G30" s="27" t="n">
        <v>24</v>
      </c>
      <c r="H30" s="164" t="n">
        <v>163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감일에코앤e편한세상</t>
        </is>
      </c>
      <c r="B31" s="16" t="inlineStr">
        <is>
          <t>'21.10.</t>
        </is>
      </c>
      <c r="C31" s="164" t="n">
        <v>866</v>
      </c>
      <c r="D31" s="161" t="n">
        <v>102.4</v>
      </c>
      <c r="E31" s="163" t="n">
        <v>31</v>
      </c>
      <c r="F31" s="161" t="n">
        <v>78</v>
      </c>
      <c r="G31" s="27" t="n">
        <v>24</v>
      </c>
      <c r="H31" s="164" t="n">
        <v>169</v>
      </c>
      <c r="I31" s="165" t="n"/>
      <c r="J31" s="165" t="n"/>
      <c r="K31" s="165" t="n">
        <v>67000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감일에코앤e편한세상</t>
        </is>
      </c>
      <c r="B32" s="16" t="inlineStr">
        <is>
          <t>'21.10.</t>
        </is>
      </c>
      <c r="C32" s="164" t="n">
        <v>866</v>
      </c>
      <c r="D32" s="161" t="n">
        <v>109.6</v>
      </c>
      <c r="E32" s="163" t="n">
        <v>33</v>
      </c>
      <c r="F32" s="161" t="n">
        <v>85</v>
      </c>
      <c r="G32" s="27" t="n">
        <v>26</v>
      </c>
      <c r="H32" s="164" t="n">
        <v>531</v>
      </c>
      <c r="I32" s="165" t="n"/>
      <c r="J32" s="165" t="n"/>
      <c r="K32" s="165" t="n">
        <v>70000</v>
      </c>
      <c r="L32" s="165" t="inlineStr">
        <is>
          <t>고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감일에코앤e편한세상</t>
        </is>
      </c>
      <c r="B33" s="16" t="inlineStr">
        <is>
          <t>'21.10.</t>
        </is>
      </c>
      <c r="C33" s="164" t="n">
        <v>866</v>
      </c>
      <c r="D33" s="161" t="n">
        <v>112.5</v>
      </c>
      <c r="E33" s="163" t="n">
        <v>34</v>
      </c>
      <c r="F33" s="161" t="n">
        <v>85</v>
      </c>
      <c r="G33" s="27" t="n">
        <v>26</v>
      </c>
      <c r="H33" s="164" t="n">
        <v>3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하남감일A7</t>
        </is>
      </c>
      <c r="B35" s="16" t="inlineStr">
        <is>
          <t>'22.08.</t>
        </is>
      </c>
      <c r="C35" s="164" t="n">
        <v>510</v>
      </c>
      <c r="D35" s="161" t="n">
        <v>66.3</v>
      </c>
      <c r="E35" s="163" t="n">
        <v>20</v>
      </c>
      <c r="F35" s="161" t="n">
        <v>46.9</v>
      </c>
      <c r="G35" s="27" t="n">
        <v>14</v>
      </c>
      <c r="H35" s="164" t="n">
        <v>204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66A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하남감일A7</t>
        </is>
      </c>
      <c r="B36" s="16" t="inlineStr">
        <is>
          <t>'22.08.</t>
        </is>
      </c>
      <c r="C36" s="164" t="n">
        <v>510</v>
      </c>
      <c r="D36" s="161" t="n">
        <v>66</v>
      </c>
      <c r="E36" s="163" t="n">
        <v>20</v>
      </c>
      <c r="F36" s="161" t="n">
        <v>46.7</v>
      </c>
      <c r="G36" s="27" t="n">
        <v>14</v>
      </c>
      <c r="H36" s="164" t="n">
        <v>21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66B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하남감일A7</t>
        </is>
      </c>
      <c r="B37" s="16" t="inlineStr">
        <is>
          <t>'22.08.</t>
        </is>
      </c>
      <c r="C37" s="164" t="n">
        <v>510</v>
      </c>
      <c r="D37" s="161" t="n">
        <v>78.3</v>
      </c>
      <c r="E37" s="163" t="n">
        <v>24</v>
      </c>
      <c r="F37" s="161" t="n">
        <v>55.4</v>
      </c>
      <c r="G37" s="27" t="n">
        <v>17</v>
      </c>
      <c r="H37" s="164" t="n">
        <v>285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inlineStr">
        <is>
          <t>78A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하남감일스윗시티 B3블록</t>
        </is>
      </c>
      <c r="B39" s="16" t="inlineStr">
        <is>
          <t>'21.10.</t>
        </is>
      </c>
      <c r="C39" s="164" t="n">
        <v>578</v>
      </c>
      <c r="D39" s="161" t="n">
        <v>99.5</v>
      </c>
      <c r="E39" s="163" t="n">
        <v>30</v>
      </c>
      <c r="F39" s="161" t="n">
        <v>74.7</v>
      </c>
      <c r="G39" s="27" t="n">
        <v>23</v>
      </c>
      <c r="H39" s="164" t="n">
        <v>174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99A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하남감일스윗시티 B3블록</t>
        </is>
      </c>
      <c r="B40" s="16" t="inlineStr">
        <is>
          <t>'21.10.</t>
        </is>
      </c>
      <c r="C40" s="164" t="n">
        <v>578</v>
      </c>
      <c r="D40" s="161" t="n">
        <v>113.1</v>
      </c>
      <c r="E40" s="163" t="n">
        <v>34</v>
      </c>
      <c r="F40" s="161" t="n">
        <v>84.90000000000001</v>
      </c>
      <c r="G40" s="27" t="n">
        <v>26</v>
      </c>
      <c r="H40" s="164" t="n">
        <v>239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하남감일스윗시티 B3블록</t>
        </is>
      </c>
      <c r="B41" s="16" t="inlineStr">
        <is>
          <t>'21.10.</t>
        </is>
      </c>
      <c r="C41" s="164" t="n">
        <v>578</v>
      </c>
      <c r="D41" s="161" t="n">
        <v>113.1</v>
      </c>
      <c r="E41" s="163" t="n">
        <v>34</v>
      </c>
      <c r="F41" s="161" t="n">
        <v>84.90000000000001</v>
      </c>
      <c r="G41" s="27" t="n">
        <v>26</v>
      </c>
      <c r="H41" s="164" t="n">
        <v>86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113C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하남감일스윗시티 B3블록</t>
        </is>
      </c>
      <c r="B42" s="16" t="inlineStr">
        <is>
          <t>'21.10.</t>
        </is>
      </c>
      <c r="C42" s="164" t="n">
        <v>578</v>
      </c>
      <c r="D42" s="161" t="n">
        <v>113.2</v>
      </c>
      <c r="E42" s="163" t="n">
        <v>34</v>
      </c>
      <c r="F42" s="161" t="n">
        <v>85</v>
      </c>
      <c r="G42" s="27" t="n">
        <v>26</v>
      </c>
      <c r="H42" s="164" t="n">
        <v>79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113B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하남감일스윗시티 B4블록</t>
        </is>
      </c>
      <c r="B44" s="16" t="inlineStr">
        <is>
          <t>'21.10.</t>
        </is>
      </c>
      <c r="C44" s="164" t="n">
        <v>595</v>
      </c>
      <c r="D44" s="161" t="n">
        <v>100.1</v>
      </c>
      <c r="E44" s="163" t="n">
        <v>30</v>
      </c>
      <c r="F44" s="161" t="n">
        <v>74.7</v>
      </c>
      <c r="G44" s="27" t="n">
        <v>23</v>
      </c>
      <c r="H44" s="164" t="n">
        <v>165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하남감일스윗시티 B4블록</t>
        </is>
      </c>
      <c r="B45" s="16" t="inlineStr">
        <is>
          <t>'21.10.</t>
        </is>
      </c>
      <c r="C45" s="164" t="n">
        <v>595</v>
      </c>
      <c r="D45" s="161" t="n">
        <v>113.7</v>
      </c>
      <c r="E45" s="163" t="n">
        <v>34</v>
      </c>
      <c r="F45" s="161" t="n">
        <v>84.90000000000001</v>
      </c>
      <c r="G45" s="27" t="n">
        <v>26</v>
      </c>
      <c r="H45" s="164" t="n">
        <v>270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하남감일스윗시티 B4블록</t>
        </is>
      </c>
      <c r="B46" s="16" t="inlineStr">
        <is>
          <t>'21.10.</t>
        </is>
      </c>
      <c r="C46" s="164" t="n">
        <v>595</v>
      </c>
      <c r="D46" s="161" t="n">
        <v>113.7</v>
      </c>
      <c r="E46" s="163" t="n">
        <v>34</v>
      </c>
      <c r="F46" s="161" t="n">
        <v>84.90000000000001</v>
      </c>
      <c r="G46" s="27" t="n">
        <v>26</v>
      </c>
      <c r="H46" s="164" t="n">
        <v>84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113C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하남감일스윗시티 B4블록</t>
        </is>
      </c>
      <c r="B47" s="16" t="inlineStr">
        <is>
          <t>'21.10.</t>
        </is>
      </c>
      <c r="C47" s="164" t="n">
        <v>595</v>
      </c>
      <c r="D47" s="161" t="n">
        <v>113.8</v>
      </c>
      <c r="E47" s="163" t="n">
        <v>34</v>
      </c>
      <c r="F47" s="161" t="n">
        <v>85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힐스테이트포웰시티</t>
        </is>
      </c>
      <c r="B49" s="16" t="inlineStr">
        <is>
          <t>'20.11.</t>
        </is>
      </c>
      <c r="C49" s="164" t="n">
        <v>932</v>
      </c>
      <c r="D49" s="161" t="n">
        <v>97.90000000000001</v>
      </c>
      <c r="E49" s="163" t="n">
        <v>30</v>
      </c>
      <c r="F49" s="161" t="n">
        <v>73.8</v>
      </c>
      <c r="G49" s="27" t="n">
        <v>22</v>
      </c>
      <c r="H49" s="164" t="n">
        <v>470</v>
      </c>
      <c r="I49" s="165" t="n">
        <v>115000</v>
      </c>
      <c r="J49" s="165" t="inlineStr">
        <is>
          <t>5</t>
        </is>
      </c>
      <c r="K49" s="165" t="n">
        <v>67000</v>
      </c>
      <c r="L49" s="165" t="inlineStr">
        <is>
          <t>중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97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힐스테이트포웰시티</t>
        </is>
      </c>
      <c r="B50" s="16" t="inlineStr">
        <is>
          <t>'20.11.</t>
        </is>
      </c>
      <c r="C50" s="164" t="n">
        <v>932</v>
      </c>
      <c r="D50" s="161" t="n">
        <v>111.3</v>
      </c>
      <c r="E50" s="163" t="n">
        <v>34</v>
      </c>
      <c r="F50" s="161" t="n">
        <v>84.40000000000001</v>
      </c>
      <c r="G50" s="27" t="n">
        <v>26</v>
      </c>
      <c r="H50" s="164" t="n">
        <v>462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111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감일센트레빌</t>
        </is>
      </c>
      <c r="B52" s="16" t="inlineStr">
        <is>
          <t>'20.03.</t>
        </is>
      </c>
      <c r="C52" s="164" t="n">
        <v>589</v>
      </c>
      <c r="D52" s="161" t="n">
        <v>71.5</v>
      </c>
      <c r="E52" s="163" t="n">
        <v>22</v>
      </c>
      <c r="F52" s="161" t="n">
        <v>51.8</v>
      </c>
      <c r="G52" s="27" t="n">
        <v>16</v>
      </c>
      <c r="H52" s="164" t="n">
        <v>99</v>
      </c>
      <c r="I52" s="165" t="n">
        <v>85000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inlineStr">
        <is>
          <t>71A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감일센트레빌</t>
        </is>
      </c>
      <c r="B53" s="16" t="inlineStr">
        <is>
          <t>'20.03.</t>
        </is>
      </c>
      <c r="C53" s="164" t="n">
        <v>589</v>
      </c>
      <c r="D53" s="161" t="n">
        <v>82.8</v>
      </c>
      <c r="E53" s="163" t="n">
        <v>25</v>
      </c>
      <c r="F53" s="161" t="n">
        <v>59.9</v>
      </c>
      <c r="G53" s="27" t="n">
        <v>18</v>
      </c>
      <c r="H53" s="164" t="n">
        <v>135</v>
      </c>
      <c r="I53" s="165" t="n">
        <v>95000</v>
      </c>
      <c r="J53" s="165" t="inlineStr">
        <is>
          <t>중</t>
        </is>
      </c>
      <c r="K53" s="165" t="n">
        <v>59000</v>
      </c>
      <c r="L53" s="165" t="inlineStr">
        <is>
          <t>중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감일센트레빌</t>
        </is>
      </c>
      <c r="B54" s="16" t="inlineStr">
        <is>
          <t>'20.03.</t>
        </is>
      </c>
      <c r="C54" s="164" t="n">
        <v>589</v>
      </c>
      <c r="D54" s="161" t="n">
        <v>82.7</v>
      </c>
      <c r="E54" s="163" t="n">
        <v>25</v>
      </c>
      <c r="F54" s="161" t="n">
        <v>59.9</v>
      </c>
      <c r="G54" s="27" t="n">
        <v>18</v>
      </c>
      <c r="H54" s="164" t="n">
        <v>50</v>
      </c>
      <c r="I54" s="165" t="n">
        <v>90000</v>
      </c>
      <c r="J54" s="165" t="inlineStr">
        <is>
          <t>중</t>
        </is>
      </c>
      <c r="K54" s="165" t="n">
        <v>57000</v>
      </c>
      <c r="L54" s="165" t="inlineStr">
        <is>
          <t>고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감일센트레빌</t>
        </is>
      </c>
      <c r="B55" s="16" t="inlineStr">
        <is>
          <t>'20.03.</t>
        </is>
      </c>
      <c r="C55" s="164" t="n">
        <v>589</v>
      </c>
      <c r="D55" s="161" t="n">
        <v>103.4</v>
      </c>
      <c r="E55" s="163" t="n">
        <v>31</v>
      </c>
      <c r="F55" s="161" t="n">
        <v>74.8</v>
      </c>
      <c r="G55" s="27" t="n">
        <v>23</v>
      </c>
      <c r="H55" s="164" t="n">
        <v>149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감일센트레빌</t>
        </is>
      </c>
      <c r="B56" s="16" t="inlineStr">
        <is>
          <t>'20.03.</t>
        </is>
      </c>
      <c r="C56" s="164" t="n">
        <v>589</v>
      </c>
      <c r="D56" s="161" t="n">
        <v>117.1</v>
      </c>
      <c r="E56" s="163" t="n">
        <v>35</v>
      </c>
      <c r="F56" s="161" t="n">
        <v>84.8</v>
      </c>
      <c r="G56" s="27" t="n">
        <v>26</v>
      </c>
      <c r="H56" s="164" t="n">
        <v>156</v>
      </c>
      <c r="I56" s="165" t="n">
        <v>120000</v>
      </c>
      <c r="J56" s="165" t="inlineStr">
        <is>
          <t>16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117A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30" dxfId="17">
      <formula>AV4="X"</formula>
    </cfRule>
    <cfRule type="expression" priority="831" dxfId="16">
      <formula>AV4="후보"</formula>
    </cfRule>
  </conditionalFormatting>
  <conditionalFormatting sqref="AC1:AC2 AC4:AC6 N4:N5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N1:N2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X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I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AV7">
    <cfRule type="expression" priority="809" dxfId="17">
      <formula>AV7="X"</formula>
    </cfRule>
    <cfRule type="expression" priority="810" dxfId="16">
      <formula>AV7="후보"</formula>
    </cfRule>
  </conditionalFormatting>
  <conditionalFormatting sqref="AC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7">
    <cfRule type="expression" priority="800" dxfId="3">
      <formula>AND(IF(OR($Q7=1,$Q7=2),1,0),IF($X7&lt;=20,1,0))</formula>
    </cfRule>
    <cfRule type="expression" priority="801" dxfId="2">
      <formula>AND(IF($Q7=2,1,0),IF($X7&lt;30,1,0))</formula>
    </cfRule>
    <cfRule type="expression" priority="802" dxfId="1">
      <formula>AND(IF($Q7=3,1,0),IF($X7&lt;30,1,0))</formula>
    </cfRule>
    <cfRule type="expression" priority="803" dxfId="0">
      <formula>AND(IF($Q7=3,1,IF($Q7=4,1,0)),IF($F7&lt;=85,1,0))</formula>
    </cfRule>
  </conditionalFormatting>
  <conditionalFormatting sqref="X7">
    <cfRule type="expression" priority="796" dxfId="3">
      <formula>AND(IF(OR($Q7=1,$Q7=2),1,0),IF($X7&lt;=20,1,0))</formula>
    </cfRule>
    <cfRule type="expression" priority="797" dxfId="2">
      <formula>AND(IF($Q7=2,1,0),IF($X7&lt;30,1,0))</formula>
    </cfRule>
    <cfRule type="expression" priority="798" dxfId="1">
      <formula>AND(IF($Q7=3,1,0),IF($X7&lt;30,1,0))</formula>
    </cfRule>
    <cfRule type="expression" priority="799" dxfId="0">
      <formula>AND(IF($Q7=3,1,IF($Q7=4,1,0)),IF($F7&lt;=85,1,0))</formula>
    </cfRule>
  </conditionalFormatting>
  <conditionalFormatting sqref="AI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AV8">
    <cfRule type="expression" priority="790" dxfId="17">
      <formula>AV8="X"</formula>
    </cfRule>
    <cfRule type="expression" priority="791" dxfId="16">
      <formula>AV8="후보"</formula>
    </cfRule>
  </conditionalFormatting>
  <conditionalFormatting sqref="AC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8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8">
    <cfRule type="expression" priority="781" dxfId="3">
      <formula>AND(IF(OR($Q8=1,$Q8=2),1,0),IF($X8&lt;=20,1,0))</formula>
    </cfRule>
    <cfRule type="expression" priority="782" dxfId="2">
      <formula>AND(IF($Q8=2,1,0),IF($X8&lt;30,1,0))</formula>
    </cfRule>
    <cfRule type="expression" priority="783" dxfId="1">
      <formula>AND(IF($Q8=3,1,0),IF($X8&lt;30,1,0))</formula>
    </cfRule>
    <cfRule type="expression" priority="784" dxfId="0">
      <formula>AND(IF($Q8=3,1,IF($Q8=4,1,0)),IF($F8&lt;=85,1,0))</formula>
    </cfRule>
  </conditionalFormatting>
  <conditionalFormatting sqref="X8">
    <cfRule type="expression" priority="777" dxfId="3">
      <formula>AND(IF(OR($Q8=1,$Q8=2),1,0),IF($X8&lt;=20,1,0))</formula>
    </cfRule>
    <cfRule type="expression" priority="778" dxfId="2">
      <formula>AND(IF($Q8=2,1,0),IF($X8&lt;30,1,0))</formula>
    </cfRule>
    <cfRule type="expression" priority="779" dxfId="1">
      <formula>AND(IF($Q8=3,1,0),IF($X8&lt;30,1,0))</formula>
    </cfRule>
    <cfRule type="expression" priority="780" dxfId="0">
      <formula>AND(IF($Q8=3,1,IF($Q8=4,1,0)),IF($F8&lt;=85,1,0))</formula>
    </cfRule>
  </conditionalFormatting>
  <conditionalFormatting sqref="AI8">
    <cfRule type="expression" priority="773" dxfId="3">
      <formula>AND(IF(OR($Q8=1,$Q8=2),1,0),IF($X8&lt;=20,1,0))</formula>
    </cfRule>
    <cfRule type="expression" priority="774" dxfId="2">
      <formula>AND(IF($Q8=2,1,0),IF($X8&lt;30,1,0))</formula>
    </cfRule>
    <cfRule type="expression" priority="775" dxfId="1">
      <formula>AND(IF($Q8=3,1,0),IF($X8&lt;30,1,0))</formula>
    </cfRule>
    <cfRule type="expression" priority="776" dxfId="0">
      <formula>AND(IF($Q8=3,1,IF($Q8=4,1,0)),IF($F8&lt;=85,1,0))</formula>
    </cfRule>
  </conditionalFormatting>
  <conditionalFormatting sqref="AV9">
    <cfRule type="expression" priority="771" dxfId="17">
      <formula>AV9="X"</formula>
    </cfRule>
    <cfRule type="expression" priority="772" dxfId="16">
      <formula>AV9="후보"</formula>
    </cfRule>
  </conditionalFormatting>
  <conditionalFormatting sqref="AC9 N9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10">
    <cfRule type="expression" priority="766" dxfId="17">
      <formula>AV10="X"</formula>
    </cfRule>
    <cfRule type="expression" priority="767" dxfId="16">
      <formula>AV10="후보"</formula>
    </cfRule>
  </conditionalFormatting>
  <conditionalFormatting sqref="AC1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X10">
    <cfRule type="expression" priority="753" dxfId="3">
      <formula>AND(IF(OR($Q10=1,$Q10=2),1,0),IF($X10&lt;=20,1,0))</formula>
    </cfRule>
    <cfRule type="expression" priority="754" dxfId="2">
      <formula>AND(IF($Q10=2,1,0),IF($X10&lt;30,1,0))</formula>
    </cfRule>
    <cfRule type="expression" priority="755" dxfId="1">
      <formula>AND(IF($Q10=3,1,0),IF($X10&lt;30,1,0))</formula>
    </cfRule>
    <cfRule type="expression" priority="756" dxfId="0">
      <formula>AND(IF($Q10=3,1,IF($Q10=4,1,0)),IF($F10&lt;=85,1,0))</formula>
    </cfRule>
  </conditionalFormatting>
  <conditionalFormatting sqref="AI10">
    <cfRule type="expression" priority="749" dxfId="3">
      <formula>AND(IF(OR($Q10=1,$Q10=2),1,0),IF($X10&lt;=20,1,0))</formula>
    </cfRule>
    <cfRule type="expression" priority="750" dxfId="2">
      <formula>AND(IF($Q10=2,1,0),IF($X10&lt;30,1,0))</formula>
    </cfRule>
    <cfRule type="expression" priority="751" dxfId="1">
      <formula>AND(IF($Q10=3,1,0),IF($X10&lt;30,1,0))</formula>
    </cfRule>
    <cfRule type="expression" priority="752" dxfId="0">
      <formula>AND(IF($Q10=3,1,IF($Q10=4,1,0)),IF($F10&lt;=85,1,0))</formula>
    </cfRule>
  </conditionalFormatting>
  <conditionalFormatting sqref="AV11">
    <cfRule type="expression" priority="747" dxfId="17">
      <formula>AV11="X"</formula>
    </cfRule>
    <cfRule type="expression" priority="748" dxfId="16">
      <formula>AV11="후보"</formula>
    </cfRule>
  </conditionalFormatting>
  <conditionalFormatting sqref="AC1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1">
    <cfRule type="expression" priority="738" dxfId="3">
      <formula>AND(IF(OR($Q11=1,$Q11=2),1,0),IF($X11&lt;=20,1,0))</formula>
    </cfRule>
    <cfRule type="expression" priority="739" dxfId="2">
      <formula>AND(IF($Q11=2,1,0),IF($X11&lt;30,1,0))</formula>
    </cfRule>
    <cfRule type="expression" priority="740" dxfId="1">
      <formula>AND(IF($Q11=3,1,0),IF($X11&lt;30,1,0))</formula>
    </cfRule>
    <cfRule type="expression" priority="741" dxfId="0">
      <formula>AND(IF($Q11=3,1,IF($Q11=4,1,0)),IF($F11&lt;=85,1,0))</formula>
    </cfRule>
  </conditionalFormatting>
  <conditionalFormatting sqref="X11">
    <cfRule type="expression" priority="734" dxfId="3">
      <formula>AND(IF(OR($Q11=1,$Q11=2),1,0),IF($X11&lt;=20,1,0))</formula>
    </cfRule>
    <cfRule type="expression" priority="735" dxfId="2">
      <formula>AND(IF($Q11=2,1,0),IF($X11&lt;30,1,0))</formula>
    </cfRule>
    <cfRule type="expression" priority="736" dxfId="1">
      <formula>AND(IF($Q11=3,1,0),IF($X11&lt;30,1,0))</formula>
    </cfRule>
    <cfRule type="expression" priority="737" dxfId="0">
      <formula>AND(IF($Q11=3,1,IF($Q11=4,1,0)),IF($F11&lt;=85,1,0))</formula>
    </cfRule>
  </conditionalFormatting>
  <conditionalFormatting sqref="AI11">
    <cfRule type="expression" priority="730" dxfId="3">
      <formula>AND(IF(OR($Q11=1,$Q11=2),1,0),IF($X11&lt;=20,1,0))</formula>
    </cfRule>
    <cfRule type="expression" priority="731" dxfId="2">
      <formula>AND(IF($Q11=2,1,0),IF($X11&lt;30,1,0))</formula>
    </cfRule>
    <cfRule type="expression" priority="732" dxfId="1">
      <formula>AND(IF($Q11=3,1,0),IF($X11&lt;30,1,0))</formula>
    </cfRule>
    <cfRule type="expression" priority="733" dxfId="0">
      <formula>AND(IF($Q11=3,1,IF($Q11=4,1,0)),IF($F11&lt;=85,1,0))</formula>
    </cfRule>
  </conditionalFormatting>
  <conditionalFormatting sqref="AV12">
    <cfRule type="expression" priority="728" dxfId="17">
      <formula>AV12="X"</formula>
    </cfRule>
    <cfRule type="expression" priority="729" dxfId="16">
      <formula>AV12="후보"</formula>
    </cfRule>
  </conditionalFormatting>
  <conditionalFormatting sqref="AC1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1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12">
    <cfRule type="expression" priority="719" dxfId="3">
      <formula>AND(IF(OR($Q12=1,$Q12=2),1,0),IF($X12&lt;=20,1,0))</formula>
    </cfRule>
    <cfRule type="expression" priority="720" dxfId="2">
      <formula>AND(IF($Q12=2,1,0),IF($X12&lt;30,1,0))</formula>
    </cfRule>
    <cfRule type="expression" priority="721" dxfId="1">
      <formula>AND(IF($Q12=3,1,0),IF($X12&lt;30,1,0))</formula>
    </cfRule>
    <cfRule type="expression" priority="722" dxfId="0">
      <formula>AND(IF($Q12=3,1,IF($Q12=4,1,0)),IF($F12&lt;=85,1,0))</formula>
    </cfRule>
  </conditionalFormatting>
  <conditionalFormatting sqref="X12">
    <cfRule type="expression" priority="715" dxfId="3">
      <formula>AND(IF(OR($Q12=1,$Q12=2),1,0),IF($X12&lt;=20,1,0))</formula>
    </cfRule>
    <cfRule type="expression" priority="716" dxfId="2">
      <formula>AND(IF($Q12=2,1,0),IF($X12&lt;30,1,0))</formula>
    </cfRule>
    <cfRule type="expression" priority="717" dxfId="1">
      <formula>AND(IF($Q12=3,1,0),IF($X12&lt;30,1,0))</formula>
    </cfRule>
    <cfRule type="expression" priority="718" dxfId="0">
      <formula>AND(IF($Q12=3,1,IF($Q12=4,1,0)),IF($F12&lt;=85,1,0))</formula>
    </cfRule>
  </conditionalFormatting>
  <conditionalFormatting sqref="AI12">
    <cfRule type="expression" priority="711" dxfId="3">
      <formula>AND(IF(OR($Q12=1,$Q12=2),1,0),IF($X12&lt;=20,1,0))</formula>
    </cfRule>
    <cfRule type="expression" priority="712" dxfId="2">
      <formula>AND(IF($Q12=2,1,0),IF($X12&lt;30,1,0))</formula>
    </cfRule>
    <cfRule type="expression" priority="713" dxfId="1">
      <formula>AND(IF($Q12=3,1,0),IF($X12&lt;30,1,0))</formula>
    </cfRule>
    <cfRule type="expression" priority="714" dxfId="0">
      <formula>AND(IF($Q12=3,1,IF($Q12=4,1,0)),IF($F12&lt;=85,1,0))</formula>
    </cfRule>
  </conditionalFormatting>
  <conditionalFormatting sqref="AV13">
    <cfRule type="expression" priority="709" dxfId="17">
      <formula>AV13="X"</formula>
    </cfRule>
    <cfRule type="expression" priority="710" dxfId="16">
      <formula>AV13="후보"</formula>
    </cfRule>
  </conditionalFormatting>
  <conditionalFormatting sqref="AC1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1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13">
    <cfRule type="expression" priority="700" dxfId="3">
      <formula>AND(IF(OR($Q13=1,$Q13=2),1,0),IF($X13&lt;=20,1,0))</formula>
    </cfRule>
    <cfRule type="expression" priority="701" dxfId="2">
      <formula>AND(IF($Q13=2,1,0),IF($X13&lt;30,1,0))</formula>
    </cfRule>
    <cfRule type="expression" priority="702" dxfId="1">
      <formula>AND(IF($Q13=3,1,0),IF($X13&lt;30,1,0))</formula>
    </cfRule>
    <cfRule type="expression" priority="703" dxfId="0">
      <formula>AND(IF($Q13=3,1,IF($Q13=4,1,0)),IF($F13&lt;=85,1,0))</formula>
    </cfRule>
  </conditionalFormatting>
  <conditionalFormatting sqref="X13">
    <cfRule type="expression" priority="696" dxfId="3">
      <formula>AND(IF(OR($Q13=1,$Q13=2),1,0),IF($X13&lt;=20,1,0))</formula>
    </cfRule>
    <cfRule type="expression" priority="697" dxfId="2">
      <formula>AND(IF($Q13=2,1,0),IF($X13&lt;30,1,0))</formula>
    </cfRule>
    <cfRule type="expression" priority="698" dxfId="1">
      <formula>AND(IF($Q13=3,1,0),IF($X13&lt;30,1,0))</formula>
    </cfRule>
    <cfRule type="expression" priority="699" dxfId="0">
      <formula>AND(IF($Q13=3,1,IF($Q13=4,1,0)),IF($F13&lt;=85,1,0))</formula>
    </cfRule>
  </conditionalFormatting>
  <conditionalFormatting sqref="AI13">
    <cfRule type="expression" priority="692" dxfId="3">
      <formula>AND(IF(OR($Q13=1,$Q13=2),1,0),IF($X13&lt;=20,1,0))</formula>
    </cfRule>
    <cfRule type="expression" priority="693" dxfId="2">
      <formula>AND(IF($Q13=2,1,0),IF($X13&lt;30,1,0))</formula>
    </cfRule>
    <cfRule type="expression" priority="694" dxfId="1">
      <formula>AND(IF($Q13=3,1,0),IF($X13&lt;30,1,0))</formula>
    </cfRule>
    <cfRule type="expression" priority="695" dxfId="0">
      <formula>AND(IF($Q13=3,1,IF($Q13=4,1,0)),IF($F13&lt;=85,1,0))</formula>
    </cfRule>
  </conditionalFormatting>
  <conditionalFormatting sqref="AV14">
    <cfRule type="expression" priority="690" dxfId="17">
      <formula>AV14="X"</formula>
    </cfRule>
    <cfRule type="expression" priority="691" dxfId="16">
      <formula>AV14="후보"</formula>
    </cfRule>
  </conditionalFormatting>
  <conditionalFormatting sqref="AC14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1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14">
    <cfRule type="expression" priority="681" dxfId="3">
      <formula>AND(IF(OR($Q14=1,$Q14=2),1,0),IF($X14&lt;=20,1,0))</formula>
    </cfRule>
    <cfRule type="expression" priority="682" dxfId="2">
      <formula>AND(IF($Q14=2,1,0),IF($X14&lt;30,1,0))</formula>
    </cfRule>
    <cfRule type="expression" priority="683" dxfId="1">
      <formula>AND(IF($Q14=3,1,0),IF($X14&lt;30,1,0))</formula>
    </cfRule>
    <cfRule type="expression" priority="684" dxfId="0">
      <formula>AND(IF($Q14=3,1,IF($Q14=4,1,0)),IF($F14&lt;=85,1,0))</formula>
    </cfRule>
  </conditionalFormatting>
  <conditionalFormatting sqref="X14">
    <cfRule type="expression" priority="677" dxfId="3">
      <formula>AND(IF(OR($Q14=1,$Q14=2),1,0),IF($X14&lt;=20,1,0))</formula>
    </cfRule>
    <cfRule type="expression" priority="678" dxfId="2">
      <formula>AND(IF($Q14=2,1,0),IF($X14&lt;30,1,0))</formula>
    </cfRule>
    <cfRule type="expression" priority="679" dxfId="1">
      <formula>AND(IF($Q14=3,1,0),IF($X14&lt;30,1,0))</formula>
    </cfRule>
    <cfRule type="expression" priority="680" dxfId="0">
      <formula>AND(IF($Q14=3,1,IF($Q14=4,1,0)),IF($F14&lt;=85,1,0))</formula>
    </cfRule>
  </conditionalFormatting>
  <conditionalFormatting sqref="AI14">
    <cfRule type="expression" priority="673" dxfId="3">
      <formula>AND(IF(OR($Q14=1,$Q14=2),1,0),IF($X14&lt;=20,1,0))</formula>
    </cfRule>
    <cfRule type="expression" priority="674" dxfId="2">
      <formula>AND(IF($Q14=2,1,0),IF($X14&lt;30,1,0))</formula>
    </cfRule>
    <cfRule type="expression" priority="675" dxfId="1">
      <formula>AND(IF($Q14=3,1,0),IF($X14&lt;30,1,0))</formula>
    </cfRule>
    <cfRule type="expression" priority="676" dxfId="0">
      <formula>AND(IF($Q14=3,1,IF($Q14=4,1,0)),IF($F14&lt;=85,1,0))</formula>
    </cfRule>
  </conditionalFormatting>
  <conditionalFormatting sqref="AV15">
    <cfRule type="expression" priority="671" dxfId="17">
      <formula>AV15="X"</formula>
    </cfRule>
    <cfRule type="expression" priority="672" dxfId="16">
      <formula>AV15="후보"</formula>
    </cfRule>
  </conditionalFormatting>
  <conditionalFormatting sqref="AC15 N15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16">
    <cfRule type="expression" priority="666" dxfId="17">
      <formula>AV16="X"</formula>
    </cfRule>
    <cfRule type="expression" priority="667" dxfId="16">
      <formula>AV16="후보"</formula>
    </cfRule>
  </conditionalFormatting>
  <conditionalFormatting sqref="AC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6">
    <cfRule type="expression" priority="657" dxfId="3">
      <formula>AND(IF(OR($Q16=1,$Q16=2),1,0),IF($X16&lt;=20,1,0))</formula>
    </cfRule>
    <cfRule type="expression" priority="658" dxfId="2">
      <formula>AND(IF($Q16=2,1,0),IF($X16&lt;30,1,0))</formula>
    </cfRule>
    <cfRule type="expression" priority="659" dxfId="1">
      <formula>AND(IF($Q16=3,1,0),IF($X16&lt;30,1,0))</formula>
    </cfRule>
    <cfRule type="expression" priority="660" dxfId="0">
      <formula>AND(IF($Q16=3,1,IF($Q16=4,1,0)),IF($F16&lt;=85,1,0))</formula>
    </cfRule>
  </conditionalFormatting>
  <conditionalFormatting sqref="X16">
    <cfRule type="expression" priority="653" dxfId="3">
      <formula>AND(IF(OR($Q16=1,$Q16=2),1,0),IF($X16&lt;=20,1,0))</formula>
    </cfRule>
    <cfRule type="expression" priority="654" dxfId="2">
      <formula>AND(IF($Q16=2,1,0),IF($X16&lt;30,1,0))</formula>
    </cfRule>
    <cfRule type="expression" priority="655" dxfId="1">
      <formula>AND(IF($Q16=3,1,0),IF($X16&lt;30,1,0))</formula>
    </cfRule>
    <cfRule type="expression" priority="656" dxfId="0">
      <formula>AND(IF($Q16=3,1,IF($Q16=4,1,0)),IF($F16&lt;=85,1,0))</formula>
    </cfRule>
  </conditionalFormatting>
  <conditionalFormatting sqref="AI16">
    <cfRule type="expression" priority="649" dxfId="3">
      <formula>AND(IF(OR($Q16=1,$Q16=2),1,0),IF($X16&lt;=20,1,0))</formula>
    </cfRule>
    <cfRule type="expression" priority="650" dxfId="2">
      <formula>AND(IF($Q16=2,1,0),IF($X16&lt;30,1,0))</formula>
    </cfRule>
    <cfRule type="expression" priority="651" dxfId="1">
      <formula>AND(IF($Q16=3,1,0),IF($X16&lt;30,1,0))</formula>
    </cfRule>
    <cfRule type="expression" priority="652" dxfId="0">
      <formula>AND(IF($Q16=3,1,IF($Q16=4,1,0)),IF($F16&lt;=85,1,0))</formula>
    </cfRule>
  </conditionalFormatting>
  <conditionalFormatting sqref="AV17">
    <cfRule type="expression" priority="647" dxfId="17">
      <formula>AV17="X"</formula>
    </cfRule>
    <cfRule type="expression" priority="648" dxfId="16">
      <formula>AV17="후보"</formula>
    </cfRule>
  </conditionalFormatting>
  <conditionalFormatting sqref="AC17 N1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8">
    <cfRule type="expression" priority="642" dxfId="17">
      <formula>AV18="X"</formula>
    </cfRule>
    <cfRule type="expression" priority="643" dxfId="16">
      <formula>AV18="후보"</formula>
    </cfRule>
  </conditionalFormatting>
  <conditionalFormatting sqref="AC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17">
      <formula>AV19="X"</formula>
    </cfRule>
    <cfRule type="expression" priority="624" dxfId="16">
      <formula>AV19="후보"</formula>
    </cfRule>
  </conditionalFormatting>
  <conditionalFormatting sqref="AC1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9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17">
      <formula>AV20="X"</formula>
    </cfRule>
    <cfRule type="expression" priority="605" dxfId="16">
      <formula>AV20="후보"</formula>
    </cfRule>
  </conditionalFormatting>
  <conditionalFormatting sqref="AC2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X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I20">
    <cfRule type="expression" priority="587" dxfId="3">
      <formula>AND(IF(OR($Q20=1,$Q20=2),1,0),IF($X20&lt;=20,1,0))</formula>
    </cfRule>
    <cfRule type="expression" priority="588" dxfId="2">
      <formula>AND(IF($Q20=2,1,0),IF($X20&lt;30,1,0))</formula>
    </cfRule>
    <cfRule type="expression" priority="589" dxfId="1">
      <formula>AND(IF($Q20=3,1,0),IF($X20&lt;30,1,0))</formula>
    </cfRule>
    <cfRule type="expression" priority="590" dxfId="0">
      <formula>AND(IF($Q20=3,1,IF($Q20=4,1,0)),IF($F20&lt;=85,1,0))</formula>
    </cfRule>
  </conditionalFormatting>
  <conditionalFormatting sqref="AV21">
    <cfRule type="expression" priority="585" dxfId="17">
      <formula>AV21="X"</formula>
    </cfRule>
    <cfRule type="expression" priority="586" dxfId="16">
      <formula>AV21="후보"</formula>
    </cfRule>
  </conditionalFormatting>
  <conditionalFormatting sqref="AC2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1">
    <cfRule type="expression" priority="576" dxfId="3">
      <formula>AND(IF(OR($Q21=1,$Q21=2),1,0),IF($X21&lt;=20,1,0))</formula>
    </cfRule>
    <cfRule type="expression" priority="577" dxfId="2">
      <formula>AND(IF($Q21=2,1,0),IF($X21&lt;30,1,0))</formula>
    </cfRule>
    <cfRule type="expression" priority="578" dxfId="1">
      <formula>AND(IF($Q21=3,1,0),IF($X21&lt;30,1,0))</formula>
    </cfRule>
    <cfRule type="expression" priority="579" dxfId="0">
      <formula>AND(IF($Q21=3,1,IF($Q21=4,1,0)),IF($F21&lt;=85,1,0))</formula>
    </cfRule>
  </conditionalFormatting>
  <conditionalFormatting sqref="X21">
    <cfRule type="expression" priority="572" dxfId="3">
      <formula>AND(IF(OR($Q21=1,$Q21=2),1,0),IF($X21&lt;=20,1,0))</formula>
    </cfRule>
    <cfRule type="expression" priority="573" dxfId="2">
      <formula>AND(IF($Q21=2,1,0),IF($X21&lt;30,1,0))</formula>
    </cfRule>
    <cfRule type="expression" priority="574" dxfId="1">
      <formula>AND(IF($Q21=3,1,0),IF($X21&lt;30,1,0))</formula>
    </cfRule>
    <cfRule type="expression" priority="575" dxfId="0">
      <formula>AND(IF($Q21=3,1,IF($Q21=4,1,0)),IF($F21&lt;=85,1,0))</formula>
    </cfRule>
  </conditionalFormatting>
  <conditionalFormatting sqref="AI21">
    <cfRule type="expression" priority="568" dxfId="3">
      <formula>AND(IF(OR($Q21=1,$Q21=2),1,0),IF($X21&lt;=20,1,0))</formula>
    </cfRule>
    <cfRule type="expression" priority="569" dxfId="2">
      <formula>AND(IF($Q21=2,1,0),IF($X21&lt;30,1,0))</formula>
    </cfRule>
    <cfRule type="expression" priority="570" dxfId="1">
      <formula>AND(IF($Q21=3,1,0),IF($X21&lt;30,1,0))</formula>
    </cfRule>
    <cfRule type="expression" priority="571" dxfId="0">
      <formula>AND(IF($Q21=3,1,IF($Q21=4,1,0)),IF($F21&lt;=85,1,0))</formula>
    </cfRule>
  </conditionalFormatting>
  <conditionalFormatting sqref="AV22">
    <cfRule type="expression" priority="566" dxfId="17">
      <formula>AV22="X"</formula>
    </cfRule>
    <cfRule type="expression" priority="567" dxfId="16">
      <formula>AV22="후보"</formula>
    </cfRule>
  </conditionalFormatting>
  <conditionalFormatting sqref="AC22 N2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23">
    <cfRule type="expression" priority="561" dxfId="17">
      <formula>AV23="X"</formula>
    </cfRule>
    <cfRule type="expression" priority="562" dxfId="16">
      <formula>AV23="후보"</formula>
    </cfRule>
  </conditionalFormatting>
  <conditionalFormatting sqref="AC2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17">
      <formula>AV24="X"</formula>
    </cfRule>
    <cfRule type="expression" priority="543" dxfId="16">
      <formula>AV24="후보"</formula>
    </cfRule>
  </conditionalFormatting>
  <conditionalFormatting sqref="AC2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X24">
    <cfRule type="expression" priority="529" dxfId="3">
      <formula>AND(IF(OR($Q24=1,$Q24=2),1,0),IF($X24&lt;=20,1,0))</formula>
    </cfRule>
    <cfRule type="expression" priority="530" dxfId="2">
      <formula>AND(IF($Q24=2,1,0),IF($X24&lt;30,1,0))</formula>
    </cfRule>
    <cfRule type="expression" priority="531" dxfId="1">
      <formula>AND(IF($Q24=3,1,0),IF($X24&lt;30,1,0))</formula>
    </cfRule>
    <cfRule type="expression" priority="532" dxfId="0">
      <formula>AND(IF($Q24=3,1,IF($Q24=4,1,0)),IF($F24&lt;=85,1,0))</formula>
    </cfRule>
  </conditionalFormatting>
  <conditionalFormatting sqref="AI24">
    <cfRule type="expression" priority="525" dxfId="3">
      <formula>AND(IF(OR($Q24=1,$Q24=2),1,0),IF($X24&lt;=20,1,0))</formula>
    </cfRule>
    <cfRule type="expression" priority="526" dxfId="2">
      <formula>AND(IF($Q24=2,1,0),IF($X24&lt;30,1,0))</formula>
    </cfRule>
    <cfRule type="expression" priority="527" dxfId="1">
      <formula>AND(IF($Q24=3,1,0),IF($X24&lt;30,1,0))</formula>
    </cfRule>
    <cfRule type="expression" priority="528" dxfId="0">
      <formula>AND(IF($Q24=3,1,IF($Q24=4,1,0)),IF($F24&lt;=85,1,0))</formula>
    </cfRule>
  </conditionalFormatting>
  <conditionalFormatting sqref="AV25">
    <cfRule type="expression" priority="523" dxfId="17">
      <formula>AV25="X"</formula>
    </cfRule>
    <cfRule type="expression" priority="524" dxfId="16">
      <formula>AV25="후보"</formula>
    </cfRule>
  </conditionalFormatting>
  <conditionalFormatting sqref="AC2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5">
    <cfRule type="expression" priority="514" dxfId="3">
      <formula>AND(IF(OR($Q25=1,$Q25=2),1,0),IF($X25&lt;=20,1,0))</formula>
    </cfRule>
    <cfRule type="expression" priority="515" dxfId="2">
      <formula>AND(IF($Q25=2,1,0),IF($X25&lt;30,1,0))</formula>
    </cfRule>
    <cfRule type="expression" priority="516" dxfId="1">
      <formula>AND(IF($Q25=3,1,0),IF($X25&lt;30,1,0))</formula>
    </cfRule>
    <cfRule type="expression" priority="517" dxfId="0">
      <formula>AND(IF($Q25=3,1,IF($Q25=4,1,0)),IF($F25&lt;=85,1,0))</formula>
    </cfRule>
  </conditionalFormatting>
  <conditionalFormatting sqref="X25">
    <cfRule type="expression" priority="510" dxfId="3">
      <formula>AND(IF(OR($Q25=1,$Q25=2),1,0),IF($X25&lt;=20,1,0))</formula>
    </cfRule>
    <cfRule type="expression" priority="511" dxfId="2">
      <formula>AND(IF($Q25=2,1,0),IF($X25&lt;30,1,0))</formula>
    </cfRule>
    <cfRule type="expression" priority="512" dxfId="1">
      <formula>AND(IF($Q25=3,1,0),IF($X25&lt;30,1,0))</formula>
    </cfRule>
    <cfRule type="expression" priority="513" dxfId="0">
      <formula>AND(IF($Q25=3,1,IF($Q25=4,1,0)),IF($F25&lt;=85,1,0))</formula>
    </cfRule>
  </conditionalFormatting>
  <conditionalFormatting sqref="AI25">
    <cfRule type="expression" priority="506" dxfId="3">
      <formula>AND(IF(OR($Q25=1,$Q25=2),1,0),IF($X25&lt;=20,1,0))</formula>
    </cfRule>
    <cfRule type="expression" priority="507" dxfId="2">
      <formula>AND(IF($Q25=2,1,0),IF($X25&lt;30,1,0))</formula>
    </cfRule>
    <cfRule type="expression" priority="508" dxfId="1">
      <formula>AND(IF($Q25=3,1,0),IF($X25&lt;30,1,0))</formula>
    </cfRule>
    <cfRule type="expression" priority="509" dxfId="0">
      <formula>AND(IF($Q25=3,1,IF($Q25=4,1,0)),IF($F25&lt;=85,1,0))</formula>
    </cfRule>
  </conditionalFormatting>
  <conditionalFormatting sqref="AV26">
    <cfRule type="expression" priority="504" dxfId="17">
      <formula>AV26="X"</formula>
    </cfRule>
    <cfRule type="expression" priority="505" dxfId="16">
      <formula>AV26="후보"</formula>
    </cfRule>
  </conditionalFormatting>
  <conditionalFormatting sqref="AC2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6">
    <cfRule type="expression" priority="495" dxfId="3">
      <formula>AND(IF(OR($Q26=1,$Q26=2),1,0),IF($X26&lt;=20,1,0))</formula>
    </cfRule>
    <cfRule type="expression" priority="496" dxfId="2">
      <formula>AND(IF($Q26=2,1,0),IF($X26&lt;30,1,0))</formula>
    </cfRule>
    <cfRule type="expression" priority="497" dxfId="1">
      <formula>AND(IF($Q26=3,1,0),IF($X26&lt;30,1,0))</formula>
    </cfRule>
    <cfRule type="expression" priority="498" dxfId="0">
      <formula>AND(IF($Q26=3,1,IF($Q26=4,1,0)),IF($F26&lt;=85,1,0))</formula>
    </cfRule>
  </conditionalFormatting>
  <conditionalFormatting sqref="X26">
    <cfRule type="expression" priority="491" dxfId="3">
      <formula>AND(IF(OR($Q26=1,$Q26=2),1,0),IF($X26&lt;=20,1,0))</formula>
    </cfRule>
    <cfRule type="expression" priority="492" dxfId="2">
      <formula>AND(IF($Q26=2,1,0),IF($X26&lt;30,1,0))</formula>
    </cfRule>
    <cfRule type="expression" priority="493" dxfId="1">
      <formula>AND(IF($Q26=3,1,0),IF($X26&lt;30,1,0))</formula>
    </cfRule>
    <cfRule type="expression" priority="494" dxfId="0">
      <formula>AND(IF($Q26=3,1,IF($Q26=4,1,0)),IF($F26&lt;=85,1,0))</formula>
    </cfRule>
  </conditionalFormatting>
  <conditionalFormatting sqref="AI26">
    <cfRule type="expression" priority="487" dxfId="3">
      <formula>AND(IF(OR($Q26=1,$Q26=2),1,0),IF($X26&lt;=20,1,0))</formula>
    </cfRule>
    <cfRule type="expression" priority="488" dxfId="2">
      <formula>AND(IF($Q26=2,1,0),IF($X26&lt;30,1,0))</formula>
    </cfRule>
    <cfRule type="expression" priority="489" dxfId="1">
      <formula>AND(IF($Q26=3,1,0),IF($X26&lt;30,1,0))</formula>
    </cfRule>
    <cfRule type="expression" priority="490" dxfId="0">
      <formula>AND(IF($Q26=3,1,IF($Q26=4,1,0)),IF($F26&lt;=85,1,0))</formula>
    </cfRule>
  </conditionalFormatting>
  <conditionalFormatting sqref="AV27">
    <cfRule type="expression" priority="485" dxfId="17">
      <formula>AV27="X"</formula>
    </cfRule>
    <cfRule type="expression" priority="486" dxfId="16">
      <formula>AV27="후보"</formula>
    </cfRule>
  </conditionalFormatting>
  <conditionalFormatting sqref="AC2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7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7">
    <cfRule type="expression" priority="476" dxfId="3">
      <formula>AND(IF(OR($Q27=1,$Q27=2),1,0),IF($X27&lt;=20,1,0))</formula>
    </cfRule>
    <cfRule type="expression" priority="477" dxfId="2">
      <formula>AND(IF($Q27=2,1,0),IF($X27&lt;30,1,0))</formula>
    </cfRule>
    <cfRule type="expression" priority="478" dxfId="1">
      <formula>AND(IF($Q27=3,1,0),IF($X27&lt;30,1,0))</formula>
    </cfRule>
    <cfRule type="expression" priority="479" dxfId="0">
      <formula>AND(IF($Q27=3,1,IF($Q27=4,1,0)),IF($F27&lt;=85,1,0))</formula>
    </cfRule>
  </conditionalFormatting>
  <conditionalFormatting sqref="X27">
    <cfRule type="expression" priority="472" dxfId="3">
      <formula>AND(IF(OR($Q27=1,$Q27=2),1,0),IF($X27&lt;=20,1,0))</formula>
    </cfRule>
    <cfRule type="expression" priority="473" dxfId="2">
      <formula>AND(IF($Q27=2,1,0),IF($X27&lt;30,1,0))</formula>
    </cfRule>
    <cfRule type="expression" priority="474" dxfId="1">
      <formula>AND(IF($Q27=3,1,0),IF($X27&lt;30,1,0))</formula>
    </cfRule>
    <cfRule type="expression" priority="475" dxfId="0">
      <formula>AND(IF($Q27=3,1,IF($Q27=4,1,0)),IF($F27&lt;=85,1,0))</formula>
    </cfRule>
  </conditionalFormatting>
  <conditionalFormatting sqref="AI27">
    <cfRule type="expression" priority="468" dxfId="3">
      <formula>AND(IF(OR($Q27=1,$Q27=2),1,0),IF($X27&lt;=20,1,0))</formula>
    </cfRule>
    <cfRule type="expression" priority="469" dxfId="2">
      <formula>AND(IF($Q27=2,1,0),IF($X27&lt;30,1,0))</formula>
    </cfRule>
    <cfRule type="expression" priority="470" dxfId="1">
      <formula>AND(IF($Q27=3,1,0),IF($X27&lt;30,1,0))</formula>
    </cfRule>
    <cfRule type="expression" priority="471" dxfId="0">
      <formula>AND(IF($Q27=3,1,IF($Q27=4,1,0)),IF($F27&lt;=85,1,0))</formula>
    </cfRule>
  </conditionalFormatting>
  <conditionalFormatting sqref="AV28">
    <cfRule type="expression" priority="466" dxfId="17">
      <formula>AV28="X"</formula>
    </cfRule>
    <cfRule type="expression" priority="467" dxfId="16">
      <formula>AV28="후보"</formula>
    </cfRule>
  </conditionalFormatting>
  <conditionalFormatting sqref="AC2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8">
    <cfRule type="expression" priority="457" dxfId="3">
      <formula>AND(IF(OR($Q28=1,$Q28=2),1,0),IF($X28&lt;=20,1,0))</formula>
    </cfRule>
    <cfRule type="expression" priority="458" dxfId="2">
      <formula>AND(IF($Q28=2,1,0),IF($X28&lt;30,1,0))</formula>
    </cfRule>
    <cfRule type="expression" priority="459" dxfId="1">
      <formula>AND(IF($Q28=3,1,0),IF($X28&lt;30,1,0))</formula>
    </cfRule>
    <cfRule type="expression" priority="460" dxfId="0">
      <formula>AND(IF($Q28=3,1,IF($Q28=4,1,0)),IF($F28&lt;=85,1,0))</formula>
    </cfRule>
  </conditionalFormatting>
  <conditionalFormatting sqref="X28">
    <cfRule type="expression" priority="453" dxfId="3">
      <formula>AND(IF(OR($Q28=1,$Q28=2),1,0),IF($X28&lt;=20,1,0))</formula>
    </cfRule>
    <cfRule type="expression" priority="454" dxfId="2">
      <formula>AND(IF($Q28=2,1,0),IF($X28&lt;30,1,0))</formula>
    </cfRule>
    <cfRule type="expression" priority="455" dxfId="1">
      <formula>AND(IF($Q28=3,1,0),IF($X28&lt;30,1,0))</formula>
    </cfRule>
    <cfRule type="expression" priority="456" dxfId="0">
      <formula>AND(IF($Q28=3,1,IF($Q28=4,1,0)),IF($F28&lt;=85,1,0))</formula>
    </cfRule>
  </conditionalFormatting>
  <conditionalFormatting sqref="AI28">
    <cfRule type="expression" priority="449" dxfId="3">
      <formula>AND(IF(OR($Q28=1,$Q28=2),1,0),IF($X28&lt;=20,1,0))</formula>
    </cfRule>
    <cfRule type="expression" priority="450" dxfId="2">
      <formula>AND(IF($Q28=2,1,0),IF($X28&lt;30,1,0))</formula>
    </cfRule>
    <cfRule type="expression" priority="451" dxfId="1">
      <formula>AND(IF($Q28=3,1,0),IF($X28&lt;30,1,0))</formula>
    </cfRule>
    <cfRule type="expression" priority="452" dxfId="0">
      <formula>AND(IF($Q28=3,1,IF($Q28=4,1,0)),IF($F28&lt;=85,1,0))</formula>
    </cfRule>
  </conditionalFormatting>
  <conditionalFormatting sqref="AV29">
    <cfRule type="expression" priority="447" dxfId="17">
      <formula>AV29="X"</formula>
    </cfRule>
    <cfRule type="expression" priority="448" dxfId="16">
      <formula>AV29="후보"</formula>
    </cfRule>
  </conditionalFormatting>
  <conditionalFormatting sqref="AC29 N2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30">
    <cfRule type="expression" priority="442" dxfId="17">
      <formula>AV30="X"</formula>
    </cfRule>
    <cfRule type="expression" priority="443" dxfId="16">
      <formula>AV30="후보"</formula>
    </cfRule>
  </conditionalFormatting>
  <conditionalFormatting sqref="AC30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30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30">
    <cfRule type="expression" priority="433" dxfId="3">
      <formula>AND(IF(OR($Q30=1,$Q30=2),1,0),IF($X30&lt;=20,1,0))</formula>
    </cfRule>
    <cfRule type="expression" priority="434" dxfId="2">
      <formula>AND(IF($Q30=2,1,0),IF($X30&lt;30,1,0))</formula>
    </cfRule>
    <cfRule type="expression" priority="435" dxfId="1">
      <formula>AND(IF($Q30=3,1,0),IF($X30&lt;30,1,0))</formula>
    </cfRule>
    <cfRule type="expression" priority="436" dxfId="0">
      <formula>AND(IF($Q30=3,1,IF($Q30=4,1,0)),IF($F30&lt;=85,1,0))</formula>
    </cfRule>
  </conditionalFormatting>
  <conditionalFormatting sqref="X30">
    <cfRule type="expression" priority="429" dxfId="3">
      <formula>AND(IF(OR($Q30=1,$Q30=2),1,0),IF($X30&lt;=20,1,0))</formula>
    </cfRule>
    <cfRule type="expression" priority="430" dxfId="2">
      <formula>AND(IF($Q30=2,1,0),IF($X30&lt;30,1,0))</formula>
    </cfRule>
    <cfRule type="expression" priority="431" dxfId="1">
      <formula>AND(IF($Q30=3,1,0),IF($X30&lt;30,1,0))</formula>
    </cfRule>
    <cfRule type="expression" priority="432" dxfId="0">
      <formula>AND(IF($Q30=3,1,IF($Q30=4,1,0)),IF($F30&lt;=85,1,0))</formula>
    </cfRule>
  </conditionalFormatting>
  <conditionalFormatting sqref="AI30">
    <cfRule type="expression" priority="425" dxfId="3">
      <formula>AND(IF(OR($Q30=1,$Q30=2),1,0),IF($X30&lt;=20,1,0))</formula>
    </cfRule>
    <cfRule type="expression" priority="426" dxfId="2">
      <formula>AND(IF($Q30=2,1,0),IF($X30&lt;30,1,0))</formula>
    </cfRule>
    <cfRule type="expression" priority="427" dxfId="1">
      <formula>AND(IF($Q30=3,1,0),IF($X30&lt;30,1,0))</formula>
    </cfRule>
    <cfRule type="expression" priority="428" dxfId="0">
      <formula>AND(IF($Q30=3,1,IF($Q30=4,1,0)),IF($F30&lt;=85,1,0))</formula>
    </cfRule>
  </conditionalFormatting>
  <conditionalFormatting sqref="AV31">
    <cfRule type="expression" priority="423" dxfId="17">
      <formula>AV31="X"</formula>
    </cfRule>
    <cfRule type="expression" priority="424" dxfId="16">
      <formula>AV31="후보"</formula>
    </cfRule>
  </conditionalFormatting>
  <conditionalFormatting sqref="AC3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1">
    <cfRule type="expression" priority="414" dxfId="3">
      <formula>AND(IF(OR($Q31=1,$Q31=2),1,0),IF($X31&lt;=20,1,0))</formula>
    </cfRule>
    <cfRule type="expression" priority="415" dxfId="2">
      <formula>AND(IF($Q31=2,1,0),IF($X31&lt;30,1,0))</formula>
    </cfRule>
    <cfRule type="expression" priority="416" dxfId="1">
      <formula>AND(IF($Q31=3,1,0),IF($X31&lt;30,1,0))</formula>
    </cfRule>
    <cfRule type="expression" priority="417" dxfId="0">
      <formula>AND(IF($Q31=3,1,IF($Q31=4,1,0)),IF($F31&lt;=85,1,0))</formula>
    </cfRule>
  </conditionalFormatting>
  <conditionalFormatting sqref="X31">
    <cfRule type="expression" priority="410" dxfId="3">
      <formula>AND(IF(OR($Q31=1,$Q31=2),1,0),IF($X31&lt;=20,1,0))</formula>
    </cfRule>
    <cfRule type="expression" priority="411" dxfId="2">
      <formula>AND(IF($Q31=2,1,0),IF($X31&lt;30,1,0))</formula>
    </cfRule>
    <cfRule type="expression" priority="412" dxfId="1">
      <formula>AND(IF($Q31=3,1,0),IF($X31&lt;30,1,0))</formula>
    </cfRule>
    <cfRule type="expression" priority="413" dxfId="0">
      <formula>AND(IF($Q31=3,1,IF($Q31=4,1,0)),IF($F31&lt;=85,1,0))</formula>
    </cfRule>
  </conditionalFormatting>
  <conditionalFormatting sqref="AI31">
    <cfRule type="expression" priority="406" dxfId="3">
      <formula>AND(IF(OR($Q31=1,$Q31=2),1,0),IF($X31&lt;=20,1,0))</formula>
    </cfRule>
    <cfRule type="expression" priority="407" dxfId="2">
      <formula>AND(IF($Q31=2,1,0),IF($X31&lt;30,1,0))</formula>
    </cfRule>
    <cfRule type="expression" priority="408" dxfId="1">
      <formula>AND(IF($Q31=3,1,0),IF($X31&lt;30,1,0))</formula>
    </cfRule>
    <cfRule type="expression" priority="409" dxfId="0">
      <formula>AND(IF($Q31=3,1,IF($Q31=4,1,0)),IF($F31&lt;=85,1,0))</formula>
    </cfRule>
  </conditionalFormatting>
  <conditionalFormatting sqref="AV32">
    <cfRule type="expression" priority="404" dxfId="17">
      <formula>AV32="X"</formula>
    </cfRule>
    <cfRule type="expression" priority="405" dxfId="16">
      <formula>AV32="후보"</formula>
    </cfRule>
  </conditionalFormatting>
  <conditionalFormatting sqref="AC3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2">
    <cfRule type="expression" priority="395" dxfId="3">
      <formula>AND(IF(OR($Q32=1,$Q32=2),1,0),IF($X32&lt;=20,1,0))</formula>
    </cfRule>
    <cfRule type="expression" priority="396" dxfId="2">
      <formula>AND(IF($Q32=2,1,0),IF($X32&lt;30,1,0))</formula>
    </cfRule>
    <cfRule type="expression" priority="397" dxfId="1">
      <formula>AND(IF($Q32=3,1,0),IF($X32&lt;30,1,0))</formula>
    </cfRule>
    <cfRule type="expression" priority="398" dxfId="0">
      <formula>AND(IF($Q32=3,1,IF($Q32=4,1,0)),IF($F32&lt;=85,1,0))</formula>
    </cfRule>
  </conditionalFormatting>
  <conditionalFormatting sqref="X32">
    <cfRule type="expression" priority="391" dxfId="3">
      <formula>AND(IF(OR($Q32=1,$Q32=2),1,0),IF($X32&lt;=20,1,0))</formula>
    </cfRule>
    <cfRule type="expression" priority="392" dxfId="2">
      <formula>AND(IF($Q32=2,1,0),IF($X32&lt;30,1,0))</formula>
    </cfRule>
    <cfRule type="expression" priority="393" dxfId="1">
      <formula>AND(IF($Q32=3,1,0),IF($X32&lt;30,1,0))</formula>
    </cfRule>
    <cfRule type="expression" priority="394" dxfId="0">
      <formula>AND(IF($Q32=3,1,IF($Q32=4,1,0)),IF($F32&lt;=85,1,0))</formula>
    </cfRule>
  </conditionalFormatting>
  <conditionalFormatting sqref="AI32">
    <cfRule type="expression" priority="387" dxfId="3">
      <formula>AND(IF(OR($Q32=1,$Q32=2),1,0),IF($X32&lt;=20,1,0))</formula>
    </cfRule>
    <cfRule type="expression" priority="388" dxfId="2">
      <formula>AND(IF($Q32=2,1,0),IF($X32&lt;30,1,0))</formula>
    </cfRule>
    <cfRule type="expression" priority="389" dxfId="1">
      <formula>AND(IF($Q32=3,1,0),IF($X32&lt;30,1,0))</formula>
    </cfRule>
    <cfRule type="expression" priority="390" dxfId="0">
      <formula>AND(IF($Q32=3,1,IF($Q32=4,1,0)),IF($F32&lt;=85,1,0))</formula>
    </cfRule>
  </conditionalFormatting>
  <conditionalFormatting sqref="AV33">
    <cfRule type="expression" priority="385" dxfId="17">
      <formula>AV33="X"</formula>
    </cfRule>
    <cfRule type="expression" priority="386" dxfId="16">
      <formula>AV33="후보"</formula>
    </cfRule>
  </conditionalFormatting>
  <conditionalFormatting sqref="AC3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3">
    <cfRule type="expression" priority="376" dxfId="3">
      <formula>AND(IF(OR($Q33=1,$Q33=2),1,0),IF($X33&lt;=20,1,0))</formula>
    </cfRule>
    <cfRule type="expression" priority="377" dxfId="2">
      <formula>AND(IF($Q33=2,1,0),IF($X33&lt;30,1,0))</formula>
    </cfRule>
    <cfRule type="expression" priority="378" dxfId="1">
      <formula>AND(IF($Q33=3,1,0),IF($X33&lt;30,1,0))</formula>
    </cfRule>
    <cfRule type="expression" priority="379" dxfId="0">
      <formula>AND(IF($Q33=3,1,IF($Q33=4,1,0)),IF($F33&lt;=85,1,0))</formula>
    </cfRule>
  </conditionalFormatting>
  <conditionalFormatting sqref="X33">
    <cfRule type="expression" priority="372" dxfId="3">
      <formula>AND(IF(OR($Q33=1,$Q33=2),1,0),IF($X33&lt;=20,1,0))</formula>
    </cfRule>
    <cfRule type="expression" priority="373" dxfId="2">
      <formula>AND(IF($Q33=2,1,0),IF($X33&lt;30,1,0))</formula>
    </cfRule>
    <cfRule type="expression" priority="374" dxfId="1">
      <formula>AND(IF($Q33=3,1,0),IF($X33&lt;30,1,0))</formula>
    </cfRule>
    <cfRule type="expression" priority="375" dxfId="0">
      <formula>AND(IF($Q33=3,1,IF($Q33=4,1,0)),IF($F33&lt;=85,1,0))</formula>
    </cfRule>
  </conditionalFormatting>
  <conditionalFormatting sqref="AI33">
    <cfRule type="expression" priority="368" dxfId="3">
      <formula>AND(IF(OR($Q33=1,$Q33=2),1,0),IF($X33&lt;=20,1,0))</formula>
    </cfRule>
    <cfRule type="expression" priority="369" dxfId="2">
      <formula>AND(IF($Q33=2,1,0),IF($X33&lt;30,1,0))</formula>
    </cfRule>
    <cfRule type="expression" priority="370" dxfId="1">
      <formula>AND(IF($Q33=3,1,0),IF($X33&lt;30,1,0))</formula>
    </cfRule>
    <cfRule type="expression" priority="371" dxfId="0">
      <formula>AND(IF($Q33=3,1,IF($Q33=4,1,0)),IF($F33&lt;=85,1,0))</formula>
    </cfRule>
  </conditionalFormatting>
  <conditionalFormatting sqref="AV34">
    <cfRule type="expression" priority="366" dxfId="17">
      <formula>AV34="X"</formula>
    </cfRule>
    <cfRule type="expression" priority="367" dxfId="16">
      <formula>AV34="후보"</formula>
    </cfRule>
  </conditionalFormatting>
  <conditionalFormatting sqref="AC34 N3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35">
    <cfRule type="expression" priority="361" dxfId="17">
      <formula>AV35="X"</formula>
    </cfRule>
    <cfRule type="expression" priority="362" dxfId="16">
      <formula>AV35="후보"</formula>
    </cfRule>
  </conditionalFormatting>
  <conditionalFormatting sqref="AC3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17">
      <formula>AV36="X"</formula>
    </cfRule>
    <cfRule type="expression" priority="343" dxfId="16">
      <formula>AV36="후보"</formula>
    </cfRule>
  </conditionalFormatting>
  <conditionalFormatting sqref="AC3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">
    <cfRule type="expression" priority="333" dxfId="3">
      <formula>AND(IF(OR($Q36=1,$Q36=2),1,0),IF($X36&lt;=20,1,0))</formula>
    </cfRule>
    <cfRule type="expression" priority="334" dxfId="2">
      <formula>AND(IF($Q36=2,1,0),IF($X36&lt;30,1,0))</formula>
    </cfRule>
    <cfRule type="expression" priority="335" dxfId="1">
      <formula>AND(IF($Q36=3,1,0),IF($X36&lt;30,1,0))</formula>
    </cfRule>
    <cfRule type="expression" priority="336" dxfId="0">
      <formula>AND(IF($Q36=3,1,IF($Q36=4,1,0)),IF($F36&lt;=85,1,0))</formula>
    </cfRule>
  </conditionalFormatting>
  <conditionalFormatting sqref="X36">
    <cfRule type="expression" priority="329" dxfId="3">
      <formula>AND(IF(OR($Q36=1,$Q36=2),1,0),IF($X36&lt;=20,1,0))</formula>
    </cfRule>
    <cfRule type="expression" priority="330" dxfId="2">
      <formula>AND(IF($Q36=2,1,0),IF($X36&lt;30,1,0))</formula>
    </cfRule>
    <cfRule type="expression" priority="331" dxfId="1">
      <formula>AND(IF($Q36=3,1,0),IF($X36&lt;30,1,0))</formula>
    </cfRule>
    <cfRule type="expression" priority="332" dxfId="0">
      <formula>AND(IF($Q36=3,1,IF($Q36=4,1,0)),IF($F36&lt;=85,1,0))</formula>
    </cfRule>
  </conditionalFormatting>
  <conditionalFormatting sqref="AI36">
    <cfRule type="expression" priority="325" dxfId="3">
      <formula>AND(IF(OR($Q36=1,$Q36=2),1,0),IF($X36&lt;=20,1,0))</formula>
    </cfRule>
    <cfRule type="expression" priority="326" dxfId="2">
      <formula>AND(IF($Q36=2,1,0),IF($X36&lt;30,1,0))</formula>
    </cfRule>
    <cfRule type="expression" priority="327" dxfId="1">
      <formula>AND(IF($Q36=3,1,0),IF($X36&lt;30,1,0))</formula>
    </cfRule>
    <cfRule type="expression" priority="328" dxfId="0">
      <formula>AND(IF($Q36=3,1,IF($Q36=4,1,0)),IF($F36&lt;=85,1,0))</formula>
    </cfRule>
  </conditionalFormatting>
  <conditionalFormatting sqref="AV37">
    <cfRule type="expression" priority="323" dxfId="17">
      <formula>AV37="X"</formula>
    </cfRule>
    <cfRule type="expression" priority="324" dxfId="16">
      <formula>AV37="후보"</formula>
    </cfRule>
  </conditionalFormatting>
  <conditionalFormatting sqref="AC3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7">
    <cfRule type="expression" priority="314" dxfId="3">
      <formula>AND(IF(OR($Q37=1,$Q37=2),1,0),IF($X37&lt;=20,1,0))</formula>
    </cfRule>
    <cfRule type="expression" priority="315" dxfId="2">
      <formula>AND(IF($Q37=2,1,0),IF($X37&lt;30,1,0))</formula>
    </cfRule>
    <cfRule type="expression" priority="316" dxfId="1">
      <formula>AND(IF($Q37=3,1,0),IF($X37&lt;30,1,0))</formula>
    </cfRule>
    <cfRule type="expression" priority="317" dxfId="0">
      <formula>AND(IF($Q37=3,1,IF($Q37=4,1,0)),IF($F37&lt;=85,1,0))</formula>
    </cfRule>
  </conditionalFormatting>
  <conditionalFormatting sqref="X37">
    <cfRule type="expression" priority="310" dxfId="3">
      <formula>AND(IF(OR($Q37=1,$Q37=2),1,0),IF($X37&lt;=20,1,0))</formula>
    </cfRule>
    <cfRule type="expression" priority="311" dxfId="2">
      <formula>AND(IF($Q37=2,1,0),IF($X37&lt;30,1,0))</formula>
    </cfRule>
    <cfRule type="expression" priority="312" dxfId="1">
      <formula>AND(IF($Q37=3,1,0),IF($X37&lt;30,1,0))</formula>
    </cfRule>
    <cfRule type="expression" priority="313" dxfId="0">
      <formula>AND(IF($Q37=3,1,IF($Q37=4,1,0)),IF($F37&lt;=85,1,0))</formula>
    </cfRule>
  </conditionalFormatting>
  <conditionalFormatting sqref="AI37">
    <cfRule type="expression" priority="306" dxfId="3">
      <formula>AND(IF(OR($Q37=1,$Q37=2),1,0),IF($X37&lt;=20,1,0))</formula>
    </cfRule>
    <cfRule type="expression" priority="307" dxfId="2">
      <formula>AND(IF($Q37=2,1,0),IF($X37&lt;30,1,0))</formula>
    </cfRule>
    <cfRule type="expression" priority="308" dxfId="1">
      <formula>AND(IF($Q37=3,1,0),IF($X37&lt;30,1,0))</formula>
    </cfRule>
    <cfRule type="expression" priority="309" dxfId="0">
      <formula>AND(IF($Q37=3,1,IF($Q37=4,1,0)),IF($F37&lt;=85,1,0))</formula>
    </cfRule>
  </conditionalFormatting>
  <conditionalFormatting sqref="AV38">
    <cfRule type="expression" priority="304" dxfId="17">
      <formula>AV38="X"</formula>
    </cfRule>
    <cfRule type="expression" priority="305" dxfId="16">
      <formula>AV38="후보"</formula>
    </cfRule>
  </conditionalFormatting>
  <conditionalFormatting sqref="AC38 N3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9">
    <cfRule type="expression" priority="299" dxfId="17">
      <formula>AV39="X"</formula>
    </cfRule>
    <cfRule type="expression" priority="300" dxfId="16">
      <formula>AV39="후보"</formula>
    </cfRule>
  </conditionalFormatting>
  <conditionalFormatting sqref="AC3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17">
      <formula>AV40="X"</formula>
    </cfRule>
    <cfRule type="expression" priority="281" dxfId="16">
      <formula>AV40="후보"</formula>
    </cfRule>
  </conditionalFormatting>
  <conditionalFormatting sqref="AC4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0">
    <cfRule type="expression" priority="271" dxfId="3">
      <formula>AND(IF(OR($Q40=1,$Q40=2),1,0),IF($X40&lt;=20,1,0))</formula>
    </cfRule>
    <cfRule type="expression" priority="272" dxfId="2">
      <formula>AND(IF($Q40=2,1,0),IF($X40&lt;30,1,0))</formula>
    </cfRule>
    <cfRule type="expression" priority="273" dxfId="1">
      <formula>AND(IF($Q40=3,1,0),IF($X40&lt;30,1,0))</formula>
    </cfRule>
    <cfRule type="expression" priority="274" dxfId="0">
      <formula>AND(IF($Q40=3,1,IF($Q40=4,1,0)),IF($F40&lt;=85,1,0))</formula>
    </cfRule>
  </conditionalFormatting>
  <conditionalFormatting sqref="X40">
    <cfRule type="expression" priority="267" dxfId="3">
      <formula>AND(IF(OR($Q40=1,$Q40=2),1,0),IF($X40&lt;=20,1,0))</formula>
    </cfRule>
    <cfRule type="expression" priority="268" dxfId="2">
      <formula>AND(IF($Q40=2,1,0),IF($X40&lt;30,1,0))</formula>
    </cfRule>
    <cfRule type="expression" priority="269" dxfId="1">
      <formula>AND(IF($Q40=3,1,0),IF($X40&lt;30,1,0))</formula>
    </cfRule>
    <cfRule type="expression" priority="270" dxfId="0">
      <formula>AND(IF($Q40=3,1,IF($Q40=4,1,0)),IF($F40&lt;=85,1,0))</formula>
    </cfRule>
  </conditionalFormatting>
  <conditionalFormatting sqref="AI40">
    <cfRule type="expression" priority="263" dxfId="3">
      <formula>AND(IF(OR($Q40=1,$Q40=2),1,0),IF($X40&lt;=20,1,0))</formula>
    </cfRule>
    <cfRule type="expression" priority="264" dxfId="2">
      <formula>AND(IF($Q40=2,1,0),IF($X40&lt;30,1,0))</formula>
    </cfRule>
    <cfRule type="expression" priority="265" dxfId="1">
      <formula>AND(IF($Q40=3,1,0),IF($X40&lt;30,1,0))</formula>
    </cfRule>
    <cfRule type="expression" priority="266" dxfId="0">
      <formula>AND(IF($Q40=3,1,IF($Q40=4,1,0)),IF($F40&lt;=85,1,0))</formula>
    </cfRule>
  </conditionalFormatting>
  <conditionalFormatting sqref="AV41">
    <cfRule type="expression" priority="261" dxfId="17">
      <formula>AV41="X"</formula>
    </cfRule>
    <cfRule type="expression" priority="262" dxfId="16">
      <formula>AV41="후보"</formula>
    </cfRule>
  </conditionalFormatting>
  <conditionalFormatting sqref="AC4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1">
    <cfRule type="expression" priority="252" dxfId="3">
      <formula>AND(IF(OR($Q41=1,$Q41=2),1,0),IF($X41&lt;=20,1,0))</formula>
    </cfRule>
    <cfRule type="expression" priority="253" dxfId="2">
      <formula>AND(IF($Q41=2,1,0),IF($X41&lt;30,1,0))</formula>
    </cfRule>
    <cfRule type="expression" priority="254" dxfId="1">
      <formula>AND(IF($Q41=3,1,0),IF($X41&lt;30,1,0))</formula>
    </cfRule>
    <cfRule type="expression" priority="255" dxfId="0">
      <formula>AND(IF($Q41=3,1,IF($Q41=4,1,0)),IF($F41&lt;=85,1,0))</formula>
    </cfRule>
  </conditionalFormatting>
  <conditionalFormatting sqref="X41">
    <cfRule type="expression" priority="248" dxfId="3">
      <formula>AND(IF(OR($Q41=1,$Q41=2),1,0),IF($X41&lt;=20,1,0))</formula>
    </cfRule>
    <cfRule type="expression" priority="249" dxfId="2">
      <formula>AND(IF($Q41=2,1,0),IF($X41&lt;30,1,0))</formula>
    </cfRule>
    <cfRule type="expression" priority="250" dxfId="1">
      <formula>AND(IF($Q41=3,1,0),IF($X41&lt;30,1,0))</formula>
    </cfRule>
    <cfRule type="expression" priority="251" dxfId="0">
      <formula>AND(IF($Q41=3,1,IF($Q41=4,1,0)),IF($F41&lt;=85,1,0))</formula>
    </cfRule>
  </conditionalFormatting>
  <conditionalFormatting sqref="AI41">
    <cfRule type="expression" priority="244" dxfId="3">
      <formula>AND(IF(OR($Q41=1,$Q41=2),1,0),IF($X41&lt;=20,1,0))</formula>
    </cfRule>
    <cfRule type="expression" priority="245" dxfId="2">
      <formula>AND(IF($Q41=2,1,0),IF($X41&lt;30,1,0))</formula>
    </cfRule>
    <cfRule type="expression" priority="246" dxfId="1">
      <formula>AND(IF($Q41=3,1,0),IF($X41&lt;30,1,0))</formula>
    </cfRule>
    <cfRule type="expression" priority="247" dxfId="0">
      <formula>AND(IF($Q41=3,1,IF($Q41=4,1,0)),IF($F41&lt;=85,1,0))</formula>
    </cfRule>
  </conditionalFormatting>
  <conditionalFormatting sqref="AV42">
    <cfRule type="expression" priority="242" dxfId="17">
      <formula>AV42="X"</formula>
    </cfRule>
    <cfRule type="expression" priority="243" dxfId="16">
      <formula>AV42="후보"</formula>
    </cfRule>
  </conditionalFormatting>
  <conditionalFormatting sqref="AC4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2">
    <cfRule type="expression" priority="233" dxfId="3">
      <formula>AND(IF(OR($Q42=1,$Q42=2),1,0),IF($X42&lt;=20,1,0))</formula>
    </cfRule>
    <cfRule type="expression" priority="234" dxfId="2">
      <formula>AND(IF($Q42=2,1,0),IF($X42&lt;30,1,0))</formula>
    </cfRule>
    <cfRule type="expression" priority="235" dxfId="1">
      <formula>AND(IF($Q42=3,1,0),IF($X42&lt;30,1,0))</formula>
    </cfRule>
    <cfRule type="expression" priority="236" dxfId="0">
      <formula>AND(IF($Q42=3,1,IF($Q42=4,1,0)),IF($F42&lt;=85,1,0))</formula>
    </cfRule>
  </conditionalFormatting>
  <conditionalFormatting sqref="X42">
    <cfRule type="expression" priority="229" dxfId="3">
      <formula>AND(IF(OR($Q42=1,$Q42=2),1,0),IF($X42&lt;=20,1,0))</formula>
    </cfRule>
    <cfRule type="expression" priority="230" dxfId="2">
      <formula>AND(IF($Q42=2,1,0),IF($X42&lt;30,1,0))</formula>
    </cfRule>
    <cfRule type="expression" priority="231" dxfId="1">
      <formula>AND(IF($Q42=3,1,0),IF($X42&lt;30,1,0))</formula>
    </cfRule>
    <cfRule type="expression" priority="232" dxfId="0">
      <formula>AND(IF($Q42=3,1,IF($Q42=4,1,0)),IF($F42&lt;=85,1,0))</formula>
    </cfRule>
  </conditionalFormatting>
  <conditionalFormatting sqref="AI42">
    <cfRule type="expression" priority="225" dxfId="3">
      <formula>AND(IF(OR($Q42=1,$Q42=2),1,0),IF($X42&lt;=20,1,0))</formula>
    </cfRule>
    <cfRule type="expression" priority="226" dxfId="2">
      <formula>AND(IF($Q42=2,1,0),IF($X42&lt;30,1,0))</formula>
    </cfRule>
    <cfRule type="expression" priority="227" dxfId="1">
      <formula>AND(IF($Q42=3,1,0),IF($X42&lt;30,1,0))</formula>
    </cfRule>
    <cfRule type="expression" priority="228" dxfId="0">
      <formula>AND(IF($Q42=3,1,IF($Q42=4,1,0)),IF($F42&lt;=85,1,0))</formula>
    </cfRule>
  </conditionalFormatting>
  <conditionalFormatting sqref="AV43">
    <cfRule type="expression" priority="223" dxfId="17">
      <formula>AV43="X"</formula>
    </cfRule>
    <cfRule type="expression" priority="224" dxfId="16">
      <formula>AV43="후보"</formula>
    </cfRule>
  </conditionalFormatting>
  <conditionalFormatting sqref="AC43 N4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44">
    <cfRule type="expression" priority="218" dxfId="17">
      <formula>AV44="X"</formula>
    </cfRule>
    <cfRule type="expression" priority="219" dxfId="16">
      <formula>AV44="후보"</formula>
    </cfRule>
  </conditionalFormatting>
  <conditionalFormatting sqref="AC4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4">
    <cfRule type="expression" priority="209" dxfId="3">
      <formula>AND(IF(OR($Q44=1,$Q44=2),1,0),IF($X44&lt;=20,1,0))</formula>
    </cfRule>
    <cfRule type="expression" priority="210" dxfId="2">
      <formula>AND(IF($Q44=2,1,0),IF($X44&lt;30,1,0))</formula>
    </cfRule>
    <cfRule type="expression" priority="211" dxfId="1">
      <formula>AND(IF($Q44=3,1,0),IF($X44&lt;30,1,0))</formula>
    </cfRule>
    <cfRule type="expression" priority="212" dxfId="0">
      <formula>AND(IF($Q44=3,1,IF($Q44=4,1,0)),IF($F44&lt;=85,1,0))</formula>
    </cfRule>
  </conditionalFormatting>
  <conditionalFormatting sqref="X44">
    <cfRule type="expression" priority="205" dxfId="3">
      <formula>AND(IF(OR($Q44=1,$Q44=2),1,0),IF($X44&lt;=20,1,0))</formula>
    </cfRule>
    <cfRule type="expression" priority="206" dxfId="2">
      <formula>AND(IF($Q44=2,1,0),IF($X44&lt;30,1,0))</formula>
    </cfRule>
    <cfRule type="expression" priority="207" dxfId="1">
      <formula>AND(IF($Q44=3,1,0),IF($X44&lt;30,1,0))</formula>
    </cfRule>
    <cfRule type="expression" priority="208" dxfId="0">
      <formula>AND(IF($Q44=3,1,IF($Q44=4,1,0)),IF($F44&lt;=85,1,0))</formula>
    </cfRule>
  </conditionalFormatting>
  <conditionalFormatting sqref="AI44">
    <cfRule type="expression" priority="201" dxfId="3">
      <formula>AND(IF(OR($Q44=1,$Q44=2),1,0),IF($X44&lt;=20,1,0))</formula>
    </cfRule>
    <cfRule type="expression" priority="202" dxfId="2">
      <formula>AND(IF($Q44=2,1,0),IF($X44&lt;30,1,0))</formula>
    </cfRule>
    <cfRule type="expression" priority="203" dxfId="1">
      <formula>AND(IF($Q44=3,1,0),IF($X44&lt;30,1,0))</formula>
    </cfRule>
    <cfRule type="expression" priority="204" dxfId="0">
      <formula>AND(IF($Q44=3,1,IF($Q44=4,1,0)),IF($F44&lt;=85,1,0))</formula>
    </cfRule>
  </conditionalFormatting>
  <conditionalFormatting sqref="AV45">
    <cfRule type="expression" priority="199" dxfId="17">
      <formula>AV45="X"</formula>
    </cfRule>
    <cfRule type="expression" priority="200" dxfId="16">
      <formula>AV45="후보"</formula>
    </cfRule>
  </conditionalFormatting>
  <conditionalFormatting sqref="AC4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5">
    <cfRule type="expression" priority="190" dxfId="3">
      <formula>AND(IF(OR($Q45=1,$Q45=2),1,0),IF($X45&lt;=20,1,0))</formula>
    </cfRule>
    <cfRule type="expression" priority="191" dxfId="2">
      <formula>AND(IF($Q45=2,1,0),IF($X45&lt;30,1,0))</formula>
    </cfRule>
    <cfRule type="expression" priority="192" dxfId="1">
      <formula>AND(IF($Q45=3,1,0),IF($X45&lt;30,1,0))</formula>
    </cfRule>
    <cfRule type="expression" priority="193" dxfId="0">
      <formula>AND(IF($Q45=3,1,IF($Q45=4,1,0)),IF($F45&lt;=85,1,0))</formula>
    </cfRule>
  </conditionalFormatting>
  <conditionalFormatting sqref="X45">
    <cfRule type="expression" priority="186" dxfId="3">
      <formula>AND(IF(OR($Q45=1,$Q45=2),1,0),IF($X45&lt;=20,1,0))</formula>
    </cfRule>
    <cfRule type="expression" priority="187" dxfId="2">
      <formula>AND(IF($Q45=2,1,0),IF($X45&lt;30,1,0))</formula>
    </cfRule>
    <cfRule type="expression" priority="188" dxfId="1">
      <formula>AND(IF($Q45=3,1,0),IF($X45&lt;30,1,0))</formula>
    </cfRule>
    <cfRule type="expression" priority="189" dxfId="0">
      <formula>AND(IF($Q45=3,1,IF($Q45=4,1,0)),IF($F45&lt;=85,1,0))</formula>
    </cfRule>
  </conditionalFormatting>
  <conditionalFormatting sqref="AI45">
    <cfRule type="expression" priority="182" dxfId="3">
      <formula>AND(IF(OR($Q45=1,$Q45=2),1,0),IF($X45&lt;=20,1,0))</formula>
    </cfRule>
    <cfRule type="expression" priority="183" dxfId="2">
      <formula>AND(IF($Q45=2,1,0),IF($X45&lt;30,1,0))</formula>
    </cfRule>
    <cfRule type="expression" priority="184" dxfId="1">
      <formula>AND(IF($Q45=3,1,0),IF($X45&lt;30,1,0))</formula>
    </cfRule>
    <cfRule type="expression" priority="185" dxfId="0">
      <formula>AND(IF($Q45=3,1,IF($Q45=4,1,0)),IF($F45&lt;=85,1,0))</formula>
    </cfRule>
  </conditionalFormatting>
  <conditionalFormatting sqref="AV46">
    <cfRule type="expression" priority="180" dxfId="17">
      <formula>AV46="X"</formula>
    </cfRule>
    <cfRule type="expression" priority="181" dxfId="16">
      <formula>AV46="후보"</formula>
    </cfRule>
  </conditionalFormatting>
  <conditionalFormatting sqref="AC4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6">
    <cfRule type="expression" priority="171" dxfId="3">
      <formula>AND(IF(OR($Q46=1,$Q46=2),1,0),IF($X46&lt;=20,1,0))</formula>
    </cfRule>
    <cfRule type="expression" priority="172" dxfId="2">
      <formula>AND(IF($Q46=2,1,0),IF($X46&lt;30,1,0))</formula>
    </cfRule>
    <cfRule type="expression" priority="173" dxfId="1">
      <formula>AND(IF($Q46=3,1,0),IF($X46&lt;30,1,0))</formula>
    </cfRule>
    <cfRule type="expression" priority="174" dxfId="0">
      <formula>AND(IF($Q46=3,1,IF($Q46=4,1,0)),IF($F46&lt;=85,1,0))</formula>
    </cfRule>
  </conditionalFormatting>
  <conditionalFormatting sqref="X46">
    <cfRule type="expression" priority="167" dxfId="3">
      <formula>AND(IF(OR($Q46=1,$Q46=2),1,0),IF($X46&lt;=20,1,0))</formula>
    </cfRule>
    <cfRule type="expression" priority="168" dxfId="2">
      <formula>AND(IF($Q46=2,1,0),IF($X46&lt;30,1,0))</formula>
    </cfRule>
    <cfRule type="expression" priority="169" dxfId="1">
      <formula>AND(IF($Q46=3,1,0),IF($X46&lt;30,1,0))</formula>
    </cfRule>
    <cfRule type="expression" priority="170" dxfId="0">
      <formula>AND(IF($Q46=3,1,IF($Q46=4,1,0)),IF($F46&lt;=85,1,0))</formula>
    </cfRule>
  </conditionalFormatting>
  <conditionalFormatting sqref="AI46">
    <cfRule type="expression" priority="163" dxfId="3">
      <formula>AND(IF(OR($Q46=1,$Q46=2),1,0),IF($X46&lt;=20,1,0))</formula>
    </cfRule>
    <cfRule type="expression" priority="164" dxfId="2">
      <formula>AND(IF($Q46=2,1,0),IF($X46&lt;30,1,0))</formula>
    </cfRule>
    <cfRule type="expression" priority="165" dxfId="1">
      <formula>AND(IF($Q46=3,1,0),IF($X46&lt;30,1,0))</formula>
    </cfRule>
    <cfRule type="expression" priority="166" dxfId="0">
      <formula>AND(IF($Q46=3,1,IF($Q46=4,1,0)),IF($F46&lt;=85,1,0))</formula>
    </cfRule>
  </conditionalFormatting>
  <conditionalFormatting sqref="AV47">
    <cfRule type="expression" priority="161" dxfId="17">
      <formula>AV47="X"</formula>
    </cfRule>
    <cfRule type="expression" priority="162" dxfId="16">
      <formula>AV47="후보"</formula>
    </cfRule>
  </conditionalFormatting>
  <conditionalFormatting sqref="AC4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7">
    <cfRule type="expression" priority="152" dxfId="3">
      <formula>AND(IF(OR($Q47=1,$Q47=2),1,0),IF($X47&lt;=20,1,0))</formula>
    </cfRule>
    <cfRule type="expression" priority="153" dxfId="2">
      <formula>AND(IF($Q47=2,1,0),IF($X47&lt;30,1,0))</formula>
    </cfRule>
    <cfRule type="expression" priority="154" dxfId="1">
      <formula>AND(IF($Q47=3,1,0),IF($X47&lt;30,1,0))</formula>
    </cfRule>
    <cfRule type="expression" priority="155" dxfId="0">
      <formula>AND(IF($Q47=3,1,IF($Q47=4,1,0)),IF($F47&lt;=85,1,0))</formula>
    </cfRule>
  </conditionalFormatting>
  <conditionalFormatting sqref="X47">
    <cfRule type="expression" priority="148" dxfId="3">
      <formula>AND(IF(OR($Q47=1,$Q47=2),1,0),IF($X47&lt;=20,1,0))</formula>
    </cfRule>
    <cfRule type="expression" priority="149" dxfId="2">
      <formula>AND(IF($Q47=2,1,0),IF($X47&lt;30,1,0))</formula>
    </cfRule>
    <cfRule type="expression" priority="150" dxfId="1">
      <formula>AND(IF($Q47=3,1,0),IF($X47&lt;30,1,0))</formula>
    </cfRule>
    <cfRule type="expression" priority="151" dxfId="0">
      <formula>AND(IF($Q47=3,1,IF($Q47=4,1,0)),IF($F47&lt;=85,1,0))</formula>
    </cfRule>
  </conditionalFormatting>
  <conditionalFormatting sqref="AI47">
    <cfRule type="expression" priority="144" dxfId="3">
      <formula>AND(IF(OR($Q47=1,$Q47=2),1,0),IF($X47&lt;=20,1,0))</formula>
    </cfRule>
    <cfRule type="expression" priority="145" dxfId="2">
      <formula>AND(IF($Q47=2,1,0),IF($X47&lt;30,1,0))</formula>
    </cfRule>
    <cfRule type="expression" priority="146" dxfId="1">
      <formula>AND(IF($Q47=3,1,0),IF($X47&lt;30,1,0))</formula>
    </cfRule>
    <cfRule type="expression" priority="147" dxfId="0">
      <formula>AND(IF($Q47=3,1,IF($Q47=4,1,0)),IF($F47&lt;=85,1,0))</formula>
    </cfRule>
  </conditionalFormatting>
  <conditionalFormatting sqref="AV48">
    <cfRule type="expression" priority="142" dxfId="17">
      <formula>AV48="X"</formula>
    </cfRule>
    <cfRule type="expression" priority="143" dxfId="16">
      <formula>AV48="후보"</formula>
    </cfRule>
  </conditionalFormatting>
  <conditionalFormatting sqref="AC48 N4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9">
    <cfRule type="expression" priority="137" dxfId="17">
      <formula>AV49="X"</formula>
    </cfRule>
    <cfRule type="expression" priority="138" dxfId="16">
      <formula>AV49="후보"</formula>
    </cfRule>
  </conditionalFormatting>
  <conditionalFormatting sqref="AC4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9">
    <cfRule type="expression" priority="128" dxfId="3">
      <formula>AND(IF(OR($Q49=1,$Q49=2),1,0),IF($X49&lt;=20,1,0))</formula>
    </cfRule>
    <cfRule type="expression" priority="129" dxfId="2">
      <formula>AND(IF($Q49=2,1,0),IF($X49&lt;30,1,0))</formula>
    </cfRule>
    <cfRule type="expression" priority="130" dxfId="1">
      <formula>AND(IF($Q49=3,1,0),IF($X49&lt;30,1,0))</formula>
    </cfRule>
    <cfRule type="expression" priority="131" dxfId="0">
      <formula>AND(IF($Q49=3,1,IF($Q49=4,1,0)),IF($F49&lt;=85,1,0))</formula>
    </cfRule>
  </conditionalFormatting>
  <conditionalFormatting sqref="X49">
    <cfRule type="expression" priority="124" dxfId="3">
      <formula>AND(IF(OR($Q49=1,$Q49=2),1,0),IF($X49&lt;=20,1,0))</formula>
    </cfRule>
    <cfRule type="expression" priority="125" dxfId="2">
      <formula>AND(IF($Q49=2,1,0),IF($X49&lt;30,1,0))</formula>
    </cfRule>
    <cfRule type="expression" priority="126" dxfId="1">
      <formula>AND(IF($Q49=3,1,0),IF($X49&lt;30,1,0))</formula>
    </cfRule>
    <cfRule type="expression" priority="127" dxfId="0">
      <formula>AND(IF($Q49=3,1,IF($Q49=4,1,0)),IF($F49&lt;=85,1,0))</formula>
    </cfRule>
  </conditionalFormatting>
  <conditionalFormatting sqref="AI49">
    <cfRule type="expression" priority="120" dxfId="3">
      <formula>AND(IF(OR($Q49=1,$Q49=2),1,0),IF($X49&lt;=20,1,0))</formula>
    </cfRule>
    <cfRule type="expression" priority="121" dxfId="2">
      <formula>AND(IF($Q49=2,1,0),IF($X49&lt;30,1,0))</formula>
    </cfRule>
    <cfRule type="expression" priority="122" dxfId="1">
      <formula>AND(IF($Q49=3,1,0),IF($X49&lt;30,1,0))</formula>
    </cfRule>
    <cfRule type="expression" priority="123" dxfId="0">
      <formula>AND(IF($Q49=3,1,IF($Q49=4,1,0)),IF($F49&lt;=85,1,0))</formula>
    </cfRule>
  </conditionalFormatting>
  <conditionalFormatting sqref="AV50">
    <cfRule type="expression" priority="118" dxfId="17">
      <formula>AV50="X"</formula>
    </cfRule>
    <cfRule type="expression" priority="119" dxfId="16">
      <formula>AV50="후보"</formula>
    </cfRule>
  </conditionalFormatting>
  <conditionalFormatting sqref="AC5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0">
    <cfRule type="expression" priority="109" dxfId="3">
      <formula>AND(IF(OR($Q50=1,$Q50=2),1,0),IF($X50&lt;=20,1,0))</formula>
    </cfRule>
    <cfRule type="expression" priority="110" dxfId="2">
      <formula>AND(IF($Q50=2,1,0),IF($X50&lt;30,1,0))</formula>
    </cfRule>
    <cfRule type="expression" priority="111" dxfId="1">
      <formula>AND(IF($Q50=3,1,0),IF($X50&lt;30,1,0))</formula>
    </cfRule>
    <cfRule type="expression" priority="112" dxfId="0">
      <formula>AND(IF($Q50=3,1,IF($Q50=4,1,0)),IF($F50&lt;=85,1,0))</formula>
    </cfRule>
  </conditionalFormatting>
  <conditionalFormatting sqref="X50">
    <cfRule type="expression" priority="105" dxfId="3">
      <formula>AND(IF(OR($Q50=1,$Q50=2),1,0),IF($X50&lt;=20,1,0))</formula>
    </cfRule>
    <cfRule type="expression" priority="106" dxfId="2">
      <formula>AND(IF($Q50=2,1,0),IF($X50&lt;30,1,0))</formula>
    </cfRule>
    <cfRule type="expression" priority="107" dxfId="1">
      <formula>AND(IF($Q50=3,1,0),IF($X50&lt;30,1,0))</formula>
    </cfRule>
    <cfRule type="expression" priority="108" dxfId="0">
      <formula>AND(IF($Q50=3,1,IF($Q50=4,1,0)),IF($F50&lt;=85,1,0))</formula>
    </cfRule>
  </conditionalFormatting>
  <conditionalFormatting sqref="AI50">
    <cfRule type="expression" priority="101" dxfId="3">
      <formula>AND(IF(OR($Q50=1,$Q50=2),1,0),IF($X50&lt;=20,1,0))</formula>
    </cfRule>
    <cfRule type="expression" priority="102" dxfId="2">
      <formula>AND(IF($Q50=2,1,0),IF($X50&lt;30,1,0))</formula>
    </cfRule>
    <cfRule type="expression" priority="103" dxfId="1">
      <formula>AND(IF($Q50=3,1,0),IF($X50&lt;30,1,0))</formula>
    </cfRule>
    <cfRule type="expression" priority="104" dxfId="0">
      <formula>AND(IF($Q50=3,1,IF($Q50=4,1,0)),IF($F50&lt;=85,1,0))</formula>
    </cfRule>
  </conditionalFormatting>
  <conditionalFormatting sqref="AV51">
    <cfRule type="expression" priority="99" dxfId="17">
      <formula>AV51="X"</formula>
    </cfRule>
    <cfRule type="expression" priority="100" dxfId="16">
      <formula>AV51="후보"</formula>
    </cfRule>
  </conditionalFormatting>
  <conditionalFormatting sqref="AC51 N5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52">
    <cfRule type="expression" priority="94" dxfId="17">
      <formula>AV52="X"</formula>
    </cfRule>
    <cfRule type="expression" priority="95" dxfId="16">
      <formula>AV52="후보"</formula>
    </cfRule>
  </conditionalFormatting>
  <conditionalFormatting sqref="AC5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17">
      <formula>AV53="X"</formula>
    </cfRule>
    <cfRule type="expression" priority="76" dxfId="16">
      <formula>AV53="후보"</formula>
    </cfRule>
  </conditionalFormatting>
  <conditionalFormatting sqref="AC5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17">
      <formula>AV54="X"</formula>
    </cfRule>
    <cfRule type="expression" priority="57" dxfId="16">
      <formula>AV54="후보"</formula>
    </cfRule>
  </conditionalFormatting>
  <conditionalFormatting sqref="AC5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17">
      <formula>AV55="X"</formula>
    </cfRule>
    <cfRule type="expression" priority="38" dxfId="16">
      <formula>AV55="후보"</formula>
    </cfRule>
  </conditionalFormatting>
  <conditionalFormatting sqref="AC5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17">
      <formula>AV56="X"</formula>
    </cfRule>
    <cfRule type="expression" priority="19" dxfId="16">
      <formula>AV56="후보"</formula>
    </cfRule>
  </conditionalFormatting>
  <conditionalFormatting sqref="AC5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감일동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하남감일스윗시티(B1블록)</t>
        </is>
      </c>
      <c r="B6" s="16" t="inlineStr">
        <is>
          <t>'21.05.</t>
        </is>
      </c>
      <c r="C6" s="164" t="n">
        <v>684</v>
      </c>
      <c r="D6" s="161" t="n">
        <v>103.2</v>
      </c>
      <c r="E6" s="163" t="n">
        <v>31</v>
      </c>
      <c r="F6" s="161" t="n">
        <v>74.90000000000001</v>
      </c>
      <c r="G6" s="27" t="n">
        <v>23</v>
      </c>
      <c r="H6" s="164" t="n">
        <v>74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103H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하남감일스윗시티(B1블록)</t>
        </is>
      </c>
      <c r="B7" s="16" t="inlineStr">
        <is>
          <t>'21.05.</t>
        </is>
      </c>
      <c r="C7" s="164" t="n">
        <v>684</v>
      </c>
      <c r="D7" s="161" t="n">
        <v>117</v>
      </c>
      <c r="E7" s="163" t="n">
        <v>35</v>
      </c>
      <c r="F7" s="161" t="n">
        <v>84.90000000000001</v>
      </c>
      <c r="G7" s="27" t="n">
        <v>26</v>
      </c>
      <c r="H7" s="164" t="n">
        <v>136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116D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7" sqref="A97:XFD9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덕풍동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한솔리치빌2단지</t>
        </is>
      </c>
      <c r="B6" s="16" t="inlineStr">
        <is>
          <t>'02.12.</t>
        </is>
      </c>
      <c r="C6" s="164" t="n">
        <v>347</v>
      </c>
      <c r="D6" s="161" t="n">
        <v>88.2</v>
      </c>
      <c r="E6" s="163" t="n">
        <v>27</v>
      </c>
      <c r="F6" s="161" t="n">
        <v>59.6</v>
      </c>
      <c r="G6" s="27" t="n">
        <v>18</v>
      </c>
      <c r="H6" s="164" t="n">
        <v>25</v>
      </c>
      <c r="I6" s="165" t="n">
        <v>60000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한솔리치빌2단지</t>
        </is>
      </c>
      <c r="B7" s="16" t="inlineStr">
        <is>
          <t>'02.12.</t>
        </is>
      </c>
      <c r="C7" s="164" t="n">
        <v>347</v>
      </c>
      <c r="D7" s="161" t="n">
        <v>114.2</v>
      </c>
      <c r="E7" s="163" t="n">
        <v>35</v>
      </c>
      <c r="F7" s="161" t="n">
        <v>84.40000000000001</v>
      </c>
      <c r="G7" s="27" t="n">
        <v>26</v>
      </c>
      <c r="H7" s="164" t="n">
        <v>322</v>
      </c>
      <c r="I7" s="165" t="n">
        <v>65000</v>
      </c>
      <c r="J7" s="165" t="inlineStr">
        <is>
          <t>10</t>
        </is>
      </c>
      <c r="K7" s="165" t="n">
        <v>49000</v>
      </c>
      <c r="L7" s="165" t="inlineStr">
        <is>
          <t>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벽산블루밍</t>
        </is>
      </c>
      <c r="B9" s="16" t="inlineStr">
        <is>
          <t>'07.04.</t>
        </is>
      </c>
      <c r="C9" s="164" t="n">
        <v>696</v>
      </c>
      <c r="D9" s="161" t="n">
        <v>80.8</v>
      </c>
      <c r="E9" s="163" t="n">
        <v>24</v>
      </c>
      <c r="F9" s="161" t="n">
        <v>59.9</v>
      </c>
      <c r="G9" s="27" t="n">
        <v>18</v>
      </c>
      <c r="H9" s="164" t="n">
        <v>232</v>
      </c>
      <c r="I9" s="165" t="n">
        <v>75000</v>
      </c>
      <c r="J9" s="165" t="inlineStr">
        <is>
          <t>13</t>
        </is>
      </c>
      <c r="K9" s="165" t="n">
        <v>49000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80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벽산블루밍</t>
        </is>
      </c>
      <c r="B10" s="16" t="inlineStr">
        <is>
          <t>'07.04.</t>
        </is>
      </c>
      <c r="C10" s="164" t="n">
        <v>696</v>
      </c>
      <c r="D10" s="161" t="n">
        <v>107.5</v>
      </c>
      <c r="E10" s="163" t="n">
        <v>33</v>
      </c>
      <c r="F10" s="161" t="n">
        <v>85</v>
      </c>
      <c r="G10" s="27" t="n">
        <v>26</v>
      </c>
      <c r="H10" s="164" t="n">
        <v>464</v>
      </c>
      <c r="I10" s="165" t="n">
        <v>80000</v>
      </c>
      <c r="J10" s="165" t="inlineStr">
        <is>
          <t>8</t>
        </is>
      </c>
      <c r="K10" s="165" t="n">
        <v>65000</v>
      </c>
      <c r="L10" s="165" t="inlineStr">
        <is>
          <t>13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107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하남덕풍역파크어울림</t>
        </is>
      </c>
      <c r="B12" s="16" t="inlineStr">
        <is>
          <t>'19.04.</t>
        </is>
      </c>
      <c r="C12" s="164" t="n">
        <v>383</v>
      </c>
      <c r="D12" s="161" t="n">
        <v>84.90000000000001</v>
      </c>
      <c r="E12" s="163" t="n">
        <v>26</v>
      </c>
      <c r="F12" s="161" t="n">
        <v>60</v>
      </c>
      <c r="G12" s="27" t="n">
        <v>18</v>
      </c>
      <c r="H12" s="164" t="n">
        <v>344</v>
      </c>
      <c r="I12" s="165" t="n">
        <v>70500</v>
      </c>
      <c r="J12" s="165" t="inlineStr">
        <is>
          <t>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84A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하남덕풍역파크어울림</t>
        </is>
      </c>
      <c r="B13" s="16" t="inlineStr">
        <is>
          <t>'19.04.</t>
        </is>
      </c>
      <c r="C13" s="164" t="n">
        <v>383</v>
      </c>
      <c r="D13" s="161" t="n">
        <v>84.7</v>
      </c>
      <c r="E13" s="163" t="n">
        <v>26</v>
      </c>
      <c r="F13" s="161" t="n">
        <v>60</v>
      </c>
      <c r="G13" s="27" t="n">
        <v>18</v>
      </c>
      <c r="H13" s="164" t="n">
        <v>39</v>
      </c>
      <c r="I13" s="165" t="n">
        <v>70000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84B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덕풍쌍용</t>
        </is>
      </c>
      <c r="B15" s="16" t="inlineStr">
        <is>
          <t>'98.01.</t>
        </is>
      </c>
      <c r="C15" s="164" t="n">
        <v>585</v>
      </c>
      <c r="D15" s="161" t="n">
        <v>74.5</v>
      </c>
      <c r="E15" s="163" t="n">
        <v>23</v>
      </c>
      <c r="F15" s="161" t="n">
        <v>59.8</v>
      </c>
      <c r="G15" s="27" t="n">
        <v>18</v>
      </c>
      <c r="H15" s="164" t="n">
        <v>168</v>
      </c>
      <c r="I15" s="165" t="n">
        <v>65000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74A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덕풍쌍용</t>
        </is>
      </c>
      <c r="B16" s="16" t="inlineStr">
        <is>
          <t>'98.01.</t>
        </is>
      </c>
      <c r="C16" s="164" t="n">
        <v>585</v>
      </c>
      <c r="D16" s="161" t="n">
        <v>74.5</v>
      </c>
      <c r="E16" s="163" t="n">
        <v>23</v>
      </c>
      <c r="F16" s="161" t="n">
        <v>59.8</v>
      </c>
      <c r="G16" s="27" t="n">
        <v>18</v>
      </c>
      <c r="H16" s="164" t="n">
        <v>69</v>
      </c>
      <c r="I16" s="165" t="n">
        <v>65000</v>
      </c>
      <c r="J16" s="165" t="inlineStr">
        <is>
          <t>중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74B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덕풍쌍용</t>
        </is>
      </c>
      <c r="B17" s="16" t="inlineStr">
        <is>
          <t>'98.01.</t>
        </is>
      </c>
      <c r="C17" s="164" t="n">
        <v>585</v>
      </c>
      <c r="D17" s="161" t="n">
        <v>105.8</v>
      </c>
      <c r="E17" s="163" t="n">
        <v>32</v>
      </c>
      <c r="F17" s="161" t="n">
        <v>85</v>
      </c>
      <c r="G17" s="27" t="n">
        <v>26</v>
      </c>
      <c r="H17" s="164" t="n">
        <v>207</v>
      </c>
      <c r="I17" s="165" t="n">
        <v>63000</v>
      </c>
      <c r="J17" s="165" t="inlineStr">
        <is>
          <t>10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105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덕풍쌍용</t>
        </is>
      </c>
      <c r="B18" s="16" t="inlineStr">
        <is>
          <t>'98.01.</t>
        </is>
      </c>
      <c r="C18" s="164" t="n">
        <v>585</v>
      </c>
      <c r="D18" s="161" t="n">
        <v>143.2</v>
      </c>
      <c r="E18" s="163" t="n">
        <v>43</v>
      </c>
      <c r="F18" s="161" t="n">
        <v>115</v>
      </c>
      <c r="G18" s="27" t="n">
        <v>35</v>
      </c>
      <c r="H18" s="164" t="n">
        <v>141</v>
      </c>
      <c r="I18" s="165" t="n">
        <v>76000</v>
      </c>
      <c r="J18" s="165" t="inlineStr">
        <is>
          <t>15</t>
        </is>
      </c>
      <c r="K18" s="165" t="n">
        <v>53000</v>
      </c>
      <c r="L18" s="165" t="inlineStr">
        <is>
          <t>13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143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라인</t>
        </is>
      </c>
      <c r="B20" s="16" t="inlineStr">
        <is>
          <t>'97.04.</t>
        </is>
      </c>
      <c r="C20" s="164" t="n">
        <v>352</v>
      </c>
      <c r="D20" s="161" t="n">
        <v>83.09999999999999</v>
      </c>
      <c r="E20" s="163" t="n">
        <v>25</v>
      </c>
      <c r="F20" s="161" t="n">
        <v>59.4</v>
      </c>
      <c r="G20" s="27" t="n">
        <v>18</v>
      </c>
      <c r="H20" s="164" t="n">
        <v>176</v>
      </c>
      <c r="I20" s="165" t="n">
        <v>60000</v>
      </c>
      <c r="J20" s="165" t="inlineStr">
        <is>
          <t>10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복</t>
        </is>
      </c>
      <c r="T20" s="8" t="n">
        <v>83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라인</t>
        </is>
      </c>
      <c r="B21" s="16" t="inlineStr">
        <is>
          <t>'97.04.</t>
        </is>
      </c>
      <c r="C21" s="164" t="n">
        <v>352</v>
      </c>
      <c r="D21" s="161" t="n">
        <v>107</v>
      </c>
      <c r="E21" s="163" t="n">
        <v>32</v>
      </c>
      <c r="F21" s="161" t="n">
        <v>84.7</v>
      </c>
      <c r="G21" s="27" t="n">
        <v>26</v>
      </c>
      <c r="H21" s="164" t="n">
        <v>176</v>
      </c>
      <c r="I21" s="165" t="n">
        <v>69000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대동피렌체</t>
        </is>
      </c>
      <c r="B23" s="16" t="inlineStr">
        <is>
          <t>'05.01.</t>
        </is>
      </c>
      <c r="C23" s="164" t="n">
        <v>232</v>
      </c>
      <c r="D23" s="161" t="n">
        <v>34.2</v>
      </c>
      <c r="E23" s="163" t="n">
        <v>10</v>
      </c>
      <c r="F23" s="161" t="n">
        <v>25.6</v>
      </c>
      <c r="G23" s="27" t="n">
        <v>8</v>
      </c>
      <c r="H23" s="164" t="n">
        <v>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복</t>
        </is>
      </c>
      <c r="T23" s="8" t="n">
        <v>34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대동피렌체</t>
        </is>
      </c>
      <c r="B24" s="16" t="inlineStr">
        <is>
          <t>'05.01.</t>
        </is>
      </c>
      <c r="C24" s="164" t="n">
        <v>232</v>
      </c>
      <c r="D24" s="161" t="n">
        <v>40.1</v>
      </c>
      <c r="E24" s="163" t="n">
        <v>12</v>
      </c>
      <c r="F24" s="161" t="n">
        <v>30</v>
      </c>
      <c r="G24" s="27" t="n">
        <v>9</v>
      </c>
      <c r="H24" s="164" t="n">
        <v>12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계</t>
        </is>
      </c>
      <c r="T24" s="8" t="inlineStr">
        <is>
          <t>40A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대동피렌체</t>
        </is>
      </c>
      <c r="B25" s="16" t="inlineStr">
        <is>
          <t>'05.01.</t>
        </is>
      </c>
      <c r="C25" s="164" t="n">
        <v>232</v>
      </c>
      <c r="D25" s="161" t="n">
        <v>41.1</v>
      </c>
      <c r="E25" s="163" t="n">
        <v>12</v>
      </c>
      <c r="F25" s="161" t="n">
        <v>30.8</v>
      </c>
      <c r="G25" s="27" t="n">
        <v>9</v>
      </c>
      <c r="H25" s="164" t="n">
        <v>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복</t>
        </is>
      </c>
      <c r="T25" s="8" t="inlineStr">
        <is>
          <t>41B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대동피렌체</t>
        </is>
      </c>
      <c r="B26" s="16" t="inlineStr">
        <is>
          <t>'05.01.</t>
        </is>
      </c>
      <c r="C26" s="164" t="n">
        <v>232</v>
      </c>
      <c r="D26" s="161" t="n">
        <v>42.7</v>
      </c>
      <c r="E26" s="163" t="n">
        <v>13</v>
      </c>
      <c r="F26" s="161" t="n">
        <v>32</v>
      </c>
      <c r="G26" s="27" t="n">
        <v>10</v>
      </c>
      <c r="H26" s="164" t="n">
        <v>195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복</t>
        </is>
      </c>
      <c r="T26" s="8" t="n">
        <v>42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대동피렌체</t>
        </is>
      </c>
      <c r="B27" s="16" t="inlineStr">
        <is>
          <t>'05.01.</t>
        </is>
      </c>
      <c r="C27" s="164" t="n">
        <v>232</v>
      </c>
      <c r="D27" s="161" t="n">
        <v>60.9</v>
      </c>
      <c r="E27" s="163" t="n">
        <v>18</v>
      </c>
      <c r="F27" s="161" t="n">
        <v>45.6</v>
      </c>
      <c r="G27" s="27" t="n">
        <v>14</v>
      </c>
      <c r="H27" s="164" t="n">
        <v>9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1</v>
      </c>
      <c r="S27" s="113" t="inlineStr">
        <is>
          <t>복</t>
        </is>
      </c>
      <c r="T27" s="8" t="n">
        <v>60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덕풍현대</t>
        </is>
      </c>
      <c r="B29" s="16" t="inlineStr">
        <is>
          <t>'97.12.</t>
        </is>
      </c>
      <c r="C29" s="164" t="n">
        <v>555</v>
      </c>
      <c r="D29" s="161" t="n">
        <v>81.7</v>
      </c>
      <c r="E29" s="163" t="n">
        <v>25</v>
      </c>
      <c r="F29" s="161" t="n">
        <v>59.9</v>
      </c>
      <c r="G29" s="27" t="n">
        <v>18</v>
      </c>
      <c r="H29" s="164" t="n">
        <v>202</v>
      </c>
      <c r="I29" s="165" t="n">
        <v>53000</v>
      </c>
      <c r="J29" s="165" t="inlineStr">
        <is>
          <t>9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복</t>
        </is>
      </c>
      <c r="T29" s="8" t="n">
        <v>81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덕풍현대</t>
        </is>
      </c>
      <c r="B30" s="16" t="inlineStr">
        <is>
          <t>'97.12.</t>
        </is>
      </c>
      <c r="C30" s="164" t="n">
        <v>555</v>
      </c>
      <c r="D30" s="161" t="n">
        <v>108.6</v>
      </c>
      <c r="E30" s="163" t="n">
        <v>33</v>
      </c>
      <c r="F30" s="161" t="n">
        <v>84.8</v>
      </c>
      <c r="G30" s="27" t="n">
        <v>26</v>
      </c>
      <c r="H30" s="164" t="n">
        <v>353</v>
      </c>
      <c r="I30" s="165" t="n">
        <v>64500</v>
      </c>
      <c r="J30" s="165" t="inlineStr">
        <is>
          <t>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복</t>
        </is>
      </c>
      <c r="T30" s="8" t="n">
        <v>108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덕풍서해</t>
        </is>
      </c>
      <c r="B32" s="16" t="inlineStr">
        <is>
          <t>'96.04.</t>
        </is>
      </c>
      <c r="C32" s="164" t="n">
        <v>423</v>
      </c>
      <c r="D32" s="161" t="n">
        <v>80.40000000000001</v>
      </c>
      <c r="E32" s="163" t="n">
        <v>24</v>
      </c>
      <c r="F32" s="161" t="n">
        <v>59</v>
      </c>
      <c r="G32" s="27" t="n">
        <v>18</v>
      </c>
      <c r="H32" s="164" t="n">
        <v>213</v>
      </c>
      <c r="I32" s="165" t="n">
        <v>53000</v>
      </c>
      <c r="J32" s="165" t="inlineStr">
        <is>
          <t>중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덕풍서해</t>
        </is>
      </c>
      <c r="B33" s="16" t="inlineStr">
        <is>
          <t>'96.04.</t>
        </is>
      </c>
      <c r="C33" s="164" t="n">
        <v>423</v>
      </c>
      <c r="D33" s="161" t="n">
        <v>105.2</v>
      </c>
      <c r="E33" s="163" t="n">
        <v>32</v>
      </c>
      <c r="F33" s="161" t="n">
        <v>84.90000000000001</v>
      </c>
      <c r="G33" s="27" t="n">
        <v>26</v>
      </c>
      <c r="H33" s="164" t="n">
        <v>174</v>
      </c>
      <c r="I33" s="165" t="n">
        <v>65000</v>
      </c>
      <c r="J33" s="165" t="inlineStr">
        <is>
          <t>13</t>
        </is>
      </c>
      <c r="K33" s="165" t="n">
        <v>43000</v>
      </c>
      <c r="L33" s="165" t="inlineStr">
        <is>
          <t>7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덕풍서해</t>
        </is>
      </c>
      <c r="B34" s="16" t="inlineStr">
        <is>
          <t>'96.04.</t>
        </is>
      </c>
      <c r="C34" s="164" t="n">
        <v>423</v>
      </c>
      <c r="D34" s="161" t="n">
        <v>124</v>
      </c>
      <c r="E34" s="163" t="n">
        <v>38</v>
      </c>
      <c r="F34" s="161" t="n">
        <v>103</v>
      </c>
      <c r="G34" s="27" t="n">
        <v>31</v>
      </c>
      <c r="H34" s="164" t="n">
        <v>36</v>
      </c>
      <c r="I34" s="165" t="n">
        <v>70000</v>
      </c>
      <c r="J34" s="165" t="inlineStr">
        <is>
          <t>중</t>
        </is>
      </c>
      <c r="K34" s="165" t="n">
        <v>55000</v>
      </c>
      <c r="L34" s="165" t="inlineStr">
        <is>
          <t>14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124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하남풍산아이파크1단지</t>
        </is>
      </c>
      <c r="B36" s="16" t="inlineStr">
        <is>
          <t>'08.07.</t>
        </is>
      </c>
      <c r="C36" s="164" t="n">
        <v>686</v>
      </c>
      <c r="D36" s="161" t="n">
        <v>109.7</v>
      </c>
      <c r="E36" s="163" t="n">
        <v>33</v>
      </c>
      <c r="F36" s="161" t="n">
        <v>85</v>
      </c>
      <c r="G36" s="27" t="n">
        <v>26</v>
      </c>
      <c r="H36" s="164" t="n">
        <v>57</v>
      </c>
      <c r="I36" s="165" t="n">
        <v>100000</v>
      </c>
      <c r="J36" s="165" t="inlineStr">
        <is>
          <t>5</t>
        </is>
      </c>
      <c r="K36" s="165" t="n">
        <v>65000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109E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하남풍산아이파크1단지</t>
        </is>
      </c>
      <c r="B37" s="16" t="inlineStr">
        <is>
          <t>'08.07.</t>
        </is>
      </c>
      <c r="C37" s="164" t="n">
        <v>686</v>
      </c>
      <c r="D37" s="161" t="n">
        <v>111.6</v>
      </c>
      <c r="E37" s="163" t="n">
        <v>34</v>
      </c>
      <c r="F37" s="161" t="n">
        <v>85</v>
      </c>
      <c r="G37" s="27" t="n">
        <v>26</v>
      </c>
      <c r="H37" s="164" t="n">
        <v>136</v>
      </c>
      <c r="I37" s="165" t="n">
        <v>94800</v>
      </c>
      <c r="J37" s="165" t="inlineStr">
        <is>
          <t>중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복</t>
        </is>
      </c>
      <c r="T37" s="8" t="inlineStr">
        <is>
          <t>111D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하남풍산아이파크1단지</t>
        </is>
      </c>
      <c r="B38" s="16" t="inlineStr">
        <is>
          <t>'08.07.</t>
        </is>
      </c>
      <c r="C38" s="164" t="n">
        <v>686</v>
      </c>
      <c r="D38" s="161" t="n">
        <v>112.2</v>
      </c>
      <c r="E38" s="163" t="n">
        <v>34</v>
      </c>
      <c r="F38" s="161" t="n">
        <v>85</v>
      </c>
      <c r="G38" s="27" t="n">
        <v>26</v>
      </c>
      <c r="H38" s="164" t="n">
        <v>180</v>
      </c>
      <c r="I38" s="165" t="n">
        <v>102000</v>
      </c>
      <c r="J38" s="165" t="inlineStr">
        <is>
          <t>중</t>
        </is>
      </c>
      <c r="K38" s="165" t="n">
        <v>65000</v>
      </c>
      <c r="L38" s="165" t="inlineStr">
        <is>
          <t>5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하남풍산아이파크1단지</t>
        </is>
      </c>
      <c r="B39" s="16" t="inlineStr">
        <is>
          <t>'08.07.</t>
        </is>
      </c>
      <c r="C39" s="164" t="n">
        <v>686</v>
      </c>
      <c r="D39" s="161" t="n">
        <v>112.2</v>
      </c>
      <c r="E39" s="163" t="n">
        <v>34</v>
      </c>
      <c r="F39" s="161" t="n">
        <v>85</v>
      </c>
      <c r="G39" s="27" t="n">
        <v>26</v>
      </c>
      <c r="H39" s="164" t="n">
        <v>158</v>
      </c>
      <c r="I39" s="165" t="n">
        <v>102000</v>
      </c>
      <c r="J39" s="165" t="inlineStr">
        <is>
          <t>중</t>
        </is>
      </c>
      <c r="K39" s="165" t="n">
        <v>65000</v>
      </c>
      <c r="L39" s="165" t="inlineStr">
        <is>
          <t>5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복</t>
        </is>
      </c>
      <c r="T39" s="8" t="inlineStr">
        <is>
          <t>112C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하남풍산아이파크1단지</t>
        </is>
      </c>
      <c r="B40" s="16" t="inlineStr">
        <is>
          <t>'08.07.</t>
        </is>
      </c>
      <c r="C40" s="164" t="n">
        <v>686</v>
      </c>
      <c r="D40" s="161" t="n">
        <v>112.4</v>
      </c>
      <c r="E40" s="163" t="n">
        <v>34</v>
      </c>
      <c r="F40" s="161" t="n">
        <v>84.90000000000001</v>
      </c>
      <c r="G40" s="27" t="n">
        <v>26</v>
      </c>
      <c r="H40" s="164" t="n">
        <v>57</v>
      </c>
      <c r="I40" s="165" t="n">
        <v>105000</v>
      </c>
      <c r="J40" s="165" t="inlineStr">
        <is>
          <t>5</t>
        </is>
      </c>
      <c r="K40" s="165" t="n">
        <v>65000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112B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하남풍산아이파크1단지</t>
        </is>
      </c>
      <c r="B41" s="16" t="inlineStr">
        <is>
          <t>'08.07.</t>
        </is>
      </c>
      <c r="C41" s="164" t="n">
        <v>686</v>
      </c>
      <c r="D41" s="161" t="n">
        <v>128.3</v>
      </c>
      <c r="E41" s="163" t="n">
        <v>39</v>
      </c>
      <c r="F41" s="161" t="n">
        <v>100.9</v>
      </c>
      <c r="G41" s="27" t="n">
        <v>31</v>
      </c>
      <c r="H41" s="164" t="n">
        <v>92</v>
      </c>
      <c r="I41" s="165" t="n">
        <v>125000</v>
      </c>
      <c r="J41" s="165" t="inlineStr">
        <is>
          <t>11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128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하남풍산아이파크1단지</t>
        </is>
      </c>
      <c r="B42" s="16" t="inlineStr">
        <is>
          <t>'08.07.</t>
        </is>
      </c>
      <c r="C42" s="164" t="n">
        <v>686</v>
      </c>
      <c r="D42" s="161" t="n">
        <v>134.2</v>
      </c>
      <c r="E42" s="163" t="n">
        <v>41</v>
      </c>
      <c r="F42" s="161" t="n">
        <v>101.7</v>
      </c>
      <c r="G42" s="27" t="n">
        <v>31</v>
      </c>
      <c r="H42" s="164" t="n">
        <v>6</v>
      </c>
      <c r="I42" s="165" t="n">
        <v>170000</v>
      </c>
      <c r="J42" s="165" t="inlineStr">
        <is>
          <t>15</t>
        </is>
      </c>
      <c r="K42" s="165" t="n">
        <v>90000</v>
      </c>
      <c r="L42" s="165" t="inlineStr">
        <is>
          <t>15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복</t>
        </is>
      </c>
      <c r="T42" s="8" t="n">
        <v>134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진모루마을현대</t>
        </is>
      </c>
      <c r="B44" s="16" t="inlineStr">
        <is>
          <t>'00.12.</t>
        </is>
      </c>
      <c r="C44" s="164" t="n">
        <v>387</v>
      </c>
      <c r="D44" s="161" t="n">
        <v>77.3</v>
      </c>
      <c r="E44" s="163" t="n">
        <v>23</v>
      </c>
      <c r="F44" s="161" t="n">
        <v>59.8</v>
      </c>
      <c r="G44" s="27" t="n">
        <v>18</v>
      </c>
      <c r="H44" s="164" t="n">
        <v>21</v>
      </c>
      <c r="I44" s="165" t="n">
        <v>76000</v>
      </c>
      <c r="J44" s="165" t="inlineStr">
        <is>
          <t>20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계</t>
        </is>
      </c>
      <c r="T44" s="8" t="inlineStr">
        <is>
          <t>77A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진모루마을현대</t>
        </is>
      </c>
      <c r="B45" s="16" t="inlineStr">
        <is>
          <t>'00.12.</t>
        </is>
      </c>
      <c r="C45" s="164" t="n">
        <v>387</v>
      </c>
      <c r="D45" s="161" t="n">
        <v>77.59999999999999</v>
      </c>
      <c r="E45" s="163" t="n">
        <v>23</v>
      </c>
      <c r="F45" s="161" t="n">
        <v>60</v>
      </c>
      <c r="G45" s="27" t="n">
        <v>18</v>
      </c>
      <c r="H45" s="164" t="n">
        <v>18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진모루마을현대</t>
        </is>
      </c>
      <c r="B46" s="16" t="inlineStr">
        <is>
          <t>'00.12.</t>
        </is>
      </c>
      <c r="C46" s="164" t="n">
        <v>387</v>
      </c>
      <c r="D46" s="161" t="n">
        <v>109.9</v>
      </c>
      <c r="E46" s="163" t="n">
        <v>33</v>
      </c>
      <c r="F46" s="161" t="n">
        <v>85</v>
      </c>
      <c r="G46" s="27" t="n">
        <v>26</v>
      </c>
      <c r="H46" s="164" t="n">
        <v>308</v>
      </c>
      <c r="I46" s="165" t="n">
        <v>80000</v>
      </c>
      <c r="J46" s="165" t="inlineStr">
        <is>
          <t>6</t>
        </is>
      </c>
      <c r="K46" s="165" t="n">
        <v>50000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109A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진모루마을현대</t>
        </is>
      </c>
      <c r="B47" s="16" t="inlineStr">
        <is>
          <t>'00.12.</t>
        </is>
      </c>
      <c r="C47" s="164" t="n">
        <v>387</v>
      </c>
      <c r="D47" s="161" t="n">
        <v>109.9</v>
      </c>
      <c r="E47" s="163" t="n">
        <v>33</v>
      </c>
      <c r="F47" s="161" t="n">
        <v>85</v>
      </c>
      <c r="G47" s="27" t="n">
        <v>26</v>
      </c>
      <c r="H47" s="164" t="n">
        <v>25</v>
      </c>
      <c r="I47" s="165" t="n">
        <v>80000</v>
      </c>
      <c r="J47" s="165" t="inlineStr">
        <is>
          <t>6</t>
        </is>
      </c>
      <c r="K47" s="165" t="n">
        <v>50000</v>
      </c>
      <c r="L47" s="165" t="inlineStr">
        <is>
          <t>15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109B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진모루마을현대</t>
        </is>
      </c>
      <c r="B48" s="16" t="inlineStr">
        <is>
          <t>'00.12.</t>
        </is>
      </c>
      <c r="C48" s="164" t="n">
        <v>387</v>
      </c>
      <c r="D48" s="161" t="n">
        <v>109.7</v>
      </c>
      <c r="E48" s="163" t="n">
        <v>33</v>
      </c>
      <c r="F48" s="161" t="n">
        <v>84.8</v>
      </c>
      <c r="G48" s="27" t="n">
        <v>26</v>
      </c>
      <c r="H48" s="164" t="n">
        <v>15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109C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한솔리치빌1단지</t>
        </is>
      </c>
      <c r="B50" s="16" t="inlineStr">
        <is>
          <t>'02.12.</t>
        </is>
      </c>
      <c r="C50" s="164" t="n">
        <v>747</v>
      </c>
      <c r="D50" s="161" t="n">
        <v>115.8</v>
      </c>
      <c r="E50" s="163" t="n">
        <v>35</v>
      </c>
      <c r="F50" s="161" t="n">
        <v>84.8</v>
      </c>
      <c r="G50" s="27" t="n">
        <v>26</v>
      </c>
      <c r="H50" s="164" t="n">
        <v>747</v>
      </c>
      <c r="I50" s="165" t="n">
        <v>68000</v>
      </c>
      <c r="J50" s="165" t="inlineStr">
        <is>
          <t>5</t>
        </is>
      </c>
      <c r="K50" s="165" t="n">
        <v>50000</v>
      </c>
      <c r="L50" s="165" t="inlineStr">
        <is>
          <t>12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115A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한솔리치빌3단지</t>
        </is>
      </c>
      <c r="B52" s="16" t="inlineStr">
        <is>
          <t>'05.01.</t>
        </is>
      </c>
      <c r="C52" s="164" t="n">
        <v>283</v>
      </c>
      <c r="D52" s="161" t="n">
        <v>81.8</v>
      </c>
      <c r="E52" s="163" t="n">
        <v>25</v>
      </c>
      <c r="F52" s="161" t="n">
        <v>60</v>
      </c>
      <c r="G52" s="27" t="n">
        <v>18</v>
      </c>
      <c r="H52" s="164" t="n">
        <v>20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n">
        <v>81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한솔리치빌3단지</t>
        </is>
      </c>
      <c r="B53" s="16" t="inlineStr">
        <is>
          <t>'05.01.</t>
        </is>
      </c>
      <c r="C53" s="164" t="n">
        <v>283</v>
      </c>
      <c r="D53" s="161" t="n">
        <v>110</v>
      </c>
      <c r="E53" s="163" t="n">
        <v>33</v>
      </c>
      <c r="F53" s="161" t="n">
        <v>85</v>
      </c>
      <c r="G53" s="27" t="n">
        <v>26</v>
      </c>
      <c r="H53" s="164" t="n">
        <v>236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110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한솔리치빌3단지</t>
        </is>
      </c>
      <c r="B54" s="16" t="inlineStr">
        <is>
          <t>'05.01.</t>
        </is>
      </c>
      <c r="C54" s="164" t="n">
        <v>283</v>
      </c>
      <c r="D54" s="161" t="n">
        <v>110.3</v>
      </c>
      <c r="E54" s="163" t="n">
        <v>33</v>
      </c>
      <c r="F54" s="161" t="n">
        <v>84.8</v>
      </c>
      <c r="G54" s="27" t="n">
        <v>26</v>
      </c>
      <c r="H54" s="164" t="n">
        <v>19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110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한솔리치빌3단지</t>
        </is>
      </c>
      <c r="B55" s="16" t="inlineStr">
        <is>
          <t>'05.01.</t>
        </is>
      </c>
      <c r="C55" s="164" t="n">
        <v>283</v>
      </c>
      <c r="D55" s="161" t="n">
        <v>150.3</v>
      </c>
      <c r="E55" s="163" t="n">
        <v>45</v>
      </c>
      <c r="F55" s="161" t="n">
        <v>118.6</v>
      </c>
      <c r="G55" s="27" t="n">
        <v>36</v>
      </c>
      <c r="H55" s="164" t="n">
        <v>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n">
        <v>150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하남더샵센트럴뷰</t>
        </is>
      </c>
      <c r="B57" s="16" t="inlineStr">
        <is>
          <t>'16.08.</t>
        </is>
      </c>
      <c r="C57" s="164" t="n">
        <v>672</v>
      </c>
      <c r="D57" s="161" t="n">
        <v>111.3</v>
      </c>
      <c r="E57" s="163" t="n">
        <v>34</v>
      </c>
      <c r="F57" s="161" t="n">
        <v>84.90000000000001</v>
      </c>
      <c r="G57" s="27" t="n">
        <v>26</v>
      </c>
      <c r="H57" s="164" t="n">
        <v>415</v>
      </c>
      <c r="I57" s="165" t="n">
        <v>100000</v>
      </c>
      <c r="J57" s="165" t="inlineStr">
        <is>
          <t>16</t>
        </is>
      </c>
      <c r="K57" s="165" t="n">
        <v>65000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하남더샵센트럴뷰</t>
        </is>
      </c>
      <c r="B58" s="16" t="inlineStr">
        <is>
          <t>'16.08.</t>
        </is>
      </c>
      <c r="C58" s="164" t="n">
        <v>672</v>
      </c>
      <c r="D58" s="161" t="n">
        <v>111.3</v>
      </c>
      <c r="E58" s="163" t="n">
        <v>34</v>
      </c>
      <c r="F58" s="161" t="n">
        <v>84.90000000000001</v>
      </c>
      <c r="G58" s="27" t="n">
        <v>26</v>
      </c>
      <c r="H58" s="164" t="n">
        <v>33</v>
      </c>
      <c r="I58" s="165" t="n">
        <v>100000</v>
      </c>
      <c r="J58" s="165" t="inlineStr">
        <is>
          <t>16</t>
        </is>
      </c>
      <c r="K58" s="165" t="n">
        <v>65000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111D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하남더샵센트럴뷰</t>
        </is>
      </c>
      <c r="B59" s="16" t="inlineStr">
        <is>
          <t>'16.08.</t>
        </is>
      </c>
      <c r="C59" s="164" t="n">
        <v>672</v>
      </c>
      <c r="D59" s="161" t="n">
        <v>112.3</v>
      </c>
      <c r="E59" s="163" t="n">
        <v>34</v>
      </c>
      <c r="F59" s="161" t="n">
        <v>84.3</v>
      </c>
      <c r="G59" s="27" t="n">
        <v>26</v>
      </c>
      <c r="H59" s="164" t="n">
        <v>132</v>
      </c>
      <c r="I59" s="165" t="n">
        <v>95000</v>
      </c>
      <c r="J59" s="165" t="inlineStr">
        <is>
          <t>고</t>
        </is>
      </c>
      <c r="K59" s="165" t="n">
        <v>65000</v>
      </c>
      <c r="L59" s="165" t="inlineStr">
        <is>
          <t>14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112B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하남더샵센트럴뷰</t>
        </is>
      </c>
      <c r="B60" s="16" t="inlineStr">
        <is>
          <t>'16.08.</t>
        </is>
      </c>
      <c r="C60" s="164" t="n">
        <v>672</v>
      </c>
      <c r="D60" s="161" t="n">
        <v>112.2</v>
      </c>
      <c r="E60" s="163" t="n">
        <v>34</v>
      </c>
      <c r="F60" s="161" t="n">
        <v>84.59999999999999</v>
      </c>
      <c r="G60" s="27" t="n">
        <v>26</v>
      </c>
      <c r="H60" s="164" t="n">
        <v>92</v>
      </c>
      <c r="I60" s="165" t="n">
        <v>105000</v>
      </c>
      <c r="J60" s="165" t="inlineStr">
        <is>
          <t>중</t>
        </is>
      </c>
      <c r="K60" s="165" t="n">
        <v>64000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112C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하남한솔솔파크</t>
        </is>
      </c>
      <c r="B62" s="16" t="inlineStr">
        <is>
          <t>'06.06.</t>
        </is>
      </c>
      <c r="C62" s="164" t="n">
        <v>616</v>
      </c>
      <c r="D62" s="161" t="n">
        <v>109.7</v>
      </c>
      <c r="E62" s="163" t="n">
        <v>33</v>
      </c>
      <c r="F62" s="161" t="n">
        <v>85</v>
      </c>
      <c r="G62" s="27" t="n">
        <v>26</v>
      </c>
      <c r="H62" s="164" t="n">
        <v>597</v>
      </c>
      <c r="I62" s="165" t="n">
        <v>77000</v>
      </c>
      <c r="J62" s="165" t="inlineStr">
        <is>
          <t>22</t>
        </is>
      </c>
      <c r="K62" s="165" t="n">
        <v>55000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109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하남한솔솔파크</t>
        </is>
      </c>
      <c r="B63" s="16" t="inlineStr">
        <is>
          <t>'06.06.</t>
        </is>
      </c>
      <c r="C63" s="164" t="n">
        <v>616</v>
      </c>
      <c r="D63" s="161" t="n">
        <v>145.6</v>
      </c>
      <c r="E63" s="163" t="n">
        <v>44</v>
      </c>
      <c r="F63" s="161" t="n">
        <v>115.7</v>
      </c>
      <c r="G63" s="27" t="n">
        <v>35</v>
      </c>
      <c r="H63" s="164" t="n">
        <v>19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145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동원베네스트</t>
        </is>
      </c>
      <c r="B65" s="16" t="inlineStr">
        <is>
          <t>'08.05.</t>
        </is>
      </c>
      <c r="C65" s="164" t="n">
        <v>217</v>
      </c>
      <c r="D65" s="161" t="n">
        <v>108.1</v>
      </c>
      <c r="E65" s="163" t="n">
        <v>33</v>
      </c>
      <c r="F65" s="161" t="n">
        <v>85</v>
      </c>
      <c r="G65" s="27" t="n">
        <v>26</v>
      </c>
      <c r="H65" s="164" t="n">
        <v>217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108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KCC스위첸</t>
        </is>
      </c>
      <c r="B67" s="16" t="inlineStr">
        <is>
          <t>'06.02.</t>
        </is>
      </c>
      <c r="C67" s="164" t="n">
        <v>244</v>
      </c>
      <c r="D67" s="161" t="n">
        <v>107.9</v>
      </c>
      <c r="E67" s="163" t="n">
        <v>33</v>
      </c>
      <c r="F67" s="161" t="n">
        <v>85</v>
      </c>
      <c r="G67" s="27" t="n">
        <v>26</v>
      </c>
      <c r="H67" s="164" t="n">
        <v>213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107A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KCC스위첸</t>
        </is>
      </c>
      <c r="B68" s="16" t="inlineStr">
        <is>
          <t>'06.02.</t>
        </is>
      </c>
      <c r="C68" s="164" t="n">
        <v>244</v>
      </c>
      <c r="D68" s="161" t="n">
        <v>107.9</v>
      </c>
      <c r="E68" s="163" t="n">
        <v>33</v>
      </c>
      <c r="F68" s="161" t="n">
        <v>85</v>
      </c>
      <c r="G68" s="27" t="n">
        <v>26</v>
      </c>
      <c r="H68" s="164" t="n">
        <v>19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107B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KCC스위첸</t>
        </is>
      </c>
      <c r="B69" s="16" t="inlineStr">
        <is>
          <t>'06.02.</t>
        </is>
      </c>
      <c r="C69" s="164" t="n">
        <v>244</v>
      </c>
      <c r="D69" s="161" t="n">
        <v>112</v>
      </c>
      <c r="E69" s="163" t="n">
        <v>34</v>
      </c>
      <c r="F69" s="161" t="n">
        <v>84.90000000000001</v>
      </c>
      <c r="G69" s="27" t="n">
        <v>26</v>
      </c>
      <c r="H69" s="164" t="n">
        <v>12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삼부르네상스</t>
        </is>
      </c>
      <c r="B71" s="16" t="inlineStr">
        <is>
          <t>'08.08.</t>
        </is>
      </c>
      <c r="C71" s="164" t="n">
        <v>471</v>
      </c>
      <c r="D71" s="161" t="n">
        <v>128.5</v>
      </c>
      <c r="E71" s="163" t="n">
        <v>39</v>
      </c>
      <c r="F71" s="161" t="n">
        <v>102</v>
      </c>
      <c r="G71" s="27" t="n">
        <v>31</v>
      </c>
      <c r="H71" s="164" t="n">
        <v>224</v>
      </c>
      <c r="I71" s="165" t="n">
        <v>120000</v>
      </c>
      <c r="J71" s="165" t="inlineStr">
        <is>
          <t>중</t>
        </is>
      </c>
      <c r="K71" s="165" t="n">
        <v>73000</v>
      </c>
      <c r="L71" s="165" t="inlineStr">
        <is>
          <t>5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128A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삼부르네상스</t>
        </is>
      </c>
      <c r="B72" s="16" t="inlineStr">
        <is>
          <t>'08.08.</t>
        </is>
      </c>
      <c r="C72" s="164" t="n">
        <v>471</v>
      </c>
      <c r="D72" s="161" t="n">
        <v>128.5</v>
      </c>
      <c r="E72" s="163" t="n">
        <v>39</v>
      </c>
      <c r="F72" s="161" t="n">
        <v>102</v>
      </c>
      <c r="G72" s="27" t="n">
        <v>31</v>
      </c>
      <c r="H72" s="164" t="n">
        <v>104</v>
      </c>
      <c r="I72" s="165" t="n">
        <v>120000</v>
      </c>
      <c r="J72" s="165" t="inlineStr">
        <is>
          <t>중</t>
        </is>
      </c>
      <c r="K72" s="165" t="n">
        <v>73000</v>
      </c>
      <c r="L72" s="165" t="inlineStr">
        <is>
          <t>5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128D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삼부르네상스</t>
        </is>
      </c>
      <c r="B73" s="16" t="inlineStr">
        <is>
          <t>'08.08.</t>
        </is>
      </c>
      <c r="C73" s="164" t="n">
        <v>471</v>
      </c>
      <c r="D73" s="161" t="n">
        <v>128.3</v>
      </c>
      <c r="E73" s="163" t="n">
        <v>39</v>
      </c>
      <c r="F73" s="161" t="n">
        <v>102</v>
      </c>
      <c r="G73" s="27" t="n">
        <v>31</v>
      </c>
      <c r="H73" s="164" t="n">
        <v>103</v>
      </c>
      <c r="I73" s="165" t="n">
        <v>105000</v>
      </c>
      <c r="J73" s="165" t="inlineStr">
        <is>
          <t>5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128C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삼부르네상스</t>
        </is>
      </c>
      <c r="B74" s="16" t="inlineStr">
        <is>
          <t>'08.08.</t>
        </is>
      </c>
      <c r="C74" s="164" t="n">
        <v>471</v>
      </c>
      <c r="D74" s="161" t="n">
        <v>128.4</v>
      </c>
      <c r="E74" s="163" t="n">
        <v>39</v>
      </c>
      <c r="F74" s="161" t="n">
        <v>102</v>
      </c>
      <c r="G74" s="27" t="n">
        <v>31</v>
      </c>
      <c r="H74" s="164" t="n">
        <v>40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128B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하남자이</t>
        </is>
      </c>
      <c r="B76" s="16" t="inlineStr">
        <is>
          <t>'06.04.</t>
        </is>
      </c>
      <c r="C76" s="164" t="n">
        <v>875</v>
      </c>
      <c r="D76" s="161" t="n">
        <v>78.5</v>
      </c>
      <c r="E76" s="163" t="n">
        <v>24</v>
      </c>
      <c r="F76" s="161" t="n">
        <v>60</v>
      </c>
      <c r="G76" s="27" t="n">
        <v>18</v>
      </c>
      <c r="H76" s="164" t="n">
        <v>80</v>
      </c>
      <c r="I76" s="165" t="n">
        <v>66000</v>
      </c>
      <c r="J76" s="165" t="inlineStr">
        <is>
          <t>12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78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하남자이</t>
        </is>
      </c>
      <c r="B77" s="16" t="inlineStr">
        <is>
          <t>'06.04.</t>
        </is>
      </c>
      <c r="C77" s="164" t="n">
        <v>875</v>
      </c>
      <c r="D77" s="161" t="n">
        <v>81.3</v>
      </c>
      <c r="E77" s="163" t="n">
        <v>25</v>
      </c>
      <c r="F77" s="161" t="n">
        <v>60</v>
      </c>
      <c r="G77" s="27" t="n">
        <v>18</v>
      </c>
      <c r="H77" s="164" t="n">
        <v>104</v>
      </c>
      <c r="I77" s="165" t="n">
        <v>67000</v>
      </c>
      <c r="J77" s="165" t="inlineStr">
        <is>
          <t>23</t>
        </is>
      </c>
      <c r="K77" s="165" t="n">
        <v>49000</v>
      </c>
      <c r="L77" s="165" t="inlineStr">
        <is>
          <t>10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하남자이</t>
        </is>
      </c>
      <c r="B78" s="16" t="inlineStr">
        <is>
          <t>'06.04.</t>
        </is>
      </c>
      <c r="C78" s="164" t="n">
        <v>875</v>
      </c>
      <c r="D78" s="161" t="n">
        <v>107.8</v>
      </c>
      <c r="E78" s="163" t="n">
        <v>33</v>
      </c>
      <c r="F78" s="161" t="n">
        <v>85</v>
      </c>
      <c r="G78" s="27" t="n">
        <v>26</v>
      </c>
      <c r="H78" s="164" t="n">
        <v>593</v>
      </c>
      <c r="I78" s="165" t="n">
        <v>71000</v>
      </c>
      <c r="J78" s="165" t="inlineStr">
        <is>
          <t>15</t>
        </is>
      </c>
      <c r="K78" s="165" t="n">
        <v>53000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107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하남자이</t>
        </is>
      </c>
      <c r="B79" s="16" t="inlineStr">
        <is>
          <t>'06.04.</t>
        </is>
      </c>
      <c r="C79" s="164" t="n">
        <v>875</v>
      </c>
      <c r="D79" s="161" t="n">
        <v>154.9</v>
      </c>
      <c r="E79" s="163" t="n">
        <v>47</v>
      </c>
      <c r="F79" s="161" t="n">
        <v>125.1</v>
      </c>
      <c r="G79" s="27" t="n">
        <v>38</v>
      </c>
      <c r="H79" s="164" t="n">
        <v>98</v>
      </c>
      <c r="I79" s="165" t="n">
        <v>83000</v>
      </c>
      <c r="J79" s="165" t="inlineStr">
        <is>
          <t>22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154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한솔리치빌5단지</t>
        </is>
      </c>
      <c r="B81" s="16" t="inlineStr">
        <is>
          <t>'06.02.</t>
        </is>
      </c>
      <c r="C81" s="164" t="n">
        <v>268</v>
      </c>
      <c r="D81" s="161" t="n">
        <v>82.5</v>
      </c>
      <c r="E81" s="163" t="n">
        <v>25</v>
      </c>
      <c r="F81" s="161" t="n">
        <v>60</v>
      </c>
      <c r="G81" s="27" t="n">
        <v>18</v>
      </c>
      <c r="H81" s="164" t="n">
        <v>40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82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한솔리치빌5단지</t>
        </is>
      </c>
      <c r="B82" s="16" t="inlineStr">
        <is>
          <t>'06.02.</t>
        </is>
      </c>
      <c r="C82" s="164" t="n">
        <v>268</v>
      </c>
      <c r="D82" s="161" t="n">
        <v>109.8</v>
      </c>
      <c r="E82" s="163" t="n">
        <v>33</v>
      </c>
      <c r="F82" s="161" t="n">
        <v>84.90000000000001</v>
      </c>
      <c r="G82" s="27" t="n">
        <v>26</v>
      </c>
      <c r="H82" s="164" t="n">
        <v>18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109B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한솔리치빌5단지</t>
        </is>
      </c>
      <c r="B83" s="16" t="inlineStr">
        <is>
          <t>'06.02.</t>
        </is>
      </c>
      <c r="C83" s="164" t="n">
        <v>268</v>
      </c>
      <c r="D83" s="161" t="n">
        <v>110.1</v>
      </c>
      <c r="E83" s="163" t="n">
        <v>33</v>
      </c>
      <c r="F83" s="161" t="n">
        <v>85</v>
      </c>
      <c r="G83" s="27" t="n">
        <v>26</v>
      </c>
      <c r="H83" s="164" t="n">
        <v>210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110A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더샵하남에디피스</t>
        </is>
      </c>
      <c r="B85" s="16" t="inlineStr">
        <is>
          <t>'24.03.</t>
        </is>
      </c>
      <c r="C85" s="164" t="n">
        <v>980</v>
      </c>
      <c r="D85" s="161" t="n">
        <v>56</v>
      </c>
      <c r="E85" s="163" t="n">
        <v>17</v>
      </c>
      <c r="F85" s="161" t="n">
        <v>39.5</v>
      </c>
      <c r="G85" s="27" t="n">
        <v>12</v>
      </c>
      <c r="H85" s="164" t="n">
        <v>2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1</v>
      </c>
      <c r="R85" s="113" t="n">
        <v>1</v>
      </c>
      <c r="S85" s="113" t="inlineStr">
        <is>
          <t>계</t>
        </is>
      </c>
      <c r="T85" s="8" t="inlineStr">
        <is>
          <t>55B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더샵하남에디피스</t>
        </is>
      </c>
      <c r="B86" s="16" t="inlineStr">
        <is>
          <t>'24.03.</t>
        </is>
      </c>
      <c r="C86" s="164" t="n">
        <v>980</v>
      </c>
      <c r="D86" s="161" t="n">
        <v>56.1</v>
      </c>
      <c r="E86" s="163" t="n">
        <v>17</v>
      </c>
      <c r="F86" s="161" t="n">
        <v>39.4</v>
      </c>
      <c r="G86" s="27" t="n">
        <v>12</v>
      </c>
      <c r="H86" s="164" t="n">
        <v>10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1</v>
      </c>
      <c r="R86" s="113" t="n">
        <v>1</v>
      </c>
      <c r="S86" s="113" t="inlineStr">
        <is>
          <t>계</t>
        </is>
      </c>
      <c r="T86" s="8" t="inlineStr">
        <is>
          <t>56A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더샵하남에디피스</t>
        </is>
      </c>
      <c r="B87" s="16" t="inlineStr">
        <is>
          <t>'24.03.</t>
        </is>
      </c>
      <c r="C87" s="164" t="n">
        <v>980</v>
      </c>
      <c r="D87" s="161" t="n">
        <v>69.40000000000001</v>
      </c>
      <c r="E87" s="163" t="n">
        <v>21</v>
      </c>
      <c r="F87" s="161" t="n">
        <v>50.2</v>
      </c>
      <c r="G87" s="27" t="n">
        <v>15</v>
      </c>
      <c r="H87" s="164" t="n">
        <v>12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계</t>
        </is>
      </c>
      <c r="T87" s="8" t="n">
        <v>69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더샵하남에디피스</t>
        </is>
      </c>
      <c r="B88" s="16" t="inlineStr">
        <is>
          <t>'24.03.</t>
        </is>
      </c>
      <c r="C88" s="164" t="n">
        <v>980</v>
      </c>
      <c r="D88" s="161" t="n">
        <v>79.40000000000001</v>
      </c>
      <c r="E88" s="163" t="n">
        <v>24</v>
      </c>
      <c r="F88" s="161" t="n">
        <v>60</v>
      </c>
      <c r="G88" s="27" t="n">
        <v>18</v>
      </c>
      <c r="H88" s="164" t="n">
        <v>408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79A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더샵하남에디피스</t>
        </is>
      </c>
      <c r="B89" s="16" t="inlineStr">
        <is>
          <t>'24.03.</t>
        </is>
      </c>
      <c r="C89" s="164" t="n">
        <v>980</v>
      </c>
      <c r="D89" s="161" t="n">
        <v>79.7</v>
      </c>
      <c r="E89" s="163" t="n">
        <v>24</v>
      </c>
      <c r="F89" s="161" t="n">
        <v>59.9</v>
      </c>
      <c r="G89" s="27" t="n">
        <v>18</v>
      </c>
      <c r="H89" s="164" t="n">
        <v>118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79B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더샵하남에디피스</t>
        </is>
      </c>
      <c r="B90" s="16" t="inlineStr">
        <is>
          <t>'24.03.</t>
        </is>
      </c>
      <c r="C90" s="164" t="n">
        <v>980</v>
      </c>
      <c r="D90" s="161" t="n">
        <v>99.09999999999999</v>
      </c>
      <c r="E90" s="163" t="n">
        <v>30</v>
      </c>
      <c r="F90" s="161" t="n">
        <v>74.59999999999999</v>
      </c>
      <c r="G90" s="27" t="n">
        <v>23</v>
      </c>
      <c r="H90" s="164" t="n">
        <v>139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99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더샵하남에디피스</t>
        </is>
      </c>
      <c r="B91" s="16" t="inlineStr">
        <is>
          <t>'24.03.</t>
        </is>
      </c>
      <c r="C91" s="164" t="n">
        <v>980</v>
      </c>
      <c r="D91" s="161" t="n">
        <v>109.7</v>
      </c>
      <c r="E91" s="163" t="n">
        <v>33</v>
      </c>
      <c r="F91" s="161" t="n">
        <v>84.90000000000001</v>
      </c>
      <c r="G91" s="27" t="n">
        <v>26</v>
      </c>
      <c r="H91" s="164" t="n">
        <v>241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109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n"/>
      <c r="B92" s="113" t="n"/>
      <c r="C92" s="10" t="n"/>
      <c r="D92" s="13" t="n"/>
      <c r="E92" s="20" t="n"/>
      <c r="F92" s="161" t="n"/>
      <c r="G92" s="13" t="n"/>
      <c r="H92" s="13" t="n"/>
      <c r="I92" s="13" t="n"/>
      <c r="J92" s="13" t="n"/>
      <c r="K92" s="13" t="n"/>
      <c r="L92" s="13" t="n"/>
      <c r="M92" s="13" t="n"/>
      <c r="N92" s="13" t="n"/>
      <c r="O92" s="162" t="n"/>
      <c r="P92" s="162" t="n"/>
      <c r="Q92" s="163" t="n"/>
      <c r="R92" s="163" t="n"/>
      <c r="S92" s="13" t="n"/>
      <c r="T92" s="70" t="n"/>
      <c r="U92" s="13" t="n"/>
      <c r="W92" s="107">
        <f>$A$4&amp;" "&amp;A93&amp;"("&amp;B93&amp;","&amp;C93&amp;"^)"</f>
        <v/>
      </c>
      <c r="X92" s="108" t="n"/>
      <c r="Y92" s="108" t="n"/>
      <c r="Z92" s="108" t="n"/>
      <c r="AA92" s="108" t="n"/>
      <c r="AB92" s="108" t="n"/>
      <c r="AC92" s="108" t="n"/>
      <c r="AD92" s="108" t="n"/>
      <c r="AE92" s="108" t="n"/>
      <c r="AF92" s="109" t="n"/>
      <c r="AH92" s="36">
        <f>IF(A92="","",A92)</f>
        <v/>
      </c>
      <c r="AI92" s="160">
        <f>IF(E92="","",E92)</f>
        <v/>
      </c>
      <c r="AJ92" s="113" t="n"/>
      <c r="AK92" s="113" t="n"/>
      <c r="AL92" s="113" t="n"/>
      <c r="AM92" s="113" t="n"/>
      <c r="AN92" s="113" t="n"/>
      <c r="AO92" s="113" t="n"/>
      <c r="AP92" s="113" t="n"/>
      <c r="AQ92" s="113" t="n"/>
      <c r="AR92" s="113" t="n"/>
      <c r="AS92" s="113" t="n"/>
      <c r="AT92" s="113" t="n"/>
      <c r="AU92" s="113" t="n"/>
      <c r="AV92" s="113" t="n"/>
    </row>
    <row r="93">
      <c r="A93" s="13" t="inlineStr">
        <is>
          <t>하남풍산아이파크5단지</t>
        </is>
      </c>
      <c r="B93" s="16" t="inlineStr">
        <is>
          <t>'08.07.</t>
        </is>
      </c>
      <c r="C93" s="164" t="n">
        <v>365</v>
      </c>
      <c r="D93" s="161" t="n">
        <v>109.6</v>
      </c>
      <c r="E93" s="163" t="n">
        <v>33</v>
      </c>
      <c r="F93" s="161" t="n">
        <v>85</v>
      </c>
      <c r="G93" s="27" t="n">
        <v>26</v>
      </c>
      <c r="H93" s="164" t="n">
        <v>41</v>
      </c>
      <c r="I93" s="165" t="n">
        <v>120000</v>
      </c>
      <c r="J93" s="165" t="inlineStr">
        <is>
          <t>고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109E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하남풍산아이파크5단지</t>
        </is>
      </c>
      <c r="B94" s="16" t="inlineStr">
        <is>
          <t>'08.07.</t>
        </is>
      </c>
      <c r="C94" s="164" t="n">
        <v>365</v>
      </c>
      <c r="D94" s="161" t="n">
        <v>110.9</v>
      </c>
      <c r="E94" s="163" t="n">
        <v>34</v>
      </c>
      <c r="F94" s="161" t="n">
        <v>85</v>
      </c>
      <c r="G94" s="27" t="n">
        <v>26</v>
      </c>
      <c r="H94" s="164" t="n">
        <v>78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복</t>
        </is>
      </c>
      <c r="T94" s="8" t="inlineStr">
        <is>
          <t>110C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하남풍산아이파크5단지</t>
        </is>
      </c>
      <c r="B95" s="16" t="inlineStr">
        <is>
          <t>'08.07.</t>
        </is>
      </c>
      <c r="C95" s="164" t="n">
        <v>365</v>
      </c>
      <c r="D95" s="161" t="n">
        <v>110.2</v>
      </c>
      <c r="E95" s="163" t="n">
        <v>33</v>
      </c>
      <c r="F95" s="161" t="n">
        <v>85</v>
      </c>
      <c r="G95" s="27" t="n">
        <v>26</v>
      </c>
      <c r="H95" s="164" t="n">
        <v>74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복</t>
        </is>
      </c>
      <c r="T95" s="8" t="inlineStr">
        <is>
          <t>110D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하남풍산아이파크5단지</t>
        </is>
      </c>
      <c r="B96" s="16" t="inlineStr">
        <is>
          <t>'08.07.</t>
        </is>
      </c>
      <c r="C96" s="164" t="n">
        <v>365</v>
      </c>
      <c r="D96" s="161" t="n">
        <v>111.8</v>
      </c>
      <c r="E96" s="163" t="n">
        <v>34</v>
      </c>
      <c r="F96" s="161" t="n">
        <v>85</v>
      </c>
      <c r="G96" s="27" t="n">
        <v>26</v>
      </c>
      <c r="H96" s="164" t="n">
        <v>131</v>
      </c>
      <c r="I96" s="165" t="n">
        <v>98000</v>
      </c>
      <c r="J96" s="165" t="inlineStr">
        <is>
          <t>중</t>
        </is>
      </c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복</t>
        </is>
      </c>
      <c r="T96" s="8" t="inlineStr">
        <is>
          <t>111A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하남풍산아이파크5단지</t>
        </is>
      </c>
      <c r="B97" s="16" t="inlineStr">
        <is>
          <t>'08.07.</t>
        </is>
      </c>
      <c r="C97" s="164" t="n">
        <v>365</v>
      </c>
      <c r="D97" s="161" t="n">
        <v>112.3</v>
      </c>
      <c r="E97" s="163" t="n">
        <v>34</v>
      </c>
      <c r="F97" s="161" t="n">
        <v>84.90000000000001</v>
      </c>
      <c r="G97" s="27" t="n">
        <v>26</v>
      </c>
      <c r="H97" s="164" t="n">
        <v>41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469" dxfId="17">
      <formula>AV4="X"</formula>
    </cfRule>
    <cfRule type="expression" priority="1470" dxfId="16">
      <formula>AV4="후보"</formula>
    </cfRule>
  </conditionalFormatting>
  <conditionalFormatting sqref="AC1:AC2 AC4:AC6 N4:N5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:N2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6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6">
    <cfRule type="expression" priority="1458" dxfId="3">
      <formula>AND(IF(OR($Q6=1,$Q6=2),1,0),IF($X6&lt;=20,1,0))</formula>
    </cfRule>
    <cfRule type="expression" priority="1459" dxfId="2">
      <formula>AND(IF($Q6=2,1,0),IF($X6&lt;30,1,0))</formula>
    </cfRule>
    <cfRule type="expression" priority="1460" dxfId="1">
      <formula>AND(IF($Q6=3,1,0),IF($X6&lt;30,1,0))</formula>
    </cfRule>
    <cfRule type="expression" priority="1461" dxfId="0">
      <formula>AND(IF($Q6=3,1,IF($Q6=4,1,0)),IF($F6&lt;=85,1,0))</formula>
    </cfRule>
  </conditionalFormatting>
  <conditionalFormatting sqref="X6">
    <cfRule type="expression" priority="1454" dxfId="3">
      <formula>AND(IF(OR($Q6=1,$Q6=2),1,0),IF($X6&lt;=20,1,0))</formula>
    </cfRule>
    <cfRule type="expression" priority="1455" dxfId="2">
      <formula>AND(IF($Q6=2,1,0),IF($X6&lt;30,1,0))</formula>
    </cfRule>
    <cfRule type="expression" priority="1456" dxfId="1">
      <formula>AND(IF($Q6=3,1,0),IF($X6&lt;30,1,0))</formula>
    </cfRule>
    <cfRule type="expression" priority="1457" dxfId="0">
      <formula>AND(IF($Q6=3,1,IF($Q6=4,1,0)),IF($F6&lt;=85,1,0))</formula>
    </cfRule>
  </conditionalFormatting>
  <conditionalFormatting sqref="AI6">
    <cfRule type="expression" priority="1450" dxfId="3">
      <formula>AND(IF(OR($Q6=1,$Q6=2),1,0),IF($X6&lt;=20,1,0))</formula>
    </cfRule>
    <cfRule type="expression" priority="1451" dxfId="2">
      <formula>AND(IF($Q6=2,1,0),IF($X6&lt;30,1,0))</formula>
    </cfRule>
    <cfRule type="expression" priority="1452" dxfId="1">
      <formula>AND(IF($Q6=3,1,0),IF($X6&lt;30,1,0))</formula>
    </cfRule>
    <cfRule type="expression" priority="1453" dxfId="0">
      <formula>AND(IF($Q6=3,1,IF($Q6=4,1,0)),IF($F6&lt;=85,1,0))</formula>
    </cfRule>
  </conditionalFormatting>
  <conditionalFormatting sqref="AV7">
    <cfRule type="expression" priority="1448" dxfId="17">
      <formula>AV7="X"</formula>
    </cfRule>
    <cfRule type="expression" priority="1449" dxfId="16">
      <formula>AV7="후보"</formula>
    </cfRule>
  </conditionalFormatting>
  <conditionalFormatting sqref="AC7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N7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E7">
    <cfRule type="expression" priority="1439" dxfId="3">
      <formula>AND(IF(OR($Q7=1,$Q7=2),1,0),IF($X7&lt;=20,1,0))</formula>
    </cfRule>
    <cfRule type="expression" priority="1440" dxfId="2">
      <formula>AND(IF($Q7=2,1,0),IF($X7&lt;30,1,0))</formula>
    </cfRule>
    <cfRule type="expression" priority="1441" dxfId="1">
      <formula>AND(IF($Q7=3,1,0),IF($X7&lt;30,1,0))</formula>
    </cfRule>
    <cfRule type="expression" priority="1442" dxfId="0">
      <formula>AND(IF($Q7=3,1,IF($Q7=4,1,0)),IF($F7&lt;=85,1,0))</formula>
    </cfRule>
  </conditionalFormatting>
  <conditionalFormatting sqref="X7">
    <cfRule type="expression" priority="1435" dxfId="3">
      <formula>AND(IF(OR($Q7=1,$Q7=2),1,0),IF($X7&lt;=20,1,0))</formula>
    </cfRule>
    <cfRule type="expression" priority="1436" dxfId="2">
      <formula>AND(IF($Q7=2,1,0),IF($X7&lt;30,1,0))</formula>
    </cfRule>
    <cfRule type="expression" priority="1437" dxfId="1">
      <formula>AND(IF($Q7=3,1,0),IF($X7&lt;30,1,0))</formula>
    </cfRule>
    <cfRule type="expression" priority="1438" dxfId="0">
      <formula>AND(IF($Q7=3,1,IF($Q7=4,1,0)),IF($F7&lt;=85,1,0))</formula>
    </cfRule>
  </conditionalFormatting>
  <conditionalFormatting sqref="AI7">
    <cfRule type="expression" priority="1431" dxfId="3">
      <formula>AND(IF(OR($Q7=1,$Q7=2),1,0),IF($X7&lt;=20,1,0))</formula>
    </cfRule>
    <cfRule type="expression" priority="1432" dxfId="2">
      <formula>AND(IF($Q7=2,1,0),IF($X7&lt;30,1,0))</formula>
    </cfRule>
    <cfRule type="expression" priority="1433" dxfId="1">
      <formula>AND(IF($Q7=3,1,0),IF($X7&lt;30,1,0))</formula>
    </cfRule>
    <cfRule type="expression" priority="1434" dxfId="0">
      <formula>AND(IF($Q7=3,1,IF($Q7=4,1,0)),IF($F7&lt;=85,1,0))</formula>
    </cfRule>
  </conditionalFormatting>
  <conditionalFormatting sqref="AV8">
    <cfRule type="expression" priority="1429" dxfId="17">
      <formula>AV8="X"</formula>
    </cfRule>
    <cfRule type="expression" priority="1430" dxfId="16">
      <formula>AV8="후보"</formula>
    </cfRule>
  </conditionalFormatting>
  <conditionalFormatting sqref="AC8 N8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AV9">
    <cfRule type="expression" priority="1424" dxfId="17">
      <formula>AV9="X"</formula>
    </cfRule>
    <cfRule type="expression" priority="1425" dxfId="16">
      <formula>AV9="후보"</formula>
    </cfRule>
  </conditionalFormatting>
  <conditionalFormatting sqref="AC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N9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E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X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I9">
    <cfRule type="expression" priority="1407" dxfId="3">
      <formula>AND(IF(OR($Q9=1,$Q9=2),1,0),IF($X9&lt;=20,1,0))</formula>
    </cfRule>
    <cfRule type="expression" priority="1408" dxfId="2">
      <formula>AND(IF($Q9=2,1,0),IF($X9&lt;30,1,0))</formula>
    </cfRule>
    <cfRule type="expression" priority="1409" dxfId="1">
      <formula>AND(IF($Q9=3,1,0),IF($X9&lt;30,1,0))</formula>
    </cfRule>
    <cfRule type="expression" priority="1410" dxfId="0">
      <formula>AND(IF($Q9=3,1,IF($Q9=4,1,0)),IF($F9&lt;=85,1,0))</formula>
    </cfRule>
  </conditionalFormatting>
  <conditionalFormatting sqref="AV10">
    <cfRule type="expression" priority="1405" dxfId="17">
      <formula>AV10="X"</formula>
    </cfRule>
    <cfRule type="expression" priority="1406" dxfId="16">
      <formula>AV10="후보"</formula>
    </cfRule>
  </conditionalFormatting>
  <conditionalFormatting sqref="AC10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N10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E10">
    <cfRule type="expression" priority="1396" dxfId="3">
      <formula>AND(IF(OR($Q10=1,$Q10=2),1,0),IF($X10&lt;=20,1,0))</formula>
    </cfRule>
    <cfRule type="expression" priority="1397" dxfId="2">
      <formula>AND(IF($Q10=2,1,0),IF($X10&lt;30,1,0))</formula>
    </cfRule>
    <cfRule type="expression" priority="1398" dxfId="1">
      <formula>AND(IF($Q10=3,1,0),IF($X10&lt;30,1,0))</formula>
    </cfRule>
    <cfRule type="expression" priority="1399" dxfId="0">
      <formula>AND(IF($Q10=3,1,IF($Q10=4,1,0)),IF($F10&lt;=85,1,0))</formula>
    </cfRule>
  </conditionalFormatting>
  <conditionalFormatting sqref="X10">
    <cfRule type="expression" priority="1392" dxfId="3">
      <formula>AND(IF(OR($Q10=1,$Q10=2),1,0),IF($X10&lt;=20,1,0))</formula>
    </cfRule>
    <cfRule type="expression" priority="1393" dxfId="2">
      <formula>AND(IF($Q10=2,1,0),IF($X10&lt;30,1,0))</formula>
    </cfRule>
    <cfRule type="expression" priority="1394" dxfId="1">
      <formula>AND(IF($Q10=3,1,0),IF($X10&lt;30,1,0))</formula>
    </cfRule>
    <cfRule type="expression" priority="1395" dxfId="0">
      <formula>AND(IF($Q10=3,1,IF($Q10=4,1,0)),IF($F10&lt;=85,1,0))</formula>
    </cfRule>
  </conditionalFormatting>
  <conditionalFormatting sqref="AI10">
    <cfRule type="expression" priority="1388" dxfId="3">
      <formula>AND(IF(OR($Q10=1,$Q10=2),1,0),IF($X10&lt;=20,1,0))</formula>
    </cfRule>
    <cfRule type="expression" priority="1389" dxfId="2">
      <formula>AND(IF($Q10=2,1,0),IF($X10&lt;30,1,0))</formula>
    </cfRule>
    <cfRule type="expression" priority="1390" dxfId="1">
      <formula>AND(IF($Q10=3,1,0),IF($X10&lt;30,1,0))</formula>
    </cfRule>
    <cfRule type="expression" priority="1391" dxfId="0">
      <formula>AND(IF($Q10=3,1,IF($Q10=4,1,0)),IF($F10&lt;=85,1,0))</formula>
    </cfRule>
  </conditionalFormatting>
  <conditionalFormatting sqref="AV11">
    <cfRule type="expression" priority="1386" dxfId="17">
      <formula>AV11="X"</formula>
    </cfRule>
    <cfRule type="expression" priority="1387" dxfId="16">
      <formula>AV11="후보"</formula>
    </cfRule>
  </conditionalFormatting>
  <conditionalFormatting sqref="AC11 N11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AV12">
    <cfRule type="expression" priority="1381" dxfId="17">
      <formula>AV12="X"</formula>
    </cfRule>
    <cfRule type="expression" priority="1382" dxfId="16">
      <formula>AV12="후보"</formula>
    </cfRule>
  </conditionalFormatting>
  <conditionalFormatting sqref="AC1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1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X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I12">
    <cfRule type="expression" priority="1364" dxfId="3">
      <formula>AND(IF(OR($Q12=1,$Q12=2),1,0),IF($X12&lt;=20,1,0))</formula>
    </cfRule>
    <cfRule type="expression" priority="1365" dxfId="2">
      <formula>AND(IF($Q12=2,1,0),IF($X12&lt;30,1,0))</formula>
    </cfRule>
    <cfRule type="expression" priority="1366" dxfId="1">
      <formula>AND(IF($Q12=3,1,0),IF($X12&lt;30,1,0))</formula>
    </cfRule>
    <cfRule type="expression" priority="1367" dxfId="0">
      <formula>AND(IF($Q12=3,1,IF($Q12=4,1,0)),IF($F12&lt;=85,1,0))</formula>
    </cfRule>
  </conditionalFormatting>
  <conditionalFormatting sqref="AV13">
    <cfRule type="expression" priority="1362" dxfId="17">
      <formula>AV13="X"</formula>
    </cfRule>
    <cfRule type="expression" priority="1363" dxfId="16">
      <formula>AV13="후보"</formula>
    </cfRule>
  </conditionalFormatting>
  <conditionalFormatting sqref="AC1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N13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E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X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I13">
    <cfRule type="expression" priority="1345" dxfId="3">
      <formula>AND(IF(OR($Q13=1,$Q13=2),1,0),IF($X13&lt;=20,1,0))</formula>
    </cfRule>
    <cfRule type="expression" priority="1346" dxfId="2">
      <formula>AND(IF($Q13=2,1,0),IF($X13&lt;30,1,0))</formula>
    </cfRule>
    <cfRule type="expression" priority="1347" dxfId="1">
      <formula>AND(IF($Q13=3,1,0),IF($X13&lt;30,1,0))</formula>
    </cfRule>
    <cfRule type="expression" priority="1348" dxfId="0">
      <formula>AND(IF($Q13=3,1,IF($Q13=4,1,0)),IF($F13&lt;=85,1,0))</formula>
    </cfRule>
  </conditionalFormatting>
  <conditionalFormatting sqref="AV14">
    <cfRule type="expression" priority="1343" dxfId="17">
      <formula>AV14="X"</formula>
    </cfRule>
    <cfRule type="expression" priority="1344" dxfId="16">
      <formula>AV14="후보"</formula>
    </cfRule>
  </conditionalFormatting>
  <conditionalFormatting sqref="AC14 N14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AV15">
    <cfRule type="expression" priority="1338" dxfId="17">
      <formula>AV15="X"</formula>
    </cfRule>
    <cfRule type="expression" priority="1339" dxfId="16">
      <formula>AV15="후보"</formula>
    </cfRule>
  </conditionalFormatting>
  <conditionalFormatting sqref="AC1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5">
    <cfRule type="expression" priority="1329" dxfId="3">
      <formula>AND(IF(OR($Q15=1,$Q15=2),1,0),IF($X15&lt;=20,1,0))</formula>
    </cfRule>
    <cfRule type="expression" priority="1330" dxfId="2">
      <formula>AND(IF($Q15=2,1,0),IF($X15&lt;30,1,0))</formula>
    </cfRule>
    <cfRule type="expression" priority="1331" dxfId="1">
      <formula>AND(IF($Q15=3,1,0),IF($X15&lt;30,1,0))</formula>
    </cfRule>
    <cfRule type="expression" priority="1332" dxfId="0">
      <formula>AND(IF($Q15=3,1,IF($Q15=4,1,0)),IF($F15&lt;=85,1,0))</formula>
    </cfRule>
  </conditionalFormatting>
  <conditionalFormatting sqref="X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AI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V16">
    <cfRule type="expression" priority="1319" dxfId="17">
      <formula>AV16="X"</formula>
    </cfRule>
    <cfRule type="expression" priority="1320" dxfId="16">
      <formula>AV16="후보"</formula>
    </cfRule>
  </conditionalFormatting>
  <conditionalFormatting sqref="AC1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6">
    <cfRule type="expression" priority="1310" dxfId="3">
      <formula>AND(IF(OR($Q16=1,$Q16=2),1,0),IF($X16&lt;=20,1,0))</formula>
    </cfRule>
    <cfRule type="expression" priority="1311" dxfId="2">
      <formula>AND(IF($Q16=2,1,0),IF($X16&lt;30,1,0))</formula>
    </cfRule>
    <cfRule type="expression" priority="1312" dxfId="1">
      <formula>AND(IF($Q16=3,1,0),IF($X16&lt;30,1,0))</formula>
    </cfRule>
    <cfRule type="expression" priority="1313" dxfId="0">
      <formula>AND(IF($Q16=3,1,IF($Q16=4,1,0)),IF($F16&lt;=85,1,0))</formula>
    </cfRule>
  </conditionalFormatting>
  <conditionalFormatting sqref="X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AI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V17">
    <cfRule type="expression" priority="1300" dxfId="17">
      <formula>AV17="X"</formula>
    </cfRule>
    <cfRule type="expression" priority="1301" dxfId="16">
      <formula>AV17="후보"</formula>
    </cfRule>
  </conditionalFormatting>
  <conditionalFormatting sqref="AC1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X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I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V18">
    <cfRule type="expression" priority="1281" dxfId="17">
      <formula>AV18="X"</formula>
    </cfRule>
    <cfRule type="expression" priority="1282" dxfId="16">
      <formula>AV18="후보"</formula>
    </cfRule>
  </conditionalFormatting>
  <conditionalFormatting sqref="AC1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X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I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V19">
    <cfRule type="expression" priority="1262" dxfId="17">
      <formula>AV19="X"</formula>
    </cfRule>
    <cfRule type="expression" priority="1263" dxfId="16">
      <formula>AV19="후보"</formula>
    </cfRule>
  </conditionalFormatting>
  <conditionalFormatting sqref="AC19 N1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AV20">
    <cfRule type="expression" priority="1257" dxfId="17">
      <formula>AV20="X"</formula>
    </cfRule>
    <cfRule type="expression" priority="1258" dxfId="16">
      <formula>AV20="후보"</formula>
    </cfRule>
  </conditionalFormatting>
  <conditionalFormatting sqref="AC2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2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20">
    <cfRule type="expression" priority="1248" dxfId="3">
      <formula>AND(IF(OR($Q20=1,$Q20=2),1,0),IF($X20&lt;=20,1,0))</formula>
    </cfRule>
    <cfRule type="expression" priority="1249" dxfId="2">
      <formula>AND(IF($Q20=2,1,0),IF($X20&lt;30,1,0))</formula>
    </cfRule>
    <cfRule type="expression" priority="1250" dxfId="1">
      <formula>AND(IF($Q20=3,1,0),IF($X20&lt;30,1,0))</formula>
    </cfRule>
    <cfRule type="expression" priority="1251" dxfId="0">
      <formula>AND(IF($Q20=3,1,IF($Q20=4,1,0)),IF($F20&lt;=85,1,0))</formula>
    </cfRule>
  </conditionalFormatting>
  <conditionalFormatting sqref="X20">
    <cfRule type="expression" priority="1244" dxfId="3">
      <formula>AND(IF(OR($Q20=1,$Q20=2),1,0),IF($X20&lt;=20,1,0))</formula>
    </cfRule>
    <cfRule type="expression" priority="1245" dxfId="2">
      <formula>AND(IF($Q20=2,1,0),IF($X20&lt;30,1,0))</formula>
    </cfRule>
    <cfRule type="expression" priority="1246" dxfId="1">
      <formula>AND(IF($Q20=3,1,0),IF($X20&lt;30,1,0))</formula>
    </cfRule>
    <cfRule type="expression" priority="1247" dxfId="0">
      <formula>AND(IF($Q20=3,1,IF($Q20=4,1,0)),IF($F20&lt;=85,1,0))</formula>
    </cfRule>
  </conditionalFormatting>
  <conditionalFormatting sqref="AI20">
    <cfRule type="expression" priority="1240" dxfId="3">
      <formula>AND(IF(OR($Q20=1,$Q20=2),1,0),IF($X20&lt;=20,1,0))</formula>
    </cfRule>
    <cfRule type="expression" priority="1241" dxfId="2">
      <formula>AND(IF($Q20=2,1,0),IF($X20&lt;30,1,0))</formula>
    </cfRule>
    <cfRule type="expression" priority="1242" dxfId="1">
      <formula>AND(IF($Q20=3,1,0),IF($X20&lt;30,1,0))</formula>
    </cfRule>
    <cfRule type="expression" priority="1243" dxfId="0">
      <formula>AND(IF($Q20=3,1,IF($Q20=4,1,0)),IF($F20&lt;=85,1,0))</formula>
    </cfRule>
  </conditionalFormatting>
  <conditionalFormatting sqref="AV21">
    <cfRule type="expression" priority="1238" dxfId="17">
      <formula>AV21="X"</formula>
    </cfRule>
    <cfRule type="expression" priority="1239" dxfId="16">
      <formula>AV21="후보"</formula>
    </cfRule>
  </conditionalFormatting>
  <conditionalFormatting sqref="AC2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1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1">
    <cfRule type="expression" priority="1229" dxfId="3">
      <formula>AND(IF(OR($Q21=1,$Q21=2),1,0),IF($X21&lt;=20,1,0))</formula>
    </cfRule>
    <cfRule type="expression" priority="1230" dxfId="2">
      <formula>AND(IF($Q21=2,1,0),IF($X21&lt;30,1,0))</formula>
    </cfRule>
    <cfRule type="expression" priority="1231" dxfId="1">
      <formula>AND(IF($Q21=3,1,0),IF($X21&lt;30,1,0))</formula>
    </cfRule>
    <cfRule type="expression" priority="1232" dxfId="0">
      <formula>AND(IF($Q21=3,1,IF($Q21=4,1,0)),IF($F21&lt;=85,1,0))</formula>
    </cfRule>
  </conditionalFormatting>
  <conditionalFormatting sqref="X21">
    <cfRule type="expression" priority="1225" dxfId="3">
      <formula>AND(IF(OR($Q21=1,$Q21=2),1,0),IF($X21&lt;=20,1,0))</formula>
    </cfRule>
    <cfRule type="expression" priority="1226" dxfId="2">
      <formula>AND(IF($Q21=2,1,0),IF($X21&lt;30,1,0))</formula>
    </cfRule>
    <cfRule type="expression" priority="1227" dxfId="1">
      <formula>AND(IF($Q21=3,1,0),IF($X21&lt;30,1,0))</formula>
    </cfRule>
    <cfRule type="expression" priority="1228" dxfId="0">
      <formula>AND(IF($Q21=3,1,IF($Q21=4,1,0)),IF($F21&lt;=85,1,0))</formula>
    </cfRule>
  </conditionalFormatting>
  <conditionalFormatting sqref="AI21">
    <cfRule type="expression" priority="1221" dxfId="3">
      <formula>AND(IF(OR($Q21=1,$Q21=2),1,0),IF($X21&lt;=20,1,0))</formula>
    </cfRule>
    <cfRule type="expression" priority="1222" dxfId="2">
      <formula>AND(IF($Q21=2,1,0),IF($X21&lt;30,1,0))</formula>
    </cfRule>
    <cfRule type="expression" priority="1223" dxfId="1">
      <formula>AND(IF($Q21=3,1,0),IF($X21&lt;30,1,0))</formula>
    </cfRule>
    <cfRule type="expression" priority="1224" dxfId="0">
      <formula>AND(IF($Q21=3,1,IF($Q21=4,1,0)),IF($F21&lt;=85,1,0))</formula>
    </cfRule>
  </conditionalFormatting>
  <conditionalFormatting sqref="AV22">
    <cfRule type="expression" priority="1219" dxfId="17">
      <formula>AV22="X"</formula>
    </cfRule>
    <cfRule type="expression" priority="1220" dxfId="16">
      <formula>AV22="후보"</formula>
    </cfRule>
  </conditionalFormatting>
  <conditionalFormatting sqref="AC22 N2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AV23">
    <cfRule type="expression" priority="1214" dxfId="17">
      <formula>AV23="X"</formula>
    </cfRule>
    <cfRule type="expression" priority="1215" dxfId="16">
      <formula>AV23="후보"</formula>
    </cfRule>
  </conditionalFormatting>
  <conditionalFormatting sqref="AC2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2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23">
    <cfRule type="expression" priority="1205" dxfId="3">
      <formula>AND(IF(OR($Q23=1,$Q23=2),1,0),IF($X23&lt;=20,1,0))</formula>
    </cfRule>
    <cfRule type="expression" priority="1206" dxfId="2">
      <formula>AND(IF($Q23=2,1,0),IF($X23&lt;30,1,0))</formula>
    </cfRule>
    <cfRule type="expression" priority="1207" dxfId="1">
      <formula>AND(IF($Q23=3,1,0),IF($X23&lt;30,1,0))</formula>
    </cfRule>
    <cfRule type="expression" priority="1208" dxfId="0">
      <formula>AND(IF($Q23=3,1,IF($Q23=4,1,0)),IF($F23&lt;=85,1,0))</formula>
    </cfRule>
  </conditionalFormatting>
  <conditionalFormatting sqref="X23">
    <cfRule type="expression" priority="1201" dxfId="3">
      <formula>AND(IF(OR($Q23=1,$Q23=2),1,0),IF($X23&lt;=20,1,0))</formula>
    </cfRule>
    <cfRule type="expression" priority="1202" dxfId="2">
      <formula>AND(IF($Q23=2,1,0),IF($X23&lt;30,1,0))</formula>
    </cfRule>
    <cfRule type="expression" priority="1203" dxfId="1">
      <formula>AND(IF($Q23=3,1,0),IF($X23&lt;30,1,0))</formula>
    </cfRule>
    <cfRule type="expression" priority="1204" dxfId="0">
      <formula>AND(IF($Q23=3,1,IF($Q23=4,1,0)),IF($F23&lt;=85,1,0))</formula>
    </cfRule>
  </conditionalFormatting>
  <conditionalFormatting sqref="AI23">
    <cfRule type="expression" priority="1197" dxfId="3">
      <formula>AND(IF(OR($Q23=1,$Q23=2),1,0),IF($X23&lt;=20,1,0))</formula>
    </cfRule>
    <cfRule type="expression" priority="1198" dxfId="2">
      <formula>AND(IF($Q23=2,1,0),IF($X23&lt;30,1,0))</formula>
    </cfRule>
    <cfRule type="expression" priority="1199" dxfId="1">
      <formula>AND(IF($Q23=3,1,0),IF($X23&lt;30,1,0))</formula>
    </cfRule>
    <cfRule type="expression" priority="1200" dxfId="0">
      <formula>AND(IF($Q23=3,1,IF($Q23=4,1,0)),IF($F23&lt;=85,1,0))</formula>
    </cfRule>
  </conditionalFormatting>
  <conditionalFormatting sqref="AV24">
    <cfRule type="expression" priority="1195" dxfId="17">
      <formula>AV24="X"</formula>
    </cfRule>
    <cfRule type="expression" priority="1196" dxfId="16">
      <formula>AV24="후보"</formula>
    </cfRule>
  </conditionalFormatting>
  <conditionalFormatting sqref="AC2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2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24">
    <cfRule type="expression" priority="1186" dxfId="3">
      <formula>AND(IF(OR($Q24=1,$Q24=2),1,0),IF($X24&lt;=20,1,0))</formula>
    </cfRule>
    <cfRule type="expression" priority="1187" dxfId="2">
      <formula>AND(IF($Q24=2,1,0),IF($X24&lt;30,1,0))</formula>
    </cfRule>
    <cfRule type="expression" priority="1188" dxfId="1">
      <formula>AND(IF($Q24=3,1,0),IF($X24&lt;30,1,0))</formula>
    </cfRule>
    <cfRule type="expression" priority="1189" dxfId="0">
      <formula>AND(IF($Q24=3,1,IF($Q24=4,1,0)),IF($F24&lt;=85,1,0))</formula>
    </cfRule>
  </conditionalFormatting>
  <conditionalFormatting sqref="X24">
    <cfRule type="expression" priority="1182" dxfId="3">
      <formula>AND(IF(OR($Q24=1,$Q24=2),1,0),IF($X24&lt;=20,1,0))</formula>
    </cfRule>
    <cfRule type="expression" priority="1183" dxfId="2">
      <formula>AND(IF($Q24=2,1,0),IF($X24&lt;30,1,0))</formula>
    </cfRule>
    <cfRule type="expression" priority="1184" dxfId="1">
      <formula>AND(IF($Q24=3,1,0),IF($X24&lt;30,1,0))</formula>
    </cfRule>
    <cfRule type="expression" priority="1185" dxfId="0">
      <formula>AND(IF($Q24=3,1,IF($Q24=4,1,0)),IF($F24&lt;=85,1,0))</formula>
    </cfRule>
  </conditionalFormatting>
  <conditionalFormatting sqref="AI24">
    <cfRule type="expression" priority="1178" dxfId="3">
      <formula>AND(IF(OR($Q24=1,$Q24=2),1,0),IF($X24&lt;=20,1,0))</formula>
    </cfRule>
    <cfRule type="expression" priority="1179" dxfId="2">
      <formula>AND(IF($Q24=2,1,0),IF($X24&lt;30,1,0))</formula>
    </cfRule>
    <cfRule type="expression" priority="1180" dxfId="1">
      <formula>AND(IF($Q24=3,1,0),IF($X24&lt;30,1,0))</formula>
    </cfRule>
    <cfRule type="expression" priority="1181" dxfId="0">
      <formula>AND(IF($Q24=3,1,IF($Q24=4,1,0)),IF($F24&lt;=85,1,0))</formula>
    </cfRule>
  </conditionalFormatting>
  <conditionalFormatting sqref="AV25">
    <cfRule type="expression" priority="1176" dxfId="17">
      <formula>AV25="X"</formula>
    </cfRule>
    <cfRule type="expression" priority="1177" dxfId="16">
      <formula>AV25="후보"</formula>
    </cfRule>
  </conditionalFormatting>
  <conditionalFormatting sqref="AC2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2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25">
    <cfRule type="expression" priority="1167" dxfId="3">
      <formula>AND(IF(OR($Q25=1,$Q25=2),1,0),IF($X25&lt;=20,1,0))</formula>
    </cfRule>
    <cfRule type="expression" priority="1168" dxfId="2">
      <formula>AND(IF($Q25=2,1,0),IF($X25&lt;30,1,0))</formula>
    </cfRule>
    <cfRule type="expression" priority="1169" dxfId="1">
      <formula>AND(IF($Q25=3,1,0),IF($X25&lt;30,1,0))</formula>
    </cfRule>
    <cfRule type="expression" priority="1170" dxfId="0">
      <formula>AND(IF($Q25=3,1,IF($Q25=4,1,0)),IF($F25&lt;=85,1,0))</formula>
    </cfRule>
  </conditionalFormatting>
  <conditionalFormatting sqref="X25">
    <cfRule type="expression" priority="1163" dxfId="3">
      <formula>AND(IF(OR($Q25=1,$Q25=2),1,0),IF($X25&lt;=20,1,0))</formula>
    </cfRule>
    <cfRule type="expression" priority="1164" dxfId="2">
      <formula>AND(IF($Q25=2,1,0),IF($X25&lt;30,1,0))</formula>
    </cfRule>
    <cfRule type="expression" priority="1165" dxfId="1">
      <formula>AND(IF($Q25=3,1,0),IF($X25&lt;30,1,0))</formula>
    </cfRule>
    <cfRule type="expression" priority="1166" dxfId="0">
      <formula>AND(IF($Q25=3,1,IF($Q25=4,1,0)),IF($F25&lt;=85,1,0))</formula>
    </cfRule>
  </conditionalFormatting>
  <conditionalFormatting sqref="AI25">
    <cfRule type="expression" priority="1159" dxfId="3">
      <formula>AND(IF(OR($Q25=1,$Q25=2),1,0),IF($X25&lt;=20,1,0))</formula>
    </cfRule>
    <cfRule type="expression" priority="1160" dxfId="2">
      <formula>AND(IF($Q25=2,1,0),IF($X25&lt;30,1,0))</formula>
    </cfRule>
    <cfRule type="expression" priority="1161" dxfId="1">
      <formula>AND(IF($Q25=3,1,0),IF($X25&lt;30,1,0))</formula>
    </cfRule>
    <cfRule type="expression" priority="1162" dxfId="0">
      <formula>AND(IF($Q25=3,1,IF($Q25=4,1,0)),IF($F25&lt;=85,1,0))</formula>
    </cfRule>
  </conditionalFormatting>
  <conditionalFormatting sqref="AV26">
    <cfRule type="expression" priority="1157" dxfId="17">
      <formula>AV26="X"</formula>
    </cfRule>
    <cfRule type="expression" priority="1158" dxfId="16">
      <formula>AV26="후보"</formula>
    </cfRule>
  </conditionalFormatting>
  <conditionalFormatting sqref="AC2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2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26">
    <cfRule type="expression" priority="1148" dxfId="3">
      <formula>AND(IF(OR($Q26=1,$Q26=2),1,0),IF($X26&lt;=20,1,0))</formula>
    </cfRule>
    <cfRule type="expression" priority="1149" dxfId="2">
      <formula>AND(IF($Q26=2,1,0),IF($X26&lt;30,1,0))</formula>
    </cfRule>
    <cfRule type="expression" priority="1150" dxfId="1">
      <formula>AND(IF($Q26=3,1,0),IF($X26&lt;30,1,0))</formula>
    </cfRule>
    <cfRule type="expression" priority="1151" dxfId="0">
      <formula>AND(IF($Q26=3,1,IF($Q26=4,1,0)),IF($F26&lt;=85,1,0))</formula>
    </cfRule>
  </conditionalFormatting>
  <conditionalFormatting sqref="X26">
    <cfRule type="expression" priority="1144" dxfId="3">
      <formula>AND(IF(OR($Q26=1,$Q26=2),1,0),IF($X26&lt;=20,1,0))</formula>
    </cfRule>
    <cfRule type="expression" priority="1145" dxfId="2">
      <formula>AND(IF($Q26=2,1,0),IF($X26&lt;30,1,0))</formula>
    </cfRule>
    <cfRule type="expression" priority="1146" dxfId="1">
      <formula>AND(IF($Q26=3,1,0),IF($X26&lt;30,1,0))</formula>
    </cfRule>
    <cfRule type="expression" priority="1147" dxfId="0">
      <formula>AND(IF($Q26=3,1,IF($Q26=4,1,0)),IF($F26&lt;=85,1,0))</formula>
    </cfRule>
  </conditionalFormatting>
  <conditionalFormatting sqref="AI26">
    <cfRule type="expression" priority="1140" dxfId="3">
      <formula>AND(IF(OR($Q26=1,$Q26=2),1,0),IF($X26&lt;=20,1,0))</formula>
    </cfRule>
    <cfRule type="expression" priority="1141" dxfId="2">
      <formula>AND(IF($Q26=2,1,0),IF($X26&lt;30,1,0))</formula>
    </cfRule>
    <cfRule type="expression" priority="1142" dxfId="1">
      <formula>AND(IF($Q26=3,1,0),IF($X26&lt;30,1,0))</formula>
    </cfRule>
    <cfRule type="expression" priority="1143" dxfId="0">
      <formula>AND(IF($Q26=3,1,IF($Q26=4,1,0)),IF($F26&lt;=85,1,0))</formula>
    </cfRule>
  </conditionalFormatting>
  <conditionalFormatting sqref="AV27">
    <cfRule type="expression" priority="1138" dxfId="17">
      <formula>AV27="X"</formula>
    </cfRule>
    <cfRule type="expression" priority="1139" dxfId="16">
      <formula>AV27="후보"</formula>
    </cfRule>
  </conditionalFormatting>
  <conditionalFormatting sqref="AC2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2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27">
    <cfRule type="expression" priority="1129" dxfId="3">
      <formula>AND(IF(OR($Q27=1,$Q27=2),1,0),IF($X27&lt;=20,1,0))</formula>
    </cfRule>
    <cfRule type="expression" priority="1130" dxfId="2">
      <formula>AND(IF($Q27=2,1,0),IF($X27&lt;30,1,0))</formula>
    </cfRule>
    <cfRule type="expression" priority="1131" dxfId="1">
      <formula>AND(IF($Q27=3,1,0),IF($X27&lt;30,1,0))</formula>
    </cfRule>
    <cfRule type="expression" priority="1132" dxfId="0">
      <formula>AND(IF($Q27=3,1,IF($Q27=4,1,0)),IF($F27&lt;=85,1,0))</formula>
    </cfRule>
  </conditionalFormatting>
  <conditionalFormatting sqref="X27">
    <cfRule type="expression" priority="1125" dxfId="3">
      <formula>AND(IF(OR($Q27=1,$Q27=2),1,0),IF($X27&lt;=20,1,0))</formula>
    </cfRule>
    <cfRule type="expression" priority="1126" dxfId="2">
      <formula>AND(IF($Q27=2,1,0),IF($X27&lt;30,1,0))</formula>
    </cfRule>
    <cfRule type="expression" priority="1127" dxfId="1">
      <formula>AND(IF($Q27=3,1,0),IF($X27&lt;30,1,0))</formula>
    </cfRule>
    <cfRule type="expression" priority="1128" dxfId="0">
      <formula>AND(IF($Q27=3,1,IF($Q27=4,1,0)),IF($F27&lt;=85,1,0))</formula>
    </cfRule>
  </conditionalFormatting>
  <conditionalFormatting sqref="AI27">
    <cfRule type="expression" priority="1121" dxfId="3">
      <formula>AND(IF(OR($Q27=1,$Q27=2),1,0),IF($X27&lt;=20,1,0))</formula>
    </cfRule>
    <cfRule type="expression" priority="1122" dxfId="2">
      <formula>AND(IF($Q27=2,1,0),IF($X27&lt;30,1,0))</formula>
    </cfRule>
    <cfRule type="expression" priority="1123" dxfId="1">
      <formula>AND(IF($Q27=3,1,0),IF($X27&lt;30,1,0))</formula>
    </cfRule>
    <cfRule type="expression" priority="1124" dxfId="0">
      <formula>AND(IF($Q27=3,1,IF($Q27=4,1,0)),IF($F27&lt;=85,1,0))</formula>
    </cfRule>
  </conditionalFormatting>
  <conditionalFormatting sqref="AV28">
    <cfRule type="expression" priority="1119" dxfId="17">
      <formula>AV28="X"</formula>
    </cfRule>
    <cfRule type="expression" priority="1120" dxfId="16">
      <formula>AV28="후보"</formula>
    </cfRule>
  </conditionalFormatting>
  <conditionalFormatting sqref="AC28 N2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AV29">
    <cfRule type="expression" priority="1114" dxfId="17">
      <formula>AV29="X"</formula>
    </cfRule>
    <cfRule type="expression" priority="1115" dxfId="16">
      <formula>AV29="후보"</formula>
    </cfRule>
  </conditionalFormatting>
  <conditionalFormatting sqref="AC2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2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29">
    <cfRule type="expression" priority="1105" dxfId="3">
      <formula>AND(IF(OR($Q29=1,$Q29=2),1,0),IF($X29&lt;=20,1,0))</formula>
    </cfRule>
    <cfRule type="expression" priority="1106" dxfId="2">
      <formula>AND(IF($Q29=2,1,0),IF($X29&lt;30,1,0))</formula>
    </cfRule>
    <cfRule type="expression" priority="1107" dxfId="1">
      <formula>AND(IF($Q29=3,1,0),IF($X29&lt;30,1,0))</formula>
    </cfRule>
    <cfRule type="expression" priority="1108" dxfId="0">
      <formula>AND(IF($Q29=3,1,IF($Q29=4,1,0)),IF($F29&lt;=85,1,0))</formula>
    </cfRule>
  </conditionalFormatting>
  <conditionalFormatting sqref="X29">
    <cfRule type="expression" priority="1101" dxfId="3">
      <formula>AND(IF(OR($Q29=1,$Q29=2),1,0),IF($X29&lt;=20,1,0))</formula>
    </cfRule>
    <cfRule type="expression" priority="1102" dxfId="2">
      <formula>AND(IF($Q29=2,1,0),IF($X29&lt;30,1,0))</formula>
    </cfRule>
    <cfRule type="expression" priority="1103" dxfId="1">
      <formula>AND(IF($Q29=3,1,0),IF($X29&lt;30,1,0))</formula>
    </cfRule>
    <cfRule type="expression" priority="1104" dxfId="0">
      <formula>AND(IF($Q29=3,1,IF($Q29=4,1,0)),IF($F29&lt;=85,1,0))</formula>
    </cfRule>
  </conditionalFormatting>
  <conditionalFormatting sqref="AI29">
    <cfRule type="expression" priority="1097" dxfId="3">
      <formula>AND(IF(OR($Q29=1,$Q29=2),1,0),IF($X29&lt;=20,1,0))</formula>
    </cfRule>
    <cfRule type="expression" priority="1098" dxfId="2">
      <formula>AND(IF($Q29=2,1,0),IF($X29&lt;30,1,0))</formula>
    </cfRule>
    <cfRule type="expression" priority="1099" dxfId="1">
      <formula>AND(IF($Q29=3,1,0),IF($X29&lt;30,1,0))</formula>
    </cfRule>
    <cfRule type="expression" priority="1100" dxfId="0">
      <formula>AND(IF($Q29=3,1,IF($Q29=4,1,0)),IF($F29&lt;=85,1,0))</formula>
    </cfRule>
  </conditionalFormatting>
  <conditionalFormatting sqref="AV30">
    <cfRule type="expression" priority="1095" dxfId="17">
      <formula>AV30="X"</formula>
    </cfRule>
    <cfRule type="expression" priority="1096" dxfId="16">
      <formula>AV30="후보"</formula>
    </cfRule>
  </conditionalFormatting>
  <conditionalFormatting sqref="AC3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3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30">
    <cfRule type="expression" priority="1086" dxfId="3">
      <formula>AND(IF(OR($Q30=1,$Q30=2),1,0),IF($X30&lt;=20,1,0))</formula>
    </cfRule>
    <cfRule type="expression" priority="1087" dxfId="2">
      <formula>AND(IF($Q30=2,1,0),IF($X30&lt;30,1,0))</formula>
    </cfRule>
    <cfRule type="expression" priority="1088" dxfId="1">
      <formula>AND(IF($Q30=3,1,0),IF($X30&lt;30,1,0))</formula>
    </cfRule>
    <cfRule type="expression" priority="1089" dxfId="0">
      <formula>AND(IF($Q30=3,1,IF($Q30=4,1,0)),IF($F30&lt;=85,1,0))</formula>
    </cfRule>
  </conditionalFormatting>
  <conditionalFormatting sqref="X30">
    <cfRule type="expression" priority="1082" dxfId="3">
      <formula>AND(IF(OR($Q30=1,$Q30=2),1,0),IF($X30&lt;=20,1,0))</formula>
    </cfRule>
    <cfRule type="expression" priority="1083" dxfId="2">
      <formula>AND(IF($Q30=2,1,0),IF($X30&lt;30,1,0))</formula>
    </cfRule>
    <cfRule type="expression" priority="1084" dxfId="1">
      <formula>AND(IF($Q30=3,1,0),IF($X30&lt;30,1,0))</formula>
    </cfRule>
    <cfRule type="expression" priority="1085" dxfId="0">
      <formula>AND(IF($Q30=3,1,IF($Q30=4,1,0)),IF($F30&lt;=85,1,0))</formula>
    </cfRule>
  </conditionalFormatting>
  <conditionalFormatting sqref="AI30">
    <cfRule type="expression" priority="1078" dxfId="3">
      <formula>AND(IF(OR($Q30=1,$Q30=2),1,0),IF($X30&lt;=20,1,0))</formula>
    </cfRule>
    <cfRule type="expression" priority="1079" dxfId="2">
      <formula>AND(IF($Q30=2,1,0),IF($X30&lt;30,1,0))</formula>
    </cfRule>
    <cfRule type="expression" priority="1080" dxfId="1">
      <formula>AND(IF($Q30=3,1,0),IF($X30&lt;30,1,0))</formula>
    </cfRule>
    <cfRule type="expression" priority="1081" dxfId="0">
      <formula>AND(IF($Q30=3,1,IF($Q30=4,1,0)),IF($F30&lt;=85,1,0))</formula>
    </cfRule>
  </conditionalFormatting>
  <conditionalFormatting sqref="AV31">
    <cfRule type="expression" priority="1076" dxfId="17">
      <formula>AV31="X"</formula>
    </cfRule>
    <cfRule type="expression" priority="1077" dxfId="16">
      <formula>AV31="후보"</formula>
    </cfRule>
  </conditionalFormatting>
  <conditionalFormatting sqref="AC31 N3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32">
    <cfRule type="expression" priority="1071" dxfId="17">
      <formula>AV32="X"</formula>
    </cfRule>
    <cfRule type="expression" priority="1072" dxfId="16">
      <formula>AV32="후보"</formula>
    </cfRule>
  </conditionalFormatting>
  <conditionalFormatting sqref="AC32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32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32">
    <cfRule type="expression" priority="1062" dxfId="3">
      <formula>AND(IF(OR($Q32=1,$Q32=2),1,0),IF($X32&lt;=20,1,0))</formula>
    </cfRule>
    <cfRule type="expression" priority="1063" dxfId="2">
      <formula>AND(IF($Q32=2,1,0),IF($X32&lt;30,1,0))</formula>
    </cfRule>
    <cfRule type="expression" priority="1064" dxfId="1">
      <formula>AND(IF($Q32=3,1,0),IF($X32&lt;30,1,0))</formula>
    </cfRule>
    <cfRule type="expression" priority="1065" dxfId="0">
      <formula>AND(IF($Q32=3,1,IF($Q32=4,1,0)),IF($F32&lt;=85,1,0))</formula>
    </cfRule>
  </conditionalFormatting>
  <conditionalFormatting sqref="X32">
    <cfRule type="expression" priority="1058" dxfId="3">
      <formula>AND(IF(OR($Q32=1,$Q32=2),1,0),IF($X32&lt;=20,1,0))</formula>
    </cfRule>
    <cfRule type="expression" priority="1059" dxfId="2">
      <formula>AND(IF($Q32=2,1,0),IF($X32&lt;30,1,0))</formula>
    </cfRule>
    <cfRule type="expression" priority="1060" dxfId="1">
      <formula>AND(IF($Q32=3,1,0),IF($X32&lt;30,1,0))</formula>
    </cfRule>
    <cfRule type="expression" priority="1061" dxfId="0">
      <formula>AND(IF($Q32=3,1,IF($Q32=4,1,0)),IF($F32&lt;=85,1,0))</formula>
    </cfRule>
  </conditionalFormatting>
  <conditionalFormatting sqref="AI32">
    <cfRule type="expression" priority="1054" dxfId="3">
      <formula>AND(IF(OR($Q32=1,$Q32=2),1,0),IF($X32&lt;=20,1,0))</formula>
    </cfRule>
    <cfRule type="expression" priority="1055" dxfId="2">
      <formula>AND(IF($Q32=2,1,0),IF($X32&lt;30,1,0))</formula>
    </cfRule>
    <cfRule type="expression" priority="1056" dxfId="1">
      <formula>AND(IF($Q32=3,1,0),IF($X32&lt;30,1,0))</formula>
    </cfRule>
    <cfRule type="expression" priority="1057" dxfId="0">
      <formula>AND(IF($Q32=3,1,IF($Q32=4,1,0)),IF($F32&lt;=85,1,0))</formula>
    </cfRule>
  </conditionalFormatting>
  <conditionalFormatting sqref="AV33">
    <cfRule type="expression" priority="1052" dxfId="17">
      <formula>AV33="X"</formula>
    </cfRule>
    <cfRule type="expression" priority="1053" dxfId="16">
      <formula>AV33="후보"</formula>
    </cfRule>
  </conditionalFormatting>
  <conditionalFormatting sqref="AC33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N33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E33">
    <cfRule type="expression" priority="1043" dxfId="3">
      <formula>AND(IF(OR($Q33=1,$Q33=2),1,0),IF($X33&lt;=20,1,0))</formula>
    </cfRule>
    <cfRule type="expression" priority="1044" dxfId="2">
      <formula>AND(IF($Q33=2,1,0),IF($X33&lt;30,1,0))</formula>
    </cfRule>
    <cfRule type="expression" priority="1045" dxfId="1">
      <formula>AND(IF($Q33=3,1,0),IF($X33&lt;30,1,0))</formula>
    </cfRule>
    <cfRule type="expression" priority="1046" dxfId="0">
      <formula>AND(IF($Q33=3,1,IF($Q33=4,1,0)),IF($F33&lt;=85,1,0))</formula>
    </cfRule>
  </conditionalFormatting>
  <conditionalFormatting sqref="X33">
    <cfRule type="expression" priority="1039" dxfId="3">
      <formula>AND(IF(OR($Q33=1,$Q33=2),1,0),IF($X33&lt;=20,1,0))</formula>
    </cfRule>
    <cfRule type="expression" priority="1040" dxfId="2">
      <formula>AND(IF($Q33=2,1,0),IF($X33&lt;30,1,0))</formula>
    </cfRule>
    <cfRule type="expression" priority="1041" dxfId="1">
      <formula>AND(IF($Q33=3,1,0),IF($X33&lt;30,1,0))</formula>
    </cfRule>
    <cfRule type="expression" priority="1042" dxfId="0">
      <formula>AND(IF($Q33=3,1,IF($Q33=4,1,0)),IF($F33&lt;=85,1,0))</formula>
    </cfRule>
  </conditionalFormatting>
  <conditionalFormatting sqref="AI33">
    <cfRule type="expression" priority="1035" dxfId="3">
      <formula>AND(IF(OR($Q33=1,$Q33=2),1,0),IF($X33&lt;=20,1,0))</formula>
    </cfRule>
    <cfRule type="expression" priority="1036" dxfId="2">
      <formula>AND(IF($Q33=2,1,0),IF($X33&lt;30,1,0))</formula>
    </cfRule>
    <cfRule type="expression" priority="1037" dxfId="1">
      <formula>AND(IF($Q33=3,1,0),IF($X33&lt;30,1,0))</formula>
    </cfRule>
    <cfRule type="expression" priority="1038" dxfId="0">
      <formula>AND(IF($Q33=3,1,IF($Q33=4,1,0)),IF($F33&lt;=85,1,0))</formula>
    </cfRule>
  </conditionalFormatting>
  <conditionalFormatting sqref="AV34">
    <cfRule type="expression" priority="1033" dxfId="17">
      <formula>AV34="X"</formula>
    </cfRule>
    <cfRule type="expression" priority="1034" dxfId="16">
      <formula>AV34="후보"</formula>
    </cfRule>
  </conditionalFormatting>
  <conditionalFormatting sqref="AC34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N34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E34">
    <cfRule type="expression" priority="1024" dxfId="3">
      <formula>AND(IF(OR($Q34=1,$Q34=2),1,0),IF($X34&lt;=20,1,0))</formula>
    </cfRule>
    <cfRule type="expression" priority="1025" dxfId="2">
      <formula>AND(IF($Q34=2,1,0),IF($X34&lt;30,1,0))</formula>
    </cfRule>
    <cfRule type="expression" priority="1026" dxfId="1">
      <formula>AND(IF($Q34=3,1,0),IF($X34&lt;30,1,0))</formula>
    </cfRule>
    <cfRule type="expression" priority="1027" dxfId="0">
      <formula>AND(IF($Q34=3,1,IF($Q34=4,1,0)),IF($F34&lt;=85,1,0))</formula>
    </cfRule>
  </conditionalFormatting>
  <conditionalFormatting sqref="X34">
    <cfRule type="expression" priority="1020" dxfId="3">
      <formula>AND(IF(OR($Q34=1,$Q34=2),1,0),IF($X34&lt;=20,1,0))</formula>
    </cfRule>
    <cfRule type="expression" priority="1021" dxfId="2">
      <formula>AND(IF($Q34=2,1,0),IF($X34&lt;30,1,0))</formula>
    </cfRule>
    <cfRule type="expression" priority="1022" dxfId="1">
      <formula>AND(IF($Q34=3,1,0),IF($X34&lt;30,1,0))</formula>
    </cfRule>
    <cfRule type="expression" priority="1023" dxfId="0">
      <formula>AND(IF($Q34=3,1,IF($Q34=4,1,0)),IF($F34&lt;=85,1,0))</formula>
    </cfRule>
  </conditionalFormatting>
  <conditionalFormatting sqref="AI34">
    <cfRule type="expression" priority="1016" dxfId="3">
      <formula>AND(IF(OR($Q34=1,$Q34=2),1,0),IF($X34&lt;=20,1,0))</formula>
    </cfRule>
    <cfRule type="expression" priority="1017" dxfId="2">
      <formula>AND(IF($Q34=2,1,0),IF($X34&lt;30,1,0))</formula>
    </cfRule>
    <cfRule type="expression" priority="1018" dxfId="1">
      <formula>AND(IF($Q34=3,1,0),IF($X34&lt;30,1,0))</formula>
    </cfRule>
    <cfRule type="expression" priority="1019" dxfId="0">
      <formula>AND(IF($Q34=3,1,IF($Q34=4,1,0)),IF($F34&lt;=85,1,0))</formula>
    </cfRule>
  </conditionalFormatting>
  <conditionalFormatting sqref="AV35">
    <cfRule type="expression" priority="1014" dxfId="17">
      <formula>AV35="X"</formula>
    </cfRule>
    <cfRule type="expression" priority="1015" dxfId="16">
      <formula>AV35="후보"</formula>
    </cfRule>
  </conditionalFormatting>
  <conditionalFormatting sqref="AC35 N3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AV36">
    <cfRule type="expression" priority="1009" dxfId="17">
      <formula>AV36="X"</formula>
    </cfRule>
    <cfRule type="expression" priority="1010" dxfId="16">
      <formula>AV36="후보"</formula>
    </cfRule>
  </conditionalFormatting>
  <conditionalFormatting sqref="AC36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36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36">
    <cfRule type="expression" priority="1000" dxfId="3">
      <formula>AND(IF(OR($Q36=1,$Q36=2),1,0),IF($X36&lt;=20,1,0))</formula>
    </cfRule>
    <cfRule type="expression" priority="1001" dxfId="2">
      <formula>AND(IF($Q36=2,1,0),IF($X36&lt;30,1,0))</formula>
    </cfRule>
    <cfRule type="expression" priority="1002" dxfId="1">
      <formula>AND(IF($Q36=3,1,0),IF($X36&lt;30,1,0))</formula>
    </cfRule>
    <cfRule type="expression" priority="1003" dxfId="0">
      <formula>AND(IF($Q36=3,1,IF($Q36=4,1,0)),IF($F36&lt;=85,1,0))</formula>
    </cfRule>
  </conditionalFormatting>
  <conditionalFormatting sqref="X36">
    <cfRule type="expression" priority="996" dxfId="3">
      <formula>AND(IF(OR($Q36=1,$Q36=2),1,0),IF($X36&lt;=20,1,0))</formula>
    </cfRule>
    <cfRule type="expression" priority="997" dxfId="2">
      <formula>AND(IF($Q36=2,1,0),IF($X36&lt;30,1,0))</formula>
    </cfRule>
    <cfRule type="expression" priority="998" dxfId="1">
      <formula>AND(IF($Q36=3,1,0),IF($X36&lt;30,1,0))</formula>
    </cfRule>
    <cfRule type="expression" priority="999" dxfId="0">
      <formula>AND(IF($Q36=3,1,IF($Q36=4,1,0)),IF($F36&lt;=85,1,0))</formula>
    </cfRule>
  </conditionalFormatting>
  <conditionalFormatting sqref="AI36">
    <cfRule type="expression" priority="992" dxfId="3">
      <formula>AND(IF(OR($Q36=1,$Q36=2),1,0),IF($X36&lt;=20,1,0))</formula>
    </cfRule>
    <cfRule type="expression" priority="993" dxfId="2">
      <formula>AND(IF($Q36=2,1,0),IF($X36&lt;30,1,0))</formula>
    </cfRule>
    <cfRule type="expression" priority="994" dxfId="1">
      <formula>AND(IF($Q36=3,1,0),IF($X36&lt;30,1,0))</formula>
    </cfRule>
    <cfRule type="expression" priority="995" dxfId="0">
      <formula>AND(IF($Q36=3,1,IF($Q36=4,1,0)),IF($F36&lt;=85,1,0))</formula>
    </cfRule>
  </conditionalFormatting>
  <conditionalFormatting sqref="AV37">
    <cfRule type="expression" priority="990" dxfId="17">
      <formula>AV37="X"</formula>
    </cfRule>
    <cfRule type="expression" priority="991" dxfId="16">
      <formula>AV37="후보"</formula>
    </cfRule>
  </conditionalFormatting>
  <conditionalFormatting sqref="AC3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7">
    <cfRule type="expression" priority="981" dxfId="3">
      <formula>AND(IF(OR($Q37=1,$Q37=2),1,0),IF($X37&lt;=20,1,0))</formula>
    </cfRule>
    <cfRule type="expression" priority="982" dxfId="2">
      <formula>AND(IF($Q37=2,1,0),IF($X37&lt;30,1,0))</formula>
    </cfRule>
    <cfRule type="expression" priority="983" dxfId="1">
      <formula>AND(IF($Q37=3,1,0),IF($X37&lt;30,1,0))</formula>
    </cfRule>
    <cfRule type="expression" priority="984" dxfId="0">
      <formula>AND(IF($Q37=3,1,IF($Q37=4,1,0)),IF($F37&lt;=85,1,0))</formula>
    </cfRule>
  </conditionalFormatting>
  <conditionalFormatting sqref="X37">
    <cfRule type="expression" priority="977" dxfId="3">
      <formula>AND(IF(OR($Q37=1,$Q37=2),1,0),IF($X37&lt;=20,1,0))</formula>
    </cfRule>
    <cfRule type="expression" priority="978" dxfId="2">
      <formula>AND(IF($Q37=2,1,0),IF($X37&lt;30,1,0))</formula>
    </cfRule>
    <cfRule type="expression" priority="979" dxfId="1">
      <formula>AND(IF($Q37=3,1,0),IF($X37&lt;30,1,0))</formula>
    </cfRule>
    <cfRule type="expression" priority="980" dxfId="0">
      <formula>AND(IF($Q37=3,1,IF($Q37=4,1,0)),IF($F37&lt;=85,1,0))</formula>
    </cfRule>
  </conditionalFormatting>
  <conditionalFormatting sqref="AI37">
    <cfRule type="expression" priority="973" dxfId="3">
      <formula>AND(IF(OR($Q37=1,$Q37=2),1,0),IF($X37&lt;=20,1,0))</formula>
    </cfRule>
    <cfRule type="expression" priority="974" dxfId="2">
      <formula>AND(IF($Q37=2,1,0),IF($X37&lt;30,1,0))</formula>
    </cfRule>
    <cfRule type="expression" priority="975" dxfId="1">
      <formula>AND(IF($Q37=3,1,0),IF($X37&lt;30,1,0))</formula>
    </cfRule>
    <cfRule type="expression" priority="976" dxfId="0">
      <formula>AND(IF($Q37=3,1,IF($Q37=4,1,0)),IF($F37&lt;=85,1,0))</formula>
    </cfRule>
  </conditionalFormatting>
  <conditionalFormatting sqref="AV38">
    <cfRule type="expression" priority="971" dxfId="17">
      <formula>AV38="X"</formula>
    </cfRule>
    <cfRule type="expression" priority="972" dxfId="16">
      <formula>AV38="후보"</formula>
    </cfRule>
  </conditionalFormatting>
  <conditionalFormatting sqref="AC3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3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38">
    <cfRule type="expression" priority="962" dxfId="3">
      <formula>AND(IF(OR($Q38=1,$Q38=2),1,0),IF($X38&lt;=20,1,0))</formula>
    </cfRule>
    <cfRule type="expression" priority="963" dxfId="2">
      <formula>AND(IF($Q38=2,1,0),IF($X38&lt;30,1,0))</formula>
    </cfRule>
    <cfRule type="expression" priority="964" dxfId="1">
      <formula>AND(IF($Q38=3,1,0),IF($X38&lt;30,1,0))</formula>
    </cfRule>
    <cfRule type="expression" priority="965" dxfId="0">
      <formula>AND(IF($Q38=3,1,IF($Q38=4,1,0)),IF($F38&lt;=85,1,0))</formula>
    </cfRule>
  </conditionalFormatting>
  <conditionalFormatting sqref="X38">
    <cfRule type="expression" priority="958" dxfId="3">
      <formula>AND(IF(OR($Q38=1,$Q38=2),1,0),IF($X38&lt;=20,1,0))</formula>
    </cfRule>
    <cfRule type="expression" priority="959" dxfId="2">
      <formula>AND(IF($Q38=2,1,0),IF($X38&lt;30,1,0))</formula>
    </cfRule>
    <cfRule type="expression" priority="960" dxfId="1">
      <formula>AND(IF($Q38=3,1,0),IF($X38&lt;30,1,0))</formula>
    </cfRule>
    <cfRule type="expression" priority="961" dxfId="0">
      <formula>AND(IF($Q38=3,1,IF($Q38=4,1,0)),IF($F38&lt;=85,1,0))</formula>
    </cfRule>
  </conditionalFormatting>
  <conditionalFormatting sqref="AI38">
    <cfRule type="expression" priority="954" dxfId="3">
      <formula>AND(IF(OR($Q38=1,$Q38=2),1,0),IF($X38&lt;=20,1,0))</formula>
    </cfRule>
    <cfRule type="expression" priority="955" dxfId="2">
      <formula>AND(IF($Q38=2,1,0),IF($X38&lt;30,1,0))</formula>
    </cfRule>
    <cfRule type="expression" priority="956" dxfId="1">
      <formula>AND(IF($Q38=3,1,0),IF($X38&lt;30,1,0))</formula>
    </cfRule>
    <cfRule type="expression" priority="957" dxfId="0">
      <formula>AND(IF($Q38=3,1,IF($Q38=4,1,0)),IF($F38&lt;=85,1,0))</formula>
    </cfRule>
  </conditionalFormatting>
  <conditionalFormatting sqref="AV39">
    <cfRule type="expression" priority="952" dxfId="17">
      <formula>AV39="X"</formula>
    </cfRule>
    <cfRule type="expression" priority="953" dxfId="16">
      <formula>AV39="후보"</formula>
    </cfRule>
  </conditionalFormatting>
  <conditionalFormatting sqref="AC3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39">
    <cfRule type="expression" priority="943" dxfId="3">
      <formula>AND(IF(OR($Q39=1,$Q39=2),1,0),IF($X39&lt;=20,1,0))</formula>
    </cfRule>
    <cfRule type="expression" priority="944" dxfId="2">
      <formula>AND(IF($Q39=2,1,0),IF($X39&lt;30,1,0))</formula>
    </cfRule>
    <cfRule type="expression" priority="945" dxfId="1">
      <formula>AND(IF($Q39=3,1,0),IF($X39&lt;30,1,0))</formula>
    </cfRule>
    <cfRule type="expression" priority="946" dxfId="0">
      <formula>AND(IF($Q39=3,1,IF($Q39=4,1,0)),IF($F39&lt;=85,1,0))</formula>
    </cfRule>
  </conditionalFormatting>
  <conditionalFormatting sqref="X39">
    <cfRule type="expression" priority="939" dxfId="3">
      <formula>AND(IF(OR($Q39=1,$Q39=2),1,0),IF($X39&lt;=20,1,0))</formula>
    </cfRule>
    <cfRule type="expression" priority="940" dxfId="2">
      <formula>AND(IF($Q39=2,1,0),IF($X39&lt;30,1,0))</formula>
    </cfRule>
    <cfRule type="expression" priority="941" dxfId="1">
      <formula>AND(IF($Q39=3,1,0),IF($X39&lt;30,1,0))</formula>
    </cfRule>
    <cfRule type="expression" priority="942" dxfId="0">
      <formula>AND(IF($Q39=3,1,IF($Q39=4,1,0)),IF($F39&lt;=85,1,0))</formula>
    </cfRule>
  </conditionalFormatting>
  <conditionalFormatting sqref="AI39">
    <cfRule type="expression" priority="935" dxfId="3">
      <formula>AND(IF(OR($Q39=1,$Q39=2),1,0),IF($X39&lt;=20,1,0))</formula>
    </cfRule>
    <cfRule type="expression" priority="936" dxfId="2">
      <formula>AND(IF($Q39=2,1,0),IF($X39&lt;30,1,0))</formula>
    </cfRule>
    <cfRule type="expression" priority="937" dxfId="1">
      <formula>AND(IF($Q39=3,1,0),IF($X39&lt;30,1,0))</formula>
    </cfRule>
    <cfRule type="expression" priority="938" dxfId="0">
      <formula>AND(IF($Q39=3,1,IF($Q39=4,1,0)),IF($F39&lt;=85,1,0))</formula>
    </cfRule>
  </conditionalFormatting>
  <conditionalFormatting sqref="AV40">
    <cfRule type="expression" priority="933" dxfId="17">
      <formula>AV40="X"</formula>
    </cfRule>
    <cfRule type="expression" priority="934" dxfId="16">
      <formula>AV40="후보"</formula>
    </cfRule>
  </conditionalFormatting>
  <conditionalFormatting sqref="AC4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4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40">
    <cfRule type="expression" priority="924" dxfId="3">
      <formula>AND(IF(OR($Q40=1,$Q40=2),1,0),IF($X40&lt;=20,1,0))</formula>
    </cfRule>
    <cfRule type="expression" priority="925" dxfId="2">
      <formula>AND(IF($Q40=2,1,0),IF($X40&lt;30,1,0))</formula>
    </cfRule>
    <cfRule type="expression" priority="926" dxfId="1">
      <formula>AND(IF($Q40=3,1,0),IF($X40&lt;30,1,0))</formula>
    </cfRule>
    <cfRule type="expression" priority="927" dxfId="0">
      <formula>AND(IF($Q40=3,1,IF($Q40=4,1,0)),IF($F40&lt;=85,1,0))</formula>
    </cfRule>
  </conditionalFormatting>
  <conditionalFormatting sqref="X40">
    <cfRule type="expression" priority="920" dxfId="3">
      <formula>AND(IF(OR($Q40=1,$Q40=2),1,0),IF($X40&lt;=20,1,0))</formula>
    </cfRule>
    <cfRule type="expression" priority="921" dxfId="2">
      <formula>AND(IF($Q40=2,1,0),IF($X40&lt;30,1,0))</formula>
    </cfRule>
    <cfRule type="expression" priority="922" dxfId="1">
      <formula>AND(IF($Q40=3,1,0),IF($X40&lt;30,1,0))</formula>
    </cfRule>
    <cfRule type="expression" priority="923" dxfId="0">
      <formula>AND(IF($Q40=3,1,IF($Q40=4,1,0)),IF($F40&lt;=85,1,0))</formula>
    </cfRule>
  </conditionalFormatting>
  <conditionalFormatting sqref="AI40">
    <cfRule type="expression" priority="916" dxfId="3">
      <formula>AND(IF(OR($Q40=1,$Q40=2),1,0),IF($X40&lt;=20,1,0))</formula>
    </cfRule>
    <cfRule type="expression" priority="917" dxfId="2">
      <formula>AND(IF($Q40=2,1,0),IF($X40&lt;30,1,0))</formula>
    </cfRule>
    <cfRule type="expression" priority="918" dxfId="1">
      <formula>AND(IF($Q40=3,1,0),IF($X40&lt;30,1,0))</formula>
    </cfRule>
    <cfRule type="expression" priority="919" dxfId="0">
      <formula>AND(IF($Q40=3,1,IF($Q40=4,1,0)),IF($F40&lt;=85,1,0))</formula>
    </cfRule>
  </conditionalFormatting>
  <conditionalFormatting sqref="AV41">
    <cfRule type="expression" priority="914" dxfId="17">
      <formula>AV41="X"</formula>
    </cfRule>
    <cfRule type="expression" priority="915" dxfId="16">
      <formula>AV41="후보"</formula>
    </cfRule>
  </conditionalFormatting>
  <conditionalFormatting sqref="AC4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4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41">
    <cfRule type="expression" priority="905" dxfId="3">
      <formula>AND(IF(OR($Q41=1,$Q41=2),1,0),IF($X41&lt;=20,1,0))</formula>
    </cfRule>
    <cfRule type="expression" priority="906" dxfId="2">
      <formula>AND(IF($Q41=2,1,0),IF($X41&lt;30,1,0))</formula>
    </cfRule>
    <cfRule type="expression" priority="907" dxfId="1">
      <formula>AND(IF($Q41=3,1,0),IF($X41&lt;30,1,0))</formula>
    </cfRule>
    <cfRule type="expression" priority="908" dxfId="0">
      <formula>AND(IF($Q41=3,1,IF($Q41=4,1,0)),IF($F41&lt;=85,1,0))</formula>
    </cfRule>
  </conditionalFormatting>
  <conditionalFormatting sqref="X41">
    <cfRule type="expression" priority="901" dxfId="3">
      <formula>AND(IF(OR($Q41=1,$Q41=2),1,0),IF($X41&lt;=20,1,0))</formula>
    </cfRule>
    <cfRule type="expression" priority="902" dxfId="2">
      <formula>AND(IF($Q41=2,1,0),IF($X41&lt;30,1,0))</formula>
    </cfRule>
    <cfRule type="expression" priority="903" dxfId="1">
      <formula>AND(IF($Q41=3,1,0),IF($X41&lt;30,1,0))</formula>
    </cfRule>
    <cfRule type="expression" priority="904" dxfId="0">
      <formula>AND(IF($Q41=3,1,IF($Q41=4,1,0)),IF($F41&lt;=85,1,0))</formula>
    </cfRule>
  </conditionalFormatting>
  <conditionalFormatting sqref="AI41">
    <cfRule type="expression" priority="897" dxfId="3">
      <formula>AND(IF(OR($Q41=1,$Q41=2),1,0),IF($X41&lt;=20,1,0))</formula>
    </cfRule>
    <cfRule type="expression" priority="898" dxfId="2">
      <formula>AND(IF($Q41=2,1,0),IF($X41&lt;30,1,0))</formula>
    </cfRule>
    <cfRule type="expression" priority="899" dxfId="1">
      <formula>AND(IF($Q41=3,1,0),IF($X41&lt;30,1,0))</formula>
    </cfRule>
    <cfRule type="expression" priority="900" dxfId="0">
      <formula>AND(IF($Q41=3,1,IF($Q41=4,1,0)),IF($F41&lt;=85,1,0))</formula>
    </cfRule>
  </conditionalFormatting>
  <conditionalFormatting sqref="AV42">
    <cfRule type="expression" priority="895" dxfId="17">
      <formula>AV42="X"</formula>
    </cfRule>
    <cfRule type="expression" priority="896" dxfId="16">
      <formula>AV42="후보"</formula>
    </cfRule>
  </conditionalFormatting>
  <conditionalFormatting sqref="AC4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4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42">
    <cfRule type="expression" priority="886" dxfId="3">
      <formula>AND(IF(OR($Q42=1,$Q42=2),1,0),IF($X42&lt;=20,1,0))</formula>
    </cfRule>
    <cfRule type="expression" priority="887" dxfId="2">
      <formula>AND(IF($Q42=2,1,0),IF($X42&lt;30,1,0))</formula>
    </cfRule>
    <cfRule type="expression" priority="888" dxfId="1">
      <formula>AND(IF($Q42=3,1,0),IF($X42&lt;30,1,0))</formula>
    </cfRule>
    <cfRule type="expression" priority="889" dxfId="0">
      <formula>AND(IF($Q42=3,1,IF($Q42=4,1,0)),IF($F42&lt;=85,1,0))</formula>
    </cfRule>
  </conditionalFormatting>
  <conditionalFormatting sqref="X42">
    <cfRule type="expression" priority="882" dxfId="3">
      <formula>AND(IF(OR($Q42=1,$Q42=2),1,0),IF($X42&lt;=20,1,0))</formula>
    </cfRule>
    <cfRule type="expression" priority="883" dxfId="2">
      <formula>AND(IF($Q42=2,1,0),IF($X42&lt;30,1,0))</formula>
    </cfRule>
    <cfRule type="expression" priority="884" dxfId="1">
      <formula>AND(IF($Q42=3,1,0),IF($X42&lt;30,1,0))</formula>
    </cfRule>
    <cfRule type="expression" priority="885" dxfId="0">
      <formula>AND(IF($Q42=3,1,IF($Q42=4,1,0)),IF($F42&lt;=85,1,0))</formula>
    </cfRule>
  </conditionalFormatting>
  <conditionalFormatting sqref="AI42">
    <cfRule type="expression" priority="878" dxfId="3">
      <formula>AND(IF(OR($Q42=1,$Q42=2),1,0),IF($X42&lt;=20,1,0))</formula>
    </cfRule>
    <cfRule type="expression" priority="879" dxfId="2">
      <formula>AND(IF($Q42=2,1,0),IF($X42&lt;30,1,0))</formula>
    </cfRule>
    <cfRule type="expression" priority="880" dxfId="1">
      <formula>AND(IF($Q42=3,1,0),IF($X42&lt;30,1,0))</formula>
    </cfRule>
    <cfRule type="expression" priority="881" dxfId="0">
      <formula>AND(IF($Q42=3,1,IF($Q42=4,1,0)),IF($F42&lt;=85,1,0))</formula>
    </cfRule>
  </conditionalFormatting>
  <conditionalFormatting sqref="AV43">
    <cfRule type="expression" priority="876" dxfId="17">
      <formula>AV43="X"</formula>
    </cfRule>
    <cfRule type="expression" priority="877" dxfId="16">
      <formula>AV43="후보"</formula>
    </cfRule>
  </conditionalFormatting>
  <conditionalFormatting sqref="AC43 N4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AV44">
    <cfRule type="expression" priority="871" dxfId="17">
      <formula>AV44="X"</formula>
    </cfRule>
    <cfRule type="expression" priority="872" dxfId="16">
      <formula>AV44="후보"</formula>
    </cfRule>
  </conditionalFormatting>
  <conditionalFormatting sqref="AC4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4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44">
    <cfRule type="expression" priority="862" dxfId="3">
      <formula>AND(IF(OR($Q44=1,$Q44=2),1,0),IF($X44&lt;=20,1,0))</formula>
    </cfRule>
    <cfRule type="expression" priority="863" dxfId="2">
      <formula>AND(IF($Q44=2,1,0),IF($X44&lt;30,1,0))</formula>
    </cfRule>
    <cfRule type="expression" priority="864" dxfId="1">
      <formula>AND(IF($Q44=3,1,0),IF($X44&lt;30,1,0))</formula>
    </cfRule>
    <cfRule type="expression" priority="865" dxfId="0">
      <formula>AND(IF($Q44=3,1,IF($Q44=4,1,0)),IF($F44&lt;=85,1,0))</formula>
    </cfRule>
  </conditionalFormatting>
  <conditionalFormatting sqref="X44">
    <cfRule type="expression" priority="858" dxfId="3">
      <formula>AND(IF(OR($Q44=1,$Q44=2),1,0),IF($X44&lt;=20,1,0))</formula>
    </cfRule>
    <cfRule type="expression" priority="859" dxfId="2">
      <formula>AND(IF($Q44=2,1,0),IF($X44&lt;30,1,0))</formula>
    </cfRule>
    <cfRule type="expression" priority="860" dxfId="1">
      <formula>AND(IF($Q44=3,1,0),IF($X44&lt;30,1,0))</formula>
    </cfRule>
    <cfRule type="expression" priority="861" dxfId="0">
      <formula>AND(IF($Q44=3,1,IF($Q44=4,1,0)),IF($F44&lt;=85,1,0))</formula>
    </cfRule>
  </conditionalFormatting>
  <conditionalFormatting sqref="AI44">
    <cfRule type="expression" priority="854" dxfId="3">
      <formula>AND(IF(OR($Q44=1,$Q44=2),1,0),IF($X44&lt;=20,1,0))</formula>
    </cfRule>
    <cfRule type="expression" priority="855" dxfId="2">
      <formula>AND(IF($Q44=2,1,0),IF($X44&lt;30,1,0))</formula>
    </cfRule>
    <cfRule type="expression" priority="856" dxfId="1">
      <formula>AND(IF($Q44=3,1,0),IF($X44&lt;30,1,0))</formula>
    </cfRule>
    <cfRule type="expression" priority="857" dxfId="0">
      <formula>AND(IF($Q44=3,1,IF($Q44=4,1,0)),IF($F44&lt;=85,1,0))</formula>
    </cfRule>
  </conditionalFormatting>
  <conditionalFormatting sqref="AV45">
    <cfRule type="expression" priority="852" dxfId="17">
      <formula>AV45="X"</formula>
    </cfRule>
    <cfRule type="expression" priority="853" dxfId="16">
      <formula>AV45="후보"</formula>
    </cfRule>
  </conditionalFormatting>
  <conditionalFormatting sqref="AC4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4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45">
    <cfRule type="expression" priority="843" dxfId="3">
      <formula>AND(IF(OR($Q45=1,$Q45=2),1,0),IF($X45&lt;=20,1,0))</formula>
    </cfRule>
    <cfRule type="expression" priority="844" dxfId="2">
      <formula>AND(IF($Q45=2,1,0),IF($X45&lt;30,1,0))</formula>
    </cfRule>
    <cfRule type="expression" priority="845" dxfId="1">
      <formula>AND(IF($Q45=3,1,0),IF($X45&lt;30,1,0))</formula>
    </cfRule>
    <cfRule type="expression" priority="846" dxfId="0">
      <formula>AND(IF($Q45=3,1,IF($Q45=4,1,0)),IF($F45&lt;=85,1,0))</formula>
    </cfRule>
  </conditionalFormatting>
  <conditionalFormatting sqref="X45">
    <cfRule type="expression" priority="839" dxfId="3">
      <formula>AND(IF(OR($Q45=1,$Q45=2),1,0),IF($X45&lt;=20,1,0))</formula>
    </cfRule>
    <cfRule type="expression" priority="840" dxfId="2">
      <formula>AND(IF($Q45=2,1,0),IF($X45&lt;30,1,0))</formula>
    </cfRule>
    <cfRule type="expression" priority="841" dxfId="1">
      <formula>AND(IF($Q45=3,1,0),IF($X45&lt;30,1,0))</formula>
    </cfRule>
    <cfRule type="expression" priority="842" dxfId="0">
      <formula>AND(IF($Q45=3,1,IF($Q45=4,1,0)),IF($F45&lt;=85,1,0))</formula>
    </cfRule>
  </conditionalFormatting>
  <conditionalFormatting sqref="AI45">
    <cfRule type="expression" priority="835" dxfId="3">
      <formula>AND(IF(OR($Q45=1,$Q45=2),1,0),IF($X45&lt;=20,1,0))</formula>
    </cfRule>
    <cfRule type="expression" priority="836" dxfId="2">
      <formula>AND(IF($Q45=2,1,0),IF($X45&lt;30,1,0))</formula>
    </cfRule>
    <cfRule type="expression" priority="837" dxfId="1">
      <formula>AND(IF($Q45=3,1,0),IF($X45&lt;30,1,0))</formula>
    </cfRule>
    <cfRule type="expression" priority="838" dxfId="0">
      <formula>AND(IF($Q45=3,1,IF($Q45=4,1,0)),IF($F45&lt;=85,1,0))</formula>
    </cfRule>
  </conditionalFormatting>
  <conditionalFormatting sqref="AV46">
    <cfRule type="expression" priority="833" dxfId="17">
      <formula>AV46="X"</formula>
    </cfRule>
    <cfRule type="expression" priority="834" dxfId="16">
      <formula>AV46="후보"</formula>
    </cfRule>
  </conditionalFormatting>
  <conditionalFormatting sqref="AC4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4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46">
    <cfRule type="expression" priority="824" dxfId="3">
      <formula>AND(IF(OR($Q46=1,$Q46=2),1,0),IF($X46&lt;=20,1,0))</formula>
    </cfRule>
    <cfRule type="expression" priority="825" dxfId="2">
      <formula>AND(IF($Q46=2,1,0),IF($X46&lt;30,1,0))</formula>
    </cfRule>
    <cfRule type="expression" priority="826" dxfId="1">
      <formula>AND(IF($Q46=3,1,0),IF($X46&lt;30,1,0))</formula>
    </cfRule>
    <cfRule type="expression" priority="827" dxfId="0">
      <formula>AND(IF($Q46=3,1,IF($Q46=4,1,0)),IF($F46&lt;=85,1,0))</formula>
    </cfRule>
  </conditionalFormatting>
  <conditionalFormatting sqref="X46">
    <cfRule type="expression" priority="820" dxfId="3">
      <formula>AND(IF(OR($Q46=1,$Q46=2),1,0),IF($X46&lt;=20,1,0))</formula>
    </cfRule>
    <cfRule type="expression" priority="821" dxfId="2">
      <formula>AND(IF($Q46=2,1,0),IF($X46&lt;30,1,0))</formula>
    </cfRule>
    <cfRule type="expression" priority="822" dxfId="1">
      <formula>AND(IF($Q46=3,1,0),IF($X46&lt;30,1,0))</formula>
    </cfRule>
    <cfRule type="expression" priority="823" dxfId="0">
      <formula>AND(IF($Q46=3,1,IF($Q46=4,1,0)),IF($F46&lt;=85,1,0))</formula>
    </cfRule>
  </conditionalFormatting>
  <conditionalFormatting sqref="AI46">
    <cfRule type="expression" priority="816" dxfId="3">
      <formula>AND(IF(OR($Q46=1,$Q46=2),1,0),IF($X46&lt;=20,1,0))</formula>
    </cfRule>
    <cfRule type="expression" priority="817" dxfId="2">
      <formula>AND(IF($Q46=2,1,0),IF($X46&lt;30,1,0))</formula>
    </cfRule>
    <cfRule type="expression" priority="818" dxfId="1">
      <formula>AND(IF($Q46=3,1,0),IF($X46&lt;30,1,0))</formula>
    </cfRule>
    <cfRule type="expression" priority="819" dxfId="0">
      <formula>AND(IF($Q46=3,1,IF($Q46=4,1,0)),IF($F46&lt;=85,1,0))</formula>
    </cfRule>
  </conditionalFormatting>
  <conditionalFormatting sqref="AV47">
    <cfRule type="expression" priority="814" dxfId="17">
      <formula>AV47="X"</formula>
    </cfRule>
    <cfRule type="expression" priority="815" dxfId="16">
      <formula>AV47="후보"</formula>
    </cfRule>
  </conditionalFormatting>
  <conditionalFormatting sqref="AC4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4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47">
    <cfRule type="expression" priority="805" dxfId="3">
      <formula>AND(IF(OR($Q47=1,$Q47=2),1,0),IF($X47&lt;=20,1,0))</formula>
    </cfRule>
    <cfRule type="expression" priority="806" dxfId="2">
      <formula>AND(IF($Q47=2,1,0),IF($X47&lt;30,1,0))</formula>
    </cfRule>
    <cfRule type="expression" priority="807" dxfId="1">
      <formula>AND(IF($Q47=3,1,0),IF($X47&lt;30,1,0))</formula>
    </cfRule>
    <cfRule type="expression" priority="808" dxfId="0">
      <formula>AND(IF($Q47=3,1,IF($Q47=4,1,0)),IF($F47&lt;=85,1,0))</formula>
    </cfRule>
  </conditionalFormatting>
  <conditionalFormatting sqref="X47">
    <cfRule type="expression" priority="801" dxfId="3">
      <formula>AND(IF(OR($Q47=1,$Q47=2),1,0),IF($X47&lt;=20,1,0))</formula>
    </cfRule>
    <cfRule type="expression" priority="802" dxfId="2">
      <formula>AND(IF($Q47=2,1,0),IF($X47&lt;30,1,0))</formula>
    </cfRule>
    <cfRule type="expression" priority="803" dxfId="1">
      <formula>AND(IF($Q47=3,1,0),IF($X47&lt;30,1,0))</formula>
    </cfRule>
    <cfRule type="expression" priority="804" dxfId="0">
      <formula>AND(IF($Q47=3,1,IF($Q47=4,1,0)),IF($F47&lt;=85,1,0))</formula>
    </cfRule>
  </conditionalFormatting>
  <conditionalFormatting sqref="AI47">
    <cfRule type="expression" priority="797" dxfId="3">
      <formula>AND(IF(OR($Q47=1,$Q47=2),1,0),IF($X47&lt;=20,1,0))</formula>
    </cfRule>
    <cfRule type="expression" priority="798" dxfId="2">
      <formula>AND(IF($Q47=2,1,0),IF($X47&lt;30,1,0))</formula>
    </cfRule>
    <cfRule type="expression" priority="799" dxfId="1">
      <formula>AND(IF($Q47=3,1,0),IF($X47&lt;30,1,0))</formula>
    </cfRule>
    <cfRule type="expression" priority="800" dxfId="0">
      <formula>AND(IF($Q47=3,1,IF($Q47=4,1,0)),IF($F47&lt;=85,1,0))</formula>
    </cfRule>
  </conditionalFormatting>
  <conditionalFormatting sqref="AV48">
    <cfRule type="expression" priority="795" dxfId="17">
      <formula>AV48="X"</formula>
    </cfRule>
    <cfRule type="expression" priority="796" dxfId="16">
      <formula>AV48="후보"</formula>
    </cfRule>
  </conditionalFormatting>
  <conditionalFormatting sqref="AC4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X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I48">
    <cfRule type="expression" priority="778" dxfId="3">
      <formula>AND(IF(OR($Q48=1,$Q48=2),1,0),IF($X48&lt;=20,1,0))</formula>
    </cfRule>
    <cfRule type="expression" priority="779" dxfId="2">
      <formula>AND(IF($Q48=2,1,0),IF($X48&lt;30,1,0))</formula>
    </cfRule>
    <cfRule type="expression" priority="780" dxfId="1">
      <formula>AND(IF($Q48=3,1,0),IF($X48&lt;30,1,0))</formula>
    </cfRule>
    <cfRule type="expression" priority="781" dxfId="0">
      <formula>AND(IF($Q48=3,1,IF($Q48=4,1,0)),IF($F48&lt;=85,1,0))</formula>
    </cfRule>
  </conditionalFormatting>
  <conditionalFormatting sqref="AV49">
    <cfRule type="expression" priority="776" dxfId="17">
      <formula>AV49="X"</formula>
    </cfRule>
    <cfRule type="expression" priority="777" dxfId="16">
      <formula>AV49="후보"</formula>
    </cfRule>
  </conditionalFormatting>
  <conditionalFormatting sqref="AC49 N4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50">
    <cfRule type="expression" priority="771" dxfId="17">
      <formula>AV50="X"</formula>
    </cfRule>
    <cfRule type="expression" priority="772" dxfId="16">
      <formula>AV50="후보"</formula>
    </cfRule>
  </conditionalFormatting>
  <conditionalFormatting sqref="AC5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5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50">
    <cfRule type="expression" priority="762" dxfId="3">
      <formula>AND(IF(OR($Q50=1,$Q50=2),1,0),IF($X50&lt;=20,1,0))</formula>
    </cfRule>
    <cfRule type="expression" priority="763" dxfId="2">
      <formula>AND(IF($Q50=2,1,0),IF($X50&lt;30,1,0))</formula>
    </cfRule>
    <cfRule type="expression" priority="764" dxfId="1">
      <formula>AND(IF($Q50=3,1,0),IF($X50&lt;30,1,0))</formula>
    </cfRule>
    <cfRule type="expression" priority="765" dxfId="0">
      <formula>AND(IF($Q50=3,1,IF($Q50=4,1,0)),IF($F50&lt;=85,1,0))</formula>
    </cfRule>
  </conditionalFormatting>
  <conditionalFormatting sqref="X50">
    <cfRule type="expression" priority="758" dxfId="3">
      <formula>AND(IF(OR($Q50=1,$Q50=2),1,0),IF($X50&lt;=20,1,0))</formula>
    </cfRule>
    <cfRule type="expression" priority="759" dxfId="2">
      <formula>AND(IF($Q50=2,1,0),IF($X50&lt;30,1,0))</formula>
    </cfRule>
    <cfRule type="expression" priority="760" dxfId="1">
      <formula>AND(IF($Q50=3,1,0),IF($X50&lt;30,1,0))</formula>
    </cfRule>
    <cfRule type="expression" priority="761" dxfId="0">
      <formula>AND(IF($Q50=3,1,IF($Q50=4,1,0)),IF($F50&lt;=85,1,0))</formula>
    </cfRule>
  </conditionalFormatting>
  <conditionalFormatting sqref="AI50">
    <cfRule type="expression" priority="754" dxfId="3">
      <formula>AND(IF(OR($Q50=1,$Q50=2),1,0),IF($X50&lt;=20,1,0))</formula>
    </cfRule>
    <cfRule type="expression" priority="755" dxfId="2">
      <formula>AND(IF($Q50=2,1,0),IF($X50&lt;30,1,0))</formula>
    </cfRule>
    <cfRule type="expression" priority="756" dxfId="1">
      <formula>AND(IF($Q50=3,1,0),IF($X50&lt;30,1,0))</formula>
    </cfRule>
    <cfRule type="expression" priority="757" dxfId="0">
      <formula>AND(IF($Q50=3,1,IF($Q50=4,1,0)),IF($F50&lt;=85,1,0))</formula>
    </cfRule>
  </conditionalFormatting>
  <conditionalFormatting sqref="AV51">
    <cfRule type="expression" priority="752" dxfId="17">
      <formula>AV51="X"</formula>
    </cfRule>
    <cfRule type="expression" priority="753" dxfId="16">
      <formula>AV51="후보"</formula>
    </cfRule>
  </conditionalFormatting>
  <conditionalFormatting sqref="AC51 N5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AV52">
    <cfRule type="expression" priority="747" dxfId="17">
      <formula>AV52="X"</formula>
    </cfRule>
    <cfRule type="expression" priority="748" dxfId="16">
      <formula>AV52="후보"</formula>
    </cfRule>
  </conditionalFormatting>
  <conditionalFormatting sqref="AC52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5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X52">
    <cfRule type="expression" priority="734" dxfId="3">
      <formula>AND(IF(OR($Q52=1,$Q52=2),1,0),IF($X52&lt;=20,1,0))</formula>
    </cfRule>
    <cfRule type="expression" priority="735" dxfId="2">
      <formula>AND(IF($Q52=2,1,0),IF($X52&lt;30,1,0))</formula>
    </cfRule>
    <cfRule type="expression" priority="736" dxfId="1">
      <formula>AND(IF($Q52=3,1,0),IF($X52&lt;30,1,0))</formula>
    </cfRule>
    <cfRule type="expression" priority="737" dxfId="0">
      <formula>AND(IF($Q52=3,1,IF($Q52=4,1,0)),IF($F52&lt;=85,1,0))</formula>
    </cfRule>
  </conditionalFormatting>
  <conditionalFormatting sqref="AI52">
    <cfRule type="expression" priority="730" dxfId="3">
      <formula>AND(IF(OR($Q52=1,$Q52=2),1,0),IF($X52&lt;=20,1,0))</formula>
    </cfRule>
    <cfRule type="expression" priority="731" dxfId="2">
      <formula>AND(IF($Q52=2,1,0),IF($X52&lt;30,1,0))</formula>
    </cfRule>
    <cfRule type="expression" priority="732" dxfId="1">
      <formula>AND(IF($Q52=3,1,0),IF($X52&lt;30,1,0))</formula>
    </cfRule>
    <cfRule type="expression" priority="733" dxfId="0">
      <formula>AND(IF($Q52=3,1,IF($Q52=4,1,0)),IF($F52&lt;=85,1,0))</formula>
    </cfRule>
  </conditionalFormatting>
  <conditionalFormatting sqref="AV53">
    <cfRule type="expression" priority="728" dxfId="17">
      <formula>AV53="X"</formula>
    </cfRule>
    <cfRule type="expression" priority="729" dxfId="16">
      <formula>AV53="후보"</formula>
    </cfRule>
  </conditionalFormatting>
  <conditionalFormatting sqref="AC5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5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X53">
    <cfRule type="expression" priority="715" dxfId="3">
      <formula>AND(IF(OR($Q53=1,$Q53=2),1,0),IF($X53&lt;=20,1,0))</formula>
    </cfRule>
    <cfRule type="expression" priority="716" dxfId="2">
      <formula>AND(IF($Q53=2,1,0),IF($X53&lt;30,1,0))</formula>
    </cfRule>
    <cfRule type="expression" priority="717" dxfId="1">
      <formula>AND(IF($Q53=3,1,0),IF($X53&lt;30,1,0))</formula>
    </cfRule>
    <cfRule type="expression" priority="718" dxfId="0">
      <formula>AND(IF($Q53=3,1,IF($Q53=4,1,0)),IF($F53&lt;=85,1,0))</formula>
    </cfRule>
  </conditionalFormatting>
  <conditionalFormatting sqref="AI53">
    <cfRule type="expression" priority="711" dxfId="3">
      <formula>AND(IF(OR($Q53=1,$Q53=2),1,0),IF($X53&lt;=20,1,0))</formula>
    </cfRule>
    <cfRule type="expression" priority="712" dxfId="2">
      <formula>AND(IF($Q53=2,1,0),IF($X53&lt;30,1,0))</formula>
    </cfRule>
    <cfRule type="expression" priority="713" dxfId="1">
      <formula>AND(IF($Q53=3,1,0),IF($X53&lt;30,1,0))</formula>
    </cfRule>
    <cfRule type="expression" priority="714" dxfId="0">
      <formula>AND(IF($Q53=3,1,IF($Q53=4,1,0)),IF($F53&lt;=85,1,0))</formula>
    </cfRule>
  </conditionalFormatting>
  <conditionalFormatting sqref="AV54">
    <cfRule type="expression" priority="709" dxfId="17">
      <formula>AV54="X"</formula>
    </cfRule>
    <cfRule type="expression" priority="710" dxfId="16">
      <formula>AV54="후보"</formula>
    </cfRule>
  </conditionalFormatting>
  <conditionalFormatting sqref="AC5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5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X54">
    <cfRule type="expression" priority="696" dxfId="3">
      <formula>AND(IF(OR($Q54=1,$Q54=2),1,0),IF($X54&lt;=20,1,0))</formula>
    </cfRule>
    <cfRule type="expression" priority="697" dxfId="2">
      <formula>AND(IF($Q54=2,1,0),IF($X54&lt;30,1,0))</formula>
    </cfRule>
    <cfRule type="expression" priority="698" dxfId="1">
      <formula>AND(IF($Q54=3,1,0),IF($X54&lt;30,1,0))</formula>
    </cfRule>
    <cfRule type="expression" priority="699" dxfId="0">
      <formula>AND(IF($Q54=3,1,IF($Q54=4,1,0)),IF($F54&lt;=85,1,0))</formula>
    </cfRule>
  </conditionalFormatting>
  <conditionalFormatting sqref="AI54">
    <cfRule type="expression" priority="692" dxfId="3">
      <formula>AND(IF(OR($Q54=1,$Q54=2),1,0),IF($X54&lt;=20,1,0))</formula>
    </cfRule>
    <cfRule type="expression" priority="693" dxfId="2">
      <formula>AND(IF($Q54=2,1,0),IF($X54&lt;30,1,0))</formula>
    </cfRule>
    <cfRule type="expression" priority="694" dxfId="1">
      <formula>AND(IF($Q54=3,1,0),IF($X54&lt;30,1,0))</formula>
    </cfRule>
    <cfRule type="expression" priority="695" dxfId="0">
      <formula>AND(IF($Q54=3,1,IF($Q54=4,1,0)),IF($F54&lt;=85,1,0))</formula>
    </cfRule>
  </conditionalFormatting>
  <conditionalFormatting sqref="AV55">
    <cfRule type="expression" priority="690" dxfId="17">
      <formula>AV55="X"</formula>
    </cfRule>
    <cfRule type="expression" priority="691" dxfId="16">
      <formula>AV55="후보"</formula>
    </cfRule>
  </conditionalFormatting>
  <conditionalFormatting sqref="AC5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5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X55">
    <cfRule type="expression" priority="677" dxfId="3">
      <formula>AND(IF(OR($Q55=1,$Q55=2),1,0),IF($X55&lt;=20,1,0))</formula>
    </cfRule>
    <cfRule type="expression" priority="678" dxfId="2">
      <formula>AND(IF($Q55=2,1,0),IF($X55&lt;30,1,0))</formula>
    </cfRule>
    <cfRule type="expression" priority="679" dxfId="1">
      <formula>AND(IF($Q55=3,1,0),IF($X55&lt;30,1,0))</formula>
    </cfRule>
    <cfRule type="expression" priority="680" dxfId="0">
      <formula>AND(IF($Q55=3,1,IF($Q55=4,1,0)),IF($F55&lt;=85,1,0))</formula>
    </cfRule>
  </conditionalFormatting>
  <conditionalFormatting sqref="AI55">
    <cfRule type="expression" priority="673" dxfId="3">
      <formula>AND(IF(OR($Q55=1,$Q55=2),1,0),IF($X55&lt;=20,1,0))</formula>
    </cfRule>
    <cfRule type="expression" priority="674" dxfId="2">
      <formula>AND(IF($Q55=2,1,0),IF($X55&lt;30,1,0))</formula>
    </cfRule>
    <cfRule type="expression" priority="675" dxfId="1">
      <formula>AND(IF($Q55=3,1,0),IF($X55&lt;30,1,0))</formula>
    </cfRule>
    <cfRule type="expression" priority="676" dxfId="0">
      <formula>AND(IF($Q55=3,1,IF($Q55=4,1,0)),IF($F55&lt;=85,1,0))</formula>
    </cfRule>
  </conditionalFormatting>
  <conditionalFormatting sqref="AV56">
    <cfRule type="expression" priority="671" dxfId="17">
      <formula>AV56="X"</formula>
    </cfRule>
    <cfRule type="expression" priority="672" dxfId="16">
      <formula>AV56="후보"</formula>
    </cfRule>
  </conditionalFormatting>
  <conditionalFormatting sqref="AC56 N5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AV57">
    <cfRule type="expression" priority="666" dxfId="17">
      <formula>AV57="X"</formula>
    </cfRule>
    <cfRule type="expression" priority="667" dxfId="16">
      <formula>AV57="후보"</formula>
    </cfRule>
  </conditionalFormatting>
  <conditionalFormatting sqref="AC5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7">
    <cfRule type="expression" priority="657" dxfId="3">
      <formula>AND(IF(OR($Q57=1,$Q57=2),1,0),IF($X57&lt;=20,1,0))</formula>
    </cfRule>
    <cfRule type="expression" priority="658" dxfId="2">
      <formula>AND(IF($Q57=2,1,0),IF($X57&lt;30,1,0))</formula>
    </cfRule>
    <cfRule type="expression" priority="659" dxfId="1">
      <formula>AND(IF($Q57=3,1,0),IF($X57&lt;30,1,0))</formula>
    </cfRule>
    <cfRule type="expression" priority="660" dxfId="0">
      <formula>AND(IF($Q57=3,1,IF($Q57=4,1,0)),IF($F57&lt;=85,1,0))</formula>
    </cfRule>
  </conditionalFormatting>
  <conditionalFormatting sqref="X57">
    <cfRule type="expression" priority="653" dxfId="3">
      <formula>AND(IF(OR($Q57=1,$Q57=2),1,0),IF($X57&lt;=20,1,0))</formula>
    </cfRule>
    <cfRule type="expression" priority="654" dxfId="2">
      <formula>AND(IF($Q57=2,1,0),IF($X57&lt;30,1,0))</formula>
    </cfRule>
    <cfRule type="expression" priority="655" dxfId="1">
      <formula>AND(IF($Q57=3,1,0),IF($X57&lt;30,1,0))</formula>
    </cfRule>
    <cfRule type="expression" priority="656" dxfId="0">
      <formula>AND(IF($Q57=3,1,IF($Q57=4,1,0)),IF($F57&lt;=85,1,0))</formula>
    </cfRule>
  </conditionalFormatting>
  <conditionalFormatting sqref="AI57">
    <cfRule type="expression" priority="649" dxfId="3">
      <formula>AND(IF(OR($Q57=1,$Q57=2),1,0),IF($X57&lt;=20,1,0))</formula>
    </cfRule>
    <cfRule type="expression" priority="650" dxfId="2">
      <formula>AND(IF($Q57=2,1,0),IF($X57&lt;30,1,0))</formula>
    </cfRule>
    <cfRule type="expression" priority="651" dxfId="1">
      <formula>AND(IF($Q57=3,1,0),IF($X57&lt;30,1,0))</formula>
    </cfRule>
    <cfRule type="expression" priority="652" dxfId="0">
      <formula>AND(IF($Q57=3,1,IF($Q57=4,1,0)),IF($F57&lt;=85,1,0))</formula>
    </cfRule>
  </conditionalFormatting>
  <conditionalFormatting sqref="AV58">
    <cfRule type="expression" priority="647" dxfId="17">
      <formula>AV58="X"</formula>
    </cfRule>
    <cfRule type="expression" priority="648" dxfId="16">
      <formula>AV58="후보"</formula>
    </cfRule>
  </conditionalFormatting>
  <conditionalFormatting sqref="AC5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5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58">
    <cfRule type="expression" priority="638" dxfId="3">
      <formula>AND(IF(OR($Q58=1,$Q58=2),1,0),IF($X58&lt;=20,1,0))</formula>
    </cfRule>
    <cfRule type="expression" priority="639" dxfId="2">
      <formula>AND(IF($Q58=2,1,0),IF($X58&lt;30,1,0))</formula>
    </cfRule>
    <cfRule type="expression" priority="640" dxfId="1">
      <formula>AND(IF($Q58=3,1,0),IF($X58&lt;30,1,0))</formula>
    </cfRule>
    <cfRule type="expression" priority="641" dxfId="0">
      <formula>AND(IF($Q58=3,1,IF($Q58=4,1,0)),IF($F58&lt;=85,1,0))</formula>
    </cfRule>
  </conditionalFormatting>
  <conditionalFormatting sqref="X58">
    <cfRule type="expression" priority="634" dxfId="3">
      <formula>AND(IF(OR($Q58=1,$Q58=2),1,0),IF($X58&lt;=20,1,0))</formula>
    </cfRule>
    <cfRule type="expression" priority="635" dxfId="2">
      <formula>AND(IF($Q58=2,1,0),IF($X58&lt;30,1,0))</formula>
    </cfRule>
    <cfRule type="expression" priority="636" dxfId="1">
      <formula>AND(IF($Q58=3,1,0),IF($X58&lt;30,1,0))</formula>
    </cfRule>
    <cfRule type="expression" priority="637" dxfId="0">
      <formula>AND(IF($Q58=3,1,IF($Q58=4,1,0)),IF($F58&lt;=85,1,0))</formula>
    </cfRule>
  </conditionalFormatting>
  <conditionalFormatting sqref="AI58">
    <cfRule type="expression" priority="630" dxfId="3">
      <formula>AND(IF(OR($Q58=1,$Q58=2),1,0),IF($X58&lt;=20,1,0))</formula>
    </cfRule>
    <cfRule type="expression" priority="631" dxfId="2">
      <formula>AND(IF($Q58=2,1,0),IF($X58&lt;30,1,0))</formula>
    </cfRule>
    <cfRule type="expression" priority="632" dxfId="1">
      <formula>AND(IF($Q58=3,1,0),IF($X58&lt;30,1,0))</formula>
    </cfRule>
    <cfRule type="expression" priority="633" dxfId="0">
      <formula>AND(IF($Q58=3,1,IF($Q58=4,1,0)),IF($F58&lt;=85,1,0))</formula>
    </cfRule>
  </conditionalFormatting>
  <conditionalFormatting sqref="AV59">
    <cfRule type="expression" priority="628" dxfId="17">
      <formula>AV59="X"</formula>
    </cfRule>
    <cfRule type="expression" priority="629" dxfId="16">
      <formula>AV59="후보"</formula>
    </cfRule>
  </conditionalFormatting>
  <conditionalFormatting sqref="AC5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59">
    <cfRule type="expression" priority="619" dxfId="3">
      <formula>AND(IF(OR($Q59=1,$Q59=2),1,0),IF($X59&lt;=20,1,0))</formula>
    </cfRule>
    <cfRule type="expression" priority="620" dxfId="2">
      <formula>AND(IF($Q59=2,1,0),IF($X59&lt;30,1,0))</formula>
    </cfRule>
    <cfRule type="expression" priority="621" dxfId="1">
      <formula>AND(IF($Q59=3,1,0),IF($X59&lt;30,1,0))</formula>
    </cfRule>
    <cfRule type="expression" priority="622" dxfId="0">
      <formula>AND(IF($Q59=3,1,IF($Q59=4,1,0)),IF($F59&lt;=85,1,0))</formula>
    </cfRule>
  </conditionalFormatting>
  <conditionalFormatting sqref="X59">
    <cfRule type="expression" priority="615" dxfId="3">
      <formula>AND(IF(OR($Q59=1,$Q59=2),1,0),IF($X59&lt;=20,1,0))</formula>
    </cfRule>
    <cfRule type="expression" priority="616" dxfId="2">
      <formula>AND(IF($Q59=2,1,0),IF($X59&lt;30,1,0))</formula>
    </cfRule>
    <cfRule type="expression" priority="617" dxfId="1">
      <formula>AND(IF($Q59=3,1,0),IF($X59&lt;30,1,0))</formula>
    </cfRule>
    <cfRule type="expression" priority="618" dxfId="0">
      <formula>AND(IF($Q59=3,1,IF($Q59=4,1,0)),IF($F59&lt;=85,1,0))</formula>
    </cfRule>
  </conditionalFormatting>
  <conditionalFormatting sqref="AI59">
    <cfRule type="expression" priority="611" dxfId="3">
      <formula>AND(IF(OR($Q59=1,$Q59=2),1,0),IF($X59&lt;=20,1,0))</formula>
    </cfRule>
    <cfRule type="expression" priority="612" dxfId="2">
      <formula>AND(IF($Q59=2,1,0),IF($X59&lt;30,1,0))</formula>
    </cfRule>
    <cfRule type="expression" priority="613" dxfId="1">
      <formula>AND(IF($Q59=3,1,0),IF($X59&lt;30,1,0))</formula>
    </cfRule>
    <cfRule type="expression" priority="614" dxfId="0">
      <formula>AND(IF($Q59=3,1,IF($Q59=4,1,0)),IF($F59&lt;=85,1,0))</formula>
    </cfRule>
  </conditionalFormatting>
  <conditionalFormatting sqref="AV60">
    <cfRule type="expression" priority="609" dxfId="17">
      <formula>AV60="X"</formula>
    </cfRule>
    <cfRule type="expression" priority="610" dxfId="16">
      <formula>AV60="후보"</formula>
    </cfRule>
  </conditionalFormatting>
  <conditionalFormatting sqref="AC6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0">
    <cfRule type="expression" priority="600" dxfId="3">
      <formula>AND(IF(OR($Q60=1,$Q60=2),1,0),IF($X60&lt;=20,1,0))</formula>
    </cfRule>
    <cfRule type="expression" priority="601" dxfId="2">
      <formula>AND(IF($Q60=2,1,0),IF($X60&lt;30,1,0))</formula>
    </cfRule>
    <cfRule type="expression" priority="602" dxfId="1">
      <formula>AND(IF($Q60=3,1,0),IF($X60&lt;30,1,0))</formula>
    </cfRule>
    <cfRule type="expression" priority="603" dxfId="0">
      <formula>AND(IF($Q60=3,1,IF($Q60=4,1,0)),IF($F60&lt;=85,1,0))</formula>
    </cfRule>
  </conditionalFormatting>
  <conditionalFormatting sqref="X60">
    <cfRule type="expression" priority="596" dxfId="3">
      <formula>AND(IF(OR($Q60=1,$Q60=2),1,0),IF($X60&lt;=20,1,0))</formula>
    </cfRule>
    <cfRule type="expression" priority="597" dxfId="2">
      <formula>AND(IF($Q60=2,1,0),IF($X60&lt;30,1,0))</formula>
    </cfRule>
    <cfRule type="expression" priority="598" dxfId="1">
      <formula>AND(IF($Q60=3,1,0),IF($X60&lt;30,1,0))</formula>
    </cfRule>
    <cfRule type="expression" priority="599" dxfId="0">
      <formula>AND(IF($Q60=3,1,IF($Q60=4,1,0)),IF($F60&lt;=85,1,0))</formula>
    </cfRule>
  </conditionalFormatting>
  <conditionalFormatting sqref="AI60">
    <cfRule type="expression" priority="592" dxfId="3">
      <formula>AND(IF(OR($Q60=1,$Q60=2),1,0),IF($X60&lt;=20,1,0))</formula>
    </cfRule>
    <cfRule type="expression" priority="593" dxfId="2">
      <formula>AND(IF($Q60=2,1,0),IF($X60&lt;30,1,0))</formula>
    </cfRule>
    <cfRule type="expression" priority="594" dxfId="1">
      <formula>AND(IF($Q60=3,1,0),IF($X60&lt;30,1,0))</formula>
    </cfRule>
    <cfRule type="expression" priority="595" dxfId="0">
      <formula>AND(IF($Q60=3,1,IF($Q60=4,1,0)),IF($F60&lt;=85,1,0))</formula>
    </cfRule>
  </conditionalFormatting>
  <conditionalFormatting sqref="AV61">
    <cfRule type="expression" priority="590" dxfId="17">
      <formula>AV61="X"</formula>
    </cfRule>
    <cfRule type="expression" priority="591" dxfId="16">
      <formula>AV61="후보"</formula>
    </cfRule>
  </conditionalFormatting>
  <conditionalFormatting sqref="AC61 N6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62">
    <cfRule type="expression" priority="585" dxfId="17">
      <formula>AV62="X"</formula>
    </cfRule>
    <cfRule type="expression" priority="586" dxfId="16">
      <formula>AV62="후보"</formula>
    </cfRule>
  </conditionalFormatting>
  <conditionalFormatting sqref="AC6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6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X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I62">
    <cfRule type="expression" priority="568" dxfId="3">
      <formula>AND(IF(OR($Q62=1,$Q62=2),1,0),IF($X62&lt;=20,1,0))</formula>
    </cfRule>
    <cfRule type="expression" priority="569" dxfId="2">
      <formula>AND(IF($Q62=2,1,0),IF($X62&lt;30,1,0))</formula>
    </cfRule>
    <cfRule type="expression" priority="570" dxfId="1">
      <formula>AND(IF($Q62=3,1,0),IF($X62&lt;30,1,0))</formula>
    </cfRule>
    <cfRule type="expression" priority="571" dxfId="0">
      <formula>AND(IF($Q62=3,1,IF($Q62=4,1,0)),IF($F62&lt;=85,1,0))</formula>
    </cfRule>
  </conditionalFormatting>
  <conditionalFormatting sqref="AV63">
    <cfRule type="expression" priority="566" dxfId="17">
      <formula>AV63="X"</formula>
    </cfRule>
    <cfRule type="expression" priority="567" dxfId="16">
      <formula>AV63="후보"</formula>
    </cfRule>
  </conditionalFormatting>
  <conditionalFormatting sqref="AC6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X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I63">
    <cfRule type="expression" priority="549" dxfId="3">
      <formula>AND(IF(OR($Q63=1,$Q63=2),1,0),IF($X63&lt;=20,1,0))</formula>
    </cfRule>
    <cfRule type="expression" priority="550" dxfId="2">
      <formula>AND(IF($Q63=2,1,0),IF($X63&lt;30,1,0))</formula>
    </cfRule>
    <cfRule type="expression" priority="551" dxfId="1">
      <formula>AND(IF($Q63=3,1,0),IF($X63&lt;30,1,0))</formula>
    </cfRule>
    <cfRule type="expression" priority="552" dxfId="0">
      <formula>AND(IF($Q63=3,1,IF($Q63=4,1,0)),IF($F63&lt;=85,1,0))</formula>
    </cfRule>
  </conditionalFormatting>
  <conditionalFormatting sqref="AV64">
    <cfRule type="expression" priority="547" dxfId="17">
      <formula>AV64="X"</formula>
    </cfRule>
    <cfRule type="expression" priority="548" dxfId="16">
      <formula>AV64="후보"</formula>
    </cfRule>
  </conditionalFormatting>
  <conditionalFormatting sqref="AC64 N6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65">
    <cfRule type="expression" priority="542" dxfId="17">
      <formula>AV65="X"</formula>
    </cfRule>
    <cfRule type="expression" priority="543" dxfId="16">
      <formula>AV65="후보"</formula>
    </cfRule>
  </conditionalFormatting>
  <conditionalFormatting sqref="AC65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5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X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I65">
    <cfRule type="expression" priority="525" dxfId="3">
      <formula>AND(IF(OR($Q65=1,$Q65=2),1,0),IF($X65&lt;=20,1,0))</formula>
    </cfRule>
    <cfRule type="expression" priority="526" dxfId="2">
      <formula>AND(IF($Q65=2,1,0),IF($X65&lt;30,1,0))</formula>
    </cfRule>
    <cfRule type="expression" priority="527" dxfId="1">
      <formula>AND(IF($Q65=3,1,0),IF($X65&lt;30,1,0))</formula>
    </cfRule>
    <cfRule type="expression" priority="528" dxfId="0">
      <formula>AND(IF($Q65=3,1,IF($Q65=4,1,0)),IF($F65&lt;=85,1,0))</formula>
    </cfRule>
  </conditionalFormatting>
  <conditionalFormatting sqref="AV66">
    <cfRule type="expression" priority="523" dxfId="17">
      <formula>AV66="X"</formula>
    </cfRule>
    <cfRule type="expression" priority="524" dxfId="16">
      <formula>AV66="후보"</formula>
    </cfRule>
  </conditionalFormatting>
  <conditionalFormatting sqref="AC66 N6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67">
    <cfRule type="expression" priority="518" dxfId="17">
      <formula>AV67="X"</formula>
    </cfRule>
    <cfRule type="expression" priority="519" dxfId="16">
      <formula>AV67="후보"</formula>
    </cfRule>
  </conditionalFormatting>
  <conditionalFormatting sqref="AC6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7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7">
    <cfRule type="expression" priority="509" dxfId="3">
      <formula>AND(IF(OR($Q67=1,$Q67=2),1,0),IF($X67&lt;=20,1,0))</formula>
    </cfRule>
    <cfRule type="expression" priority="510" dxfId="2">
      <formula>AND(IF($Q67=2,1,0),IF($X67&lt;30,1,0))</formula>
    </cfRule>
    <cfRule type="expression" priority="511" dxfId="1">
      <formula>AND(IF($Q67=3,1,0),IF($X67&lt;30,1,0))</formula>
    </cfRule>
    <cfRule type="expression" priority="512" dxfId="0">
      <formula>AND(IF($Q67=3,1,IF($Q67=4,1,0)),IF($F67&lt;=85,1,0))</formula>
    </cfRule>
  </conditionalFormatting>
  <conditionalFormatting sqref="X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AI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V68">
    <cfRule type="expression" priority="499" dxfId="17">
      <formula>AV68="X"</formula>
    </cfRule>
    <cfRule type="expression" priority="500" dxfId="16">
      <formula>AV68="후보"</formula>
    </cfRule>
  </conditionalFormatting>
  <conditionalFormatting sqref="AC6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6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68">
    <cfRule type="expression" priority="490" dxfId="3">
      <formula>AND(IF(OR($Q68=1,$Q68=2),1,0),IF($X68&lt;=20,1,0))</formula>
    </cfRule>
    <cfRule type="expression" priority="491" dxfId="2">
      <formula>AND(IF($Q68=2,1,0),IF($X68&lt;30,1,0))</formula>
    </cfRule>
    <cfRule type="expression" priority="492" dxfId="1">
      <formula>AND(IF($Q68=3,1,0),IF($X68&lt;30,1,0))</formula>
    </cfRule>
    <cfRule type="expression" priority="493" dxfId="0">
      <formula>AND(IF($Q68=3,1,IF($Q68=4,1,0)),IF($F68&lt;=85,1,0))</formula>
    </cfRule>
  </conditionalFormatting>
  <conditionalFormatting sqref="X68">
    <cfRule type="expression" priority="486" dxfId="3">
      <formula>AND(IF(OR($Q68=1,$Q68=2),1,0),IF($X68&lt;=20,1,0))</formula>
    </cfRule>
    <cfRule type="expression" priority="487" dxfId="2">
      <formula>AND(IF($Q68=2,1,0),IF($X68&lt;30,1,0))</formula>
    </cfRule>
    <cfRule type="expression" priority="488" dxfId="1">
      <formula>AND(IF($Q68=3,1,0),IF($X68&lt;30,1,0))</formula>
    </cfRule>
    <cfRule type="expression" priority="489" dxfId="0">
      <formula>AND(IF($Q68=3,1,IF($Q68=4,1,0)),IF($F68&lt;=85,1,0))</formula>
    </cfRule>
  </conditionalFormatting>
  <conditionalFormatting sqref="AI68">
    <cfRule type="expression" priority="482" dxfId="3">
      <formula>AND(IF(OR($Q68=1,$Q68=2),1,0),IF($X68&lt;=20,1,0))</formula>
    </cfRule>
    <cfRule type="expression" priority="483" dxfId="2">
      <formula>AND(IF($Q68=2,1,0),IF($X68&lt;30,1,0))</formula>
    </cfRule>
    <cfRule type="expression" priority="484" dxfId="1">
      <formula>AND(IF($Q68=3,1,0),IF($X68&lt;30,1,0))</formula>
    </cfRule>
    <cfRule type="expression" priority="485" dxfId="0">
      <formula>AND(IF($Q68=3,1,IF($Q68=4,1,0)),IF($F68&lt;=85,1,0))</formula>
    </cfRule>
  </conditionalFormatting>
  <conditionalFormatting sqref="AV69">
    <cfRule type="expression" priority="480" dxfId="17">
      <formula>AV69="X"</formula>
    </cfRule>
    <cfRule type="expression" priority="481" dxfId="16">
      <formula>AV69="후보"</formula>
    </cfRule>
  </conditionalFormatting>
  <conditionalFormatting sqref="AC6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9">
    <cfRule type="expression" priority="471" dxfId="3">
      <formula>AND(IF(OR($Q69=1,$Q69=2),1,0),IF($X69&lt;=20,1,0))</formula>
    </cfRule>
    <cfRule type="expression" priority="472" dxfId="2">
      <formula>AND(IF($Q69=2,1,0),IF($X69&lt;30,1,0))</formula>
    </cfRule>
    <cfRule type="expression" priority="473" dxfId="1">
      <formula>AND(IF($Q69=3,1,0),IF($X69&lt;30,1,0))</formula>
    </cfRule>
    <cfRule type="expression" priority="474" dxfId="0">
      <formula>AND(IF($Q69=3,1,IF($Q69=4,1,0)),IF($F69&lt;=85,1,0))</formula>
    </cfRule>
  </conditionalFormatting>
  <conditionalFormatting sqref="X69">
    <cfRule type="expression" priority="467" dxfId="3">
      <formula>AND(IF(OR($Q69=1,$Q69=2),1,0),IF($X69&lt;=20,1,0))</formula>
    </cfRule>
    <cfRule type="expression" priority="468" dxfId="2">
      <formula>AND(IF($Q69=2,1,0),IF($X69&lt;30,1,0))</formula>
    </cfRule>
    <cfRule type="expression" priority="469" dxfId="1">
      <formula>AND(IF($Q69=3,1,0),IF($X69&lt;30,1,0))</formula>
    </cfRule>
    <cfRule type="expression" priority="470" dxfId="0">
      <formula>AND(IF($Q69=3,1,IF($Q69=4,1,0)),IF($F69&lt;=85,1,0))</formula>
    </cfRule>
  </conditionalFormatting>
  <conditionalFormatting sqref="AI69">
    <cfRule type="expression" priority="463" dxfId="3">
      <formula>AND(IF(OR($Q69=1,$Q69=2),1,0),IF($X69&lt;=20,1,0))</formula>
    </cfRule>
    <cfRule type="expression" priority="464" dxfId="2">
      <formula>AND(IF($Q69=2,1,0),IF($X69&lt;30,1,0))</formula>
    </cfRule>
    <cfRule type="expression" priority="465" dxfId="1">
      <formula>AND(IF($Q69=3,1,0),IF($X69&lt;30,1,0))</formula>
    </cfRule>
    <cfRule type="expression" priority="466" dxfId="0">
      <formula>AND(IF($Q69=3,1,IF($Q69=4,1,0)),IF($F69&lt;=85,1,0))</formula>
    </cfRule>
  </conditionalFormatting>
  <conditionalFormatting sqref="AV70">
    <cfRule type="expression" priority="461" dxfId="17">
      <formula>AV70="X"</formula>
    </cfRule>
    <cfRule type="expression" priority="462" dxfId="16">
      <formula>AV70="후보"</formula>
    </cfRule>
  </conditionalFormatting>
  <conditionalFormatting sqref="AC70 N7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71">
    <cfRule type="expression" priority="456" dxfId="17">
      <formula>AV71="X"</formula>
    </cfRule>
    <cfRule type="expression" priority="457" dxfId="16">
      <formula>AV71="후보"</formula>
    </cfRule>
  </conditionalFormatting>
  <conditionalFormatting sqref="AC7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1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1">
    <cfRule type="expression" priority="447" dxfId="3">
      <formula>AND(IF(OR($Q71=1,$Q71=2),1,0),IF($X71&lt;=20,1,0))</formula>
    </cfRule>
    <cfRule type="expression" priority="448" dxfId="2">
      <formula>AND(IF($Q71=2,1,0),IF($X71&lt;30,1,0))</formula>
    </cfRule>
    <cfRule type="expression" priority="449" dxfId="1">
      <formula>AND(IF($Q71=3,1,0),IF($X71&lt;30,1,0))</formula>
    </cfRule>
    <cfRule type="expression" priority="450" dxfId="0">
      <formula>AND(IF($Q71=3,1,IF($Q71=4,1,0)),IF($F71&lt;=85,1,0))</formula>
    </cfRule>
  </conditionalFormatting>
  <conditionalFormatting sqref="X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AI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V72">
    <cfRule type="expression" priority="437" dxfId="17">
      <formula>AV72="X"</formula>
    </cfRule>
    <cfRule type="expression" priority="438" dxfId="16">
      <formula>AV72="후보"</formula>
    </cfRule>
  </conditionalFormatting>
  <conditionalFormatting sqref="AC72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72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72">
    <cfRule type="expression" priority="428" dxfId="3">
      <formula>AND(IF(OR($Q72=1,$Q72=2),1,0),IF($X72&lt;=20,1,0))</formula>
    </cfRule>
    <cfRule type="expression" priority="429" dxfId="2">
      <formula>AND(IF($Q72=2,1,0),IF($X72&lt;30,1,0))</formula>
    </cfRule>
    <cfRule type="expression" priority="430" dxfId="1">
      <formula>AND(IF($Q72=3,1,0),IF($X72&lt;30,1,0))</formula>
    </cfRule>
    <cfRule type="expression" priority="431" dxfId="0">
      <formula>AND(IF($Q72=3,1,IF($Q72=4,1,0)),IF($F72&lt;=85,1,0))</formula>
    </cfRule>
  </conditionalFormatting>
  <conditionalFormatting sqref="X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AI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V73">
    <cfRule type="expression" priority="418" dxfId="17">
      <formula>AV73="X"</formula>
    </cfRule>
    <cfRule type="expression" priority="419" dxfId="16">
      <formula>AV73="후보"</formula>
    </cfRule>
  </conditionalFormatting>
  <conditionalFormatting sqref="AC7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3">
    <cfRule type="expression" priority="409" dxfId="3">
      <formula>AND(IF(OR($Q73=1,$Q73=2),1,0),IF($X73&lt;=20,1,0))</formula>
    </cfRule>
    <cfRule type="expression" priority="410" dxfId="2">
      <formula>AND(IF($Q73=2,1,0),IF($X73&lt;30,1,0))</formula>
    </cfRule>
    <cfRule type="expression" priority="411" dxfId="1">
      <formula>AND(IF($Q73=3,1,0),IF($X73&lt;30,1,0))</formula>
    </cfRule>
    <cfRule type="expression" priority="412" dxfId="0">
      <formula>AND(IF($Q73=3,1,IF($Q73=4,1,0)),IF($F73&lt;=85,1,0))</formula>
    </cfRule>
  </conditionalFormatting>
  <conditionalFormatting sqref="X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AI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V74">
    <cfRule type="expression" priority="399" dxfId="17">
      <formula>AV74="X"</formula>
    </cfRule>
    <cfRule type="expression" priority="400" dxfId="16">
      <formula>AV74="후보"</formula>
    </cfRule>
  </conditionalFormatting>
  <conditionalFormatting sqref="AC7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4">
    <cfRule type="expression" priority="390" dxfId="3">
      <formula>AND(IF(OR($Q74=1,$Q74=2),1,0),IF($X74&lt;=20,1,0))</formula>
    </cfRule>
    <cfRule type="expression" priority="391" dxfId="2">
      <formula>AND(IF($Q74=2,1,0),IF($X74&lt;30,1,0))</formula>
    </cfRule>
    <cfRule type="expression" priority="392" dxfId="1">
      <formula>AND(IF($Q74=3,1,0),IF($X74&lt;30,1,0))</formula>
    </cfRule>
    <cfRule type="expression" priority="393" dxfId="0">
      <formula>AND(IF($Q74=3,1,IF($Q74=4,1,0)),IF($F74&lt;=85,1,0))</formula>
    </cfRule>
  </conditionalFormatting>
  <conditionalFormatting sqref="X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AI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V75">
    <cfRule type="expression" priority="380" dxfId="17">
      <formula>AV75="X"</formula>
    </cfRule>
    <cfRule type="expression" priority="381" dxfId="16">
      <formula>AV75="후보"</formula>
    </cfRule>
  </conditionalFormatting>
  <conditionalFormatting sqref="AC75 N7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76">
    <cfRule type="expression" priority="375" dxfId="17">
      <formula>AV76="X"</formula>
    </cfRule>
    <cfRule type="expression" priority="376" dxfId="16">
      <formula>AV76="후보"</formula>
    </cfRule>
  </conditionalFormatting>
  <conditionalFormatting sqref="AC7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6">
    <cfRule type="expression" priority="366" dxfId="3">
      <formula>AND(IF(OR($Q76=1,$Q76=2),1,0),IF($X76&lt;=20,1,0))</formula>
    </cfRule>
    <cfRule type="expression" priority="367" dxfId="2">
      <formula>AND(IF($Q76=2,1,0),IF($X76&lt;30,1,0))</formula>
    </cfRule>
    <cfRule type="expression" priority="368" dxfId="1">
      <formula>AND(IF($Q76=3,1,0),IF($X76&lt;30,1,0))</formula>
    </cfRule>
    <cfRule type="expression" priority="369" dxfId="0">
      <formula>AND(IF($Q76=3,1,IF($Q76=4,1,0)),IF($F76&lt;=85,1,0))</formula>
    </cfRule>
  </conditionalFormatting>
  <conditionalFormatting sqref="X76">
    <cfRule type="expression" priority="362" dxfId="3">
      <formula>AND(IF(OR($Q76=1,$Q76=2),1,0),IF($X76&lt;=20,1,0))</formula>
    </cfRule>
    <cfRule type="expression" priority="363" dxfId="2">
      <formula>AND(IF($Q76=2,1,0),IF($X76&lt;30,1,0))</formula>
    </cfRule>
    <cfRule type="expression" priority="364" dxfId="1">
      <formula>AND(IF($Q76=3,1,0),IF($X76&lt;30,1,0))</formula>
    </cfRule>
    <cfRule type="expression" priority="365" dxfId="0">
      <formula>AND(IF($Q76=3,1,IF($Q76=4,1,0)),IF($F76&lt;=85,1,0))</formula>
    </cfRule>
  </conditionalFormatting>
  <conditionalFormatting sqref="AI76">
    <cfRule type="expression" priority="358" dxfId="3">
      <formula>AND(IF(OR($Q76=1,$Q76=2),1,0),IF($X76&lt;=20,1,0))</formula>
    </cfRule>
    <cfRule type="expression" priority="359" dxfId="2">
      <formula>AND(IF($Q76=2,1,0),IF($X76&lt;30,1,0))</formula>
    </cfRule>
    <cfRule type="expression" priority="360" dxfId="1">
      <formula>AND(IF($Q76=3,1,0),IF($X76&lt;30,1,0))</formula>
    </cfRule>
    <cfRule type="expression" priority="361" dxfId="0">
      <formula>AND(IF($Q76=3,1,IF($Q76=4,1,0)),IF($F76&lt;=85,1,0))</formula>
    </cfRule>
  </conditionalFormatting>
  <conditionalFormatting sqref="AV77">
    <cfRule type="expression" priority="356" dxfId="17">
      <formula>AV77="X"</formula>
    </cfRule>
    <cfRule type="expression" priority="357" dxfId="16">
      <formula>AV77="후보"</formula>
    </cfRule>
  </conditionalFormatting>
  <conditionalFormatting sqref="AC7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7">
    <cfRule type="expression" priority="347" dxfId="3">
      <formula>AND(IF(OR($Q77=1,$Q77=2),1,0),IF($X77&lt;=20,1,0))</formula>
    </cfRule>
    <cfRule type="expression" priority="348" dxfId="2">
      <formula>AND(IF($Q77=2,1,0),IF($X77&lt;30,1,0))</formula>
    </cfRule>
    <cfRule type="expression" priority="349" dxfId="1">
      <formula>AND(IF($Q77=3,1,0),IF($X77&lt;30,1,0))</formula>
    </cfRule>
    <cfRule type="expression" priority="350" dxfId="0">
      <formula>AND(IF($Q77=3,1,IF($Q77=4,1,0)),IF($F77&lt;=85,1,0))</formula>
    </cfRule>
  </conditionalFormatting>
  <conditionalFormatting sqref="X77">
    <cfRule type="expression" priority="343" dxfId="3">
      <formula>AND(IF(OR($Q77=1,$Q77=2),1,0),IF($X77&lt;=20,1,0))</formula>
    </cfRule>
    <cfRule type="expression" priority="344" dxfId="2">
      <formula>AND(IF($Q77=2,1,0),IF($X77&lt;30,1,0))</formula>
    </cfRule>
    <cfRule type="expression" priority="345" dxfId="1">
      <formula>AND(IF($Q77=3,1,0),IF($X77&lt;30,1,0))</formula>
    </cfRule>
    <cfRule type="expression" priority="346" dxfId="0">
      <formula>AND(IF($Q77=3,1,IF($Q77=4,1,0)),IF($F77&lt;=85,1,0))</formula>
    </cfRule>
  </conditionalFormatting>
  <conditionalFormatting sqref="AI77">
    <cfRule type="expression" priority="339" dxfId="3">
      <formula>AND(IF(OR($Q77=1,$Q77=2),1,0),IF($X77&lt;=20,1,0))</formula>
    </cfRule>
    <cfRule type="expression" priority="340" dxfId="2">
      <formula>AND(IF($Q77=2,1,0),IF($X77&lt;30,1,0))</formula>
    </cfRule>
    <cfRule type="expression" priority="341" dxfId="1">
      <formula>AND(IF($Q77=3,1,0),IF($X77&lt;30,1,0))</formula>
    </cfRule>
    <cfRule type="expression" priority="342" dxfId="0">
      <formula>AND(IF($Q77=3,1,IF($Q77=4,1,0)),IF($F77&lt;=85,1,0))</formula>
    </cfRule>
  </conditionalFormatting>
  <conditionalFormatting sqref="AV78">
    <cfRule type="expression" priority="337" dxfId="17">
      <formula>AV78="X"</formula>
    </cfRule>
    <cfRule type="expression" priority="338" dxfId="16">
      <formula>AV78="후보"</formula>
    </cfRule>
  </conditionalFormatting>
  <conditionalFormatting sqref="AC7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8">
    <cfRule type="expression" priority="328" dxfId="3">
      <formula>AND(IF(OR($Q78=1,$Q78=2),1,0),IF($X78&lt;=20,1,0))</formula>
    </cfRule>
    <cfRule type="expression" priority="329" dxfId="2">
      <formula>AND(IF($Q78=2,1,0),IF($X78&lt;30,1,0))</formula>
    </cfRule>
    <cfRule type="expression" priority="330" dxfId="1">
      <formula>AND(IF($Q78=3,1,0),IF($X78&lt;30,1,0))</formula>
    </cfRule>
    <cfRule type="expression" priority="331" dxfId="0">
      <formula>AND(IF($Q78=3,1,IF($Q78=4,1,0)),IF($F78&lt;=85,1,0))</formula>
    </cfRule>
  </conditionalFormatting>
  <conditionalFormatting sqref="X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AI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V79">
    <cfRule type="expression" priority="318" dxfId="17">
      <formula>AV79="X"</formula>
    </cfRule>
    <cfRule type="expression" priority="319" dxfId="16">
      <formula>AV79="후보"</formula>
    </cfRule>
  </conditionalFormatting>
  <conditionalFormatting sqref="AC7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9">
    <cfRule type="expression" priority="309" dxfId="3">
      <formula>AND(IF(OR($Q79=1,$Q79=2),1,0),IF($X79&lt;=20,1,0))</formula>
    </cfRule>
    <cfRule type="expression" priority="310" dxfId="2">
      <formula>AND(IF($Q79=2,1,0),IF($X79&lt;30,1,0))</formula>
    </cfRule>
    <cfRule type="expression" priority="311" dxfId="1">
      <formula>AND(IF($Q79=3,1,0),IF($X79&lt;30,1,0))</formula>
    </cfRule>
    <cfRule type="expression" priority="312" dxfId="0">
      <formula>AND(IF($Q79=3,1,IF($Q79=4,1,0)),IF($F79&lt;=85,1,0))</formula>
    </cfRule>
  </conditionalFormatting>
  <conditionalFormatting sqref="X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AI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V80">
    <cfRule type="expression" priority="299" dxfId="17">
      <formula>AV80="X"</formula>
    </cfRule>
    <cfRule type="expression" priority="300" dxfId="16">
      <formula>AV80="후보"</formula>
    </cfRule>
  </conditionalFormatting>
  <conditionalFormatting sqref="AC80 N8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81">
    <cfRule type="expression" priority="294" dxfId="17">
      <formula>AV81="X"</formula>
    </cfRule>
    <cfRule type="expression" priority="295" dxfId="16">
      <formula>AV81="후보"</formula>
    </cfRule>
  </conditionalFormatting>
  <conditionalFormatting sqref="AC8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1">
    <cfRule type="expression" priority="285" dxfId="3">
      <formula>AND(IF(OR($Q81=1,$Q81=2),1,0),IF($X81&lt;=20,1,0))</formula>
    </cfRule>
    <cfRule type="expression" priority="286" dxfId="2">
      <formula>AND(IF($Q81=2,1,0),IF($X81&lt;30,1,0))</formula>
    </cfRule>
    <cfRule type="expression" priority="287" dxfId="1">
      <formula>AND(IF($Q81=3,1,0),IF($X81&lt;30,1,0))</formula>
    </cfRule>
    <cfRule type="expression" priority="288" dxfId="0">
      <formula>AND(IF($Q81=3,1,IF($Q81=4,1,0)),IF($F81&lt;=85,1,0))</formula>
    </cfRule>
  </conditionalFormatting>
  <conditionalFormatting sqref="X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AI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V82">
    <cfRule type="expression" priority="275" dxfId="17">
      <formula>AV82="X"</formula>
    </cfRule>
    <cfRule type="expression" priority="276" dxfId="16">
      <formula>AV82="후보"</formula>
    </cfRule>
  </conditionalFormatting>
  <conditionalFormatting sqref="AC8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2">
    <cfRule type="expression" priority="266" dxfId="3">
      <formula>AND(IF(OR($Q82=1,$Q82=2),1,0),IF($X82&lt;=20,1,0))</formula>
    </cfRule>
    <cfRule type="expression" priority="267" dxfId="2">
      <formula>AND(IF($Q82=2,1,0),IF($X82&lt;30,1,0))</formula>
    </cfRule>
    <cfRule type="expression" priority="268" dxfId="1">
      <formula>AND(IF($Q82=3,1,0),IF($X82&lt;30,1,0))</formula>
    </cfRule>
    <cfRule type="expression" priority="269" dxfId="0">
      <formula>AND(IF($Q82=3,1,IF($Q82=4,1,0)),IF($F82&lt;=85,1,0))</formula>
    </cfRule>
  </conditionalFormatting>
  <conditionalFormatting sqref="X82">
    <cfRule type="expression" priority="262" dxfId="3">
      <formula>AND(IF(OR($Q82=1,$Q82=2),1,0),IF($X82&lt;=20,1,0))</formula>
    </cfRule>
    <cfRule type="expression" priority="263" dxfId="2">
      <formula>AND(IF($Q82=2,1,0),IF($X82&lt;30,1,0))</formula>
    </cfRule>
    <cfRule type="expression" priority="264" dxfId="1">
      <formula>AND(IF($Q82=3,1,0),IF($X82&lt;30,1,0))</formula>
    </cfRule>
    <cfRule type="expression" priority="265" dxfId="0">
      <formula>AND(IF($Q82=3,1,IF($Q82=4,1,0)),IF($F82&lt;=85,1,0))</formula>
    </cfRule>
  </conditionalFormatting>
  <conditionalFormatting sqref="AI82">
    <cfRule type="expression" priority="258" dxfId="3">
      <formula>AND(IF(OR($Q82=1,$Q82=2),1,0),IF($X82&lt;=20,1,0))</formula>
    </cfRule>
    <cfRule type="expression" priority="259" dxfId="2">
      <formula>AND(IF($Q82=2,1,0),IF($X82&lt;30,1,0))</formula>
    </cfRule>
    <cfRule type="expression" priority="260" dxfId="1">
      <formula>AND(IF($Q82=3,1,0),IF($X82&lt;30,1,0))</formula>
    </cfRule>
    <cfRule type="expression" priority="261" dxfId="0">
      <formula>AND(IF($Q82=3,1,IF($Q82=4,1,0)),IF($F82&lt;=85,1,0))</formula>
    </cfRule>
  </conditionalFormatting>
  <conditionalFormatting sqref="AV83">
    <cfRule type="expression" priority="256" dxfId="17">
      <formula>AV83="X"</formula>
    </cfRule>
    <cfRule type="expression" priority="257" dxfId="16">
      <formula>AV83="후보"</formula>
    </cfRule>
  </conditionalFormatting>
  <conditionalFormatting sqref="AC8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3">
    <cfRule type="expression" priority="247" dxfId="3">
      <formula>AND(IF(OR($Q83=1,$Q83=2),1,0),IF($X83&lt;=20,1,0))</formula>
    </cfRule>
    <cfRule type="expression" priority="248" dxfId="2">
      <formula>AND(IF($Q83=2,1,0),IF($X83&lt;30,1,0))</formula>
    </cfRule>
    <cfRule type="expression" priority="249" dxfId="1">
      <formula>AND(IF($Q83=3,1,0),IF($X83&lt;30,1,0))</formula>
    </cfRule>
    <cfRule type="expression" priority="250" dxfId="0">
      <formula>AND(IF($Q83=3,1,IF($Q83=4,1,0)),IF($F83&lt;=85,1,0))</formula>
    </cfRule>
  </conditionalFormatting>
  <conditionalFormatting sqref="X83">
    <cfRule type="expression" priority="243" dxfId="3">
      <formula>AND(IF(OR($Q83=1,$Q83=2),1,0),IF($X83&lt;=20,1,0))</formula>
    </cfRule>
    <cfRule type="expression" priority="244" dxfId="2">
      <formula>AND(IF($Q83=2,1,0),IF($X83&lt;30,1,0))</formula>
    </cfRule>
    <cfRule type="expression" priority="245" dxfId="1">
      <formula>AND(IF($Q83=3,1,0),IF($X83&lt;30,1,0))</formula>
    </cfRule>
    <cfRule type="expression" priority="246" dxfId="0">
      <formula>AND(IF($Q83=3,1,IF($Q83=4,1,0)),IF($F83&lt;=85,1,0))</formula>
    </cfRule>
  </conditionalFormatting>
  <conditionalFormatting sqref="AI83">
    <cfRule type="expression" priority="239" dxfId="3">
      <formula>AND(IF(OR($Q83=1,$Q83=2),1,0),IF($X83&lt;=20,1,0))</formula>
    </cfRule>
    <cfRule type="expression" priority="240" dxfId="2">
      <formula>AND(IF($Q83=2,1,0),IF($X83&lt;30,1,0))</formula>
    </cfRule>
    <cfRule type="expression" priority="241" dxfId="1">
      <formula>AND(IF($Q83=3,1,0),IF($X83&lt;30,1,0))</formula>
    </cfRule>
    <cfRule type="expression" priority="242" dxfId="0">
      <formula>AND(IF($Q83=3,1,IF($Q83=4,1,0)),IF($F83&lt;=85,1,0))</formula>
    </cfRule>
  </conditionalFormatting>
  <conditionalFormatting sqref="AV84">
    <cfRule type="expression" priority="237" dxfId="17">
      <formula>AV84="X"</formula>
    </cfRule>
    <cfRule type="expression" priority="238" dxfId="16">
      <formula>AV84="후보"</formula>
    </cfRule>
  </conditionalFormatting>
  <conditionalFormatting sqref="AC84 N8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85">
    <cfRule type="expression" priority="232" dxfId="17">
      <formula>AV85="X"</formula>
    </cfRule>
    <cfRule type="expression" priority="233" dxfId="16">
      <formula>AV85="후보"</formula>
    </cfRule>
  </conditionalFormatting>
  <conditionalFormatting sqref="AC8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5">
    <cfRule type="expression" priority="223" dxfId="3">
      <formula>AND(IF(OR($Q85=1,$Q85=2),1,0),IF($X85&lt;=20,1,0))</formula>
    </cfRule>
    <cfRule type="expression" priority="224" dxfId="2">
      <formula>AND(IF($Q85=2,1,0),IF($X85&lt;30,1,0))</formula>
    </cfRule>
    <cfRule type="expression" priority="225" dxfId="1">
      <formula>AND(IF($Q85=3,1,0),IF($X85&lt;30,1,0))</formula>
    </cfRule>
    <cfRule type="expression" priority="226" dxfId="0">
      <formula>AND(IF($Q85=3,1,IF($Q85=4,1,0)),IF($F85&lt;=85,1,0))</formula>
    </cfRule>
  </conditionalFormatting>
  <conditionalFormatting sqref="X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AI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V86">
    <cfRule type="expression" priority="213" dxfId="17">
      <formula>AV86="X"</formula>
    </cfRule>
    <cfRule type="expression" priority="214" dxfId="16">
      <formula>AV86="후보"</formula>
    </cfRule>
  </conditionalFormatting>
  <conditionalFormatting sqref="AC8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6">
    <cfRule type="expression" priority="204" dxfId="3">
      <formula>AND(IF(OR($Q86=1,$Q86=2),1,0),IF($X86&lt;=20,1,0))</formula>
    </cfRule>
    <cfRule type="expression" priority="205" dxfId="2">
      <formula>AND(IF($Q86=2,1,0),IF($X86&lt;30,1,0))</formula>
    </cfRule>
    <cfRule type="expression" priority="206" dxfId="1">
      <formula>AND(IF($Q86=3,1,0),IF($X86&lt;30,1,0))</formula>
    </cfRule>
    <cfRule type="expression" priority="207" dxfId="0">
      <formula>AND(IF($Q86=3,1,IF($Q86=4,1,0)),IF($F86&lt;=85,1,0))</formula>
    </cfRule>
  </conditionalFormatting>
  <conditionalFormatting sqref="X86">
    <cfRule type="expression" priority="200" dxfId="3">
      <formula>AND(IF(OR($Q86=1,$Q86=2),1,0),IF($X86&lt;=20,1,0))</formula>
    </cfRule>
    <cfRule type="expression" priority="201" dxfId="2">
      <formula>AND(IF($Q86=2,1,0),IF($X86&lt;30,1,0))</formula>
    </cfRule>
    <cfRule type="expression" priority="202" dxfId="1">
      <formula>AND(IF($Q86=3,1,0),IF($X86&lt;30,1,0))</formula>
    </cfRule>
    <cfRule type="expression" priority="203" dxfId="0">
      <formula>AND(IF($Q86=3,1,IF($Q86=4,1,0)),IF($F86&lt;=85,1,0))</formula>
    </cfRule>
  </conditionalFormatting>
  <conditionalFormatting sqref="AI86">
    <cfRule type="expression" priority="196" dxfId="3">
      <formula>AND(IF(OR($Q86=1,$Q86=2),1,0),IF($X86&lt;=20,1,0))</formula>
    </cfRule>
    <cfRule type="expression" priority="197" dxfId="2">
      <formula>AND(IF($Q86=2,1,0),IF($X86&lt;30,1,0))</formula>
    </cfRule>
    <cfRule type="expression" priority="198" dxfId="1">
      <formula>AND(IF($Q86=3,1,0),IF($X86&lt;30,1,0))</formula>
    </cfRule>
    <cfRule type="expression" priority="199" dxfId="0">
      <formula>AND(IF($Q86=3,1,IF($Q86=4,1,0)),IF($F86&lt;=85,1,0))</formula>
    </cfRule>
  </conditionalFormatting>
  <conditionalFormatting sqref="AV87">
    <cfRule type="expression" priority="194" dxfId="17">
      <formula>AV87="X"</formula>
    </cfRule>
    <cfRule type="expression" priority="195" dxfId="16">
      <formula>AV87="후보"</formula>
    </cfRule>
  </conditionalFormatting>
  <conditionalFormatting sqref="AC8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7">
    <cfRule type="expression" priority="185" dxfId="3">
      <formula>AND(IF(OR($Q87=1,$Q87=2),1,0),IF($X87&lt;=20,1,0))</formula>
    </cfRule>
    <cfRule type="expression" priority="186" dxfId="2">
      <formula>AND(IF($Q87=2,1,0),IF($X87&lt;30,1,0))</formula>
    </cfRule>
    <cfRule type="expression" priority="187" dxfId="1">
      <formula>AND(IF($Q87=3,1,0),IF($X87&lt;30,1,0))</formula>
    </cfRule>
    <cfRule type="expression" priority="188" dxfId="0">
      <formula>AND(IF($Q87=3,1,IF($Q87=4,1,0)),IF($F87&lt;=85,1,0))</formula>
    </cfRule>
  </conditionalFormatting>
  <conditionalFormatting sqref="X87">
    <cfRule type="expression" priority="181" dxfId="3">
      <formula>AND(IF(OR($Q87=1,$Q87=2),1,0),IF($X87&lt;=20,1,0))</formula>
    </cfRule>
    <cfRule type="expression" priority="182" dxfId="2">
      <formula>AND(IF($Q87=2,1,0),IF($X87&lt;30,1,0))</formula>
    </cfRule>
    <cfRule type="expression" priority="183" dxfId="1">
      <formula>AND(IF($Q87=3,1,0),IF($X87&lt;30,1,0))</formula>
    </cfRule>
    <cfRule type="expression" priority="184" dxfId="0">
      <formula>AND(IF($Q87=3,1,IF($Q87=4,1,0)),IF($F87&lt;=85,1,0))</formula>
    </cfRule>
  </conditionalFormatting>
  <conditionalFormatting sqref="AI87">
    <cfRule type="expression" priority="177" dxfId="3">
      <formula>AND(IF(OR($Q87=1,$Q87=2),1,0),IF($X87&lt;=20,1,0))</formula>
    </cfRule>
    <cfRule type="expression" priority="178" dxfId="2">
      <formula>AND(IF($Q87=2,1,0),IF($X87&lt;30,1,0))</formula>
    </cfRule>
    <cfRule type="expression" priority="179" dxfId="1">
      <formula>AND(IF($Q87=3,1,0),IF($X87&lt;30,1,0))</formula>
    </cfRule>
    <cfRule type="expression" priority="180" dxfId="0">
      <formula>AND(IF($Q87=3,1,IF($Q87=4,1,0)),IF($F87&lt;=85,1,0))</formula>
    </cfRule>
  </conditionalFormatting>
  <conditionalFormatting sqref="AV88">
    <cfRule type="expression" priority="175" dxfId="17">
      <formula>AV88="X"</formula>
    </cfRule>
    <cfRule type="expression" priority="176" dxfId="16">
      <formula>AV88="후보"</formula>
    </cfRule>
  </conditionalFormatting>
  <conditionalFormatting sqref="AC8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8">
    <cfRule type="expression" priority="166" dxfId="3">
      <formula>AND(IF(OR($Q88=1,$Q88=2),1,0),IF($X88&lt;=20,1,0))</formula>
    </cfRule>
    <cfRule type="expression" priority="167" dxfId="2">
      <formula>AND(IF($Q88=2,1,0),IF($X88&lt;30,1,0))</formula>
    </cfRule>
    <cfRule type="expression" priority="168" dxfId="1">
      <formula>AND(IF($Q88=3,1,0),IF($X88&lt;30,1,0))</formula>
    </cfRule>
    <cfRule type="expression" priority="169" dxfId="0">
      <formula>AND(IF($Q88=3,1,IF($Q88=4,1,0)),IF($F88&lt;=85,1,0))</formula>
    </cfRule>
  </conditionalFormatting>
  <conditionalFormatting sqref="X88">
    <cfRule type="expression" priority="162" dxfId="3">
      <formula>AND(IF(OR($Q88=1,$Q88=2),1,0),IF($X88&lt;=20,1,0))</formula>
    </cfRule>
    <cfRule type="expression" priority="163" dxfId="2">
      <formula>AND(IF($Q88=2,1,0),IF($X88&lt;30,1,0))</formula>
    </cfRule>
    <cfRule type="expression" priority="164" dxfId="1">
      <formula>AND(IF($Q88=3,1,0),IF($X88&lt;30,1,0))</formula>
    </cfRule>
    <cfRule type="expression" priority="165" dxfId="0">
      <formula>AND(IF($Q88=3,1,IF($Q88=4,1,0)),IF($F88&lt;=85,1,0))</formula>
    </cfRule>
  </conditionalFormatting>
  <conditionalFormatting sqref="AI88">
    <cfRule type="expression" priority="158" dxfId="3">
      <formula>AND(IF(OR($Q88=1,$Q88=2),1,0),IF($X88&lt;=20,1,0))</formula>
    </cfRule>
    <cfRule type="expression" priority="159" dxfId="2">
      <formula>AND(IF($Q88=2,1,0),IF($X88&lt;30,1,0))</formula>
    </cfRule>
    <cfRule type="expression" priority="160" dxfId="1">
      <formula>AND(IF($Q88=3,1,0),IF($X88&lt;30,1,0))</formula>
    </cfRule>
    <cfRule type="expression" priority="161" dxfId="0">
      <formula>AND(IF($Q88=3,1,IF($Q88=4,1,0)),IF($F88&lt;=85,1,0))</formula>
    </cfRule>
  </conditionalFormatting>
  <conditionalFormatting sqref="AV89">
    <cfRule type="expression" priority="156" dxfId="17">
      <formula>AV89="X"</formula>
    </cfRule>
    <cfRule type="expression" priority="157" dxfId="16">
      <formula>AV89="후보"</formula>
    </cfRule>
  </conditionalFormatting>
  <conditionalFormatting sqref="AC8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9">
    <cfRule type="expression" priority="147" dxfId="3">
      <formula>AND(IF(OR($Q89=1,$Q89=2),1,0),IF($X89&lt;=20,1,0))</formula>
    </cfRule>
    <cfRule type="expression" priority="148" dxfId="2">
      <formula>AND(IF($Q89=2,1,0),IF($X89&lt;30,1,0))</formula>
    </cfRule>
    <cfRule type="expression" priority="149" dxfId="1">
      <formula>AND(IF($Q89=3,1,0),IF($X89&lt;30,1,0))</formula>
    </cfRule>
    <cfRule type="expression" priority="150" dxfId="0">
      <formula>AND(IF($Q89=3,1,IF($Q89=4,1,0)),IF($F89&lt;=85,1,0))</formula>
    </cfRule>
  </conditionalFormatting>
  <conditionalFormatting sqref="X89">
    <cfRule type="expression" priority="143" dxfId="3">
      <formula>AND(IF(OR($Q89=1,$Q89=2),1,0),IF($X89&lt;=20,1,0))</formula>
    </cfRule>
    <cfRule type="expression" priority="144" dxfId="2">
      <formula>AND(IF($Q89=2,1,0),IF($X89&lt;30,1,0))</formula>
    </cfRule>
    <cfRule type="expression" priority="145" dxfId="1">
      <formula>AND(IF($Q89=3,1,0),IF($X89&lt;30,1,0))</formula>
    </cfRule>
    <cfRule type="expression" priority="146" dxfId="0">
      <formula>AND(IF($Q89=3,1,IF($Q89=4,1,0)),IF($F89&lt;=85,1,0))</formula>
    </cfRule>
  </conditionalFormatting>
  <conditionalFormatting sqref="AI89">
    <cfRule type="expression" priority="139" dxfId="3">
      <formula>AND(IF(OR($Q89=1,$Q89=2),1,0),IF($X89&lt;=20,1,0))</formula>
    </cfRule>
    <cfRule type="expression" priority="140" dxfId="2">
      <formula>AND(IF($Q89=2,1,0),IF($X89&lt;30,1,0))</formula>
    </cfRule>
    <cfRule type="expression" priority="141" dxfId="1">
      <formula>AND(IF($Q89=3,1,0),IF($X89&lt;30,1,0))</formula>
    </cfRule>
    <cfRule type="expression" priority="142" dxfId="0">
      <formula>AND(IF($Q89=3,1,IF($Q89=4,1,0)),IF($F89&lt;=85,1,0))</formula>
    </cfRule>
  </conditionalFormatting>
  <conditionalFormatting sqref="AV90">
    <cfRule type="expression" priority="137" dxfId="17">
      <formula>AV90="X"</formula>
    </cfRule>
    <cfRule type="expression" priority="138" dxfId="16">
      <formula>AV90="후보"</formula>
    </cfRule>
  </conditionalFormatting>
  <conditionalFormatting sqref="AC9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0">
    <cfRule type="expression" priority="128" dxfId="3">
      <formula>AND(IF(OR($Q90=1,$Q90=2),1,0),IF($X90&lt;=20,1,0))</formula>
    </cfRule>
    <cfRule type="expression" priority="129" dxfId="2">
      <formula>AND(IF($Q90=2,1,0),IF($X90&lt;30,1,0))</formula>
    </cfRule>
    <cfRule type="expression" priority="130" dxfId="1">
      <formula>AND(IF($Q90=3,1,0),IF($X90&lt;30,1,0))</formula>
    </cfRule>
    <cfRule type="expression" priority="131" dxfId="0">
      <formula>AND(IF($Q90=3,1,IF($Q90=4,1,0)),IF($F90&lt;=85,1,0))</formula>
    </cfRule>
  </conditionalFormatting>
  <conditionalFormatting sqref="X90">
    <cfRule type="expression" priority="124" dxfId="3">
      <formula>AND(IF(OR($Q90=1,$Q90=2),1,0),IF($X90&lt;=20,1,0))</formula>
    </cfRule>
    <cfRule type="expression" priority="125" dxfId="2">
      <formula>AND(IF($Q90=2,1,0),IF($X90&lt;30,1,0))</formula>
    </cfRule>
    <cfRule type="expression" priority="126" dxfId="1">
      <formula>AND(IF($Q90=3,1,0),IF($X90&lt;30,1,0))</formula>
    </cfRule>
    <cfRule type="expression" priority="127" dxfId="0">
      <formula>AND(IF($Q90=3,1,IF($Q90=4,1,0)),IF($F90&lt;=85,1,0))</formula>
    </cfRule>
  </conditionalFormatting>
  <conditionalFormatting sqref="AI90">
    <cfRule type="expression" priority="120" dxfId="3">
      <formula>AND(IF(OR($Q90=1,$Q90=2),1,0),IF($X90&lt;=20,1,0))</formula>
    </cfRule>
    <cfRule type="expression" priority="121" dxfId="2">
      <formula>AND(IF($Q90=2,1,0),IF($X90&lt;30,1,0))</formula>
    </cfRule>
    <cfRule type="expression" priority="122" dxfId="1">
      <formula>AND(IF($Q90=3,1,0),IF($X90&lt;30,1,0))</formula>
    </cfRule>
    <cfRule type="expression" priority="123" dxfId="0">
      <formula>AND(IF($Q90=3,1,IF($Q90=4,1,0)),IF($F90&lt;=85,1,0))</formula>
    </cfRule>
  </conditionalFormatting>
  <conditionalFormatting sqref="AV91">
    <cfRule type="expression" priority="118" dxfId="17">
      <formula>AV91="X"</formula>
    </cfRule>
    <cfRule type="expression" priority="119" dxfId="16">
      <formula>AV91="후보"</formula>
    </cfRule>
  </conditionalFormatting>
  <conditionalFormatting sqref="AC9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1">
    <cfRule type="expression" priority="109" dxfId="3">
      <formula>AND(IF(OR($Q91=1,$Q91=2),1,0),IF($X91&lt;=20,1,0))</formula>
    </cfRule>
    <cfRule type="expression" priority="110" dxfId="2">
      <formula>AND(IF($Q91=2,1,0),IF($X91&lt;30,1,0))</formula>
    </cfRule>
    <cfRule type="expression" priority="111" dxfId="1">
      <formula>AND(IF($Q91=3,1,0),IF($X91&lt;30,1,0))</formula>
    </cfRule>
    <cfRule type="expression" priority="112" dxfId="0">
      <formula>AND(IF($Q91=3,1,IF($Q91=4,1,0)),IF($F91&lt;=85,1,0))</formula>
    </cfRule>
  </conditionalFormatting>
  <conditionalFormatting sqref="X91">
    <cfRule type="expression" priority="105" dxfId="3">
      <formula>AND(IF(OR($Q91=1,$Q91=2),1,0),IF($X91&lt;=20,1,0))</formula>
    </cfRule>
    <cfRule type="expression" priority="106" dxfId="2">
      <formula>AND(IF($Q91=2,1,0),IF($X91&lt;30,1,0))</formula>
    </cfRule>
    <cfRule type="expression" priority="107" dxfId="1">
      <formula>AND(IF($Q91=3,1,0),IF($X91&lt;30,1,0))</formula>
    </cfRule>
    <cfRule type="expression" priority="108" dxfId="0">
      <formula>AND(IF($Q91=3,1,IF($Q91=4,1,0)),IF($F91&lt;=85,1,0))</formula>
    </cfRule>
  </conditionalFormatting>
  <conditionalFormatting sqref="AI91">
    <cfRule type="expression" priority="101" dxfId="3">
      <formula>AND(IF(OR($Q91=1,$Q91=2),1,0),IF($X91&lt;=20,1,0))</formula>
    </cfRule>
    <cfRule type="expression" priority="102" dxfId="2">
      <formula>AND(IF($Q91=2,1,0),IF($X91&lt;30,1,0))</formula>
    </cfRule>
    <cfRule type="expression" priority="103" dxfId="1">
      <formula>AND(IF($Q91=3,1,0),IF($X91&lt;30,1,0))</formula>
    </cfRule>
    <cfRule type="expression" priority="104" dxfId="0">
      <formula>AND(IF($Q91=3,1,IF($Q91=4,1,0)),IF($F91&lt;=85,1,0))</formula>
    </cfRule>
  </conditionalFormatting>
  <conditionalFormatting sqref="AV92">
    <cfRule type="expression" priority="99" dxfId="17">
      <formula>AV92="X"</formula>
    </cfRule>
    <cfRule type="expression" priority="100" dxfId="16">
      <formula>AV92="후보"</formula>
    </cfRule>
  </conditionalFormatting>
  <conditionalFormatting sqref="AC92 N9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3">
    <cfRule type="expression" priority="94" dxfId="17">
      <formula>AV93="X"</formula>
    </cfRule>
    <cfRule type="expression" priority="95" dxfId="16">
      <formula>AV93="후보"</formula>
    </cfRule>
  </conditionalFormatting>
  <conditionalFormatting sqref="AC9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17">
      <formula>AV94="X"</formula>
    </cfRule>
    <cfRule type="expression" priority="76" dxfId="16">
      <formula>AV94="후보"</formula>
    </cfRule>
  </conditionalFormatting>
  <conditionalFormatting sqref="AC9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17">
      <formula>AV95="X"</formula>
    </cfRule>
    <cfRule type="expression" priority="57" dxfId="16">
      <formula>AV95="후보"</formula>
    </cfRule>
  </conditionalFormatting>
  <conditionalFormatting sqref="AC9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17">
      <formula>AV96="X"</formula>
    </cfRule>
    <cfRule type="expression" priority="38" dxfId="16">
      <formula>AV96="후보"</formula>
    </cfRule>
  </conditionalFormatting>
  <conditionalFormatting sqref="AC9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17">
      <formula>AV97="X"</formula>
    </cfRule>
    <cfRule type="expression" priority="19" dxfId="16">
      <formula>AV97="후보"</formula>
    </cfRule>
  </conditionalFormatting>
  <conditionalFormatting sqref="AC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3" sqref="A113:XFD1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망월동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미사강변사랑으로부영</t>
        </is>
      </c>
      <c r="B6" s="16" t="inlineStr">
        <is>
          <t>'17.10.</t>
        </is>
      </c>
      <c r="C6" s="164" t="n">
        <v>1104</v>
      </c>
      <c r="D6" s="161" t="n">
        <v>84.5</v>
      </c>
      <c r="E6" s="163" t="n">
        <v>26</v>
      </c>
      <c r="F6" s="161" t="n">
        <v>60.9</v>
      </c>
      <c r="G6" s="27" t="n">
        <v>18</v>
      </c>
      <c r="H6" s="164" t="n">
        <v>196</v>
      </c>
      <c r="I6" s="165" t="n">
        <v>90000</v>
      </c>
      <c r="J6" s="165" t="inlineStr">
        <is>
          <t>고</t>
        </is>
      </c>
      <c r="K6" s="165" t="n">
        <v>60000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미사강변사랑으로부영</t>
        </is>
      </c>
      <c r="B7" s="16" t="inlineStr">
        <is>
          <t>'17.10.</t>
        </is>
      </c>
      <c r="C7" s="164" t="n">
        <v>1104</v>
      </c>
      <c r="D7" s="161" t="n">
        <v>113.8</v>
      </c>
      <c r="E7" s="163" t="n">
        <v>34</v>
      </c>
      <c r="F7" s="161" t="n">
        <v>85</v>
      </c>
      <c r="G7" s="27" t="n">
        <v>26</v>
      </c>
      <c r="H7" s="164" t="n">
        <v>452</v>
      </c>
      <c r="I7" s="165" t="n">
        <v>100000</v>
      </c>
      <c r="J7" s="165" t="inlineStr">
        <is>
          <t>중</t>
        </is>
      </c>
      <c r="K7" s="165" t="n">
        <v>65000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미사강변사랑으로부영</t>
        </is>
      </c>
      <c r="B8" s="16" t="inlineStr">
        <is>
          <t>'17.10.</t>
        </is>
      </c>
      <c r="C8" s="164" t="n">
        <v>1104</v>
      </c>
      <c r="D8" s="161" t="n">
        <v>113.5</v>
      </c>
      <c r="E8" s="163" t="n">
        <v>34</v>
      </c>
      <c r="F8" s="161" t="n">
        <v>85</v>
      </c>
      <c r="G8" s="27" t="n">
        <v>26</v>
      </c>
      <c r="H8" s="164" t="n">
        <v>230</v>
      </c>
      <c r="I8" s="165" t="n">
        <v>103000</v>
      </c>
      <c r="J8" s="165" t="inlineStr">
        <is>
          <t>중</t>
        </is>
      </c>
      <c r="K8" s="165" t="n">
        <v>64900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113B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미사강변사랑으로부영</t>
        </is>
      </c>
      <c r="B9" s="16" t="inlineStr">
        <is>
          <t>'17.10.</t>
        </is>
      </c>
      <c r="C9" s="164" t="n">
        <v>1104</v>
      </c>
      <c r="D9" s="161" t="n">
        <v>113.7</v>
      </c>
      <c r="E9" s="163" t="n">
        <v>34</v>
      </c>
      <c r="F9" s="161" t="n">
        <v>85</v>
      </c>
      <c r="G9" s="27" t="n">
        <v>26</v>
      </c>
      <c r="H9" s="164" t="n">
        <v>226</v>
      </c>
      <c r="I9" s="165" t="n">
        <v>105000</v>
      </c>
      <c r="J9" s="165" t="inlineStr">
        <is>
          <t>6</t>
        </is>
      </c>
      <c r="K9" s="165" t="n">
        <v>65000</v>
      </c>
      <c r="L9" s="165" t="inlineStr">
        <is>
          <t>21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미사강변센텀팰리스</t>
        </is>
      </c>
      <c r="B11" s="16" t="inlineStr">
        <is>
          <t>'16.07.</t>
        </is>
      </c>
      <c r="C11" s="164" t="n">
        <v>1455</v>
      </c>
      <c r="D11" s="161" t="n">
        <v>98.3</v>
      </c>
      <c r="E11" s="163" t="n">
        <v>30</v>
      </c>
      <c r="F11" s="161" t="n">
        <v>74.90000000000001</v>
      </c>
      <c r="G11" s="27" t="n">
        <v>23</v>
      </c>
      <c r="H11" s="164" t="n">
        <v>249</v>
      </c>
      <c r="I11" s="165" t="n">
        <v>100000</v>
      </c>
      <c r="J11" s="165" t="inlineStr">
        <is>
          <t>고</t>
        </is>
      </c>
      <c r="K11" s="165" t="n">
        <v>60000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98A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미사강변센텀팰리스</t>
        </is>
      </c>
      <c r="B12" s="16" t="inlineStr">
        <is>
          <t>'16.07.</t>
        </is>
      </c>
      <c r="C12" s="164" t="n">
        <v>1455</v>
      </c>
      <c r="D12" s="161" t="n">
        <v>98.40000000000001</v>
      </c>
      <c r="E12" s="163" t="n">
        <v>30</v>
      </c>
      <c r="F12" s="161" t="n">
        <v>74.90000000000001</v>
      </c>
      <c r="G12" s="27" t="n">
        <v>23</v>
      </c>
      <c r="H12" s="164" t="n">
        <v>100</v>
      </c>
      <c r="I12" s="165" t="n">
        <v>103000</v>
      </c>
      <c r="J12" s="165" t="inlineStr">
        <is>
          <t>11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98C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미사강변센텀팰리스</t>
        </is>
      </c>
      <c r="B13" s="16" t="inlineStr">
        <is>
          <t>'16.07.</t>
        </is>
      </c>
      <c r="C13" s="164" t="n">
        <v>1455</v>
      </c>
      <c r="D13" s="161" t="n">
        <v>98.40000000000001</v>
      </c>
      <c r="E13" s="163" t="n">
        <v>30</v>
      </c>
      <c r="F13" s="161" t="n">
        <v>74.90000000000001</v>
      </c>
      <c r="G13" s="27" t="n">
        <v>23</v>
      </c>
      <c r="H13" s="164" t="n">
        <v>65</v>
      </c>
      <c r="I13" s="165" t="n">
        <v>103000</v>
      </c>
      <c r="J13" s="165" t="inlineStr">
        <is>
          <t>11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미사강변센텀팰리스</t>
        </is>
      </c>
      <c r="B14" s="16" t="inlineStr">
        <is>
          <t>'16.07.</t>
        </is>
      </c>
      <c r="C14" s="164" t="n">
        <v>1455</v>
      </c>
      <c r="D14" s="161" t="n">
        <v>98.3</v>
      </c>
      <c r="E14" s="163" t="n">
        <v>30</v>
      </c>
      <c r="F14" s="161" t="n">
        <v>74.90000000000001</v>
      </c>
      <c r="G14" s="27" t="n">
        <v>23</v>
      </c>
      <c r="H14" s="164" t="n">
        <v>44</v>
      </c>
      <c r="I14" s="165" t="n">
        <v>100000</v>
      </c>
      <c r="J14" s="165" t="inlineStr">
        <is>
          <t>고</t>
        </is>
      </c>
      <c r="K14" s="165" t="n">
        <v>60000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98AN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미사강변센텀팰리스</t>
        </is>
      </c>
      <c r="B15" s="16" t="inlineStr">
        <is>
          <t>'16.07.</t>
        </is>
      </c>
      <c r="C15" s="164" t="n">
        <v>1455</v>
      </c>
      <c r="D15" s="161" t="n">
        <v>111.2</v>
      </c>
      <c r="E15" s="163" t="n">
        <v>34</v>
      </c>
      <c r="F15" s="161" t="n">
        <v>84.7</v>
      </c>
      <c r="G15" s="27" t="n">
        <v>26</v>
      </c>
      <c r="H15" s="164" t="n">
        <v>502</v>
      </c>
      <c r="I15" s="165" t="n">
        <v>100500</v>
      </c>
      <c r="J15" s="165" t="inlineStr">
        <is>
          <t>18</t>
        </is>
      </c>
      <c r="K15" s="165" t="n">
        <v>68000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111B1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미사강변센텀팰리스</t>
        </is>
      </c>
      <c r="B16" s="16" t="inlineStr">
        <is>
          <t>'16.07.</t>
        </is>
      </c>
      <c r="C16" s="164" t="n">
        <v>1455</v>
      </c>
      <c r="D16" s="161" t="n">
        <v>111.6</v>
      </c>
      <c r="E16" s="163" t="n">
        <v>34</v>
      </c>
      <c r="F16" s="161" t="n">
        <v>85</v>
      </c>
      <c r="G16" s="27" t="n">
        <v>26</v>
      </c>
      <c r="H16" s="164" t="n">
        <v>202</v>
      </c>
      <c r="I16" s="165" t="n">
        <v>100000</v>
      </c>
      <c r="J16" s="165" t="inlineStr">
        <is>
          <t>5</t>
        </is>
      </c>
      <c r="K16" s="165" t="n">
        <v>65000</v>
      </c>
      <c r="L16" s="165" t="inlineStr">
        <is>
          <t>13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미사강변센텀팰리스</t>
        </is>
      </c>
      <c r="B17" s="16" t="inlineStr">
        <is>
          <t>'16.07.</t>
        </is>
      </c>
      <c r="C17" s="164" t="n">
        <v>1455</v>
      </c>
      <c r="D17" s="161" t="n">
        <v>111.4</v>
      </c>
      <c r="E17" s="163" t="n">
        <v>34</v>
      </c>
      <c r="F17" s="161" t="n">
        <v>84.90000000000001</v>
      </c>
      <c r="G17" s="27" t="n">
        <v>26</v>
      </c>
      <c r="H17" s="164" t="n">
        <v>174</v>
      </c>
      <c r="I17" s="165" t="n">
        <v>100000</v>
      </c>
      <c r="J17" s="165" t="inlineStr">
        <is>
          <t>고</t>
        </is>
      </c>
      <c r="K17" s="165" t="n">
        <v>68000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111B3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미사강변센텀팰리스</t>
        </is>
      </c>
      <c r="B18" s="16" t="inlineStr">
        <is>
          <t>'16.07.</t>
        </is>
      </c>
      <c r="C18" s="164" t="n">
        <v>1455</v>
      </c>
      <c r="D18" s="161" t="n">
        <v>111.4</v>
      </c>
      <c r="E18" s="163" t="n">
        <v>34</v>
      </c>
      <c r="F18" s="161" t="n">
        <v>84.90000000000001</v>
      </c>
      <c r="G18" s="27" t="n">
        <v>26</v>
      </c>
      <c r="H18" s="164" t="n">
        <v>52</v>
      </c>
      <c r="I18" s="165" t="n">
        <v>100000</v>
      </c>
      <c r="J18" s="165" t="inlineStr">
        <is>
          <t>고</t>
        </is>
      </c>
      <c r="K18" s="165" t="n">
        <v>68000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111B2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미사강변센텀팰리스</t>
        </is>
      </c>
      <c r="B19" s="16" t="inlineStr">
        <is>
          <t>'16.07.</t>
        </is>
      </c>
      <c r="C19" s="164" t="n">
        <v>1455</v>
      </c>
      <c r="D19" s="161" t="n">
        <v>111.6</v>
      </c>
      <c r="E19" s="163" t="n">
        <v>34</v>
      </c>
      <c r="F19" s="161" t="n">
        <v>85</v>
      </c>
      <c r="G19" s="27" t="n">
        <v>26</v>
      </c>
      <c r="H19" s="164" t="n">
        <v>35</v>
      </c>
      <c r="I19" s="165" t="n">
        <v>100000</v>
      </c>
      <c r="J19" s="165" t="inlineStr">
        <is>
          <t>5</t>
        </is>
      </c>
      <c r="K19" s="165" t="n">
        <v>65000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미사강변센텀팰리스</t>
        </is>
      </c>
      <c r="B20" s="16" t="inlineStr">
        <is>
          <t>'16.07.</t>
        </is>
      </c>
      <c r="C20" s="164" t="n">
        <v>1455</v>
      </c>
      <c r="D20" s="161" t="n">
        <v>111.6</v>
      </c>
      <c r="E20" s="163" t="n">
        <v>34</v>
      </c>
      <c r="F20" s="161" t="n">
        <v>85</v>
      </c>
      <c r="G20" s="27" t="n">
        <v>26</v>
      </c>
      <c r="H20" s="164" t="n">
        <v>32</v>
      </c>
      <c r="I20" s="165" t="n">
        <v>100000</v>
      </c>
      <c r="J20" s="165" t="inlineStr">
        <is>
          <t>5</t>
        </is>
      </c>
      <c r="K20" s="165" t="n">
        <v>65000</v>
      </c>
      <c r="L20" s="165" t="inlineStr">
        <is>
          <t>13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111AN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미사강변하우스디더레이크</t>
        </is>
      </c>
      <c r="B22" s="16" t="inlineStr">
        <is>
          <t>'16.05.</t>
        </is>
      </c>
      <c r="C22" s="164" t="n">
        <v>821</v>
      </c>
      <c r="D22" s="161" t="n">
        <v>99</v>
      </c>
      <c r="E22" s="163" t="n">
        <v>30</v>
      </c>
      <c r="F22" s="161" t="n">
        <v>74.90000000000001</v>
      </c>
      <c r="G22" s="27" t="n">
        <v>23</v>
      </c>
      <c r="H22" s="164" t="n">
        <v>192</v>
      </c>
      <c r="I22" s="165" t="n">
        <v>91000</v>
      </c>
      <c r="J22" s="165" t="inlineStr">
        <is>
          <t>중</t>
        </is>
      </c>
      <c r="K22" s="165" t="n">
        <v>57000</v>
      </c>
      <c r="L22" s="165" t="inlineStr">
        <is>
          <t>14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98A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미사강변하우스디더레이크</t>
        </is>
      </c>
      <c r="B23" s="16" t="inlineStr">
        <is>
          <t>'16.05.</t>
        </is>
      </c>
      <c r="C23" s="164" t="n">
        <v>821</v>
      </c>
      <c r="D23" s="161" t="n">
        <v>99</v>
      </c>
      <c r="E23" s="163" t="n">
        <v>30</v>
      </c>
      <c r="F23" s="161" t="n">
        <v>74.90000000000001</v>
      </c>
      <c r="G23" s="27" t="n">
        <v>23</v>
      </c>
      <c r="H23" s="164" t="n">
        <v>27</v>
      </c>
      <c r="I23" s="165" t="n">
        <v>91000</v>
      </c>
      <c r="J23" s="165" t="inlineStr">
        <is>
          <t>중</t>
        </is>
      </c>
      <c r="K23" s="165" t="n">
        <v>57000</v>
      </c>
      <c r="L23" s="165" t="inlineStr">
        <is>
          <t>14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98AN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미사강변하우스디더레이크</t>
        </is>
      </c>
      <c r="B24" s="16" t="inlineStr">
        <is>
          <t>'16.05.</t>
        </is>
      </c>
      <c r="C24" s="164" t="n">
        <v>821</v>
      </c>
      <c r="D24" s="161" t="n">
        <v>99.09999999999999</v>
      </c>
      <c r="E24" s="163" t="n">
        <v>30</v>
      </c>
      <c r="F24" s="161" t="n">
        <v>74.90000000000001</v>
      </c>
      <c r="G24" s="27" t="n">
        <v>23</v>
      </c>
      <c r="H24" s="164" t="n">
        <v>30</v>
      </c>
      <c r="I24" s="165" t="n">
        <v>105000</v>
      </c>
      <c r="J24" s="165" t="inlineStr">
        <is>
          <t>8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미사강변하우스디더레이크</t>
        </is>
      </c>
      <c r="B25" s="16" t="inlineStr">
        <is>
          <t>'16.05.</t>
        </is>
      </c>
      <c r="C25" s="164" t="n">
        <v>821</v>
      </c>
      <c r="D25" s="161" t="n">
        <v>112</v>
      </c>
      <c r="E25" s="163" t="n">
        <v>34</v>
      </c>
      <c r="F25" s="161" t="n">
        <v>84.7</v>
      </c>
      <c r="G25" s="27" t="n">
        <v>26</v>
      </c>
      <c r="H25" s="164" t="n">
        <v>62</v>
      </c>
      <c r="I25" s="165" t="n">
        <v>102000</v>
      </c>
      <c r="J25" s="165" t="inlineStr">
        <is>
          <t>고</t>
        </is>
      </c>
      <c r="K25" s="165" t="n">
        <v>64000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111B1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미사강변하우스디더레이크</t>
        </is>
      </c>
      <c r="B26" s="16" t="inlineStr">
        <is>
          <t>'16.05.</t>
        </is>
      </c>
      <c r="C26" s="164" t="n">
        <v>821</v>
      </c>
      <c r="D26" s="161" t="n">
        <v>112.4</v>
      </c>
      <c r="E26" s="163" t="n">
        <v>34</v>
      </c>
      <c r="F26" s="161" t="n">
        <v>85</v>
      </c>
      <c r="G26" s="27" t="n">
        <v>26</v>
      </c>
      <c r="H26" s="164" t="n">
        <v>198</v>
      </c>
      <c r="I26" s="165" t="n">
        <v>107000</v>
      </c>
      <c r="J26" s="165" t="inlineStr">
        <is>
          <t>6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미사강변하우스디더레이크</t>
        </is>
      </c>
      <c r="B27" s="16" t="inlineStr">
        <is>
          <t>'16.05.</t>
        </is>
      </c>
      <c r="C27" s="164" t="n">
        <v>821</v>
      </c>
      <c r="D27" s="161" t="n">
        <v>112.2</v>
      </c>
      <c r="E27" s="163" t="n">
        <v>34</v>
      </c>
      <c r="F27" s="161" t="n">
        <v>84.90000000000001</v>
      </c>
      <c r="G27" s="27" t="n">
        <v>26</v>
      </c>
      <c r="H27" s="164" t="n">
        <v>143</v>
      </c>
      <c r="I27" s="165" t="n">
        <v>110000</v>
      </c>
      <c r="J27" s="165" t="inlineStr">
        <is>
          <t>중</t>
        </is>
      </c>
      <c r="K27" s="165" t="n">
        <v>65000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112B2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미사강변하우스디더레이크</t>
        </is>
      </c>
      <c r="B28" s="16" t="inlineStr">
        <is>
          <t>'16.05.</t>
        </is>
      </c>
      <c r="C28" s="164" t="n">
        <v>821</v>
      </c>
      <c r="D28" s="161" t="n">
        <v>112.2</v>
      </c>
      <c r="E28" s="163" t="n">
        <v>34</v>
      </c>
      <c r="F28" s="161" t="n">
        <v>84.90000000000001</v>
      </c>
      <c r="G28" s="27" t="n">
        <v>26</v>
      </c>
      <c r="H28" s="164" t="n">
        <v>99</v>
      </c>
      <c r="I28" s="165" t="n">
        <v>110000</v>
      </c>
      <c r="J28" s="165" t="inlineStr">
        <is>
          <t>중</t>
        </is>
      </c>
      <c r="K28" s="165" t="n">
        <v>65000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112B3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미사강변하우스디더레이크</t>
        </is>
      </c>
      <c r="B29" s="16" t="inlineStr">
        <is>
          <t>'16.05.</t>
        </is>
      </c>
      <c r="C29" s="164" t="n">
        <v>821</v>
      </c>
      <c r="D29" s="161" t="n">
        <v>112.4</v>
      </c>
      <c r="E29" s="163" t="n">
        <v>34</v>
      </c>
      <c r="F29" s="161" t="n">
        <v>85</v>
      </c>
      <c r="G29" s="27" t="n">
        <v>26</v>
      </c>
      <c r="H29" s="164" t="n">
        <v>50</v>
      </c>
      <c r="I29" s="165" t="n">
        <v>107000</v>
      </c>
      <c r="J29" s="165" t="inlineStr">
        <is>
          <t>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미사강변하우스디더레이크</t>
        </is>
      </c>
      <c r="B30" s="16" t="inlineStr">
        <is>
          <t>'16.05.</t>
        </is>
      </c>
      <c r="C30" s="164" t="n">
        <v>821</v>
      </c>
      <c r="D30" s="161" t="n">
        <v>112.4</v>
      </c>
      <c r="E30" s="163" t="n">
        <v>34</v>
      </c>
      <c r="F30" s="161" t="n">
        <v>85</v>
      </c>
      <c r="G30" s="27" t="n">
        <v>26</v>
      </c>
      <c r="H30" s="164" t="n">
        <v>20</v>
      </c>
      <c r="I30" s="165" t="n">
        <v>107000</v>
      </c>
      <c r="J30" s="165" t="inlineStr">
        <is>
          <t>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112AN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미사강변도시16단지</t>
        </is>
      </c>
      <c r="B32" s="16" t="inlineStr">
        <is>
          <t>'15.10.</t>
        </is>
      </c>
      <c r="C32" s="164" t="n">
        <v>620</v>
      </c>
      <c r="D32" s="161" t="n">
        <v>73.90000000000001</v>
      </c>
      <c r="E32" s="163" t="n">
        <v>22</v>
      </c>
      <c r="F32" s="161" t="n">
        <v>51.7</v>
      </c>
      <c r="G32" s="27" t="n">
        <v>16</v>
      </c>
      <c r="H32" s="164" t="n">
        <v>14</v>
      </c>
      <c r="I32" s="165" t="n">
        <v>70000</v>
      </c>
      <c r="J32" s="165" t="inlineStr">
        <is>
          <t>고</t>
        </is>
      </c>
      <c r="K32" s="165" t="n">
        <v>49000</v>
      </c>
      <c r="L32" s="165" t="inlineStr">
        <is>
          <t>14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73A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미사강변도시16단지</t>
        </is>
      </c>
      <c r="B33" s="16" t="inlineStr">
        <is>
          <t>'15.10.</t>
        </is>
      </c>
      <c r="C33" s="164" t="n">
        <v>620</v>
      </c>
      <c r="D33" s="161" t="n">
        <v>73.90000000000001</v>
      </c>
      <c r="E33" s="163" t="n">
        <v>22</v>
      </c>
      <c r="F33" s="161" t="n">
        <v>51.7</v>
      </c>
      <c r="G33" s="27" t="n">
        <v>16</v>
      </c>
      <c r="H33" s="164" t="n">
        <v>6</v>
      </c>
      <c r="I33" s="165" t="n">
        <v>70000</v>
      </c>
      <c r="J33" s="165" t="inlineStr">
        <is>
          <t>고</t>
        </is>
      </c>
      <c r="K33" s="165" t="n">
        <v>49000</v>
      </c>
      <c r="L33" s="165" t="inlineStr">
        <is>
          <t>14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73B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미사강변도시16단지</t>
        </is>
      </c>
      <c r="B34" s="16" t="inlineStr">
        <is>
          <t>'15.10.</t>
        </is>
      </c>
      <c r="C34" s="164" t="n">
        <v>620</v>
      </c>
      <c r="D34" s="161" t="n">
        <v>74.2</v>
      </c>
      <c r="E34" s="163" t="n">
        <v>22</v>
      </c>
      <c r="F34" s="161" t="n">
        <v>51.9</v>
      </c>
      <c r="G34" s="27" t="n">
        <v>16</v>
      </c>
      <c r="H34" s="164" t="n">
        <v>3</v>
      </c>
      <c r="I34" s="165" t="n">
        <v>73000</v>
      </c>
      <c r="J34" s="165" t="inlineStr">
        <is>
          <t>5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inlineStr">
        <is>
          <t>74C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미사강변도시16단지</t>
        </is>
      </c>
      <c r="B35" s="16" t="inlineStr">
        <is>
          <t>'15.10.</t>
        </is>
      </c>
      <c r="C35" s="164" t="n">
        <v>620</v>
      </c>
      <c r="D35" s="161" t="n">
        <v>84.8</v>
      </c>
      <c r="E35" s="163" t="n">
        <v>26</v>
      </c>
      <c r="F35" s="161" t="n">
        <v>59.3</v>
      </c>
      <c r="G35" s="27" t="n">
        <v>18</v>
      </c>
      <c r="H35" s="164" t="n">
        <v>3</v>
      </c>
      <c r="I35" s="165" t="n">
        <v>82000</v>
      </c>
      <c r="J35" s="165" t="inlineStr">
        <is>
          <t>고</t>
        </is>
      </c>
      <c r="K35" s="165" t="n">
        <v>59000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84B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미사강변도시16단지</t>
        </is>
      </c>
      <c r="B36" s="16" t="inlineStr">
        <is>
          <t>'15.10.</t>
        </is>
      </c>
      <c r="C36" s="164" t="n">
        <v>620</v>
      </c>
      <c r="D36" s="161" t="n">
        <v>85.40000000000001</v>
      </c>
      <c r="E36" s="163" t="n">
        <v>26</v>
      </c>
      <c r="F36" s="161" t="n">
        <v>59.7</v>
      </c>
      <c r="G36" s="27" t="n">
        <v>18</v>
      </c>
      <c r="H36" s="164" t="n">
        <v>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85A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미사강변루나리움</t>
        </is>
      </c>
      <c r="B38" s="16" t="inlineStr">
        <is>
          <t>'15.09.</t>
        </is>
      </c>
      <c r="C38" s="164" t="n">
        <v>1164</v>
      </c>
      <c r="D38" s="161" t="n">
        <v>79.3</v>
      </c>
      <c r="E38" s="163" t="n">
        <v>24</v>
      </c>
      <c r="F38" s="161" t="n">
        <v>59.9</v>
      </c>
      <c r="G38" s="27" t="n">
        <v>18</v>
      </c>
      <c r="H38" s="164" t="n">
        <v>261</v>
      </c>
      <c r="I38" s="165" t="n">
        <v>85000</v>
      </c>
      <c r="J38" s="165" t="inlineStr">
        <is>
          <t>14</t>
        </is>
      </c>
      <c r="K38" s="165" t="n">
        <v>60000</v>
      </c>
      <c r="L38" s="165" t="inlineStr">
        <is>
          <t>6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79A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미사강변루나리움</t>
        </is>
      </c>
      <c r="B39" s="16" t="inlineStr">
        <is>
          <t>'15.09.</t>
        </is>
      </c>
      <c r="C39" s="164" t="n">
        <v>1164</v>
      </c>
      <c r="D39" s="161" t="n">
        <v>79.3</v>
      </c>
      <c r="E39" s="163" t="n">
        <v>24</v>
      </c>
      <c r="F39" s="161" t="n">
        <v>59.8</v>
      </c>
      <c r="G39" s="27" t="n">
        <v>18</v>
      </c>
      <c r="H39" s="164" t="n">
        <v>78</v>
      </c>
      <c r="I39" s="165" t="n">
        <v>85000</v>
      </c>
      <c r="J39" s="165" t="inlineStr">
        <is>
          <t>중</t>
        </is>
      </c>
      <c r="K39" s="165" t="n">
        <v>57000</v>
      </c>
      <c r="L39" s="165" t="inlineStr">
        <is>
          <t>중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79B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미사강변루나리움</t>
        </is>
      </c>
      <c r="B40" s="16" t="inlineStr">
        <is>
          <t>'15.09.</t>
        </is>
      </c>
      <c r="C40" s="164" t="n">
        <v>1164</v>
      </c>
      <c r="D40" s="161" t="n">
        <v>79.3</v>
      </c>
      <c r="E40" s="163" t="n">
        <v>24</v>
      </c>
      <c r="F40" s="161" t="n">
        <v>59.8</v>
      </c>
      <c r="G40" s="27" t="n">
        <v>18</v>
      </c>
      <c r="H40" s="164" t="n">
        <v>29</v>
      </c>
      <c r="I40" s="165" t="n">
        <v>85000</v>
      </c>
      <c r="J40" s="165" t="inlineStr">
        <is>
          <t>중</t>
        </is>
      </c>
      <c r="K40" s="165" t="n">
        <v>57000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79BN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미사강변루나리움</t>
        </is>
      </c>
      <c r="B41" s="16" t="inlineStr">
        <is>
          <t>'15.09.</t>
        </is>
      </c>
      <c r="C41" s="164" t="n">
        <v>1164</v>
      </c>
      <c r="D41" s="161" t="n">
        <v>99.09999999999999</v>
      </c>
      <c r="E41" s="163" t="n">
        <v>30</v>
      </c>
      <c r="F41" s="161" t="n">
        <v>74.8</v>
      </c>
      <c r="G41" s="27" t="n">
        <v>23</v>
      </c>
      <c r="H41" s="164" t="n">
        <v>159</v>
      </c>
      <c r="I41" s="165" t="n">
        <v>100000</v>
      </c>
      <c r="J41" s="165" t="inlineStr">
        <is>
          <t>중</t>
        </is>
      </c>
      <c r="K41" s="165" t="n">
        <v>65000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99A1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미사강변루나리움</t>
        </is>
      </c>
      <c r="B42" s="16" t="inlineStr">
        <is>
          <t>'15.09.</t>
        </is>
      </c>
      <c r="C42" s="164" t="n">
        <v>1164</v>
      </c>
      <c r="D42" s="161" t="n">
        <v>99.09999999999999</v>
      </c>
      <c r="E42" s="163" t="n">
        <v>30</v>
      </c>
      <c r="F42" s="161" t="n">
        <v>74.8</v>
      </c>
      <c r="G42" s="27" t="n">
        <v>23</v>
      </c>
      <c r="H42" s="164" t="n">
        <v>29</v>
      </c>
      <c r="I42" s="165" t="n">
        <v>100000</v>
      </c>
      <c r="J42" s="165" t="inlineStr">
        <is>
          <t>중</t>
        </is>
      </c>
      <c r="K42" s="165" t="n">
        <v>65000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99A1N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미사강변루나리움</t>
        </is>
      </c>
      <c r="B43" s="16" t="inlineStr">
        <is>
          <t>'15.09.</t>
        </is>
      </c>
      <c r="C43" s="164" t="n">
        <v>1164</v>
      </c>
      <c r="D43" s="161" t="n">
        <v>99.09999999999999</v>
      </c>
      <c r="E43" s="163" t="n">
        <v>30</v>
      </c>
      <c r="F43" s="161" t="n">
        <v>74.8</v>
      </c>
      <c r="G43" s="27" t="n">
        <v>23</v>
      </c>
      <c r="H43" s="164" t="n">
        <v>24</v>
      </c>
      <c r="I43" s="165" t="n">
        <v>100000</v>
      </c>
      <c r="J43" s="165" t="inlineStr">
        <is>
          <t>중</t>
        </is>
      </c>
      <c r="K43" s="165" t="n">
        <v>65000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99A2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미사강변루나리움</t>
        </is>
      </c>
      <c r="B44" s="16" t="inlineStr">
        <is>
          <t>'15.09.</t>
        </is>
      </c>
      <c r="C44" s="164" t="n">
        <v>1164</v>
      </c>
      <c r="D44" s="161" t="n">
        <v>112.6</v>
      </c>
      <c r="E44" s="163" t="n">
        <v>34</v>
      </c>
      <c r="F44" s="161" t="n">
        <v>85</v>
      </c>
      <c r="G44" s="27" t="n">
        <v>26</v>
      </c>
      <c r="H44" s="164" t="n">
        <v>331</v>
      </c>
      <c r="I44" s="165" t="n">
        <v>100000</v>
      </c>
      <c r="J44" s="165" t="inlineStr">
        <is>
          <t>9</t>
        </is>
      </c>
      <c r="K44" s="165" t="n">
        <v>65000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112B1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미사강변루나리움</t>
        </is>
      </c>
      <c r="B45" s="16" t="inlineStr">
        <is>
          <t>'15.09.</t>
        </is>
      </c>
      <c r="C45" s="164" t="n">
        <v>1164</v>
      </c>
      <c r="D45" s="161" t="n">
        <v>112.6</v>
      </c>
      <c r="E45" s="163" t="n">
        <v>34</v>
      </c>
      <c r="F45" s="161" t="n">
        <v>85</v>
      </c>
      <c r="G45" s="27" t="n">
        <v>26</v>
      </c>
      <c r="H45" s="164" t="n">
        <v>87</v>
      </c>
      <c r="I45" s="165" t="n">
        <v>100000</v>
      </c>
      <c r="J45" s="165" t="inlineStr">
        <is>
          <t>9</t>
        </is>
      </c>
      <c r="K45" s="165" t="n">
        <v>65000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112B2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미사강변루나리움</t>
        </is>
      </c>
      <c r="B46" s="16" t="inlineStr">
        <is>
          <t>'15.09.</t>
        </is>
      </c>
      <c r="C46" s="164" t="n">
        <v>1164</v>
      </c>
      <c r="D46" s="161" t="n">
        <v>112.5</v>
      </c>
      <c r="E46" s="163" t="n">
        <v>34</v>
      </c>
      <c r="F46" s="161" t="n">
        <v>85</v>
      </c>
      <c r="G46" s="27" t="n">
        <v>26</v>
      </c>
      <c r="H46" s="164" t="n">
        <v>87</v>
      </c>
      <c r="I46" s="165" t="n">
        <v>120000</v>
      </c>
      <c r="J46" s="165" t="inlineStr">
        <is>
          <t>고</t>
        </is>
      </c>
      <c r="K46" s="165" t="n">
        <v>67000</v>
      </c>
      <c r="L46" s="165" t="inlineStr">
        <is>
          <t>27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112B3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미사강변루나리움</t>
        </is>
      </c>
      <c r="B47" s="16" t="inlineStr">
        <is>
          <t>'15.09.</t>
        </is>
      </c>
      <c r="C47" s="164" t="n">
        <v>1164</v>
      </c>
      <c r="D47" s="161" t="n">
        <v>112.6</v>
      </c>
      <c r="E47" s="163" t="n">
        <v>34</v>
      </c>
      <c r="F47" s="161" t="n">
        <v>85</v>
      </c>
      <c r="G47" s="27" t="n">
        <v>26</v>
      </c>
      <c r="H47" s="164" t="n">
        <v>52</v>
      </c>
      <c r="I47" s="165" t="n">
        <v>100000</v>
      </c>
      <c r="J47" s="165" t="inlineStr">
        <is>
          <t>9</t>
        </is>
      </c>
      <c r="K47" s="165" t="n">
        <v>65000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미사강변루나리움</t>
        </is>
      </c>
      <c r="B48" s="16" t="inlineStr">
        <is>
          <t>'15.09.</t>
        </is>
      </c>
      <c r="C48" s="164" t="n">
        <v>1164</v>
      </c>
      <c r="D48" s="161" t="n">
        <v>112.6</v>
      </c>
      <c r="E48" s="163" t="n">
        <v>34</v>
      </c>
      <c r="F48" s="161" t="n">
        <v>85</v>
      </c>
      <c r="G48" s="27" t="n">
        <v>26</v>
      </c>
      <c r="H48" s="164" t="n">
        <v>27</v>
      </c>
      <c r="I48" s="165" t="n">
        <v>100000</v>
      </c>
      <c r="J48" s="165" t="inlineStr">
        <is>
          <t>9</t>
        </is>
      </c>
      <c r="K48" s="165" t="n">
        <v>65000</v>
      </c>
      <c r="L48" s="165" t="inlineStr">
        <is>
          <t>고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112B1N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미사강변푸르지오</t>
        </is>
      </c>
      <c r="B50" s="16" t="inlineStr">
        <is>
          <t>'16.04.</t>
        </is>
      </c>
      <c r="C50" s="164" t="n">
        <v>1188</v>
      </c>
      <c r="D50" s="161" t="n">
        <v>97.7</v>
      </c>
      <c r="E50" s="163" t="n">
        <v>30</v>
      </c>
      <c r="F50" s="161" t="n">
        <v>74.90000000000001</v>
      </c>
      <c r="G50" s="27" t="n">
        <v>23</v>
      </c>
      <c r="H50" s="164" t="n">
        <v>67</v>
      </c>
      <c r="I50" s="165" t="n">
        <v>110000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97A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미사강변푸르지오</t>
        </is>
      </c>
      <c r="B51" s="16" t="inlineStr">
        <is>
          <t>'16.04.</t>
        </is>
      </c>
      <c r="C51" s="164" t="n">
        <v>1188</v>
      </c>
      <c r="D51" s="161" t="n">
        <v>97.7</v>
      </c>
      <c r="E51" s="163" t="n">
        <v>30</v>
      </c>
      <c r="F51" s="161" t="n">
        <v>75</v>
      </c>
      <c r="G51" s="27" t="n">
        <v>23</v>
      </c>
      <c r="H51" s="164" t="n">
        <v>54</v>
      </c>
      <c r="I51" s="165" t="n">
        <v>110000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97B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미사강변푸르지오</t>
        </is>
      </c>
      <c r="B52" s="16" t="inlineStr">
        <is>
          <t>'16.04.</t>
        </is>
      </c>
      <c r="C52" s="164" t="n">
        <v>1188</v>
      </c>
      <c r="D52" s="161" t="n">
        <v>98.59999999999999</v>
      </c>
      <c r="E52" s="163" t="n">
        <v>30</v>
      </c>
      <c r="F52" s="161" t="n">
        <v>75</v>
      </c>
      <c r="G52" s="27" t="n">
        <v>23</v>
      </c>
      <c r="H52" s="164" t="n">
        <v>56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98C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미사강변푸르지오</t>
        </is>
      </c>
      <c r="B53" s="16" t="inlineStr">
        <is>
          <t>'16.04.</t>
        </is>
      </c>
      <c r="C53" s="164" t="n">
        <v>1188</v>
      </c>
      <c r="D53" s="161" t="n">
        <v>99.09999999999999</v>
      </c>
      <c r="E53" s="163" t="n">
        <v>30</v>
      </c>
      <c r="F53" s="161" t="n">
        <v>75</v>
      </c>
      <c r="G53" s="27" t="n">
        <v>23</v>
      </c>
      <c r="H53" s="164" t="n">
        <v>20</v>
      </c>
      <c r="I53" s="165" t="n">
        <v>110000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99D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미사강변푸르지오</t>
        </is>
      </c>
      <c r="B54" s="16" t="inlineStr">
        <is>
          <t>'16.04.</t>
        </is>
      </c>
      <c r="C54" s="164" t="n">
        <v>1188</v>
      </c>
      <c r="D54" s="161" t="n">
        <v>111.8</v>
      </c>
      <c r="E54" s="163" t="n">
        <v>34</v>
      </c>
      <c r="F54" s="161" t="n">
        <v>85</v>
      </c>
      <c r="G54" s="27" t="n">
        <v>26</v>
      </c>
      <c r="H54" s="164" t="n">
        <v>592</v>
      </c>
      <c r="I54" s="165" t="n">
        <v>120000</v>
      </c>
      <c r="J54" s="165" t="inlineStr">
        <is>
          <t>고</t>
        </is>
      </c>
      <c r="K54" s="165" t="n">
        <v>70000</v>
      </c>
      <c r="L54" s="165" t="inlineStr">
        <is>
          <t>7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111A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미사강변푸르지오</t>
        </is>
      </c>
      <c r="B55" s="16" t="inlineStr">
        <is>
          <t>'16.04.</t>
        </is>
      </c>
      <c r="C55" s="164" t="n">
        <v>1188</v>
      </c>
      <c r="D55" s="161" t="n">
        <v>111.6</v>
      </c>
      <c r="E55" s="163" t="n">
        <v>34</v>
      </c>
      <c r="F55" s="161" t="n">
        <v>85</v>
      </c>
      <c r="G55" s="27" t="n">
        <v>26</v>
      </c>
      <c r="H55" s="164" t="n">
        <v>300</v>
      </c>
      <c r="I55" s="165" t="n">
        <v>122000</v>
      </c>
      <c r="J55" s="165" t="inlineStr">
        <is>
          <t>15</t>
        </is>
      </c>
      <c r="K55" s="165" t="n">
        <v>65000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미사강변푸르지오</t>
        </is>
      </c>
      <c r="B56" s="16" t="inlineStr">
        <is>
          <t>'16.04.</t>
        </is>
      </c>
      <c r="C56" s="164" t="n">
        <v>1188</v>
      </c>
      <c r="D56" s="161" t="n">
        <v>112.3</v>
      </c>
      <c r="E56" s="163" t="n">
        <v>34</v>
      </c>
      <c r="F56" s="161" t="n">
        <v>85</v>
      </c>
      <c r="G56" s="27" t="n">
        <v>26</v>
      </c>
      <c r="H56" s="164" t="n">
        <v>99</v>
      </c>
      <c r="I56" s="165" t="n">
        <v>130000</v>
      </c>
      <c r="J56" s="165" t="inlineStr">
        <is>
          <t>6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112C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미사강변한신휴플러스</t>
        </is>
      </c>
      <c r="B58" s="16" t="inlineStr">
        <is>
          <t>'15.01.</t>
        </is>
      </c>
      <c r="C58" s="164" t="n">
        <v>763</v>
      </c>
      <c r="D58" s="161" t="n">
        <v>98.90000000000001</v>
      </c>
      <c r="E58" s="163" t="n">
        <v>30</v>
      </c>
      <c r="F58" s="161" t="n">
        <v>74.59999999999999</v>
      </c>
      <c r="G58" s="27" t="n">
        <v>23</v>
      </c>
      <c r="H58" s="164" t="n">
        <v>240</v>
      </c>
      <c r="I58" s="165" t="n">
        <v>86000</v>
      </c>
      <c r="J58" s="165" t="inlineStr">
        <is>
          <t>고</t>
        </is>
      </c>
      <c r="K58" s="165" t="n">
        <v>57000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98A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미사강변한신휴플러스</t>
        </is>
      </c>
      <c r="B59" s="16" t="inlineStr">
        <is>
          <t>'15.01.</t>
        </is>
      </c>
      <c r="C59" s="164" t="n">
        <v>763</v>
      </c>
      <c r="D59" s="161" t="n">
        <v>98.90000000000001</v>
      </c>
      <c r="E59" s="163" t="n">
        <v>30</v>
      </c>
      <c r="F59" s="161" t="n">
        <v>74.59999999999999</v>
      </c>
      <c r="G59" s="27" t="n">
        <v>23</v>
      </c>
      <c r="H59" s="164" t="n">
        <v>20</v>
      </c>
      <c r="I59" s="165" t="n">
        <v>86000</v>
      </c>
      <c r="J59" s="165" t="inlineStr">
        <is>
          <t>고</t>
        </is>
      </c>
      <c r="K59" s="165" t="n">
        <v>57000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98AN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미사강변한신휴플러스</t>
        </is>
      </c>
      <c r="B60" s="16" t="inlineStr">
        <is>
          <t>'15.01.</t>
        </is>
      </c>
      <c r="C60" s="164" t="n">
        <v>763</v>
      </c>
      <c r="D60" s="161" t="n">
        <v>112.7</v>
      </c>
      <c r="E60" s="163" t="n">
        <v>34</v>
      </c>
      <c r="F60" s="161" t="n">
        <v>85</v>
      </c>
      <c r="G60" s="27" t="n">
        <v>26</v>
      </c>
      <c r="H60" s="164" t="n">
        <v>192</v>
      </c>
      <c r="I60" s="165" t="n">
        <v>90000</v>
      </c>
      <c r="J60" s="165" t="inlineStr">
        <is>
          <t>중</t>
        </is>
      </c>
      <c r="K60" s="165" t="n">
        <v>56000</v>
      </c>
      <c r="L60" s="165" t="inlineStr">
        <is>
          <t>고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112B1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미사강변한신휴플러스</t>
        </is>
      </c>
      <c r="B61" s="16" t="inlineStr">
        <is>
          <t>'15.01.</t>
        </is>
      </c>
      <c r="C61" s="164" t="n">
        <v>763</v>
      </c>
      <c r="D61" s="161" t="n">
        <v>112.6</v>
      </c>
      <c r="E61" s="163" t="n">
        <v>34</v>
      </c>
      <c r="F61" s="161" t="n">
        <v>84.90000000000001</v>
      </c>
      <c r="G61" s="27" t="n">
        <v>26</v>
      </c>
      <c r="H61" s="164" t="n">
        <v>115</v>
      </c>
      <c r="I61" s="165" t="n">
        <v>91000</v>
      </c>
      <c r="J61" s="165" t="inlineStr">
        <is>
          <t>12</t>
        </is>
      </c>
      <c r="K61" s="165" t="n">
        <v>58000</v>
      </c>
      <c r="L61" s="165" t="inlineStr">
        <is>
          <t>고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미사강변한신휴플러스</t>
        </is>
      </c>
      <c r="B62" s="16" t="inlineStr">
        <is>
          <t>'15.01.</t>
        </is>
      </c>
      <c r="C62" s="164" t="n">
        <v>763</v>
      </c>
      <c r="D62" s="161" t="n">
        <v>112.3</v>
      </c>
      <c r="E62" s="163" t="n">
        <v>34</v>
      </c>
      <c r="F62" s="161" t="n">
        <v>84.7</v>
      </c>
      <c r="G62" s="27" t="n">
        <v>26</v>
      </c>
      <c r="H62" s="164" t="n">
        <v>88</v>
      </c>
      <c r="I62" s="165" t="n">
        <v>108000</v>
      </c>
      <c r="J62" s="165" t="inlineStr">
        <is>
          <t>중</t>
        </is>
      </c>
      <c r="K62" s="165" t="n">
        <v>58000</v>
      </c>
      <c r="L62" s="165" t="inlineStr">
        <is>
          <t>15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미사강변한신휴플러스</t>
        </is>
      </c>
      <c r="B63" s="16" t="inlineStr">
        <is>
          <t>'15.01.</t>
        </is>
      </c>
      <c r="C63" s="164" t="n">
        <v>763</v>
      </c>
      <c r="D63" s="161" t="n">
        <v>112.6</v>
      </c>
      <c r="E63" s="163" t="n">
        <v>34</v>
      </c>
      <c r="F63" s="161" t="n">
        <v>85</v>
      </c>
      <c r="G63" s="27" t="n">
        <v>26</v>
      </c>
      <c r="H63" s="164" t="n">
        <v>76</v>
      </c>
      <c r="I63" s="165" t="n">
        <v>91000</v>
      </c>
      <c r="J63" s="165" t="inlineStr">
        <is>
          <t>6</t>
        </is>
      </c>
      <c r="K63" s="165" t="n">
        <v>59000</v>
      </c>
      <c r="L63" s="165" t="inlineStr">
        <is>
          <t>14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112B3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미사강변한신휴플러스</t>
        </is>
      </c>
      <c r="B64" s="16" t="inlineStr">
        <is>
          <t>'15.01.</t>
        </is>
      </c>
      <c r="C64" s="164" t="n">
        <v>763</v>
      </c>
      <c r="D64" s="161" t="n">
        <v>112.7</v>
      </c>
      <c r="E64" s="163" t="n">
        <v>34</v>
      </c>
      <c r="F64" s="161" t="n">
        <v>85</v>
      </c>
      <c r="G64" s="27" t="n">
        <v>26</v>
      </c>
      <c r="H64" s="164" t="n">
        <v>20</v>
      </c>
      <c r="I64" s="165" t="n">
        <v>90000</v>
      </c>
      <c r="J64" s="165" t="inlineStr">
        <is>
          <t>중</t>
        </is>
      </c>
      <c r="K64" s="165" t="n">
        <v>56000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112B1N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미사강변한신휴플러스</t>
        </is>
      </c>
      <c r="B65" s="16" t="inlineStr">
        <is>
          <t>'15.01.</t>
        </is>
      </c>
      <c r="C65" s="164" t="n">
        <v>763</v>
      </c>
      <c r="D65" s="161" t="n">
        <v>112.6</v>
      </c>
      <c r="E65" s="163" t="n">
        <v>34</v>
      </c>
      <c r="F65" s="161" t="n">
        <v>85</v>
      </c>
      <c r="G65" s="27" t="n">
        <v>26</v>
      </c>
      <c r="H65" s="164" t="n">
        <v>12</v>
      </c>
      <c r="I65" s="165" t="n">
        <v>91000</v>
      </c>
      <c r="J65" s="165" t="inlineStr">
        <is>
          <t>6</t>
        </is>
      </c>
      <c r="K65" s="165" t="n">
        <v>59000</v>
      </c>
      <c r="L65" s="165" t="inlineStr">
        <is>
          <t>14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112B3N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미사강변골든센트로</t>
        </is>
      </c>
      <c r="B67" s="16" t="inlineStr">
        <is>
          <t>'14.12.</t>
        </is>
      </c>
      <c r="C67" s="164" t="n">
        <v>1541</v>
      </c>
      <c r="D67" s="161" t="n">
        <v>82</v>
      </c>
      <c r="E67" s="163" t="n">
        <v>25</v>
      </c>
      <c r="F67" s="161" t="n">
        <v>59.6</v>
      </c>
      <c r="G67" s="27" t="n">
        <v>18</v>
      </c>
      <c r="H67" s="164" t="n">
        <v>75</v>
      </c>
      <c r="I67" s="165" t="n">
        <v>90000</v>
      </c>
      <c r="J67" s="165" t="inlineStr">
        <is>
          <t>5</t>
        </is>
      </c>
      <c r="K67" s="165" t="n">
        <v>55000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81B1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미사강변골든센트로</t>
        </is>
      </c>
      <c r="B68" s="16" t="inlineStr">
        <is>
          <t>'14.12.</t>
        </is>
      </c>
      <c r="C68" s="164" t="n">
        <v>1541</v>
      </c>
      <c r="D68" s="161" t="n">
        <v>82</v>
      </c>
      <c r="E68" s="163" t="n">
        <v>25</v>
      </c>
      <c r="F68" s="161" t="n">
        <v>59.6</v>
      </c>
      <c r="G68" s="27" t="n">
        <v>18</v>
      </c>
      <c r="H68" s="164" t="n">
        <v>26</v>
      </c>
      <c r="I68" s="165" t="n">
        <v>90000</v>
      </c>
      <c r="J68" s="165" t="inlineStr">
        <is>
          <t>5</t>
        </is>
      </c>
      <c r="K68" s="165" t="n">
        <v>55000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81B3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미사강변골든센트로</t>
        </is>
      </c>
      <c r="B69" s="16" t="inlineStr">
        <is>
          <t>'14.12.</t>
        </is>
      </c>
      <c r="C69" s="164" t="n">
        <v>1541</v>
      </c>
      <c r="D69" s="161" t="n">
        <v>82</v>
      </c>
      <c r="E69" s="163" t="n">
        <v>25</v>
      </c>
      <c r="F69" s="161" t="n">
        <v>59.6</v>
      </c>
      <c r="G69" s="27" t="n">
        <v>18</v>
      </c>
      <c r="H69" s="164" t="n">
        <v>23</v>
      </c>
      <c r="I69" s="165" t="n">
        <v>90000</v>
      </c>
      <c r="J69" s="165" t="inlineStr">
        <is>
          <t>5</t>
        </is>
      </c>
      <c r="K69" s="165" t="n">
        <v>55000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81B1N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미사강변골든센트로</t>
        </is>
      </c>
      <c r="B70" s="16" t="inlineStr">
        <is>
          <t>'14.12.</t>
        </is>
      </c>
      <c r="C70" s="164" t="n">
        <v>1541</v>
      </c>
      <c r="D70" s="161" t="n">
        <v>82</v>
      </c>
      <c r="E70" s="163" t="n">
        <v>25</v>
      </c>
      <c r="F70" s="161" t="n">
        <v>59.6</v>
      </c>
      <c r="G70" s="27" t="n">
        <v>18</v>
      </c>
      <c r="H70" s="164" t="n">
        <v>18</v>
      </c>
      <c r="I70" s="165" t="n">
        <v>90000</v>
      </c>
      <c r="J70" s="165" t="inlineStr">
        <is>
          <t>5</t>
        </is>
      </c>
      <c r="K70" s="165" t="n">
        <v>55000</v>
      </c>
      <c r="L70" s="165" t="inlineStr">
        <is>
          <t>중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81C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미사강변골든센트로</t>
        </is>
      </c>
      <c r="B71" s="16" t="inlineStr">
        <is>
          <t>'14.12.</t>
        </is>
      </c>
      <c r="C71" s="164" t="n">
        <v>1541</v>
      </c>
      <c r="D71" s="161" t="n">
        <v>82.5</v>
      </c>
      <c r="E71" s="163" t="n">
        <v>25</v>
      </c>
      <c r="F71" s="161" t="n">
        <v>60</v>
      </c>
      <c r="G71" s="27" t="n">
        <v>18</v>
      </c>
      <c r="H71" s="164" t="n">
        <v>438</v>
      </c>
      <c r="I71" s="165" t="n">
        <v>86000</v>
      </c>
      <c r="J71" s="165" t="inlineStr">
        <is>
          <t>7</t>
        </is>
      </c>
      <c r="K71" s="165" t="n">
        <v>55000</v>
      </c>
      <c r="L71" s="165" t="inlineStr">
        <is>
          <t>19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82A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미사강변골든센트로</t>
        </is>
      </c>
      <c r="B72" s="16" t="inlineStr">
        <is>
          <t>'14.12.</t>
        </is>
      </c>
      <c r="C72" s="164" t="n">
        <v>1541</v>
      </c>
      <c r="D72" s="161" t="n">
        <v>82.3</v>
      </c>
      <c r="E72" s="163" t="n">
        <v>25</v>
      </c>
      <c r="F72" s="161" t="n">
        <v>59.8</v>
      </c>
      <c r="G72" s="27" t="n">
        <v>18</v>
      </c>
      <c r="H72" s="164" t="n">
        <v>49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82B2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미사강변골든센트로</t>
        </is>
      </c>
      <c r="B73" s="16" t="inlineStr">
        <is>
          <t>'14.12.</t>
        </is>
      </c>
      <c r="C73" s="164" t="n">
        <v>1541</v>
      </c>
      <c r="D73" s="161" t="n">
        <v>103.1</v>
      </c>
      <c r="E73" s="163" t="n">
        <v>31</v>
      </c>
      <c r="F73" s="161" t="n">
        <v>75</v>
      </c>
      <c r="G73" s="27" t="n">
        <v>23</v>
      </c>
      <c r="H73" s="164" t="n">
        <v>236</v>
      </c>
      <c r="I73" s="165" t="n">
        <v>106000</v>
      </c>
      <c r="J73" s="165" t="inlineStr">
        <is>
          <t>중</t>
        </is>
      </c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103A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미사강변골든센트로</t>
        </is>
      </c>
      <c r="B74" s="16" t="inlineStr">
        <is>
          <t>'14.12.</t>
        </is>
      </c>
      <c r="C74" s="164" t="n">
        <v>1541</v>
      </c>
      <c r="D74" s="161" t="n">
        <v>103.1</v>
      </c>
      <c r="E74" s="163" t="n">
        <v>31</v>
      </c>
      <c r="F74" s="161" t="n">
        <v>75</v>
      </c>
      <c r="G74" s="27" t="n">
        <v>23</v>
      </c>
      <c r="H74" s="164" t="n">
        <v>29</v>
      </c>
      <c r="I74" s="165" t="n">
        <v>106000</v>
      </c>
      <c r="J74" s="165" t="inlineStr">
        <is>
          <t>중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103AN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미사강변골든센트로</t>
        </is>
      </c>
      <c r="B75" s="16" t="inlineStr">
        <is>
          <t>'14.12.</t>
        </is>
      </c>
      <c r="C75" s="164" t="n">
        <v>1541</v>
      </c>
      <c r="D75" s="161" t="n">
        <v>116.4</v>
      </c>
      <c r="E75" s="163" t="n">
        <v>35</v>
      </c>
      <c r="F75" s="161" t="n">
        <v>84.59999999999999</v>
      </c>
      <c r="G75" s="27" t="n">
        <v>26</v>
      </c>
      <c r="H75" s="164" t="n">
        <v>149</v>
      </c>
      <c r="I75" s="165" t="n">
        <v>110000</v>
      </c>
      <c r="J75" s="165" t="inlineStr">
        <is>
          <t>중</t>
        </is>
      </c>
      <c r="K75" s="165" t="n">
        <v>70000</v>
      </c>
      <c r="L75" s="165" t="inlineStr">
        <is>
          <t>23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116B1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미사강변골든센트로</t>
        </is>
      </c>
      <c r="B76" s="16" t="inlineStr">
        <is>
          <t>'14.12.</t>
        </is>
      </c>
      <c r="C76" s="164" t="n">
        <v>1541</v>
      </c>
      <c r="D76" s="161" t="n">
        <v>116.9</v>
      </c>
      <c r="E76" s="163" t="n">
        <v>35</v>
      </c>
      <c r="F76" s="161" t="n">
        <v>85</v>
      </c>
      <c r="G76" s="27" t="n">
        <v>26</v>
      </c>
      <c r="H76" s="164" t="n">
        <v>133</v>
      </c>
      <c r="I76" s="165" t="n">
        <v>110000</v>
      </c>
      <c r="J76" s="165" t="inlineStr">
        <is>
          <t>고</t>
        </is>
      </c>
      <c r="K76" s="165" t="n">
        <v>70000</v>
      </c>
      <c r="L76" s="165" t="inlineStr">
        <is>
          <t>19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116B3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미사강변골든센트로</t>
        </is>
      </c>
      <c r="B77" s="16" t="inlineStr">
        <is>
          <t>'14.12.</t>
        </is>
      </c>
      <c r="C77" s="164" t="n">
        <v>1541</v>
      </c>
      <c r="D77" s="161" t="n">
        <v>116.7</v>
      </c>
      <c r="E77" s="163" t="n">
        <v>35</v>
      </c>
      <c r="F77" s="161" t="n">
        <v>84.90000000000001</v>
      </c>
      <c r="G77" s="27" t="n">
        <v>26</v>
      </c>
      <c r="H77" s="164" t="n">
        <v>116</v>
      </c>
      <c r="I77" s="165" t="n">
        <v>110000</v>
      </c>
      <c r="J77" s="165" t="inlineStr">
        <is>
          <t>6</t>
        </is>
      </c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116B2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미사강변골든센트로</t>
        </is>
      </c>
      <c r="B78" s="16" t="inlineStr">
        <is>
          <t>'14.12.</t>
        </is>
      </c>
      <c r="C78" s="164" t="n">
        <v>1541</v>
      </c>
      <c r="D78" s="161" t="n">
        <v>116.7</v>
      </c>
      <c r="E78" s="163" t="n">
        <v>35</v>
      </c>
      <c r="F78" s="161" t="n">
        <v>84.8</v>
      </c>
      <c r="G78" s="27" t="n">
        <v>26</v>
      </c>
      <c r="H78" s="164" t="n">
        <v>116</v>
      </c>
      <c r="I78" s="165" t="n">
        <v>111000</v>
      </c>
      <c r="J78" s="165" t="inlineStr">
        <is>
          <t>중</t>
        </is>
      </c>
      <c r="K78" s="165" t="n">
        <v>62000</v>
      </c>
      <c r="L78" s="165" t="inlineStr">
        <is>
          <t>중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116C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미사강변골든센트로</t>
        </is>
      </c>
      <c r="B79" s="16" t="inlineStr">
        <is>
          <t>'14.12.</t>
        </is>
      </c>
      <c r="C79" s="164" t="n">
        <v>1541</v>
      </c>
      <c r="D79" s="161" t="n">
        <v>116.6</v>
      </c>
      <c r="E79" s="163" t="n">
        <v>35</v>
      </c>
      <c r="F79" s="161" t="n">
        <v>84.8</v>
      </c>
      <c r="G79" s="27" t="n">
        <v>26</v>
      </c>
      <c r="H79" s="164" t="n">
        <v>105</v>
      </c>
      <c r="I79" s="165" t="n">
        <v>119000</v>
      </c>
      <c r="J79" s="165" t="inlineStr">
        <is>
          <t>고</t>
        </is>
      </c>
      <c r="K79" s="165" t="n">
        <v>70000</v>
      </c>
      <c r="L79" s="165" t="inlineStr">
        <is>
          <t>12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116A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미사강변골든센트로</t>
        </is>
      </c>
      <c r="B80" s="16" t="inlineStr">
        <is>
          <t>'14.12.</t>
        </is>
      </c>
      <c r="C80" s="164" t="n">
        <v>1541</v>
      </c>
      <c r="D80" s="161" t="n">
        <v>116.6</v>
      </c>
      <c r="E80" s="163" t="n">
        <v>35</v>
      </c>
      <c r="F80" s="161" t="n">
        <v>84.8</v>
      </c>
      <c r="G80" s="27" t="n">
        <v>26</v>
      </c>
      <c r="H80" s="164" t="n">
        <v>28</v>
      </c>
      <c r="I80" s="165" t="n">
        <v>119000</v>
      </c>
      <c r="J80" s="165" t="inlineStr">
        <is>
          <t>고</t>
        </is>
      </c>
      <c r="K80" s="165" t="n">
        <v>70000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116AN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미사강변파밀리에</t>
        </is>
      </c>
      <c r="B82" s="16" t="inlineStr">
        <is>
          <t>'14.06.</t>
        </is>
      </c>
      <c r="C82" s="164" t="n">
        <v>976</v>
      </c>
      <c r="D82" s="161" t="n">
        <v>80</v>
      </c>
      <c r="E82" s="163" t="n">
        <v>24</v>
      </c>
      <c r="F82" s="161" t="n">
        <v>59.9</v>
      </c>
      <c r="G82" s="27" t="n">
        <v>18</v>
      </c>
      <c r="H82" s="164" t="n">
        <v>150</v>
      </c>
      <c r="I82" s="165" t="n">
        <v>90000</v>
      </c>
      <c r="J82" s="165" t="inlineStr">
        <is>
          <t>고</t>
        </is>
      </c>
      <c r="K82" s="165" t="n">
        <v>60000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80B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미사강변파밀리에</t>
        </is>
      </c>
      <c r="B83" s="16" t="inlineStr">
        <is>
          <t>'14.06.</t>
        </is>
      </c>
      <c r="C83" s="164" t="n">
        <v>976</v>
      </c>
      <c r="D83" s="161" t="n">
        <v>80.09999999999999</v>
      </c>
      <c r="E83" s="163" t="n">
        <v>24</v>
      </c>
      <c r="F83" s="161" t="n">
        <v>60</v>
      </c>
      <c r="G83" s="27" t="n">
        <v>18</v>
      </c>
      <c r="H83" s="164" t="n">
        <v>148</v>
      </c>
      <c r="I83" s="165" t="n">
        <v>89500</v>
      </c>
      <c r="J83" s="165" t="inlineStr">
        <is>
          <t>5</t>
        </is>
      </c>
      <c r="K83" s="165" t="n">
        <v>55000</v>
      </c>
      <c r="L83" s="165" t="inlineStr">
        <is>
          <t>중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80A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미사강변파밀리에</t>
        </is>
      </c>
      <c r="B84" s="16" t="inlineStr">
        <is>
          <t>'14.06.</t>
        </is>
      </c>
      <c r="C84" s="164" t="n">
        <v>976</v>
      </c>
      <c r="D84" s="161" t="n">
        <v>99.90000000000001</v>
      </c>
      <c r="E84" s="163" t="n">
        <v>30</v>
      </c>
      <c r="F84" s="161" t="n">
        <v>74.8</v>
      </c>
      <c r="G84" s="27" t="n">
        <v>23</v>
      </c>
      <c r="H84" s="164" t="n">
        <v>183</v>
      </c>
      <c r="I84" s="165" t="n">
        <v>104000</v>
      </c>
      <c r="J84" s="165" t="inlineStr">
        <is>
          <t>14</t>
        </is>
      </c>
      <c r="K84" s="165" t="n">
        <v>60000</v>
      </c>
      <c r="L84" s="165" t="inlineStr">
        <is>
          <t>9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미사강변파밀리에</t>
        </is>
      </c>
      <c r="B85" s="16" t="inlineStr">
        <is>
          <t>'14.06.</t>
        </is>
      </c>
      <c r="C85" s="164" t="n">
        <v>976</v>
      </c>
      <c r="D85" s="161" t="n">
        <v>113.4</v>
      </c>
      <c r="E85" s="163" t="n">
        <v>34</v>
      </c>
      <c r="F85" s="161" t="n">
        <v>85</v>
      </c>
      <c r="G85" s="27" t="n">
        <v>26</v>
      </c>
      <c r="H85" s="164" t="n">
        <v>208</v>
      </c>
      <c r="I85" s="165" t="n">
        <v>110000</v>
      </c>
      <c r="J85" s="165" t="inlineStr">
        <is>
          <t>고</t>
        </is>
      </c>
      <c r="K85" s="165" t="n">
        <v>67000</v>
      </c>
      <c r="L85" s="165" t="inlineStr">
        <is>
          <t>22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113B2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미사강변파밀리에</t>
        </is>
      </c>
      <c r="B86" s="16" t="inlineStr">
        <is>
          <t>'14.06.</t>
        </is>
      </c>
      <c r="C86" s="164" t="n">
        <v>976</v>
      </c>
      <c r="D86" s="161" t="n">
        <v>113.2</v>
      </c>
      <c r="E86" s="163" t="n">
        <v>34</v>
      </c>
      <c r="F86" s="161" t="n">
        <v>84.8</v>
      </c>
      <c r="G86" s="27" t="n">
        <v>26</v>
      </c>
      <c r="H86" s="164" t="n">
        <v>191</v>
      </c>
      <c r="I86" s="165" t="n">
        <v>110000</v>
      </c>
      <c r="J86" s="165" t="inlineStr">
        <is>
          <t>16</t>
        </is>
      </c>
      <c r="K86" s="165" t="n">
        <v>67000</v>
      </c>
      <c r="L86" s="165" t="inlineStr">
        <is>
          <t>27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113B1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미사강변파밀리에</t>
        </is>
      </c>
      <c r="B87" s="16" t="inlineStr">
        <is>
          <t>'14.06.</t>
        </is>
      </c>
      <c r="C87" s="164" t="n">
        <v>976</v>
      </c>
      <c r="D87" s="161" t="n">
        <v>113.3</v>
      </c>
      <c r="E87" s="163" t="n">
        <v>34</v>
      </c>
      <c r="F87" s="161" t="n">
        <v>84.90000000000001</v>
      </c>
      <c r="G87" s="27" t="n">
        <v>26</v>
      </c>
      <c r="H87" s="164" t="n">
        <v>96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미사강변도시8단지스타힐스</t>
        </is>
      </c>
      <c r="B89" s="16" t="inlineStr">
        <is>
          <t>'16.11.</t>
        </is>
      </c>
      <c r="C89" s="164" t="n">
        <v>1389</v>
      </c>
      <c r="D89" s="161" t="n">
        <v>71.40000000000001</v>
      </c>
      <c r="E89" s="163" t="n">
        <v>22</v>
      </c>
      <c r="F89" s="161" t="n">
        <v>51.7</v>
      </c>
      <c r="G89" s="27" t="n">
        <v>16</v>
      </c>
      <c r="H89" s="164" t="n">
        <v>273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2</v>
      </c>
      <c r="R89" s="113" t="n">
        <v>1</v>
      </c>
      <c r="S89" s="113" t="inlineStr">
        <is>
          <t>계</t>
        </is>
      </c>
      <c r="T89" s="8" t="inlineStr">
        <is>
          <t>71A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미사강변도시8단지스타힐스</t>
        </is>
      </c>
      <c r="B90" s="16" t="inlineStr">
        <is>
          <t>'16.11.</t>
        </is>
      </c>
      <c r="C90" s="164" t="n">
        <v>1389</v>
      </c>
      <c r="D90" s="161" t="n">
        <v>71.5</v>
      </c>
      <c r="E90" s="163" t="n">
        <v>22</v>
      </c>
      <c r="F90" s="161" t="n">
        <v>51.9</v>
      </c>
      <c r="G90" s="27" t="n">
        <v>16</v>
      </c>
      <c r="H90" s="164" t="n">
        <v>61</v>
      </c>
      <c r="I90" s="165" t="n">
        <v>83000</v>
      </c>
      <c r="J90" s="165" t="inlineStr">
        <is>
          <t>9</t>
        </is>
      </c>
      <c r="K90" s="165" t="n">
        <v>48000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inlineStr">
        <is>
          <t>71B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미사강변도시8단지스타힐스</t>
        </is>
      </c>
      <c r="B91" s="16" t="inlineStr">
        <is>
          <t>'16.11.</t>
        </is>
      </c>
      <c r="C91" s="164" t="n">
        <v>1389</v>
      </c>
      <c r="D91" s="161" t="n">
        <v>71.3</v>
      </c>
      <c r="E91" s="163" t="n">
        <v>22</v>
      </c>
      <c r="F91" s="161" t="n">
        <v>51.7</v>
      </c>
      <c r="G91" s="27" t="n">
        <v>16</v>
      </c>
      <c r="H91" s="164" t="n">
        <v>61</v>
      </c>
      <c r="I91" s="165" t="n">
        <v>75000</v>
      </c>
      <c r="J91" s="165" t="inlineStr">
        <is>
          <t>고</t>
        </is>
      </c>
      <c r="K91" s="165" t="n">
        <v>50000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2</v>
      </c>
      <c r="R91" s="113" t="n">
        <v>1</v>
      </c>
      <c r="S91" s="113" t="inlineStr">
        <is>
          <t>계</t>
        </is>
      </c>
      <c r="T91" s="8" t="inlineStr">
        <is>
          <t>71C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미사강변도시8단지스타힐스</t>
        </is>
      </c>
      <c r="B92" s="16" t="inlineStr">
        <is>
          <t>'16.11.</t>
        </is>
      </c>
      <c r="C92" s="164" t="n">
        <v>1389</v>
      </c>
      <c r="D92" s="161" t="n">
        <v>82.5</v>
      </c>
      <c r="E92" s="163" t="n">
        <v>25</v>
      </c>
      <c r="F92" s="161" t="n">
        <v>59.8</v>
      </c>
      <c r="G92" s="27" t="n">
        <v>18</v>
      </c>
      <c r="H92" s="164" t="n">
        <v>193</v>
      </c>
      <c r="I92" s="165" t="n">
        <v>93000</v>
      </c>
      <c r="J92" s="165" t="inlineStr">
        <is>
          <t>13</t>
        </is>
      </c>
      <c r="K92" s="165" t="n">
        <v>60000</v>
      </c>
      <c r="L92" s="165" t="inlineStr">
        <is>
          <t>7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미사강변도시8단지스타힐스</t>
        </is>
      </c>
      <c r="B93" s="16" t="inlineStr">
        <is>
          <t>'16.11.</t>
        </is>
      </c>
      <c r="C93" s="164" t="n">
        <v>1389</v>
      </c>
      <c r="D93" s="161" t="n">
        <v>82.5</v>
      </c>
      <c r="E93" s="163" t="n">
        <v>25</v>
      </c>
      <c r="F93" s="161" t="n">
        <v>59.8</v>
      </c>
      <c r="G93" s="27" t="n">
        <v>18</v>
      </c>
      <c r="H93" s="164" t="n">
        <v>70</v>
      </c>
      <c r="I93" s="165" t="n">
        <v>93000</v>
      </c>
      <c r="J93" s="165" t="inlineStr">
        <is>
          <t>13</t>
        </is>
      </c>
      <c r="K93" s="165" t="n">
        <v>60000</v>
      </c>
      <c r="L93" s="165" t="inlineStr">
        <is>
          <t>7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미사강변도시8단지스타힐스</t>
        </is>
      </c>
      <c r="B94" s="16" t="inlineStr">
        <is>
          <t>'16.11.</t>
        </is>
      </c>
      <c r="C94" s="164" t="n">
        <v>1389</v>
      </c>
      <c r="D94" s="161" t="n">
        <v>82.3</v>
      </c>
      <c r="E94" s="163" t="n">
        <v>25</v>
      </c>
      <c r="F94" s="161" t="n">
        <v>59.7</v>
      </c>
      <c r="G94" s="27" t="n">
        <v>18</v>
      </c>
      <c r="H94" s="164" t="n">
        <v>17</v>
      </c>
      <c r="I94" s="165" t="n">
        <v>90000</v>
      </c>
      <c r="J94" s="165" t="inlineStr">
        <is>
          <t>중</t>
        </is>
      </c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82A1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미사강변도시8단지스타힐스</t>
        </is>
      </c>
      <c r="B95" s="16" t="inlineStr">
        <is>
          <t>'16.11.</t>
        </is>
      </c>
      <c r="C95" s="164" t="n">
        <v>1389</v>
      </c>
      <c r="D95" s="161" t="n">
        <v>103.4</v>
      </c>
      <c r="E95" s="163" t="n">
        <v>31</v>
      </c>
      <c r="F95" s="161" t="n">
        <v>75</v>
      </c>
      <c r="G95" s="27" t="n">
        <v>23</v>
      </c>
      <c r="H95" s="164" t="n">
        <v>272</v>
      </c>
      <c r="I95" s="165" t="n">
        <v>100000</v>
      </c>
      <c r="J95" s="165" t="inlineStr">
        <is>
          <t>고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103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미사강변도시8단지스타힐스</t>
        </is>
      </c>
      <c r="B96" s="16" t="inlineStr">
        <is>
          <t>'16.11.</t>
        </is>
      </c>
      <c r="C96" s="164" t="n">
        <v>1389</v>
      </c>
      <c r="D96" s="161" t="n">
        <v>117.1</v>
      </c>
      <c r="E96" s="163" t="n">
        <v>35</v>
      </c>
      <c r="F96" s="161" t="n">
        <v>84.90000000000001</v>
      </c>
      <c r="G96" s="27" t="n">
        <v>26</v>
      </c>
      <c r="H96" s="164" t="n">
        <v>358</v>
      </c>
      <c r="I96" s="165" t="n">
        <v>100000</v>
      </c>
      <c r="J96" s="165" t="inlineStr">
        <is>
          <t>중</t>
        </is>
      </c>
      <c r="K96" s="165" t="n">
        <v>65000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117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미사강변도시8단지스타힐스</t>
        </is>
      </c>
      <c r="B97" s="16" t="inlineStr">
        <is>
          <t>'16.11.</t>
        </is>
      </c>
      <c r="C97" s="164" t="n">
        <v>1389</v>
      </c>
      <c r="D97" s="161" t="n">
        <v>117.2</v>
      </c>
      <c r="E97" s="163" t="n">
        <v>35</v>
      </c>
      <c r="F97" s="161" t="n">
        <v>84.90000000000001</v>
      </c>
      <c r="G97" s="27" t="n">
        <v>26</v>
      </c>
      <c r="H97" s="164" t="n">
        <v>84</v>
      </c>
      <c r="I97" s="165" t="n">
        <v>107000</v>
      </c>
      <c r="J97" s="165" t="inlineStr">
        <is>
          <t>고</t>
        </is>
      </c>
      <c r="K97" s="165" t="n">
        <v>63000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117B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미사강변호반써밋</t>
        </is>
      </c>
      <c r="B99" s="16" t="inlineStr">
        <is>
          <t>'19.06.</t>
        </is>
      </c>
      <c r="C99" s="164" t="n">
        <v>846</v>
      </c>
      <c r="D99" s="161" t="n">
        <v>131.6</v>
      </c>
      <c r="E99" s="163" t="n">
        <v>40</v>
      </c>
      <c r="F99" s="161" t="n">
        <v>99.90000000000001</v>
      </c>
      <c r="G99" s="27" t="n">
        <v>30</v>
      </c>
      <c r="H99" s="164" t="n">
        <v>490</v>
      </c>
      <c r="I99" s="165" t="n">
        <v>135000</v>
      </c>
      <c r="J99" s="165" t="inlineStr">
        <is>
          <t>13</t>
        </is>
      </c>
      <c r="K99" s="165" t="n">
        <v>80000</v>
      </c>
      <c r="L99" s="165" t="inlineStr">
        <is>
          <t>고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inlineStr">
        <is>
          <t>131A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미사강변호반써밋</t>
        </is>
      </c>
      <c r="B100" s="16" t="inlineStr">
        <is>
          <t>'19.06.</t>
        </is>
      </c>
      <c r="C100" s="164" t="n">
        <v>846</v>
      </c>
      <c r="D100" s="161" t="n">
        <v>131.8</v>
      </c>
      <c r="E100" s="163" t="n">
        <v>40</v>
      </c>
      <c r="F100" s="161" t="n">
        <v>99.5</v>
      </c>
      <c r="G100" s="27" t="n">
        <v>30</v>
      </c>
      <c r="H100" s="164" t="n">
        <v>108</v>
      </c>
      <c r="I100" s="165" t="n">
        <v>140000</v>
      </c>
      <c r="J100" s="165" t="inlineStr">
        <is>
          <t>9</t>
        </is>
      </c>
      <c r="K100" s="165" t="n">
        <v>85000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inlineStr">
        <is>
          <t>131C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미사강변호반써밋</t>
        </is>
      </c>
      <c r="B101" s="16" t="inlineStr">
        <is>
          <t>'19.06.</t>
        </is>
      </c>
      <c r="C101" s="164" t="n">
        <v>846</v>
      </c>
      <c r="D101" s="161" t="n">
        <v>132.2</v>
      </c>
      <c r="E101" s="163" t="n">
        <v>40</v>
      </c>
      <c r="F101" s="161" t="n">
        <v>99.2</v>
      </c>
      <c r="G101" s="27" t="n">
        <v>30</v>
      </c>
      <c r="H101" s="164" t="n">
        <v>244</v>
      </c>
      <c r="I101" s="165" t="n">
        <v>130000</v>
      </c>
      <c r="J101" s="165" t="inlineStr">
        <is>
          <t>5</t>
        </is>
      </c>
      <c r="K101" s="165" t="n">
        <v>75000</v>
      </c>
      <c r="L101" s="165" t="inlineStr">
        <is>
          <t>중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4</v>
      </c>
      <c r="R101" s="113" t="n">
        <v>2</v>
      </c>
      <c r="S101" s="113" t="inlineStr">
        <is>
          <t>계</t>
        </is>
      </c>
      <c r="T101" s="8" t="inlineStr">
        <is>
          <t>132B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미사강변호반써밋</t>
        </is>
      </c>
      <c r="B102" s="16" t="inlineStr">
        <is>
          <t>'19.06.</t>
        </is>
      </c>
      <c r="C102" s="164" t="n">
        <v>846</v>
      </c>
      <c r="D102" s="161" t="n">
        <v>197</v>
      </c>
      <c r="E102" s="163" t="n">
        <v>60</v>
      </c>
      <c r="F102" s="161" t="n">
        <v>147.2</v>
      </c>
      <c r="G102" s="27" t="n">
        <v>45</v>
      </c>
      <c r="H102" s="164" t="n">
        <v>1</v>
      </c>
      <c r="I102" s="165" t="n">
        <v>370000</v>
      </c>
      <c r="J102" s="165" t="inlineStr">
        <is>
          <t>고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5</v>
      </c>
      <c r="R102" s="113" t="n">
        <v>3</v>
      </c>
      <c r="S102" s="113" t="inlineStr">
        <is>
          <t>계</t>
        </is>
      </c>
      <c r="T102" s="8" t="inlineStr">
        <is>
          <t>196A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미사강변호반써밋</t>
        </is>
      </c>
      <c r="B103" s="16" t="inlineStr">
        <is>
          <t>'19.06.</t>
        </is>
      </c>
      <c r="C103" s="164" t="n">
        <v>846</v>
      </c>
      <c r="D103" s="161" t="n">
        <v>199.7</v>
      </c>
      <c r="E103" s="163" t="n">
        <v>60</v>
      </c>
      <c r="F103" s="161" t="n">
        <v>149.3</v>
      </c>
      <c r="G103" s="27" t="n">
        <v>45</v>
      </c>
      <c r="H103" s="164" t="n">
        <v>1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5</v>
      </c>
      <c r="R103" s="113" t="n">
        <v>3</v>
      </c>
      <c r="S103" s="113" t="inlineStr">
        <is>
          <t>계</t>
        </is>
      </c>
      <c r="T103" s="8" t="inlineStr">
        <is>
          <t>199B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미사강변호반써밋</t>
        </is>
      </c>
      <c r="B104" s="16" t="inlineStr">
        <is>
          <t>'19.06.</t>
        </is>
      </c>
      <c r="C104" s="164" t="n">
        <v>846</v>
      </c>
      <c r="D104" s="161" t="n">
        <v>205.6</v>
      </c>
      <c r="E104" s="163" t="n">
        <v>62</v>
      </c>
      <c r="F104" s="161" t="n">
        <v>154.2</v>
      </c>
      <c r="G104" s="27" t="n">
        <v>47</v>
      </c>
      <c r="H104" s="164" t="n">
        <v>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5</v>
      </c>
      <c r="R104" s="113" t="n">
        <v>3</v>
      </c>
      <c r="S104" s="113" t="inlineStr">
        <is>
          <t>계</t>
        </is>
      </c>
      <c r="T104" s="8" t="n">
        <v>205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미사역파라곤</t>
        </is>
      </c>
      <c r="B106" s="16" t="inlineStr">
        <is>
          <t>'21.07.</t>
        </is>
      </c>
      <c r="C106" s="164" t="n">
        <v>925</v>
      </c>
      <c r="D106" s="161" t="n">
        <v>129.2</v>
      </c>
      <c r="E106" s="163" t="n">
        <v>39</v>
      </c>
      <c r="F106" s="161" t="n">
        <v>102.9</v>
      </c>
      <c r="G106" s="27" t="n">
        <v>31</v>
      </c>
      <c r="H106" s="164" t="n">
        <v>462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미사역파라곤</t>
        </is>
      </c>
      <c r="B107" s="16" t="inlineStr">
        <is>
          <t>'21.07.</t>
        </is>
      </c>
      <c r="C107" s="164" t="n">
        <v>925</v>
      </c>
      <c r="D107" s="161" t="n">
        <v>135.5</v>
      </c>
      <c r="E107" s="163" t="n">
        <v>41</v>
      </c>
      <c r="F107" s="161" t="n">
        <v>107.7</v>
      </c>
      <c r="G107" s="27" t="n">
        <v>33</v>
      </c>
      <c r="H107" s="164" t="n">
        <v>229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135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미사역파라곤</t>
        </is>
      </c>
      <c r="B108" s="16" t="inlineStr">
        <is>
          <t>'21.07.</t>
        </is>
      </c>
      <c r="C108" s="164" t="n">
        <v>925</v>
      </c>
      <c r="D108" s="161" t="n">
        <v>147.1</v>
      </c>
      <c r="E108" s="163" t="n">
        <v>44</v>
      </c>
      <c r="F108" s="161" t="n">
        <v>117</v>
      </c>
      <c r="G108" s="27" t="n">
        <v>35</v>
      </c>
      <c r="H108" s="164" t="n">
        <v>232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147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미사역파라곤</t>
        </is>
      </c>
      <c r="B109" s="16" t="inlineStr">
        <is>
          <t>'21.07.</t>
        </is>
      </c>
      <c r="C109" s="164" t="n">
        <v>925</v>
      </c>
      <c r="D109" s="161" t="n">
        <v>244.6</v>
      </c>
      <c r="E109" s="163" t="n">
        <v>74</v>
      </c>
      <c r="F109" s="161" t="n">
        <v>195.6</v>
      </c>
      <c r="G109" s="27" t="n">
        <v>59</v>
      </c>
      <c r="H109" s="164" t="n">
        <v>2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3</v>
      </c>
      <c r="S109" s="113" t="inlineStr">
        <is>
          <t>계</t>
        </is>
      </c>
      <c r="T109" s="8" t="n">
        <v>244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미사강변도시12단지</t>
        </is>
      </c>
      <c r="B111" s="16" t="inlineStr">
        <is>
          <t>'15.07.</t>
        </is>
      </c>
      <c r="C111" s="164" t="n">
        <v>664</v>
      </c>
      <c r="D111" s="161" t="n">
        <v>98.5</v>
      </c>
      <c r="E111" s="163" t="n">
        <v>30</v>
      </c>
      <c r="F111" s="161" t="n">
        <v>75</v>
      </c>
      <c r="G111" s="27" t="n">
        <v>23</v>
      </c>
      <c r="H111" s="164" t="n">
        <v>331</v>
      </c>
      <c r="I111" s="165" t="n">
        <v>94000</v>
      </c>
      <c r="J111" s="165" t="inlineStr">
        <is>
          <t>13</t>
        </is>
      </c>
      <c r="K111" s="165" t="n">
        <v>55000</v>
      </c>
      <c r="L111" s="165" t="inlineStr">
        <is>
          <t>중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98A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미사강변도시12단지</t>
        </is>
      </c>
      <c r="B112" s="16" t="inlineStr">
        <is>
          <t>'15.07.</t>
        </is>
      </c>
      <c r="C112" s="164" t="n">
        <v>664</v>
      </c>
      <c r="D112" s="161" t="n">
        <v>111.6</v>
      </c>
      <c r="E112" s="163" t="n">
        <v>34</v>
      </c>
      <c r="F112" s="161" t="n">
        <v>84.90000000000001</v>
      </c>
      <c r="G112" s="27" t="n">
        <v>26</v>
      </c>
      <c r="H112" s="164" t="n">
        <v>285</v>
      </c>
      <c r="I112" s="165" t="n">
        <v>100000</v>
      </c>
      <c r="J112" s="165" t="inlineStr">
        <is>
          <t>고</t>
        </is>
      </c>
      <c r="K112" s="165" t="n">
        <v>60000</v>
      </c>
      <c r="L112" s="165" t="inlineStr">
        <is>
          <t>19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111B2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미사강변도시12단지</t>
        </is>
      </c>
      <c r="B113" s="16" t="inlineStr">
        <is>
          <t>'15.07.</t>
        </is>
      </c>
      <c r="C113" s="164" t="n">
        <v>664</v>
      </c>
      <c r="D113" s="161" t="n">
        <v>111.4</v>
      </c>
      <c r="E113" s="163" t="n">
        <v>34</v>
      </c>
      <c r="F113" s="161" t="n">
        <v>84.8</v>
      </c>
      <c r="G113" s="27" t="n">
        <v>26</v>
      </c>
      <c r="H113" s="164" t="n">
        <v>48</v>
      </c>
      <c r="I113" s="165" t="n">
        <v>102000</v>
      </c>
      <c r="J113" s="165" t="inlineStr">
        <is>
          <t>7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111B1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</sheetData>
  <mergeCells count="1">
    <mergeCell ref="AJ1:AN1"/>
  </mergeCells>
  <conditionalFormatting sqref="AV4:AV6">
    <cfRule type="expression" priority="1885" dxfId="17">
      <formula>AV4="X"</formula>
    </cfRule>
    <cfRule type="expression" priority="1886" dxfId="16">
      <formula>AV4="후보"</formula>
    </cfRule>
  </conditionalFormatting>
  <conditionalFormatting sqref="AC1:AC2 AC4:AC6 N4:N5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:N2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N6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E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X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I6">
    <cfRule type="expression" priority="1866" dxfId="3">
      <formula>AND(IF(OR($Q6=1,$Q6=2),1,0),IF($X6&lt;=20,1,0))</formula>
    </cfRule>
    <cfRule type="expression" priority="1867" dxfId="2">
      <formula>AND(IF($Q6=2,1,0),IF($X6&lt;30,1,0))</formula>
    </cfRule>
    <cfRule type="expression" priority="1868" dxfId="1">
      <formula>AND(IF($Q6=3,1,0),IF($X6&lt;30,1,0))</formula>
    </cfRule>
    <cfRule type="expression" priority="1869" dxfId="0">
      <formula>AND(IF($Q6=3,1,IF($Q6=4,1,0)),IF($F6&lt;=85,1,0))</formula>
    </cfRule>
  </conditionalFormatting>
  <conditionalFormatting sqref="AV7">
    <cfRule type="expression" priority="1864" dxfId="17">
      <formula>AV7="X"</formula>
    </cfRule>
    <cfRule type="expression" priority="1865" dxfId="16">
      <formula>AV7="후보"</formula>
    </cfRule>
  </conditionalFormatting>
  <conditionalFormatting sqref="AC7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N7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E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X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I7">
    <cfRule type="expression" priority="1847" dxfId="3">
      <formula>AND(IF(OR($Q7=1,$Q7=2),1,0),IF($X7&lt;=20,1,0))</formula>
    </cfRule>
    <cfRule type="expression" priority="1848" dxfId="2">
      <formula>AND(IF($Q7=2,1,0),IF($X7&lt;30,1,0))</formula>
    </cfRule>
    <cfRule type="expression" priority="1849" dxfId="1">
      <formula>AND(IF($Q7=3,1,0),IF($X7&lt;30,1,0))</formula>
    </cfRule>
    <cfRule type="expression" priority="1850" dxfId="0">
      <formula>AND(IF($Q7=3,1,IF($Q7=4,1,0)),IF($F7&lt;=85,1,0))</formula>
    </cfRule>
  </conditionalFormatting>
  <conditionalFormatting sqref="AV8">
    <cfRule type="expression" priority="1845" dxfId="17">
      <formula>AV8="X"</formula>
    </cfRule>
    <cfRule type="expression" priority="1846" dxfId="16">
      <formula>AV8="후보"</formula>
    </cfRule>
  </conditionalFormatting>
  <conditionalFormatting sqref="AC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N8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E8">
    <cfRule type="expression" priority="1836" dxfId="3">
      <formula>AND(IF(OR($Q8=1,$Q8=2),1,0),IF($X8&lt;=20,1,0))</formula>
    </cfRule>
    <cfRule type="expression" priority="1837" dxfId="2">
      <formula>AND(IF($Q8=2,1,0),IF($X8&lt;30,1,0))</formula>
    </cfRule>
    <cfRule type="expression" priority="1838" dxfId="1">
      <formula>AND(IF($Q8=3,1,0),IF($X8&lt;30,1,0))</formula>
    </cfRule>
    <cfRule type="expression" priority="1839" dxfId="0">
      <formula>AND(IF($Q8=3,1,IF($Q8=4,1,0)),IF($F8&lt;=85,1,0))</formula>
    </cfRule>
  </conditionalFormatting>
  <conditionalFormatting sqref="X8">
    <cfRule type="expression" priority="1832" dxfId="3">
      <formula>AND(IF(OR($Q8=1,$Q8=2),1,0),IF($X8&lt;=20,1,0))</formula>
    </cfRule>
    <cfRule type="expression" priority="1833" dxfId="2">
      <formula>AND(IF($Q8=2,1,0),IF($X8&lt;30,1,0))</formula>
    </cfRule>
    <cfRule type="expression" priority="1834" dxfId="1">
      <formula>AND(IF($Q8=3,1,0),IF($X8&lt;30,1,0))</formula>
    </cfRule>
    <cfRule type="expression" priority="1835" dxfId="0">
      <formula>AND(IF($Q8=3,1,IF($Q8=4,1,0)),IF($F8&lt;=85,1,0))</formula>
    </cfRule>
  </conditionalFormatting>
  <conditionalFormatting sqref="AI8">
    <cfRule type="expression" priority="1828" dxfId="3">
      <formula>AND(IF(OR($Q8=1,$Q8=2),1,0),IF($X8&lt;=20,1,0))</formula>
    </cfRule>
    <cfRule type="expression" priority="1829" dxfId="2">
      <formula>AND(IF($Q8=2,1,0),IF($X8&lt;30,1,0))</formula>
    </cfRule>
    <cfRule type="expression" priority="1830" dxfId="1">
      <formula>AND(IF($Q8=3,1,0),IF($X8&lt;30,1,0))</formula>
    </cfRule>
    <cfRule type="expression" priority="1831" dxfId="0">
      <formula>AND(IF($Q8=3,1,IF($Q8=4,1,0)),IF($F8&lt;=85,1,0))</formula>
    </cfRule>
  </conditionalFormatting>
  <conditionalFormatting sqref="AV9">
    <cfRule type="expression" priority="1826" dxfId="17">
      <formula>AV9="X"</formula>
    </cfRule>
    <cfRule type="expression" priority="1827" dxfId="16">
      <formula>AV9="후보"</formula>
    </cfRule>
  </conditionalFormatting>
  <conditionalFormatting sqref="AC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9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E9">
    <cfRule type="expression" priority="1817" dxfId="3">
      <formula>AND(IF(OR($Q9=1,$Q9=2),1,0),IF($X9&lt;=20,1,0))</formula>
    </cfRule>
    <cfRule type="expression" priority="1818" dxfId="2">
      <formula>AND(IF($Q9=2,1,0),IF($X9&lt;30,1,0))</formula>
    </cfRule>
    <cfRule type="expression" priority="1819" dxfId="1">
      <formula>AND(IF($Q9=3,1,0),IF($X9&lt;30,1,0))</formula>
    </cfRule>
    <cfRule type="expression" priority="1820" dxfId="0">
      <formula>AND(IF($Q9=3,1,IF($Q9=4,1,0)),IF($F9&lt;=85,1,0))</formula>
    </cfRule>
  </conditionalFormatting>
  <conditionalFormatting sqref="X9">
    <cfRule type="expression" priority="1813" dxfId="3">
      <formula>AND(IF(OR($Q9=1,$Q9=2),1,0),IF($X9&lt;=20,1,0))</formula>
    </cfRule>
    <cfRule type="expression" priority="1814" dxfId="2">
      <formula>AND(IF($Q9=2,1,0),IF($X9&lt;30,1,0))</formula>
    </cfRule>
    <cfRule type="expression" priority="1815" dxfId="1">
      <formula>AND(IF($Q9=3,1,0),IF($X9&lt;30,1,0))</formula>
    </cfRule>
    <cfRule type="expression" priority="1816" dxfId="0">
      <formula>AND(IF($Q9=3,1,IF($Q9=4,1,0)),IF($F9&lt;=85,1,0))</formula>
    </cfRule>
  </conditionalFormatting>
  <conditionalFormatting sqref="AI9">
    <cfRule type="expression" priority="1809" dxfId="3">
      <formula>AND(IF(OR($Q9=1,$Q9=2),1,0),IF($X9&lt;=20,1,0))</formula>
    </cfRule>
    <cfRule type="expression" priority="1810" dxfId="2">
      <formula>AND(IF($Q9=2,1,0),IF($X9&lt;30,1,0))</formula>
    </cfRule>
    <cfRule type="expression" priority="1811" dxfId="1">
      <formula>AND(IF($Q9=3,1,0),IF($X9&lt;30,1,0))</formula>
    </cfRule>
    <cfRule type="expression" priority="1812" dxfId="0">
      <formula>AND(IF($Q9=3,1,IF($Q9=4,1,0)),IF($F9&lt;=85,1,0))</formula>
    </cfRule>
  </conditionalFormatting>
  <conditionalFormatting sqref="AV10">
    <cfRule type="expression" priority="1807" dxfId="17">
      <formula>AV10="X"</formula>
    </cfRule>
    <cfRule type="expression" priority="1808" dxfId="16">
      <formula>AV10="후보"</formula>
    </cfRule>
  </conditionalFormatting>
  <conditionalFormatting sqref="AC10 N1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AV11">
    <cfRule type="expression" priority="1802" dxfId="17">
      <formula>AV11="X"</formula>
    </cfRule>
    <cfRule type="expression" priority="1803" dxfId="16">
      <formula>AV11="후보"</formula>
    </cfRule>
  </conditionalFormatting>
  <conditionalFormatting sqref="AC11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X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I11">
    <cfRule type="expression" priority="1785" dxfId="3">
      <formula>AND(IF(OR($Q11=1,$Q11=2),1,0),IF($X11&lt;=20,1,0))</formula>
    </cfRule>
    <cfRule type="expression" priority="1786" dxfId="2">
      <formula>AND(IF($Q11=2,1,0),IF($X11&lt;30,1,0))</formula>
    </cfRule>
    <cfRule type="expression" priority="1787" dxfId="1">
      <formula>AND(IF($Q11=3,1,0),IF($X11&lt;30,1,0))</formula>
    </cfRule>
    <cfRule type="expression" priority="1788" dxfId="0">
      <formula>AND(IF($Q11=3,1,IF($Q11=4,1,0)),IF($F11&lt;=85,1,0))</formula>
    </cfRule>
  </conditionalFormatting>
  <conditionalFormatting sqref="AV12">
    <cfRule type="expression" priority="1783" dxfId="17">
      <formula>AV12="X"</formula>
    </cfRule>
    <cfRule type="expression" priority="1784" dxfId="16">
      <formula>AV12="후보"</formula>
    </cfRule>
  </conditionalFormatting>
  <conditionalFormatting sqref="AC1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2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2">
    <cfRule type="expression" priority="1774" dxfId="3">
      <formula>AND(IF(OR($Q12=1,$Q12=2),1,0),IF($X12&lt;=20,1,0))</formula>
    </cfRule>
    <cfRule type="expression" priority="1775" dxfId="2">
      <formula>AND(IF($Q12=2,1,0),IF($X12&lt;30,1,0))</formula>
    </cfRule>
    <cfRule type="expression" priority="1776" dxfId="1">
      <formula>AND(IF($Q12=3,1,0),IF($X12&lt;30,1,0))</formula>
    </cfRule>
    <cfRule type="expression" priority="1777" dxfId="0">
      <formula>AND(IF($Q12=3,1,IF($Q12=4,1,0)),IF($F12&lt;=85,1,0))</formula>
    </cfRule>
  </conditionalFormatting>
  <conditionalFormatting sqref="X12">
    <cfRule type="expression" priority="1770" dxfId="3">
      <formula>AND(IF(OR($Q12=1,$Q12=2),1,0),IF($X12&lt;=20,1,0))</formula>
    </cfRule>
    <cfRule type="expression" priority="1771" dxfId="2">
      <formula>AND(IF($Q12=2,1,0),IF($X12&lt;30,1,0))</formula>
    </cfRule>
    <cfRule type="expression" priority="1772" dxfId="1">
      <formula>AND(IF($Q12=3,1,0),IF($X12&lt;30,1,0))</formula>
    </cfRule>
    <cfRule type="expression" priority="1773" dxfId="0">
      <formula>AND(IF($Q12=3,1,IF($Q12=4,1,0)),IF($F12&lt;=85,1,0))</formula>
    </cfRule>
  </conditionalFormatting>
  <conditionalFormatting sqref="AI12">
    <cfRule type="expression" priority="1766" dxfId="3">
      <formula>AND(IF(OR($Q12=1,$Q12=2),1,0),IF($X12&lt;=20,1,0))</formula>
    </cfRule>
    <cfRule type="expression" priority="1767" dxfId="2">
      <formula>AND(IF($Q12=2,1,0),IF($X12&lt;30,1,0))</formula>
    </cfRule>
    <cfRule type="expression" priority="1768" dxfId="1">
      <formula>AND(IF($Q12=3,1,0),IF($X12&lt;30,1,0))</formula>
    </cfRule>
    <cfRule type="expression" priority="1769" dxfId="0">
      <formula>AND(IF($Q12=3,1,IF($Q12=4,1,0)),IF($F12&lt;=85,1,0))</formula>
    </cfRule>
  </conditionalFormatting>
  <conditionalFormatting sqref="AV13">
    <cfRule type="expression" priority="1764" dxfId="17">
      <formula>AV13="X"</formula>
    </cfRule>
    <cfRule type="expression" priority="1765" dxfId="16">
      <formula>AV13="후보"</formula>
    </cfRule>
  </conditionalFormatting>
  <conditionalFormatting sqref="AC1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1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13">
    <cfRule type="expression" priority="1755" dxfId="3">
      <formula>AND(IF(OR($Q13=1,$Q13=2),1,0),IF($X13&lt;=20,1,0))</formula>
    </cfRule>
    <cfRule type="expression" priority="1756" dxfId="2">
      <formula>AND(IF($Q13=2,1,0),IF($X13&lt;30,1,0))</formula>
    </cfRule>
    <cfRule type="expression" priority="1757" dxfId="1">
      <formula>AND(IF($Q13=3,1,0),IF($X13&lt;30,1,0))</formula>
    </cfRule>
    <cfRule type="expression" priority="1758" dxfId="0">
      <formula>AND(IF($Q13=3,1,IF($Q13=4,1,0)),IF($F13&lt;=85,1,0))</formula>
    </cfRule>
  </conditionalFormatting>
  <conditionalFormatting sqref="X13">
    <cfRule type="expression" priority="1751" dxfId="3">
      <formula>AND(IF(OR($Q13=1,$Q13=2),1,0),IF($X13&lt;=20,1,0))</formula>
    </cfRule>
    <cfRule type="expression" priority="1752" dxfId="2">
      <formula>AND(IF($Q13=2,1,0),IF($X13&lt;30,1,0))</formula>
    </cfRule>
    <cfRule type="expression" priority="1753" dxfId="1">
      <formula>AND(IF($Q13=3,1,0),IF($X13&lt;30,1,0))</formula>
    </cfRule>
    <cfRule type="expression" priority="1754" dxfId="0">
      <formula>AND(IF($Q13=3,1,IF($Q13=4,1,0)),IF($F13&lt;=85,1,0))</formula>
    </cfRule>
  </conditionalFormatting>
  <conditionalFormatting sqref="AI13">
    <cfRule type="expression" priority="1747" dxfId="3">
      <formula>AND(IF(OR($Q13=1,$Q13=2),1,0),IF($X13&lt;=20,1,0))</formula>
    </cfRule>
    <cfRule type="expression" priority="1748" dxfId="2">
      <formula>AND(IF($Q13=2,1,0),IF($X13&lt;30,1,0))</formula>
    </cfRule>
    <cfRule type="expression" priority="1749" dxfId="1">
      <formula>AND(IF($Q13=3,1,0),IF($X13&lt;30,1,0))</formula>
    </cfRule>
    <cfRule type="expression" priority="1750" dxfId="0">
      <formula>AND(IF($Q13=3,1,IF($Q13=4,1,0)),IF($F13&lt;=85,1,0))</formula>
    </cfRule>
  </conditionalFormatting>
  <conditionalFormatting sqref="AV14">
    <cfRule type="expression" priority="1745" dxfId="17">
      <formula>AV14="X"</formula>
    </cfRule>
    <cfRule type="expression" priority="1746" dxfId="16">
      <formula>AV14="후보"</formula>
    </cfRule>
  </conditionalFormatting>
  <conditionalFormatting sqref="AC1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14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14">
    <cfRule type="expression" priority="1736" dxfId="3">
      <formula>AND(IF(OR($Q14=1,$Q14=2),1,0),IF($X14&lt;=20,1,0))</formula>
    </cfRule>
    <cfRule type="expression" priority="1737" dxfId="2">
      <formula>AND(IF($Q14=2,1,0),IF($X14&lt;30,1,0))</formula>
    </cfRule>
    <cfRule type="expression" priority="1738" dxfId="1">
      <formula>AND(IF($Q14=3,1,0),IF($X14&lt;30,1,0))</formula>
    </cfRule>
    <cfRule type="expression" priority="1739" dxfId="0">
      <formula>AND(IF($Q14=3,1,IF($Q14=4,1,0)),IF($F14&lt;=85,1,0))</formula>
    </cfRule>
  </conditionalFormatting>
  <conditionalFormatting sqref="X14">
    <cfRule type="expression" priority="1732" dxfId="3">
      <formula>AND(IF(OR($Q14=1,$Q14=2),1,0),IF($X14&lt;=20,1,0))</formula>
    </cfRule>
    <cfRule type="expression" priority="1733" dxfId="2">
      <formula>AND(IF($Q14=2,1,0),IF($X14&lt;30,1,0))</formula>
    </cfRule>
    <cfRule type="expression" priority="1734" dxfId="1">
      <formula>AND(IF($Q14=3,1,0),IF($X14&lt;30,1,0))</formula>
    </cfRule>
    <cfRule type="expression" priority="1735" dxfId="0">
      <formula>AND(IF($Q14=3,1,IF($Q14=4,1,0)),IF($F14&lt;=85,1,0))</formula>
    </cfRule>
  </conditionalFormatting>
  <conditionalFormatting sqref="AI14">
    <cfRule type="expression" priority="1728" dxfId="3">
      <formula>AND(IF(OR($Q14=1,$Q14=2),1,0),IF($X14&lt;=20,1,0))</formula>
    </cfRule>
    <cfRule type="expression" priority="1729" dxfId="2">
      <formula>AND(IF($Q14=2,1,0),IF($X14&lt;30,1,0))</formula>
    </cfRule>
    <cfRule type="expression" priority="1730" dxfId="1">
      <formula>AND(IF($Q14=3,1,0),IF($X14&lt;30,1,0))</formula>
    </cfRule>
    <cfRule type="expression" priority="1731" dxfId="0">
      <formula>AND(IF($Q14=3,1,IF($Q14=4,1,0)),IF($F14&lt;=85,1,0))</formula>
    </cfRule>
  </conditionalFormatting>
  <conditionalFormatting sqref="AV15">
    <cfRule type="expression" priority="1726" dxfId="17">
      <formula>AV15="X"</formula>
    </cfRule>
    <cfRule type="expression" priority="1727" dxfId="16">
      <formula>AV15="후보"</formula>
    </cfRule>
  </conditionalFormatting>
  <conditionalFormatting sqref="AC1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5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15">
    <cfRule type="expression" priority="1717" dxfId="3">
      <formula>AND(IF(OR($Q15=1,$Q15=2),1,0),IF($X15&lt;=20,1,0))</formula>
    </cfRule>
    <cfRule type="expression" priority="1718" dxfId="2">
      <formula>AND(IF($Q15=2,1,0),IF($X15&lt;30,1,0))</formula>
    </cfRule>
    <cfRule type="expression" priority="1719" dxfId="1">
      <formula>AND(IF($Q15=3,1,0),IF($X15&lt;30,1,0))</formula>
    </cfRule>
    <cfRule type="expression" priority="1720" dxfId="0">
      <formula>AND(IF($Q15=3,1,IF($Q15=4,1,0)),IF($F15&lt;=85,1,0))</formula>
    </cfRule>
  </conditionalFormatting>
  <conditionalFormatting sqref="X15">
    <cfRule type="expression" priority="1713" dxfId="3">
      <formula>AND(IF(OR($Q15=1,$Q15=2),1,0),IF($X15&lt;=20,1,0))</formula>
    </cfRule>
    <cfRule type="expression" priority="1714" dxfId="2">
      <formula>AND(IF($Q15=2,1,0),IF($X15&lt;30,1,0))</formula>
    </cfRule>
    <cfRule type="expression" priority="1715" dxfId="1">
      <formula>AND(IF($Q15=3,1,0),IF($X15&lt;30,1,0))</formula>
    </cfRule>
    <cfRule type="expression" priority="1716" dxfId="0">
      <formula>AND(IF($Q15=3,1,IF($Q15=4,1,0)),IF($F15&lt;=85,1,0))</formula>
    </cfRule>
  </conditionalFormatting>
  <conditionalFormatting sqref="AI15">
    <cfRule type="expression" priority="1709" dxfId="3">
      <formula>AND(IF(OR($Q15=1,$Q15=2),1,0),IF($X15&lt;=20,1,0))</formula>
    </cfRule>
    <cfRule type="expression" priority="1710" dxfId="2">
      <formula>AND(IF($Q15=2,1,0),IF($X15&lt;30,1,0))</formula>
    </cfRule>
    <cfRule type="expression" priority="1711" dxfId="1">
      <formula>AND(IF($Q15=3,1,0),IF($X15&lt;30,1,0))</formula>
    </cfRule>
    <cfRule type="expression" priority="1712" dxfId="0">
      <formula>AND(IF($Q15=3,1,IF($Q15=4,1,0)),IF($F15&lt;=85,1,0))</formula>
    </cfRule>
  </conditionalFormatting>
  <conditionalFormatting sqref="AV16">
    <cfRule type="expression" priority="1707" dxfId="17">
      <formula>AV16="X"</formula>
    </cfRule>
    <cfRule type="expression" priority="1708" dxfId="16">
      <formula>AV16="후보"</formula>
    </cfRule>
  </conditionalFormatting>
  <conditionalFormatting sqref="AC16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N16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E16">
    <cfRule type="expression" priority="1698" dxfId="3">
      <formula>AND(IF(OR($Q16=1,$Q16=2),1,0),IF($X16&lt;=20,1,0))</formula>
    </cfRule>
    <cfRule type="expression" priority="1699" dxfId="2">
      <formula>AND(IF($Q16=2,1,0),IF($X16&lt;30,1,0))</formula>
    </cfRule>
    <cfRule type="expression" priority="1700" dxfId="1">
      <formula>AND(IF($Q16=3,1,0),IF($X16&lt;30,1,0))</formula>
    </cfRule>
    <cfRule type="expression" priority="1701" dxfId="0">
      <formula>AND(IF($Q16=3,1,IF($Q16=4,1,0)),IF($F16&lt;=85,1,0))</formula>
    </cfRule>
  </conditionalFormatting>
  <conditionalFormatting sqref="X16">
    <cfRule type="expression" priority="1694" dxfId="3">
      <formula>AND(IF(OR($Q16=1,$Q16=2),1,0),IF($X16&lt;=20,1,0))</formula>
    </cfRule>
    <cfRule type="expression" priority="1695" dxfId="2">
      <formula>AND(IF($Q16=2,1,0),IF($X16&lt;30,1,0))</formula>
    </cfRule>
    <cfRule type="expression" priority="1696" dxfId="1">
      <formula>AND(IF($Q16=3,1,0),IF($X16&lt;30,1,0))</formula>
    </cfRule>
    <cfRule type="expression" priority="1697" dxfId="0">
      <formula>AND(IF($Q16=3,1,IF($Q16=4,1,0)),IF($F16&lt;=85,1,0))</formula>
    </cfRule>
  </conditionalFormatting>
  <conditionalFormatting sqref="AI16">
    <cfRule type="expression" priority="1690" dxfId="3">
      <formula>AND(IF(OR($Q16=1,$Q16=2),1,0),IF($X16&lt;=20,1,0))</formula>
    </cfRule>
    <cfRule type="expression" priority="1691" dxfId="2">
      <formula>AND(IF($Q16=2,1,0),IF($X16&lt;30,1,0))</formula>
    </cfRule>
    <cfRule type="expression" priority="1692" dxfId="1">
      <formula>AND(IF($Q16=3,1,0),IF($X16&lt;30,1,0))</formula>
    </cfRule>
    <cfRule type="expression" priority="1693" dxfId="0">
      <formula>AND(IF($Q16=3,1,IF($Q16=4,1,0)),IF($F16&lt;=85,1,0))</formula>
    </cfRule>
  </conditionalFormatting>
  <conditionalFormatting sqref="AV17">
    <cfRule type="expression" priority="1688" dxfId="17">
      <formula>AV17="X"</formula>
    </cfRule>
    <cfRule type="expression" priority="1689" dxfId="16">
      <formula>AV17="후보"</formula>
    </cfRule>
  </conditionalFormatting>
  <conditionalFormatting sqref="AC17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N17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E17">
    <cfRule type="expression" priority="1679" dxfId="3">
      <formula>AND(IF(OR($Q17=1,$Q17=2),1,0),IF($X17&lt;=20,1,0))</formula>
    </cfRule>
    <cfRule type="expression" priority="1680" dxfId="2">
      <formula>AND(IF($Q17=2,1,0),IF($X17&lt;30,1,0))</formula>
    </cfRule>
    <cfRule type="expression" priority="1681" dxfId="1">
      <formula>AND(IF($Q17=3,1,0),IF($X17&lt;30,1,0))</formula>
    </cfRule>
    <cfRule type="expression" priority="1682" dxfId="0">
      <formula>AND(IF($Q17=3,1,IF($Q17=4,1,0)),IF($F17&lt;=85,1,0))</formula>
    </cfRule>
  </conditionalFormatting>
  <conditionalFormatting sqref="X17">
    <cfRule type="expression" priority="1675" dxfId="3">
      <formula>AND(IF(OR($Q17=1,$Q17=2),1,0),IF($X17&lt;=20,1,0))</formula>
    </cfRule>
    <cfRule type="expression" priority="1676" dxfId="2">
      <formula>AND(IF($Q17=2,1,0),IF($X17&lt;30,1,0))</formula>
    </cfRule>
    <cfRule type="expression" priority="1677" dxfId="1">
      <formula>AND(IF($Q17=3,1,0),IF($X17&lt;30,1,0))</formula>
    </cfRule>
    <cfRule type="expression" priority="1678" dxfId="0">
      <formula>AND(IF($Q17=3,1,IF($Q17=4,1,0)),IF($F17&lt;=85,1,0))</formula>
    </cfRule>
  </conditionalFormatting>
  <conditionalFormatting sqref="AI17">
    <cfRule type="expression" priority="1671" dxfId="3">
      <formula>AND(IF(OR($Q17=1,$Q17=2),1,0),IF($X17&lt;=20,1,0))</formula>
    </cfRule>
    <cfRule type="expression" priority="1672" dxfId="2">
      <formula>AND(IF($Q17=2,1,0),IF($X17&lt;30,1,0))</formula>
    </cfRule>
    <cfRule type="expression" priority="1673" dxfId="1">
      <formula>AND(IF($Q17=3,1,0),IF($X17&lt;30,1,0))</formula>
    </cfRule>
    <cfRule type="expression" priority="1674" dxfId="0">
      <formula>AND(IF($Q17=3,1,IF($Q17=4,1,0)),IF($F17&lt;=85,1,0))</formula>
    </cfRule>
  </conditionalFormatting>
  <conditionalFormatting sqref="AV18">
    <cfRule type="expression" priority="1669" dxfId="17">
      <formula>AV18="X"</formula>
    </cfRule>
    <cfRule type="expression" priority="1670" dxfId="16">
      <formula>AV18="후보"</formula>
    </cfRule>
  </conditionalFormatting>
  <conditionalFormatting sqref="AC18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N18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E18">
    <cfRule type="expression" priority="1660" dxfId="3">
      <formula>AND(IF(OR($Q18=1,$Q18=2),1,0),IF($X18&lt;=20,1,0))</formula>
    </cfRule>
    <cfRule type="expression" priority="1661" dxfId="2">
      <formula>AND(IF($Q18=2,1,0),IF($X18&lt;30,1,0))</formula>
    </cfRule>
    <cfRule type="expression" priority="1662" dxfId="1">
      <formula>AND(IF($Q18=3,1,0),IF($X18&lt;30,1,0))</formula>
    </cfRule>
    <cfRule type="expression" priority="1663" dxfId="0">
      <formula>AND(IF($Q18=3,1,IF($Q18=4,1,0)),IF($F18&lt;=85,1,0))</formula>
    </cfRule>
  </conditionalFormatting>
  <conditionalFormatting sqref="X18">
    <cfRule type="expression" priority="1656" dxfId="3">
      <formula>AND(IF(OR($Q18=1,$Q18=2),1,0),IF($X18&lt;=20,1,0))</formula>
    </cfRule>
    <cfRule type="expression" priority="1657" dxfId="2">
      <formula>AND(IF($Q18=2,1,0),IF($X18&lt;30,1,0))</formula>
    </cfRule>
    <cfRule type="expression" priority="1658" dxfId="1">
      <formula>AND(IF($Q18=3,1,0),IF($X18&lt;30,1,0))</formula>
    </cfRule>
    <cfRule type="expression" priority="1659" dxfId="0">
      <formula>AND(IF($Q18=3,1,IF($Q18=4,1,0)),IF($F18&lt;=85,1,0))</formula>
    </cfRule>
  </conditionalFormatting>
  <conditionalFormatting sqref="AI18">
    <cfRule type="expression" priority="1652" dxfId="3">
      <formula>AND(IF(OR($Q18=1,$Q18=2),1,0),IF($X18&lt;=20,1,0))</formula>
    </cfRule>
    <cfRule type="expression" priority="1653" dxfId="2">
      <formula>AND(IF($Q18=2,1,0),IF($X18&lt;30,1,0))</formula>
    </cfRule>
    <cfRule type="expression" priority="1654" dxfId="1">
      <formula>AND(IF($Q18=3,1,0),IF($X18&lt;30,1,0))</formula>
    </cfRule>
    <cfRule type="expression" priority="1655" dxfId="0">
      <formula>AND(IF($Q18=3,1,IF($Q18=4,1,0)),IF($F18&lt;=85,1,0))</formula>
    </cfRule>
  </conditionalFormatting>
  <conditionalFormatting sqref="AV19">
    <cfRule type="expression" priority="1650" dxfId="17">
      <formula>AV19="X"</formula>
    </cfRule>
    <cfRule type="expression" priority="1651" dxfId="16">
      <formula>AV19="후보"</formula>
    </cfRule>
  </conditionalFormatting>
  <conditionalFormatting sqref="AC19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N19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E19">
    <cfRule type="expression" priority="1641" dxfId="3">
      <formula>AND(IF(OR($Q19=1,$Q19=2),1,0),IF($X19&lt;=20,1,0))</formula>
    </cfRule>
    <cfRule type="expression" priority="1642" dxfId="2">
      <formula>AND(IF($Q19=2,1,0),IF($X19&lt;30,1,0))</formula>
    </cfRule>
    <cfRule type="expression" priority="1643" dxfId="1">
      <formula>AND(IF($Q19=3,1,0),IF($X19&lt;30,1,0))</formula>
    </cfRule>
    <cfRule type="expression" priority="1644" dxfId="0">
      <formula>AND(IF($Q19=3,1,IF($Q19=4,1,0)),IF($F19&lt;=85,1,0))</formula>
    </cfRule>
  </conditionalFormatting>
  <conditionalFormatting sqref="X19">
    <cfRule type="expression" priority="1637" dxfId="3">
      <formula>AND(IF(OR($Q19=1,$Q19=2),1,0),IF($X19&lt;=20,1,0))</formula>
    </cfRule>
    <cfRule type="expression" priority="1638" dxfId="2">
      <formula>AND(IF($Q19=2,1,0),IF($X19&lt;30,1,0))</formula>
    </cfRule>
    <cfRule type="expression" priority="1639" dxfId="1">
      <formula>AND(IF($Q19=3,1,0),IF($X19&lt;30,1,0))</formula>
    </cfRule>
    <cfRule type="expression" priority="1640" dxfId="0">
      <formula>AND(IF($Q19=3,1,IF($Q19=4,1,0)),IF($F19&lt;=85,1,0))</formula>
    </cfRule>
  </conditionalFormatting>
  <conditionalFormatting sqref="AI19">
    <cfRule type="expression" priority="1633" dxfId="3">
      <formula>AND(IF(OR($Q19=1,$Q19=2),1,0),IF($X19&lt;=20,1,0))</formula>
    </cfRule>
    <cfRule type="expression" priority="1634" dxfId="2">
      <formula>AND(IF($Q19=2,1,0),IF($X19&lt;30,1,0))</formula>
    </cfRule>
    <cfRule type="expression" priority="1635" dxfId="1">
      <formula>AND(IF($Q19=3,1,0),IF($X19&lt;30,1,0))</formula>
    </cfRule>
    <cfRule type="expression" priority="1636" dxfId="0">
      <formula>AND(IF($Q19=3,1,IF($Q19=4,1,0)),IF($F19&lt;=85,1,0))</formula>
    </cfRule>
  </conditionalFormatting>
  <conditionalFormatting sqref="AV20">
    <cfRule type="expression" priority="1631" dxfId="17">
      <formula>AV20="X"</formula>
    </cfRule>
    <cfRule type="expression" priority="1632" dxfId="16">
      <formula>AV20="후보"</formula>
    </cfRule>
  </conditionalFormatting>
  <conditionalFormatting sqref="AC20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N20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E20">
    <cfRule type="expression" priority="1622" dxfId="3">
      <formula>AND(IF(OR($Q20=1,$Q20=2),1,0),IF($X20&lt;=20,1,0))</formula>
    </cfRule>
    <cfRule type="expression" priority="1623" dxfId="2">
      <formula>AND(IF($Q20=2,1,0),IF($X20&lt;30,1,0))</formula>
    </cfRule>
    <cfRule type="expression" priority="1624" dxfId="1">
      <formula>AND(IF($Q20=3,1,0),IF($X20&lt;30,1,0))</formula>
    </cfRule>
    <cfRule type="expression" priority="1625" dxfId="0">
      <formula>AND(IF($Q20=3,1,IF($Q20=4,1,0)),IF($F20&lt;=85,1,0))</formula>
    </cfRule>
  </conditionalFormatting>
  <conditionalFormatting sqref="X20">
    <cfRule type="expression" priority="1618" dxfId="3">
      <formula>AND(IF(OR($Q20=1,$Q20=2),1,0),IF($X20&lt;=20,1,0))</formula>
    </cfRule>
    <cfRule type="expression" priority="1619" dxfId="2">
      <formula>AND(IF($Q20=2,1,0),IF($X20&lt;30,1,0))</formula>
    </cfRule>
    <cfRule type="expression" priority="1620" dxfId="1">
      <formula>AND(IF($Q20=3,1,0),IF($X20&lt;30,1,0))</formula>
    </cfRule>
    <cfRule type="expression" priority="1621" dxfId="0">
      <formula>AND(IF($Q20=3,1,IF($Q20=4,1,0)),IF($F20&lt;=85,1,0))</formula>
    </cfRule>
  </conditionalFormatting>
  <conditionalFormatting sqref="AI20">
    <cfRule type="expression" priority="1614" dxfId="3">
      <formula>AND(IF(OR($Q20=1,$Q20=2),1,0),IF($X20&lt;=20,1,0))</formula>
    </cfRule>
    <cfRule type="expression" priority="1615" dxfId="2">
      <formula>AND(IF($Q20=2,1,0),IF($X20&lt;30,1,0))</formula>
    </cfRule>
    <cfRule type="expression" priority="1616" dxfId="1">
      <formula>AND(IF($Q20=3,1,0),IF($X20&lt;30,1,0))</formula>
    </cfRule>
    <cfRule type="expression" priority="1617" dxfId="0">
      <formula>AND(IF($Q20=3,1,IF($Q20=4,1,0)),IF($F20&lt;=85,1,0))</formula>
    </cfRule>
  </conditionalFormatting>
  <conditionalFormatting sqref="AV21">
    <cfRule type="expression" priority="1612" dxfId="17">
      <formula>AV21="X"</formula>
    </cfRule>
    <cfRule type="expression" priority="1613" dxfId="16">
      <formula>AV21="후보"</formula>
    </cfRule>
  </conditionalFormatting>
  <conditionalFormatting sqref="AC21 N21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AV22">
    <cfRule type="expression" priority="1607" dxfId="17">
      <formula>AV22="X"</formula>
    </cfRule>
    <cfRule type="expression" priority="1608" dxfId="16">
      <formula>AV22="후보"</formula>
    </cfRule>
  </conditionalFormatting>
  <conditionalFormatting sqref="AC2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22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X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I22">
    <cfRule type="expression" priority="1590" dxfId="3">
      <formula>AND(IF(OR($Q22=1,$Q22=2),1,0),IF($X22&lt;=20,1,0))</formula>
    </cfRule>
    <cfRule type="expression" priority="1591" dxfId="2">
      <formula>AND(IF($Q22=2,1,0),IF($X22&lt;30,1,0))</formula>
    </cfRule>
    <cfRule type="expression" priority="1592" dxfId="1">
      <formula>AND(IF($Q22=3,1,0),IF($X22&lt;30,1,0))</formula>
    </cfRule>
    <cfRule type="expression" priority="1593" dxfId="0">
      <formula>AND(IF($Q22=3,1,IF($Q22=4,1,0)),IF($F22&lt;=85,1,0))</formula>
    </cfRule>
  </conditionalFormatting>
  <conditionalFormatting sqref="AV23">
    <cfRule type="expression" priority="1588" dxfId="17">
      <formula>AV23="X"</formula>
    </cfRule>
    <cfRule type="expression" priority="1589" dxfId="16">
      <formula>AV23="후보"</formula>
    </cfRule>
  </conditionalFormatting>
  <conditionalFormatting sqref="AC2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23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X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I23">
    <cfRule type="expression" priority="1571" dxfId="3">
      <formula>AND(IF(OR($Q23=1,$Q23=2),1,0),IF($X23&lt;=20,1,0))</formula>
    </cfRule>
    <cfRule type="expression" priority="1572" dxfId="2">
      <formula>AND(IF($Q23=2,1,0),IF($X23&lt;30,1,0))</formula>
    </cfRule>
    <cfRule type="expression" priority="1573" dxfId="1">
      <formula>AND(IF($Q23=3,1,0),IF($X23&lt;30,1,0))</formula>
    </cfRule>
    <cfRule type="expression" priority="1574" dxfId="0">
      <formula>AND(IF($Q23=3,1,IF($Q23=4,1,0)),IF($F23&lt;=85,1,0))</formula>
    </cfRule>
  </conditionalFormatting>
  <conditionalFormatting sqref="AV24">
    <cfRule type="expression" priority="1569" dxfId="17">
      <formula>AV24="X"</formula>
    </cfRule>
    <cfRule type="expression" priority="1570" dxfId="16">
      <formula>AV24="후보"</formula>
    </cfRule>
  </conditionalFormatting>
  <conditionalFormatting sqref="AC24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24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X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I24">
    <cfRule type="expression" priority="1552" dxfId="3">
      <formula>AND(IF(OR($Q24=1,$Q24=2),1,0),IF($X24&lt;=20,1,0))</formula>
    </cfRule>
    <cfRule type="expression" priority="1553" dxfId="2">
      <formula>AND(IF($Q24=2,1,0),IF($X24&lt;30,1,0))</formula>
    </cfRule>
    <cfRule type="expression" priority="1554" dxfId="1">
      <formula>AND(IF($Q24=3,1,0),IF($X24&lt;30,1,0))</formula>
    </cfRule>
    <cfRule type="expression" priority="1555" dxfId="0">
      <formula>AND(IF($Q24=3,1,IF($Q24=4,1,0)),IF($F24&lt;=85,1,0))</formula>
    </cfRule>
  </conditionalFormatting>
  <conditionalFormatting sqref="AV25">
    <cfRule type="expression" priority="1550" dxfId="17">
      <formula>AV25="X"</formula>
    </cfRule>
    <cfRule type="expression" priority="1551" dxfId="16">
      <formula>AV25="후보"</formula>
    </cfRule>
  </conditionalFormatting>
  <conditionalFormatting sqref="AC25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N2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E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X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I25">
    <cfRule type="expression" priority="1533" dxfId="3">
      <formula>AND(IF(OR($Q25=1,$Q25=2),1,0),IF($X25&lt;=20,1,0))</formula>
    </cfRule>
    <cfRule type="expression" priority="1534" dxfId="2">
      <formula>AND(IF($Q25=2,1,0),IF($X25&lt;30,1,0))</formula>
    </cfRule>
    <cfRule type="expression" priority="1535" dxfId="1">
      <formula>AND(IF($Q25=3,1,0),IF($X25&lt;30,1,0))</formula>
    </cfRule>
    <cfRule type="expression" priority="1536" dxfId="0">
      <formula>AND(IF($Q25=3,1,IF($Q25=4,1,0)),IF($F25&lt;=85,1,0))</formula>
    </cfRule>
  </conditionalFormatting>
  <conditionalFormatting sqref="AV26">
    <cfRule type="expression" priority="1531" dxfId="17">
      <formula>AV26="X"</formula>
    </cfRule>
    <cfRule type="expression" priority="1532" dxfId="16">
      <formula>AV26="후보"</formula>
    </cfRule>
  </conditionalFormatting>
  <conditionalFormatting sqref="AC26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N26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E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X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I26">
    <cfRule type="expression" priority="1514" dxfId="3">
      <formula>AND(IF(OR($Q26=1,$Q26=2),1,0),IF($X26&lt;=20,1,0))</formula>
    </cfRule>
    <cfRule type="expression" priority="1515" dxfId="2">
      <formula>AND(IF($Q26=2,1,0),IF($X26&lt;30,1,0))</formula>
    </cfRule>
    <cfRule type="expression" priority="1516" dxfId="1">
      <formula>AND(IF($Q26=3,1,0),IF($X26&lt;30,1,0))</formula>
    </cfRule>
    <cfRule type="expression" priority="1517" dxfId="0">
      <formula>AND(IF($Q26=3,1,IF($Q26=4,1,0)),IF($F26&lt;=85,1,0))</formula>
    </cfRule>
  </conditionalFormatting>
  <conditionalFormatting sqref="AV27">
    <cfRule type="expression" priority="1512" dxfId="17">
      <formula>AV27="X"</formula>
    </cfRule>
    <cfRule type="expression" priority="1513" dxfId="16">
      <formula>AV27="후보"</formula>
    </cfRule>
  </conditionalFormatting>
  <conditionalFormatting sqref="AC2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2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X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I27">
    <cfRule type="expression" priority="1495" dxfId="3">
      <formula>AND(IF(OR($Q27=1,$Q27=2),1,0),IF($X27&lt;=20,1,0))</formula>
    </cfRule>
    <cfRule type="expression" priority="1496" dxfId="2">
      <formula>AND(IF($Q27=2,1,0),IF($X27&lt;30,1,0))</formula>
    </cfRule>
    <cfRule type="expression" priority="1497" dxfId="1">
      <formula>AND(IF($Q27=3,1,0),IF($X27&lt;30,1,0))</formula>
    </cfRule>
    <cfRule type="expression" priority="1498" dxfId="0">
      <formula>AND(IF($Q27=3,1,IF($Q27=4,1,0)),IF($F27&lt;=85,1,0))</formula>
    </cfRule>
  </conditionalFormatting>
  <conditionalFormatting sqref="AV28">
    <cfRule type="expression" priority="1493" dxfId="17">
      <formula>AV28="X"</formula>
    </cfRule>
    <cfRule type="expression" priority="1494" dxfId="16">
      <formula>AV28="후보"</formula>
    </cfRule>
  </conditionalFormatting>
  <conditionalFormatting sqref="AC28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N28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E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X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I28">
    <cfRule type="expression" priority="1476" dxfId="3">
      <formula>AND(IF(OR($Q28=1,$Q28=2),1,0),IF($X28&lt;=20,1,0))</formula>
    </cfRule>
    <cfRule type="expression" priority="1477" dxfId="2">
      <formula>AND(IF($Q28=2,1,0),IF($X28&lt;30,1,0))</formula>
    </cfRule>
    <cfRule type="expression" priority="1478" dxfId="1">
      <formula>AND(IF($Q28=3,1,0),IF($X28&lt;30,1,0))</formula>
    </cfRule>
    <cfRule type="expression" priority="1479" dxfId="0">
      <formula>AND(IF($Q28=3,1,IF($Q28=4,1,0)),IF($F28&lt;=85,1,0))</formula>
    </cfRule>
  </conditionalFormatting>
  <conditionalFormatting sqref="AV29">
    <cfRule type="expression" priority="1474" dxfId="17">
      <formula>AV29="X"</formula>
    </cfRule>
    <cfRule type="expression" priority="1475" dxfId="16">
      <formula>AV29="후보"</formula>
    </cfRule>
  </conditionalFormatting>
  <conditionalFormatting sqref="AC2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29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X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I29">
    <cfRule type="expression" priority="1457" dxfId="3">
      <formula>AND(IF(OR($Q29=1,$Q29=2),1,0),IF($X29&lt;=20,1,0))</formula>
    </cfRule>
    <cfRule type="expression" priority="1458" dxfId="2">
      <formula>AND(IF($Q29=2,1,0),IF($X29&lt;30,1,0))</formula>
    </cfRule>
    <cfRule type="expression" priority="1459" dxfId="1">
      <formula>AND(IF($Q29=3,1,0),IF($X29&lt;30,1,0))</formula>
    </cfRule>
    <cfRule type="expression" priority="1460" dxfId="0">
      <formula>AND(IF($Q29=3,1,IF($Q29=4,1,0)),IF($F29&lt;=85,1,0))</formula>
    </cfRule>
  </conditionalFormatting>
  <conditionalFormatting sqref="AV30">
    <cfRule type="expression" priority="1455" dxfId="17">
      <formula>AV30="X"</formula>
    </cfRule>
    <cfRule type="expression" priority="1456" dxfId="16">
      <formula>AV30="후보"</formula>
    </cfRule>
  </conditionalFormatting>
  <conditionalFormatting sqref="AC30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30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30">
    <cfRule type="expression" priority="1446" dxfId="3">
      <formula>AND(IF(OR($Q30=1,$Q30=2),1,0),IF($X30&lt;=20,1,0))</formula>
    </cfRule>
    <cfRule type="expression" priority="1447" dxfId="2">
      <formula>AND(IF($Q30=2,1,0),IF($X30&lt;30,1,0))</formula>
    </cfRule>
    <cfRule type="expression" priority="1448" dxfId="1">
      <formula>AND(IF($Q30=3,1,0),IF($X30&lt;30,1,0))</formula>
    </cfRule>
    <cfRule type="expression" priority="1449" dxfId="0">
      <formula>AND(IF($Q30=3,1,IF($Q30=4,1,0)),IF($F30&lt;=85,1,0))</formula>
    </cfRule>
  </conditionalFormatting>
  <conditionalFormatting sqref="X30">
    <cfRule type="expression" priority="1442" dxfId="3">
      <formula>AND(IF(OR($Q30=1,$Q30=2),1,0),IF($X30&lt;=20,1,0))</formula>
    </cfRule>
    <cfRule type="expression" priority="1443" dxfId="2">
      <formula>AND(IF($Q30=2,1,0),IF($X30&lt;30,1,0))</formula>
    </cfRule>
    <cfRule type="expression" priority="1444" dxfId="1">
      <formula>AND(IF($Q30=3,1,0),IF($X30&lt;30,1,0))</formula>
    </cfRule>
    <cfRule type="expression" priority="1445" dxfId="0">
      <formula>AND(IF($Q30=3,1,IF($Q30=4,1,0)),IF($F30&lt;=85,1,0))</formula>
    </cfRule>
  </conditionalFormatting>
  <conditionalFormatting sqref="AI30">
    <cfRule type="expression" priority="1438" dxfId="3">
      <formula>AND(IF(OR($Q30=1,$Q30=2),1,0),IF($X30&lt;=20,1,0))</formula>
    </cfRule>
    <cfRule type="expression" priority="1439" dxfId="2">
      <formula>AND(IF($Q30=2,1,0),IF($X30&lt;30,1,0))</formula>
    </cfRule>
    <cfRule type="expression" priority="1440" dxfId="1">
      <formula>AND(IF($Q30=3,1,0),IF($X30&lt;30,1,0))</formula>
    </cfRule>
    <cfRule type="expression" priority="1441" dxfId="0">
      <formula>AND(IF($Q30=3,1,IF($Q30=4,1,0)),IF($F30&lt;=85,1,0))</formula>
    </cfRule>
  </conditionalFormatting>
  <conditionalFormatting sqref="AV31">
    <cfRule type="expression" priority="1436" dxfId="17">
      <formula>AV31="X"</formula>
    </cfRule>
    <cfRule type="expression" priority="1437" dxfId="16">
      <formula>AV31="후보"</formula>
    </cfRule>
  </conditionalFormatting>
  <conditionalFormatting sqref="AC31 N31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AV32">
    <cfRule type="expression" priority="1431" dxfId="17">
      <formula>AV32="X"</formula>
    </cfRule>
    <cfRule type="expression" priority="1432" dxfId="16">
      <formula>AV32="후보"</formula>
    </cfRule>
  </conditionalFormatting>
  <conditionalFormatting sqref="AC32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32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X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I32">
    <cfRule type="expression" priority="1414" dxfId="3">
      <formula>AND(IF(OR($Q32=1,$Q32=2),1,0),IF($X32&lt;=20,1,0))</formula>
    </cfRule>
    <cfRule type="expression" priority="1415" dxfId="2">
      <formula>AND(IF($Q32=2,1,0),IF($X32&lt;30,1,0))</formula>
    </cfRule>
    <cfRule type="expression" priority="1416" dxfId="1">
      <formula>AND(IF($Q32=3,1,0),IF($X32&lt;30,1,0))</formula>
    </cfRule>
    <cfRule type="expression" priority="1417" dxfId="0">
      <formula>AND(IF($Q32=3,1,IF($Q32=4,1,0)),IF($F32&lt;=85,1,0))</formula>
    </cfRule>
  </conditionalFormatting>
  <conditionalFormatting sqref="AV33">
    <cfRule type="expression" priority="1412" dxfId="17">
      <formula>AV33="X"</formula>
    </cfRule>
    <cfRule type="expression" priority="1413" dxfId="16">
      <formula>AV33="후보"</formula>
    </cfRule>
  </conditionalFormatting>
  <conditionalFormatting sqref="AC33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33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X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I33">
    <cfRule type="expression" priority="1395" dxfId="3">
      <formula>AND(IF(OR($Q33=1,$Q33=2),1,0),IF($X33&lt;=20,1,0))</formula>
    </cfRule>
    <cfRule type="expression" priority="1396" dxfId="2">
      <formula>AND(IF($Q33=2,1,0),IF($X33&lt;30,1,0))</formula>
    </cfRule>
    <cfRule type="expression" priority="1397" dxfId="1">
      <formula>AND(IF($Q33=3,1,0),IF($X33&lt;30,1,0))</formula>
    </cfRule>
    <cfRule type="expression" priority="1398" dxfId="0">
      <formula>AND(IF($Q33=3,1,IF($Q33=4,1,0)),IF($F33&lt;=85,1,0))</formula>
    </cfRule>
  </conditionalFormatting>
  <conditionalFormatting sqref="AV34">
    <cfRule type="expression" priority="1393" dxfId="17">
      <formula>AV34="X"</formula>
    </cfRule>
    <cfRule type="expression" priority="1394" dxfId="16">
      <formula>AV34="후보"</formula>
    </cfRule>
  </conditionalFormatting>
  <conditionalFormatting sqref="AC34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34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X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I34">
    <cfRule type="expression" priority="1376" dxfId="3">
      <formula>AND(IF(OR($Q34=1,$Q34=2),1,0),IF($X34&lt;=20,1,0))</formula>
    </cfRule>
    <cfRule type="expression" priority="1377" dxfId="2">
      <formula>AND(IF($Q34=2,1,0),IF($X34&lt;30,1,0))</formula>
    </cfRule>
    <cfRule type="expression" priority="1378" dxfId="1">
      <formula>AND(IF($Q34=3,1,0),IF($X34&lt;30,1,0))</formula>
    </cfRule>
    <cfRule type="expression" priority="1379" dxfId="0">
      <formula>AND(IF($Q34=3,1,IF($Q34=4,1,0)),IF($F34&lt;=85,1,0))</formula>
    </cfRule>
  </conditionalFormatting>
  <conditionalFormatting sqref="AV35">
    <cfRule type="expression" priority="1374" dxfId="17">
      <formula>AV35="X"</formula>
    </cfRule>
    <cfRule type="expression" priority="1375" dxfId="16">
      <formula>AV35="후보"</formula>
    </cfRule>
  </conditionalFormatting>
  <conditionalFormatting sqref="AC35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N3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E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X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I35">
    <cfRule type="expression" priority="1357" dxfId="3">
      <formula>AND(IF(OR($Q35=1,$Q35=2),1,0),IF($X35&lt;=20,1,0))</formula>
    </cfRule>
    <cfRule type="expression" priority="1358" dxfId="2">
      <formula>AND(IF($Q35=2,1,0),IF($X35&lt;30,1,0))</formula>
    </cfRule>
    <cfRule type="expression" priority="1359" dxfId="1">
      <formula>AND(IF($Q35=3,1,0),IF($X35&lt;30,1,0))</formula>
    </cfRule>
    <cfRule type="expression" priority="1360" dxfId="0">
      <formula>AND(IF($Q35=3,1,IF($Q35=4,1,0)),IF($F35&lt;=85,1,0))</formula>
    </cfRule>
  </conditionalFormatting>
  <conditionalFormatting sqref="AV36">
    <cfRule type="expression" priority="1355" dxfId="17">
      <formula>AV36="X"</formula>
    </cfRule>
    <cfRule type="expression" priority="1356" dxfId="16">
      <formula>AV36="후보"</formula>
    </cfRule>
  </conditionalFormatting>
  <conditionalFormatting sqref="AC36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N3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E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X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I36">
    <cfRule type="expression" priority="1338" dxfId="3">
      <formula>AND(IF(OR($Q36=1,$Q36=2),1,0),IF($X36&lt;=20,1,0))</formula>
    </cfRule>
    <cfRule type="expression" priority="1339" dxfId="2">
      <formula>AND(IF($Q36=2,1,0),IF($X36&lt;30,1,0))</formula>
    </cfRule>
    <cfRule type="expression" priority="1340" dxfId="1">
      <formula>AND(IF($Q36=3,1,0),IF($X36&lt;30,1,0))</formula>
    </cfRule>
    <cfRule type="expression" priority="1341" dxfId="0">
      <formula>AND(IF($Q36=3,1,IF($Q36=4,1,0)),IF($F36&lt;=85,1,0))</formula>
    </cfRule>
  </conditionalFormatting>
  <conditionalFormatting sqref="AV37">
    <cfRule type="expression" priority="1336" dxfId="17">
      <formula>AV37="X"</formula>
    </cfRule>
    <cfRule type="expression" priority="1337" dxfId="16">
      <formula>AV37="후보"</formula>
    </cfRule>
  </conditionalFormatting>
  <conditionalFormatting sqref="AC37 N37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AV38">
    <cfRule type="expression" priority="1331" dxfId="17">
      <formula>AV38="X"</formula>
    </cfRule>
    <cfRule type="expression" priority="1332" dxfId="16">
      <formula>AV38="후보"</formula>
    </cfRule>
  </conditionalFormatting>
  <conditionalFormatting sqref="AC3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38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38">
    <cfRule type="expression" priority="1322" dxfId="3">
      <formula>AND(IF(OR($Q38=1,$Q38=2),1,0),IF($X38&lt;=20,1,0))</formula>
    </cfRule>
    <cfRule type="expression" priority="1323" dxfId="2">
      <formula>AND(IF($Q38=2,1,0),IF($X38&lt;30,1,0))</formula>
    </cfRule>
    <cfRule type="expression" priority="1324" dxfId="1">
      <formula>AND(IF($Q38=3,1,0),IF($X38&lt;30,1,0))</formula>
    </cfRule>
    <cfRule type="expression" priority="1325" dxfId="0">
      <formula>AND(IF($Q38=3,1,IF($Q38=4,1,0)),IF($F38&lt;=85,1,0))</formula>
    </cfRule>
  </conditionalFormatting>
  <conditionalFormatting sqref="X38">
    <cfRule type="expression" priority="1318" dxfId="3">
      <formula>AND(IF(OR($Q38=1,$Q38=2),1,0),IF($X38&lt;=20,1,0))</formula>
    </cfRule>
    <cfRule type="expression" priority="1319" dxfId="2">
      <formula>AND(IF($Q38=2,1,0),IF($X38&lt;30,1,0))</formula>
    </cfRule>
    <cfRule type="expression" priority="1320" dxfId="1">
      <formula>AND(IF($Q38=3,1,0),IF($X38&lt;30,1,0))</formula>
    </cfRule>
    <cfRule type="expression" priority="1321" dxfId="0">
      <formula>AND(IF($Q38=3,1,IF($Q38=4,1,0)),IF($F38&lt;=85,1,0))</formula>
    </cfRule>
  </conditionalFormatting>
  <conditionalFormatting sqref="AI38">
    <cfRule type="expression" priority="1314" dxfId="3">
      <formula>AND(IF(OR($Q38=1,$Q38=2),1,0),IF($X38&lt;=20,1,0))</formula>
    </cfRule>
    <cfRule type="expression" priority="1315" dxfId="2">
      <formula>AND(IF($Q38=2,1,0),IF($X38&lt;30,1,0))</formula>
    </cfRule>
    <cfRule type="expression" priority="1316" dxfId="1">
      <formula>AND(IF($Q38=3,1,0),IF($X38&lt;30,1,0))</formula>
    </cfRule>
    <cfRule type="expression" priority="1317" dxfId="0">
      <formula>AND(IF($Q38=3,1,IF($Q38=4,1,0)),IF($F38&lt;=85,1,0))</formula>
    </cfRule>
  </conditionalFormatting>
  <conditionalFormatting sqref="AV39">
    <cfRule type="expression" priority="1312" dxfId="17">
      <formula>AV39="X"</formula>
    </cfRule>
    <cfRule type="expression" priority="1313" dxfId="16">
      <formula>AV39="후보"</formula>
    </cfRule>
  </conditionalFormatting>
  <conditionalFormatting sqref="AC3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39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39">
    <cfRule type="expression" priority="1303" dxfId="3">
      <formula>AND(IF(OR($Q39=1,$Q39=2),1,0),IF($X39&lt;=20,1,0))</formula>
    </cfRule>
    <cfRule type="expression" priority="1304" dxfId="2">
      <formula>AND(IF($Q39=2,1,0),IF($X39&lt;30,1,0))</formula>
    </cfRule>
    <cfRule type="expression" priority="1305" dxfId="1">
      <formula>AND(IF($Q39=3,1,0),IF($X39&lt;30,1,0))</formula>
    </cfRule>
    <cfRule type="expression" priority="1306" dxfId="0">
      <formula>AND(IF($Q39=3,1,IF($Q39=4,1,0)),IF($F39&lt;=85,1,0))</formula>
    </cfRule>
  </conditionalFormatting>
  <conditionalFormatting sqref="X39">
    <cfRule type="expression" priority="1299" dxfId="3">
      <formula>AND(IF(OR($Q39=1,$Q39=2),1,0),IF($X39&lt;=20,1,0))</formula>
    </cfRule>
    <cfRule type="expression" priority="1300" dxfId="2">
      <formula>AND(IF($Q39=2,1,0),IF($X39&lt;30,1,0))</formula>
    </cfRule>
    <cfRule type="expression" priority="1301" dxfId="1">
      <formula>AND(IF($Q39=3,1,0),IF($X39&lt;30,1,0))</formula>
    </cfRule>
    <cfRule type="expression" priority="1302" dxfId="0">
      <formula>AND(IF($Q39=3,1,IF($Q39=4,1,0)),IF($F39&lt;=85,1,0))</formula>
    </cfRule>
  </conditionalFormatting>
  <conditionalFormatting sqref="AI39">
    <cfRule type="expression" priority="1295" dxfId="3">
      <formula>AND(IF(OR($Q39=1,$Q39=2),1,0),IF($X39&lt;=20,1,0))</formula>
    </cfRule>
    <cfRule type="expression" priority="1296" dxfId="2">
      <formula>AND(IF($Q39=2,1,0),IF($X39&lt;30,1,0))</formula>
    </cfRule>
    <cfRule type="expression" priority="1297" dxfId="1">
      <formula>AND(IF($Q39=3,1,0),IF($X39&lt;30,1,0))</formula>
    </cfRule>
    <cfRule type="expression" priority="1298" dxfId="0">
      <formula>AND(IF($Q39=3,1,IF($Q39=4,1,0)),IF($F39&lt;=85,1,0))</formula>
    </cfRule>
  </conditionalFormatting>
  <conditionalFormatting sqref="AV40">
    <cfRule type="expression" priority="1293" dxfId="17">
      <formula>AV40="X"</formula>
    </cfRule>
    <cfRule type="expression" priority="1294" dxfId="16">
      <formula>AV40="후보"</formula>
    </cfRule>
  </conditionalFormatting>
  <conditionalFormatting sqref="AC4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4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40">
    <cfRule type="expression" priority="1284" dxfId="3">
      <formula>AND(IF(OR($Q40=1,$Q40=2),1,0),IF($X40&lt;=20,1,0))</formula>
    </cfRule>
    <cfRule type="expression" priority="1285" dxfId="2">
      <formula>AND(IF($Q40=2,1,0),IF($X40&lt;30,1,0))</formula>
    </cfRule>
    <cfRule type="expression" priority="1286" dxfId="1">
      <formula>AND(IF($Q40=3,1,0),IF($X40&lt;30,1,0))</formula>
    </cfRule>
    <cfRule type="expression" priority="1287" dxfId="0">
      <formula>AND(IF($Q40=3,1,IF($Q40=4,1,0)),IF($F40&lt;=85,1,0))</formula>
    </cfRule>
  </conditionalFormatting>
  <conditionalFormatting sqref="X40">
    <cfRule type="expression" priority="1280" dxfId="3">
      <formula>AND(IF(OR($Q40=1,$Q40=2),1,0),IF($X40&lt;=20,1,0))</formula>
    </cfRule>
    <cfRule type="expression" priority="1281" dxfId="2">
      <formula>AND(IF($Q40=2,1,0),IF($X40&lt;30,1,0))</formula>
    </cfRule>
    <cfRule type="expression" priority="1282" dxfId="1">
      <formula>AND(IF($Q40=3,1,0),IF($X40&lt;30,1,0))</formula>
    </cfRule>
    <cfRule type="expression" priority="1283" dxfId="0">
      <formula>AND(IF($Q40=3,1,IF($Q40=4,1,0)),IF($F40&lt;=85,1,0))</formula>
    </cfRule>
  </conditionalFormatting>
  <conditionalFormatting sqref="AI40">
    <cfRule type="expression" priority="1276" dxfId="3">
      <formula>AND(IF(OR($Q40=1,$Q40=2),1,0),IF($X40&lt;=20,1,0))</formula>
    </cfRule>
    <cfRule type="expression" priority="1277" dxfId="2">
      <formula>AND(IF($Q40=2,1,0),IF($X40&lt;30,1,0))</formula>
    </cfRule>
    <cfRule type="expression" priority="1278" dxfId="1">
      <formula>AND(IF($Q40=3,1,0),IF($X40&lt;30,1,0))</formula>
    </cfRule>
    <cfRule type="expression" priority="1279" dxfId="0">
      <formula>AND(IF($Q40=3,1,IF($Q40=4,1,0)),IF($F40&lt;=85,1,0))</formula>
    </cfRule>
  </conditionalFormatting>
  <conditionalFormatting sqref="AV41">
    <cfRule type="expression" priority="1274" dxfId="17">
      <formula>AV41="X"</formula>
    </cfRule>
    <cfRule type="expression" priority="1275" dxfId="16">
      <formula>AV41="후보"</formula>
    </cfRule>
  </conditionalFormatting>
  <conditionalFormatting sqref="AC41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41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41">
    <cfRule type="expression" priority="1265" dxfId="3">
      <formula>AND(IF(OR($Q41=1,$Q41=2),1,0),IF($X41&lt;=20,1,0))</formula>
    </cfRule>
    <cfRule type="expression" priority="1266" dxfId="2">
      <formula>AND(IF($Q41=2,1,0),IF($X41&lt;30,1,0))</formula>
    </cfRule>
    <cfRule type="expression" priority="1267" dxfId="1">
      <formula>AND(IF($Q41=3,1,0),IF($X41&lt;30,1,0))</formula>
    </cfRule>
    <cfRule type="expression" priority="1268" dxfId="0">
      <formula>AND(IF($Q41=3,1,IF($Q41=4,1,0)),IF($F41&lt;=85,1,0))</formula>
    </cfRule>
  </conditionalFormatting>
  <conditionalFormatting sqref="X41">
    <cfRule type="expression" priority="1261" dxfId="3">
      <formula>AND(IF(OR($Q41=1,$Q41=2),1,0),IF($X41&lt;=20,1,0))</formula>
    </cfRule>
    <cfRule type="expression" priority="1262" dxfId="2">
      <formula>AND(IF($Q41=2,1,0),IF($X41&lt;30,1,0))</formula>
    </cfRule>
    <cfRule type="expression" priority="1263" dxfId="1">
      <formula>AND(IF($Q41=3,1,0),IF($X41&lt;30,1,0))</formula>
    </cfRule>
    <cfRule type="expression" priority="1264" dxfId="0">
      <formula>AND(IF($Q41=3,1,IF($Q41=4,1,0)),IF($F41&lt;=85,1,0))</formula>
    </cfRule>
  </conditionalFormatting>
  <conditionalFormatting sqref="AI41">
    <cfRule type="expression" priority="1257" dxfId="3">
      <formula>AND(IF(OR($Q41=1,$Q41=2),1,0),IF($X41&lt;=20,1,0))</formula>
    </cfRule>
    <cfRule type="expression" priority="1258" dxfId="2">
      <formula>AND(IF($Q41=2,1,0),IF($X41&lt;30,1,0))</formula>
    </cfRule>
    <cfRule type="expression" priority="1259" dxfId="1">
      <formula>AND(IF($Q41=3,1,0),IF($X41&lt;30,1,0))</formula>
    </cfRule>
    <cfRule type="expression" priority="1260" dxfId="0">
      <formula>AND(IF($Q41=3,1,IF($Q41=4,1,0)),IF($F41&lt;=85,1,0))</formula>
    </cfRule>
  </conditionalFormatting>
  <conditionalFormatting sqref="AV42">
    <cfRule type="expression" priority="1255" dxfId="17">
      <formula>AV42="X"</formula>
    </cfRule>
    <cfRule type="expression" priority="1256" dxfId="16">
      <formula>AV42="후보"</formula>
    </cfRule>
  </conditionalFormatting>
  <conditionalFormatting sqref="AC42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4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42">
    <cfRule type="expression" priority="1246" dxfId="3">
      <formula>AND(IF(OR($Q42=1,$Q42=2),1,0),IF($X42&lt;=20,1,0))</formula>
    </cfRule>
    <cfRule type="expression" priority="1247" dxfId="2">
      <formula>AND(IF($Q42=2,1,0),IF($X42&lt;30,1,0))</formula>
    </cfRule>
    <cfRule type="expression" priority="1248" dxfId="1">
      <formula>AND(IF($Q42=3,1,0),IF($X42&lt;30,1,0))</formula>
    </cfRule>
    <cfRule type="expression" priority="1249" dxfId="0">
      <formula>AND(IF($Q42=3,1,IF($Q42=4,1,0)),IF($F42&lt;=85,1,0))</formula>
    </cfRule>
  </conditionalFormatting>
  <conditionalFormatting sqref="X42">
    <cfRule type="expression" priority="1242" dxfId="3">
      <formula>AND(IF(OR($Q42=1,$Q42=2),1,0),IF($X42&lt;=20,1,0))</formula>
    </cfRule>
    <cfRule type="expression" priority="1243" dxfId="2">
      <formula>AND(IF($Q42=2,1,0),IF($X42&lt;30,1,0))</formula>
    </cfRule>
    <cfRule type="expression" priority="1244" dxfId="1">
      <formula>AND(IF($Q42=3,1,0),IF($X42&lt;30,1,0))</formula>
    </cfRule>
    <cfRule type="expression" priority="1245" dxfId="0">
      <formula>AND(IF($Q42=3,1,IF($Q42=4,1,0)),IF($F42&lt;=85,1,0))</formula>
    </cfRule>
  </conditionalFormatting>
  <conditionalFormatting sqref="AI42">
    <cfRule type="expression" priority="1238" dxfId="3">
      <formula>AND(IF(OR($Q42=1,$Q42=2),1,0),IF($X42&lt;=20,1,0))</formula>
    </cfRule>
    <cfRule type="expression" priority="1239" dxfId="2">
      <formula>AND(IF($Q42=2,1,0),IF($X42&lt;30,1,0))</formula>
    </cfRule>
    <cfRule type="expression" priority="1240" dxfId="1">
      <formula>AND(IF($Q42=3,1,0),IF($X42&lt;30,1,0))</formula>
    </cfRule>
    <cfRule type="expression" priority="1241" dxfId="0">
      <formula>AND(IF($Q42=3,1,IF($Q42=4,1,0)),IF($F42&lt;=85,1,0))</formula>
    </cfRule>
  </conditionalFormatting>
  <conditionalFormatting sqref="AV43">
    <cfRule type="expression" priority="1236" dxfId="17">
      <formula>AV43="X"</formula>
    </cfRule>
    <cfRule type="expression" priority="1237" dxfId="16">
      <formula>AV43="후보"</formula>
    </cfRule>
  </conditionalFormatting>
  <conditionalFormatting sqref="AC4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4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X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I43">
    <cfRule type="expression" priority="1219" dxfId="3">
      <formula>AND(IF(OR($Q43=1,$Q43=2),1,0),IF($X43&lt;=20,1,0))</formula>
    </cfRule>
    <cfRule type="expression" priority="1220" dxfId="2">
      <formula>AND(IF($Q43=2,1,0),IF($X43&lt;30,1,0))</formula>
    </cfRule>
    <cfRule type="expression" priority="1221" dxfId="1">
      <formula>AND(IF($Q43=3,1,0),IF($X43&lt;30,1,0))</formula>
    </cfRule>
    <cfRule type="expression" priority="1222" dxfId="0">
      <formula>AND(IF($Q43=3,1,IF($Q43=4,1,0)),IF($F43&lt;=85,1,0))</formula>
    </cfRule>
  </conditionalFormatting>
  <conditionalFormatting sqref="AV44">
    <cfRule type="expression" priority="1217" dxfId="17">
      <formula>AV44="X"</formula>
    </cfRule>
    <cfRule type="expression" priority="1218" dxfId="16">
      <formula>AV44="후보"</formula>
    </cfRule>
  </conditionalFormatting>
  <conditionalFormatting sqref="AC44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44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X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I44">
    <cfRule type="expression" priority="1200" dxfId="3">
      <formula>AND(IF(OR($Q44=1,$Q44=2),1,0),IF($X44&lt;=20,1,0))</formula>
    </cfRule>
    <cfRule type="expression" priority="1201" dxfId="2">
      <formula>AND(IF($Q44=2,1,0),IF($X44&lt;30,1,0))</formula>
    </cfRule>
    <cfRule type="expression" priority="1202" dxfId="1">
      <formula>AND(IF($Q44=3,1,0),IF($X44&lt;30,1,0))</formula>
    </cfRule>
    <cfRule type="expression" priority="1203" dxfId="0">
      <formula>AND(IF($Q44=3,1,IF($Q44=4,1,0)),IF($F44&lt;=85,1,0))</formula>
    </cfRule>
  </conditionalFormatting>
  <conditionalFormatting sqref="AV45">
    <cfRule type="expression" priority="1198" dxfId="17">
      <formula>AV45="X"</formula>
    </cfRule>
    <cfRule type="expression" priority="1199" dxfId="16">
      <formula>AV45="후보"</formula>
    </cfRule>
  </conditionalFormatting>
  <conditionalFormatting sqref="AC45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45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X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I45">
    <cfRule type="expression" priority="1181" dxfId="3">
      <formula>AND(IF(OR($Q45=1,$Q45=2),1,0),IF($X45&lt;=20,1,0))</formula>
    </cfRule>
    <cfRule type="expression" priority="1182" dxfId="2">
      <formula>AND(IF($Q45=2,1,0),IF($X45&lt;30,1,0))</formula>
    </cfRule>
    <cfRule type="expression" priority="1183" dxfId="1">
      <formula>AND(IF($Q45=3,1,0),IF($X45&lt;30,1,0))</formula>
    </cfRule>
    <cfRule type="expression" priority="1184" dxfId="0">
      <formula>AND(IF($Q45=3,1,IF($Q45=4,1,0)),IF($F45&lt;=85,1,0))</formula>
    </cfRule>
  </conditionalFormatting>
  <conditionalFormatting sqref="AV46">
    <cfRule type="expression" priority="1179" dxfId="17">
      <formula>AV46="X"</formula>
    </cfRule>
    <cfRule type="expression" priority="1180" dxfId="16">
      <formula>AV46="후보"</formula>
    </cfRule>
  </conditionalFormatting>
  <conditionalFormatting sqref="AC4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6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X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I46">
    <cfRule type="expression" priority="1162" dxfId="3">
      <formula>AND(IF(OR($Q46=1,$Q46=2),1,0),IF($X46&lt;=20,1,0))</formula>
    </cfRule>
    <cfRule type="expression" priority="1163" dxfId="2">
      <formula>AND(IF($Q46=2,1,0),IF($X46&lt;30,1,0))</formula>
    </cfRule>
    <cfRule type="expression" priority="1164" dxfId="1">
      <formula>AND(IF($Q46=3,1,0),IF($X46&lt;30,1,0))</formula>
    </cfRule>
    <cfRule type="expression" priority="1165" dxfId="0">
      <formula>AND(IF($Q46=3,1,IF($Q46=4,1,0)),IF($F46&lt;=85,1,0))</formula>
    </cfRule>
  </conditionalFormatting>
  <conditionalFormatting sqref="AV47">
    <cfRule type="expression" priority="1160" dxfId="17">
      <formula>AV47="X"</formula>
    </cfRule>
    <cfRule type="expression" priority="1161" dxfId="16">
      <formula>AV47="후보"</formula>
    </cfRule>
  </conditionalFormatting>
  <conditionalFormatting sqref="AC47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47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X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I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AV48">
    <cfRule type="expression" priority="1141" dxfId="17">
      <formula>AV48="X"</formula>
    </cfRule>
    <cfRule type="expression" priority="1142" dxfId="16">
      <formula>AV48="후보"</formula>
    </cfRule>
  </conditionalFormatting>
  <conditionalFormatting sqref="AC48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8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X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I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AV49">
    <cfRule type="expression" priority="1122" dxfId="17">
      <formula>AV49="X"</formula>
    </cfRule>
    <cfRule type="expression" priority="1123" dxfId="16">
      <formula>AV49="후보"</formula>
    </cfRule>
  </conditionalFormatting>
  <conditionalFormatting sqref="AC49 N49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AV50">
    <cfRule type="expression" priority="1117" dxfId="17">
      <formula>AV50="X"</formula>
    </cfRule>
    <cfRule type="expression" priority="1118" dxfId="16">
      <formula>AV50="후보"</formula>
    </cfRule>
  </conditionalFormatting>
  <conditionalFormatting sqref="AC5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50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50">
    <cfRule type="expression" priority="1108" dxfId="3">
      <formula>AND(IF(OR($Q50=1,$Q50=2),1,0),IF($X50&lt;=20,1,0))</formula>
    </cfRule>
    <cfRule type="expression" priority="1109" dxfId="2">
      <formula>AND(IF($Q50=2,1,0),IF($X50&lt;30,1,0))</formula>
    </cfRule>
    <cfRule type="expression" priority="1110" dxfId="1">
      <formula>AND(IF($Q50=3,1,0),IF($X50&lt;30,1,0))</formula>
    </cfRule>
    <cfRule type="expression" priority="1111" dxfId="0">
      <formula>AND(IF($Q50=3,1,IF($Q50=4,1,0)),IF($F50&lt;=85,1,0))</formula>
    </cfRule>
  </conditionalFormatting>
  <conditionalFormatting sqref="X50">
    <cfRule type="expression" priority="1104" dxfId="3">
      <formula>AND(IF(OR($Q50=1,$Q50=2),1,0),IF($X50&lt;=20,1,0))</formula>
    </cfRule>
    <cfRule type="expression" priority="1105" dxfId="2">
      <formula>AND(IF($Q50=2,1,0),IF($X50&lt;30,1,0))</formula>
    </cfRule>
    <cfRule type="expression" priority="1106" dxfId="1">
      <formula>AND(IF($Q50=3,1,0),IF($X50&lt;30,1,0))</formula>
    </cfRule>
    <cfRule type="expression" priority="1107" dxfId="0">
      <formula>AND(IF($Q50=3,1,IF($Q50=4,1,0)),IF($F50&lt;=85,1,0))</formula>
    </cfRule>
  </conditionalFormatting>
  <conditionalFormatting sqref="AI50">
    <cfRule type="expression" priority="1100" dxfId="3">
      <formula>AND(IF(OR($Q50=1,$Q50=2),1,0),IF($X50&lt;=20,1,0))</formula>
    </cfRule>
    <cfRule type="expression" priority="1101" dxfId="2">
      <formula>AND(IF($Q50=2,1,0),IF($X50&lt;30,1,0))</formula>
    </cfRule>
    <cfRule type="expression" priority="1102" dxfId="1">
      <formula>AND(IF($Q50=3,1,0),IF($X50&lt;30,1,0))</formula>
    </cfRule>
    <cfRule type="expression" priority="1103" dxfId="0">
      <formula>AND(IF($Q50=3,1,IF($Q50=4,1,0)),IF($F50&lt;=85,1,0))</formula>
    </cfRule>
  </conditionalFormatting>
  <conditionalFormatting sqref="AV51">
    <cfRule type="expression" priority="1098" dxfId="17">
      <formula>AV51="X"</formula>
    </cfRule>
    <cfRule type="expression" priority="1099" dxfId="16">
      <formula>AV51="후보"</formula>
    </cfRule>
  </conditionalFormatting>
  <conditionalFormatting sqref="AC5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X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I51">
    <cfRule type="expression" priority="1081" dxfId="3">
      <formula>AND(IF(OR($Q51=1,$Q51=2),1,0),IF($X51&lt;=20,1,0))</formula>
    </cfRule>
    <cfRule type="expression" priority="1082" dxfId="2">
      <formula>AND(IF($Q51=2,1,0),IF($X51&lt;30,1,0))</formula>
    </cfRule>
    <cfRule type="expression" priority="1083" dxfId="1">
      <formula>AND(IF($Q51=3,1,0),IF($X51&lt;30,1,0))</formula>
    </cfRule>
    <cfRule type="expression" priority="1084" dxfId="0">
      <formula>AND(IF($Q51=3,1,IF($Q51=4,1,0)),IF($F51&lt;=85,1,0))</formula>
    </cfRule>
  </conditionalFormatting>
  <conditionalFormatting sqref="AV52">
    <cfRule type="expression" priority="1079" dxfId="17">
      <formula>AV52="X"</formula>
    </cfRule>
    <cfRule type="expression" priority="1080" dxfId="16">
      <formula>AV52="후보"</formula>
    </cfRule>
  </conditionalFormatting>
  <conditionalFormatting sqref="AC52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52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X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I52">
    <cfRule type="expression" priority="1062" dxfId="3">
      <formula>AND(IF(OR($Q52=1,$Q52=2),1,0),IF($X52&lt;=20,1,0))</formula>
    </cfRule>
    <cfRule type="expression" priority="1063" dxfId="2">
      <formula>AND(IF($Q52=2,1,0),IF($X52&lt;30,1,0))</formula>
    </cfRule>
    <cfRule type="expression" priority="1064" dxfId="1">
      <formula>AND(IF($Q52=3,1,0),IF($X52&lt;30,1,0))</formula>
    </cfRule>
    <cfRule type="expression" priority="1065" dxfId="0">
      <formula>AND(IF($Q52=3,1,IF($Q52=4,1,0)),IF($F52&lt;=85,1,0))</formula>
    </cfRule>
  </conditionalFormatting>
  <conditionalFormatting sqref="AV53">
    <cfRule type="expression" priority="1060" dxfId="17">
      <formula>AV53="X"</formula>
    </cfRule>
    <cfRule type="expression" priority="1061" dxfId="16">
      <formula>AV53="후보"</formula>
    </cfRule>
  </conditionalFormatting>
  <conditionalFormatting sqref="AC5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3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X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I53">
    <cfRule type="expression" priority="1043" dxfId="3">
      <formula>AND(IF(OR($Q53=1,$Q53=2),1,0),IF($X53&lt;=20,1,0))</formula>
    </cfRule>
    <cfRule type="expression" priority="1044" dxfId="2">
      <formula>AND(IF($Q53=2,1,0),IF($X53&lt;30,1,0))</formula>
    </cfRule>
    <cfRule type="expression" priority="1045" dxfId="1">
      <formula>AND(IF($Q53=3,1,0),IF($X53&lt;30,1,0))</formula>
    </cfRule>
    <cfRule type="expression" priority="1046" dxfId="0">
      <formula>AND(IF($Q53=3,1,IF($Q53=4,1,0)),IF($F53&lt;=85,1,0))</formula>
    </cfRule>
  </conditionalFormatting>
  <conditionalFormatting sqref="AV54">
    <cfRule type="expression" priority="1041" dxfId="17">
      <formula>AV54="X"</formula>
    </cfRule>
    <cfRule type="expression" priority="1042" dxfId="16">
      <formula>AV54="후보"</formula>
    </cfRule>
  </conditionalFormatting>
  <conditionalFormatting sqref="AC54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54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X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I54">
    <cfRule type="expression" priority="1024" dxfId="3">
      <formula>AND(IF(OR($Q54=1,$Q54=2),1,0),IF($X54&lt;=20,1,0))</formula>
    </cfRule>
    <cfRule type="expression" priority="1025" dxfId="2">
      <formula>AND(IF($Q54=2,1,0),IF($X54&lt;30,1,0))</formula>
    </cfRule>
    <cfRule type="expression" priority="1026" dxfId="1">
      <formula>AND(IF($Q54=3,1,0),IF($X54&lt;30,1,0))</formula>
    </cfRule>
    <cfRule type="expression" priority="1027" dxfId="0">
      <formula>AND(IF($Q54=3,1,IF($Q54=4,1,0)),IF($F54&lt;=85,1,0))</formula>
    </cfRule>
  </conditionalFormatting>
  <conditionalFormatting sqref="AV55">
    <cfRule type="expression" priority="1022" dxfId="17">
      <formula>AV55="X"</formula>
    </cfRule>
    <cfRule type="expression" priority="1023" dxfId="16">
      <formula>AV55="후보"</formula>
    </cfRule>
  </conditionalFormatting>
  <conditionalFormatting sqref="AC55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55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X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I55">
    <cfRule type="expression" priority="1005" dxfId="3">
      <formula>AND(IF(OR($Q55=1,$Q55=2),1,0),IF($X55&lt;=20,1,0))</formula>
    </cfRule>
    <cfRule type="expression" priority="1006" dxfId="2">
      <formula>AND(IF($Q55=2,1,0),IF($X55&lt;30,1,0))</formula>
    </cfRule>
    <cfRule type="expression" priority="1007" dxfId="1">
      <formula>AND(IF($Q55=3,1,0),IF($X55&lt;30,1,0))</formula>
    </cfRule>
    <cfRule type="expression" priority="1008" dxfId="0">
      <formula>AND(IF($Q55=3,1,IF($Q55=4,1,0)),IF($F55&lt;=85,1,0))</formula>
    </cfRule>
  </conditionalFormatting>
  <conditionalFormatting sqref="AV56">
    <cfRule type="expression" priority="1003" dxfId="17">
      <formula>AV56="X"</formula>
    </cfRule>
    <cfRule type="expression" priority="1004" dxfId="16">
      <formula>AV56="후보"</formula>
    </cfRule>
  </conditionalFormatting>
  <conditionalFormatting sqref="AC56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56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X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I56">
    <cfRule type="expression" priority="986" dxfId="3">
      <formula>AND(IF(OR($Q56=1,$Q56=2),1,0),IF($X56&lt;=20,1,0))</formula>
    </cfRule>
    <cfRule type="expression" priority="987" dxfId="2">
      <formula>AND(IF($Q56=2,1,0),IF($X56&lt;30,1,0))</formula>
    </cfRule>
    <cfRule type="expression" priority="988" dxfId="1">
      <formula>AND(IF($Q56=3,1,0),IF($X56&lt;30,1,0))</formula>
    </cfRule>
    <cfRule type="expression" priority="989" dxfId="0">
      <formula>AND(IF($Q56=3,1,IF($Q56=4,1,0)),IF($F56&lt;=85,1,0))</formula>
    </cfRule>
  </conditionalFormatting>
  <conditionalFormatting sqref="AV57">
    <cfRule type="expression" priority="984" dxfId="17">
      <formula>AV57="X"</formula>
    </cfRule>
    <cfRule type="expression" priority="985" dxfId="16">
      <formula>AV57="후보"</formula>
    </cfRule>
  </conditionalFormatting>
  <conditionalFormatting sqref="AC57 N57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AV58">
    <cfRule type="expression" priority="979" dxfId="17">
      <formula>AV58="X"</formula>
    </cfRule>
    <cfRule type="expression" priority="980" dxfId="16">
      <formula>AV58="후보"</formula>
    </cfRule>
  </conditionalFormatting>
  <conditionalFormatting sqref="AC58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58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58">
    <cfRule type="expression" priority="970" dxfId="3">
      <formula>AND(IF(OR($Q58=1,$Q58=2),1,0),IF($X58&lt;=20,1,0))</formula>
    </cfRule>
    <cfRule type="expression" priority="971" dxfId="2">
      <formula>AND(IF($Q58=2,1,0),IF($X58&lt;30,1,0))</formula>
    </cfRule>
    <cfRule type="expression" priority="972" dxfId="1">
      <formula>AND(IF($Q58=3,1,0),IF($X58&lt;30,1,0))</formula>
    </cfRule>
    <cfRule type="expression" priority="973" dxfId="0">
      <formula>AND(IF($Q58=3,1,IF($Q58=4,1,0)),IF($F58&lt;=85,1,0))</formula>
    </cfRule>
  </conditionalFormatting>
  <conditionalFormatting sqref="X58">
    <cfRule type="expression" priority="966" dxfId="3">
      <formula>AND(IF(OR($Q58=1,$Q58=2),1,0),IF($X58&lt;=20,1,0))</formula>
    </cfRule>
    <cfRule type="expression" priority="967" dxfId="2">
      <formula>AND(IF($Q58=2,1,0),IF($X58&lt;30,1,0))</formula>
    </cfRule>
    <cfRule type="expression" priority="968" dxfId="1">
      <formula>AND(IF($Q58=3,1,0),IF($X58&lt;30,1,0))</formula>
    </cfRule>
    <cfRule type="expression" priority="969" dxfId="0">
      <formula>AND(IF($Q58=3,1,IF($Q58=4,1,0)),IF($F58&lt;=85,1,0))</formula>
    </cfRule>
  </conditionalFormatting>
  <conditionalFormatting sqref="AI58">
    <cfRule type="expression" priority="962" dxfId="3">
      <formula>AND(IF(OR($Q58=1,$Q58=2),1,0),IF($X58&lt;=20,1,0))</formula>
    </cfRule>
    <cfRule type="expression" priority="963" dxfId="2">
      <formula>AND(IF($Q58=2,1,0),IF($X58&lt;30,1,0))</formula>
    </cfRule>
    <cfRule type="expression" priority="964" dxfId="1">
      <formula>AND(IF($Q58=3,1,0),IF($X58&lt;30,1,0))</formula>
    </cfRule>
    <cfRule type="expression" priority="965" dxfId="0">
      <formula>AND(IF($Q58=3,1,IF($Q58=4,1,0)),IF($F58&lt;=85,1,0))</formula>
    </cfRule>
  </conditionalFormatting>
  <conditionalFormatting sqref="AV59">
    <cfRule type="expression" priority="960" dxfId="17">
      <formula>AV59="X"</formula>
    </cfRule>
    <cfRule type="expression" priority="961" dxfId="16">
      <formula>AV59="후보"</formula>
    </cfRule>
  </conditionalFormatting>
  <conditionalFormatting sqref="AC59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59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59">
    <cfRule type="expression" priority="951" dxfId="3">
      <formula>AND(IF(OR($Q59=1,$Q59=2),1,0),IF($X59&lt;=20,1,0))</formula>
    </cfRule>
    <cfRule type="expression" priority="952" dxfId="2">
      <formula>AND(IF($Q59=2,1,0),IF($X59&lt;30,1,0))</formula>
    </cfRule>
    <cfRule type="expression" priority="953" dxfId="1">
      <formula>AND(IF($Q59=3,1,0),IF($X59&lt;30,1,0))</formula>
    </cfRule>
    <cfRule type="expression" priority="954" dxfId="0">
      <formula>AND(IF($Q59=3,1,IF($Q59=4,1,0)),IF($F59&lt;=85,1,0))</formula>
    </cfRule>
  </conditionalFormatting>
  <conditionalFormatting sqref="X59">
    <cfRule type="expression" priority="947" dxfId="3">
      <formula>AND(IF(OR($Q59=1,$Q59=2),1,0),IF($X59&lt;=20,1,0))</formula>
    </cfRule>
    <cfRule type="expression" priority="948" dxfId="2">
      <formula>AND(IF($Q59=2,1,0),IF($X59&lt;30,1,0))</formula>
    </cfRule>
    <cfRule type="expression" priority="949" dxfId="1">
      <formula>AND(IF($Q59=3,1,0),IF($X59&lt;30,1,0))</formula>
    </cfRule>
    <cfRule type="expression" priority="950" dxfId="0">
      <formula>AND(IF($Q59=3,1,IF($Q59=4,1,0)),IF($F59&lt;=85,1,0))</formula>
    </cfRule>
  </conditionalFormatting>
  <conditionalFormatting sqref="AI59">
    <cfRule type="expression" priority="943" dxfId="3">
      <formula>AND(IF(OR($Q59=1,$Q59=2),1,0),IF($X59&lt;=20,1,0))</formula>
    </cfRule>
    <cfRule type="expression" priority="944" dxfId="2">
      <formula>AND(IF($Q59=2,1,0),IF($X59&lt;30,1,0))</formula>
    </cfRule>
    <cfRule type="expression" priority="945" dxfId="1">
      <formula>AND(IF($Q59=3,1,0),IF($X59&lt;30,1,0))</formula>
    </cfRule>
    <cfRule type="expression" priority="946" dxfId="0">
      <formula>AND(IF($Q59=3,1,IF($Q59=4,1,0)),IF($F59&lt;=85,1,0))</formula>
    </cfRule>
  </conditionalFormatting>
  <conditionalFormatting sqref="AV60">
    <cfRule type="expression" priority="941" dxfId="17">
      <formula>AV60="X"</formula>
    </cfRule>
    <cfRule type="expression" priority="942" dxfId="16">
      <formula>AV60="후보"</formula>
    </cfRule>
  </conditionalFormatting>
  <conditionalFormatting sqref="AC60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0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0">
    <cfRule type="expression" priority="932" dxfId="3">
      <formula>AND(IF(OR($Q60=1,$Q60=2),1,0),IF($X60&lt;=20,1,0))</formula>
    </cfRule>
    <cfRule type="expression" priority="933" dxfId="2">
      <formula>AND(IF($Q60=2,1,0),IF($X60&lt;30,1,0))</formula>
    </cfRule>
    <cfRule type="expression" priority="934" dxfId="1">
      <formula>AND(IF($Q60=3,1,0),IF($X60&lt;30,1,0))</formula>
    </cfRule>
    <cfRule type="expression" priority="935" dxfId="0">
      <formula>AND(IF($Q60=3,1,IF($Q60=4,1,0)),IF($F60&lt;=85,1,0))</formula>
    </cfRule>
  </conditionalFormatting>
  <conditionalFormatting sqref="X60">
    <cfRule type="expression" priority="928" dxfId="3">
      <formula>AND(IF(OR($Q60=1,$Q60=2),1,0),IF($X60&lt;=20,1,0))</formula>
    </cfRule>
    <cfRule type="expression" priority="929" dxfId="2">
      <formula>AND(IF($Q60=2,1,0),IF($X60&lt;30,1,0))</formula>
    </cfRule>
    <cfRule type="expression" priority="930" dxfId="1">
      <formula>AND(IF($Q60=3,1,0),IF($X60&lt;30,1,0))</formula>
    </cfRule>
    <cfRule type="expression" priority="931" dxfId="0">
      <formula>AND(IF($Q60=3,1,IF($Q60=4,1,0)),IF($F60&lt;=85,1,0))</formula>
    </cfRule>
  </conditionalFormatting>
  <conditionalFormatting sqref="AI60">
    <cfRule type="expression" priority="924" dxfId="3">
      <formula>AND(IF(OR($Q60=1,$Q60=2),1,0),IF($X60&lt;=20,1,0))</formula>
    </cfRule>
    <cfRule type="expression" priority="925" dxfId="2">
      <formula>AND(IF($Q60=2,1,0),IF($X60&lt;30,1,0))</formula>
    </cfRule>
    <cfRule type="expression" priority="926" dxfId="1">
      <formula>AND(IF($Q60=3,1,0),IF($X60&lt;30,1,0))</formula>
    </cfRule>
    <cfRule type="expression" priority="927" dxfId="0">
      <formula>AND(IF($Q60=3,1,IF($Q60=4,1,0)),IF($F60&lt;=85,1,0))</formula>
    </cfRule>
  </conditionalFormatting>
  <conditionalFormatting sqref="AV61">
    <cfRule type="expression" priority="922" dxfId="17">
      <formula>AV61="X"</formula>
    </cfRule>
    <cfRule type="expression" priority="923" dxfId="16">
      <formula>AV61="후보"</formula>
    </cfRule>
  </conditionalFormatting>
  <conditionalFormatting sqref="AC61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61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61">
    <cfRule type="expression" priority="913" dxfId="3">
      <formula>AND(IF(OR($Q61=1,$Q61=2),1,0),IF($X61&lt;=20,1,0))</formula>
    </cfRule>
    <cfRule type="expression" priority="914" dxfId="2">
      <formula>AND(IF($Q61=2,1,0),IF($X61&lt;30,1,0))</formula>
    </cfRule>
    <cfRule type="expression" priority="915" dxfId="1">
      <formula>AND(IF($Q61=3,1,0),IF($X61&lt;30,1,0))</formula>
    </cfRule>
    <cfRule type="expression" priority="916" dxfId="0">
      <formula>AND(IF($Q61=3,1,IF($Q61=4,1,0)),IF($F61&lt;=85,1,0))</formula>
    </cfRule>
  </conditionalFormatting>
  <conditionalFormatting sqref="X61">
    <cfRule type="expression" priority="909" dxfId="3">
      <formula>AND(IF(OR($Q61=1,$Q61=2),1,0),IF($X61&lt;=20,1,0))</formula>
    </cfRule>
    <cfRule type="expression" priority="910" dxfId="2">
      <formula>AND(IF($Q61=2,1,0),IF($X61&lt;30,1,0))</formula>
    </cfRule>
    <cfRule type="expression" priority="911" dxfId="1">
      <formula>AND(IF($Q61=3,1,0),IF($X61&lt;30,1,0))</formula>
    </cfRule>
    <cfRule type="expression" priority="912" dxfId="0">
      <formula>AND(IF($Q61=3,1,IF($Q61=4,1,0)),IF($F61&lt;=85,1,0))</formula>
    </cfRule>
  </conditionalFormatting>
  <conditionalFormatting sqref="AI61">
    <cfRule type="expression" priority="905" dxfId="3">
      <formula>AND(IF(OR($Q61=1,$Q61=2),1,0),IF($X61&lt;=20,1,0))</formula>
    </cfRule>
    <cfRule type="expression" priority="906" dxfId="2">
      <formula>AND(IF($Q61=2,1,0),IF($X61&lt;30,1,0))</formula>
    </cfRule>
    <cfRule type="expression" priority="907" dxfId="1">
      <formula>AND(IF($Q61=3,1,0),IF($X61&lt;30,1,0))</formula>
    </cfRule>
    <cfRule type="expression" priority="908" dxfId="0">
      <formula>AND(IF($Q61=3,1,IF($Q61=4,1,0)),IF($F61&lt;=85,1,0))</formula>
    </cfRule>
  </conditionalFormatting>
  <conditionalFormatting sqref="AV62">
    <cfRule type="expression" priority="903" dxfId="17">
      <formula>AV62="X"</formula>
    </cfRule>
    <cfRule type="expression" priority="904" dxfId="16">
      <formula>AV62="후보"</formula>
    </cfRule>
  </conditionalFormatting>
  <conditionalFormatting sqref="AC6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6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62">
    <cfRule type="expression" priority="894" dxfId="3">
      <formula>AND(IF(OR($Q62=1,$Q62=2),1,0),IF($X62&lt;=20,1,0))</formula>
    </cfRule>
    <cfRule type="expression" priority="895" dxfId="2">
      <formula>AND(IF($Q62=2,1,0),IF($X62&lt;30,1,0))</formula>
    </cfRule>
    <cfRule type="expression" priority="896" dxfId="1">
      <formula>AND(IF($Q62=3,1,0),IF($X62&lt;30,1,0))</formula>
    </cfRule>
    <cfRule type="expression" priority="897" dxfId="0">
      <formula>AND(IF($Q62=3,1,IF($Q62=4,1,0)),IF($F62&lt;=85,1,0))</formula>
    </cfRule>
  </conditionalFormatting>
  <conditionalFormatting sqref="X62">
    <cfRule type="expression" priority="890" dxfId="3">
      <formula>AND(IF(OR($Q62=1,$Q62=2),1,0),IF($X62&lt;=20,1,0))</formula>
    </cfRule>
    <cfRule type="expression" priority="891" dxfId="2">
      <formula>AND(IF($Q62=2,1,0),IF($X62&lt;30,1,0))</formula>
    </cfRule>
    <cfRule type="expression" priority="892" dxfId="1">
      <formula>AND(IF($Q62=3,1,0),IF($X62&lt;30,1,0))</formula>
    </cfRule>
    <cfRule type="expression" priority="893" dxfId="0">
      <formula>AND(IF($Q62=3,1,IF($Q62=4,1,0)),IF($F62&lt;=85,1,0))</formula>
    </cfRule>
  </conditionalFormatting>
  <conditionalFormatting sqref="AI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AV63">
    <cfRule type="expression" priority="884" dxfId="17">
      <formula>AV63="X"</formula>
    </cfRule>
    <cfRule type="expression" priority="885" dxfId="16">
      <formula>AV63="후보"</formula>
    </cfRule>
  </conditionalFormatting>
  <conditionalFormatting sqref="AC6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63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63">
    <cfRule type="expression" priority="875" dxfId="3">
      <formula>AND(IF(OR($Q63=1,$Q63=2),1,0),IF($X63&lt;=20,1,0))</formula>
    </cfRule>
    <cfRule type="expression" priority="876" dxfId="2">
      <formula>AND(IF($Q63=2,1,0),IF($X63&lt;30,1,0))</formula>
    </cfRule>
    <cfRule type="expression" priority="877" dxfId="1">
      <formula>AND(IF($Q63=3,1,0),IF($X63&lt;30,1,0))</formula>
    </cfRule>
    <cfRule type="expression" priority="878" dxfId="0">
      <formula>AND(IF($Q63=3,1,IF($Q63=4,1,0)),IF($F63&lt;=85,1,0))</formula>
    </cfRule>
  </conditionalFormatting>
  <conditionalFormatting sqref="X63">
    <cfRule type="expression" priority="871" dxfId="3">
      <formula>AND(IF(OR($Q63=1,$Q63=2),1,0),IF($X63&lt;=20,1,0))</formula>
    </cfRule>
    <cfRule type="expression" priority="872" dxfId="2">
      <formula>AND(IF($Q63=2,1,0),IF($X63&lt;30,1,0))</formula>
    </cfRule>
    <cfRule type="expression" priority="873" dxfId="1">
      <formula>AND(IF($Q63=3,1,0),IF($X63&lt;30,1,0))</formula>
    </cfRule>
    <cfRule type="expression" priority="874" dxfId="0">
      <formula>AND(IF($Q63=3,1,IF($Q63=4,1,0)),IF($F63&lt;=85,1,0))</formula>
    </cfRule>
  </conditionalFormatting>
  <conditionalFormatting sqref="AI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AV64">
    <cfRule type="expression" priority="865" dxfId="17">
      <formula>AV64="X"</formula>
    </cfRule>
    <cfRule type="expression" priority="866" dxfId="16">
      <formula>AV64="후보"</formula>
    </cfRule>
  </conditionalFormatting>
  <conditionalFormatting sqref="AC64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64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64">
    <cfRule type="expression" priority="856" dxfId="3">
      <formula>AND(IF(OR($Q64=1,$Q64=2),1,0),IF($X64&lt;=20,1,0))</formula>
    </cfRule>
    <cfRule type="expression" priority="857" dxfId="2">
      <formula>AND(IF($Q64=2,1,0),IF($X64&lt;30,1,0))</formula>
    </cfRule>
    <cfRule type="expression" priority="858" dxfId="1">
      <formula>AND(IF($Q64=3,1,0),IF($X64&lt;30,1,0))</formula>
    </cfRule>
    <cfRule type="expression" priority="859" dxfId="0">
      <formula>AND(IF($Q64=3,1,IF($Q64=4,1,0)),IF($F64&lt;=85,1,0))</formula>
    </cfRule>
  </conditionalFormatting>
  <conditionalFormatting sqref="X64">
    <cfRule type="expression" priority="852" dxfId="3">
      <formula>AND(IF(OR($Q64=1,$Q64=2),1,0),IF($X64&lt;=20,1,0))</formula>
    </cfRule>
    <cfRule type="expression" priority="853" dxfId="2">
      <formula>AND(IF($Q64=2,1,0),IF($X64&lt;30,1,0))</formula>
    </cfRule>
    <cfRule type="expression" priority="854" dxfId="1">
      <formula>AND(IF($Q64=3,1,0),IF($X64&lt;30,1,0))</formula>
    </cfRule>
    <cfRule type="expression" priority="855" dxfId="0">
      <formula>AND(IF($Q64=3,1,IF($Q64=4,1,0)),IF($F64&lt;=85,1,0))</formula>
    </cfRule>
  </conditionalFormatting>
  <conditionalFormatting sqref="AI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AV65">
    <cfRule type="expression" priority="846" dxfId="17">
      <formula>AV65="X"</formula>
    </cfRule>
    <cfRule type="expression" priority="847" dxfId="16">
      <formula>AV65="후보"</formula>
    </cfRule>
  </conditionalFormatting>
  <conditionalFormatting sqref="AC65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X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I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AV66">
    <cfRule type="expression" priority="827" dxfId="17">
      <formula>AV66="X"</formula>
    </cfRule>
    <cfRule type="expression" priority="828" dxfId="16">
      <formula>AV66="후보"</formula>
    </cfRule>
  </conditionalFormatting>
  <conditionalFormatting sqref="AC66 N66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AV67">
    <cfRule type="expression" priority="822" dxfId="17">
      <formula>AV67="X"</formula>
    </cfRule>
    <cfRule type="expression" priority="823" dxfId="16">
      <formula>AV67="후보"</formula>
    </cfRule>
  </conditionalFormatting>
  <conditionalFormatting sqref="AC6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6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X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I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AV68">
    <cfRule type="expression" priority="803" dxfId="17">
      <formula>AV68="X"</formula>
    </cfRule>
    <cfRule type="expression" priority="804" dxfId="16">
      <formula>AV68="후보"</formula>
    </cfRule>
  </conditionalFormatting>
  <conditionalFormatting sqref="AC6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6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68">
    <cfRule type="expression" priority="794" dxfId="3">
      <formula>AND(IF(OR($Q68=1,$Q68=2),1,0),IF($X68&lt;=20,1,0))</formula>
    </cfRule>
    <cfRule type="expression" priority="795" dxfId="2">
      <formula>AND(IF($Q68=2,1,0),IF($X68&lt;30,1,0))</formula>
    </cfRule>
    <cfRule type="expression" priority="796" dxfId="1">
      <formula>AND(IF($Q68=3,1,0),IF($X68&lt;30,1,0))</formula>
    </cfRule>
    <cfRule type="expression" priority="797" dxfId="0">
      <formula>AND(IF($Q68=3,1,IF($Q68=4,1,0)),IF($F68&lt;=85,1,0))</formula>
    </cfRule>
  </conditionalFormatting>
  <conditionalFormatting sqref="X68">
    <cfRule type="expression" priority="790" dxfId="3">
      <formula>AND(IF(OR($Q68=1,$Q68=2),1,0),IF($X68&lt;=20,1,0))</formula>
    </cfRule>
    <cfRule type="expression" priority="791" dxfId="2">
      <formula>AND(IF($Q68=2,1,0),IF($X68&lt;30,1,0))</formula>
    </cfRule>
    <cfRule type="expression" priority="792" dxfId="1">
      <formula>AND(IF($Q68=3,1,0),IF($X68&lt;30,1,0))</formula>
    </cfRule>
    <cfRule type="expression" priority="793" dxfId="0">
      <formula>AND(IF($Q68=3,1,IF($Q68=4,1,0)),IF($F68&lt;=85,1,0))</formula>
    </cfRule>
  </conditionalFormatting>
  <conditionalFormatting sqref="AI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AV69">
    <cfRule type="expression" priority="784" dxfId="17">
      <formula>AV69="X"</formula>
    </cfRule>
    <cfRule type="expression" priority="785" dxfId="16">
      <formula>AV69="후보"</formula>
    </cfRule>
  </conditionalFormatting>
  <conditionalFormatting sqref="AC6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6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69">
    <cfRule type="expression" priority="775" dxfId="3">
      <formula>AND(IF(OR($Q69=1,$Q69=2),1,0),IF($X69&lt;=20,1,0))</formula>
    </cfRule>
    <cfRule type="expression" priority="776" dxfId="2">
      <formula>AND(IF($Q69=2,1,0),IF($X69&lt;30,1,0))</formula>
    </cfRule>
    <cfRule type="expression" priority="777" dxfId="1">
      <formula>AND(IF($Q69=3,1,0),IF($X69&lt;30,1,0))</formula>
    </cfRule>
    <cfRule type="expression" priority="778" dxfId="0">
      <formula>AND(IF($Q69=3,1,IF($Q69=4,1,0)),IF($F69&lt;=85,1,0))</formula>
    </cfRule>
  </conditionalFormatting>
  <conditionalFormatting sqref="X69">
    <cfRule type="expression" priority="771" dxfId="3">
      <formula>AND(IF(OR($Q69=1,$Q69=2),1,0),IF($X69&lt;=20,1,0))</formula>
    </cfRule>
    <cfRule type="expression" priority="772" dxfId="2">
      <formula>AND(IF($Q69=2,1,0),IF($X69&lt;30,1,0))</formula>
    </cfRule>
    <cfRule type="expression" priority="773" dxfId="1">
      <formula>AND(IF($Q69=3,1,0),IF($X69&lt;30,1,0))</formula>
    </cfRule>
    <cfRule type="expression" priority="774" dxfId="0">
      <formula>AND(IF($Q69=3,1,IF($Q69=4,1,0)),IF($F69&lt;=85,1,0))</formula>
    </cfRule>
  </conditionalFormatting>
  <conditionalFormatting sqref="AI69">
    <cfRule type="expression" priority="767" dxfId="3">
      <formula>AND(IF(OR($Q69=1,$Q69=2),1,0),IF($X69&lt;=20,1,0))</formula>
    </cfRule>
    <cfRule type="expression" priority="768" dxfId="2">
      <formula>AND(IF($Q69=2,1,0),IF($X69&lt;30,1,0))</formula>
    </cfRule>
    <cfRule type="expression" priority="769" dxfId="1">
      <formula>AND(IF($Q69=3,1,0),IF($X69&lt;30,1,0))</formula>
    </cfRule>
    <cfRule type="expression" priority="770" dxfId="0">
      <formula>AND(IF($Q69=3,1,IF($Q69=4,1,0)),IF($F69&lt;=85,1,0))</formula>
    </cfRule>
  </conditionalFormatting>
  <conditionalFormatting sqref="AV70">
    <cfRule type="expression" priority="765" dxfId="17">
      <formula>AV70="X"</formula>
    </cfRule>
    <cfRule type="expression" priority="766" dxfId="16">
      <formula>AV70="후보"</formula>
    </cfRule>
  </conditionalFormatting>
  <conditionalFormatting sqref="AC7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70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70">
    <cfRule type="expression" priority="756" dxfId="3">
      <formula>AND(IF(OR($Q70=1,$Q70=2),1,0),IF($X70&lt;=20,1,0))</formula>
    </cfRule>
    <cfRule type="expression" priority="757" dxfId="2">
      <formula>AND(IF($Q70=2,1,0),IF($X70&lt;30,1,0))</formula>
    </cfRule>
    <cfRule type="expression" priority="758" dxfId="1">
      <formula>AND(IF($Q70=3,1,0),IF($X70&lt;30,1,0))</formula>
    </cfRule>
    <cfRule type="expression" priority="759" dxfId="0">
      <formula>AND(IF($Q70=3,1,IF($Q70=4,1,0)),IF($F70&lt;=85,1,0))</formula>
    </cfRule>
  </conditionalFormatting>
  <conditionalFormatting sqref="X70">
    <cfRule type="expression" priority="752" dxfId="3">
      <formula>AND(IF(OR($Q70=1,$Q70=2),1,0),IF($X70&lt;=20,1,0))</formula>
    </cfRule>
    <cfRule type="expression" priority="753" dxfId="2">
      <formula>AND(IF($Q70=2,1,0),IF($X70&lt;30,1,0))</formula>
    </cfRule>
    <cfRule type="expression" priority="754" dxfId="1">
      <formula>AND(IF($Q70=3,1,0),IF($X70&lt;30,1,0))</formula>
    </cfRule>
    <cfRule type="expression" priority="755" dxfId="0">
      <formula>AND(IF($Q70=3,1,IF($Q70=4,1,0)),IF($F70&lt;=85,1,0))</formula>
    </cfRule>
  </conditionalFormatting>
  <conditionalFormatting sqref="AI70">
    <cfRule type="expression" priority="748" dxfId="3">
      <formula>AND(IF(OR($Q70=1,$Q70=2),1,0),IF($X70&lt;=20,1,0))</formula>
    </cfRule>
    <cfRule type="expression" priority="749" dxfId="2">
      <formula>AND(IF($Q70=2,1,0),IF($X70&lt;30,1,0))</formula>
    </cfRule>
    <cfRule type="expression" priority="750" dxfId="1">
      <formula>AND(IF($Q70=3,1,0),IF($X70&lt;30,1,0))</formula>
    </cfRule>
    <cfRule type="expression" priority="751" dxfId="0">
      <formula>AND(IF($Q70=3,1,IF($Q70=4,1,0)),IF($F70&lt;=85,1,0))</formula>
    </cfRule>
  </conditionalFormatting>
  <conditionalFormatting sqref="AV71">
    <cfRule type="expression" priority="746" dxfId="17">
      <formula>AV71="X"</formula>
    </cfRule>
    <cfRule type="expression" priority="747" dxfId="16">
      <formula>AV71="후보"</formula>
    </cfRule>
  </conditionalFormatting>
  <conditionalFormatting sqref="AC7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71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71">
    <cfRule type="expression" priority="737" dxfId="3">
      <formula>AND(IF(OR($Q71=1,$Q71=2),1,0),IF($X71&lt;=20,1,0))</formula>
    </cfRule>
    <cfRule type="expression" priority="738" dxfId="2">
      <formula>AND(IF($Q71=2,1,0),IF($X71&lt;30,1,0))</formula>
    </cfRule>
    <cfRule type="expression" priority="739" dxfId="1">
      <formula>AND(IF($Q71=3,1,0),IF($X71&lt;30,1,0))</formula>
    </cfRule>
    <cfRule type="expression" priority="740" dxfId="0">
      <formula>AND(IF($Q71=3,1,IF($Q71=4,1,0)),IF($F71&lt;=85,1,0))</formula>
    </cfRule>
  </conditionalFormatting>
  <conditionalFormatting sqref="X71">
    <cfRule type="expression" priority="733" dxfId="3">
      <formula>AND(IF(OR($Q71=1,$Q71=2),1,0),IF($X71&lt;=20,1,0))</formula>
    </cfRule>
    <cfRule type="expression" priority="734" dxfId="2">
      <formula>AND(IF($Q71=2,1,0),IF($X71&lt;30,1,0))</formula>
    </cfRule>
    <cfRule type="expression" priority="735" dxfId="1">
      <formula>AND(IF($Q71=3,1,0),IF($X71&lt;30,1,0))</formula>
    </cfRule>
    <cfRule type="expression" priority="736" dxfId="0">
      <formula>AND(IF($Q71=3,1,IF($Q71=4,1,0)),IF($F71&lt;=85,1,0))</formula>
    </cfRule>
  </conditionalFormatting>
  <conditionalFormatting sqref="AI71">
    <cfRule type="expression" priority="729" dxfId="3">
      <formula>AND(IF(OR($Q71=1,$Q71=2),1,0),IF($X71&lt;=20,1,0))</formula>
    </cfRule>
    <cfRule type="expression" priority="730" dxfId="2">
      <formula>AND(IF($Q71=2,1,0),IF($X71&lt;30,1,0))</formula>
    </cfRule>
    <cfRule type="expression" priority="731" dxfId="1">
      <formula>AND(IF($Q71=3,1,0),IF($X71&lt;30,1,0))</formula>
    </cfRule>
    <cfRule type="expression" priority="732" dxfId="0">
      <formula>AND(IF($Q71=3,1,IF($Q71=4,1,0)),IF($F71&lt;=85,1,0))</formula>
    </cfRule>
  </conditionalFormatting>
  <conditionalFormatting sqref="AV72">
    <cfRule type="expression" priority="727" dxfId="17">
      <formula>AV72="X"</formula>
    </cfRule>
    <cfRule type="expression" priority="728" dxfId="16">
      <formula>AV72="후보"</formula>
    </cfRule>
  </conditionalFormatting>
  <conditionalFormatting sqref="AC7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72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72">
    <cfRule type="expression" priority="718" dxfId="3">
      <formula>AND(IF(OR($Q72=1,$Q72=2),1,0),IF($X72&lt;=20,1,0))</formula>
    </cfRule>
    <cfRule type="expression" priority="719" dxfId="2">
      <formula>AND(IF($Q72=2,1,0),IF($X72&lt;30,1,0))</formula>
    </cfRule>
    <cfRule type="expression" priority="720" dxfId="1">
      <formula>AND(IF($Q72=3,1,0),IF($X72&lt;30,1,0))</formula>
    </cfRule>
    <cfRule type="expression" priority="721" dxfId="0">
      <formula>AND(IF($Q72=3,1,IF($Q72=4,1,0)),IF($F72&lt;=85,1,0))</formula>
    </cfRule>
  </conditionalFormatting>
  <conditionalFormatting sqref="X72">
    <cfRule type="expression" priority="714" dxfId="3">
      <formula>AND(IF(OR($Q72=1,$Q72=2),1,0),IF($X72&lt;=20,1,0))</formula>
    </cfRule>
    <cfRule type="expression" priority="715" dxfId="2">
      <formula>AND(IF($Q72=2,1,0),IF($X72&lt;30,1,0))</formula>
    </cfRule>
    <cfRule type="expression" priority="716" dxfId="1">
      <formula>AND(IF($Q72=3,1,0),IF($X72&lt;30,1,0))</formula>
    </cfRule>
    <cfRule type="expression" priority="717" dxfId="0">
      <formula>AND(IF($Q72=3,1,IF($Q72=4,1,0)),IF($F72&lt;=85,1,0))</formula>
    </cfRule>
  </conditionalFormatting>
  <conditionalFormatting sqref="AI72">
    <cfRule type="expression" priority="710" dxfId="3">
      <formula>AND(IF(OR($Q72=1,$Q72=2),1,0),IF($X72&lt;=20,1,0))</formula>
    </cfRule>
    <cfRule type="expression" priority="711" dxfId="2">
      <formula>AND(IF($Q72=2,1,0),IF($X72&lt;30,1,0))</formula>
    </cfRule>
    <cfRule type="expression" priority="712" dxfId="1">
      <formula>AND(IF($Q72=3,1,0),IF($X72&lt;30,1,0))</formula>
    </cfRule>
    <cfRule type="expression" priority="713" dxfId="0">
      <formula>AND(IF($Q72=3,1,IF($Q72=4,1,0)),IF($F72&lt;=85,1,0))</formula>
    </cfRule>
  </conditionalFormatting>
  <conditionalFormatting sqref="AV73">
    <cfRule type="expression" priority="708" dxfId="17">
      <formula>AV73="X"</formula>
    </cfRule>
    <cfRule type="expression" priority="709" dxfId="16">
      <formula>AV73="후보"</formula>
    </cfRule>
  </conditionalFormatting>
  <conditionalFormatting sqref="AC73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3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3">
    <cfRule type="expression" priority="699" dxfId="3">
      <formula>AND(IF(OR($Q73=1,$Q73=2),1,0),IF($X73&lt;=20,1,0))</formula>
    </cfRule>
    <cfRule type="expression" priority="700" dxfId="2">
      <formula>AND(IF($Q73=2,1,0),IF($X73&lt;30,1,0))</formula>
    </cfRule>
    <cfRule type="expression" priority="701" dxfId="1">
      <formula>AND(IF($Q73=3,1,0),IF($X73&lt;30,1,0))</formula>
    </cfRule>
    <cfRule type="expression" priority="702" dxfId="0">
      <formula>AND(IF($Q73=3,1,IF($Q73=4,1,0)),IF($F73&lt;=85,1,0))</formula>
    </cfRule>
  </conditionalFormatting>
  <conditionalFormatting sqref="X73">
    <cfRule type="expression" priority="695" dxfId="3">
      <formula>AND(IF(OR($Q73=1,$Q73=2),1,0),IF($X73&lt;=20,1,0))</formula>
    </cfRule>
    <cfRule type="expression" priority="696" dxfId="2">
      <formula>AND(IF($Q73=2,1,0),IF($X73&lt;30,1,0))</formula>
    </cfRule>
    <cfRule type="expression" priority="697" dxfId="1">
      <formula>AND(IF($Q73=3,1,0),IF($X73&lt;30,1,0))</formula>
    </cfRule>
    <cfRule type="expression" priority="698" dxfId="0">
      <formula>AND(IF($Q73=3,1,IF($Q73=4,1,0)),IF($F73&lt;=85,1,0))</formula>
    </cfRule>
  </conditionalFormatting>
  <conditionalFormatting sqref="AI73">
    <cfRule type="expression" priority="691" dxfId="3">
      <formula>AND(IF(OR($Q73=1,$Q73=2),1,0),IF($X73&lt;=20,1,0))</formula>
    </cfRule>
    <cfRule type="expression" priority="692" dxfId="2">
      <formula>AND(IF($Q73=2,1,0),IF($X73&lt;30,1,0))</formula>
    </cfRule>
    <cfRule type="expression" priority="693" dxfId="1">
      <formula>AND(IF($Q73=3,1,0),IF($X73&lt;30,1,0))</formula>
    </cfRule>
    <cfRule type="expression" priority="694" dxfId="0">
      <formula>AND(IF($Q73=3,1,IF($Q73=4,1,0)),IF($F73&lt;=85,1,0))</formula>
    </cfRule>
  </conditionalFormatting>
  <conditionalFormatting sqref="AV74">
    <cfRule type="expression" priority="689" dxfId="17">
      <formula>AV74="X"</formula>
    </cfRule>
    <cfRule type="expression" priority="690" dxfId="16">
      <formula>AV74="후보"</formula>
    </cfRule>
  </conditionalFormatting>
  <conditionalFormatting sqref="AC74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74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74">
    <cfRule type="expression" priority="680" dxfId="3">
      <formula>AND(IF(OR($Q74=1,$Q74=2),1,0),IF($X74&lt;=20,1,0))</formula>
    </cfRule>
    <cfRule type="expression" priority="681" dxfId="2">
      <formula>AND(IF($Q74=2,1,0),IF($X74&lt;30,1,0))</formula>
    </cfRule>
    <cfRule type="expression" priority="682" dxfId="1">
      <formula>AND(IF($Q74=3,1,0),IF($X74&lt;30,1,0))</formula>
    </cfRule>
    <cfRule type="expression" priority="683" dxfId="0">
      <formula>AND(IF($Q74=3,1,IF($Q74=4,1,0)),IF($F74&lt;=85,1,0))</formula>
    </cfRule>
  </conditionalFormatting>
  <conditionalFormatting sqref="X74">
    <cfRule type="expression" priority="676" dxfId="3">
      <formula>AND(IF(OR($Q74=1,$Q74=2),1,0),IF($X74&lt;=20,1,0))</formula>
    </cfRule>
    <cfRule type="expression" priority="677" dxfId="2">
      <formula>AND(IF($Q74=2,1,0),IF($X74&lt;30,1,0))</formula>
    </cfRule>
    <cfRule type="expression" priority="678" dxfId="1">
      <formula>AND(IF($Q74=3,1,0),IF($X74&lt;30,1,0))</formula>
    </cfRule>
    <cfRule type="expression" priority="679" dxfId="0">
      <formula>AND(IF($Q74=3,1,IF($Q74=4,1,0)),IF($F74&lt;=85,1,0))</formula>
    </cfRule>
  </conditionalFormatting>
  <conditionalFormatting sqref="AI74">
    <cfRule type="expression" priority="672" dxfId="3">
      <formula>AND(IF(OR($Q74=1,$Q74=2),1,0),IF($X74&lt;=20,1,0))</formula>
    </cfRule>
    <cfRule type="expression" priority="673" dxfId="2">
      <formula>AND(IF($Q74=2,1,0),IF($X74&lt;30,1,0))</formula>
    </cfRule>
    <cfRule type="expression" priority="674" dxfId="1">
      <formula>AND(IF($Q74=3,1,0),IF($X74&lt;30,1,0))</formula>
    </cfRule>
    <cfRule type="expression" priority="675" dxfId="0">
      <formula>AND(IF($Q74=3,1,IF($Q74=4,1,0)),IF($F74&lt;=85,1,0))</formula>
    </cfRule>
  </conditionalFormatting>
  <conditionalFormatting sqref="AV75">
    <cfRule type="expression" priority="670" dxfId="17">
      <formula>AV75="X"</formula>
    </cfRule>
    <cfRule type="expression" priority="671" dxfId="16">
      <formula>AV75="후보"</formula>
    </cfRule>
  </conditionalFormatting>
  <conditionalFormatting sqref="AC75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75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75">
    <cfRule type="expression" priority="661" dxfId="3">
      <formula>AND(IF(OR($Q75=1,$Q75=2),1,0),IF($X75&lt;=20,1,0))</formula>
    </cfRule>
    <cfRule type="expression" priority="662" dxfId="2">
      <formula>AND(IF($Q75=2,1,0),IF($X75&lt;30,1,0))</formula>
    </cfRule>
    <cfRule type="expression" priority="663" dxfId="1">
      <formula>AND(IF($Q75=3,1,0),IF($X75&lt;30,1,0))</formula>
    </cfRule>
    <cfRule type="expression" priority="664" dxfId="0">
      <formula>AND(IF($Q75=3,1,IF($Q75=4,1,0)),IF($F75&lt;=85,1,0))</formula>
    </cfRule>
  </conditionalFormatting>
  <conditionalFormatting sqref="X75">
    <cfRule type="expression" priority="657" dxfId="3">
      <formula>AND(IF(OR($Q75=1,$Q75=2),1,0),IF($X75&lt;=20,1,0))</formula>
    </cfRule>
    <cfRule type="expression" priority="658" dxfId="2">
      <formula>AND(IF($Q75=2,1,0),IF($X75&lt;30,1,0))</formula>
    </cfRule>
    <cfRule type="expression" priority="659" dxfId="1">
      <formula>AND(IF($Q75=3,1,0),IF($X75&lt;30,1,0))</formula>
    </cfRule>
    <cfRule type="expression" priority="660" dxfId="0">
      <formula>AND(IF($Q75=3,1,IF($Q75=4,1,0)),IF($F75&lt;=85,1,0))</formula>
    </cfRule>
  </conditionalFormatting>
  <conditionalFormatting sqref="AI75">
    <cfRule type="expression" priority="653" dxfId="3">
      <formula>AND(IF(OR($Q75=1,$Q75=2),1,0),IF($X75&lt;=20,1,0))</formula>
    </cfRule>
    <cfRule type="expression" priority="654" dxfId="2">
      <formula>AND(IF($Q75=2,1,0),IF($X75&lt;30,1,0))</formula>
    </cfRule>
    <cfRule type="expression" priority="655" dxfId="1">
      <formula>AND(IF($Q75=3,1,0),IF($X75&lt;30,1,0))</formula>
    </cfRule>
    <cfRule type="expression" priority="656" dxfId="0">
      <formula>AND(IF($Q75=3,1,IF($Q75=4,1,0)),IF($F75&lt;=85,1,0))</formula>
    </cfRule>
  </conditionalFormatting>
  <conditionalFormatting sqref="AV76">
    <cfRule type="expression" priority="651" dxfId="17">
      <formula>AV76="X"</formula>
    </cfRule>
    <cfRule type="expression" priority="652" dxfId="16">
      <formula>AV76="후보"</formula>
    </cfRule>
  </conditionalFormatting>
  <conditionalFormatting sqref="AC76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76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76">
    <cfRule type="expression" priority="642" dxfId="3">
      <formula>AND(IF(OR($Q76=1,$Q76=2),1,0),IF($X76&lt;=20,1,0))</formula>
    </cfRule>
    <cfRule type="expression" priority="643" dxfId="2">
      <formula>AND(IF($Q76=2,1,0),IF($X76&lt;30,1,0))</formula>
    </cfRule>
    <cfRule type="expression" priority="644" dxfId="1">
      <formula>AND(IF($Q76=3,1,0),IF($X76&lt;30,1,0))</formula>
    </cfRule>
    <cfRule type="expression" priority="645" dxfId="0">
      <formula>AND(IF($Q76=3,1,IF($Q76=4,1,0)),IF($F76&lt;=85,1,0))</formula>
    </cfRule>
  </conditionalFormatting>
  <conditionalFormatting sqref="X76">
    <cfRule type="expression" priority="638" dxfId="3">
      <formula>AND(IF(OR($Q76=1,$Q76=2),1,0),IF($X76&lt;=20,1,0))</formula>
    </cfRule>
    <cfRule type="expression" priority="639" dxfId="2">
      <formula>AND(IF($Q76=2,1,0),IF($X76&lt;30,1,0))</formula>
    </cfRule>
    <cfRule type="expression" priority="640" dxfId="1">
      <formula>AND(IF($Q76=3,1,0),IF($X76&lt;30,1,0))</formula>
    </cfRule>
    <cfRule type="expression" priority="641" dxfId="0">
      <formula>AND(IF($Q76=3,1,IF($Q76=4,1,0)),IF($F76&lt;=85,1,0))</formula>
    </cfRule>
  </conditionalFormatting>
  <conditionalFormatting sqref="AI76">
    <cfRule type="expression" priority="634" dxfId="3">
      <formula>AND(IF(OR($Q76=1,$Q76=2),1,0),IF($X76&lt;=20,1,0))</formula>
    </cfRule>
    <cfRule type="expression" priority="635" dxfId="2">
      <formula>AND(IF($Q76=2,1,0),IF($X76&lt;30,1,0))</formula>
    </cfRule>
    <cfRule type="expression" priority="636" dxfId="1">
      <formula>AND(IF($Q76=3,1,0),IF($X76&lt;30,1,0))</formula>
    </cfRule>
    <cfRule type="expression" priority="637" dxfId="0">
      <formula>AND(IF($Q76=3,1,IF($Q76=4,1,0)),IF($F76&lt;=85,1,0))</formula>
    </cfRule>
  </conditionalFormatting>
  <conditionalFormatting sqref="AV77">
    <cfRule type="expression" priority="632" dxfId="17">
      <formula>AV77="X"</formula>
    </cfRule>
    <cfRule type="expression" priority="633" dxfId="16">
      <formula>AV77="후보"</formula>
    </cfRule>
  </conditionalFormatting>
  <conditionalFormatting sqref="AC77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7">
    <cfRule type="expression" priority="623" dxfId="3">
      <formula>AND(IF(OR($Q77=1,$Q77=2),1,0),IF($X77&lt;=20,1,0))</formula>
    </cfRule>
    <cfRule type="expression" priority="624" dxfId="2">
      <formula>AND(IF($Q77=2,1,0),IF($X77&lt;30,1,0))</formula>
    </cfRule>
    <cfRule type="expression" priority="625" dxfId="1">
      <formula>AND(IF($Q77=3,1,0),IF($X77&lt;30,1,0))</formula>
    </cfRule>
    <cfRule type="expression" priority="626" dxfId="0">
      <formula>AND(IF($Q77=3,1,IF($Q77=4,1,0)),IF($F77&lt;=85,1,0))</formula>
    </cfRule>
  </conditionalFormatting>
  <conditionalFormatting sqref="X77">
    <cfRule type="expression" priority="619" dxfId="3">
      <formula>AND(IF(OR($Q77=1,$Q77=2),1,0),IF($X77&lt;=20,1,0))</formula>
    </cfRule>
    <cfRule type="expression" priority="620" dxfId="2">
      <formula>AND(IF($Q77=2,1,0),IF($X77&lt;30,1,0))</formula>
    </cfRule>
    <cfRule type="expression" priority="621" dxfId="1">
      <formula>AND(IF($Q77=3,1,0),IF($X77&lt;30,1,0))</formula>
    </cfRule>
    <cfRule type="expression" priority="622" dxfId="0">
      <formula>AND(IF($Q77=3,1,IF($Q77=4,1,0)),IF($F77&lt;=85,1,0))</formula>
    </cfRule>
  </conditionalFormatting>
  <conditionalFormatting sqref="AI77">
    <cfRule type="expression" priority="615" dxfId="3">
      <formula>AND(IF(OR($Q77=1,$Q77=2),1,0),IF($X77&lt;=20,1,0))</formula>
    </cfRule>
    <cfRule type="expression" priority="616" dxfId="2">
      <formula>AND(IF($Q77=2,1,0),IF($X77&lt;30,1,0))</formula>
    </cfRule>
    <cfRule type="expression" priority="617" dxfId="1">
      <formula>AND(IF($Q77=3,1,0),IF($X77&lt;30,1,0))</formula>
    </cfRule>
    <cfRule type="expression" priority="618" dxfId="0">
      <formula>AND(IF($Q77=3,1,IF($Q77=4,1,0)),IF($F77&lt;=85,1,0))</formula>
    </cfRule>
  </conditionalFormatting>
  <conditionalFormatting sqref="AV78">
    <cfRule type="expression" priority="613" dxfId="17">
      <formula>AV78="X"</formula>
    </cfRule>
    <cfRule type="expression" priority="614" dxfId="16">
      <formula>AV78="후보"</formula>
    </cfRule>
  </conditionalFormatting>
  <conditionalFormatting sqref="AC78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8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8">
    <cfRule type="expression" priority="604" dxfId="3">
      <formula>AND(IF(OR($Q78=1,$Q78=2),1,0),IF($X78&lt;=20,1,0))</formula>
    </cfRule>
    <cfRule type="expression" priority="605" dxfId="2">
      <formula>AND(IF($Q78=2,1,0),IF($X78&lt;30,1,0))</formula>
    </cfRule>
    <cfRule type="expression" priority="606" dxfId="1">
      <formula>AND(IF($Q78=3,1,0),IF($X78&lt;30,1,0))</formula>
    </cfRule>
    <cfRule type="expression" priority="607" dxfId="0">
      <formula>AND(IF($Q78=3,1,IF($Q78=4,1,0)),IF($F78&lt;=85,1,0))</formula>
    </cfRule>
  </conditionalFormatting>
  <conditionalFormatting sqref="X78">
    <cfRule type="expression" priority="600" dxfId="3">
      <formula>AND(IF(OR($Q78=1,$Q78=2),1,0),IF($X78&lt;=20,1,0))</formula>
    </cfRule>
    <cfRule type="expression" priority="601" dxfId="2">
      <formula>AND(IF($Q78=2,1,0),IF($X78&lt;30,1,0))</formula>
    </cfRule>
    <cfRule type="expression" priority="602" dxfId="1">
      <formula>AND(IF($Q78=3,1,0),IF($X78&lt;30,1,0))</formula>
    </cfRule>
    <cfRule type="expression" priority="603" dxfId="0">
      <formula>AND(IF($Q78=3,1,IF($Q78=4,1,0)),IF($F78&lt;=85,1,0))</formula>
    </cfRule>
  </conditionalFormatting>
  <conditionalFormatting sqref="AI78">
    <cfRule type="expression" priority="596" dxfId="3">
      <formula>AND(IF(OR($Q78=1,$Q78=2),1,0),IF($X78&lt;=20,1,0))</formula>
    </cfRule>
    <cfRule type="expression" priority="597" dxfId="2">
      <formula>AND(IF($Q78=2,1,0),IF($X78&lt;30,1,0))</formula>
    </cfRule>
    <cfRule type="expression" priority="598" dxfId="1">
      <formula>AND(IF($Q78=3,1,0),IF($X78&lt;30,1,0))</formula>
    </cfRule>
    <cfRule type="expression" priority="599" dxfId="0">
      <formula>AND(IF($Q78=3,1,IF($Q78=4,1,0)),IF($F78&lt;=85,1,0))</formula>
    </cfRule>
  </conditionalFormatting>
  <conditionalFormatting sqref="AV79">
    <cfRule type="expression" priority="594" dxfId="17">
      <formula>AV79="X"</formula>
    </cfRule>
    <cfRule type="expression" priority="595" dxfId="16">
      <formula>AV79="후보"</formula>
    </cfRule>
  </conditionalFormatting>
  <conditionalFormatting sqref="AC7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X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I79">
    <cfRule type="expression" priority="577" dxfId="3">
      <formula>AND(IF(OR($Q79=1,$Q79=2),1,0),IF($X79&lt;=20,1,0))</formula>
    </cfRule>
    <cfRule type="expression" priority="578" dxfId="2">
      <formula>AND(IF($Q79=2,1,0),IF($X79&lt;30,1,0))</formula>
    </cfRule>
    <cfRule type="expression" priority="579" dxfId="1">
      <formula>AND(IF($Q79=3,1,0),IF($X79&lt;30,1,0))</formula>
    </cfRule>
    <cfRule type="expression" priority="580" dxfId="0">
      <formula>AND(IF($Q79=3,1,IF($Q79=4,1,0)),IF($F79&lt;=85,1,0))</formula>
    </cfRule>
  </conditionalFormatting>
  <conditionalFormatting sqref="AV80">
    <cfRule type="expression" priority="575" dxfId="17">
      <formula>AV80="X"</formula>
    </cfRule>
    <cfRule type="expression" priority="576" dxfId="16">
      <formula>AV80="후보"</formula>
    </cfRule>
  </conditionalFormatting>
  <conditionalFormatting sqref="AC8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X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I80">
    <cfRule type="expression" priority="558" dxfId="3">
      <formula>AND(IF(OR($Q80=1,$Q80=2),1,0),IF($X80&lt;=20,1,0))</formula>
    </cfRule>
    <cfRule type="expression" priority="559" dxfId="2">
      <formula>AND(IF($Q80=2,1,0),IF($X80&lt;30,1,0))</formula>
    </cfRule>
    <cfRule type="expression" priority="560" dxfId="1">
      <formula>AND(IF($Q80=3,1,0),IF($X80&lt;30,1,0))</formula>
    </cfRule>
    <cfRule type="expression" priority="561" dxfId="0">
      <formula>AND(IF($Q80=3,1,IF($Q80=4,1,0)),IF($F80&lt;=85,1,0))</formula>
    </cfRule>
  </conditionalFormatting>
  <conditionalFormatting sqref="AV81">
    <cfRule type="expression" priority="556" dxfId="17">
      <formula>AV81="X"</formula>
    </cfRule>
    <cfRule type="expression" priority="557" dxfId="16">
      <formula>AV81="후보"</formula>
    </cfRule>
  </conditionalFormatting>
  <conditionalFormatting sqref="AC81 N8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82">
    <cfRule type="expression" priority="551" dxfId="17">
      <formula>AV82="X"</formula>
    </cfRule>
    <cfRule type="expression" priority="552" dxfId="16">
      <formula>AV82="후보"</formula>
    </cfRule>
  </conditionalFormatting>
  <conditionalFormatting sqref="AC8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82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X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I82">
    <cfRule type="expression" priority="534" dxfId="3">
      <formula>AND(IF(OR($Q82=1,$Q82=2),1,0),IF($X82&lt;=20,1,0))</formula>
    </cfRule>
    <cfRule type="expression" priority="535" dxfId="2">
      <formula>AND(IF($Q82=2,1,0),IF($X82&lt;30,1,0))</formula>
    </cfRule>
    <cfRule type="expression" priority="536" dxfId="1">
      <formula>AND(IF($Q82=3,1,0),IF($X82&lt;30,1,0))</formula>
    </cfRule>
    <cfRule type="expression" priority="537" dxfId="0">
      <formula>AND(IF($Q82=3,1,IF($Q82=4,1,0)),IF($F82&lt;=85,1,0))</formula>
    </cfRule>
  </conditionalFormatting>
  <conditionalFormatting sqref="AV83">
    <cfRule type="expression" priority="532" dxfId="17">
      <formula>AV83="X"</formula>
    </cfRule>
    <cfRule type="expression" priority="533" dxfId="16">
      <formula>AV83="후보"</formula>
    </cfRule>
  </conditionalFormatting>
  <conditionalFormatting sqref="AC8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8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X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I83">
    <cfRule type="expression" priority="515" dxfId="3">
      <formula>AND(IF(OR($Q83=1,$Q83=2),1,0),IF($X83&lt;=20,1,0))</formula>
    </cfRule>
    <cfRule type="expression" priority="516" dxfId="2">
      <formula>AND(IF($Q83=2,1,0),IF($X83&lt;30,1,0))</formula>
    </cfRule>
    <cfRule type="expression" priority="517" dxfId="1">
      <formula>AND(IF($Q83=3,1,0),IF($X83&lt;30,1,0))</formula>
    </cfRule>
    <cfRule type="expression" priority="518" dxfId="0">
      <formula>AND(IF($Q83=3,1,IF($Q83=4,1,0)),IF($F83&lt;=85,1,0))</formula>
    </cfRule>
  </conditionalFormatting>
  <conditionalFormatting sqref="AV84">
    <cfRule type="expression" priority="513" dxfId="17">
      <formula>AV84="X"</formula>
    </cfRule>
    <cfRule type="expression" priority="514" dxfId="16">
      <formula>AV84="후보"</formula>
    </cfRule>
  </conditionalFormatting>
  <conditionalFormatting sqref="AC8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X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I84">
    <cfRule type="expression" priority="496" dxfId="3">
      <formula>AND(IF(OR($Q84=1,$Q84=2),1,0),IF($X84&lt;=20,1,0))</formula>
    </cfRule>
    <cfRule type="expression" priority="497" dxfId="2">
      <formula>AND(IF($Q84=2,1,0),IF($X84&lt;30,1,0))</formula>
    </cfRule>
    <cfRule type="expression" priority="498" dxfId="1">
      <formula>AND(IF($Q84=3,1,0),IF($X84&lt;30,1,0))</formula>
    </cfRule>
    <cfRule type="expression" priority="499" dxfId="0">
      <formula>AND(IF($Q84=3,1,IF($Q84=4,1,0)),IF($F84&lt;=85,1,0))</formula>
    </cfRule>
  </conditionalFormatting>
  <conditionalFormatting sqref="AV85">
    <cfRule type="expression" priority="494" dxfId="17">
      <formula>AV85="X"</formula>
    </cfRule>
    <cfRule type="expression" priority="495" dxfId="16">
      <formula>AV85="후보"</formula>
    </cfRule>
  </conditionalFormatting>
  <conditionalFormatting sqref="AC8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8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X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I85">
    <cfRule type="expression" priority="477" dxfId="3">
      <formula>AND(IF(OR($Q85=1,$Q85=2),1,0),IF($X85&lt;=20,1,0))</formula>
    </cfRule>
    <cfRule type="expression" priority="478" dxfId="2">
      <formula>AND(IF($Q85=2,1,0),IF($X85&lt;30,1,0))</formula>
    </cfRule>
    <cfRule type="expression" priority="479" dxfId="1">
      <formula>AND(IF($Q85=3,1,0),IF($X85&lt;30,1,0))</formula>
    </cfRule>
    <cfRule type="expression" priority="480" dxfId="0">
      <formula>AND(IF($Q85=3,1,IF($Q85=4,1,0)),IF($F85&lt;=85,1,0))</formula>
    </cfRule>
  </conditionalFormatting>
  <conditionalFormatting sqref="AV86">
    <cfRule type="expression" priority="475" dxfId="17">
      <formula>AV86="X"</formula>
    </cfRule>
    <cfRule type="expression" priority="476" dxfId="16">
      <formula>AV86="후보"</formula>
    </cfRule>
  </conditionalFormatting>
  <conditionalFormatting sqref="AC8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8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X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I86">
    <cfRule type="expression" priority="458" dxfId="3">
      <formula>AND(IF(OR($Q86=1,$Q86=2),1,0),IF($X86&lt;=20,1,0))</formula>
    </cfRule>
    <cfRule type="expression" priority="459" dxfId="2">
      <formula>AND(IF($Q86=2,1,0),IF($X86&lt;30,1,0))</formula>
    </cfRule>
    <cfRule type="expression" priority="460" dxfId="1">
      <formula>AND(IF($Q86=3,1,0),IF($X86&lt;30,1,0))</formula>
    </cfRule>
    <cfRule type="expression" priority="461" dxfId="0">
      <formula>AND(IF($Q86=3,1,IF($Q86=4,1,0)),IF($F86&lt;=85,1,0))</formula>
    </cfRule>
  </conditionalFormatting>
  <conditionalFormatting sqref="AV87">
    <cfRule type="expression" priority="456" dxfId="17">
      <formula>AV87="X"</formula>
    </cfRule>
    <cfRule type="expression" priority="457" dxfId="16">
      <formula>AV87="후보"</formula>
    </cfRule>
  </conditionalFormatting>
  <conditionalFormatting sqref="AC8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X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I87">
    <cfRule type="expression" priority="439" dxfId="3">
      <formula>AND(IF(OR($Q87=1,$Q87=2),1,0),IF($X87&lt;=20,1,0))</formula>
    </cfRule>
    <cfRule type="expression" priority="440" dxfId="2">
      <formula>AND(IF($Q87=2,1,0),IF($X87&lt;30,1,0))</formula>
    </cfRule>
    <cfRule type="expression" priority="441" dxfId="1">
      <formula>AND(IF($Q87=3,1,0),IF($X87&lt;30,1,0))</formula>
    </cfRule>
    <cfRule type="expression" priority="442" dxfId="0">
      <formula>AND(IF($Q87=3,1,IF($Q87=4,1,0)),IF($F87&lt;=85,1,0))</formula>
    </cfRule>
  </conditionalFormatting>
  <conditionalFormatting sqref="AV88">
    <cfRule type="expression" priority="437" dxfId="17">
      <formula>AV88="X"</formula>
    </cfRule>
    <cfRule type="expression" priority="438" dxfId="16">
      <formula>AV88="후보"</formula>
    </cfRule>
  </conditionalFormatting>
  <conditionalFormatting sqref="AC88 N8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9">
    <cfRule type="expression" priority="432" dxfId="17">
      <formula>AV89="X"</formula>
    </cfRule>
    <cfRule type="expression" priority="433" dxfId="16">
      <formula>AV89="후보"</formula>
    </cfRule>
  </conditionalFormatting>
  <conditionalFormatting sqref="AC8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9">
    <cfRule type="expression" priority="423" dxfId="3">
      <formula>AND(IF(OR($Q89=1,$Q89=2),1,0),IF($X89&lt;=20,1,0))</formula>
    </cfRule>
    <cfRule type="expression" priority="424" dxfId="2">
      <formula>AND(IF($Q89=2,1,0),IF($X89&lt;30,1,0))</formula>
    </cfRule>
    <cfRule type="expression" priority="425" dxfId="1">
      <formula>AND(IF($Q89=3,1,0),IF($X89&lt;30,1,0))</formula>
    </cfRule>
    <cfRule type="expression" priority="426" dxfId="0">
      <formula>AND(IF($Q89=3,1,IF($Q89=4,1,0)),IF($F89&lt;=85,1,0))</formula>
    </cfRule>
  </conditionalFormatting>
  <conditionalFormatting sqref="X89">
    <cfRule type="expression" priority="419" dxfId="3">
      <formula>AND(IF(OR($Q89=1,$Q89=2),1,0),IF($X89&lt;=20,1,0))</formula>
    </cfRule>
    <cfRule type="expression" priority="420" dxfId="2">
      <formula>AND(IF($Q89=2,1,0),IF($X89&lt;30,1,0))</formula>
    </cfRule>
    <cfRule type="expression" priority="421" dxfId="1">
      <formula>AND(IF($Q89=3,1,0),IF($X89&lt;30,1,0))</formula>
    </cfRule>
    <cfRule type="expression" priority="422" dxfId="0">
      <formula>AND(IF($Q89=3,1,IF($Q89=4,1,0)),IF($F89&lt;=85,1,0))</formula>
    </cfRule>
  </conditionalFormatting>
  <conditionalFormatting sqref="AI89">
    <cfRule type="expression" priority="415" dxfId="3">
      <formula>AND(IF(OR($Q89=1,$Q89=2),1,0),IF($X89&lt;=20,1,0))</formula>
    </cfRule>
    <cfRule type="expression" priority="416" dxfId="2">
      <formula>AND(IF($Q89=2,1,0),IF($X89&lt;30,1,0))</formula>
    </cfRule>
    <cfRule type="expression" priority="417" dxfId="1">
      <formula>AND(IF($Q89=3,1,0),IF($X89&lt;30,1,0))</formula>
    </cfRule>
    <cfRule type="expression" priority="418" dxfId="0">
      <formula>AND(IF($Q89=3,1,IF($Q89=4,1,0)),IF($F89&lt;=85,1,0))</formula>
    </cfRule>
  </conditionalFormatting>
  <conditionalFormatting sqref="AV90">
    <cfRule type="expression" priority="413" dxfId="17">
      <formula>AV90="X"</formula>
    </cfRule>
    <cfRule type="expression" priority="414" dxfId="16">
      <formula>AV90="후보"</formula>
    </cfRule>
  </conditionalFormatting>
  <conditionalFormatting sqref="AC9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0">
    <cfRule type="expression" priority="404" dxfId="3">
      <formula>AND(IF(OR($Q90=1,$Q90=2),1,0),IF($X90&lt;=20,1,0))</formula>
    </cfRule>
    <cfRule type="expression" priority="405" dxfId="2">
      <formula>AND(IF($Q90=2,1,0),IF($X90&lt;30,1,0))</formula>
    </cfRule>
    <cfRule type="expression" priority="406" dxfId="1">
      <formula>AND(IF($Q90=3,1,0),IF($X90&lt;30,1,0))</formula>
    </cfRule>
    <cfRule type="expression" priority="407" dxfId="0">
      <formula>AND(IF($Q90=3,1,IF($Q90=4,1,0)),IF($F90&lt;=85,1,0))</formula>
    </cfRule>
  </conditionalFormatting>
  <conditionalFormatting sqref="X90">
    <cfRule type="expression" priority="400" dxfId="3">
      <formula>AND(IF(OR($Q90=1,$Q90=2),1,0),IF($X90&lt;=20,1,0))</formula>
    </cfRule>
    <cfRule type="expression" priority="401" dxfId="2">
      <formula>AND(IF($Q90=2,1,0),IF($X90&lt;30,1,0))</formula>
    </cfRule>
    <cfRule type="expression" priority="402" dxfId="1">
      <formula>AND(IF($Q90=3,1,0),IF($X90&lt;30,1,0))</formula>
    </cfRule>
    <cfRule type="expression" priority="403" dxfId="0">
      <formula>AND(IF($Q90=3,1,IF($Q90=4,1,0)),IF($F90&lt;=85,1,0))</formula>
    </cfRule>
  </conditionalFormatting>
  <conditionalFormatting sqref="AI90">
    <cfRule type="expression" priority="396" dxfId="3">
      <formula>AND(IF(OR($Q90=1,$Q90=2),1,0),IF($X90&lt;=20,1,0))</formula>
    </cfRule>
    <cfRule type="expression" priority="397" dxfId="2">
      <formula>AND(IF($Q90=2,1,0),IF($X90&lt;30,1,0))</formula>
    </cfRule>
    <cfRule type="expression" priority="398" dxfId="1">
      <formula>AND(IF($Q90=3,1,0),IF($X90&lt;30,1,0))</formula>
    </cfRule>
    <cfRule type="expression" priority="399" dxfId="0">
      <formula>AND(IF($Q90=3,1,IF($Q90=4,1,0)),IF($F90&lt;=85,1,0))</formula>
    </cfRule>
  </conditionalFormatting>
  <conditionalFormatting sqref="AV91">
    <cfRule type="expression" priority="394" dxfId="17">
      <formula>AV91="X"</formula>
    </cfRule>
    <cfRule type="expression" priority="395" dxfId="16">
      <formula>AV91="후보"</formula>
    </cfRule>
  </conditionalFormatting>
  <conditionalFormatting sqref="AC9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9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91">
    <cfRule type="expression" priority="385" dxfId="3">
      <formula>AND(IF(OR($Q91=1,$Q91=2),1,0),IF($X91&lt;=20,1,0))</formula>
    </cfRule>
    <cfRule type="expression" priority="386" dxfId="2">
      <formula>AND(IF($Q91=2,1,0),IF($X91&lt;30,1,0))</formula>
    </cfRule>
    <cfRule type="expression" priority="387" dxfId="1">
      <formula>AND(IF($Q91=3,1,0),IF($X91&lt;30,1,0))</formula>
    </cfRule>
    <cfRule type="expression" priority="388" dxfId="0">
      <formula>AND(IF($Q91=3,1,IF($Q91=4,1,0)),IF($F91&lt;=85,1,0))</formula>
    </cfRule>
  </conditionalFormatting>
  <conditionalFormatting sqref="X91">
    <cfRule type="expression" priority="381" dxfId="3">
      <formula>AND(IF(OR($Q91=1,$Q91=2),1,0),IF($X91&lt;=20,1,0))</formula>
    </cfRule>
    <cfRule type="expression" priority="382" dxfId="2">
      <formula>AND(IF($Q91=2,1,0),IF($X91&lt;30,1,0))</formula>
    </cfRule>
    <cfRule type="expression" priority="383" dxfId="1">
      <formula>AND(IF($Q91=3,1,0),IF($X91&lt;30,1,0))</formula>
    </cfRule>
    <cfRule type="expression" priority="384" dxfId="0">
      <formula>AND(IF($Q91=3,1,IF($Q91=4,1,0)),IF($F91&lt;=85,1,0))</formula>
    </cfRule>
  </conditionalFormatting>
  <conditionalFormatting sqref="AI91">
    <cfRule type="expression" priority="377" dxfId="3">
      <formula>AND(IF(OR($Q91=1,$Q91=2),1,0),IF($X91&lt;=20,1,0))</formula>
    </cfRule>
    <cfRule type="expression" priority="378" dxfId="2">
      <formula>AND(IF($Q91=2,1,0),IF($X91&lt;30,1,0))</formula>
    </cfRule>
    <cfRule type="expression" priority="379" dxfId="1">
      <formula>AND(IF($Q91=3,1,0),IF($X91&lt;30,1,0))</formula>
    </cfRule>
    <cfRule type="expression" priority="380" dxfId="0">
      <formula>AND(IF($Q91=3,1,IF($Q91=4,1,0)),IF($F91&lt;=85,1,0))</formula>
    </cfRule>
  </conditionalFormatting>
  <conditionalFormatting sqref="AV92">
    <cfRule type="expression" priority="375" dxfId="17">
      <formula>AV92="X"</formula>
    </cfRule>
    <cfRule type="expression" priority="376" dxfId="16">
      <formula>AV92="후보"</formula>
    </cfRule>
  </conditionalFormatting>
  <conditionalFormatting sqref="AC9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2">
    <cfRule type="expression" priority="366" dxfId="3">
      <formula>AND(IF(OR($Q92=1,$Q92=2),1,0),IF($X92&lt;=20,1,0))</formula>
    </cfRule>
    <cfRule type="expression" priority="367" dxfId="2">
      <formula>AND(IF($Q92=2,1,0),IF($X92&lt;30,1,0))</formula>
    </cfRule>
    <cfRule type="expression" priority="368" dxfId="1">
      <formula>AND(IF($Q92=3,1,0),IF($X92&lt;30,1,0))</formula>
    </cfRule>
    <cfRule type="expression" priority="369" dxfId="0">
      <formula>AND(IF($Q92=3,1,IF($Q92=4,1,0)),IF($F92&lt;=85,1,0))</formula>
    </cfRule>
  </conditionalFormatting>
  <conditionalFormatting sqref="X92">
    <cfRule type="expression" priority="362" dxfId="3">
      <formula>AND(IF(OR($Q92=1,$Q92=2),1,0),IF($X92&lt;=20,1,0))</formula>
    </cfRule>
    <cfRule type="expression" priority="363" dxfId="2">
      <formula>AND(IF($Q92=2,1,0),IF($X92&lt;30,1,0))</formula>
    </cfRule>
    <cfRule type="expression" priority="364" dxfId="1">
      <formula>AND(IF($Q92=3,1,0),IF($X92&lt;30,1,0))</formula>
    </cfRule>
    <cfRule type="expression" priority="365" dxfId="0">
      <formula>AND(IF($Q92=3,1,IF($Q92=4,1,0)),IF($F92&lt;=85,1,0))</formula>
    </cfRule>
  </conditionalFormatting>
  <conditionalFormatting sqref="AI92">
    <cfRule type="expression" priority="358" dxfId="3">
      <formula>AND(IF(OR($Q92=1,$Q92=2),1,0),IF($X92&lt;=20,1,0))</formula>
    </cfRule>
    <cfRule type="expression" priority="359" dxfId="2">
      <formula>AND(IF($Q92=2,1,0),IF($X92&lt;30,1,0))</formula>
    </cfRule>
    <cfRule type="expression" priority="360" dxfId="1">
      <formula>AND(IF($Q92=3,1,0),IF($X92&lt;30,1,0))</formula>
    </cfRule>
    <cfRule type="expression" priority="361" dxfId="0">
      <formula>AND(IF($Q92=3,1,IF($Q92=4,1,0)),IF($F92&lt;=85,1,0))</formula>
    </cfRule>
  </conditionalFormatting>
  <conditionalFormatting sqref="AV93">
    <cfRule type="expression" priority="356" dxfId="17">
      <formula>AV93="X"</formula>
    </cfRule>
    <cfRule type="expression" priority="357" dxfId="16">
      <formula>AV93="후보"</formula>
    </cfRule>
  </conditionalFormatting>
  <conditionalFormatting sqref="AC9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9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93">
    <cfRule type="expression" priority="347" dxfId="3">
      <formula>AND(IF(OR($Q93=1,$Q93=2),1,0),IF($X93&lt;=20,1,0))</formula>
    </cfRule>
    <cfRule type="expression" priority="348" dxfId="2">
      <formula>AND(IF($Q93=2,1,0),IF($X93&lt;30,1,0))</formula>
    </cfRule>
    <cfRule type="expression" priority="349" dxfId="1">
      <formula>AND(IF($Q93=3,1,0),IF($X93&lt;30,1,0))</formula>
    </cfRule>
    <cfRule type="expression" priority="350" dxfId="0">
      <formula>AND(IF($Q93=3,1,IF($Q93=4,1,0)),IF($F93&lt;=85,1,0))</formula>
    </cfRule>
  </conditionalFormatting>
  <conditionalFormatting sqref="X93">
    <cfRule type="expression" priority="343" dxfId="3">
      <formula>AND(IF(OR($Q93=1,$Q93=2),1,0),IF($X93&lt;=20,1,0))</formula>
    </cfRule>
    <cfRule type="expression" priority="344" dxfId="2">
      <formula>AND(IF($Q93=2,1,0),IF($X93&lt;30,1,0))</formula>
    </cfRule>
    <cfRule type="expression" priority="345" dxfId="1">
      <formula>AND(IF($Q93=3,1,0),IF($X93&lt;30,1,0))</formula>
    </cfRule>
    <cfRule type="expression" priority="346" dxfId="0">
      <formula>AND(IF($Q93=3,1,IF($Q93=4,1,0)),IF($F93&lt;=85,1,0))</formula>
    </cfRule>
  </conditionalFormatting>
  <conditionalFormatting sqref="AI93">
    <cfRule type="expression" priority="339" dxfId="3">
      <formula>AND(IF(OR($Q93=1,$Q93=2),1,0),IF($X93&lt;=20,1,0))</formula>
    </cfRule>
    <cfRule type="expression" priority="340" dxfId="2">
      <formula>AND(IF($Q93=2,1,0),IF($X93&lt;30,1,0))</formula>
    </cfRule>
    <cfRule type="expression" priority="341" dxfId="1">
      <formula>AND(IF($Q93=3,1,0),IF($X93&lt;30,1,0))</formula>
    </cfRule>
    <cfRule type="expression" priority="342" dxfId="0">
      <formula>AND(IF($Q93=3,1,IF($Q93=4,1,0)),IF($F93&lt;=85,1,0))</formula>
    </cfRule>
  </conditionalFormatting>
  <conditionalFormatting sqref="AV94">
    <cfRule type="expression" priority="337" dxfId="17">
      <formula>AV94="X"</formula>
    </cfRule>
    <cfRule type="expression" priority="338" dxfId="16">
      <formula>AV94="후보"</formula>
    </cfRule>
  </conditionalFormatting>
  <conditionalFormatting sqref="AC9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4">
    <cfRule type="expression" priority="328" dxfId="3">
      <formula>AND(IF(OR($Q94=1,$Q94=2),1,0),IF($X94&lt;=20,1,0))</formula>
    </cfRule>
    <cfRule type="expression" priority="329" dxfId="2">
      <formula>AND(IF($Q94=2,1,0),IF($X94&lt;30,1,0))</formula>
    </cfRule>
    <cfRule type="expression" priority="330" dxfId="1">
      <formula>AND(IF($Q94=3,1,0),IF($X94&lt;30,1,0))</formula>
    </cfRule>
    <cfRule type="expression" priority="331" dxfId="0">
      <formula>AND(IF($Q94=3,1,IF($Q94=4,1,0)),IF($F94&lt;=85,1,0))</formula>
    </cfRule>
  </conditionalFormatting>
  <conditionalFormatting sqref="X94">
    <cfRule type="expression" priority="324" dxfId="3">
      <formula>AND(IF(OR($Q94=1,$Q94=2),1,0),IF($X94&lt;=20,1,0))</formula>
    </cfRule>
    <cfRule type="expression" priority="325" dxfId="2">
      <formula>AND(IF($Q94=2,1,0),IF($X94&lt;30,1,0))</formula>
    </cfRule>
    <cfRule type="expression" priority="326" dxfId="1">
      <formula>AND(IF($Q94=3,1,0),IF($X94&lt;30,1,0))</formula>
    </cfRule>
    <cfRule type="expression" priority="327" dxfId="0">
      <formula>AND(IF($Q94=3,1,IF($Q94=4,1,0)),IF($F94&lt;=85,1,0))</formula>
    </cfRule>
  </conditionalFormatting>
  <conditionalFormatting sqref="AI94">
    <cfRule type="expression" priority="320" dxfId="3">
      <formula>AND(IF(OR($Q94=1,$Q94=2),1,0),IF($X94&lt;=20,1,0))</formula>
    </cfRule>
    <cfRule type="expression" priority="321" dxfId="2">
      <formula>AND(IF($Q94=2,1,0),IF($X94&lt;30,1,0))</formula>
    </cfRule>
    <cfRule type="expression" priority="322" dxfId="1">
      <formula>AND(IF($Q94=3,1,0),IF($X94&lt;30,1,0))</formula>
    </cfRule>
    <cfRule type="expression" priority="323" dxfId="0">
      <formula>AND(IF($Q94=3,1,IF($Q94=4,1,0)),IF($F94&lt;=85,1,0))</formula>
    </cfRule>
  </conditionalFormatting>
  <conditionalFormatting sqref="AV95">
    <cfRule type="expression" priority="318" dxfId="17">
      <formula>AV95="X"</formula>
    </cfRule>
    <cfRule type="expression" priority="319" dxfId="16">
      <formula>AV95="후보"</formula>
    </cfRule>
  </conditionalFormatting>
  <conditionalFormatting sqref="AC9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5">
    <cfRule type="expression" priority="309" dxfId="3">
      <formula>AND(IF(OR($Q95=1,$Q95=2),1,0),IF($X95&lt;=20,1,0))</formula>
    </cfRule>
    <cfRule type="expression" priority="310" dxfId="2">
      <formula>AND(IF($Q95=2,1,0),IF($X95&lt;30,1,0))</formula>
    </cfRule>
    <cfRule type="expression" priority="311" dxfId="1">
      <formula>AND(IF($Q95=3,1,0),IF($X95&lt;30,1,0))</formula>
    </cfRule>
    <cfRule type="expression" priority="312" dxfId="0">
      <formula>AND(IF($Q95=3,1,IF($Q95=4,1,0)),IF($F95&lt;=85,1,0))</formula>
    </cfRule>
  </conditionalFormatting>
  <conditionalFormatting sqref="X95">
    <cfRule type="expression" priority="305" dxfId="3">
      <formula>AND(IF(OR($Q95=1,$Q95=2),1,0),IF($X95&lt;=20,1,0))</formula>
    </cfRule>
    <cfRule type="expression" priority="306" dxfId="2">
      <formula>AND(IF($Q95=2,1,0),IF($X95&lt;30,1,0))</formula>
    </cfRule>
    <cfRule type="expression" priority="307" dxfId="1">
      <formula>AND(IF($Q95=3,1,0),IF($X95&lt;30,1,0))</formula>
    </cfRule>
    <cfRule type="expression" priority="308" dxfId="0">
      <formula>AND(IF($Q95=3,1,IF($Q95=4,1,0)),IF($F95&lt;=85,1,0))</formula>
    </cfRule>
  </conditionalFormatting>
  <conditionalFormatting sqref="AI95">
    <cfRule type="expression" priority="301" dxfId="3">
      <formula>AND(IF(OR($Q95=1,$Q95=2),1,0),IF($X95&lt;=20,1,0))</formula>
    </cfRule>
    <cfRule type="expression" priority="302" dxfId="2">
      <formula>AND(IF($Q95=2,1,0),IF($X95&lt;30,1,0))</formula>
    </cfRule>
    <cfRule type="expression" priority="303" dxfId="1">
      <formula>AND(IF($Q95=3,1,0),IF($X95&lt;30,1,0))</formula>
    </cfRule>
    <cfRule type="expression" priority="304" dxfId="0">
      <formula>AND(IF($Q95=3,1,IF($Q95=4,1,0)),IF($F95&lt;=85,1,0))</formula>
    </cfRule>
  </conditionalFormatting>
  <conditionalFormatting sqref="AV96">
    <cfRule type="expression" priority="299" dxfId="17">
      <formula>AV96="X"</formula>
    </cfRule>
    <cfRule type="expression" priority="300" dxfId="16">
      <formula>AV96="후보"</formula>
    </cfRule>
  </conditionalFormatting>
  <conditionalFormatting sqref="AC9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9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96">
    <cfRule type="expression" priority="290" dxfId="3">
      <formula>AND(IF(OR($Q96=1,$Q96=2),1,0),IF($X96&lt;=20,1,0))</formula>
    </cfRule>
    <cfRule type="expression" priority="291" dxfId="2">
      <formula>AND(IF($Q96=2,1,0),IF($X96&lt;30,1,0))</formula>
    </cfRule>
    <cfRule type="expression" priority="292" dxfId="1">
      <formula>AND(IF($Q96=3,1,0),IF($X96&lt;30,1,0))</formula>
    </cfRule>
    <cfRule type="expression" priority="293" dxfId="0">
      <formula>AND(IF($Q96=3,1,IF($Q96=4,1,0)),IF($F96&lt;=85,1,0))</formula>
    </cfRule>
  </conditionalFormatting>
  <conditionalFormatting sqref="X96">
    <cfRule type="expression" priority="286" dxfId="3">
      <formula>AND(IF(OR($Q96=1,$Q96=2),1,0),IF($X96&lt;=20,1,0))</formula>
    </cfRule>
    <cfRule type="expression" priority="287" dxfId="2">
      <formula>AND(IF($Q96=2,1,0),IF($X96&lt;30,1,0))</formula>
    </cfRule>
    <cfRule type="expression" priority="288" dxfId="1">
      <formula>AND(IF($Q96=3,1,0),IF($X96&lt;30,1,0))</formula>
    </cfRule>
    <cfRule type="expression" priority="289" dxfId="0">
      <formula>AND(IF($Q96=3,1,IF($Q96=4,1,0)),IF($F96&lt;=85,1,0))</formula>
    </cfRule>
  </conditionalFormatting>
  <conditionalFormatting sqref="AI96">
    <cfRule type="expression" priority="282" dxfId="3">
      <formula>AND(IF(OR($Q96=1,$Q96=2),1,0),IF($X96&lt;=20,1,0))</formula>
    </cfRule>
    <cfRule type="expression" priority="283" dxfId="2">
      <formula>AND(IF($Q96=2,1,0),IF($X96&lt;30,1,0))</formula>
    </cfRule>
    <cfRule type="expression" priority="284" dxfId="1">
      <formula>AND(IF($Q96=3,1,0),IF($X96&lt;30,1,0))</formula>
    </cfRule>
    <cfRule type="expression" priority="285" dxfId="0">
      <formula>AND(IF($Q96=3,1,IF($Q96=4,1,0)),IF($F96&lt;=85,1,0))</formula>
    </cfRule>
  </conditionalFormatting>
  <conditionalFormatting sqref="AV97">
    <cfRule type="expression" priority="280" dxfId="17">
      <formula>AV97="X"</formula>
    </cfRule>
    <cfRule type="expression" priority="281" dxfId="16">
      <formula>AV97="후보"</formula>
    </cfRule>
  </conditionalFormatting>
  <conditionalFormatting sqref="AC9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X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I97">
    <cfRule type="expression" priority="263" dxfId="3">
      <formula>AND(IF(OR($Q97=1,$Q97=2),1,0),IF($X97&lt;=20,1,0))</formula>
    </cfRule>
    <cfRule type="expression" priority="264" dxfId="2">
      <formula>AND(IF($Q97=2,1,0),IF($X97&lt;30,1,0))</formula>
    </cfRule>
    <cfRule type="expression" priority="265" dxfId="1">
      <formula>AND(IF($Q97=3,1,0),IF($X97&lt;30,1,0))</formula>
    </cfRule>
    <cfRule type="expression" priority="266" dxfId="0">
      <formula>AND(IF($Q97=3,1,IF($Q97=4,1,0)),IF($F97&lt;=85,1,0))</formula>
    </cfRule>
  </conditionalFormatting>
  <conditionalFormatting sqref="AV98">
    <cfRule type="expression" priority="261" dxfId="17">
      <formula>AV98="X"</formula>
    </cfRule>
    <cfRule type="expression" priority="262" dxfId="16">
      <formula>AV98="후보"</formula>
    </cfRule>
  </conditionalFormatting>
  <conditionalFormatting sqref="AC98 N9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99">
    <cfRule type="expression" priority="256" dxfId="17">
      <formula>AV99="X"</formula>
    </cfRule>
    <cfRule type="expression" priority="257" dxfId="16">
      <formula>AV99="후보"</formula>
    </cfRule>
  </conditionalFormatting>
  <conditionalFormatting sqref="AC9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9">
    <cfRule type="expression" priority="247" dxfId="3">
      <formula>AND(IF(OR($Q99=1,$Q99=2),1,0),IF($X99&lt;=20,1,0))</formula>
    </cfRule>
    <cfRule type="expression" priority="248" dxfId="2">
      <formula>AND(IF($Q99=2,1,0),IF($X99&lt;30,1,0))</formula>
    </cfRule>
    <cfRule type="expression" priority="249" dxfId="1">
      <formula>AND(IF($Q99=3,1,0),IF($X99&lt;30,1,0))</formula>
    </cfRule>
    <cfRule type="expression" priority="250" dxfId="0">
      <formula>AND(IF($Q99=3,1,IF($Q99=4,1,0)),IF($F99&lt;=85,1,0))</formula>
    </cfRule>
  </conditionalFormatting>
  <conditionalFormatting sqref="X99">
    <cfRule type="expression" priority="243" dxfId="3">
      <formula>AND(IF(OR($Q99=1,$Q99=2),1,0),IF($X99&lt;=20,1,0))</formula>
    </cfRule>
    <cfRule type="expression" priority="244" dxfId="2">
      <formula>AND(IF($Q99=2,1,0),IF($X99&lt;30,1,0))</formula>
    </cfRule>
    <cfRule type="expression" priority="245" dxfId="1">
      <formula>AND(IF($Q99=3,1,0),IF($X99&lt;30,1,0))</formula>
    </cfRule>
    <cfRule type="expression" priority="246" dxfId="0">
      <formula>AND(IF($Q99=3,1,IF($Q99=4,1,0)),IF($F99&lt;=85,1,0))</formula>
    </cfRule>
  </conditionalFormatting>
  <conditionalFormatting sqref="AI99">
    <cfRule type="expression" priority="239" dxfId="3">
      <formula>AND(IF(OR($Q99=1,$Q99=2),1,0),IF($X99&lt;=20,1,0))</formula>
    </cfRule>
    <cfRule type="expression" priority="240" dxfId="2">
      <formula>AND(IF($Q99=2,1,0),IF($X99&lt;30,1,0))</formula>
    </cfRule>
    <cfRule type="expression" priority="241" dxfId="1">
      <formula>AND(IF($Q99=3,1,0),IF($X99&lt;30,1,0))</formula>
    </cfRule>
    <cfRule type="expression" priority="242" dxfId="0">
      <formula>AND(IF($Q99=3,1,IF($Q99=4,1,0)),IF($F99&lt;=85,1,0))</formula>
    </cfRule>
  </conditionalFormatting>
  <conditionalFormatting sqref="AV100">
    <cfRule type="expression" priority="237" dxfId="17">
      <formula>AV100="X"</formula>
    </cfRule>
    <cfRule type="expression" priority="238" dxfId="16">
      <formula>AV100="후보"</formula>
    </cfRule>
  </conditionalFormatting>
  <conditionalFormatting sqref="AC10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0">
    <cfRule type="expression" priority="228" dxfId="3">
      <formula>AND(IF(OR($Q100=1,$Q100=2),1,0),IF($X100&lt;=20,1,0))</formula>
    </cfRule>
    <cfRule type="expression" priority="229" dxfId="2">
      <formula>AND(IF($Q100=2,1,0),IF($X100&lt;30,1,0))</formula>
    </cfRule>
    <cfRule type="expression" priority="230" dxfId="1">
      <formula>AND(IF($Q100=3,1,0),IF($X100&lt;30,1,0))</formula>
    </cfRule>
    <cfRule type="expression" priority="231" dxfId="0">
      <formula>AND(IF($Q100=3,1,IF($Q100=4,1,0)),IF($F100&lt;=85,1,0))</formula>
    </cfRule>
  </conditionalFormatting>
  <conditionalFormatting sqref="X100">
    <cfRule type="expression" priority="224" dxfId="3">
      <formula>AND(IF(OR($Q100=1,$Q100=2),1,0),IF($X100&lt;=20,1,0))</formula>
    </cfRule>
    <cfRule type="expression" priority="225" dxfId="2">
      <formula>AND(IF($Q100=2,1,0),IF($X100&lt;30,1,0))</formula>
    </cfRule>
    <cfRule type="expression" priority="226" dxfId="1">
      <formula>AND(IF($Q100=3,1,0),IF($X100&lt;30,1,0))</formula>
    </cfRule>
    <cfRule type="expression" priority="227" dxfId="0">
      <formula>AND(IF($Q100=3,1,IF($Q100=4,1,0)),IF($F100&lt;=85,1,0))</formula>
    </cfRule>
  </conditionalFormatting>
  <conditionalFormatting sqref="AI100">
    <cfRule type="expression" priority="220" dxfId="3">
      <formula>AND(IF(OR($Q100=1,$Q100=2),1,0),IF($X100&lt;=20,1,0))</formula>
    </cfRule>
    <cfRule type="expression" priority="221" dxfId="2">
      <formula>AND(IF($Q100=2,1,0),IF($X100&lt;30,1,0))</formula>
    </cfRule>
    <cfRule type="expression" priority="222" dxfId="1">
      <formula>AND(IF($Q100=3,1,0),IF($X100&lt;30,1,0))</formula>
    </cfRule>
    <cfRule type="expression" priority="223" dxfId="0">
      <formula>AND(IF($Q100=3,1,IF($Q100=4,1,0)),IF($F100&lt;=85,1,0))</formula>
    </cfRule>
  </conditionalFormatting>
  <conditionalFormatting sqref="AV101">
    <cfRule type="expression" priority="218" dxfId="17">
      <formula>AV101="X"</formula>
    </cfRule>
    <cfRule type="expression" priority="219" dxfId="16">
      <formula>AV101="후보"</formula>
    </cfRule>
  </conditionalFormatting>
  <conditionalFormatting sqref="AC10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1">
    <cfRule type="expression" priority="209" dxfId="3">
      <formula>AND(IF(OR($Q101=1,$Q101=2),1,0),IF($X101&lt;=20,1,0))</formula>
    </cfRule>
    <cfRule type="expression" priority="210" dxfId="2">
      <formula>AND(IF($Q101=2,1,0),IF($X101&lt;30,1,0))</formula>
    </cfRule>
    <cfRule type="expression" priority="211" dxfId="1">
      <formula>AND(IF($Q101=3,1,0),IF($X101&lt;30,1,0))</formula>
    </cfRule>
    <cfRule type="expression" priority="212" dxfId="0">
      <formula>AND(IF($Q101=3,1,IF($Q101=4,1,0)),IF($F101&lt;=85,1,0))</formula>
    </cfRule>
  </conditionalFormatting>
  <conditionalFormatting sqref="X101">
    <cfRule type="expression" priority="205" dxfId="3">
      <formula>AND(IF(OR($Q101=1,$Q101=2),1,0),IF($X101&lt;=20,1,0))</formula>
    </cfRule>
    <cfRule type="expression" priority="206" dxfId="2">
      <formula>AND(IF($Q101=2,1,0),IF($X101&lt;30,1,0))</formula>
    </cfRule>
    <cfRule type="expression" priority="207" dxfId="1">
      <formula>AND(IF($Q101=3,1,0),IF($X101&lt;30,1,0))</formula>
    </cfRule>
    <cfRule type="expression" priority="208" dxfId="0">
      <formula>AND(IF($Q101=3,1,IF($Q101=4,1,0)),IF($F101&lt;=85,1,0))</formula>
    </cfRule>
  </conditionalFormatting>
  <conditionalFormatting sqref="AI101">
    <cfRule type="expression" priority="201" dxfId="3">
      <formula>AND(IF(OR($Q101=1,$Q101=2),1,0),IF($X101&lt;=20,1,0))</formula>
    </cfRule>
    <cfRule type="expression" priority="202" dxfId="2">
      <formula>AND(IF($Q101=2,1,0),IF($X101&lt;30,1,0))</formula>
    </cfRule>
    <cfRule type="expression" priority="203" dxfId="1">
      <formula>AND(IF($Q101=3,1,0),IF($X101&lt;30,1,0))</formula>
    </cfRule>
    <cfRule type="expression" priority="204" dxfId="0">
      <formula>AND(IF($Q101=3,1,IF($Q101=4,1,0)),IF($F101&lt;=85,1,0))</formula>
    </cfRule>
  </conditionalFormatting>
  <conditionalFormatting sqref="AV102">
    <cfRule type="expression" priority="199" dxfId="17">
      <formula>AV102="X"</formula>
    </cfRule>
    <cfRule type="expression" priority="200" dxfId="16">
      <formula>AV102="후보"</formula>
    </cfRule>
  </conditionalFormatting>
  <conditionalFormatting sqref="AC10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2">
    <cfRule type="expression" priority="190" dxfId="3">
      <formula>AND(IF(OR($Q102=1,$Q102=2),1,0),IF($X102&lt;=20,1,0))</formula>
    </cfRule>
    <cfRule type="expression" priority="191" dxfId="2">
      <formula>AND(IF($Q102=2,1,0),IF($X102&lt;30,1,0))</formula>
    </cfRule>
    <cfRule type="expression" priority="192" dxfId="1">
      <formula>AND(IF($Q102=3,1,0),IF($X102&lt;30,1,0))</formula>
    </cfRule>
    <cfRule type="expression" priority="193" dxfId="0">
      <formula>AND(IF($Q102=3,1,IF($Q102=4,1,0)),IF($F102&lt;=85,1,0))</formula>
    </cfRule>
  </conditionalFormatting>
  <conditionalFormatting sqref="X102">
    <cfRule type="expression" priority="186" dxfId="3">
      <formula>AND(IF(OR($Q102=1,$Q102=2),1,0),IF($X102&lt;=20,1,0))</formula>
    </cfRule>
    <cfRule type="expression" priority="187" dxfId="2">
      <formula>AND(IF($Q102=2,1,0),IF($X102&lt;30,1,0))</formula>
    </cfRule>
    <cfRule type="expression" priority="188" dxfId="1">
      <formula>AND(IF($Q102=3,1,0),IF($X102&lt;30,1,0))</formula>
    </cfRule>
    <cfRule type="expression" priority="189" dxfId="0">
      <formula>AND(IF($Q102=3,1,IF($Q102=4,1,0)),IF($F102&lt;=85,1,0))</formula>
    </cfRule>
  </conditionalFormatting>
  <conditionalFormatting sqref="AI102">
    <cfRule type="expression" priority="182" dxfId="3">
      <formula>AND(IF(OR($Q102=1,$Q102=2),1,0),IF($X102&lt;=20,1,0))</formula>
    </cfRule>
    <cfRule type="expression" priority="183" dxfId="2">
      <formula>AND(IF($Q102=2,1,0),IF($X102&lt;30,1,0))</formula>
    </cfRule>
    <cfRule type="expression" priority="184" dxfId="1">
      <formula>AND(IF($Q102=3,1,0),IF($X102&lt;30,1,0))</formula>
    </cfRule>
    <cfRule type="expression" priority="185" dxfId="0">
      <formula>AND(IF($Q102=3,1,IF($Q102=4,1,0)),IF($F102&lt;=85,1,0))</formula>
    </cfRule>
  </conditionalFormatting>
  <conditionalFormatting sqref="AV103">
    <cfRule type="expression" priority="180" dxfId="17">
      <formula>AV103="X"</formula>
    </cfRule>
    <cfRule type="expression" priority="181" dxfId="16">
      <formula>AV103="후보"</formula>
    </cfRule>
  </conditionalFormatting>
  <conditionalFormatting sqref="AC10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3">
    <cfRule type="expression" priority="171" dxfId="3">
      <formula>AND(IF(OR($Q103=1,$Q103=2),1,0),IF($X103&lt;=20,1,0))</formula>
    </cfRule>
    <cfRule type="expression" priority="172" dxfId="2">
      <formula>AND(IF($Q103=2,1,0),IF($X103&lt;30,1,0))</formula>
    </cfRule>
    <cfRule type="expression" priority="173" dxfId="1">
      <formula>AND(IF($Q103=3,1,0),IF($X103&lt;30,1,0))</formula>
    </cfRule>
    <cfRule type="expression" priority="174" dxfId="0">
      <formula>AND(IF($Q103=3,1,IF($Q103=4,1,0)),IF($F103&lt;=85,1,0))</formula>
    </cfRule>
  </conditionalFormatting>
  <conditionalFormatting sqref="X103">
    <cfRule type="expression" priority="167" dxfId="3">
      <formula>AND(IF(OR($Q103=1,$Q103=2),1,0),IF($X103&lt;=20,1,0))</formula>
    </cfRule>
    <cfRule type="expression" priority="168" dxfId="2">
      <formula>AND(IF($Q103=2,1,0),IF($X103&lt;30,1,0))</formula>
    </cfRule>
    <cfRule type="expression" priority="169" dxfId="1">
      <formula>AND(IF($Q103=3,1,0),IF($X103&lt;30,1,0))</formula>
    </cfRule>
    <cfRule type="expression" priority="170" dxfId="0">
      <formula>AND(IF($Q103=3,1,IF($Q103=4,1,0)),IF($F103&lt;=85,1,0))</formula>
    </cfRule>
  </conditionalFormatting>
  <conditionalFormatting sqref="AI103">
    <cfRule type="expression" priority="163" dxfId="3">
      <formula>AND(IF(OR($Q103=1,$Q103=2),1,0),IF($X103&lt;=20,1,0))</formula>
    </cfRule>
    <cfRule type="expression" priority="164" dxfId="2">
      <formula>AND(IF($Q103=2,1,0),IF($X103&lt;30,1,0))</formula>
    </cfRule>
    <cfRule type="expression" priority="165" dxfId="1">
      <formula>AND(IF($Q103=3,1,0),IF($X103&lt;30,1,0))</formula>
    </cfRule>
    <cfRule type="expression" priority="166" dxfId="0">
      <formula>AND(IF($Q103=3,1,IF($Q103=4,1,0)),IF($F103&lt;=85,1,0))</formula>
    </cfRule>
  </conditionalFormatting>
  <conditionalFormatting sqref="AV104">
    <cfRule type="expression" priority="161" dxfId="17">
      <formula>AV104="X"</formula>
    </cfRule>
    <cfRule type="expression" priority="162" dxfId="16">
      <formula>AV104="후보"</formula>
    </cfRule>
  </conditionalFormatting>
  <conditionalFormatting sqref="AC10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4">
    <cfRule type="expression" priority="152" dxfId="3">
      <formula>AND(IF(OR($Q104=1,$Q104=2),1,0),IF($X104&lt;=20,1,0))</formula>
    </cfRule>
    <cfRule type="expression" priority="153" dxfId="2">
      <formula>AND(IF($Q104=2,1,0),IF($X104&lt;30,1,0))</formula>
    </cfRule>
    <cfRule type="expression" priority="154" dxfId="1">
      <formula>AND(IF($Q104=3,1,0),IF($X104&lt;30,1,0))</formula>
    </cfRule>
    <cfRule type="expression" priority="155" dxfId="0">
      <formula>AND(IF($Q104=3,1,IF($Q104=4,1,0)),IF($F104&lt;=85,1,0))</formula>
    </cfRule>
  </conditionalFormatting>
  <conditionalFormatting sqref="X104">
    <cfRule type="expression" priority="148" dxfId="3">
      <formula>AND(IF(OR($Q104=1,$Q104=2),1,0),IF($X104&lt;=20,1,0))</formula>
    </cfRule>
    <cfRule type="expression" priority="149" dxfId="2">
      <formula>AND(IF($Q104=2,1,0),IF($X104&lt;30,1,0))</formula>
    </cfRule>
    <cfRule type="expression" priority="150" dxfId="1">
      <formula>AND(IF($Q104=3,1,0),IF($X104&lt;30,1,0))</formula>
    </cfRule>
    <cfRule type="expression" priority="151" dxfId="0">
      <formula>AND(IF($Q104=3,1,IF($Q104=4,1,0)),IF($F104&lt;=85,1,0))</formula>
    </cfRule>
  </conditionalFormatting>
  <conditionalFormatting sqref="AI104">
    <cfRule type="expression" priority="144" dxfId="3">
      <formula>AND(IF(OR($Q104=1,$Q104=2),1,0),IF($X104&lt;=20,1,0))</formula>
    </cfRule>
    <cfRule type="expression" priority="145" dxfId="2">
      <formula>AND(IF($Q104=2,1,0),IF($X104&lt;30,1,0))</formula>
    </cfRule>
    <cfRule type="expression" priority="146" dxfId="1">
      <formula>AND(IF($Q104=3,1,0),IF($X104&lt;30,1,0))</formula>
    </cfRule>
    <cfRule type="expression" priority="147" dxfId="0">
      <formula>AND(IF($Q104=3,1,IF($Q104=4,1,0)),IF($F104&lt;=85,1,0))</formula>
    </cfRule>
  </conditionalFormatting>
  <conditionalFormatting sqref="AV105">
    <cfRule type="expression" priority="142" dxfId="17">
      <formula>AV105="X"</formula>
    </cfRule>
    <cfRule type="expression" priority="143" dxfId="16">
      <formula>AV105="후보"</formula>
    </cfRule>
  </conditionalFormatting>
  <conditionalFormatting sqref="AC105 N10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06">
    <cfRule type="expression" priority="137" dxfId="17">
      <formula>AV106="X"</formula>
    </cfRule>
    <cfRule type="expression" priority="138" dxfId="16">
      <formula>AV106="후보"</formula>
    </cfRule>
  </conditionalFormatting>
  <conditionalFormatting sqref="AC10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6">
    <cfRule type="expression" priority="128" dxfId="3">
      <formula>AND(IF(OR($Q106=1,$Q106=2),1,0),IF($X106&lt;=20,1,0))</formula>
    </cfRule>
    <cfRule type="expression" priority="129" dxfId="2">
      <formula>AND(IF($Q106=2,1,0),IF($X106&lt;30,1,0))</formula>
    </cfRule>
    <cfRule type="expression" priority="130" dxfId="1">
      <formula>AND(IF($Q106=3,1,0),IF($X106&lt;30,1,0))</formula>
    </cfRule>
    <cfRule type="expression" priority="131" dxfId="0">
      <formula>AND(IF($Q106=3,1,IF($Q106=4,1,0)),IF($F106&lt;=85,1,0))</formula>
    </cfRule>
  </conditionalFormatting>
  <conditionalFormatting sqref="X106">
    <cfRule type="expression" priority="124" dxfId="3">
      <formula>AND(IF(OR($Q106=1,$Q106=2),1,0),IF($X106&lt;=20,1,0))</formula>
    </cfRule>
    <cfRule type="expression" priority="125" dxfId="2">
      <formula>AND(IF($Q106=2,1,0),IF($X106&lt;30,1,0))</formula>
    </cfRule>
    <cfRule type="expression" priority="126" dxfId="1">
      <formula>AND(IF($Q106=3,1,0),IF($X106&lt;30,1,0))</formula>
    </cfRule>
    <cfRule type="expression" priority="127" dxfId="0">
      <formula>AND(IF($Q106=3,1,IF($Q106=4,1,0)),IF($F106&lt;=85,1,0))</formula>
    </cfRule>
  </conditionalFormatting>
  <conditionalFormatting sqref="AI106">
    <cfRule type="expression" priority="120" dxfId="3">
      <formula>AND(IF(OR($Q106=1,$Q106=2),1,0),IF($X106&lt;=20,1,0))</formula>
    </cfRule>
    <cfRule type="expression" priority="121" dxfId="2">
      <formula>AND(IF($Q106=2,1,0),IF($X106&lt;30,1,0))</formula>
    </cfRule>
    <cfRule type="expression" priority="122" dxfId="1">
      <formula>AND(IF($Q106=3,1,0),IF($X106&lt;30,1,0))</formula>
    </cfRule>
    <cfRule type="expression" priority="123" dxfId="0">
      <formula>AND(IF($Q106=3,1,IF($Q106=4,1,0)),IF($F106&lt;=85,1,0))</formula>
    </cfRule>
  </conditionalFormatting>
  <conditionalFormatting sqref="AV107">
    <cfRule type="expression" priority="118" dxfId="17">
      <formula>AV107="X"</formula>
    </cfRule>
    <cfRule type="expression" priority="119" dxfId="16">
      <formula>AV107="후보"</formula>
    </cfRule>
  </conditionalFormatting>
  <conditionalFormatting sqref="AC10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7">
    <cfRule type="expression" priority="109" dxfId="3">
      <formula>AND(IF(OR($Q107=1,$Q107=2),1,0),IF($X107&lt;=20,1,0))</formula>
    </cfRule>
    <cfRule type="expression" priority="110" dxfId="2">
      <formula>AND(IF($Q107=2,1,0),IF($X107&lt;30,1,0))</formula>
    </cfRule>
    <cfRule type="expression" priority="111" dxfId="1">
      <formula>AND(IF($Q107=3,1,0),IF($X107&lt;30,1,0))</formula>
    </cfRule>
    <cfRule type="expression" priority="112" dxfId="0">
      <formula>AND(IF($Q107=3,1,IF($Q107=4,1,0)),IF($F107&lt;=85,1,0))</formula>
    </cfRule>
  </conditionalFormatting>
  <conditionalFormatting sqref="X107">
    <cfRule type="expression" priority="105" dxfId="3">
      <formula>AND(IF(OR($Q107=1,$Q107=2),1,0),IF($X107&lt;=20,1,0))</formula>
    </cfRule>
    <cfRule type="expression" priority="106" dxfId="2">
      <formula>AND(IF($Q107=2,1,0),IF($X107&lt;30,1,0))</formula>
    </cfRule>
    <cfRule type="expression" priority="107" dxfId="1">
      <formula>AND(IF($Q107=3,1,0),IF($X107&lt;30,1,0))</formula>
    </cfRule>
    <cfRule type="expression" priority="108" dxfId="0">
      <formula>AND(IF($Q107=3,1,IF($Q107=4,1,0)),IF($F107&lt;=85,1,0))</formula>
    </cfRule>
  </conditionalFormatting>
  <conditionalFormatting sqref="AI107">
    <cfRule type="expression" priority="101" dxfId="3">
      <formula>AND(IF(OR($Q107=1,$Q107=2),1,0),IF($X107&lt;=20,1,0))</formula>
    </cfRule>
    <cfRule type="expression" priority="102" dxfId="2">
      <formula>AND(IF($Q107=2,1,0),IF($X107&lt;30,1,0))</formula>
    </cfRule>
    <cfRule type="expression" priority="103" dxfId="1">
      <formula>AND(IF($Q107=3,1,0),IF($X107&lt;30,1,0))</formula>
    </cfRule>
    <cfRule type="expression" priority="104" dxfId="0">
      <formula>AND(IF($Q107=3,1,IF($Q107=4,1,0)),IF($F107&lt;=85,1,0))</formula>
    </cfRule>
  </conditionalFormatting>
  <conditionalFormatting sqref="AV108">
    <cfRule type="expression" priority="99" dxfId="17">
      <formula>AV108="X"</formula>
    </cfRule>
    <cfRule type="expression" priority="100" dxfId="16">
      <formula>AV108="후보"</formula>
    </cfRule>
  </conditionalFormatting>
  <conditionalFormatting sqref="AC10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8">
    <cfRule type="expression" priority="90" dxfId="3">
      <formula>AND(IF(OR($Q108=1,$Q108=2),1,0),IF($X108&lt;=20,1,0))</formula>
    </cfRule>
    <cfRule type="expression" priority="91" dxfId="2">
      <formula>AND(IF($Q108=2,1,0),IF($X108&lt;30,1,0))</formula>
    </cfRule>
    <cfRule type="expression" priority="92" dxfId="1">
      <formula>AND(IF($Q108=3,1,0),IF($X108&lt;30,1,0))</formula>
    </cfRule>
    <cfRule type="expression" priority="93" dxfId="0">
      <formula>AND(IF($Q108=3,1,IF($Q108=4,1,0)),IF($F108&lt;=85,1,0))</formula>
    </cfRule>
  </conditionalFormatting>
  <conditionalFormatting sqref="X108">
    <cfRule type="expression" priority="86" dxfId="3">
      <formula>AND(IF(OR($Q108=1,$Q108=2),1,0),IF($X108&lt;=20,1,0))</formula>
    </cfRule>
    <cfRule type="expression" priority="87" dxfId="2">
      <formula>AND(IF($Q108=2,1,0),IF($X108&lt;30,1,0))</formula>
    </cfRule>
    <cfRule type="expression" priority="88" dxfId="1">
      <formula>AND(IF($Q108=3,1,0),IF($X108&lt;30,1,0))</formula>
    </cfRule>
    <cfRule type="expression" priority="89" dxfId="0">
      <formula>AND(IF($Q108=3,1,IF($Q108=4,1,0)),IF($F108&lt;=85,1,0))</formula>
    </cfRule>
  </conditionalFormatting>
  <conditionalFormatting sqref="AI108">
    <cfRule type="expression" priority="82" dxfId="3">
      <formula>AND(IF(OR($Q108=1,$Q108=2),1,0),IF($X108&lt;=20,1,0))</formula>
    </cfRule>
    <cfRule type="expression" priority="83" dxfId="2">
      <formula>AND(IF($Q108=2,1,0),IF($X108&lt;30,1,0))</formula>
    </cfRule>
    <cfRule type="expression" priority="84" dxfId="1">
      <formula>AND(IF($Q108=3,1,0),IF($X108&lt;30,1,0))</formula>
    </cfRule>
    <cfRule type="expression" priority="85" dxfId="0">
      <formula>AND(IF($Q108=3,1,IF($Q108=4,1,0)),IF($F108&lt;=85,1,0))</formula>
    </cfRule>
  </conditionalFormatting>
  <conditionalFormatting sqref="AV109">
    <cfRule type="expression" priority="80" dxfId="17">
      <formula>AV109="X"</formula>
    </cfRule>
    <cfRule type="expression" priority="81" dxfId="16">
      <formula>AV109="후보"</formula>
    </cfRule>
  </conditionalFormatting>
  <conditionalFormatting sqref="AC10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9">
    <cfRule type="expression" priority="71" dxfId="3">
      <formula>AND(IF(OR($Q109=1,$Q109=2),1,0),IF($X109&lt;=20,1,0))</formula>
    </cfRule>
    <cfRule type="expression" priority="72" dxfId="2">
      <formula>AND(IF($Q109=2,1,0),IF($X109&lt;30,1,0))</formula>
    </cfRule>
    <cfRule type="expression" priority="73" dxfId="1">
      <formula>AND(IF($Q109=3,1,0),IF($X109&lt;30,1,0))</formula>
    </cfRule>
    <cfRule type="expression" priority="74" dxfId="0">
      <formula>AND(IF($Q109=3,1,IF($Q109=4,1,0)),IF($F109&lt;=85,1,0))</formula>
    </cfRule>
  </conditionalFormatting>
  <conditionalFormatting sqref="X109">
    <cfRule type="expression" priority="67" dxfId="3">
      <formula>AND(IF(OR($Q109=1,$Q109=2),1,0),IF($X109&lt;=20,1,0))</formula>
    </cfRule>
    <cfRule type="expression" priority="68" dxfId="2">
      <formula>AND(IF($Q109=2,1,0),IF($X109&lt;30,1,0))</formula>
    </cfRule>
    <cfRule type="expression" priority="69" dxfId="1">
      <formula>AND(IF($Q109=3,1,0),IF($X109&lt;30,1,0))</formula>
    </cfRule>
    <cfRule type="expression" priority="70" dxfId="0">
      <formula>AND(IF($Q109=3,1,IF($Q109=4,1,0)),IF($F109&lt;=85,1,0))</formula>
    </cfRule>
  </conditionalFormatting>
  <conditionalFormatting sqref="AI109">
    <cfRule type="expression" priority="63" dxfId="3">
      <formula>AND(IF(OR($Q109=1,$Q109=2),1,0),IF($X109&lt;=20,1,0))</formula>
    </cfRule>
    <cfRule type="expression" priority="64" dxfId="2">
      <formula>AND(IF($Q109=2,1,0),IF($X109&lt;30,1,0))</formula>
    </cfRule>
    <cfRule type="expression" priority="65" dxfId="1">
      <formula>AND(IF($Q109=3,1,0),IF($X109&lt;30,1,0))</formula>
    </cfRule>
    <cfRule type="expression" priority="66" dxfId="0">
      <formula>AND(IF($Q109=3,1,IF($Q109=4,1,0)),IF($F109&lt;=85,1,0))</formula>
    </cfRule>
  </conditionalFormatting>
  <conditionalFormatting sqref="AV110">
    <cfRule type="expression" priority="61" dxfId="17">
      <formula>AV110="X"</formula>
    </cfRule>
    <cfRule type="expression" priority="62" dxfId="16">
      <formula>AV110="후보"</formula>
    </cfRule>
  </conditionalFormatting>
  <conditionalFormatting sqref="AC110 N1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1">
    <cfRule type="expression" priority="56" dxfId="17">
      <formula>AV111="X"</formula>
    </cfRule>
    <cfRule type="expression" priority="57" dxfId="16">
      <formula>AV111="후보"</formula>
    </cfRule>
  </conditionalFormatting>
  <conditionalFormatting sqref="AC1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1">
    <cfRule type="expression" priority="47" dxfId="3">
      <formula>AND(IF(OR($Q111=1,$Q111=2),1,0),IF($X111&lt;=20,1,0))</formula>
    </cfRule>
    <cfRule type="expression" priority="48" dxfId="2">
      <formula>AND(IF($Q111=2,1,0),IF($X111&lt;30,1,0))</formula>
    </cfRule>
    <cfRule type="expression" priority="49" dxfId="1">
      <formula>AND(IF($Q111=3,1,0),IF($X111&lt;30,1,0))</formula>
    </cfRule>
    <cfRule type="expression" priority="50" dxfId="0">
      <formula>AND(IF($Q111=3,1,IF($Q111=4,1,0)),IF($F111&lt;=85,1,0))</formula>
    </cfRule>
  </conditionalFormatting>
  <conditionalFormatting sqref="X111">
    <cfRule type="expression" priority="43" dxfId="3">
      <formula>AND(IF(OR($Q111=1,$Q111=2),1,0),IF($X111&lt;=20,1,0))</formula>
    </cfRule>
    <cfRule type="expression" priority="44" dxfId="2">
      <formula>AND(IF($Q111=2,1,0),IF($X111&lt;30,1,0))</formula>
    </cfRule>
    <cfRule type="expression" priority="45" dxfId="1">
      <formula>AND(IF($Q111=3,1,0),IF($X111&lt;30,1,0))</formula>
    </cfRule>
    <cfRule type="expression" priority="46" dxfId="0">
      <formula>AND(IF($Q111=3,1,IF($Q111=4,1,0)),IF($F111&lt;=85,1,0))</formula>
    </cfRule>
  </conditionalFormatting>
  <conditionalFormatting sqref="AI111">
    <cfRule type="expression" priority="39" dxfId="3">
      <formula>AND(IF(OR($Q111=1,$Q111=2),1,0),IF($X111&lt;=20,1,0))</formula>
    </cfRule>
    <cfRule type="expression" priority="40" dxfId="2">
      <formula>AND(IF($Q111=2,1,0),IF($X111&lt;30,1,0))</formula>
    </cfRule>
    <cfRule type="expression" priority="41" dxfId="1">
      <formula>AND(IF($Q111=3,1,0),IF($X111&lt;30,1,0))</formula>
    </cfRule>
    <cfRule type="expression" priority="42" dxfId="0">
      <formula>AND(IF($Q111=3,1,IF($Q111=4,1,0)),IF($F111&lt;=85,1,0))</formula>
    </cfRule>
  </conditionalFormatting>
  <conditionalFormatting sqref="AV112">
    <cfRule type="expression" priority="37" dxfId="17">
      <formula>AV112="X"</formula>
    </cfRule>
    <cfRule type="expression" priority="38" dxfId="16">
      <formula>AV112="후보"</formula>
    </cfRule>
  </conditionalFormatting>
  <conditionalFormatting sqref="AC1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2">
    <cfRule type="expression" priority="28" dxfId="3">
      <formula>AND(IF(OR($Q112=1,$Q112=2),1,0),IF($X112&lt;=20,1,0))</formula>
    </cfRule>
    <cfRule type="expression" priority="29" dxfId="2">
      <formula>AND(IF($Q112=2,1,0),IF($X112&lt;30,1,0))</formula>
    </cfRule>
    <cfRule type="expression" priority="30" dxfId="1">
      <formula>AND(IF($Q112=3,1,0),IF($X112&lt;30,1,0))</formula>
    </cfRule>
    <cfRule type="expression" priority="31" dxfId="0">
      <formula>AND(IF($Q112=3,1,IF($Q112=4,1,0)),IF($F112&lt;=85,1,0))</formula>
    </cfRule>
  </conditionalFormatting>
  <conditionalFormatting sqref="X112">
    <cfRule type="expression" priority="24" dxfId="3">
      <formula>AND(IF(OR($Q112=1,$Q112=2),1,0),IF($X112&lt;=20,1,0))</formula>
    </cfRule>
    <cfRule type="expression" priority="25" dxfId="2">
      <formula>AND(IF($Q112=2,1,0),IF($X112&lt;30,1,0))</formula>
    </cfRule>
    <cfRule type="expression" priority="26" dxfId="1">
      <formula>AND(IF($Q112=3,1,0),IF($X112&lt;30,1,0))</formula>
    </cfRule>
    <cfRule type="expression" priority="27" dxfId="0">
      <formula>AND(IF($Q112=3,1,IF($Q112=4,1,0)),IF($F112&lt;=85,1,0))</formula>
    </cfRule>
  </conditionalFormatting>
  <conditionalFormatting sqref="AI112">
    <cfRule type="expression" priority="20" dxfId="3">
      <formula>AND(IF(OR($Q112=1,$Q112=2),1,0),IF($X112&lt;=20,1,0))</formula>
    </cfRule>
    <cfRule type="expression" priority="21" dxfId="2">
      <formula>AND(IF($Q112=2,1,0),IF($X112&lt;30,1,0))</formula>
    </cfRule>
    <cfRule type="expression" priority="22" dxfId="1">
      <formula>AND(IF($Q112=3,1,0),IF($X112&lt;30,1,0))</formula>
    </cfRule>
    <cfRule type="expression" priority="23" dxfId="0">
      <formula>AND(IF($Q112=3,1,IF($Q112=4,1,0)),IF($F112&lt;=85,1,0))</formula>
    </cfRule>
  </conditionalFormatting>
  <conditionalFormatting sqref="AV113">
    <cfRule type="expression" priority="18" dxfId="17">
      <formula>AV113="X"</formula>
    </cfRule>
    <cfRule type="expression" priority="19" dxfId="16">
      <formula>AV113="후보"</formula>
    </cfRule>
  </conditionalFormatting>
  <conditionalFormatting sqref="AC1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3">
    <cfRule type="expression" priority="9" dxfId="3">
      <formula>AND(IF(OR($Q113=1,$Q113=2),1,0),IF($X113&lt;=20,1,0))</formula>
    </cfRule>
    <cfRule type="expression" priority="10" dxfId="2">
      <formula>AND(IF($Q113=2,1,0),IF($X113&lt;30,1,0))</formula>
    </cfRule>
    <cfRule type="expression" priority="11" dxfId="1">
      <formula>AND(IF($Q113=3,1,0),IF($X113&lt;30,1,0))</formula>
    </cfRule>
    <cfRule type="expression" priority="12" dxfId="0">
      <formula>AND(IF($Q113=3,1,IF($Q113=4,1,0)),IF($F113&lt;=85,1,0))</formula>
    </cfRule>
  </conditionalFormatting>
  <conditionalFormatting sqref="X113">
    <cfRule type="expression" priority="5" dxfId="3">
      <formula>AND(IF(OR($Q113=1,$Q113=2),1,0),IF($X113&lt;=20,1,0))</formula>
    </cfRule>
    <cfRule type="expression" priority="6" dxfId="2">
      <formula>AND(IF($Q113=2,1,0),IF($X113&lt;30,1,0))</formula>
    </cfRule>
    <cfRule type="expression" priority="7" dxfId="1">
      <formula>AND(IF($Q113=3,1,0),IF($X113&lt;30,1,0))</formula>
    </cfRule>
    <cfRule type="expression" priority="8" dxfId="0">
      <formula>AND(IF($Q113=3,1,IF($Q113=4,1,0)),IF($F113&lt;=85,1,0))</formula>
    </cfRule>
  </conditionalFormatting>
  <conditionalFormatting sqref="AI113">
    <cfRule type="expression" priority="1" dxfId="3">
      <formula>AND(IF(OR($Q113=1,$Q113=2),1,0),IF($X113&lt;=20,1,0))</formula>
    </cfRule>
    <cfRule type="expression" priority="2" dxfId="2">
      <formula>AND(IF($Q113=2,1,0),IF($X113&lt;30,1,0))</formula>
    </cfRule>
    <cfRule type="expression" priority="3" dxfId="1">
      <formula>AND(IF($Q113=3,1,0),IF($X113&lt;30,1,0))</formula>
    </cfRule>
    <cfRule type="expression" priority="4" dxfId="0">
      <formula>AND(IF($Q113=3,1,IF($Q113=4,1,0)),IF($F113&lt;=85,1,0))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선동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리버나인</t>
        </is>
      </c>
      <c r="B6" s="16" t="inlineStr">
        <is>
          <t>'14.07.</t>
        </is>
      </c>
      <c r="C6" s="164" t="n">
        <v>712</v>
      </c>
      <c r="D6" s="161" t="n">
        <v>99.90000000000001</v>
      </c>
      <c r="E6" s="163" t="n">
        <v>30</v>
      </c>
      <c r="F6" s="161" t="n">
        <v>75</v>
      </c>
      <c r="G6" s="27" t="n">
        <v>23</v>
      </c>
      <c r="H6" s="164" t="n">
        <v>132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99B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리버나인</t>
        </is>
      </c>
      <c r="B7" s="16" t="inlineStr">
        <is>
          <t>'14.07.</t>
        </is>
      </c>
      <c r="C7" s="164" t="n">
        <v>712</v>
      </c>
      <c r="D7" s="161" t="n">
        <v>99.90000000000001</v>
      </c>
      <c r="E7" s="163" t="n">
        <v>30</v>
      </c>
      <c r="F7" s="161" t="n">
        <v>75</v>
      </c>
      <c r="G7" s="27" t="n">
        <v>23</v>
      </c>
      <c r="H7" s="164" t="n">
        <v>64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99A1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리버나인</t>
        </is>
      </c>
      <c r="B8" s="16" t="inlineStr">
        <is>
          <t>'14.07.</t>
        </is>
      </c>
      <c r="C8" s="164" t="n">
        <v>712</v>
      </c>
      <c r="D8" s="161" t="n">
        <v>99.90000000000001</v>
      </c>
      <c r="E8" s="163" t="n">
        <v>30</v>
      </c>
      <c r="F8" s="161" t="n">
        <v>75</v>
      </c>
      <c r="G8" s="27" t="n">
        <v>23</v>
      </c>
      <c r="H8" s="164" t="n">
        <v>18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99A2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리버나인</t>
        </is>
      </c>
      <c r="B9" s="16" t="inlineStr">
        <is>
          <t>'14.07.</t>
        </is>
      </c>
      <c r="C9" s="164" t="n">
        <v>712</v>
      </c>
      <c r="D9" s="161" t="n">
        <v>99.90000000000001</v>
      </c>
      <c r="E9" s="163" t="n">
        <v>30</v>
      </c>
      <c r="F9" s="161" t="n">
        <v>75</v>
      </c>
      <c r="G9" s="27" t="n">
        <v>23</v>
      </c>
      <c r="H9" s="164" t="n">
        <v>15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99BN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리버나인</t>
        </is>
      </c>
      <c r="B10" s="16" t="inlineStr">
        <is>
          <t>'14.07.</t>
        </is>
      </c>
      <c r="C10" s="164" t="n">
        <v>712</v>
      </c>
      <c r="D10" s="161" t="n">
        <v>113.2</v>
      </c>
      <c r="E10" s="163" t="n">
        <v>34</v>
      </c>
      <c r="F10" s="161" t="n">
        <v>85</v>
      </c>
      <c r="G10" s="27" t="n">
        <v>26</v>
      </c>
      <c r="H10" s="164" t="n">
        <v>238</v>
      </c>
      <c r="I10" s="165" t="n">
        <v>103000</v>
      </c>
      <c r="J10" s="165" t="inlineStr">
        <is>
          <t>고</t>
        </is>
      </c>
      <c r="K10" s="165" t="n">
        <v>68000</v>
      </c>
      <c r="L10" s="165" t="inlineStr">
        <is>
          <t>21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리버나인</t>
        </is>
      </c>
      <c r="B11" s="16" t="inlineStr">
        <is>
          <t>'14.07.</t>
        </is>
      </c>
      <c r="C11" s="164" t="n">
        <v>712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>
        <v>100000</v>
      </c>
      <c r="J11" s="165" t="inlineStr">
        <is>
          <t>중</t>
        </is>
      </c>
      <c r="K11" s="165" t="n">
        <v>68000</v>
      </c>
      <c r="L11" s="165" t="inlineStr">
        <is>
          <t>고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리버나인</t>
        </is>
      </c>
      <c r="B12" s="16" t="inlineStr">
        <is>
          <t>'14.07.</t>
        </is>
      </c>
      <c r="C12" s="164" t="n">
        <v>712</v>
      </c>
      <c r="D12" s="161" t="n">
        <v>113.1</v>
      </c>
      <c r="E12" s="163" t="n">
        <v>34</v>
      </c>
      <c r="F12" s="161" t="n">
        <v>84.90000000000001</v>
      </c>
      <c r="G12" s="27" t="n">
        <v>26</v>
      </c>
      <c r="H12" s="164" t="n">
        <v>49</v>
      </c>
      <c r="I12" s="165" t="n">
        <v>100000</v>
      </c>
      <c r="J12" s="165" t="inlineStr">
        <is>
          <t>중</t>
        </is>
      </c>
      <c r="K12" s="165" t="n">
        <v>68000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리버나인</t>
        </is>
      </c>
      <c r="B13" s="16" t="inlineStr">
        <is>
          <t>'14.07.</t>
        </is>
      </c>
      <c r="C13" s="164" t="n">
        <v>712</v>
      </c>
      <c r="D13" s="161" t="n">
        <v>113.2</v>
      </c>
      <c r="E13" s="163" t="n">
        <v>34</v>
      </c>
      <c r="F13" s="161" t="n">
        <v>85</v>
      </c>
      <c r="G13" s="27" t="n">
        <v>26</v>
      </c>
      <c r="H13" s="164" t="n">
        <v>28</v>
      </c>
      <c r="I13" s="165" t="n">
        <v>103000</v>
      </c>
      <c r="J13" s="165" t="inlineStr">
        <is>
          <t>고</t>
        </is>
      </c>
      <c r="K13" s="165" t="n">
        <v>68000</v>
      </c>
      <c r="L13" s="165" t="inlineStr">
        <is>
          <t>21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113BN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미사강변리버뷰자이</t>
        </is>
      </c>
      <c r="B15" s="16" t="inlineStr">
        <is>
          <t>'17.08.</t>
        </is>
      </c>
      <c r="C15" s="164" t="n">
        <v>555</v>
      </c>
      <c r="D15" s="161" t="n">
        <v>118.6</v>
      </c>
      <c r="E15" s="163" t="n">
        <v>36</v>
      </c>
      <c r="F15" s="161" t="n">
        <v>91.59999999999999</v>
      </c>
      <c r="G15" s="27" t="n">
        <v>28</v>
      </c>
      <c r="H15" s="164" t="n">
        <v>139</v>
      </c>
      <c r="I15" s="165" t="n">
        <v>125000</v>
      </c>
      <c r="J15" s="165" t="inlineStr">
        <is>
          <t>중</t>
        </is>
      </c>
      <c r="K15" s="165" t="n">
        <v>70000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미사강변리버뷰자이</t>
        </is>
      </c>
      <c r="B16" s="16" t="inlineStr">
        <is>
          <t>'17.08.</t>
        </is>
      </c>
      <c r="C16" s="164" t="n">
        <v>555</v>
      </c>
      <c r="D16" s="161" t="n">
        <v>125.4</v>
      </c>
      <c r="E16" s="163" t="n">
        <v>38</v>
      </c>
      <c r="F16" s="161" t="n">
        <v>98.59999999999999</v>
      </c>
      <c r="G16" s="27" t="n">
        <v>30</v>
      </c>
      <c r="H16" s="164" t="n">
        <v>131</v>
      </c>
      <c r="I16" s="165" t="n">
        <v>127000</v>
      </c>
      <c r="J16" s="165" t="inlineStr">
        <is>
          <t>10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125A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미사강변리버뷰자이</t>
        </is>
      </c>
      <c r="B17" s="16" t="inlineStr">
        <is>
          <t>'17.08.</t>
        </is>
      </c>
      <c r="C17" s="164" t="n">
        <v>555</v>
      </c>
      <c r="D17" s="161" t="n">
        <v>125.6</v>
      </c>
      <c r="E17" s="163" t="n">
        <v>38</v>
      </c>
      <c r="F17" s="161" t="n">
        <v>98.5</v>
      </c>
      <c r="G17" s="27" t="n">
        <v>30</v>
      </c>
      <c r="H17" s="164" t="n">
        <v>56</v>
      </c>
      <c r="I17" s="165" t="n">
        <v>135000</v>
      </c>
      <c r="J17" s="165" t="inlineStr">
        <is>
          <t>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125B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미사강변리버뷰자이</t>
        </is>
      </c>
      <c r="B18" s="16" t="inlineStr">
        <is>
          <t>'17.08.</t>
        </is>
      </c>
      <c r="C18" s="164" t="n">
        <v>555</v>
      </c>
      <c r="D18" s="161" t="n">
        <v>125.5</v>
      </c>
      <c r="E18" s="163" t="n">
        <v>38</v>
      </c>
      <c r="F18" s="161" t="n">
        <v>98</v>
      </c>
      <c r="G18" s="27" t="n">
        <v>30</v>
      </c>
      <c r="H18" s="164" t="n">
        <v>52</v>
      </c>
      <c r="I18" s="165" t="n">
        <v>125000</v>
      </c>
      <c r="J18" s="165" t="inlineStr">
        <is>
          <t>25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125C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미사강변리버뷰자이</t>
        </is>
      </c>
      <c r="B19" s="16" t="inlineStr">
        <is>
          <t>'17.08.</t>
        </is>
      </c>
      <c r="C19" s="164" t="n">
        <v>555</v>
      </c>
      <c r="D19" s="161" t="n">
        <v>131.2</v>
      </c>
      <c r="E19" s="163" t="n">
        <v>40</v>
      </c>
      <c r="F19" s="161" t="n">
        <v>102.8</v>
      </c>
      <c r="G19" s="27" t="n">
        <v>31</v>
      </c>
      <c r="H19" s="164" t="n">
        <v>44</v>
      </c>
      <c r="I19" s="165" t="n">
        <v>143000</v>
      </c>
      <c r="J19" s="165" t="inlineStr">
        <is>
          <t>고</t>
        </is>
      </c>
      <c r="K19" s="165" t="n">
        <v>85000</v>
      </c>
      <c r="L19" s="165" t="inlineStr">
        <is>
          <t>17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131C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미사강변리버뷰자이</t>
        </is>
      </c>
      <c r="B20" s="16" t="inlineStr">
        <is>
          <t>'17.08.</t>
        </is>
      </c>
      <c r="C20" s="164" t="n">
        <v>555</v>
      </c>
      <c r="D20" s="161" t="n">
        <v>131.2</v>
      </c>
      <c r="E20" s="163" t="n">
        <v>40</v>
      </c>
      <c r="F20" s="161" t="n">
        <v>102.8</v>
      </c>
      <c r="G20" s="27" t="n">
        <v>31</v>
      </c>
      <c r="H20" s="164" t="n">
        <v>40</v>
      </c>
      <c r="I20" s="165" t="n">
        <v>143000</v>
      </c>
      <c r="J20" s="165" t="inlineStr">
        <is>
          <t>고</t>
        </is>
      </c>
      <c r="K20" s="165" t="n">
        <v>85000</v>
      </c>
      <c r="L20" s="165" t="inlineStr">
        <is>
          <t>17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131B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미사강변리버뷰자이</t>
        </is>
      </c>
      <c r="B21" s="16" t="inlineStr">
        <is>
          <t>'17.08.</t>
        </is>
      </c>
      <c r="C21" s="164" t="n">
        <v>555</v>
      </c>
      <c r="D21" s="161" t="n">
        <v>132.2</v>
      </c>
      <c r="E21" s="163" t="n">
        <v>40</v>
      </c>
      <c r="F21" s="161" t="n">
        <v>102</v>
      </c>
      <c r="G21" s="27" t="n">
        <v>31</v>
      </c>
      <c r="H21" s="164" t="n">
        <v>83</v>
      </c>
      <c r="I21" s="165" t="n">
        <v>160000</v>
      </c>
      <c r="J21" s="165" t="inlineStr">
        <is>
          <t>고</t>
        </is>
      </c>
      <c r="K21" s="165" t="n">
        <v>84000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132A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미사강변리버뷰자이</t>
        </is>
      </c>
      <c r="B22" s="16" t="inlineStr">
        <is>
          <t>'17.08.</t>
        </is>
      </c>
      <c r="C22" s="164" t="n">
        <v>555</v>
      </c>
      <c r="D22" s="161" t="n">
        <v>166.9</v>
      </c>
      <c r="E22" s="163" t="n">
        <v>50</v>
      </c>
      <c r="F22" s="161" t="n">
        <v>128.7</v>
      </c>
      <c r="G22" s="27" t="n">
        <v>39</v>
      </c>
      <c r="H22" s="164" t="n">
        <v>2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5</v>
      </c>
      <c r="R22" s="113" t="n">
        <v>3</v>
      </c>
      <c r="S22" s="113" t="inlineStr">
        <is>
          <t>계</t>
        </is>
      </c>
      <c r="T22" s="8" t="n">
        <v>166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미사강변리버뷰자이</t>
        </is>
      </c>
      <c r="B23" s="16" t="inlineStr">
        <is>
          <t>'17.08.</t>
        </is>
      </c>
      <c r="C23" s="164" t="n">
        <v>555</v>
      </c>
      <c r="D23" s="161" t="n">
        <v>171.7</v>
      </c>
      <c r="E23" s="163" t="n">
        <v>52</v>
      </c>
      <c r="F23" s="161" t="n">
        <v>132.5</v>
      </c>
      <c r="G23" s="27" t="n">
        <v>40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계</t>
        </is>
      </c>
      <c r="T23" s="8" t="inlineStr">
        <is>
          <t>171A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미사강변리버뷰자이</t>
        </is>
      </c>
      <c r="B24" s="16" t="inlineStr">
        <is>
          <t>'17.08.</t>
        </is>
      </c>
      <c r="C24" s="164" t="n">
        <v>555</v>
      </c>
      <c r="D24" s="161" t="n">
        <v>171.8</v>
      </c>
      <c r="E24" s="163" t="n">
        <v>52</v>
      </c>
      <c r="F24" s="161" t="n">
        <v>132.4</v>
      </c>
      <c r="G24" s="27" t="n">
        <v>40</v>
      </c>
      <c r="H24" s="164" t="n">
        <v>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계</t>
        </is>
      </c>
      <c r="T24" s="8" t="inlineStr">
        <is>
          <t>171B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미사강변리버뷰자이</t>
        </is>
      </c>
      <c r="B25" s="16" t="inlineStr">
        <is>
          <t>'17.08.</t>
        </is>
      </c>
      <c r="C25" s="164" t="n">
        <v>555</v>
      </c>
      <c r="D25" s="161" t="n">
        <v>171.3</v>
      </c>
      <c r="E25" s="163" t="n">
        <v>52</v>
      </c>
      <c r="F25" s="161" t="n">
        <v>132.5</v>
      </c>
      <c r="G25" s="27" t="n">
        <v>40</v>
      </c>
      <c r="H25" s="164" t="n">
        <v>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계</t>
        </is>
      </c>
      <c r="T25" s="8" t="inlineStr">
        <is>
          <t>171C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미사강변더샵리버포레</t>
        </is>
      </c>
      <c r="B27" s="16" t="inlineStr">
        <is>
          <t>'16.07.</t>
        </is>
      </c>
      <c r="C27" s="164" t="n">
        <v>875</v>
      </c>
      <c r="D27" s="161" t="n">
        <v>115.8</v>
      </c>
      <c r="E27" s="163" t="n">
        <v>35</v>
      </c>
      <c r="F27" s="161" t="n">
        <v>89.7</v>
      </c>
      <c r="G27" s="27" t="n">
        <v>27</v>
      </c>
      <c r="H27" s="164" t="n">
        <v>297</v>
      </c>
      <c r="I27" s="165" t="n">
        <v>120000</v>
      </c>
      <c r="J27" s="165" t="inlineStr">
        <is>
          <t>25</t>
        </is>
      </c>
      <c r="K27" s="165" t="n">
        <v>73000</v>
      </c>
      <c r="L27" s="165" t="inlineStr">
        <is>
          <t>5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115B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미사강변더샵리버포레</t>
        </is>
      </c>
      <c r="B28" s="16" t="inlineStr">
        <is>
          <t>'16.07.</t>
        </is>
      </c>
      <c r="C28" s="164" t="n">
        <v>875</v>
      </c>
      <c r="D28" s="161" t="n">
        <v>117</v>
      </c>
      <c r="E28" s="163" t="n">
        <v>35</v>
      </c>
      <c r="F28" s="161" t="n">
        <v>89.90000000000001</v>
      </c>
      <c r="G28" s="27" t="n">
        <v>27</v>
      </c>
      <c r="H28" s="164" t="n">
        <v>80</v>
      </c>
      <c r="I28" s="165" t="n">
        <v>125000</v>
      </c>
      <c r="J28" s="165" t="inlineStr">
        <is>
          <t>중</t>
        </is>
      </c>
      <c r="K28" s="165" t="n">
        <v>75000</v>
      </c>
      <c r="L28" s="165" t="inlineStr">
        <is>
          <t>26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116A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미사강변더샵리버포레</t>
        </is>
      </c>
      <c r="B29" s="16" t="inlineStr">
        <is>
          <t>'16.07.</t>
        </is>
      </c>
      <c r="C29" s="164" t="n">
        <v>875</v>
      </c>
      <c r="D29" s="161" t="n">
        <v>126</v>
      </c>
      <c r="E29" s="163" t="n">
        <v>38</v>
      </c>
      <c r="F29" s="161" t="n">
        <v>98.8</v>
      </c>
      <c r="G29" s="27" t="n">
        <v>30</v>
      </c>
      <c r="H29" s="164" t="n">
        <v>112</v>
      </c>
      <c r="I29" s="165" t="n">
        <v>153000</v>
      </c>
      <c r="J29" s="165" t="inlineStr">
        <is>
          <t>15</t>
        </is>
      </c>
      <c r="K29" s="165" t="n">
        <v>90000</v>
      </c>
      <c r="L29" s="165" t="inlineStr">
        <is>
          <t>15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125D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미사강변더샵리버포레</t>
        </is>
      </c>
      <c r="B30" s="16" t="inlineStr">
        <is>
          <t>'16.07.</t>
        </is>
      </c>
      <c r="C30" s="164" t="n">
        <v>875</v>
      </c>
      <c r="D30" s="161" t="n">
        <v>126.4</v>
      </c>
      <c r="E30" s="163" t="n">
        <v>38</v>
      </c>
      <c r="F30" s="161" t="n">
        <v>99</v>
      </c>
      <c r="G30" s="27" t="n">
        <v>30</v>
      </c>
      <c r="H30" s="164" t="n">
        <v>56</v>
      </c>
      <c r="I30" s="165" t="n">
        <v>153000</v>
      </c>
      <c r="J30" s="165" t="inlineStr">
        <is>
          <t>고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126C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미사강변더샵리버포레</t>
        </is>
      </c>
      <c r="B31" s="16" t="inlineStr">
        <is>
          <t>'16.07.</t>
        </is>
      </c>
      <c r="C31" s="164" t="n">
        <v>875</v>
      </c>
      <c r="D31" s="161" t="n">
        <v>127.4</v>
      </c>
      <c r="E31" s="163" t="n">
        <v>39</v>
      </c>
      <c r="F31" s="161" t="n">
        <v>98.5</v>
      </c>
      <c r="G31" s="27" t="n">
        <v>30</v>
      </c>
      <c r="H31" s="164" t="n">
        <v>84</v>
      </c>
      <c r="I31" s="165" t="n">
        <v>145000</v>
      </c>
      <c r="J31" s="165" t="inlineStr">
        <is>
          <t>중</t>
        </is>
      </c>
      <c r="K31" s="165" t="n">
        <v>80000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미사강변더샵리버포레</t>
        </is>
      </c>
      <c r="B32" s="16" t="inlineStr">
        <is>
          <t>'16.07.</t>
        </is>
      </c>
      <c r="C32" s="164" t="n">
        <v>875</v>
      </c>
      <c r="D32" s="161" t="n">
        <v>128.7</v>
      </c>
      <c r="E32" s="163" t="n">
        <v>39</v>
      </c>
      <c r="F32" s="161" t="n">
        <v>98.7</v>
      </c>
      <c r="G32" s="27" t="n">
        <v>30</v>
      </c>
      <c r="H32" s="164" t="n">
        <v>135</v>
      </c>
      <c r="I32" s="165" t="n">
        <v>132000</v>
      </c>
      <c r="J32" s="165" t="inlineStr">
        <is>
          <t>6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128A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미사강변더샵리버포레</t>
        </is>
      </c>
      <c r="B33" s="16" t="inlineStr">
        <is>
          <t>'16.07.</t>
        </is>
      </c>
      <c r="C33" s="164" t="n">
        <v>875</v>
      </c>
      <c r="D33" s="161" t="n">
        <v>141.1</v>
      </c>
      <c r="E33" s="163" t="n">
        <v>43</v>
      </c>
      <c r="F33" s="161" t="n">
        <v>112.9</v>
      </c>
      <c r="G33" s="27" t="n">
        <v>34</v>
      </c>
      <c r="H33" s="164" t="n">
        <v>56</v>
      </c>
      <c r="I33" s="165" t="n">
        <v>175000</v>
      </c>
      <c r="J33" s="165" t="inlineStr">
        <is>
          <t>중</t>
        </is>
      </c>
      <c r="K33" s="165" t="n">
        <v>95000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141A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미사강변더샵리버포레</t>
        </is>
      </c>
      <c r="B34" s="16" t="inlineStr">
        <is>
          <t>'16.07.</t>
        </is>
      </c>
      <c r="C34" s="164" t="n">
        <v>875</v>
      </c>
      <c r="D34" s="161" t="n">
        <v>141.3</v>
      </c>
      <c r="E34" s="163" t="n">
        <v>43</v>
      </c>
      <c r="F34" s="161" t="n">
        <v>112.9</v>
      </c>
      <c r="G34" s="27" t="n">
        <v>34</v>
      </c>
      <c r="H34" s="164" t="n">
        <v>55</v>
      </c>
      <c r="I34" s="165" t="n">
        <v>190000</v>
      </c>
      <c r="J34" s="165" t="inlineStr">
        <is>
          <t>고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141B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미사강변센트리버</t>
        </is>
      </c>
      <c r="B36" s="16" t="inlineStr">
        <is>
          <t>'16.09.</t>
        </is>
      </c>
      <c r="C36" s="164" t="n">
        <v>1145</v>
      </c>
      <c r="D36" s="161" t="n">
        <v>81.40000000000001</v>
      </c>
      <c r="E36" s="163" t="n">
        <v>25</v>
      </c>
      <c r="F36" s="161" t="n">
        <v>59.9</v>
      </c>
      <c r="G36" s="27" t="n">
        <v>18</v>
      </c>
      <c r="H36" s="164" t="n">
        <v>196</v>
      </c>
      <c r="I36" s="165" t="n">
        <v>90000</v>
      </c>
      <c r="J36" s="165" t="inlineStr">
        <is>
          <t>21</t>
        </is>
      </c>
      <c r="K36" s="165" t="n">
        <v>55000</v>
      </c>
      <c r="L36" s="165" t="inlineStr">
        <is>
          <t>고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81A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미사강변센트리버</t>
        </is>
      </c>
      <c r="B37" s="16" t="inlineStr">
        <is>
          <t>'16.09.</t>
        </is>
      </c>
      <c r="C37" s="164" t="n">
        <v>1145</v>
      </c>
      <c r="D37" s="161" t="n">
        <v>81.5</v>
      </c>
      <c r="E37" s="163" t="n">
        <v>25</v>
      </c>
      <c r="F37" s="161" t="n">
        <v>60</v>
      </c>
      <c r="G37" s="27" t="n">
        <v>18</v>
      </c>
      <c r="H37" s="164" t="n">
        <v>83</v>
      </c>
      <c r="I37" s="165" t="n">
        <v>85000</v>
      </c>
      <c r="J37" s="165" t="inlineStr">
        <is>
          <t>중</t>
        </is>
      </c>
      <c r="K37" s="165" t="n">
        <v>58000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81B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미사강변센트리버</t>
        </is>
      </c>
      <c r="B38" s="16" t="inlineStr">
        <is>
          <t>'16.09.</t>
        </is>
      </c>
      <c r="C38" s="164" t="n">
        <v>1145</v>
      </c>
      <c r="D38" s="161" t="n">
        <v>81.2</v>
      </c>
      <c r="E38" s="163" t="n">
        <v>25</v>
      </c>
      <c r="F38" s="161" t="n">
        <v>59.8</v>
      </c>
      <c r="G38" s="27" t="n">
        <v>18</v>
      </c>
      <c r="H38" s="164" t="n">
        <v>37</v>
      </c>
      <c r="I38" s="165" t="n">
        <v>90000</v>
      </c>
      <c r="J38" s="165" t="inlineStr">
        <is>
          <t>고</t>
        </is>
      </c>
      <c r="K38" s="165" t="n">
        <v>57000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81C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미사강변센트리버</t>
        </is>
      </c>
      <c r="B39" s="16" t="inlineStr">
        <is>
          <t>'16.09.</t>
        </is>
      </c>
      <c r="C39" s="164" t="n">
        <v>1145</v>
      </c>
      <c r="D39" s="161" t="n">
        <v>81.3</v>
      </c>
      <c r="E39" s="163" t="n">
        <v>25</v>
      </c>
      <c r="F39" s="161" t="n">
        <v>59.8</v>
      </c>
      <c r="G39" s="27" t="n">
        <v>18</v>
      </c>
      <c r="H39" s="164" t="n">
        <v>33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81A1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미사강변센트리버</t>
        </is>
      </c>
      <c r="B40" s="16" t="inlineStr">
        <is>
          <t>'16.09.</t>
        </is>
      </c>
      <c r="C40" s="164" t="n">
        <v>1145</v>
      </c>
      <c r="D40" s="161" t="n">
        <v>101.8</v>
      </c>
      <c r="E40" s="163" t="n">
        <v>31</v>
      </c>
      <c r="F40" s="161" t="n">
        <v>74.90000000000001</v>
      </c>
      <c r="G40" s="27" t="n">
        <v>23</v>
      </c>
      <c r="H40" s="164" t="n">
        <v>196</v>
      </c>
      <c r="I40" s="165" t="n">
        <v>92000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101A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미사강변센트리버</t>
        </is>
      </c>
      <c r="B41" s="16" t="inlineStr">
        <is>
          <t>'16.09.</t>
        </is>
      </c>
      <c r="C41" s="164" t="n">
        <v>1145</v>
      </c>
      <c r="D41" s="161" t="n">
        <v>101.9</v>
      </c>
      <c r="E41" s="163" t="n">
        <v>31</v>
      </c>
      <c r="F41" s="161" t="n">
        <v>75</v>
      </c>
      <c r="G41" s="27" t="n">
        <v>23</v>
      </c>
      <c r="H41" s="164" t="n">
        <v>46</v>
      </c>
      <c r="I41" s="165" t="n">
        <v>90000</v>
      </c>
      <c r="J41" s="165" t="inlineStr">
        <is>
          <t>13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101B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미사강변센트리버</t>
        </is>
      </c>
      <c r="B42" s="16" t="inlineStr">
        <is>
          <t>'16.09.</t>
        </is>
      </c>
      <c r="C42" s="164" t="n">
        <v>1145</v>
      </c>
      <c r="D42" s="161" t="n">
        <v>101.8</v>
      </c>
      <c r="E42" s="163" t="n">
        <v>31</v>
      </c>
      <c r="F42" s="161" t="n">
        <v>75</v>
      </c>
      <c r="G42" s="27" t="n">
        <v>23</v>
      </c>
      <c r="H42" s="164" t="n">
        <v>20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101C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미사강변센트리버</t>
        </is>
      </c>
      <c r="B43" s="16" t="inlineStr">
        <is>
          <t>'16.09.</t>
        </is>
      </c>
      <c r="C43" s="164" t="n">
        <v>1145</v>
      </c>
      <c r="D43" s="161" t="n">
        <v>115.3</v>
      </c>
      <c r="E43" s="163" t="n">
        <v>35</v>
      </c>
      <c r="F43" s="161" t="n">
        <v>84.90000000000001</v>
      </c>
      <c r="G43" s="27" t="n">
        <v>26</v>
      </c>
      <c r="H43" s="164" t="n">
        <v>206</v>
      </c>
      <c r="I43" s="165" t="n">
        <v>108000</v>
      </c>
      <c r="J43" s="165" t="inlineStr">
        <is>
          <t>고</t>
        </is>
      </c>
      <c r="K43" s="165" t="n">
        <v>65000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115C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미사강변센트리버</t>
        </is>
      </c>
      <c r="B44" s="16" t="inlineStr">
        <is>
          <t>'16.09.</t>
        </is>
      </c>
      <c r="C44" s="164" t="n">
        <v>1145</v>
      </c>
      <c r="D44" s="161" t="n">
        <v>115.4</v>
      </c>
      <c r="E44" s="163" t="n">
        <v>35</v>
      </c>
      <c r="F44" s="161" t="n">
        <v>84.90000000000001</v>
      </c>
      <c r="G44" s="27" t="n">
        <v>26</v>
      </c>
      <c r="H44" s="164" t="n">
        <v>156</v>
      </c>
      <c r="I44" s="165" t="n">
        <v>105000</v>
      </c>
      <c r="J44" s="165" t="inlineStr">
        <is>
          <t>고</t>
        </is>
      </c>
      <c r="K44" s="165" t="n">
        <v>65000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115B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미사강변센트리버</t>
        </is>
      </c>
      <c r="B45" s="16" t="inlineStr">
        <is>
          <t>'16.09.</t>
        </is>
      </c>
      <c r="C45" s="164" t="n">
        <v>1145</v>
      </c>
      <c r="D45" s="161" t="n">
        <v>115.2</v>
      </c>
      <c r="E45" s="163" t="n">
        <v>35</v>
      </c>
      <c r="F45" s="161" t="n">
        <v>84.8</v>
      </c>
      <c r="G45" s="27" t="n">
        <v>26</v>
      </c>
      <c r="H45" s="164" t="n">
        <v>87</v>
      </c>
      <c r="I45" s="165" t="n">
        <v>105000</v>
      </c>
      <c r="J45" s="165" t="inlineStr">
        <is>
          <t>18</t>
        </is>
      </c>
      <c r="K45" s="165" t="n">
        <v>65000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115A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미사강변센트리버</t>
        </is>
      </c>
      <c r="B46" s="16" t="inlineStr">
        <is>
          <t>'16.09.</t>
        </is>
      </c>
      <c r="C46" s="164" t="n">
        <v>1145</v>
      </c>
      <c r="D46" s="161" t="n">
        <v>115.4</v>
      </c>
      <c r="E46" s="163" t="n">
        <v>35</v>
      </c>
      <c r="F46" s="161" t="n">
        <v>84.90000000000001</v>
      </c>
      <c r="G46" s="27" t="n">
        <v>26</v>
      </c>
      <c r="H46" s="164" t="n">
        <v>85</v>
      </c>
      <c r="I46" s="165" t="n">
        <v>105000</v>
      </c>
      <c r="J46" s="165" t="inlineStr">
        <is>
          <t>고</t>
        </is>
      </c>
      <c r="K46" s="165" t="n">
        <v>65000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115D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미사강변푸르지오2차</t>
        </is>
      </c>
      <c r="B48" s="16" t="inlineStr">
        <is>
          <t>'16.09.</t>
        </is>
      </c>
      <c r="C48" s="164" t="n">
        <v>1066</v>
      </c>
      <c r="D48" s="161" t="n">
        <v>121.6</v>
      </c>
      <c r="E48" s="163" t="n">
        <v>37</v>
      </c>
      <c r="F48" s="161" t="n">
        <v>93.90000000000001</v>
      </c>
      <c r="G48" s="27" t="n">
        <v>28</v>
      </c>
      <c r="H48" s="164" t="n">
        <v>257</v>
      </c>
      <c r="I48" s="165" t="n">
        <v>116000</v>
      </c>
      <c r="J48" s="165" t="inlineStr">
        <is>
          <t>12</t>
        </is>
      </c>
      <c r="K48" s="165" t="n">
        <v>73000</v>
      </c>
      <c r="L48" s="165" t="inlineStr">
        <is>
          <t>고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121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미사강변푸르지오2차</t>
        </is>
      </c>
      <c r="B49" s="16" t="inlineStr">
        <is>
          <t>'16.09.</t>
        </is>
      </c>
      <c r="C49" s="164" t="n">
        <v>1066</v>
      </c>
      <c r="D49" s="161" t="n">
        <v>131.5</v>
      </c>
      <c r="E49" s="163" t="n">
        <v>40</v>
      </c>
      <c r="F49" s="161" t="n">
        <v>101.8</v>
      </c>
      <c r="G49" s="27" t="n">
        <v>31</v>
      </c>
      <c r="H49" s="164" t="n">
        <v>365</v>
      </c>
      <c r="I49" s="165" t="n">
        <v>145000</v>
      </c>
      <c r="J49" s="165" t="inlineStr">
        <is>
          <t>중</t>
        </is>
      </c>
      <c r="K49" s="165" t="n">
        <v>88000</v>
      </c>
      <c r="L49" s="165" t="inlineStr">
        <is>
          <t>9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131A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미사강변푸르지오2차</t>
        </is>
      </c>
      <c r="B50" s="16" t="inlineStr">
        <is>
          <t>'16.09.</t>
        </is>
      </c>
      <c r="C50" s="164" t="n">
        <v>1066</v>
      </c>
      <c r="D50" s="161" t="n">
        <v>131.8</v>
      </c>
      <c r="E50" s="163" t="n">
        <v>40</v>
      </c>
      <c r="F50" s="161" t="n">
        <v>101.9</v>
      </c>
      <c r="G50" s="27" t="n">
        <v>31</v>
      </c>
      <c r="H50" s="164" t="n">
        <v>135</v>
      </c>
      <c r="I50" s="165" t="n">
        <v>150000</v>
      </c>
      <c r="J50" s="165" t="inlineStr">
        <is>
          <t>9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131C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미사강변푸르지오2차</t>
        </is>
      </c>
      <c r="B51" s="16" t="inlineStr">
        <is>
          <t>'16.09.</t>
        </is>
      </c>
      <c r="C51" s="164" t="n">
        <v>1066</v>
      </c>
      <c r="D51" s="161" t="n">
        <v>131.4</v>
      </c>
      <c r="E51" s="163" t="n">
        <v>40</v>
      </c>
      <c r="F51" s="161" t="n">
        <v>101.9</v>
      </c>
      <c r="G51" s="27" t="n">
        <v>31</v>
      </c>
      <c r="H51" s="164" t="n">
        <v>38</v>
      </c>
      <c r="I51" s="165" t="n">
        <v>170000</v>
      </c>
      <c r="J51" s="165" t="inlineStr">
        <is>
          <t>중</t>
        </is>
      </c>
      <c r="K51" s="165" t="n">
        <v>85000</v>
      </c>
      <c r="L51" s="165" t="inlineStr">
        <is>
          <t>중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131E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미사강변푸르지오2차</t>
        </is>
      </c>
      <c r="B52" s="16" t="inlineStr">
        <is>
          <t>'16.09.</t>
        </is>
      </c>
      <c r="C52" s="164" t="n">
        <v>1066</v>
      </c>
      <c r="D52" s="161" t="n">
        <v>131.4</v>
      </c>
      <c r="E52" s="163" t="n">
        <v>40</v>
      </c>
      <c r="F52" s="161" t="n">
        <v>101.9</v>
      </c>
      <c r="G52" s="27" t="n">
        <v>31</v>
      </c>
      <c r="H52" s="164" t="n">
        <v>18</v>
      </c>
      <c r="I52" s="165" t="n">
        <v>170000</v>
      </c>
      <c r="J52" s="165" t="inlineStr">
        <is>
          <t>중</t>
        </is>
      </c>
      <c r="K52" s="165" t="n">
        <v>85000</v>
      </c>
      <c r="L52" s="165" t="inlineStr">
        <is>
          <t>중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131D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미사강변푸르지오2차</t>
        </is>
      </c>
      <c r="B53" s="16" t="inlineStr">
        <is>
          <t>'16.09.</t>
        </is>
      </c>
      <c r="C53" s="164" t="n">
        <v>1066</v>
      </c>
      <c r="D53" s="161" t="n">
        <v>132.1</v>
      </c>
      <c r="E53" s="163" t="n">
        <v>40</v>
      </c>
      <c r="F53" s="161" t="n">
        <v>101.9</v>
      </c>
      <c r="G53" s="27" t="n">
        <v>31</v>
      </c>
      <c r="H53" s="164" t="n">
        <v>249</v>
      </c>
      <c r="I53" s="165" t="n">
        <v>143000</v>
      </c>
      <c r="J53" s="165" t="inlineStr">
        <is>
          <t>6</t>
        </is>
      </c>
      <c r="K53" s="165" t="n">
        <v>90000</v>
      </c>
      <c r="L53" s="165" t="inlineStr">
        <is>
          <t>8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132B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미사강변푸르지오2차</t>
        </is>
      </c>
      <c r="B54" s="16" t="inlineStr">
        <is>
          <t>'16.09.</t>
        </is>
      </c>
      <c r="C54" s="164" t="n">
        <v>1066</v>
      </c>
      <c r="D54" s="161" t="n">
        <v>151</v>
      </c>
      <c r="E54" s="163" t="n">
        <v>46</v>
      </c>
      <c r="F54" s="161" t="n">
        <v>114.3</v>
      </c>
      <c r="G54" s="27" t="n">
        <v>35</v>
      </c>
      <c r="H54" s="164" t="n">
        <v>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150A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미사강변푸르지오2차</t>
        </is>
      </c>
      <c r="B55" s="16" t="inlineStr">
        <is>
          <t>'16.09.</t>
        </is>
      </c>
      <c r="C55" s="164" t="n">
        <v>1066</v>
      </c>
      <c r="D55" s="161" t="n">
        <v>152.1</v>
      </c>
      <c r="E55" s="163" t="n">
        <v>46</v>
      </c>
      <c r="F55" s="161" t="n">
        <v>114.2</v>
      </c>
      <c r="G55" s="27" t="n">
        <v>35</v>
      </c>
      <c r="H55" s="164" t="n">
        <v>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리버스위트칸타빌</t>
        </is>
      </c>
      <c r="B57" s="16" t="inlineStr">
        <is>
          <t>'18.05.</t>
        </is>
      </c>
      <c r="C57" s="164" t="n">
        <v>550</v>
      </c>
      <c r="D57" s="161" t="n">
        <v>118.3</v>
      </c>
      <c r="E57" s="163" t="n">
        <v>36</v>
      </c>
      <c r="F57" s="161" t="n">
        <v>92.5</v>
      </c>
      <c r="G57" s="27" t="n">
        <v>28</v>
      </c>
      <c r="H57" s="164" t="n">
        <v>135</v>
      </c>
      <c r="I57" s="165" t="n">
        <v>115000</v>
      </c>
      <c r="J57" s="165" t="inlineStr">
        <is>
          <t>고</t>
        </is>
      </c>
      <c r="K57" s="165" t="n">
        <v>75000</v>
      </c>
      <c r="L57" s="165" t="inlineStr">
        <is>
          <t>14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n">
        <v>118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리버스위트칸타빌</t>
        </is>
      </c>
      <c r="B58" s="16" t="inlineStr">
        <is>
          <t>'18.05.</t>
        </is>
      </c>
      <c r="C58" s="164" t="n">
        <v>550</v>
      </c>
      <c r="D58" s="161" t="n">
        <v>118.3</v>
      </c>
      <c r="E58" s="163" t="n">
        <v>36</v>
      </c>
      <c r="F58" s="161" t="n">
        <v>92.5</v>
      </c>
      <c r="G58" s="27" t="n">
        <v>28</v>
      </c>
      <c r="H58" s="164" t="n">
        <v>4</v>
      </c>
      <c r="I58" s="165" t="n">
        <v>115000</v>
      </c>
      <c r="J58" s="165" t="inlineStr">
        <is>
          <t>고</t>
        </is>
      </c>
      <c r="K58" s="165" t="n">
        <v>75000</v>
      </c>
      <c r="L58" s="165" t="inlineStr">
        <is>
          <t>14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118T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리버스위트칸타빌</t>
        </is>
      </c>
      <c r="B59" s="16" t="inlineStr">
        <is>
          <t>'18.05.</t>
        </is>
      </c>
      <c r="C59" s="164" t="n">
        <v>550</v>
      </c>
      <c r="D59" s="161" t="n">
        <v>122.5</v>
      </c>
      <c r="E59" s="163" t="n">
        <v>37</v>
      </c>
      <c r="F59" s="161" t="n">
        <v>95.40000000000001</v>
      </c>
      <c r="G59" s="27" t="n">
        <v>29</v>
      </c>
      <c r="H59" s="164" t="n">
        <v>131</v>
      </c>
      <c r="I59" s="165" t="n">
        <v>140000</v>
      </c>
      <c r="J59" s="165" t="inlineStr">
        <is>
          <t>중</t>
        </is>
      </c>
      <c r="K59" s="165" t="n">
        <v>78000</v>
      </c>
      <c r="L59" s="165" t="inlineStr">
        <is>
          <t>고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122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리버스위트칸타빌</t>
        </is>
      </c>
      <c r="B60" s="16" t="inlineStr">
        <is>
          <t>'18.05.</t>
        </is>
      </c>
      <c r="C60" s="164" t="n">
        <v>550</v>
      </c>
      <c r="D60" s="161" t="n">
        <v>125.8</v>
      </c>
      <c r="E60" s="163" t="n">
        <v>38</v>
      </c>
      <c r="F60" s="161" t="n">
        <v>97.7</v>
      </c>
      <c r="G60" s="27" t="n">
        <v>30</v>
      </c>
      <c r="H60" s="164" t="n">
        <v>81</v>
      </c>
      <c r="I60" s="165" t="n">
        <v>142000</v>
      </c>
      <c r="J60" s="165" t="inlineStr">
        <is>
          <t>고</t>
        </is>
      </c>
      <c r="K60" s="165" t="n">
        <v>85000</v>
      </c>
      <c r="L60" s="165" t="inlineStr">
        <is>
          <t>고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125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리버스위트칸타빌</t>
        </is>
      </c>
      <c r="B61" s="16" t="inlineStr">
        <is>
          <t>'18.05.</t>
        </is>
      </c>
      <c r="C61" s="164" t="n">
        <v>550</v>
      </c>
      <c r="D61" s="161" t="n">
        <v>125.8</v>
      </c>
      <c r="E61" s="163" t="n">
        <v>38</v>
      </c>
      <c r="F61" s="161" t="n">
        <v>97.7</v>
      </c>
      <c r="G61" s="27" t="n">
        <v>30</v>
      </c>
      <c r="H61" s="164" t="n">
        <v>3</v>
      </c>
      <c r="I61" s="165" t="n">
        <v>142000</v>
      </c>
      <c r="J61" s="165" t="inlineStr">
        <is>
          <t>고</t>
        </is>
      </c>
      <c r="K61" s="165" t="n">
        <v>85000</v>
      </c>
      <c r="L61" s="165" t="inlineStr">
        <is>
          <t>고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125T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리버스위트칸타빌</t>
        </is>
      </c>
      <c r="B62" s="16" t="inlineStr">
        <is>
          <t>'18.05.</t>
        </is>
      </c>
      <c r="C62" s="164" t="n">
        <v>550</v>
      </c>
      <c r="D62" s="161" t="n">
        <v>130.7</v>
      </c>
      <c r="E62" s="163" t="n">
        <v>40</v>
      </c>
      <c r="F62" s="161" t="n">
        <v>102.5</v>
      </c>
      <c r="G62" s="27" t="n">
        <v>31</v>
      </c>
      <c r="H62" s="164" t="n">
        <v>176</v>
      </c>
      <c r="I62" s="165" t="n">
        <v>135000</v>
      </c>
      <c r="J62" s="165" t="inlineStr">
        <is>
          <t>8</t>
        </is>
      </c>
      <c r="K62" s="165" t="n">
        <v>85000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리버스위트칸타빌</t>
        </is>
      </c>
      <c r="B63" s="16" t="inlineStr">
        <is>
          <t>'18.05.</t>
        </is>
      </c>
      <c r="C63" s="164" t="n">
        <v>550</v>
      </c>
      <c r="D63" s="161" t="n">
        <v>130.7</v>
      </c>
      <c r="E63" s="163" t="n">
        <v>40</v>
      </c>
      <c r="F63" s="161" t="n">
        <v>102.5</v>
      </c>
      <c r="G63" s="27" t="n">
        <v>31</v>
      </c>
      <c r="H63" s="164" t="n">
        <v>5</v>
      </c>
      <c r="I63" s="165" t="n">
        <v>135000</v>
      </c>
      <c r="J63" s="165" t="inlineStr">
        <is>
          <t>8</t>
        </is>
      </c>
      <c r="K63" s="165" t="n">
        <v>85000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130T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리버스위트칸타빌</t>
        </is>
      </c>
      <c r="B64" s="16" t="inlineStr">
        <is>
          <t>'18.05.</t>
        </is>
      </c>
      <c r="C64" s="164" t="n">
        <v>550</v>
      </c>
      <c r="D64" s="161" t="n">
        <v>164.2</v>
      </c>
      <c r="E64" s="163" t="n">
        <v>50</v>
      </c>
      <c r="F64" s="161" t="n">
        <v>126.7</v>
      </c>
      <c r="G64" s="27" t="n">
        <v>38</v>
      </c>
      <c r="H64" s="164" t="n">
        <v>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3</v>
      </c>
      <c r="S64" s="113" t="inlineStr">
        <is>
          <t>계</t>
        </is>
      </c>
      <c r="T64" s="8" t="n">
        <v>164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리버스위트칸타빌</t>
        </is>
      </c>
      <c r="B65" s="16" t="inlineStr">
        <is>
          <t>'18.05.</t>
        </is>
      </c>
      <c r="C65" s="164" t="n">
        <v>550</v>
      </c>
      <c r="D65" s="161" t="n">
        <v>180.1</v>
      </c>
      <c r="E65" s="163" t="n">
        <v>54</v>
      </c>
      <c r="F65" s="161" t="n">
        <v>138.8</v>
      </c>
      <c r="G65" s="27" t="n">
        <v>42</v>
      </c>
      <c r="H65" s="164" t="n">
        <v>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5</v>
      </c>
      <c r="R65" s="113" t="n">
        <v>3</v>
      </c>
      <c r="S65" s="113" t="inlineStr">
        <is>
          <t>계</t>
        </is>
      </c>
      <c r="T65" s="8" t="n">
        <v>180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리버스위트칸타빌</t>
        </is>
      </c>
      <c r="B66" s="16" t="inlineStr">
        <is>
          <t>'18.05.</t>
        </is>
      </c>
      <c r="C66" s="164" t="n">
        <v>550</v>
      </c>
      <c r="D66" s="161" t="n">
        <v>185.6</v>
      </c>
      <c r="E66" s="163" t="n">
        <v>56</v>
      </c>
      <c r="F66" s="161" t="n">
        <v>143.7</v>
      </c>
      <c r="G66" s="27" t="n">
        <v>43</v>
      </c>
      <c r="H66" s="164" t="n">
        <v>7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5</v>
      </c>
      <c r="R66" s="113" t="n">
        <v>3</v>
      </c>
      <c r="S66" s="113" t="inlineStr">
        <is>
          <t>계</t>
        </is>
      </c>
      <c r="T66" s="8" t="n">
        <v>185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미사강변도시베라체</t>
        </is>
      </c>
      <c r="B68" s="16" t="inlineStr">
        <is>
          <t>'15.05.</t>
        </is>
      </c>
      <c r="C68" s="164" t="n">
        <v>615</v>
      </c>
      <c r="D68" s="161" t="n">
        <v>97</v>
      </c>
      <c r="E68" s="163" t="n">
        <v>29</v>
      </c>
      <c r="F68" s="161" t="n">
        <v>74.90000000000001</v>
      </c>
      <c r="G68" s="27" t="n">
        <v>23</v>
      </c>
      <c r="H68" s="164" t="n">
        <v>162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97A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미사강변도시베라체</t>
        </is>
      </c>
      <c r="B69" s="16" t="inlineStr">
        <is>
          <t>'15.05.</t>
        </is>
      </c>
      <c r="C69" s="164" t="n">
        <v>615</v>
      </c>
      <c r="D69" s="161" t="n">
        <v>97</v>
      </c>
      <c r="E69" s="163" t="n">
        <v>29</v>
      </c>
      <c r="F69" s="161" t="n">
        <v>74.90000000000001</v>
      </c>
      <c r="G69" s="27" t="n">
        <v>23</v>
      </c>
      <c r="H69" s="164" t="n">
        <v>20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97AN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미사강변도시베라체</t>
        </is>
      </c>
      <c r="B70" s="16" t="inlineStr">
        <is>
          <t>'15.05.</t>
        </is>
      </c>
      <c r="C70" s="164" t="n">
        <v>615</v>
      </c>
      <c r="D70" s="161" t="n">
        <v>110</v>
      </c>
      <c r="E70" s="163" t="n">
        <v>33</v>
      </c>
      <c r="F70" s="161" t="n">
        <v>84.8</v>
      </c>
      <c r="G70" s="27" t="n">
        <v>26</v>
      </c>
      <c r="H70" s="164" t="n">
        <v>47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109A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미사강변도시베라체</t>
        </is>
      </c>
      <c r="B71" s="16" t="inlineStr">
        <is>
          <t>'15.05.</t>
        </is>
      </c>
      <c r="C71" s="164" t="n">
        <v>615</v>
      </c>
      <c r="D71" s="161" t="n">
        <v>110</v>
      </c>
      <c r="E71" s="163" t="n">
        <v>33</v>
      </c>
      <c r="F71" s="161" t="n">
        <v>84.90000000000001</v>
      </c>
      <c r="G71" s="27" t="n">
        <v>26</v>
      </c>
      <c r="H71" s="164" t="n">
        <v>366</v>
      </c>
      <c r="I71" s="165" t="n">
        <v>97000</v>
      </c>
      <c r="J71" s="165" t="inlineStr">
        <is>
          <t>중</t>
        </is>
      </c>
      <c r="K71" s="165" t="n">
        <v>60000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110B2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미사강변도시베라체</t>
        </is>
      </c>
      <c r="B72" s="16" t="inlineStr">
        <is>
          <t>'15.05.</t>
        </is>
      </c>
      <c r="C72" s="164" t="n">
        <v>615</v>
      </c>
      <c r="D72" s="161" t="n">
        <v>110</v>
      </c>
      <c r="E72" s="163" t="n">
        <v>33</v>
      </c>
      <c r="F72" s="161" t="n">
        <v>84.90000000000001</v>
      </c>
      <c r="G72" s="27" t="n">
        <v>26</v>
      </c>
      <c r="H72" s="164" t="n">
        <v>20</v>
      </c>
      <c r="I72" s="165" t="n">
        <v>97000</v>
      </c>
      <c r="J72" s="165" t="inlineStr">
        <is>
          <t>중</t>
        </is>
      </c>
      <c r="K72" s="165" t="n">
        <v>60000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110B2N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90" dxfId="17">
      <formula>AV4="X"</formula>
    </cfRule>
    <cfRule type="expression" priority="1191" dxfId="16">
      <formula>AV4="후보"</formula>
    </cfRule>
  </conditionalFormatting>
  <conditionalFormatting sqref="AC1:AC2 AC4:AC6 N4:N5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1:N2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6">
    <cfRule type="expression" priority="1179" dxfId="3">
      <formula>AND(IF(OR($Q6=1,$Q6=2),1,0),IF($X6&lt;=20,1,0))</formula>
    </cfRule>
    <cfRule type="expression" priority="1180" dxfId="2">
      <formula>AND(IF($Q6=2,1,0),IF($X6&lt;30,1,0))</formula>
    </cfRule>
    <cfRule type="expression" priority="1181" dxfId="1">
      <formula>AND(IF($Q6=3,1,0),IF($X6&lt;30,1,0))</formula>
    </cfRule>
    <cfRule type="expression" priority="1182" dxfId="0">
      <formula>AND(IF($Q6=3,1,IF($Q6=4,1,0)),IF($F6&lt;=85,1,0))</formula>
    </cfRule>
  </conditionalFormatting>
  <conditionalFormatting sqref="X6">
    <cfRule type="expression" priority="1175" dxfId="3">
      <formula>AND(IF(OR($Q6=1,$Q6=2),1,0),IF($X6&lt;=20,1,0))</formula>
    </cfRule>
    <cfRule type="expression" priority="1176" dxfId="2">
      <formula>AND(IF($Q6=2,1,0),IF($X6&lt;30,1,0))</formula>
    </cfRule>
    <cfRule type="expression" priority="1177" dxfId="1">
      <formula>AND(IF($Q6=3,1,0),IF($X6&lt;30,1,0))</formula>
    </cfRule>
    <cfRule type="expression" priority="1178" dxfId="0">
      <formula>AND(IF($Q6=3,1,IF($Q6=4,1,0)),IF($F6&lt;=85,1,0))</formula>
    </cfRule>
  </conditionalFormatting>
  <conditionalFormatting sqref="AI6">
    <cfRule type="expression" priority="1171" dxfId="3">
      <formula>AND(IF(OR($Q6=1,$Q6=2),1,0),IF($X6&lt;=20,1,0))</formula>
    </cfRule>
    <cfRule type="expression" priority="1172" dxfId="2">
      <formula>AND(IF($Q6=2,1,0),IF($X6&lt;30,1,0))</formula>
    </cfRule>
    <cfRule type="expression" priority="1173" dxfId="1">
      <formula>AND(IF($Q6=3,1,0),IF($X6&lt;30,1,0))</formula>
    </cfRule>
    <cfRule type="expression" priority="1174" dxfId="0">
      <formula>AND(IF($Q6=3,1,IF($Q6=4,1,0)),IF($F6&lt;=85,1,0))</formula>
    </cfRule>
  </conditionalFormatting>
  <conditionalFormatting sqref="AV7">
    <cfRule type="expression" priority="1169" dxfId="17">
      <formula>AV7="X"</formula>
    </cfRule>
    <cfRule type="expression" priority="1170" dxfId="16">
      <formula>AV7="후보"</formula>
    </cfRule>
  </conditionalFormatting>
  <conditionalFormatting sqref="AC7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7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7">
    <cfRule type="expression" priority="1160" dxfId="3">
      <formula>AND(IF(OR($Q7=1,$Q7=2),1,0),IF($X7&lt;=20,1,0))</formula>
    </cfRule>
    <cfRule type="expression" priority="1161" dxfId="2">
      <formula>AND(IF($Q7=2,1,0),IF($X7&lt;30,1,0))</formula>
    </cfRule>
    <cfRule type="expression" priority="1162" dxfId="1">
      <formula>AND(IF($Q7=3,1,0),IF($X7&lt;30,1,0))</formula>
    </cfRule>
    <cfRule type="expression" priority="1163" dxfId="0">
      <formula>AND(IF($Q7=3,1,IF($Q7=4,1,0)),IF($F7&lt;=85,1,0))</formula>
    </cfRule>
  </conditionalFormatting>
  <conditionalFormatting sqref="X7">
    <cfRule type="expression" priority="1156" dxfId="3">
      <formula>AND(IF(OR($Q7=1,$Q7=2),1,0),IF($X7&lt;=20,1,0))</formula>
    </cfRule>
    <cfRule type="expression" priority="1157" dxfId="2">
      <formula>AND(IF($Q7=2,1,0),IF($X7&lt;30,1,0))</formula>
    </cfRule>
    <cfRule type="expression" priority="1158" dxfId="1">
      <formula>AND(IF($Q7=3,1,0),IF($X7&lt;30,1,0))</formula>
    </cfRule>
    <cfRule type="expression" priority="1159" dxfId="0">
      <formula>AND(IF($Q7=3,1,IF($Q7=4,1,0)),IF($F7&lt;=85,1,0))</formula>
    </cfRule>
  </conditionalFormatting>
  <conditionalFormatting sqref="AI7">
    <cfRule type="expression" priority="1152" dxfId="3">
      <formula>AND(IF(OR($Q7=1,$Q7=2),1,0),IF($X7&lt;=20,1,0))</formula>
    </cfRule>
    <cfRule type="expression" priority="1153" dxfId="2">
      <formula>AND(IF($Q7=2,1,0),IF($X7&lt;30,1,0))</formula>
    </cfRule>
    <cfRule type="expression" priority="1154" dxfId="1">
      <formula>AND(IF($Q7=3,1,0),IF($X7&lt;30,1,0))</formula>
    </cfRule>
    <cfRule type="expression" priority="1155" dxfId="0">
      <formula>AND(IF($Q7=3,1,IF($Q7=4,1,0)),IF($F7&lt;=85,1,0))</formula>
    </cfRule>
  </conditionalFormatting>
  <conditionalFormatting sqref="AV8">
    <cfRule type="expression" priority="1150" dxfId="17">
      <formula>AV8="X"</formula>
    </cfRule>
    <cfRule type="expression" priority="1151" dxfId="16">
      <formula>AV8="후보"</formula>
    </cfRule>
  </conditionalFormatting>
  <conditionalFormatting sqref="AC8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8">
    <cfRule type="expression" priority="1141" dxfId="3">
      <formula>AND(IF(OR($Q8=1,$Q8=2),1,0),IF($X8&lt;=20,1,0))</formula>
    </cfRule>
    <cfRule type="expression" priority="1142" dxfId="2">
      <formula>AND(IF($Q8=2,1,0),IF($X8&lt;30,1,0))</formula>
    </cfRule>
    <cfRule type="expression" priority="1143" dxfId="1">
      <formula>AND(IF($Q8=3,1,0),IF($X8&lt;30,1,0))</formula>
    </cfRule>
    <cfRule type="expression" priority="1144" dxfId="0">
      <formula>AND(IF($Q8=3,1,IF($Q8=4,1,0)),IF($F8&lt;=85,1,0))</formula>
    </cfRule>
  </conditionalFormatting>
  <conditionalFormatting sqref="X8">
    <cfRule type="expression" priority="1137" dxfId="3">
      <formula>AND(IF(OR($Q8=1,$Q8=2),1,0),IF($X8&lt;=20,1,0))</formula>
    </cfRule>
    <cfRule type="expression" priority="1138" dxfId="2">
      <formula>AND(IF($Q8=2,1,0),IF($X8&lt;30,1,0))</formula>
    </cfRule>
    <cfRule type="expression" priority="1139" dxfId="1">
      <formula>AND(IF($Q8=3,1,0),IF($X8&lt;30,1,0))</formula>
    </cfRule>
    <cfRule type="expression" priority="1140" dxfId="0">
      <formula>AND(IF($Q8=3,1,IF($Q8=4,1,0)),IF($F8&lt;=85,1,0))</formula>
    </cfRule>
  </conditionalFormatting>
  <conditionalFormatting sqref="AI8">
    <cfRule type="expression" priority="1133" dxfId="3">
      <formula>AND(IF(OR($Q8=1,$Q8=2),1,0),IF($X8&lt;=20,1,0))</formula>
    </cfRule>
    <cfRule type="expression" priority="1134" dxfId="2">
      <formula>AND(IF($Q8=2,1,0),IF($X8&lt;30,1,0))</formula>
    </cfRule>
    <cfRule type="expression" priority="1135" dxfId="1">
      <formula>AND(IF($Q8=3,1,0),IF($X8&lt;30,1,0))</formula>
    </cfRule>
    <cfRule type="expression" priority="1136" dxfId="0">
      <formula>AND(IF($Q8=3,1,IF($Q8=4,1,0)),IF($F8&lt;=85,1,0))</formula>
    </cfRule>
  </conditionalFormatting>
  <conditionalFormatting sqref="AV9">
    <cfRule type="expression" priority="1131" dxfId="17">
      <formula>AV9="X"</formula>
    </cfRule>
    <cfRule type="expression" priority="1132" dxfId="16">
      <formula>AV9="후보"</formula>
    </cfRule>
  </conditionalFormatting>
  <conditionalFormatting sqref="AC9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9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9">
    <cfRule type="expression" priority="1122" dxfId="3">
      <formula>AND(IF(OR($Q9=1,$Q9=2),1,0),IF($X9&lt;=20,1,0))</formula>
    </cfRule>
    <cfRule type="expression" priority="1123" dxfId="2">
      <formula>AND(IF($Q9=2,1,0),IF($X9&lt;30,1,0))</formula>
    </cfRule>
    <cfRule type="expression" priority="1124" dxfId="1">
      <formula>AND(IF($Q9=3,1,0),IF($X9&lt;30,1,0))</formula>
    </cfRule>
    <cfRule type="expression" priority="1125" dxfId="0">
      <formula>AND(IF($Q9=3,1,IF($Q9=4,1,0)),IF($F9&lt;=85,1,0))</formula>
    </cfRule>
  </conditionalFormatting>
  <conditionalFormatting sqref="X9">
    <cfRule type="expression" priority="1118" dxfId="3">
      <formula>AND(IF(OR($Q9=1,$Q9=2),1,0),IF($X9&lt;=20,1,0))</formula>
    </cfRule>
    <cfRule type="expression" priority="1119" dxfId="2">
      <formula>AND(IF($Q9=2,1,0),IF($X9&lt;30,1,0))</formula>
    </cfRule>
    <cfRule type="expression" priority="1120" dxfId="1">
      <formula>AND(IF($Q9=3,1,0),IF($X9&lt;30,1,0))</formula>
    </cfRule>
    <cfRule type="expression" priority="1121" dxfId="0">
      <formula>AND(IF($Q9=3,1,IF($Q9=4,1,0)),IF($F9&lt;=85,1,0))</formula>
    </cfRule>
  </conditionalFormatting>
  <conditionalFormatting sqref="AI9">
    <cfRule type="expression" priority="1114" dxfId="3">
      <formula>AND(IF(OR($Q9=1,$Q9=2),1,0),IF($X9&lt;=20,1,0))</formula>
    </cfRule>
    <cfRule type="expression" priority="1115" dxfId="2">
      <formula>AND(IF($Q9=2,1,0),IF($X9&lt;30,1,0))</formula>
    </cfRule>
    <cfRule type="expression" priority="1116" dxfId="1">
      <formula>AND(IF($Q9=3,1,0),IF($X9&lt;30,1,0))</formula>
    </cfRule>
    <cfRule type="expression" priority="1117" dxfId="0">
      <formula>AND(IF($Q9=3,1,IF($Q9=4,1,0)),IF($F9&lt;=85,1,0))</formula>
    </cfRule>
  </conditionalFormatting>
  <conditionalFormatting sqref="AV10">
    <cfRule type="expression" priority="1112" dxfId="17">
      <formula>AV10="X"</formula>
    </cfRule>
    <cfRule type="expression" priority="1113" dxfId="16">
      <formula>AV10="후보"</formula>
    </cfRule>
  </conditionalFormatting>
  <conditionalFormatting sqref="AC1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0">
    <cfRule type="expression" priority="1103" dxfId="3">
      <formula>AND(IF(OR($Q10=1,$Q10=2),1,0),IF($X10&lt;=20,1,0))</formula>
    </cfRule>
    <cfRule type="expression" priority="1104" dxfId="2">
      <formula>AND(IF($Q10=2,1,0),IF($X10&lt;30,1,0))</formula>
    </cfRule>
    <cfRule type="expression" priority="1105" dxfId="1">
      <formula>AND(IF($Q10=3,1,0),IF($X10&lt;30,1,0))</formula>
    </cfRule>
    <cfRule type="expression" priority="1106" dxfId="0">
      <formula>AND(IF($Q10=3,1,IF($Q10=4,1,0)),IF($F10&lt;=85,1,0))</formula>
    </cfRule>
  </conditionalFormatting>
  <conditionalFormatting sqref="X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AI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V11">
    <cfRule type="expression" priority="1093" dxfId="17">
      <formula>AV11="X"</formula>
    </cfRule>
    <cfRule type="expression" priority="1094" dxfId="16">
      <formula>AV11="후보"</formula>
    </cfRule>
  </conditionalFormatting>
  <conditionalFormatting sqref="AC11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11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11">
    <cfRule type="expression" priority="1084" dxfId="3">
      <formula>AND(IF(OR($Q11=1,$Q11=2),1,0),IF($X11&lt;=20,1,0))</formula>
    </cfRule>
    <cfRule type="expression" priority="1085" dxfId="2">
      <formula>AND(IF($Q11=2,1,0),IF($X11&lt;30,1,0))</formula>
    </cfRule>
    <cfRule type="expression" priority="1086" dxfId="1">
      <formula>AND(IF($Q11=3,1,0),IF($X11&lt;30,1,0))</formula>
    </cfRule>
    <cfRule type="expression" priority="1087" dxfId="0">
      <formula>AND(IF($Q11=3,1,IF($Q11=4,1,0)),IF($F11&lt;=85,1,0))</formula>
    </cfRule>
  </conditionalFormatting>
  <conditionalFormatting sqref="X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AI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V12">
    <cfRule type="expression" priority="1074" dxfId="17">
      <formula>AV12="X"</formula>
    </cfRule>
    <cfRule type="expression" priority="1075" dxfId="16">
      <formula>AV12="후보"</formula>
    </cfRule>
  </conditionalFormatting>
  <conditionalFormatting sqref="AC12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12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12">
    <cfRule type="expression" priority="1065" dxfId="3">
      <formula>AND(IF(OR($Q12=1,$Q12=2),1,0),IF($X12&lt;=20,1,0))</formula>
    </cfRule>
    <cfRule type="expression" priority="1066" dxfId="2">
      <formula>AND(IF($Q12=2,1,0),IF($X12&lt;30,1,0))</formula>
    </cfRule>
    <cfRule type="expression" priority="1067" dxfId="1">
      <formula>AND(IF($Q12=3,1,0),IF($X12&lt;30,1,0))</formula>
    </cfRule>
    <cfRule type="expression" priority="1068" dxfId="0">
      <formula>AND(IF($Q12=3,1,IF($Q12=4,1,0)),IF($F12&lt;=85,1,0))</formula>
    </cfRule>
  </conditionalFormatting>
  <conditionalFormatting sqref="X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AI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V13">
    <cfRule type="expression" priority="1055" dxfId="17">
      <formula>AV13="X"</formula>
    </cfRule>
    <cfRule type="expression" priority="1056" dxfId="16">
      <formula>AV13="후보"</formula>
    </cfRule>
  </conditionalFormatting>
  <conditionalFormatting sqref="AC13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13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13">
    <cfRule type="expression" priority="1046" dxfId="3">
      <formula>AND(IF(OR($Q13=1,$Q13=2),1,0),IF($X13&lt;=20,1,0))</formula>
    </cfRule>
    <cfRule type="expression" priority="1047" dxfId="2">
      <formula>AND(IF($Q13=2,1,0),IF($X13&lt;30,1,0))</formula>
    </cfRule>
    <cfRule type="expression" priority="1048" dxfId="1">
      <formula>AND(IF($Q13=3,1,0),IF($X13&lt;30,1,0))</formula>
    </cfRule>
    <cfRule type="expression" priority="1049" dxfId="0">
      <formula>AND(IF($Q13=3,1,IF($Q13=4,1,0)),IF($F13&lt;=85,1,0))</formula>
    </cfRule>
  </conditionalFormatting>
  <conditionalFormatting sqref="X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AI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V14">
    <cfRule type="expression" priority="1036" dxfId="17">
      <formula>AV14="X"</formula>
    </cfRule>
    <cfRule type="expression" priority="1037" dxfId="16">
      <formula>AV14="후보"</formula>
    </cfRule>
  </conditionalFormatting>
  <conditionalFormatting sqref="AC14 N14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15">
    <cfRule type="expression" priority="1031" dxfId="17">
      <formula>AV15="X"</formula>
    </cfRule>
    <cfRule type="expression" priority="1032" dxfId="16">
      <formula>AV15="후보"</formula>
    </cfRule>
  </conditionalFormatting>
  <conditionalFormatting sqref="AC15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15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15">
    <cfRule type="expression" priority="1022" dxfId="3">
      <formula>AND(IF(OR($Q15=1,$Q15=2),1,0),IF($X15&lt;=20,1,0))</formula>
    </cfRule>
    <cfRule type="expression" priority="1023" dxfId="2">
      <formula>AND(IF($Q15=2,1,0),IF($X15&lt;30,1,0))</formula>
    </cfRule>
    <cfRule type="expression" priority="1024" dxfId="1">
      <formula>AND(IF($Q15=3,1,0),IF($X15&lt;30,1,0))</formula>
    </cfRule>
    <cfRule type="expression" priority="1025" dxfId="0">
      <formula>AND(IF($Q15=3,1,IF($Q15=4,1,0)),IF($F15&lt;=85,1,0))</formula>
    </cfRule>
  </conditionalFormatting>
  <conditionalFormatting sqref="X15">
    <cfRule type="expression" priority="1018" dxfId="3">
      <formula>AND(IF(OR($Q15=1,$Q15=2),1,0),IF($X15&lt;=20,1,0))</formula>
    </cfRule>
    <cfRule type="expression" priority="1019" dxfId="2">
      <formula>AND(IF($Q15=2,1,0),IF($X15&lt;30,1,0))</formula>
    </cfRule>
    <cfRule type="expression" priority="1020" dxfId="1">
      <formula>AND(IF($Q15=3,1,0),IF($X15&lt;30,1,0))</formula>
    </cfRule>
    <cfRule type="expression" priority="1021" dxfId="0">
      <formula>AND(IF($Q15=3,1,IF($Q15=4,1,0)),IF($F15&lt;=85,1,0))</formula>
    </cfRule>
  </conditionalFormatting>
  <conditionalFormatting sqref="AI15">
    <cfRule type="expression" priority="1014" dxfId="3">
      <formula>AND(IF(OR($Q15=1,$Q15=2),1,0),IF($X15&lt;=20,1,0))</formula>
    </cfRule>
    <cfRule type="expression" priority="1015" dxfId="2">
      <formula>AND(IF($Q15=2,1,0),IF($X15&lt;30,1,0))</formula>
    </cfRule>
    <cfRule type="expression" priority="1016" dxfId="1">
      <formula>AND(IF($Q15=3,1,0),IF($X15&lt;30,1,0))</formula>
    </cfRule>
    <cfRule type="expression" priority="1017" dxfId="0">
      <formula>AND(IF($Q15=3,1,IF($Q15=4,1,0)),IF($F15&lt;=85,1,0))</formula>
    </cfRule>
  </conditionalFormatting>
  <conditionalFormatting sqref="AV16">
    <cfRule type="expression" priority="1012" dxfId="17">
      <formula>AV16="X"</formula>
    </cfRule>
    <cfRule type="expression" priority="1013" dxfId="16">
      <formula>AV16="후보"</formula>
    </cfRule>
  </conditionalFormatting>
  <conditionalFormatting sqref="AC1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16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16">
    <cfRule type="expression" priority="1003" dxfId="3">
      <formula>AND(IF(OR($Q16=1,$Q16=2),1,0),IF($X16&lt;=20,1,0))</formula>
    </cfRule>
    <cfRule type="expression" priority="1004" dxfId="2">
      <formula>AND(IF($Q16=2,1,0),IF($X16&lt;30,1,0))</formula>
    </cfRule>
    <cfRule type="expression" priority="1005" dxfId="1">
      <formula>AND(IF($Q16=3,1,0),IF($X16&lt;30,1,0))</formula>
    </cfRule>
    <cfRule type="expression" priority="1006" dxfId="0">
      <formula>AND(IF($Q16=3,1,IF($Q16=4,1,0)),IF($F16&lt;=85,1,0))</formula>
    </cfRule>
  </conditionalFormatting>
  <conditionalFormatting sqref="X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AI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V17">
    <cfRule type="expression" priority="993" dxfId="17">
      <formula>AV17="X"</formula>
    </cfRule>
    <cfRule type="expression" priority="994" dxfId="16">
      <formula>AV17="후보"</formula>
    </cfRule>
  </conditionalFormatting>
  <conditionalFormatting sqref="AC1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17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17">
    <cfRule type="expression" priority="984" dxfId="3">
      <formula>AND(IF(OR($Q17=1,$Q17=2),1,0),IF($X17&lt;=20,1,0))</formula>
    </cfRule>
    <cfRule type="expression" priority="985" dxfId="2">
      <formula>AND(IF($Q17=2,1,0),IF($X17&lt;30,1,0))</formula>
    </cfRule>
    <cfRule type="expression" priority="986" dxfId="1">
      <formula>AND(IF($Q17=3,1,0),IF($X17&lt;30,1,0))</formula>
    </cfRule>
    <cfRule type="expression" priority="987" dxfId="0">
      <formula>AND(IF($Q17=3,1,IF($Q17=4,1,0)),IF($F17&lt;=85,1,0))</formula>
    </cfRule>
  </conditionalFormatting>
  <conditionalFormatting sqref="X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AI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V18">
    <cfRule type="expression" priority="974" dxfId="17">
      <formula>AV18="X"</formula>
    </cfRule>
    <cfRule type="expression" priority="975" dxfId="16">
      <formula>AV18="후보"</formula>
    </cfRule>
  </conditionalFormatting>
  <conditionalFormatting sqref="AC18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18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18">
    <cfRule type="expression" priority="965" dxfId="3">
      <formula>AND(IF(OR($Q18=1,$Q18=2),1,0),IF($X18&lt;=20,1,0))</formula>
    </cfRule>
    <cfRule type="expression" priority="966" dxfId="2">
      <formula>AND(IF($Q18=2,1,0),IF($X18&lt;30,1,0))</formula>
    </cfRule>
    <cfRule type="expression" priority="967" dxfId="1">
      <formula>AND(IF($Q18=3,1,0),IF($X18&lt;30,1,0))</formula>
    </cfRule>
    <cfRule type="expression" priority="968" dxfId="0">
      <formula>AND(IF($Q18=3,1,IF($Q18=4,1,0)),IF($F18&lt;=85,1,0))</formula>
    </cfRule>
  </conditionalFormatting>
  <conditionalFormatting sqref="X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AI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V19">
    <cfRule type="expression" priority="955" dxfId="17">
      <formula>AV19="X"</formula>
    </cfRule>
    <cfRule type="expression" priority="956" dxfId="16">
      <formula>AV19="후보"</formula>
    </cfRule>
  </conditionalFormatting>
  <conditionalFormatting sqref="AC19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19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19">
    <cfRule type="expression" priority="946" dxfId="3">
      <formula>AND(IF(OR($Q19=1,$Q19=2),1,0),IF($X19&lt;=20,1,0))</formula>
    </cfRule>
    <cfRule type="expression" priority="947" dxfId="2">
      <formula>AND(IF($Q19=2,1,0),IF($X19&lt;30,1,0))</formula>
    </cfRule>
    <cfRule type="expression" priority="948" dxfId="1">
      <formula>AND(IF($Q19=3,1,0),IF($X19&lt;30,1,0))</formula>
    </cfRule>
    <cfRule type="expression" priority="949" dxfId="0">
      <formula>AND(IF($Q19=3,1,IF($Q19=4,1,0)),IF($F19&lt;=85,1,0))</formula>
    </cfRule>
  </conditionalFormatting>
  <conditionalFormatting sqref="X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AI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V20">
    <cfRule type="expression" priority="936" dxfId="17">
      <formula>AV20="X"</formula>
    </cfRule>
    <cfRule type="expression" priority="937" dxfId="16">
      <formula>AV20="후보"</formula>
    </cfRule>
  </conditionalFormatting>
  <conditionalFormatting sqref="AC20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2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20">
    <cfRule type="expression" priority="927" dxfId="3">
      <formula>AND(IF(OR($Q20=1,$Q20=2),1,0),IF($X20&lt;=20,1,0))</formula>
    </cfRule>
    <cfRule type="expression" priority="928" dxfId="2">
      <formula>AND(IF($Q20=2,1,0),IF($X20&lt;30,1,0))</formula>
    </cfRule>
    <cfRule type="expression" priority="929" dxfId="1">
      <formula>AND(IF($Q20=3,1,0),IF($X20&lt;30,1,0))</formula>
    </cfRule>
    <cfRule type="expression" priority="930" dxfId="0">
      <formula>AND(IF($Q20=3,1,IF($Q20=4,1,0)),IF($F20&lt;=85,1,0))</formula>
    </cfRule>
  </conditionalFormatting>
  <conditionalFormatting sqref="X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AI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V21">
    <cfRule type="expression" priority="917" dxfId="17">
      <formula>AV21="X"</formula>
    </cfRule>
    <cfRule type="expression" priority="918" dxfId="16">
      <formula>AV21="후보"</formula>
    </cfRule>
  </conditionalFormatting>
  <conditionalFormatting sqref="AC21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21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17">
      <formula>AV22="X"</formula>
    </cfRule>
    <cfRule type="expression" priority="899" dxfId="16">
      <formula>AV22="후보"</formula>
    </cfRule>
  </conditionalFormatting>
  <conditionalFormatting sqref="AC2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2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17">
      <formula>AV23="X"</formula>
    </cfRule>
    <cfRule type="expression" priority="880" dxfId="16">
      <formula>AV23="후보"</formula>
    </cfRule>
  </conditionalFormatting>
  <conditionalFormatting sqref="AC23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23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17">
      <formula>AV24="X"</formula>
    </cfRule>
    <cfRule type="expression" priority="861" dxfId="16">
      <formula>AV24="후보"</formula>
    </cfRule>
  </conditionalFormatting>
  <conditionalFormatting sqref="AC24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24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17">
      <formula>AV25="X"</formula>
    </cfRule>
    <cfRule type="expression" priority="842" dxfId="16">
      <formula>AV25="후보"</formula>
    </cfRule>
  </conditionalFormatting>
  <conditionalFormatting sqref="AC25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25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17">
      <formula>AV26="X"</formula>
    </cfRule>
    <cfRule type="expression" priority="823" dxfId="16">
      <formula>AV26="후보"</formula>
    </cfRule>
  </conditionalFormatting>
  <conditionalFormatting sqref="AC26 N26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AV27">
    <cfRule type="expression" priority="817" dxfId="17">
      <formula>AV27="X"</formula>
    </cfRule>
    <cfRule type="expression" priority="818" dxfId="16">
      <formula>AV27="후보"</formula>
    </cfRule>
  </conditionalFormatting>
  <conditionalFormatting sqref="AC2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27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27">
    <cfRule type="expression" priority="808" dxfId="3">
      <formula>AND(IF(OR($Q27=1,$Q27=2),1,0),IF($X27&lt;=20,1,0))</formula>
    </cfRule>
    <cfRule type="expression" priority="809" dxfId="2">
      <formula>AND(IF($Q27=2,1,0),IF($X27&lt;30,1,0))</formula>
    </cfRule>
    <cfRule type="expression" priority="810" dxfId="1">
      <formula>AND(IF($Q27=3,1,0),IF($X27&lt;30,1,0))</formula>
    </cfRule>
    <cfRule type="expression" priority="811" dxfId="0">
      <formula>AND(IF($Q27=3,1,IF($Q27=4,1,0)),IF($F27&lt;=85,1,0))</formula>
    </cfRule>
  </conditionalFormatting>
  <conditionalFormatting sqref="X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AI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V28">
    <cfRule type="expression" priority="798" dxfId="17">
      <formula>AV28="X"</formula>
    </cfRule>
    <cfRule type="expression" priority="799" dxfId="16">
      <formula>AV28="후보"</formula>
    </cfRule>
  </conditionalFormatting>
  <conditionalFormatting sqref="AC28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2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28">
    <cfRule type="expression" priority="789" dxfId="3">
      <formula>AND(IF(OR($Q28=1,$Q28=2),1,0),IF($X28&lt;=20,1,0))</formula>
    </cfRule>
    <cfRule type="expression" priority="790" dxfId="2">
      <formula>AND(IF($Q28=2,1,0),IF($X28&lt;30,1,0))</formula>
    </cfRule>
    <cfRule type="expression" priority="791" dxfId="1">
      <formula>AND(IF($Q28=3,1,0),IF($X28&lt;30,1,0))</formula>
    </cfRule>
    <cfRule type="expression" priority="792" dxfId="0">
      <formula>AND(IF($Q28=3,1,IF($Q28=4,1,0)),IF($F28&lt;=85,1,0))</formula>
    </cfRule>
  </conditionalFormatting>
  <conditionalFormatting sqref="X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AI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V29">
    <cfRule type="expression" priority="779" dxfId="17">
      <formula>AV29="X"</formula>
    </cfRule>
    <cfRule type="expression" priority="780" dxfId="16">
      <formula>AV29="후보"</formula>
    </cfRule>
  </conditionalFormatting>
  <conditionalFormatting sqref="AC29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2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29">
    <cfRule type="expression" priority="770" dxfId="3">
      <formula>AND(IF(OR($Q29=1,$Q29=2),1,0),IF($X29&lt;=20,1,0))</formula>
    </cfRule>
    <cfRule type="expression" priority="771" dxfId="2">
      <formula>AND(IF($Q29=2,1,0),IF($X29&lt;30,1,0))</formula>
    </cfRule>
    <cfRule type="expression" priority="772" dxfId="1">
      <formula>AND(IF($Q29=3,1,0),IF($X29&lt;30,1,0))</formula>
    </cfRule>
    <cfRule type="expression" priority="773" dxfId="0">
      <formula>AND(IF($Q29=3,1,IF($Q29=4,1,0)),IF($F29&lt;=85,1,0))</formula>
    </cfRule>
  </conditionalFormatting>
  <conditionalFormatting sqref="X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AI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V30">
    <cfRule type="expression" priority="760" dxfId="17">
      <formula>AV30="X"</formula>
    </cfRule>
    <cfRule type="expression" priority="761" dxfId="16">
      <formula>AV30="후보"</formula>
    </cfRule>
  </conditionalFormatting>
  <conditionalFormatting sqref="AC30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0">
    <cfRule type="expression" priority="751" dxfId="3">
      <formula>AND(IF(OR($Q30=1,$Q30=2),1,0),IF($X30&lt;=20,1,0))</formula>
    </cfRule>
    <cfRule type="expression" priority="752" dxfId="2">
      <formula>AND(IF($Q30=2,1,0),IF($X30&lt;30,1,0))</formula>
    </cfRule>
    <cfRule type="expression" priority="753" dxfId="1">
      <formula>AND(IF($Q30=3,1,0),IF($X30&lt;30,1,0))</formula>
    </cfRule>
    <cfRule type="expression" priority="754" dxfId="0">
      <formula>AND(IF($Q30=3,1,IF($Q30=4,1,0)),IF($F30&lt;=85,1,0))</formula>
    </cfRule>
  </conditionalFormatting>
  <conditionalFormatting sqref="X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AI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V31">
    <cfRule type="expression" priority="741" dxfId="17">
      <formula>AV31="X"</formula>
    </cfRule>
    <cfRule type="expression" priority="742" dxfId="16">
      <formula>AV31="후보"</formula>
    </cfRule>
  </conditionalFormatting>
  <conditionalFormatting sqref="AC31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1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1">
    <cfRule type="expression" priority="732" dxfId="3">
      <formula>AND(IF(OR($Q31=1,$Q31=2),1,0),IF($X31&lt;=20,1,0))</formula>
    </cfRule>
    <cfRule type="expression" priority="733" dxfId="2">
      <formula>AND(IF($Q31=2,1,0),IF($X31&lt;30,1,0))</formula>
    </cfRule>
    <cfRule type="expression" priority="734" dxfId="1">
      <formula>AND(IF($Q31=3,1,0),IF($X31&lt;30,1,0))</formula>
    </cfRule>
    <cfRule type="expression" priority="735" dxfId="0">
      <formula>AND(IF($Q31=3,1,IF($Q31=4,1,0)),IF($F31&lt;=85,1,0))</formula>
    </cfRule>
  </conditionalFormatting>
  <conditionalFormatting sqref="X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AI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V32">
    <cfRule type="expression" priority="722" dxfId="17">
      <formula>AV32="X"</formula>
    </cfRule>
    <cfRule type="expression" priority="723" dxfId="16">
      <formula>AV32="후보"</formula>
    </cfRule>
  </conditionalFormatting>
  <conditionalFormatting sqref="AC32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2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2">
    <cfRule type="expression" priority="713" dxfId="3">
      <formula>AND(IF(OR($Q32=1,$Q32=2),1,0),IF($X32&lt;=20,1,0))</formula>
    </cfRule>
    <cfRule type="expression" priority="714" dxfId="2">
      <formula>AND(IF($Q32=2,1,0),IF($X32&lt;30,1,0))</formula>
    </cfRule>
    <cfRule type="expression" priority="715" dxfId="1">
      <formula>AND(IF($Q32=3,1,0),IF($X32&lt;30,1,0))</formula>
    </cfRule>
    <cfRule type="expression" priority="716" dxfId="0">
      <formula>AND(IF($Q32=3,1,IF($Q32=4,1,0)),IF($F32&lt;=85,1,0))</formula>
    </cfRule>
  </conditionalFormatting>
  <conditionalFormatting sqref="X32">
    <cfRule type="expression" priority="709" dxfId="3">
      <formula>AND(IF(OR($Q32=1,$Q32=2),1,0),IF($X32&lt;=20,1,0))</formula>
    </cfRule>
    <cfRule type="expression" priority="710" dxfId="2">
      <formula>AND(IF($Q32=2,1,0),IF($X32&lt;30,1,0))</formula>
    </cfRule>
    <cfRule type="expression" priority="711" dxfId="1">
      <formula>AND(IF($Q32=3,1,0),IF($X32&lt;30,1,0))</formula>
    </cfRule>
    <cfRule type="expression" priority="712" dxfId="0">
      <formula>AND(IF($Q32=3,1,IF($Q32=4,1,0)),IF($F32&lt;=85,1,0))</formula>
    </cfRule>
  </conditionalFormatting>
  <conditionalFormatting sqref="AI32">
    <cfRule type="expression" priority="705" dxfId="3">
      <formula>AND(IF(OR($Q32=1,$Q32=2),1,0),IF($X32&lt;=20,1,0))</formula>
    </cfRule>
    <cfRule type="expression" priority="706" dxfId="2">
      <formula>AND(IF($Q32=2,1,0),IF($X32&lt;30,1,0))</formula>
    </cfRule>
    <cfRule type="expression" priority="707" dxfId="1">
      <formula>AND(IF($Q32=3,1,0),IF($X32&lt;30,1,0))</formula>
    </cfRule>
    <cfRule type="expression" priority="708" dxfId="0">
      <formula>AND(IF($Q32=3,1,IF($Q32=4,1,0)),IF($F32&lt;=85,1,0))</formula>
    </cfRule>
  </conditionalFormatting>
  <conditionalFormatting sqref="AV33">
    <cfRule type="expression" priority="703" dxfId="17">
      <formula>AV33="X"</formula>
    </cfRule>
    <cfRule type="expression" priority="704" dxfId="16">
      <formula>AV33="후보"</formula>
    </cfRule>
  </conditionalFormatting>
  <conditionalFormatting sqref="AC33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3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3">
    <cfRule type="expression" priority="694" dxfId="3">
      <formula>AND(IF(OR($Q33=1,$Q33=2),1,0),IF($X33&lt;=20,1,0))</formula>
    </cfRule>
    <cfRule type="expression" priority="695" dxfId="2">
      <formula>AND(IF($Q33=2,1,0),IF($X33&lt;30,1,0))</formula>
    </cfRule>
    <cfRule type="expression" priority="696" dxfId="1">
      <formula>AND(IF($Q33=3,1,0),IF($X33&lt;30,1,0))</formula>
    </cfRule>
    <cfRule type="expression" priority="697" dxfId="0">
      <formula>AND(IF($Q33=3,1,IF($Q33=4,1,0)),IF($F33&lt;=85,1,0))</formula>
    </cfRule>
  </conditionalFormatting>
  <conditionalFormatting sqref="X33">
    <cfRule type="expression" priority="690" dxfId="3">
      <formula>AND(IF(OR($Q33=1,$Q33=2),1,0),IF($X33&lt;=20,1,0))</formula>
    </cfRule>
    <cfRule type="expression" priority="691" dxfId="2">
      <formula>AND(IF($Q33=2,1,0),IF($X33&lt;30,1,0))</formula>
    </cfRule>
    <cfRule type="expression" priority="692" dxfId="1">
      <formula>AND(IF($Q33=3,1,0),IF($X33&lt;30,1,0))</formula>
    </cfRule>
    <cfRule type="expression" priority="693" dxfId="0">
      <formula>AND(IF($Q33=3,1,IF($Q33=4,1,0)),IF($F33&lt;=85,1,0))</formula>
    </cfRule>
  </conditionalFormatting>
  <conditionalFormatting sqref="AI33">
    <cfRule type="expression" priority="686" dxfId="3">
      <formula>AND(IF(OR($Q33=1,$Q33=2),1,0),IF($X33&lt;=20,1,0))</formula>
    </cfRule>
    <cfRule type="expression" priority="687" dxfId="2">
      <formula>AND(IF($Q33=2,1,0),IF($X33&lt;30,1,0))</formula>
    </cfRule>
    <cfRule type="expression" priority="688" dxfId="1">
      <formula>AND(IF($Q33=3,1,0),IF($X33&lt;30,1,0))</formula>
    </cfRule>
    <cfRule type="expression" priority="689" dxfId="0">
      <formula>AND(IF($Q33=3,1,IF($Q33=4,1,0)),IF($F33&lt;=85,1,0))</formula>
    </cfRule>
  </conditionalFormatting>
  <conditionalFormatting sqref="AV34">
    <cfRule type="expression" priority="684" dxfId="17">
      <formula>AV34="X"</formula>
    </cfRule>
    <cfRule type="expression" priority="685" dxfId="16">
      <formula>AV34="후보"</formula>
    </cfRule>
  </conditionalFormatting>
  <conditionalFormatting sqref="AC34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">
    <cfRule type="expression" priority="675" dxfId="3">
      <formula>AND(IF(OR($Q34=1,$Q34=2),1,0),IF($X34&lt;=20,1,0))</formula>
    </cfRule>
    <cfRule type="expression" priority="676" dxfId="2">
      <formula>AND(IF($Q34=2,1,0),IF($X34&lt;30,1,0))</formula>
    </cfRule>
    <cfRule type="expression" priority="677" dxfId="1">
      <formula>AND(IF($Q34=3,1,0),IF($X34&lt;30,1,0))</formula>
    </cfRule>
    <cfRule type="expression" priority="678" dxfId="0">
      <formula>AND(IF($Q34=3,1,IF($Q34=4,1,0)),IF($F34&lt;=85,1,0))</formula>
    </cfRule>
  </conditionalFormatting>
  <conditionalFormatting sqref="X34">
    <cfRule type="expression" priority="671" dxfId="3">
      <formula>AND(IF(OR($Q34=1,$Q34=2),1,0),IF($X34&lt;=20,1,0))</formula>
    </cfRule>
    <cfRule type="expression" priority="672" dxfId="2">
      <formula>AND(IF($Q34=2,1,0),IF($X34&lt;30,1,0))</formula>
    </cfRule>
    <cfRule type="expression" priority="673" dxfId="1">
      <formula>AND(IF($Q34=3,1,0),IF($X34&lt;30,1,0))</formula>
    </cfRule>
    <cfRule type="expression" priority="674" dxfId="0">
      <formula>AND(IF($Q34=3,1,IF($Q34=4,1,0)),IF($F34&lt;=85,1,0))</formula>
    </cfRule>
  </conditionalFormatting>
  <conditionalFormatting sqref="AI34">
    <cfRule type="expression" priority="667" dxfId="3">
      <formula>AND(IF(OR($Q34=1,$Q34=2),1,0),IF($X34&lt;=20,1,0))</formula>
    </cfRule>
    <cfRule type="expression" priority="668" dxfId="2">
      <formula>AND(IF($Q34=2,1,0),IF($X34&lt;30,1,0))</formula>
    </cfRule>
    <cfRule type="expression" priority="669" dxfId="1">
      <formula>AND(IF($Q34=3,1,0),IF($X34&lt;30,1,0))</formula>
    </cfRule>
    <cfRule type="expression" priority="670" dxfId="0">
      <formula>AND(IF($Q34=3,1,IF($Q34=4,1,0)),IF($F34&lt;=85,1,0))</formula>
    </cfRule>
  </conditionalFormatting>
  <conditionalFormatting sqref="AV35">
    <cfRule type="expression" priority="665" dxfId="17">
      <formula>AV35="X"</formula>
    </cfRule>
    <cfRule type="expression" priority="666" dxfId="16">
      <formula>AV35="후보"</formula>
    </cfRule>
  </conditionalFormatting>
  <conditionalFormatting sqref="AC35 N35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AV36">
    <cfRule type="expression" priority="660" dxfId="17">
      <formula>AV36="X"</formula>
    </cfRule>
    <cfRule type="expression" priority="661" dxfId="16">
      <formula>AV36="후보"</formula>
    </cfRule>
  </conditionalFormatting>
  <conditionalFormatting sqref="AC36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36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36">
    <cfRule type="expression" priority="651" dxfId="3">
      <formula>AND(IF(OR($Q36=1,$Q36=2),1,0),IF($X36&lt;=20,1,0))</formula>
    </cfRule>
    <cfRule type="expression" priority="652" dxfId="2">
      <formula>AND(IF($Q36=2,1,0),IF($X36&lt;30,1,0))</formula>
    </cfRule>
    <cfRule type="expression" priority="653" dxfId="1">
      <formula>AND(IF($Q36=3,1,0),IF($X36&lt;30,1,0))</formula>
    </cfRule>
    <cfRule type="expression" priority="654" dxfId="0">
      <formula>AND(IF($Q36=3,1,IF($Q36=4,1,0)),IF($F36&lt;=85,1,0))</formula>
    </cfRule>
  </conditionalFormatting>
  <conditionalFormatting sqref="X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AI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V37">
    <cfRule type="expression" priority="641" dxfId="17">
      <formula>AV37="X"</formula>
    </cfRule>
    <cfRule type="expression" priority="642" dxfId="16">
      <formula>AV37="후보"</formula>
    </cfRule>
  </conditionalFormatting>
  <conditionalFormatting sqref="AC37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37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37">
    <cfRule type="expression" priority="632" dxfId="3">
      <formula>AND(IF(OR($Q37=1,$Q37=2),1,0),IF($X37&lt;=20,1,0))</formula>
    </cfRule>
    <cfRule type="expression" priority="633" dxfId="2">
      <formula>AND(IF($Q37=2,1,0),IF($X37&lt;30,1,0))</formula>
    </cfRule>
    <cfRule type="expression" priority="634" dxfId="1">
      <formula>AND(IF($Q37=3,1,0),IF($X37&lt;30,1,0))</formula>
    </cfRule>
    <cfRule type="expression" priority="635" dxfId="0">
      <formula>AND(IF($Q37=3,1,IF($Q37=4,1,0)),IF($F37&lt;=85,1,0))</formula>
    </cfRule>
  </conditionalFormatting>
  <conditionalFormatting sqref="X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AI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V38">
    <cfRule type="expression" priority="622" dxfId="17">
      <formula>AV38="X"</formula>
    </cfRule>
    <cfRule type="expression" priority="623" dxfId="16">
      <formula>AV38="후보"</formula>
    </cfRule>
  </conditionalFormatting>
  <conditionalFormatting sqref="AC38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38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38">
    <cfRule type="expression" priority="613" dxfId="3">
      <formula>AND(IF(OR($Q38=1,$Q38=2),1,0),IF($X38&lt;=20,1,0))</formula>
    </cfRule>
    <cfRule type="expression" priority="614" dxfId="2">
      <formula>AND(IF($Q38=2,1,0),IF($X38&lt;30,1,0))</formula>
    </cfRule>
    <cfRule type="expression" priority="615" dxfId="1">
      <formula>AND(IF($Q38=3,1,0),IF($X38&lt;30,1,0))</formula>
    </cfRule>
    <cfRule type="expression" priority="616" dxfId="0">
      <formula>AND(IF($Q38=3,1,IF($Q38=4,1,0)),IF($F38&lt;=85,1,0))</formula>
    </cfRule>
  </conditionalFormatting>
  <conditionalFormatting sqref="X38">
    <cfRule type="expression" priority="609" dxfId="3">
      <formula>AND(IF(OR($Q38=1,$Q38=2),1,0),IF($X38&lt;=20,1,0))</formula>
    </cfRule>
    <cfRule type="expression" priority="610" dxfId="2">
      <formula>AND(IF($Q38=2,1,0),IF($X38&lt;30,1,0))</formula>
    </cfRule>
    <cfRule type="expression" priority="611" dxfId="1">
      <formula>AND(IF($Q38=3,1,0),IF($X38&lt;30,1,0))</formula>
    </cfRule>
    <cfRule type="expression" priority="612" dxfId="0">
      <formula>AND(IF($Q38=3,1,IF($Q38=4,1,0)),IF($F38&lt;=85,1,0))</formula>
    </cfRule>
  </conditionalFormatting>
  <conditionalFormatting sqref="AI38">
    <cfRule type="expression" priority="605" dxfId="3">
      <formula>AND(IF(OR($Q38=1,$Q38=2),1,0),IF($X38&lt;=20,1,0))</formula>
    </cfRule>
    <cfRule type="expression" priority="606" dxfId="2">
      <formula>AND(IF($Q38=2,1,0),IF($X38&lt;30,1,0))</formula>
    </cfRule>
    <cfRule type="expression" priority="607" dxfId="1">
      <formula>AND(IF($Q38=3,1,0),IF($X38&lt;30,1,0))</formula>
    </cfRule>
    <cfRule type="expression" priority="608" dxfId="0">
      <formula>AND(IF($Q38=3,1,IF($Q38=4,1,0)),IF($F38&lt;=85,1,0))</formula>
    </cfRule>
  </conditionalFormatting>
  <conditionalFormatting sqref="AV39">
    <cfRule type="expression" priority="603" dxfId="17">
      <formula>AV39="X"</formula>
    </cfRule>
    <cfRule type="expression" priority="604" dxfId="16">
      <formula>AV39="후보"</formula>
    </cfRule>
  </conditionalFormatting>
  <conditionalFormatting sqref="AC39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39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39">
    <cfRule type="expression" priority="594" dxfId="3">
      <formula>AND(IF(OR($Q39=1,$Q39=2),1,0),IF($X39&lt;=20,1,0))</formula>
    </cfRule>
    <cfRule type="expression" priority="595" dxfId="2">
      <formula>AND(IF($Q39=2,1,0),IF($X39&lt;30,1,0))</formula>
    </cfRule>
    <cfRule type="expression" priority="596" dxfId="1">
      <formula>AND(IF($Q39=3,1,0),IF($X39&lt;30,1,0))</formula>
    </cfRule>
    <cfRule type="expression" priority="597" dxfId="0">
      <formula>AND(IF($Q39=3,1,IF($Q39=4,1,0)),IF($F39&lt;=85,1,0))</formula>
    </cfRule>
  </conditionalFormatting>
  <conditionalFormatting sqref="X39">
    <cfRule type="expression" priority="590" dxfId="3">
      <formula>AND(IF(OR($Q39=1,$Q39=2),1,0),IF($X39&lt;=20,1,0))</formula>
    </cfRule>
    <cfRule type="expression" priority="591" dxfId="2">
      <formula>AND(IF($Q39=2,1,0),IF($X39&lt;30,1,0))</formula>
    </cfRule>
    <cfRule type="expression" priority="592" dxfId="1">
      <formula>AND(IF($Q39=3,1,0),IF($X39&lt;30,1,0))</formula>
    </cfRule>
    <cfRule type="expression" priority="593" dxfId="0">
      <formula>AND(IF($Q39=3,1,IF($Q39=4,1,0)),IF($F39&lt;=85,1,0))</formula>
    </cfRule>
  </conditionalFormatting>
  <conditionalFormatting sqref="AI39">
    <cfRule type="expression" priority="586" dxfId="3">
      <formula>AND(IF(OR($Q39=1,$Q39=2),1,0),IF($X39&lt;=20,1,0))</formula>
    </cfRule>
    <cfRule type="expression" priority="587" dxfId="2">
      <formula>AND(IF($Q39=2,1,0),IF($X39&lt;30,1,0))</formula>
    </cfRule>
    <cfRule type="expression" priority="588" dxfId="1">
      <formula>AND(IF($Q39=3,1,0),IF($X39&lt;30,1,0))</formula>
    </cfRule>
    <cfRule type="expression" priority="589" dxfId="0">
      <formula>AND(IF($Q39=3,1,IF($Q39=4,1,0)),IF($F39&lt;=85,1,0))</formula>
    </cfRule>
  </conditionalFormatting>
  <conditionalFormatting sqref="AV40">
    <cfRule type="expression" priority="584" dxfId="17">
      <formula>AV40="X"</formula>
    </cfRule>
    <cfRule type="expression" priority="585" dxfId="16">
      <formula>AV40="후보"</formula>
    </cfRule>
  </conditionalFormatting>
  <conditionalFormatting sqref="AC40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4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40">
    <cfRule type="expression" priority="575" dxfId="3">
      <formula>AND(IF(OR($Q40=1,$Q40=2),1,0),IF($X40&lt;=20,1,0))</formula>
    </cfRule>
    <cfRule type="expression" priority="576" dxfId="2">
      <formula>AND(IF($Q40=2,1,0),IF($X40&lt;30,1,0))</formula>
    </cfRule>
    <cfRule type="expression" priority="577" dxfId="1">
      <formula>AND(IF($Q40=3,1,0),IF($X40&lt;30,1,0))</formula>
    </cfRule>
    <cfRule type="expression" priority="578" dxfId="0">
      <formula>AND(IF($Q40=3,1,IF($Q40=4,1,0)),IF($F40&lt;=85,1,0))</formula>
    </cfRule>
  </conditionalFormatting>
  <conditionalFormatting sqref="X40">
    <cfRule type="expression" priority="571" dxfId="3">
      <formula>AND(IF(OR($Q40=1,$Q40=2),1,0),IF($X40&lt;=20,1,0))</formula>
    </cfRule>
    <cfRule type="expression" priority="572" dxfId="2">
      <formula>AND(IF($Q40=2,1,0),IF($X40&lt;30,1,0))</formula>
    </cfRule>
    <cfRule type="expression" priority="573" dxfId="1">
      <formula>AND(IF($Q40=3,1,0),IF($X40&lt;30,1,0))</formula>
    </cfRule>
    <cfRule type="expression" priority="574" dxfId="0">
      <formula>AND(IF($Q40=3,1,IF($Q40=4,1,0)),IF($F40&lt;=85,1,0))</formula>
    </cfRule>
  </conditionalFormatting>
  <conditionalFormatting sqref="AI40">
    <cfRule type="expression" priority="567" dxfId="3">
      <formula>AND(IF(OR($Q40=1,$Q40=2),1,0),IF($X40&lt;=20,1,0))</formula>
    </cfRule>
    <cfRule type="expression" priority="568" dxfId="2">
      <formula>AND(IF($Q40=2,1,0),IF($X40&lt;30,1,0))</formula>
    </cfRule>
    <cfRule type="expression" priority="569" dxfId="1">
      <formula>AND(IF($Q40=3,1,0),IF($X40&lt;30,1,0))</formula>
    </cfRule>
    <cfRule type="expression" priority="570" dxfId="0">
      <formula>AND(IF($Q40=3,1,IF($Q40=4,1,0)),IF($F40&lt;=85,1,0))</formula>
    </cfRule>
  </conditionalFormatting>
  <conditionalFormatting sqref="AV41">
    <cfRule type="expression" priority="565" dxfId="17">
      <formula>AV41="X"</formula>
    </cfRule>
    <cfRule type="expression" priority="566" dxfId="16">
      <formula>AV41="후보"</formula>
    </cfRule>
  </conditionalFormatting>
  <conditionalFormatting sqref="AC41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41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41">
    <cfRule type="expression" priority="556" dxfId="3">
      <formula>AND(IF(OR($Q41=1,$Q41=2),1,0),IF($X41&lt;=20,1,0))</formula>
    </cfRule>
    <cfRule type="expression" priority="557" dxfId="2">
      <formula>AND(IF($Q41=2,1,0),IF($X41&lt;30,1,0))</formula>
    </cfRule>
    <cfRule type="expression" priority="558" dxfId="1">
      <formula>AND(IF($Q41=3,1,0),IF($X41&lt;30,1,0))</formula>
    </cfRule>
    <cfRule type="expression" priority="559" dxfId="0">
      <formula>AND(IF($Q41=3,1,IF($Q41=4,1,0)),IF($F41&lt;=85,1,0))</formula>
    </cfRule>
  </conditionalFormatting>
  <conditionalFormatting sqref="X41">
    <cfRule type="expression" priority="552" dxfId="3">
      <formula>AND(IF(OR($Q41=1,$Q41=2),1,0),IF($X41&lt;=20,1,0))</formula>
    </cfRule>
    <cfRule type="expression" priority="553" dxfId="2">
      <formula>AND(IF($Q41=2,1,0),IF($X41&lt;30,1,0))</formula>
    </cfRule>
    <cfRule type="expression" priority="554" dxfId="1">
      <formula>AND(IF($Q41=3,1,0),IF($X41&lt;30,1,0))</formula>
    </cfRule>
    <cfRule type="expression" priority="555" dxfId="0">
      <formula>AND(IF($Q41=3,1,IF($Q41=4,1,0)),IF($F41&lt;=85,1,0))</formula>
    </cfRule>
  </conditionalFormatting>
  <conditionalFormatting sqref="AI41">
    <cfRule type="expression" priority="548" dxfId="3">
      <formula>AND(IF(OR($Q41=1,$Q41=2),1,0),IF($X41&lt;=20,1,0))</formula>
    </cfRule>
    <cfRule type="expression" priority="549" dxfId="2">
      <formula>AND(IF($Q41=2,1,0),IF($X41&lt;30,1,0))</formula>
    </cfRule>
    <cfRule type="expression" priority="550" dxfId="1">
      <formula>AND(IF($Q41=3,1,0),IF($X41&lt;30,1,0))</formula>
    </cfRule>
    <cfRule type="expression" priority="551" dxfId="0">
      <formula>AND(IF($Q41=3,1,IF($Q41=4,1,0)),IF($F41&lt;=85,1,0))</formula>
    </cfRule>
  </conditionalFormatting>
  <conditionalFormatting sqref="AV42">
    <cfRule type="expression" priority="546" dxfId="17">
      <formula>AV42="X"</formula>
    </cfRule>
    <cfRule type="expression" priority="547" dxfId="16">
      <formula>AV42="후보"</formula>
    </cfRule>
  </conditionalFormatting>
  <conditionalFormatting sqref="AC4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2">
    <cfRule type="expression" priority="537" dxfId="3">
      <formula>AND(IF(OR($Q42=1,$Q42=2),1,0),IF($X42&lt;=20,1,0))</formula>
    </cfRule>
    <cfRule type="expression" priority="538" dxfId="2">
      <formula>AND(IF($Q42=2,1,0),IF($X42&lt;30,1,0))</formula>
    </cfRule>
    <cfRule type="expression" priority="539" dxfId="1">
      <formula>AND(IF($Q42=3,1,0),IF($X42&lt;30,1,0))</formula>
    </cfRule>
    <cfRule type="expression" priority="540" dxfId="0">
      <formula>AND(IF($Q42=3,1,IF($Q42=4,1,0)),IF($F42&lt;=85,1,0))</formula>
    </cfRule>
  </conditionalFormatting>
  <conditionalFormatting sqref="X42">
    <cfRule type="expression" priority="533" dxfId="3">
      <formula>AND(IF(OR($Q42=1,$Q42=2),1,0),IF($X42&lt;=20,1,0))</formula>
    </cfRule>
    <cfRule type="expression" priority="534" dxfId="2">
      <formula>AND(IF($Q42=2,1,0),IF($X42&lt;30,1,0))</formula>
    </cfRule>
    <cfRule type="expression" priority="535" dxfId="1">
      <formula>AND(IF($Q42=3,1,0),IF($X42&lt;30,1,0))</formula>
    </cfRule>
    <cfRule type="expression" priority="536" dxfId="0">
      <formula>AND(IF($Q42=3,1,IF($Q42=4,1,0)),IF($F42&lt;=85,1,0))</formula>
    </cfRule>
  </conditionalFormatting>
  <conditionalFormatting sqref="AI42">
    <cfRule type="expression" priority="529" dxfId="3">
      <formula>AND(IF(OR($Q42=1,$Q42=2),1,0),IF($X42&lt;=20,1,0))</formula>
    </cfRule>
    <cfRule type="expression" priority="530" dxfId="2">
      <formula>AND(IF($Q42=2,1,0),IF($X42&lt;30,1,0))</formula>
    </cfRule>
    <cfRule type="expression" priority="531" dxfId="1">
      <formula>AND(IF($Q42=3,1,0),IF($X42&lt;30,1,0))</formula>
    </cfRule>
    <cfRule type="expression" priority="532" dxfId="0">
      <formula>AND(IF($Q42=3,1,IF($Q42=4,1,0)),IF($F42&lt;=85,1,0))</formula>
    </cfRule>
  </conditionalFormatting>
  <conditionalFormatting sqref="AV43">
    <cfRule type="expression" priority="527" dxfId="17">
      <formula>AV43="X"</formula>
    </cfRule>
    <cfRule type="expression" priority="528" dxfId="16">
      <formula>AV43="후보"</formula>
    </cfRule>
  </conditionalFormatting>
  <conditionalFormatting sqref="AC43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3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3">
    <cfRule type="expression" priority="518" dxfId="3">
      <formula>AND(IF(OR($Q43=1,$Q43=2),1,0),IF($X43&lt;=20,1,0))</formula>
    </cfRule>
    <cfRule type="expression" priority="519" dxfId="2">
      <formula>AND(IF($Q43=2,1,0),IF($X43&lt;30,1,0))</formula>
    </cfRule>
    <cfRule type="expression" priority="520" dxfId="1">
      <formula>AND(IF($Q43=3,1,0),IF($X43&lt;30,1,0))</formula>
    </cfRule>
    <cfRule type="expression" priority="521" dxfId="0">
      <formula>AND(IF($Q43=3,1,IF($Q43=4,1,0)),IF($F43&lt;=85,1,0))</formula>
    </cfRule>
  </conditionalFormatting>
  <conditionalFormatting sqref="X43">
    <cfRule type="expression" priority="514" dxfId="3">
      <formula>AND(IF(OR($Q43=1,$Q43=2),1,0),IF($X43&lt;=20,1,0))</formula>
    </cfRule>
    <cfRule type="expression" priority="515" dxfId="2">
      <formula>AND(IF($Q43=2,1,0),IF($X43&lt;30,1,0))</formula>
    </cfRule>
    <cfRule type="expression" priority="516" dxfId="1">
      <formula>AND(IF($Q43=3,1,0),IF($X43&lt;30,1,0))</formula>
    </cfRule>
    <cfRule type="expression" priority="517" dxfId="0">
      <formula>AND(IF($Q43=3,1,IF($Q43=4,1,0)),IF($F43&lt;=85,1,0))</formula>
    </cfRule>
  </conditionalFormatting>
  <conditionalFormatting sqref="AI43">
    <cfRule type="expression" priority="510" dxfId="3">
      <formula>AND(IF(OR($Q43=1,$Q43=2),1,0),IF($X43&lt;=20,1,0))</formula>
    </cfRule>
    <cfRule type="expression" priority="511" dxfId="2">
      <formula>AND(IF($Q43=2,1,0),IF($X43&lt;30,1,0))</formula>
    </cfRule>
    <cfRule type="expression" priority="512" dxfId="1">
      <formula>AND(IF($Q43=3,1,0),IF($X43&lt;30,1,0))</formula>
    </cfRule>
    <cfRule type="expression" priority="513" dxfId="0">
      <formula>AND(IF($Q43=3,1,IF($Q43=4,1,0)),IF($F43&lt;=85,1,0))</formula>
    </cfRule>
  </conditionalFormatting>
  <conditionalFormatting sqref="AV44">
    <cfRule type="expression" priority="508" dxfId="17">
      <formula>AV44="X"</formula>
    </cfRule>
    <cfRule type="expression" priority="509" dxfId="16">
      <formula>AV44="후보"</formula>
    </cfRule>
  </conditionalFormatting>
  <conditionalFormatting sqref="AC4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4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4">
    <cfRule type="expression" priority="499" dxfId="3">
      <formula>AND(IF(OR($Q44=1,$Q44=2),1,0),IF($X44&lt;=20,1,0))</formula>
    </cfRule>
    <cfRule type="expression" priority="500" dxfId="2">
      <formula>AND(IF($Q44=2,1,0),IF($X44&lt;30,1,0))</formula>
    </cfRule>
    <cfRule type="expression" priority="501" dxfId="1">
      <formula>AND(IF($Q44=3,1,0),IF($X44&lt;30,1,0))</formula>
    </cfRule>
    <cfRule type="expression" priority="502" dxfId="0">
      <formula>AND(IF($Q44=3,1,IF($Q44=4,1,0)),IF($F44&lt;=85,1,0))</formula>
    </cfRule>
  </conditionalFormatting>
  <conditionalFormatting sqref="X44">
    <cfRule type="expression" priority="495" dxfId="3">
      <formula>AND(IF(OR($Q44=1,$Q44=2),1,0),IF($X44&lt;=20,1,0))</formula>
    </cfRule>
    <cfRule type="expression" priority="496" dxfId="2">
      <formula>AND(IF($Q44=2,1,0),IF($X44&lt;30,1,0))</formula>
    </cfRule>
    <cfRule type="expression" priority="497" dxfId="1">
      <formula>AND(IF($Q44=3,1,0),IF($X44&lt;30,1,0))</formula>
    </cfRule>
    <cfRule type="expression" priority="498" dxfId="0">
      <formula>AND(IF($Q44=3,1,IF($Q44=4,1,0)),IF($F44&lt;=85,1,0))</formula>
    </cfRule>
  </conditionalFormatting>
  <conditionalFormatting sqref="AI44">
    <cfRule type="expression" priority="491" dxfId="3">
      <formula>AND(IF(OR($Q44=1,$Q44=2),1,0),IF($X44&lt;=20,1,0))</formula>
    </cfRule>
    <cfRule type="expression" priority="492" dxfId="2">
      <formula>AND(IF($Q44=2,1,0),IF($X44&lt;30,1,0))</formula>
    </cfRule>
    <cfRule type="expression" priority="493" dxfId="1">
      <formula>AND(IF($Q44=3,1,0),IF($X44&lt;30,1,0))</formula>
    </cfRule>
    <cfRule type="expression" priority="494" dxfId="0">
      <formula>AND(IF($Q44=3,1,IF($Q44=4,1,0)),IF($F44&lt;=85,1,0))</formula>
    </cfRule>
  </conditionalFormatting>
  <conditionalFormatting sqref="AV45">
    <cfRule type="expression" priority="489" dxfId="17">
      <formula>AV45="X"</formula>
    </cfRule>
    <cfRule type="expression" priority="490" dxfId="16">
      <formula>AV45="후보"</formula>
    </cfRule>
  </conditionalFormatting>
  <conditionalFormatting sqref="AC45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5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5">
    <cfRule type="expression" priority="480" dxfId="3">
      <formula>AND(IF(OR($Q45=1,$Q45=2),1,0),IF($X45&lt;=20,1,0))</formula>
    </cfRule>
    <cfRule type="expression" priority="481" dxfId="2">
      <formula>AND(IF($Q45=2,1,0),IF($X45&lt;30,1,0))</formula>
    </cfRule>
    <cfRule type="expression" priority="482" dxfId="1">
      <formula>AND(IF($Q45=3,1,0),IF($X45&lt;30,1,0))</formula>
    </cfRule>
    <cfRule type="expression" priority="483" dxfId="0">
      <formula>AND(IF($Q45=3,1,IF($Q45=4,1,0)),IF($F45&lt;=85,1,0))</formula>
    </cfRule>
  </conditionalFormatting>
  <conditionalFormatting sqref="X45">
    <cfRule type="expression" priority="476" dxfId="3">
      <formula>AND(IF(OR($Q45=1,$Q45=2),1,0),IF($X45&lt;=20,1,0))</formula>
    </cfRule>
    <cfRule type="expression" priority="477" dxfId="2">
      <formula>AND(IF($Q45=2,1,0),IF($X45&lt;30,1,0))</formula>
    </cfRule>
    <cfRule type="expression" priority="478" dxfId="1">
      <formula>AND(IF($Q45=3,1,0),IF($X45&lt;30,1,0))</formula>
    </cfRule>
    <cfRule type="expression" priority="479" dxfId="0">
      <formula>AND(IF($Q45=3,1,IF($Q45=4,1,0)),IF($F45&lt;=85,1,0))</formula>
    </cfRule>
  </conditionalFormatting>
  <conditionalFormatting sqref="AI45">
    <cfRule type="expression" priority="472" dxfId="3">
      <formula>AND(IF(OR($Q45=1,$Q45=2),1,0),IF($X45&lt;=20,1,0))</formula>
    </cfRule>
    <cfRule type="expression" priority="473" dxfId="2">
      <formula>AND(IF($Q45=2,1,0),IF($X45&lt;30,1,0))</formula>
    </cfRule>
    <cfRule type="expression" priority="474" dxfId="1">
      <formula>AND(IF($Q45=3,1,0),IF($X45&lt;30,1,0))</formula>
    </cfRule>
    <cfRule type="expression" priority="475" dxfId="0">
      <formula>AND(IF($Q45=3,1,IF($Q45=4,1,0)),IF($F45&lt;=85,1,0))</formula>
    </cfRule>
  </conditionalFormatting>
  <conditionalFormatting sqref="AV46">
    <cfRule type="expression" priority="470" dxfId="17">
      <formula>AV46="X"</formula>
    </cfRule>
    <cfRule type="expression" priority="471" dxfId="16">
      <formula>AV46="후보"</formula>
    </cfRule>
  </conditionalFormatting>
  <conditionalFormatting sqref="AC46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6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17">
      <formula>AV47="X"</formula>
    </cfRule>
    <cfRule type="expression" priority="452" dxfId="16">
      <formula>AV47="후보"</formula>
    </cfRule>
  </conditionalFormatting>
  <conditionalFormatting sqref="AC47 N47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48">
    <cfRule type="expression" priority="446" dxfId="17">
      <formula>AV48="X"</formula>
    </cfRule>
    <cfRule type="expression" priority="447" dxfId="16">
      <formula>AV48="후보"</formula>
    </cfRule>
  </conditionalFormatting>
  <conditionalFormatting sqref="AC48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48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48">
    <cfRule type="expression" priority="437" dxfId="3">
      <formula>AND(IF(OR($Q48=1,$Q48=2),1,0),IF($X48&lt;=20,1,0))</formula>
    </cfRule>
    <cfRule type="expression" priority="438" dxfId="2">
      <formula>AND(IF($Q48=2,1,0),IF($X48&lt;30,1,0))</formula>
    </cfRule>
    <cfRule type="expression" priority="439" dxfId="1">
      <formula>AND(IF($Q48=3,1,0),IF($X48&lt;30,1,0))</formula>
    </cfRule>
    <cfRule type="expression" priority="440" dxfId="0">
      <formula>AND(IF($Q48=3,1,IF($Q48=4,1,0)),IF($F48&lt;=85,1,0))</formula>
    </cfRule>
  </conditionalFormatting>
  <conditionalFormatting sqref="X48">
    <cfRule type="expression" priority="433" dxfId="3">
      <formula>AND(IF(OR($Q48=1,$Q48=2),1,0),IF($X48&lt;=20,1,0))</formula>
    </cfRule>
    <cfRule type="expression" priority="434" dxfId="2">
      <formula>AND(IF($Q48=2,1,0),IF($X48&lt;30,1,0))</formula>
    </cfRule>
    <cfRule type="expression" priority="435" dxfId="1">
      <formula>AND(IF($Q48=3,1,0),IF($X48&lt;30,1,0))</formula>
    </cfRule>
    <cfRule type="expression" priority="436" dxfId="0">
      <formula>AND(IF($Q48=3,1,IF($Q48=4,1,0)),IF($F48&lt;=85,1,0))</formula>
    </cfRule>
  </conditionalFormatting>
  <conditionalFormatting sqref="AI48">
    <cfRule type="expression" priority="429" dxfId="3">
      <formula>AND(IF(OR($Q48=1,$Q48=2),1,0),IF($X48&lt;=20,1,0))</formula>
    </cfRule>
    <cfRule type="expression" priority="430" dxfId="2">
      <formula>AND(IF($Q48=2,1,0),IF($X48&lt;30,1,0))</formula>
    </cfRule>
    <cfRule type="expression" priority="431" dxfId="1">
      <formula>AND(IF($Q48=3,1,0),IF($X48&lt;30,1,0))</formula>
    </cfRule>
    <cfRule type="expression" priority="432" dxfId="0">
      <formula>AND(IF($Q48=3,1,IF($Q48=4,1,0)),IF($F48&lt;=85,1,0))</formula>
    </cfRule>
  </conditionalFormatting>
  <conditionalFormatting sqref="AV49">
    <cfRule type="expression" priority="427" dxfId="17">
      <formula>AV49="X"</formula>
    </cfRule>
    <cfRule type="expression" priority="428" dxfId="16">
      <formula>AV49="후보"</formula>
    </cfRule>
  </conditionalFormatting>
  <conditionalFormatting sqref="AC49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49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49">
    <cfRule type="expression" priority="418" dxfId="3">
      <formula>AND(IF(OR($Q49=1,$Q49=2),1,0),IF($X49&lt;=20,1,0))</formula>
    </cfRule>
    <cfRule type="expression" priority="419" dxfId="2">
      <formula>AND(IF($Q49=2,1,0),IF($X49&lt;30,1,0))</formula>
    </cfRule>
    <cfRule type="expression" priority="420" dxfId="1">
      <formula>AND(IF($Q49=3,1,0),IF($X49&lt;30,1,0))</formula>
    </cfRule>
    <cfRule type="expression" priority="421" dxfId="0">
      <formula>AND(IF($Q49=3,1,IF($Q49=4,1,0)),IF($F49&lt;=85,1,0))</formula>
    </cfRule>
  </conditionalFormatting>
  <conditionalFormatting sqref="X49">
    <cfRule type="expression" priority="414" dxfId="3">
      <formula>AND(IF(OR($Q49=1,$Q49=2),1,0),IF($X49&lt;=20,1,0))</formula>
    </cfRule>
    <cfRule type="expression" priority="415" dxfId="2">
      <formula>AND(IF($Q49=2,1,0),IF($X49&lt;30,1,0))</formula>
    </cfRule>
    <cfRule type="expression" priority="416" dxfId="1">
      <formula>AND(IF($Q49=3,1,0),IF($X49&lt;30,1,0))</formula>
    </cfRule>
    <cfRule type="expression" priority="417" dxfId="0">
      <formula>AND(IF($Q49=3,1,IF($Q49=4,1,0)),IF($F49&lt;=85,1,0))</formula>
    </cfRule>
  </conditionalFormatting>
  <conditionalFormatting sqref="AI49">
    <cfRule type="expression" priority="410" dxfId="3">
      <formula>AND(IF(OR($Q49=1,$Q49=2),1,0),IF($X49&lt;=20,1,0))</formula>
    </cfRule>
    <cfRule type="expression" priority="411" dxfId="2">
      <formula>AND(IF($Q49=2,1,0),IF($X49&lt;30,1,0))</formula>
    </cfRule>
    <cfRule type="expression" priority="412" dxfId="1">
      <formula>AND(IF($Q49=3,1,0),IF($X49&lt;30,1,0))</formula>
    </cfRule>
    <cfRule type="expression" priority="413" dxfId="0">
      <formula>AND(IF($Q49=3,1,IF($Q49=4,1,0)),IF($F49&lt;=85,1,0))</formula>
    </cfRule>
  </conditionalFormatting>
  <conditionalFormatting sqref="AV50">
    <cfRule type="expression" priority="408" dxfId="17">
      <formula>AV50="X"</formula>
    </cfRule>
    <cfRule type="expression" priority="409" dxfId="16">
      <formula>AV50="후보"</formula>
    </cfRule>
  </conditionalFormatting>
  <conditionalFormatting sqref="AC50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50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50">
    <cfRule type="expression" priority="399" dxfId="3">
      <formula>AND(IF(OR($Q50=1,$Q50=2),1,0),IF($X50&lt;=20,1,0))</formula>
    </cfRule>
    <cfRule type="expression" priority="400" dxfId="2">
      <formula>AND(IF($Q50=2,1,0),IF($X50&lt;30,1,0))</formula>
    </cfRule>
    <cfRule type="expression" priority="401" dxfId="1">
      <formula>AND(IF($Q50=3,1,0),IF($X50&lt;30,1,0))</formula>
    </cfRule>
    <cfRule type="expression" priority="402" dxfId="0">
      <formula>AND(IF($Q50=3,1,IF($Q50=4,1,0)),IF($F50&lt;=85,1,0))</formula>
    </cfRule>
  </conditionalFormatting>
  <conditionalFormatting sqref="X50">
    <cfRule type="expression" priority="395" dxfId="3">
      <formula>AND(IF(OR($Q50=1,$Q50=2),1,0),IF($X50&lt;=20,1,0))</formula>
    </cfRule>
    <cfRule type="expression" priority="396" dxfId="2">
      <formula>AND(IF($Q50=2,1,0),IF($X50&lt;30,1,0))</formula>
    </cfRule>
    <cfRule type="expression" priority="397" dxfId="1">
      <formula>AND(IF($Q50=3,1,0),IF($X50&lt;30,1,0))</formula>
    </cfRule>
    <cfRule type="expression" priority="398" dxfId="0">
      <formula>AND(IF($Q50=3,1,IF($Q50=4,1,0)),IF($F50&lt;=85,1,0))</formula>
    </cfRule>
  </conditionalFormatting>
  <conditionalFormatting sqref="AI50">
    <cfRule type="expression" priority="391" dxfId="3">
      <formula>AND(IF(OR($Q50=1,$Q50=2),1,0),IF($X50&lt;=20,1,0))</formula>
    </cfRule>
    <cfRule type="expression" priority="392" dxfId="2">
      <formula>AND(IF($Q50=2,1,0),IF($X50&lt;30,1,0))</formula>
    </cfRule>
    <cfRule type="expression" priority="393" dxfId="1">
      <formula>AND(IF($Q50=3,1,0),IF($X50&lt;30,1,0))</formula>
    </cfRule>
    <cfRule type="expression" priority="394" dxfId="0">
      <formula>AND(IF($Q50=3,1,IF($Q50=4,1,0)),IF($F50&lt;=85,1,0))</formula>
    </cfRule>
  </conditionalFormatting>
  <conditionalFormatting sqref="AV51">
    <cfRule type="expression" priority="389" dxfId="17">
      <formula>AV51="X"</formula>
    </cfRule>
    <cfRule type="expression" priority="390" dxfId="16">
      <formula>AV51="후보"</formula>
    </cfRule>
  </conditionalFormatting>
  <conditionalFormatting sqref="AC51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51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17">
      <formula>AV52="X"</formula>
    </cfRule>
    <cfRule type="expression" priority="371" dxfId="16">
      <formula>AV52="후보"</formula>
    </cfRule>
  </conditionalFormatting>
  <conditionalFormatting sqref="AC5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17">
      <formula>AV53="X"</formula>
    </cfRule>
    <cfRule type="expression" priority="352" dxfId="16">
      <formula>AV53="후보"</formula>
    </cfRule>
  </conditionalFormatting>
  <conditionalFormatting sqref="AC5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17">
      <formula>AV54="X"</formula>
    </cfRule>
    <cfRule type="expression" priority="333" dxfId="16">
      <formula>AV54="후보"</formula>
    </cfRule>
  </conditionalFormatting>
  <conditionalFormatting sqref="AC5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17">
      <formula>AV55="X"</formula>
    </cfRule>
    <cfRule type="expression" priority="314" dxfId="16">
      <formula>AV55="후보"</formula>
    </cfRule>
  </conditionalFormatting>
  <conditionalFormatting sqref="AC5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17">
      <formula>AV56="X"</formula>
    </cfRule>
    <cfRule type="expression" priority="295" dxfId="16">
      <formula>AV56="후보"</formula>
    </cfRule>
  </conditionalFormatting>
  <conditionalFormatting sqref="AC56 N5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57">
    <cfRule type="expression" priority="289" dxfId="17">
      <formula>AV57="X"</formula>
    </cfRule>
    <cfRule type="expression" priority="290" dxfId="16">
      <formula>AV57="후보"</formula>
    </cfRule>
  </conditionalFormatting>
  <conditionalFormatting sqref="AC5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5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57">
    <cfRule type="expression" priority="280" dxfId="3">
      <formula>AND(IF(OR($Q57=1,$Q57=2),1,0),IF($X57&lt;=20,1,0))</formula>
    </cfRule>
    <cfRule type="expression" priority="281" dxfId="2">
      <formula>AND(IF($Q57=2,1,0),IF($X57&lt;30,1,0))</formula>
    </cfRule>
    <cfRule type="expression" priority="282" dxfId="1">
      <formula>AND(IF($Q57=3,1,0),IF($X57&lt;30,1,0))</formula>
    </cfRule>
    <cfRule type="expression" priority="283" dxfId="0">
      <formula>AND(IF($Q57=3,1,IF($Q57=4,1,0)),IF($F57&lt;=85,1,0))</formula>
    </cfRule>
  </conditionalFormatting>
  <conditionalFormatting sqref="X57">
    <cfRule type="expression" priority="276" dxfId="3">
      <formula>AND(IF(OR($Q57=1,$Q57=2),1,0),IF($X57&lt;=20,1,0))</formula>
    </cfRule>
    <cfRule type="expression" priority="277" dxfId="2">
      <formula>AND(IF($Q57=2,1,0),IF($X57&lt;30,1,0))</formula>
    </cfRule>
    <cfRule type="expression" priority="278" dxfId="1">
      <formula>AND(IF($Q57=3,1,0),IF($X57&lt;30,1,0))</formula>
    </cfRule>
    <cfRule type="expression" priority="279" dxfId="0">
      <formula>AND(IF($Q57=3,1,IF($Q57=4,1,0)),IF($F57&lt;=85,1,0))</formula>
    </cfRule>
  </conditionalFormatting>
  <conditionalFormatting sqref="AI57">
    <cfRule type="expression" priority="272" dxfId="3">
      <formula>AND(IF(OR($Q57=1,$Q57=2),1,0),IF($X57&lt;=20,1,0))</formula>
    </cfRule>
    <cfRule type="expression" priority="273" dxfId="2">
      <formula>AND(IF($Q57=2,1,0),IF($X57&lt;30,1,0))</formula>
    </cfRule>
    <cfRule type="expression" priority="274" dxfId="1">
      <formula>AND(IF($Q57=3,1,0),IF($X57&lt;30,1,0))</formula>
    </cfRule>
    <cfRule type="expression" priority="275" dxfId="0">
      <formula>AND(IF($Q57=3,1,IF($Q57=4,1,0)),IF($F57&lt;=85,1,0))</formula>
    </cfRule>
  </conditionalFormatting>
  <conditionalFormatting sqref="AV58">
    <cfRule type="expression" priority="270" dxfId="17">
      <formula>AV58="X"</formula>
    </cfRule>
    <cfRule type="expression" priority="271" dxfId="16">
      <formula>AV58="후보"</formula>
    </cfRule>
  </conditionalFormatting>
  <conditionalFormatting sqref="AC5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5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17">
      <formula>AV59="X"</formula>
    </cfRule>
    <cfRule type="expression" priority="252" dxfId="16">
      <formula>AV59="후보"</formula>
    </cfRule>
  </conditionalFormatting>
  <conditionalFormatting sqref="AC5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5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17">
      <formula>AV60="X"</formula>
    </cfRule>
    <cfRule type="expression" priority="233" dxfId="16">
      <formula>AV60="후보"</formula>
    </cfRule>
  </conditionalFormatting>
  <conditionalFormatting sqref="AC6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17">
      <formula>AV61="X"</formula>
    </cfRule>
    <cfRule type="expression" priority="214" dxfId="16">
      <formula>AV61="후보"</formula>
    </cfRule>
  </conditionalFormatting>
  <conditionalFormatting sqref="AC6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17">
      <formula>AV62="X"</formula>
    </cfRule>
    <cfRule type="expression" priority="195" dxfId="16">
      <formula>AV62="후보"</formula>
    </cfRule>
  </conditionalFormatting>
  <conditionalFormatting sqref="AC6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17">
      <formula>AV63="X"</formula>
    </cfRule>
    <cfRule type="expression" priority="176" dxfId="16">
      <formula>AV63="후보"</formula>
    </cfRule>
  </conditionalFormatting>
  <conditionalFormatting sqref="AC6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17">
      <formula>AV64="X"</formula>
    </cfRule>
    <cfRule type="expression" priority="157" dxfId="16">
      <formula>AV64="후보"</formula>
    </cfRule>
  </conditionalFormatting>
  <conditionalFormatting sqref="AC6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17">
      <formula>AV65="X"</formula>
    </cfRule>
    <cfRule type="expression" priority="138" dxfId="16">
      <formula>AV65="후보"</formula>
    </cfRule>
  </conditionalFormatting>
  <conditionalFormatting sqref="AC6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17">
      <formula>AV66="X"</formula>
    </cfRule>
    <cfRule type="expression" priority="119" dxfId="16">
      <formula>AV66="후보"</formula>
    </cfRule>
  </conditionalFormatting>
  <conditionalFormatting sqref="AC6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17">
      <formula>AV67="X"</formula>
    </cfRule>
    <cfRule type="expression" priority="100" dxfId="16">
      <formula>AV67="후보"</formula>
    </cfRule>
  </conditionalFormatting>
  <conditionalFormatting sqref="AC67 N6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8">
    <cfRule type="expression" priority="94" dxfId="17">
      <formula>AV68="X"</formula>
    </cfRule>
    <cfRule type="expression" priority="95" dxfId="16">
      <formula>AV68="후보"</formula>
    </cfRule>
  </conditionalFormatting>
  <conditionalFormatting sqref="AC6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17">
      <formula>AV69="X"</formula>
    </cfRule>
    <cfRule type="expression" priority="76" dxfId="16">
      <formula>AV69="후보"</formula>
    </cfRule>
  </conditionalFormatting>
  <conditionalFormatting sqref="AC6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17">
      <formula>AV70="X"</formula>
    </cfRule>
    <cfRule type="expression" priority="57" dxfId="16">
      <formula>AV70="후보"</formula>
    </cfRule>
  </conditionalFormatting>
  <conditionalFormatting sqref="AC7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17">
      <formula>AV71="X"</formula>
    </cfRule>
    <cfRule type="expression" priority="38" dxfId="16">
      <formula>AV71="후보"</formula>
    </cfRule>
  </conditionalFormatting>
  <conditionalFormatting sqref="AC7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17">
      <formula>AV72="X"</formula>
    </cfRule>
    <cfRule type="expression" priority="19" dxfId="16">
      <formula>AV72="후보"</formula>
    </cfRule>
  </conditionalFormatting>
  <conditionalFormatting sqref="AC7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에코타운1단지</t>
        </is>
      </c>
      <c r="B6" s="16" t="inlineStr">
        <is>
          <t>'04.11.</t>
        </is>
      </c>
      <c r="C6" s="164" t="n">
        <v>525</v>
      </c>
      <c r="D6" s="161" t="n">
        <v>77</v>
      </c>
      <c r="E6" s="163" t="n">
        <v>23</v>
      </c>
      <c r="F6" s="161" t="n">
        <v>57.4</v>
      </c>
      <c r="G6" s="27" t="n">
        <v>17</v>
      </c>
      <c r="H6" s="164" t="n">
        <v>397</v>
      </c>
      <c r="I6" s="165" t="n">
        <v>70000</v>
      </c>
      <c r="J6" s="165" t="inlineStr">
        <is>
          <t>고</t>
        </is>
      </c>
      <c r="K6" s="165" t="n">
        <v>47000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inlineStr">
        <is>
          <t>77A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에코타운1단지</t>
        </is>
      </c>
      <c r="B7" s="16" t="inlineStr">
        <is>
          <t>'04.11.</t>
        </is>
      </c>
      <c r="C7" s="164" t="n">
        <v>525</v>
      </c>
      <c r="D7" s="161" t="n">
        <v>77</v>
      </c>
      <c r="E7" s="163" t="n">
        <v>23</v>
      </c>
      <c r="F7" s="161" t="n">
        <v>58.1</v>
      </c>
      <c r="G7" s="27" t="n">
        <v>18</v>
      </c>
      <c r="H7" s="164" t="n">
        <v>128</v>
      </c>
      <c r="I7" s="165" t="n">
        <v>75000</v>
      </c>
      <c r="J7" s="165" t="inlineStr">
        <is>
          <t>18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inlineStr">
        <is>
          <t>77B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대명강변타운</t>
        </is>
      </c>
      <c r="B9" s="16" t="inlineStr">
        <is>
          <t>'07.08.</t>
        </is>
      </c>
      <c r="C9" s="164" t="n">
        <v>1369</v>
      </c>
      <c r="D9" s="161" t="n">
        <v>93.40000000000001</v>
      </c>
      <c r="E9" s="163" t="n">
        <v>28</v>
      </c>
      <c r="F9" s="161" t="n">
        <v>68.09999999999999</v>
      </c>
      <c r="G9" s="27" t="n">
        <v>21</v>
      </c>
      <c r="H9" s="164" t="n">
        <v>142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대명강변타운</t>
        </is>
      </c>
      <c r="B10" s="16" t="inlineStr">
        <is>
          <t>'07.08.</t>
        </is>
      </c>
      <c r="C10" s="164" t="n">
        <v>1369</v>
      </c>
      <c r="D10" s="161" t="n">
        <v>111.6</v>
      </c>
      <c r="E10" s="163" t="n">
        <v>34</v>
      </c>
      <c r="F10" s="161" t="n">
        <v>84.8</v>
      </c>
      <c r="G10" s="27" t="n">
        <v>26</v>
      </c>
      <c r="H10" s="164" t="n">
        <v>1227</v>
      </c>
      <c r="I10" s="165" t="n">
        <v>83000</v>
      </c>
      <c r="J10" s="165" t="inlineStr">
        <is>
          <t>9</t>
        </is>
      </c>
      <c r="K10" s="165" t="n">
        <v>50400</v>
      </c>
      <c r="L10" s="165" t="inlineStr">
        <is>
          <t>21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벽산블루밍더클래식</t>
        </is>
      </c>
      <c r="B12" s="16" t="inlineStr">
        <is>
          <t>'10.08.</t>
        </is>
      </c>
      <c r="C12" s="164" t="n">
        <v>220</v>
      </c>
      <c r="D12" s="161" t="n">
        <v>113.4</v>
      </c>
      <c r="E12" s="163" t="n">
        <v>34</v>
      </c>
      <c r="F12" s="161" t="n">
        <v>82.8</v>
      </c>
      <c r="G12" s="27" t="n">
        <v>25</v>
      </c>
      <c r="H12" s="164" t="n">
        <v>73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2</v>
      </c>
      <c r="S12" s="113" t="inlineStr">
        <is>
          <t>계</t>
        </is>
      </c>
      <c r="T12" s="8" t="inlineStr">
        <is>
          <t>113A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벽산블루밍더클래식</t>
        </is>
      </c>
      <c r="B13" s="16" t="inlineStr">
        <is>
          <t>'10.08.</t>
        </is>
      </c>
      <c r="C13" s="164" t="n">
        <v>220</v>
      </c>
      <c r="D13" s="161" t="n">
        <v>115.1</v>
      </c>
      <c r="E13" s="163" t="n">
        <v>35</v>
      </c>
      <c r="F13" s="161" t="n">
        <v>84.2</v>
      </c>
      <c r="G13" s="27" t="n">
        <v>25</v>
      </c>
      <c r="H13" s="164" t="n">
        <v>75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벽산블루밍더클래식</t>
        </is>
      </c>
      <c r="B14" s="16" t="inlineStr">
        <is>
          <t>'10.08.</t>
        </is>
      </c>
      <c r="C14" s="164" t="n">
        <v>220</v>
      </c>
      <c r="D14" s="161" t="n">
        <v>116.6</v>
      </c>
      <c r="E14" s="163" t="n">
        <v>35</v>
      </c>
      <c r="F14" s="161" t="n">
        <v>84.90000000000001</v>
      </c>
      <c r="G14" s="27" t="n">
        <v>26</v>
      </c>
      <c r="H14" s="164" t="n">
        <v>18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inlineStr">
        <is>
          <t>116C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벽산블루밍더클래식</t>
        </is>
      </c>
      <c r="B15" s="16" t="inlineStr">
        <is>
          <t>'10.08.</t>
        </is>
      </c>
      <c r="C15" s="164" t="n">
        <v>220</v>
      </c>
      <c r="D15" s="161" t="n">
        <v>116.6</v>
      </c>
      <c r="E15" s="163" t="n">
        <v>35</v>
      </c>
      <c r="F15" s="161" t="n">
        <v>84.90000000000001</v>
      </c>
      <c r="G15" s="27" t="n">
        <v>26</v>
      </c>
      <c r="H15" s="164" t="n">
        <v>18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116C-1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벽산블루밍더클래식</t>
        </is>
      </c>
      <c r="B16" s="16" t="inlineStr">
        <is>
          <t>'10.08.</t>
        </is>
      </c>
      <c r="C16" s="164" t="n">
        <v>220</v>
      </c>
      <c r="D16" s="161" t="n">
        <v>126.9</v>
      </c>
      <c r="E16" s="163" t="n">
        <v>38</v>
      </c>
      <c r="F16" s="161" t="n">
        <v>92.09999999999999</v>
      </c>
      <c r="G16" s="27" t="n">
        <v>28</v>
      </c>
      <c r="H16" s="164" t="n">
        <v>18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126D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벽산블루밍더클래식</t>
        </is>
      </c>
      <c r="B17" s="16" t="inlineStr">
        <is>
          <t>'10.08.</t>
        </is>
      </c>
      <c r="C17" s="164" t="n">
        <v>220</v>
      </c>
      <c r="D17" s="161" t="n">
        <v>126.9</v>
      </c>
      <c r="E17" s="163" t="n">
        <v>38</v>
      </c>
      <c r="F17" s="161" t="n">
        <v>92.3</v>
      </c>
      <c r="G17" s="27" t="n">
        <v>28</v>
      </c>
      <c r="H17" s="164" t="n">
        <v>18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126D-1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하남유시티대명루첸리버파크</t>
        </is>
      </c>
      <c r="B19" s="16" t="inlineStr">
        <is>
          <t>'18.09.</t>
        </is>
      </c>
      <c r="C19" s="164" t="n">
        <v>854</v>
      </c>
      <c r="D19" s="161" t="n">
        <v>100.5</v>
      </c>
      <c r="E19" s="163" t="n">
        <v>30</v>
      </c>
      <c r="F19" s="161" t="n">
        <v>74.3</v>
      </c>
      <c r="G19" s="27" t="n">
        <v>22</v>
      </c>
      <c r="H19" s="164" t="n">
        <v>764</v>
      </c>
      <c r="I19" s="165" t="n">
        <v>90000</v>
      </c>
      <c r="J19" s="165" t="inlineStr">
        <is>
          <t>11</t>
        </is>
      </c>
      <c r="K19" s="165" t="n">
        <v>63000</v>
      </c>
      <c r="L19" s="165" t="inlineStr">
        <is>
          <t>14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하남유시티대명루첸리버파크</t>
        </is>
      </c>
      <c r="B20" s="16" t="inlineStr">
        <is>
          <t>'18.09.</t>
        </is>
      </c>
      <c r="C20" s="164" t="n">
        <v>854</v>
      </c>
      <c r="D20" s="161" t="n">
        <v>100.8</v>
      </c>
      <c r="E20" s="163" t="n">
        <v>31</v>
      </c>
      <c r="F20" s="161" t="n">
        <v>74.40000000000001</v>
      </c>
      <c r="G20" s="27" t="n">
        <v>22</v>
      </c>
      <c r="H20" s="164" t="n">
        <v>90</v>
      </c>
      <c r="I20" s="165" t="n">
        <v>90000</v>
      </c>
      <c r="J20" s="165" t="inlineStr">
        <is>
          <t>고</t>
        </is>
      </c>
      <c r="K20" s="165" t="n">
        <v>63000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백조현대</t>
        </is>
      </c>
      <c r="B22" s="16" t="inlineStr">
        <is>
          <t>'94.07.</t>
        </is>
      </c>
      <c r="C22" s="164" t="n">
        <v>880</v>
      </c>
      <c r="D22" s="161" t="n">
        <v>68.2</v>
      </c>
      <c r="E22" s="163" t="n">
        <v>21</v>
      </c>
      <c r="F22" s="161" t="n">
        <v>50</v>
      </c>
      <c r="G22" s="27" t="n">
        <v>15</v>
      </c>
      <c r="H22" s="164" t="n">
        <v>880</v>
      </c>
      <c r="I22" s="165" t="n">
        <v>54700</v>
      </c>
      <c r="J22" s="165" t="inlineStr">
        <is>
          <t>5</t>
        </is>
      </c>
      <c r="K22" s="165" t="n">
        <v>38000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2</v>
      </c>
      <c r="R22" s="113" t="n">
        <v>1</v>
      </c>
      <c r="S22" s="113" t="inlineStr">
        <is>
          <t>계</t>
        </is>
      </c>
      <c r="T22" s="8" t="n">
        <v>68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백송한신</t>
        </is>
      </c>
      <c r="B24" s="16" t="inlineStr">
        <is>
          <t>'94.06.</t>
        </is>
      </c>
      <c r="C24" s="164" t="n">
        <v>641</v>
      </c>
      <c r="D24" s="161" t="n">
        <v>67.40000000000001</v>
      </c>
      <c r="E24" s="163" t="n">
        <v>20</v>
      </c>
      <c r="F24" s="161" t="n">
        <v>50</v>
      </c>
      <c r="G24" s="27" t="n">
        <v>15</v>
      </c>
      <c r="H24" s="164" t="n">
        <v>641</v>
      </c>
      <c r="I24" s="165" t="n">
        <v>54000</v>
      </c>
      <c r="J24" s="165" t="inlineStr">
        <is>
          <t>5</t>
        </is>
      </c>
      <c r="K24" s="165" t="n">
        <v>36000</v>
      </c>
      <c r="L24" s="165" t="inlineStr">
        <is>
          <t>14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2</v>
      </c>
      <c r="R24" s="113" t="n">
        <v>1</v>
      </c>
      <c r="S24" s="113" t="inlineStr">
        <is>
          <t>복</t>
        </is>
      </c>
      <c r="T24" s="8" t="n">
        <v>67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성원상떼빌</t>
        </is>
      </c>
      <c r="B26" s="16" t="inlineStr">
        <is>
          <t>'03.11.</t>
        </is>
      </c>
      <c r="C26" s="164" t="n">
        <v>234</v>
      </c>
      <c r="D26" s="161" t="n">
        <v>31.1</v>
      </c>
      <c r="E26" s="163" t="n">
        <v>9</v>
      </c>
      <c r="F26" s="161" t="n">
        <v>20.1</v>
      </c>
      <c r="G26" s="27" t="n">
        <v>6</v>
      </c>
      <c r="H26" s="164" t="n">
        <v>2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성원상떼빌</t>
        </is>
      </c>
      <c r="B27" s="16" t="inlineStr">
        <is>
          <t>'03.11.</t>
        </is>
      </c>
      <c r="C27" s="164" t="n">
        <v>234</v>
      </c>
      <c r="D27" s="161" t="n">
        <v>36.7</v>
      </c>
      <c r="E27" s="163" t="n">
        <v>11</v>
      </c>
      <c r="F27" s="161" t="n">
        <v>23.8</v>
      </c>
      <c r="G27" s="27" t="n">
        <v>7</v>
      </c>
      <c r="H27" s="164" t="n">
        <v>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1</v>
      </c>
      <c r="R27" s="113" t="n">
        <v>1</v>
      </c>
      <c r="S27" s="113" t="inlineStr">
        <is>
          <t>계</t>
        </is>
      </c>
      <c r="T27" s="8" t="inlineStr">
        <is>
          <t>36Aa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성원상떼빌</t>
        </is>
      </c>
      <c r="B28" s="16" t="inlineStr">
        <is>
          <t>'03.11.</t>
        </is>
      </c>
      <c r="C28" s="164" t="n">
        <v>234</v>
      </c>
      <c r="D28" s="161" t="n">
        <v>38.7</v>
      </c>
      <c r="E28" s="163" t="n">
        <v>12</v>
      </c>
      <c r="F28" s="161" t="n">
        <v>25.1</v>
      </c>
      <c r="G28" s="27" t="n">
        <v>8</v>
      </c>
      <c r="H28" s="164" t="n">
        <v>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1</v>
      </c>
      <c r="R28" s="113" t="n">
        <v>1</v>
      </c>
      <c r="S28" s="113" t="inlineStr">
        <is>
          <t>계</t>
        </is>
      </c>
      <c r="T28" s="8" t="inlineStr">
        <is>
          <t>38B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성원상떼빌</t>
        </is>
      </c>
      <c r="B29" s="16" t="inlineStr">
        <is>
          <t>'03.11.</t>
        </is>
      </c>
      <c r="C29" s="164" t="n">
        <v>234</v>
      </c>
      <c r="D29" s="161" t="n">
        <v>39.8</v>
      </c>
      <c r="E29" s="163" t="n">
        <v>12</v>
      </c>
      <c r="F29" s="161" t="n">
        <v>25.7</v>
      </c>
      <c r="G29" s="27" t="n">
        <v>8</v>
      </c>
      <c r="H29" s="164" t="n">
        <v>36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1</v>
      </c>
      <c r="R29" s="113" t="n">
        <v>1</v>
      </c>
      <c r="S29" s="113" t="inlineStr">
        <is>
          <t>계</t>
        </is>
      </c>
      <c r="T29" s="8" t="inlineStr">
        <is>
          <t>39A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성원상떼빌</t>
        </is>
      </c>
      <c r="B30" s="16" t="inlineStr">
        <is>
          <t>'03.11.</t>
        </is>
      </c>
      <c r="C30" s="164" t="n">
        <v>234</v>
      </c>
      <c r="D30" s="161" t="n">
        <v>42.4</v>
      </c>
      <c r="E30" s="163" t="n">
        <v>13</v>
      </c>
      <c r="F30" s="161" t="n">
        <v>27.5</v>
      </c>
      <c r="G30" s="27" t="n">
        <v>8</v>
      </c>
      <c r="H30" s="164" t="n">
        <v>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1</v>
      </c>
      <c r="R30" s="113" t="n">
        <v>1</v>
      </c>
      <c r="S30" s="113" t="inlineStr">
        <is>
          <t>계</t>
        </is>
      </c>
      <c r="T30" s="8" t="n">
        <v>42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성원상떼빌</t>
        </is>
      </c>
      <c r="B31" s="16" t="inlineStr">
        <is>
          <t>'03.11.</t>
        </is>
      </c>
      <c r="C31" s="164" t="n">
        <v>234</v>
      </c>
      <c r="D31" s="161" t="n">
        <v>45.8</v>
      </c>
      <c r="E31" s="163" t="n">
        <v>14</v>
      </c>
      <c r="F31" s="161" t="n">
        <v>29.6</v>
      </c>
      <c r="G31" s="27" t="n">
        <v>9</v>
      </c>
      <c r="H31" s="164" t="n">
        <v>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계</t>
        </is>
      </c>
      <c r="T31" s="8" t="inlineStr">
        <is>
          <t>45Ca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성원상떼빌</t>
        </is>
      </c>
      <c r="B32" s="16" t="inlineStr">
        <is>
          <t>'03.11.</t>
        </is>
      </c>
      <c r="C32" s="164" t="n">
        <v>234</v>
      </c>
      <c r="D32" s="161" t="n">
        <v>45.8</v>
      </c>
      <c r="E32" s="163" t="n">
        <v>14</v>
      </c>
      <c r="F32" s="161" t="n">
        <v>29.6</v>
      </c>
      <c r="G32" s="27" t="n">
        <v>9</v>
      </c>
      <c r="H32" s="164" t="n">
        <v>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45C1a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성원상떼빌</t>
        </is>
      </c>
      <c r="B33" s="16" t="inlineStr">
        <is>
          <t>'03.11.</t>
        </is>
      </c>
      <c r="C33" s="164" t="n">
        <v>234</v>
      </c>
      <c r="D33" s="161" t="n">
        <v>47</v>
      </c>
      <c r="E33" s="163" t="n">
        <v>14</v>
      </c>
      <c r="F33" s="161" t="n">
        <v>30.4</v>
      </c>
      <c r="G33" s="27" t="n">
        <v>9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n">
        <v>46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성원상떼빌</t>
        </is>
      </c>
      <c r="B34" s="16" t="inlineStr">
        <is>
          <t>'03.11.</t>
        </is>
      </c>
      <c r="C34" s="164" t="n">
        <v>234</v>
      </c>
      <c r="D34" s="161" t="n">
        <v>52.8</v>
      </c>
      <c r="E34" s="163" t="n">
        <v>16</v>
      </c>
      <c r="F34" s="161" t="n">
        <v>34.2</v>
      </c>
      <c r="G34" s="27" t="n">
        <v>10</v>
      </c>
      <c r="H34" s="164" t="n">
        <v>15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52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성원상떼빌</t>
        </is>
      </c>
      <c r="B35" s="16" t="inlineStr">
        <is>
          <t>'03.11.</t>
        </is>
      </c>
      <c r="C35" s="164" t="n">
        <v>234</v>
      </c>
      <c r="D35" s="161" t="n">
        <v>53</v>
      </c>
      <c r="E35" s="163" t="n">
        <v>16</v>
      </c>
      <c r="F35" s="161" t="n">
        <v>34.3</v>
      </c>
      <c r="G35" s="27" t="n">
        <v>10</v>
      </c>
      <c r="H35" s="164" t="n">
        <v>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inlineStr">
        <is>
          <t>53A1a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성원상떼빌</t>
        </is>
      </c>
      <c r="B36" s="16" t="inlineStr">
        <is>
          <t>'03.11.</t>
        </is>
      </c>
      <c r="C36" s="164" t="n">
        <v>234</v>
      </c>
      <c r="D36" s="161" t="n">
        <v>54.2</v>
      </c>
      <c r="E36" s="163" t="n">
        <v>16</v>
      </c>
      <c r="F36" s="161" t="n">
        <v>35.1</v>
      </c>
      <c r="G36" s="27" t="n">
        <v>11</v>
      </c>
      <c r="H36" s="164" t="n">
        <v>47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54A4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성원상떼빌</t>
        </is>
      </c>
      <c r="B37" s="16" t="inlineStr">
        <is>
          <t>'03.11.</t>
        </is>
      </c>
      <c r="C37" s="164" t="n">
        <v>234</v>
      </c>
      <c r="D37" s="161" t="n">
        <v>56.6</v>
      </c>
      <c r="E37" s="163" t="n">
        <v>17</v>
      </c>
      <c r="F37" s="161" t="n">
        <v>36.7</v>
      </c>
      <c r="G37" s="27" t="n">
        <v>11</v>
      </c>
      <c r="H37" s="164" t="n">
        <v>7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56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성원상떼빌</t>
        </is>
      </c>
      <c r="B38" s="16" t="inlineStr">
        <is>
          <t>'03.11.</t>
        </is>
      </c>
      <c r="C38" s="164" t="n">
        <v>234</v>
      </c>
      <c r="D38" s="161" t="n">
        <v>65.7</v>
      </c>
      <c r="E38" s="163" t="n">
        <v>20</v>
      </c>
      <c r="F38" s="161" t="n">
        <v>42.5</v>
      </c>
      <c r="G38" s="27" t="n">
        <v>13</v>
      </c>
      <c r="H38" s="164" t="n">
        <v>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65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성원상떼빌</t>
        </is>
      </c>
      <c r="B39" s="16" t="inlineStr">
        <is>
          <t>'03.11.</t>
        </is>
      </c>
      <c r="C39" s="164" t="n">
        <v>234</v>
      </c>
      <c r="D39" s="161" t="n">
        <v>91.59999999999999</v>
      </c>
      <c r="E39" s="163" t="n">
        <v>28</v>
      </c>
      <c r="F39" s="161" t="n">
        <v>59.3</v>
      </c>
      <c r="G39" s="27" t="n">
        <v>18</v>
      </c>
      <c r="H39" s="164" t="n">
        <v>43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91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성원상떼빌</t>
        </is>
      </c>
      <c r="B40" s="16" t="inlineStr">
        <is>
          <t>'03.11.</t>
        </is>
      </c>
      <c r="C40" s="164" t="n">
        <v>234</v>
      </c>
      <c r="D40" s="161" t="n">
        <v>115</v>
      </c>
      <c r="E40" s="163" t="n">
        <v>35</v>
      </c>
      <c r="F40" s="161" t="n">
        <v>74.40000000000001</v>
      </c>
      <c r="G40" s="27" t="n">
        <v>23</v>
      </c>
      <c r="H40" s="164" t="n">
        <v>49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성원상떼빌</t>
        </is>
      </c>
      <c r="B41" s="16" t="inlineStr">
        <is>
          <t>'03.11.</t>
        </is>
      </c>
      <c r="C41" s="164" t="n">
        <v>234</v>
      </c>
      <c r="D41" s="161" t="n">
        <v>137.2</v>
      </c>
      <c r="E41" s="163" t="n">
        <v>41</v>
      </c>
      <c r="F41" s="161" t="n">
        <v>88.90000000000001</v>
      </c>
      <c r="G41" s="27" t="n">
        <v>27</v>
      </c>
      <c r="H41" s="164" t="n">
        <v>1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137D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하남신장현대홈타운</t>
        </is>
      </c>
      <c r="B43" s="16" t="inlineStr">
        <is>
          <t>'04.04.</t>
        </is>
      </c>
      <c r="C43" s="164" t="n">
        <v>212</v>
      </c>
      <c r="D43" s="161" t="n">
        <v>75.59999999999999</v>
      </c>
      <c r="E43" s="163" t="n">
        <v>23</v>
      </c>
      <c r="F43" s="161" t="n">
        <v>56.4</v>
      </c>
      <c r="G43" s="27" t="n">
        <v>17</v>
      </c>
      <c r="H43" s="164" t="n">
        <v>42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하남신장현대홈타운</t>
        </is>
      </c>
      <c r="B44" s="16" t="inlineStr">
        <is>
          <t>'04.04.</t>
        </is>
      </c>
      <c r="C44" s="164" t="n">
        <v>212</v>
      </c>
      <c r="D44" s="161" t="n">
        <v>101.2</v>
      </c>
      <c r="E44" s="163" t="n">
        <v>31</v>
      </c>
      <c r="F44" s="161" t="n">
        <v>80.59999999999999</v>
      </c>
      <c r="G44" s="27" t="n">
        <v>24</v>
      </c>
      <c r="H44" s="164" t="n">
        <v>170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101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에코타운3단지</t>
        </is>
      </c>
      <c r="B46" s="16" t="inlineStr">
        <is>
          <t>'04.11.</t>
        </is>
      </c>
      <c r="C46" s="164" t="n">
        <v>594</v>
      </c>
      <c r="D46" s="161" t="n">
        <v>125.9</v>
      </c>
      <c r="E46" s="163" t="n">
        <v>38</v>
      </c>
      <c r="F46" s="161" t="n">
        <v>98.59999999999999</v>
      </c>
      <c r="G46" s="27" t="n">
        <v>30</v>
      </c>
      <c r="H46" s="164" t="n">
        <v>88</v>
      </c>
      <c r="I46" s="165" t="n">
        <v>100000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125B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에코타운3단지</t>
        </is>
      </c>
      <c r="B47" s="16" t="inlineStr">
        <is>
          <t>'04.11.</t>
        </is>
      </c>
      <c r="C47" s="164" t="n">
        <v>594</v>
      </c>
      <c r="D47" s="161" t="n">
        <v>126.5</v>
      </c>
      <c r="E47" s="163" t="n">
        <v>38</v>
      </c>
      <c r="F47" s="161" t="n">
        <v>98.59999999999999</v>
      </c>
      <c r="G47" s="27" t="n">
        <v>30</v>
      </c>
      <c r="H47" s="164" t="n">
        <v>149</v>
      </c>
      <c r="I47" s="165" t="n">
        <v>93000</v>
      </c>
      <c r="J47" s="165" t="inlineStr">
        <is>
          <t>6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에코타운3단지</t>
        </is>
      </c>
      <c r="B48" s="16" t="inlineStr">
        <is>
          <t>'04.11.</t>
        </is>
      </c>
      <c r="C48" s="164" t="n">
        <v>594</v>
      </c>
      <c r="D48" s="161" t="n">
        <v>128</v>
      </c>
      <c r="E48" s="163" t="n">
        <v>39</v>
      </c>
      <c r="F48" s="161" t="n">
        <v>98.8</v>
      </c>
      <c r="G48" s="27" t="n">
        <v>30</v>
      </c>
      <c r="H48" s="164" t="n">
        <v>66</v>
      </c>
      <c r="I48" s="165" t="n">
        <v>100000</v>
      </c>
      <c r="J48" s="165" t="inlineStr">
        <is>
          <t>중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128C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에코타운3단지</t>
        </is>
      </c>
      <c r="B49" s="16" t="inlineStr">
        <is>
          <t>'04.11.</t>
        </is>
      </c>
      <c r="C49" s="164" t="n">
        <v>594</v>
      </c>
      <c r="D49" s="161" t="n">
        <v>131.4</v>
      </c>
      <c r="E49" s="163" t="n">
        <v>40</v>
      </c>
      <c r="F49" s="161" t="n">
        <v>102</v>
      </c>
      <c r="G49" s="27" t="n">
        <v>31</v>
      </c>
      <c r="H49" s="164" t="n">
        <v>17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131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에코타운3단지</t>
        </is>
      </c>
      <c r="B50" s="16" t="inlineStr">
        <is>
          <t>'04.11.</t>
        </is>
      </c>
      <c r="C50" s="164" t="n">
        <v>594</v>
      </c>
      <c r="D50" s="161" t="n">
        <v>156.9</v>
      </c>
      <c r="E50" s="163" t="n">
        <v>47</v>
      </c>
      <c r="F50" s="161" t="n">
        <v>126.8</v>
      </c>
      <c r="G50" s="27" t="n">
        <v>38</v>
      </c>
      <c r="H50" s="164" t="n">
        <v>112</v>
      </c>
      <c r="I50" s="165" t="n">
        <v>110000</v>
      </c>
      <c r="J50" s="165" t="inlineStr">
        <is>
          <t>중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156A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에코타운3단지</t>
        </is>
      </c>
      <c r="B51" s="16" t="inlineStr">
        <is>
          <t>'04.11.</t>
        </is>
      </c>
      <c r="C51" s="164" t="n">
        <v>594</v>
      </c>
      <c r="D51" s="161" t="n">
        <v>156.9</v>
      </c>
      <c r="E51" s="163" t="n">
        <v>47</v>
      </c>
      <c r="F51" s="161" t="n">
        <v>126.8</v>
      </c>
      <c r="G51" s="27" t="n">
        <v>38</v>
      </c>
      <c r="H51" s="164" t="n">
        <v>42</v>
      </c>
      <c r="I51" s="165" t="n">
        <v>110000</v>
      </c>
      <c r="J51" s="165" t="inlineStr">
        <is>
          <t>중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156C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에코타운3단지</t>
        </is>
      </c>
      <c r="B52" s="16" t="inlineStr">
        <is>
          <t>'04.11.</t>
        </is>
      </c>
      <c r="C52" s="164" t="n">
        <v>594</v>
      </c>
      <c r="D52" s="161" t="n">
        <v>156.9</v>
      </c>
      <c r="E52" s="163" t="n">
        <v>47</v>
      </c>
      <c r="F52" s="161" t="n">
        <v>126.8</v>
      </c>
      <c r="G52" s="27" t="n">
        <v>38</v>
      </c>
      <c r="H52" s="164" t="n">
        <v>39</v>
      </c>
      <c r="I52" s="165" t="n">
        <v>110000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156B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에코타운3단지</t>
        </is>
      </c>
      <c r="B53" s="16" t="inlineStr">
        <is>
          <t>'04.11.</t>
        </is>
      </c>
      <c r="C53" s="164" t="n">
        <v>594</v>
      </c>
      <c r="D53" s="161" t="n">
        <v>158.7</v>
      </c>
      <c r="E53" s="163" t="n">
        <v>48</v>
      </c>
      <c r="F53" s="161" t="n">
        <v>124.2</v>
      </c>
      <c r="G53" s="27" t="n">
        <v>38</v>
      </c>
      <c r="H53" s="164" t="n">
        <v>81</v>
      </c>
      <c r="I53" s="165" t="n">
        <v>105000</v>
      </c>
      <c r="J53" s="165" t="inlineStr">
        <is>
          <t>고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158D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에코타운2단지</t>
        </is>
      </c>
      <c r="B55" s="16" t="inlineStr">
        <is>
          <t>'04.11.</t>
        </is>
      </c>
      <c r="C55" s="164" t="n">
        <v>488</v>
      </c>
      <c r="D55" s="161" t="n">
        <v>111.3</v>
      </c>
      <c r="E55" s="163" t="n">
        <v>34</v>
      </c>
      <c r="F55" s="161" t="n">
        <v>83.7</v>
      </c>
      <c r="G55" s="27" t="n">
        <v>25</v>
      </c>
      <c r="H55" s="164" t="n">
        <v>360</v>
      </c>
      <c r="I55" s="165" t="n">
        <v>91000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에코타운2단지</t>
        </is>
      </c>
      <c r="B56" s="16" t="inlineStr">
        <is>
          <t>'04.11.</t>
        </is>
      </c>
      <c r="C56" s="164" t="n">
        <v>488</v>
      </c>
      <c r="D56" s="161" t="n">
        <v>111.2</v>
      </c>
      <c r="E56" s="163" t="n">
        <v>34</v>
      </c>
      <c r="F56" s="161" t="n">
        <v>83.7</v>
      </c>
      <c r="G56" s="27" t="n">
        <v>25</v>
      </c>
      <c r="H56" s="164" t="n">
        <v>44</v>
      </c>
      <c r="I56" s="165" t="n">
        <v>95000</v>
      </c>
      <c r="J56" s="165" t="inlineStr">
        <is>
          <t>20</t>
        </is>
      </c>
      <c r="K56" s="165" t="n">
        <v>60000</v>
      </c>
      <c r="L56" s="165" t="inlineStr">
        <is>
          <t>고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111C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에코타운2단지</t>
        </is>
      </c>
      <c r="B57" s="16" t="inlineStr">
        <is>
          <t>'04.11.</t>
        </is>
      </c>
      <c r="C57" s="164" t="n">
        <v>488</v>
      </c>
      <c r="D57" s="161" t="n">
        <v>111.3</v>
      </c>
      <c r="E57" s="163" t="n">
        <v>34</v>
      </c>
      <c r="F57" s="161" t="n">
        <v>83.7</v>
      </c>
      <c r="G57" s="27" t="n">
        <v>25</v>
      </c>
      <c r="H57" s="164" t="n">
        <v>22</v>
      </c>
      <c r="I57" s="165" t="n">
        <v>91000</v>
      </c>
      <c r="J57" s="165" t="inlineStr">
        <is>
          <t>고</t>
        </is>
      </c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에코타운2단지</t>
        </is>
      </c>
      <c r="B58" s="16" t="inlineStr">
        <is>
          <t>'04.11.</t>
        </is>
      </c>
      <c r="C58" s="164" t="n">
        <v>488</v>
      </c>
      <c r="D58" s="161" t="n">
        <v>112</v>
      </c>
      <c r="E58" s="163" t="n">
        <v>34</v>
      </c>
      <c r="F58" s="161" t="n">
        <v>83</v>
      </c>
      <c r="G58" s="27" t="n">
        <v>25</v>
      </c>
      <c r="H58" s="164" t="n">
        <v>62</v>
      </c>
      <c r="I58" s="165" t="n">
        <v>91000</v>
      </c>
      <c r="J58" s="165" t="inlineStr">
        <is>
          <t>22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112D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호반써밋에듀파크</t>
        </is>
      </c>
      <c r="B60" s="16" t="inlineStr">
        <is>
          <t>'21.08.</t>
        </is>
      </c>
      <c r="C60" s="164" t="n">
        <v>999</v>
      </c>
      <c r="D60" s="161" t="n">
        <v>81.8</v>
      </c>
      <c r="E60" s="163" t="n">
        <v>25</v>
      </c>
      <c r="F60" s="161" t="n">
        <v>59.9</v>
      </c>
      <c r="G60" s="27" t="n">
        <v>18</v>
      </c>
      <c r="H60" s="164" t="n">
        <v>335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81A-1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호반써밋에듀파크</t>
        </is>
      </c>
      <c r="B61" s="16" t="inlineStr">
        <is>
          <t>'21.08.</t>
        </is>
      </c>
      <c r="C61" s="164" t="n">
        <v>999</v>
      </c>
      <c r="D61" s="161" t="n">
        <v>81.40000000000001</v>
      </c>
      <c r="E61" s="163" t="n">
        <v>25</v>
      </c>
      <c r="F61" s="161" t="n">
        <v>59.6</v>
      </c>
      <c r="G61" s="27" t="n">
        <v>18</v>
      </c>
      <c r="H61" s="164" t="n">
        <v>290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81A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호반써밋에듀파크</t>
        </is>
      </c>
      <c r="B62" s="16" t="inlineStr">
        <is>
          <t>'21.08.</t>
        </is>
      </c>
      <c r="C62" s="164" t="n">
        <v>999</v>
      </c>
      <c r="D62" s="161" t="n">
        <v>81.8</v>
      </c>
      <c r="E62" s="163" t="n">
        <v>25</v>
      </c>
      <c r="F62" s="161" t="n">
        <v>59.9</v>
      </c>
      <c r="G62" s="27" t="n">
        <v>18</v>
      </c>
      <c r="H62" s="164" t="n">
        <v>118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81A-2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호반써밋에듀파크</t>
        </is>
      </c>
      <c r="B63" s="16" t="inlineStr">
        <is>
          <t>'21.08.</t>
        </is>
      </c>
      <c r="C63" s="164" t="n">
        <v>999</v>
      </c>
      <c r="D63" s="161" t="n">
        <v>82.8</v>
      </c>
      <c r="E63" s="163" t="n">
        <v>25</v>
      </c>
      <c r="F63" s="161" t="n">
        <v>59.9</v>
      </c>
      <c r="G63" s="27" t="n">
        <v>18</v>
      </c>
      <c r="H63" s="164" t="n">
        <v>110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82C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호반써밋에듀파크</t>
        </is>
      </c>
      <c r="B64" s="16" t="inlineStr">
        <is>
          <t>'21.08.</t>
        </is>
      </c>
      <c r="C64" s="164" t="n">
        <v>999</v>
      </c>
      <c r="D64" s="161" t="n">
        <v>83.59999999999999</v>
      </c>
      <c r="E64" s="163" t="n">
        <v>25</v>
      </c>
      <c r="F64" s="161" t="n">
        <v>60</v>
      </c>
      <c r="G64" s="27" t="n">
        <v>18</v>
      </c>
      <c r="H64" s="164" t="n">
        <v>146</v>
      </c>
      <c r="I64" s="165" t="n"/>
      <c r="J64" s="165" t="n"/>
      <c r="K64" s="165" t="n">
        <v>35000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하남유니온시티에일린의뜰</t>
        </is>
      </c>
      <c r="B66" s="16" t="inlineStr">
        <is>
          <t>'17.08.</t>
        </is>
      </c>
      <c r="C66" s="164" t="n">
        <v>754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190</v>
      </c>
      <c r="I66" s="165" t="n">
        <v>95000</v>
      </c>
      <c r="J66" s="165" t="inlineStr">
        <is>
          <t>12</t>
        </is>
      </c>
      <c r="K66" s="165" t="n">
        <v>65000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98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하남유니온시티에일린의뜰</t>
        </is>
      </c>
      <c r="B67" s="16" t="inlineStr">
        <is>
          <t>'17.08.</t>
        </is>
      </c>
      <c r="C67" s="164" t="n">
        <v>754</v>
      </c>
      <c r="D67" s="161" t="n">
        <v>111.7</v>
      </c>
      <c r="E67" s="163" t="n">
        <v>34</v>
      </c>
      <c r="F67" s="161" t="n">
        <v>85</v>
      </c>
      <c r="G67" s="27" t="n">
        <v>26</v>
      </c>
      <c r="H67" s="164" t="n">
        <v>187</v>
      </c>
      <c r="I67" s="165" t="n">
        <v>113000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하남유니온시티에일린의뜰</t>
        </is>
      </c>
      <c r="B68" s="16" t="inlineStr">
        <is>
          <t>'17.08.</t>
        </is>
      </c>
      <c r="C68" s="164" t="n">
        <v>754</v>
      </c>
      <c r="D68" s="161" t="n">
        <v>112</v>
      </c>
      <c r="E68" s="163" t="n">
        <v>34</v>
      </c>
      <c r="F68" s="161" t="n">
        <v>85</v>
      </c>
      <c r="G68" s="27" t="n">
        <v>26</v>
      </c>
      <c r="H68" s="164" t="n">
        <v>189</v>
      </c>
      <c r="I68" s="165" t="n">
        <v>113000</v>
      </c>
      <c r="J68" s="165" t="inlineStr">
        <is>
          <t>15</t>
        </is>
      </c>
      <c r="K68" s="165" t="n">
        <v>73000</v>
      </c>
      <c r="L68" s="165" t="inlineStr">
        <is>
          <t>17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112C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하남유니온시티에일린의뜰</t>
        </is>
      </c>
      <c r="B69" s="16" t="inlineStr">
        <is>
          <t>'17.08.</t>
        </is>
      </c>
      <c r="C69" s="164" t="n">
        <v>754</v>
      </c>
      <c r="D69" s="161" t="n">
        <v>112.2</v>
      </c>
      <c r="E69" s="163" t="n">
        <v>34</v>
      </c>
      <c r="F69" s="161" t="n">
        <v>85</v>
      </c>
      <c r="G69" s="27" t="n">
        <v>26</v>
      </c>
      <c r="H69" s="164" t="n">
        <v>188</v>
      </c>
      <c r="I69" s="165" t="n">
        <v>105000</v>
      </c>
      <c r="J69" s="165" t="inlineStr">
        <is>
          <t>고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한국</t>
        </is>
      </c>
      <c r="B71" s="16" t="inlineStr">
        <is>
          <t>'96.08.</t>
        </is>
      </c>
      <c r="C71" s="164" t="n">
        <v>848</v>
      </c>
      <c r="D71" s="161" t="n">
        <v>60.9</v>
      </c>
      <c r="E71" s="163" t="n">
        <v>18</v>
      </c>
      <c r="F71" s="161" t="n">
        <v>44.6</v>
      </c>
      <c r="G71" s="27" t="n">
        <v>13</v>
      </c>
      <c r="H71" s="164" t="n">
        <v>128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2</v>
      </c>
      <c r="R71" s="113" t="n">
        <v>1</v>
      </c>
      <c r="S71" s="113" t="inlineStr">
        <is>
          <t>복</t>
        </is>
      </c>
      <c r="T71" s="8" t="n">
        <v>60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한국</t>
        </is>
      </c>
      <c r="B72" s="16" t="inlineStr">
        <is>
          <t>'96.08.</t>
        </is>
      </c>
      <c r="C72" s="164" t="n">
        <v>848</v>
      </c>
      <c r="D72" s="161" t="n">
        <v>78</v>
      </c>
      <c r="E72" s="163" t="n">
        <v>24</v>
      </c>
      <c r="F72" s="161" t="n">
        <v>59.9</v>
      </c>
      <c r="G72" s="27" t="n">
        <v>18</v>
      </c>
      <c r="H72" s="164" t="n">
        <v>720</v>
      </c>
      <c r="I72" s="165" t="n">
        <v>66000</v>
      </c>
      <c r="J72" s="165" t="inlineStr">
        <is>
          <t>9</t>
        </is>
      </c>
      <c r="K72" s="165" t="n">
        <v>45000</v>
      </c>
      <c r="L72" s="165" t="inlineStr">
        <is>
          <t>19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78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더우개마을동일</t>
        </is>
      </c>
      <c r="B74" s="16" t="inlineStr">
        <is>
          <t>'99.09.</t>
        </is>
      </c>
      <c r="C74" s="164" t="n">
        <v>438</v>
      </c>
      <c r="D74" s="161" t="n">
        <v>64</v>
      </c>
      <c r="E74" s="163" t="n">
        <v>19</v>
      </c>
      <c r="F74" s="161" t="n">
        <v>45</v>
      </c>
      <c r="G74" s="27" t="n">
        <v>14</v>
      </c>
      <c r="H74" s="164" t="n">
        <v>51</v>
      </c>
      <c r="I74" s="165" t="n">
        <v>55000</v>
      </c>
      <c r="J74" s="165" t="inlineStr">
        <is>
          <t>10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n">
        <v>63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더우개마을동일</t>
        </is>
      </c>
      <c r="B75" s="16" t="inlineStr">
        <is>
          <t>'99.09.</t>
        </is>
      </c>
      <c r="C75" s="164" t="n">
        <v>438</v>
      </c>
      <c r="D75" s="161" t="n">
        <v>79</v>
      </c>
      <c r="E75" s="163" t="n">
        <v>24</v>
      </c>
      <c r="F75" s="161" t="n">
        <v>60</v>
      </c>
      <c r="G75" s="27" t="n">
        <v>18</v>
      </c>
      <c r="H75" s="164" t="n">
        <v>80</v>
      </c>
      <c r="I75" s="165" t="n">
        <v>70000</v>
      </c>
      <c r="J75" s="165" t="inlineStr">
        <is>
          <t>15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계</t>
        </is>
      </c>
      <c r="T75" s="8" t="n">
        <v>78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더우개마을동일</t>
        </is>
      </c>
      <c r="B76" s="16" t="inlineStr">
        <is>
          <t>'99.09.</t>
        </is>
      </c>
      <c r="C76" s="164" t="n">
        <v>438</v>
      </c>
      <c r="D76" s="161" t="n">
        <v>106.3</v>
      </c>
      <c r="E76" s="163" t="n">
        <v>32</v>
      </c>
      <c r="F76" s="161" t="n">
        <v>84.90000000000001</v>
      </c>
      <c r="G76" s="27" t="n">
        <v>26</v>
      </c>
      <c r="H76" s="164" t="n">
        <v>147</v>
      </c>
      <c r="I76" s="165" t="n">
        <v>75000</v>
      </c>
      <c r="J76" s="165" t="inlineStr">
        <is>
          <t>20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106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더우개마을동일</t>
        </is>
      </c>
      <c r="B77" s="16" t="inlineStr">
        <is>
          <t>'99.09.</t>
        </is>
      </c>
      <c r="C77" s="164" t="n">
        <v>438</v>
      </c>
      <c r="D77" s="161" t="n">
        <v>158.5</v>
      </c>
      <c r="E77" s="163" t="n">
        <v>48</v>
      </c>
      <c r="F77" s="161" t="n">
        <v>134.2</v>
      </c>
      <c r="G77" s="27" t="n">
        <v>41</v>
      </c>
      <c r="H77" s="164" t="n">
        <v>80</v>
      </c>
      <c r="I77" s="165" t="n">
        <v>100000</v>
      </c>
      <c r="J77" s="165" t="inlineStr">
        <is>
          <t>8</t>
        </is>
      </c>
      <c r="K77" s="165" t="n">
        <v>65000</v>
      </c>
      <c r="L77" s="165" t="inlineStr">
        <is>
          <t>8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더우개마을동일</t>
        </is>
      </c>
      <c r="B78" s="16" t="inlineStr">
        <is>
          <t>'99.09.</t>
        </is>
      </c>
      <c r="C78" s="164" t="n">
        <v>438</v>
      </c>
      <c r="D78" s="161" t="n">
        <v>204.7</v>
      </c>
      <c r="E78" s="163" t="n">
        <v>62</v>
      </c>
      <c r="F78" s="161" t="n">
        <v>168.7</v>
      </c>
      <c r="G78" s="27" t="n">
        <v>51</v>
      </c>
      <c r="H78" s="164" t="n">
        <v>40</v>
      </c>
      <c r="I78" s="165" t="n">
        <v>110000</v>
      </c>
      <c r="J78" s="165" t="inlineStr">
        <is>
          <t>8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n">
        <v>204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더우개마을동일</t>
        </is>
      </c>
      <c r="B79" s="16" t="inlineStr">
        <is>
          <t>'99.09.</t>
        </is>
      </c>
      <c r="C79" s="164" t="n">
        <v>438</v>
      </c>
      <c r="D79" s="161" t="n">
        <v>219.7</v>
      </c>
      <c r="E79" s="163" t="n">
        <v>66</v>
      </c>
      <c r="F79" s="161" t="n">
        <v>181.6</v>
      </c>
      <c r="G79" s="27" t="n">
        <v>55</v>
      </c>
      <c r="H79" s="164" t="n">
        <v>40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219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17">
      <formula>AV4="X"</formula>
    </cfRule>
    <cfRule type="expression" priority="1226" dxfId="16">
      <formula>AV4="후보"</formula>
    </cfRule>
  </conditionalFormatting>
  <conditionalFormatting sqref="AC1:AC2 AC4:AC6 N4:N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1:N2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6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17">
      <formula>AV7="X"</formula>
    </cfRule>
    <cfRule type="expression" priority="1205" dxfId="16">
      <formula>AV7="후보"</formula>
    </cfRule>
  </conditionalFormatting>
  <conditionalFormatting sqref="AC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17">
      <formula>AV8="X"</formula>
    </cfRule>
    <cfRule type="expression" priority="1186" dxfId="16">
      <formula>AV8="후보"</formula>
    </cfRule>
  </conditionalFormatting>
  <conditionalFormatting sqref="AC8 N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9">
    <cfRule type="expression" priority="1180" dxfId="17">
      <formula>AV9="X"</formula>
    </cfRule>
    <cfRule type="expression" priority="1181" dxfId="16">
      <formula>AV9="후보"</formula>
    </cfRule>
  </conditionalFormatting>
  <conditionalFormatting sqref="AC9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9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9">
    <cfRule type="expression" priority="1171" dxfId="3">
      <formula>AND(IF(OR($Q9=1,$Q9=2),1,0),IF($X9&lt;=20,1,0))</formula>
    </cfRule>
    <cfRule type="expression" priority="1172" dxfId="2">
      <formula>AND(IF($Q9=2,1,0),IF($X9&lt;30,1,0))</formula>
    </cfRule>
    <cfRule type="expression" priority="1173" dxfId="1">
      <formula>AND(IF($Q9=3,1,0),IF($X9&lt;30,1,0))</formula>
    </cfRule>
    <cfRule type="expression" priority="1174" dxfId="0">
      <formula>AND(IF($Q9=3,1,IF($Q9=4,1,0)),IF($F9&lt;=85,1,0))</formula>
    </cfRule>
  </conditionalFormatting>
  <conditionalFormatting sqref="X9">
    <cfRule type="expression" priority="1167" dxfId="3">
      <formula>AND(IF(OR($Q9=1,$Q9=2),1,0),IF($X9&lt;=20,1,0))</formula>
    </cfRule>
    <cfRule type="expression" priority="1168" dxfId="2">
      <formula>AND(IF($Q9=2,1,0),IF($X9&lt;30,1,0))</formula>
    </cfRule>
    <cfRule type="expression" priority="1169" dxfId="1">
      <formula>AND(IF($Q9=3,1,0),IF($X9&lt;30,1,0))</formula>
    </cfRule>
    <cfRule type="expression" priority="1170" dxfId="0">
      <formula>AND(IF($Q9=3,1,IF($Q9=4,1,0)),IF($F9&lt;=85,1,0))</formula>
    </cfRule>
  </conditionalFormatting>
  <conditionalFormatting sqref="AI9">
    <cfRule type="expression" priority="1163" dxfId="3">
      <formula>AND(IF(OR($Q9=1,$Q9=2),1,0),IF($X9&lt;=20,1,0))</formula>
    </cfRule>
    <cfRule type="expression" priority="1164" dxfId="2">
      <formula>AND(IF($Q9=2,1,0),IF($X9&lt;30,1,0))</formula>
    </cfRule>
    <cfRule type="expression" priority="1165" dxfId="1">
      <formula>AND(IF($Q9=3,1,0),IF($X9&lt;30,1,0))</formula>
    </cfRule>
    <cfRule type="expression" priority="1166" dxfId="0">
      <formula>AND(IF($Q9=3,1,IF($Q9=4,1,0)),IF($F9&lt;=85,1,0))</formula>
    </cfRule>
  </conditionalFormatting>
  <conditionalFormatting sqref="AV10">
    <cfRule type="expression" priority="1161" dxfId="17">
      <formula>AV10="X"</formula>
    </cfRule>
    <cfRule type="expression" priority="1162" dxfId="16">
      <formula>AV10="후보"</formula>
    </cfRule>
  </conditionalFormatting>
  <conditionalFormatting sqref="AC10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0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17">
      <formula>AV11="X"</formula>
    </cfRule>
    <cfRule type="expression" priority="1143" dxfId="16">
      <formula>AV11="후보"</formula>
    </cfRule>
  </conditionalFormatting>
  <conditionalFormatting sqref="AC11 N11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AV12">
    <cfRule type="expression" priority="1137" dxfId="17">
      <formula>AV12="X"</formula>
    </cfRule>
    <cfRule type="expression" priority="1138" dxfId="16">
      <formula>AV12="후보"</formula>
    </cfRule>
  </conditionalFormatting>
  <conditionalFormatting sqref="AC1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2">
    <cfRule type="expression" priority="1128" dxfId="3">
      <formula>AND(IF(OR($Q12=1,$Q12=2),1,0),IF($X12&lt;=20,1,0))</formula>
    </cfRule>
    <cfRule type="expression" priority="1129" dxfId="2">
      <formula>AND(IF($Q12=2,1,0),IF($X12&lt;30,1,0))</formula>
    </cfRule>
    <cfRule type="expression" priority="1130" dxfId="1">
      <formula>AND(IF($Q12=3,1,0),IF($X12&lt;30,1,0))</formula>
    </cfRule>
    <cfRule type="expression" priority="1131" dxfId="0">
      <formula>AND(IF($Q12=3,1,IF($Q12=4,1,0)),IF($F12&lt;=85,1,0))</formula>
    </cfRule>
  </conditionalFormatting>
  <conditionalFormatting sqref="X12">
    <cfRule type="expression" priority="1124" dxfId="3">
      <formula>AND(IF(OR($Q12=1,$Q12=2),1,0),IF($X12&lt;=20,1,0))</formula>
    </cfRule>
    <cfRule type="expression" priority="1125" dxfId="2">
      <formula>AND(IF($Q12=2,1,0),IF($X12&lt;30,1,0))</formula>
    </cfRule>
    <cfRule type="expression" priority="1126" dxfId="1">
      <formula>AND(IF($Q12=3,1,0),IF($X12&lt;30,1,0))</formula>
    </cfRule>
    <cfRule type="expression" priority="1127" dxfId="0">
      <formula>AND(IF($Q12=3,1,IF($Q12=4,1,0)),IF($F12&lt;=85,1,0))</formula>
    </cfRule>
  </conditionalFormatting>
  <conditionalFormatting sqref="AI12">
    <cfRule type="expression" priority="1120" dxfId="3">
      <formula>AND(IF(OR($Q12=1,$Q12=2),1,0),IF($X12&lt;=20,1,0))</formula>
    </cfRule>
    <cfRule type="expression" priority="1121" dxfId="2">
      <formula>AND(IF($Q12=2,1,0),IF($X12&lt;30,1,0))</formula>
    </cfRule>
    <cfRule type="expression" priority="1122" dxfId="1">
      <formula>AND(IF($Q12=3,1,0),IF($X12&lt;30,1,0))</formula>
    </cfRule>
    <cfRule type="expression" priority="1123" dxfId="0">
      <formula>AND(IF($Q12=3,1,IF($Q12=4,1,0)),IF($F12&lt;=85,1,0))</formula>
    </cfRule>
  </conditionalFormatting>
  <conditionalFormatting sqref="AV13">
    <cfRule type="expression" priority="1118" dxfId="17">
      <formula>AV13="X"</formula>
    </cfRule>
    <cfRule type="expression" priority="1119" dxfId="16">
      <formula>AV13="후보"</formula>
    </cfRule>
  </conditionalFormatting>
  <conditionalFormatting sqref="AC1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3">
    <cfRule type="expression" priority="1109" dxfId="3">
      <formula>AND(IF(OR($Q13=1,$Q13=2),1,0),IF($X13&lt;=20,1,0))</formula>
    </cfRule>
    <cfRule type="expression" priority="1110" dxfId="2">
      <formula>AND(IF($Q13=2,1,0),IF($X13&lt;30,1,0))</formula>
    </cfRule>
    <cfRule type="expression" priority="1111" dxfId="1">
      <formula>AND(IF($Q13=3,1,0),IF($X13&lt;30,1,0))</formula>
    </cfRule>
    <cfRule type="expression" priority="1112" dxfId="0">
      <formula>AND(IF($Q13=3,1,IF($Q13=4,1,0)),IF($F13&lt;=85,1,0))</formula>
    </cfRule>
  </conditionalFormatting>
  <conditionalFormatting sqref="X13">
    <cfRule type="expression" priority="1105" dxfId="3">
      <formula>AND(IF(OR($Q13=1,$Q13=2),1,0),IF($X13&lt;=20,1,0))</formula>
    </cfRule>
    <cfRule type="expression" priority="1106" dxfId="2">
      <formula>AND(IF($Q13=2,1,0),IF($X13&lt;30,1,0))</formula>
    </cfRule>
    <cfRule type="expression" priority="1107" dxfId="1">
      <formula>AND(IF($Q13=3,1,0),IF($X13&lt;30,1,0))</formula>
    </cfRule>
    <cfRule type="expression" priority="1108" dxfId="0">
      <formula>AND(IF($Q13=3,1,IF($Q13=4,1,0)),IF($F13&lt;=85,1,0))</formula>
    </cfRule>
  </conditionalFormatting>
  <conditionalFormatting sqref="AI13">
    <cfRule type="expression" priority="1101" dxfId="3">
      <formula>AND(IF(OR($Q13=1,$Q13=2),1,0),IF($X13&lt;=20,1,0))</formula>
    </cfRule>
    <cfRule type="expression" priority="1102" dxfId="2">
      <formula>AND(IF($Q13=2,1,0),IF($X13&lt;30,1,0))</formula>
    </cfRule>
    <cfRule type="expression" priority="1103" dxfId="1">
      <formula>AND(IF($Q13=3,1,0),IF($X13&lt;30,1,0))</formula>
    </cfRule>
    <cfRule type="expression" priority="1104" dxfId="0">
      <formula>AND(IF($Q13=3,1,IF($Q13=4,1,0)),IF($F13&lt;=85,1,0))</formula>
    </cfRule>
  </conditionalFormatting>
  <conditionalFormatting sqref="AV14">
    <cfRule type="expression" priority="1099" dxfId="17">
      <formula>AV14="X"</formula>
    </cfRule>
    <cfRule type="expression" priority="1100" dxfId="16">
      <formula>AV14="후보"</formula>
    </cfRule>
  </conditionalFormatting>
  <conditionalFormatting sqref="AC1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1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17">
      <formula>AV15="X"</formula>
    </cfRule>
    <cfRule type="expression" priority="1081" dxfId="16">
      <formula>AV15="후보"</formula>
    </cfRule>
  </conditionalFormatting>
  <conditionalFormatting sqref="AC1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17">
      <formula>AV16="X"</formula>
    </cfRule>
    <cfRule type="expression" priority="1062" dxfId="16">
      <formula>AV16="후보"</formula>
    </cfRule>
  </conditionalFormatting>
  <conditionalFormatting sqref="AC1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17">
      <formula>AV17="X"</formula>
    </cfRule>
    <cfRule type="expression" priority="1043" dxfId="16">
      <formula>AV17="후보"</formula>
    </cfRule>
  </conditionalFormatting>
  <conditionalFormatting sqref="AC1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17">
      <formula>AV18="X"</formula>
    </cfRule>
    <cfRule type="expression" priority="1024" dxfId="16">
      <formula>AV18="후보"</formula>
    </cfRule>
  </conditionalFormatting>
  <conditionalFormatting sqref="AC18 N1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9">
    <cfRule type="expression" priority="1018" dxfId="17">
      <formula>AV19="X"</formula>
    </cfRule>
    <cfRule type="expression" priority="1019" dxfId="16">
      <formula>AV19="후보"</formula>
    </cfRule>
  </conditionalFormatting>
  <conditionalFormatting sqref="AC1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">
    <cfRule type="expression" priority="1009" dxfId="3">
      <formula>AND(IF(OR($Q19=1,$Q19=2),1,0),IF($X19&lt;=20,1,0))</formula>
    </cfRule>
    <cfRule type="expression" priority="1010" dxfId="2">
      <formula>AND(IF($Q19=2,1,0),IF($X19&lt;30,1,0))</formula>
    </cfRule>
    <cfRule type="expression" priority="1011" dxfId="1">
      <formula>AND(IF($Q19=3,1,0),IF($X19&lt;30,1,0))</formula>
    </cfRule>
    <cfRule type="expression" priority="1012" dxfId="0">
      <formula>AND(IF($Q19=3,1,IF($Q19=4,1,0)),IF($F19&lt;=85,1,0))</formula>
    </cfRule>
  </conditionalFormatting>
  <conditionalFormatting sqref="X19">
    <cfRule type="expression" priority="1005" dxfId="3">
      <formula>AND(IF(OR($Q19=1,$Q19=2),1,0),IF($X19&lt;=20,1,0))</formula>
    </cfRule>
    <cfRule type="expression" priority="1006" dxfId="2">
      <formula>AND(IF($Q19=2,1,0),IF($X19&lt;30,1,0))</formula>
    </cfRule>
    <cfRule type="expression" priority="1007" dxfId="1">
      <formula>AND(IF($Q19=3,1,0),IF($X19&lt;30,1,0))</formula>
    </cfRule>
    <cfRule type="expression" priority="1008" dxfId="0">
      <formula>AND(IF($Q19=3,1,IF($Q19=4,1,0)),IF($F19&lt;=85,1,0))</formula>
    </cfRule>
  </conditionalFormatting>
  <conditionalFormatting sqref="AI19">
    <cfRule type="expression" priority="1001" dxfId="3">
      <formula>AND(IF(OR($Q19=1,$Q19=2),1,0),IF($X19&lt;=20,1,0))</formula>
    </cfRule>
    <cfRule type="expression" priority="1002" dxfId="2">
      <formula>AND(IF($Q19=2,1,0),IF($X19&lt;30,1,0))</formula>
    </cfRule>
    <cfRule type="expression" priority="1003" dxfId="1">
      <formula>AND(IF($Q19=3,1,0),IF($X19&lt;30,1,0))</formula>
    </cfRule>
    <cfRule type="expression" priority="1004" dxfId="0">
      <formula>AND(IF($Q19=3,1,IF($Q19=4,1,0)),IF($F19&lt;=85,1,0))</formula>
    </cfRule>
  </conditionalFormatting>
  <conditionalFormatting sqref="AV20">
    <cfRule type="expression" priority="999" dxfId="17">
      <formula>AV20="X"</formula>
    </cfRule>
    <cfRule type="expression" priority="1000" dxfId="16">
      <formula>AV20="후보"</formula>
    </cfRule>
  </conditionalFormatting>
  <conditionalFormatting sqref="AC2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0">
    <cfRule type="expression" priority="990" dxfId="3">
      <formula>AND(IF(OR($Q20=1,$Q20=2),1,0),IF($X20&lt;=20,1,0))</formula>
    </cfRule>
    <cfRule type="expression" priority="991" dxfId="2">
      <formula>AND(IF($Q20=2,1,0),IF($X20&lt;30,1,0))</formula>
    </cfRule>
    <cfRule type="expression" priority="992" dxfId="1">
      <formula>AND(IF($Q20=3,1,0),IF($X20&lt;30,1,0))</formula>
    </cfRule>
    <cfRule type="expression" priority="993" dxfId="0">
      <formula>AND(IF($Q20=3,1,IF($Q20=4,1,0)),IF($F20&lt;=85,1,0))</formula>
    </cfRule>
  </conditionalFormatting>
  <conditionalFormatting sqref="X20">
    <cfRule type="expression" priority="986" dxfId="3">
      <formula>AND(IF(OR($Q20=1,$Q20=2),1,0),IF($X20&lt;=20,1,0))</formula>
    </cfRule>
    <cfRule type="expression" priority="987" dxfId="2">
      <formula>AND(IF($Q20=2,1,0),IF($X20&lt;30,1,0))</formula>
    </cfRule>
    <cfRule type="expression" priority="988" dxfId="1">
      <formula>AND(IF($Q20=3,1,0),IF($X20&lt;30,1,0))</formula>
    </cfRule>
    <cfRule type="expression" priority="989" dxfId="0">
      <formula>AND(IF($Q20=3,1,IF($Q20=4,1,0)),IF($F20&lt;=85,1,0))</formula>
    </cfRule>
  </conditionalFormatting>
  <conditionalFormatting sqref="AI20">
    <cfRule type="expression" priority="982" dxfId="3">
      <formula>AND(IF(OR($Q20=1,$Q20=2),1,0),IF($X20&lt;=20,1,0))</formula>
    </cfRule>
    <cfRule type="expression" priority="983" dxfId="2">
      <formula>AND(IF($Q20=2,1,0),IF($X20&lt;30,1,0))</formula>
    </cfRule>
    <cfRule type="expression" priority="984" dxfId="1">
      <formula>AND(IF($Q20=3,1,0),IF($X20&lt;30,1,0))</formula>
    </cfRule>
    <cfRule type="expression" priority="985" dxfId="0">
      <formula>AND(IF($Q20=3,1,IF($Q20=4,1,0)),IF($F20&lt;=85,1,0))</formula>
    </cfRule>
  </conditionalFormatting>
  <conditionalFormatting sqref="AV21">
    <cfRule type="expression" priority="980" dxfId="17">
      <formula>AV21="X"</formula>
    </cfRule>
    <cfRule type="expression" priority="981" dxfId="16">
      <formula>AV21="후보"</formula>
    </cfRule>
  </conditionalFormatting>
  <conditionalFormatting sqref="AC21 N2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AV22">
    <cfRule type="expression" priority="975" dxfId="17">
      <formula>AV22="X"</formula>
    </cfRule>
    <cfRule type="expression" priority="976" dxfId="16">
      <formula>AV22="후보"</formula>
    </cfRule>
  </conditionalFormatting>
  <conditionalFormatting sqref="AC2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2">
    <cfRule type="expression" priority="966" dxfId="3">
      <formula>AND(IF(OR($Q22=1,$Q22=2),1,0),IF($X22&lt;=20,1,0))</formula>
    </cfRule>
    <cfRule type="expression" priority="967" dxfId="2">
      <formula>AND(IF($Q22=2,1,0),IF($X22&lt;30,1,0))</formula>
    </cfRule>
    <cfRule type="expression" priority="968" dxfId="1">
      <formula>AND(IF($Q22=3,1,0),IF($X22&lt;30,1,0))</formula>
    </cfRule>
    <cfRule type="expression" priority="969" dxfId="0">
      <formula>AND(IF($Q22=3,1,IF($Q22=4,1,0)),IF($F22&lt;=85,1,0))</formula>
    </cfRule>
  </conditionalFormatting>
  <conditionalFormatting sqref="X22">
    <cfRule type="expression" priority="962" dxfId="3">
      <formula>AND(IF(OR($Q22=1,$Q22=2),1,0),IF($X22&lt;=20,1,0))</formula>
    </cfRule>
    <cfRule type="expression" priority="963" dxfId="2">
      <formula>AND(IF($Q22=2,1,0),IF($X22&lt;30,1,0))</formula>
    </cfRule>
    <cfRule type="expression" priority="964" dxfId="1">
      <formula>AND(IF($Q22=3,1,0),IF($X22&lt;30,1,0))</formula>
    </cfRule>
    <cfRule type="expression" priority="965" dxfId="0">
      <formula>AND(IF($Q22=3,1,IF($Q22=4,1,0)),IF($F22&lt;=85,1,0))</formula>
    </cfRule>
  </conditionalFormatting>
  <conditionalFormatting sqref="AI22">
    <cfRule type="expression" priority="958" dxfId="3">
      <formula>AND(IF(OR($Q22=1,$Q22=2),1,0),IF($X22&lt;=20,1,0))</formula>
    </cfRule>
    <cfRule type="expression" priority="959" dxfId="2">
      <formula>AND(IF($Q22=2,1,0),IF($X22&lt;30,1,0))</formula>
    </cfRule>
    <cfRule type="expression" priority="960" dxfId="1">
      <formula>AND(IF($Q22=3,1,0),IF($X22&lt;30,1,0))</formula>
    </cfRule>
    <cfRule type="expression" priority="961" dxfId="0">
      <formula>AND(IF($Q22=3,1,IF($Q22=4,1,0)),IF($F22&lt;=85,1,0))</formula>
    </cfRule>
  </conditionalFormatting>
  <conditionalFormatting sqref="AV23">
    <cfRule type="expression" priority="956" dxfId="17">
      <formula>AV23="X"</formula>
    </cfRule>
    <cfRule type="expression" priority="957" dxfId="16">
      <formula>AV23="후보"</formula>
    </cfRule>
  </conditionalFormatting>
  <conditionalFormatting sqref="AC23 N2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24">
    <cfRule type="expression" priority="951" dxfId="17">
      <formula>AV24="X"</formula>
    </cfRule>
    <cfRule type="expression" priority="952" dxfId="16">
      <formula>AV24="후보"</formula>
    </cfRule>
  </conditionalFormatting>
  <conditionalFormatting sqref="AC24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4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4">
    <cfRule type="expression" priority="942" dxfId="3">
      <formula>AND(IF(OR($Q24=1,$Q24=2),1,0),IF($X24&lt;=20,1,0))</formula>
    </cfRule>
    <cfRule type="expression" priority="943" dxfId="2">
      <formula>AND(IF($Q24=2,1,0),IF($X24&lt;30,1,0))</formula>
    </cfRule>
    <cfRule type="expression" priority="944" dxfId="1">
      <formula>AND(IF($Q24=3,1,0),IF($X24&lt;30,1,0))</formula>
    </cfRule>
    <cfRule type="expression" priority="945" dxfId="0">
      <formula>AND(IF($Q24=3,1,IF($Q24=4,1,0)),IF($F24&lt;=85,1,0))</formula>
    </cfRule>
  </conditionalFormatting>
  <conditionalFormatting sqref="X24">
    <cfRule type="expression" priority="938" dxfId="3">
      <formula>AND(IF(OR($Q24=1,$Q24=2),1,0),IF($X24&lt;=20,1,0))</formula>
    </cfRule>
    <cfRule type="expression" priority="939" dxfId="2">
      <formula>AND(IF($Q24=2,1,0),IF($X24&lt;30,1,0))</formula>
    </cfRule>
    <cfRule type="expression" priority="940" dxfId="1">
      <formula>AND(IF($Q24=3,1,0),IF($X24&lt;30,1,0))</formula>
    </cfRule>
    <cfRule type="expression" priority="941" dxfId="0">
      <formula>AND(IF($Q24=3,1,IF($Q24=4,1,0)),IF($F24&lt;=85,1,0))</formula>
    </cfRule>
  </conditionalFormatting>
  <conditionalFormatting sqref="AI24">
    <cfRule type="expression" priority="934" dxfId="3">
      <formula>AND(IF(OR($Q24=1,$Q24=2),1,0),IF($X24&lt;=20,1,0))</formula>
    </cfRule>
    <cfRule type="expression" priority="935" dxfId="2">
      <formula>AND(IF($Q24=2,1,0),IF($X24&lt;30,1,0))</formula>
    </cfRule>
    <cfRule type="expression" priority="936" dxfId="1">
      <formula>AND(IF($Q24=3,1,0),IF($X24&lt;30,1,0))</formula>
    </cfRule>
    <cfRule type="expression" priority="937" dxfId="0">
      <formula>AND(IF($Q24=3,1,IF($Q24=4,1,0)),IF($F24&lt;=85,1,0))</formula>
    </cfRule>
  </conditionalFormatting>
  <conditionalFormatting sqref="AV25">
    <cfRule type="expression" priority="932" dxfId="17">
      <formula>AV25="X"</formula>
    </cfRule>
    <cfRule type="expression" priority="933" dxfId="16">
      <formula>AV25="후보"</formula>
    </cfRule>
  </conditionalFormatting>
  <conditionalFormatting sqref="AC25 N25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AV26">
    <cfRule type="expression" priority="927" dxfId="17">
      <formula>AV26="X"</formula>
    </cfRule>
    <cfRule type="expression" priority="928" dxfId="16">
      <formula>AV26="후보"</formula>
    </cfRule>
  </conditionalFormatting>
  <conditionalFormatting sqref="AC2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2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26">
    <cfRule type="expression" priority="918" dxfId="3">
      <formula>AND(IF(OR($Q26=1,$Q26=2),1,0),IF($X26&lt;=20,1,0))</formula>
    </cfRule>
    <cfRule type="expression" priority="919" dxfId="2">
      <formula>AND(IF($Q26=2,1,0),IF($X26&lt;30,1,0))</formula>
    </cfRule>
    <cfRule type="expression" priority="920" dxfId="1">
      <formula>AND(IF($Q26=3,1,0),IF($X26&lt;30,1,0))</formula>
    </cfRule>
    <cfRule type="expression" priority="921" dxfId="0">
      <formula>AND(IF($Q26=3,1,IF($Q26=4,1,0)),IF($F26&lt;=85,1,0))</formula>
    </cfRule>
  </conditionalFormatting>
  <conditionalFormatting sqref="X26">
    <cfRule type="expression" priority="914" dxfId="3">
      <formula>AND(IF(OR($Q26=1,$Q26=2),1,0),IF($X26&lt;=20,1,0))</formula>
    </cfRule>
    <cfRule type="expression" priority="915" dxfId="2">
      <formula>AND(IF($Q26=2,1,0),IF($X26&lt;30,1,0))</formula>
    </cfRule>
    <cfRule type="expression" priority="916" dxfId="1">
      <formula>AND(IF($Q26=3,1,0),IF($X26&lt;30,1,0))</formula>
    </cfRule>
    <cfRule type="expression" priority="917" dxfId="0">
      <formula>AND(IF($Q26=3,1,IF($Q26=4,1,0)),IF($F26&lt;=85,1,0))</formula>
    </cfRule>
  </conditionalFormatting>
  <conditionalFormatting sqref="AI26">
    <cfRule type="expression" priority="910" dxfId="3">
      <formula>AND(IF(OR($Q26=1,$Q26=2),1,0),IF($X26&lt;=20,1,0))</formula>
    </cfRule>
    <cfRule type="expression" priority="911" dxfId="2">
      <formula>AND(IF($Q26=2,1,0),IF($X26&lt;30,1,0))</formula>
    </cfRule>
    <cfRule type="expression" priority="912" dxfId="1">
      <formula>AND(IF($Q26=3,1,0),IF($X26&lt;30,1,0))</formula>
    </cfRule>
    <cfRule type="expression" priority="913" dxfId="0">
      <formula>AND(IF($Q26=3,1,IF($Q26=4,1,0)),IF($F26&lt;=85,1,0))</formula>
    </cfRule>
  </conditionalFormatting>
  <conditionalFormatting sqref="AV27">
    <cfRule type="expression" priority="908" dxfId="17">
      <formula>AV27="X"</formula>
    </cfRule>
    <cfRule type="expression" priority="909" dxfId="16">
      <formula>AV27="후보"</formula>
    </cfRule>
  </conditionalFormatting>
  <conditionalFormatting sqref="AC2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2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27">
    <cfRule type="expression" priority="899" dxfId="3">
      <formula>AND(IF(OR($Q27=1,$Q27=2),1,0),IF($X27&lt;=20,1,0))</formula>
    </cfRule>
    <cfRule type="expression" priority="900" dxfId="2">
      <formula>AND(IF($Q27=2,1,0),IF($X27&lt;30,1,0))</formula>
    </cfRule>
    <cfRule type="expression" priority="901" dxfId="1">
      <formula>AND(IF($Q27=3,1,0),IF($X27&lt;30,1,0))</formula>
    </cfRule>
    <cfRule type="expression" priority="902" dxfId="0">
      <formula>AND(IF($Q27=3,1,IF($Q27=4,1,0)),IF($F27&lt;=85,1,0))</formula>
    </cfRule>
  </conditionalFormatting>
  <conditionalFormatting sqref="X27">
    <cfRule type="expression" priority="895" dxfId="3">
      <formula>AND(IF(OR($Q27=1,$Q27=2),1,0),IF($X27&lt;=20,1,0))</formula>
    </cfRule>
    <cfRule type="expression" priority="896" dxfId="2">
      <formula>AND(IF($Q27=2,1,0),IF($X27&lt;30,1,0))</formula>
    </cfRule>
    <cfRule type="expression" priority="897" dxfId="1">
      <formula>AND(IF($Q27=3,1,0),IF($X27&lt;30,1,0))</formula>
    </cfRule>
    <cfRule type="expression" priority="898" dxfId="0">
      <formula>AND(IF($Q27=3,1,IF($Q27=4,1,0)),IF($F27&lt;=85,1,0))</formula>
    </cfRule>
  </conditionalFormatting>
  <conditionalFormatting sqref="AI27">
    <cfRule type="expression" priority="891" dxfId="3">
      <formula>AND(IF(OR($Q27=1,$Q27=2),1,0),IF($X27&lt;=20,1,0))</formula>
    </cfRule>
    <cfRule type="expression" priority="892" dxfId="2">
      <formula>AND(IF($Q27=2,1,0),IF($X27&lt;30,1,0))</formula>
    </cfRule>
    <cfRule type="expression" priority="893" dxfId="1">
      <formula>AND(IF($Q27=3,1,0),IF($X27&lt;30,1,0))</formula>
    </cfRule>
    <cfRule type="expression" priority="894" dxfId="0">
      <formula>AND(IF($Q27=3,1,IF($Q27=4,1,0)),IF($F27&lt;=85,1,0))</formula>
    </cfRule>
  </conditionalFormatting>
  <conditionalFormatting sqref="AV28">
    <cfRule type="expression" priority="889" dxfId="17">
      <formula>AV28="X"</formula>
    </cfRule>
    <cfRule type="expression" priority="890" dxfId="16">
      <formula>AV28="후보"</formula>
    </cfRule>
  </conditionalFormatting>
  <conditionalFormatting sqref="AC2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28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28">
    <cfRule type="expression" priority="880" dxfId="3">
      <formula>AND(IF(OR($Q28=1,$Q28=2),1,0),IF($X28&lt;=20,1,0))</formula>
    </cfRule>
    <cfRule type="expression" priority="881" dxfId="2">
      <formula>AND(IF($Q28=2,1,0),IF($X28&lt;30,1,0))</formula>
    </cfRule>
    <cfRule type="expression" priority="882" dxfId="1">
      <formula>AND(IF($Q28=3,1,0),IF($X28&lt;30,1,0))</formula>
    </cfRule>
    <cfRule type="expression" priority="883" dxfId="0">
      <formula>AND(IF($Q28=3,1,IF($Q28=4,1,0)),IF($F28&lt;=85,1,0))</formula>
    </cfRule>
  </conditionalFormatting>
  <conditionalFormatting sqref="X28">
    <cfRule type="expression" priority="876" dxfId="3">
      <formula>AND(IF(OR($Q28=1,$Q28=2),1,0),IF($X28&lt;=20,1,0))</formula>
    </cfRule>
    <cfRule type="expression" priority="877" dxfId="2">
      <formula>AND(IF($Q28=2,1,0),IF($X28&lt;30,1,0))</formula>
    </cfRule>
    <cfRule type="expression" priority="878" dxfId="1">
      <formula>AND(IF($Q28=3,1,0),IF($X28&lt;30,1,0))</formula>
    </cfRule>
    <cfRule type="expression" priority="879" dxfId="0">
      <formula>AND(IF($Q28=3,1,IF($Q28=4,1,0)),IF($F28&lt;=85,1,0))</formula>
    </cfRule>
  </conditionalFormatting>
  <conditionalFormatting sqref="AI28">
    <cfRule type="expression" priority="872" dxfId="3">
      <formula>AND(IF(OR($Q28=1,$Q28=2),1,0),IF($X28&lt;=20,1,0))</formula>
    </cfRule>
    <cfRule type="expression" priority="873" dxfId="2">
      <formula>AND(IF($Q28=2,1,0),IF($X28&lt;30,1,0))</formula>
    </cfRule>
    <cfRule type="expression" priority="874" dxfId="1">
      <formula>AND(IF($Q28=3,1,0),IF($X28&lt;30,1,0))</formula>
    </cfRule>
    <cfRule type="expression" priority="875" dxfId="0">
      <formula>AND(IF($Q28=3,1,IF($Q28=4,1,0)),IF($F28&lt;=85,1,0))</formula>
    </cfRule>
  </conditionalFormatting>
  <conditionalFormatting sqref="AV29">
    <cfRule type="expression" priority="870" dxfId="17">
      <formula>AV29="X"</formula>
    </cfRule>
    <cfRule type="expression" priority="871" dxfId="16">
      <formula>AV29="후보"</formula>
    </cfRule>
  </conditionalFormatting>
  <conditionalFormatting sqref="AC2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9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9">
    <cfRule type="expression" priority="861" dxfId="3">
      <formula>AND(IF(OR($Q29=1,$Q29=2),1,0),IF($X29&lt;=20,1,0))</formula>
    </cfRule>
    <cfRule type="expression" priority="862" dxfId="2">
      <formula>AND(IF($Q29=2,1,0),IF($X29&lt;30,1,0))</formula>
    </cfRule>
    <cfRule type="expression" priority="863" dxfId="1">
      <formula>AND(IF($Q29=3,1,0),IF($X29&lt;30,1,0))</formula>
    </cfRule>
    <cfRule type="expression" priority="864" dxfId="0">
      <formula>AND(IF($Q29=3,1,IF($Q29=4,1,0)),IF($F29&lt;=85,1,0))</formula>
    </cfRule>
  </conditionalFormatting>
  <conditionalFormatting sqref="X29">
    <cfRule type="expression" priority="857" dxfId="3">
      <formula>AND(IF(OR($Q29=1,$Q29=2),1,0),IF($X29&lt;=20,1,0))</formula>
    </cfRule>
    <cfRule type="expression" priority="858" dxfId="2">
      <formula>AND(IF($Q29=2,1,0),IF($X29&lt;30,1,0))</formula>
    </cfRule>
    <cfRule type="expression" priority="859" dxfId="1">
      <formula>AND(IF($Q29=3,1,0),IF($X29&lt;30,1,0))</formula>
    </cfRule>
    <cfRule type="expression" priority="860" dxfId="0">
      <formula>AND(IF($Q29=3,1,IF($Q29=4,1,0)),IF($F29&lt;=85,1,0))</formula>
    </cfRule>
  </conditionalFormatting>
  <conditionalFormatting sqref="AI29">
    <cfRule type="expression" priority="853" dxfId="3">
      <formula>AND(IF(OR($Q29=1,$Q29=2),1,0),IF($X29&lt;=20,1,0))</formula>
    </cfRule>
    <cfRule type="expression" priority="854" dxfId="2">
      <formula>AND(IF($Q29=2,1,0),IF($X29&lt;30,1,0))</formula>
    </cfRule>
    <cfRule type="expression" priority="855" dxfId="1">
      <formula>AND(IF($Q29=3,1,0),IF($X29&lt;30,1,0))</formula>
    </cfRule>
    <cfRule type="expression" priority="856" dxfId="0">
      <formula>AND(IF($Q29=3,1,IF($Q29=4,1,0)),IF($F29&lt;=85,1,0))</formula>
    </cfRule>
  </conditionalFormatting>
  <conditionalFormatting sqref="AV30">
    <cfRule type="expression" priority="851" dxfId="17">
      <formula>AV30="X"</formula>
    </cfRule>
    <cfRule type="expression" priority="852" dxfId="16">
      <formula>AV30="후보"</formula>
    </cfRule>
  </conditionalFormatting>
  <conditionalFormatting sqref="AC30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0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0">
    <cfRule type="expression" priority="842" dxfId="3">
      <formula>AND(IF(OR($Q30=1,$Q30=2),1,0),IF($X30&lt;=20,1,0))</formula>
    </cfRule>
    <cfRule type="expression" priority="843" dxfId="2">
      <formula>AND(IF($Q30=2,1,0),IF($X30&lt;30,1,0))</formula>
    </cfRule>
    <cfRule type="expression" priority="844" dxfId="1">
      <formula>AND(IF($Q30=3,1,0),IF($X30&lt;30,1,0))</formula>
    </cfRule>
    <cfRule type="expression" priority="845" dxfId="0">
      <formula>AND(IF($Q30=3,1,IF($Q30=4,1,0)),IF($F30&lt;=85,1,0))</formula>
    </cfRule>
  </conditionalFormatting>
  <conditionalFormatting sqref="X30">
    <cfRule type="expression" priority="838" dxfId="3">
      <formula>AND(IF(OR($Q30=1,$Q30=2),1,0),IF($X30&lt;=20,1,0))</formula>
    </cfRule>
    <cfRule type="expression" priority="839" dxfId="2">
      <formula>AND(IF($Q30=2,1,0),IF($X30&lt;30,1,0))</formula>
    </cfRule>
    <cfRule type="expression" priority="840" dxfId="1">
      <formula>AND(IF($Q30=3,1,0),IF($X30&lt;30,1,0))</formula>
    </cfRule>
    <cfRule type="expression" priority="841" dxfId="0">
      <formula>AND(IF($Q30=3,1,IF($Q30=4,1,0)),IF($F30&lt;=85,1,0))</formula>
    </cfRule>
  </conditionalFormatting>
  <conditionalFormatting sqref="AI30">
    <cfRule type="expression" priority="834" dxfId="3">
      <formula>AND(IF(OR($Q30=1,$Q30=2),1,0),IF($X30&lt;=20,1,0))</formula>
    </cfRule>
    <cfRule type="expression" priority="835" dxfId="2">
      <formula>AND(IF($Q30=2,1,0),IF($X30&lt;30,1,0))</formula>
    </cfRule>
    <cfRule type="expression" priority="836" dxfId="1">
      <formula>AND(IF($Q30=3,1,0),IF($X30&lt;30,1,0))</formula>
    </cfRule>
    <cfRule type="expression" priority="837" dxfId="0">
      <formula>AND(IF($Q30=3,1,IF($Q30=4,1,0)),IF($F30&lt;=85,1,0))</formula>
    </cfRule>
  </conditionalFormatting>
  <conditionalFormatting sqref="AV31">
    <cfRule type="expression" priority="832" dxfId="17">
      <formula>AV31="X"</formula>
    </cfRule>
    <cfRule type="expression" priority="833" dxfId="16">
      <formula>AV31="후보"</formula>
    </cfRule>
  </conditionalFormatting>
  <conditionalFormatting sqref="AC31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1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1">
    <cfRule type="expression" priority="823" dxfId="3">
      <formula>AND(IF(OR($Q31=1,$Q31=2),1,0),IF($X31&lt;=20,1,0))</formula>
    </cfRule>
    <cfRule type="expression" priority="824" dxfId="2">
      <formula>AND(IF($Q31=2,1,0),IF($X31&lt;30,1,0))</formula>
    </cfRule>
    <cfRule type="expression" priority="825" dxfId="1">
      <formula>AND(IF($Q31=3,1,0),IF($X31&lt;30,1,0))</formula>
    </cfRule>
    <cfRule type="expression" priority="826" dxfId="0">
      <formula>AND(IF($Q31=3,1,IF($Q31=4,1,0)),IF($F31&lt;=85,1,0))</formula>
    </cfRule>
  </conditionalFormatting>
  <conditionalFormatting sqref="X31">
    <cfRule type="expression" priority="819" dxfId="3">
      <formula>AND(IF(OR($Q31=1,$Q31=2),1,0),IF($X31&lt;=20,1,0))</formula>
    </cfRule>
    <cfRule type="expression" priority="820" dxfId="2">
      <formula>AND(IF($Q31=2,1,0),IF($X31&lt;30,1,0))</formula>
    </cfRule>
    <cfRule type="expression" priority="821" dxfId="1">
      <formula>AND(IF($Q31=3,1,0),IF($X31&lt;30,1,0))</formula>
    </cfRule>
    <cfRule type="expression" priority="822" dxfId="0">
      <formula>AND(IF($Q31=3,1,IF($Q31=4,1,0)),IF($F31&lt;=85,1,0))</formula>
    </cfRule>
  </conditionalFormatting>
  <conditionalFormatting sqref="AI31">
    <cfRule type="expression" priority="815" dxfId="3">
      <formula>AND(IF(OR($Q31=1,$Q31=2),1,0),IF($X31&lt;=20,1,0))</formula>
    </cfRule>
    <cfRule type="expression" priority="816" dxfId="2">
      <formula>AND(IF($Q31=2,1,0),IF($X31&lt;30,1,0))</formula>
    </cfRule>
    <cfRule type="expression" priority="817" dxfId="1">
      <formula>AND(IF($Q31=3,1,0),IF($X31&lt;30,1,0))</formula>
    </cfRule>
    <cfRule type="expression" priority="818" dxfId="0">
      <formula>AND(IF($Q31=3,1,IF($Q31=4,1,0)),IF($F31&lt;=85,1,0))</formula>
    </cfRule>
  </conditionalFormatting>
  <conditionalFormatting sqref="AV32">
    <cfRule type="expression" priority="813" dxfId="17">
      <formula>AV32="X"</formula>
    </cfRule>
    <cfRule type="expression" priority="814" dxfId="16">
      <formula>AV32="후보"</formula>
    </cfRule>
  </conditionalFormatting>
  <conditionalFormatting sqref="AC32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2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2">
    <cfRule type="expression" priority="804" dxfId="3">
      <formula>AND(IF(OR($Q32=1,$Q32=2),1,0),IF($X32&lt;=20,1,0))</formula>
    </cfRule>
    <cfRule type="expression" priority="805" dxfId="2">
      <formula>AND(IF($Q32=2,1,0),IF($X32&lt;30,1,0))</formula>
    </cfRule>
    <cfRule type="expression" priority="806" dxfId="1">
      <formula>AND(IF($Q32=3,1,0),IF($X32&lt;30,1,0))</formula>
    </cfRule>
    <cfRule type="expression" priority="807" dxfId="0">
      <formula>AND(IF($Q32=3,1,IF($Q32=4,1,0)),IF($F32&lt;=85,1,0))</formula>
    </cfRule>
  </conditionalFormatting>
  <conditionalFormatting sqref="X32">
    <cfRule type="expression" priority="800" dxfId="3">
      <formula>AND(IF(OR($Q32=1,$Q32=2),1,0),IF($X32&lt;=20,1,0))</formula>
    </cfRule>
    <cfRule type="expression" priority="801" dxfId="2">
      <formula>AND(IF($Q32=2,1,0),IF($X32&lt;30,1,0))</formula>
    </cfRule>
    <cfRule type="expression" priority="802" dxfId="1">
      <formula>AND(IF($Q32=3,1,0),IF($X32&lt;30,1,0))</formula>
    </cfRule>
    <cfRule type="expression" priority="803" dxfId="0">
      <formula>AND(IF($Q32=3,1,IF($Q32=4,1,0)),IF($F32&lt;=85,1,0))</formula>
    </cfRule>
  </conditionalFormatting>
  <conditionalFormatting sqref="AI32">
    <cfRule type="expression" priority="796" dxfId="3">
      <formula>AND(IF(OR($Q32=1,$Q32=2),1,0),IF($X32&lt;=20,1,0))</formula>
    </cfRule>
    <cfRule type="expression" priority="797" dxfId="2">
      <formula>AND(IF($Q32=2,1,0),IF($X32&lt;30,1,0))</formula>
    </cfRule>
    <cfRule type="expression" priority="798" dxfId="1">
      <formula>AND(IF($Q32=3,1,0),IF($X32&lt;30,1,0))</formula>
    </cfRule>
    <cfRule type="expression" priority="799" dxfId="0">
      <formula>AND(IF($Q32=3,1,IF($Q32=4,1,0)),IF($F32&lt;=85,1,0))</formula>
    </cfRule>
  </conditionalFormatting>
  <conditionalFormatting sqref="AV33">
    <cfRule type="expression" priority="794" dxfId="17">
      <formula>AV33="X"</formula>
    </cfRule>
    <cfRule type="expression" priority="795" dxfId="16">
      <formula>AV33="후보"</formula>
    </cfRule>
  </conditionalFormatting>
  <conditionalFormatting sqref="AC33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3">
    <cfRule type="expression" priority="785" dxfId="3">
      <formula>AND(IF(OR($Q33=1,$Q33=2),1,0),IF($X33&lt;=20,1,0))</formula>
    </cfRule>
    <cfRule type="expression" priority="786" dxfId="2">
      <formula>AND(IF($Q33=2,1,0),IF($X33&lt;30,1,0))</formula>
    </cfRule>
    <cfRule type="expression" priority="787" dxfId="1">
      <formula>AND(IF($Q33=3,1,0),IF($X33&lt;30,1,0))</formula>
    </cfRule>
    <cfRule type="expression" priority="788" dxfId="0">
      <formula>AND(IF($Q33=3,1,IF($Q33=4,1,0)),IF($F33&lt;=85,1,0))</formula>
    </cfRule>
  </conditionalFormatting>
  <conditionalFormatting sqref="X33">
    <cfRule type="expression" priority="781" dxfId="3">
      <formula>AND(IF(OR($Q33=1,$Q33=2),1,0),IF($X33&lt;=20,1,0))</formula>
    </cfRule>
    <cfRule type="expression" priority="782" dxfId="2">
      <formula>AND(IF($Q33=2,1,0),IF($X33&lt;30,1,0))</formula>
    </cfRule>
    <cfRule type="expression" priority="783" dxfId="1">
      <formula>AND(IF($Q33=3,1,0),IF($X33&lt;30,1,0))</formula>
    </cfRule>
    <cfRule type="expression" priority="784" dxfId="0">
      <formula>AND(IF($Q33=3,1,IF($Q33=4,1,0)),IF($F33&lt;=85,1,0))</formula>
    </cfRule>
  </conditionalFormatting>
  <conditionalFormatting sqref="AI33">
    <cfRule type="expression" priority="777" dxfId="3">
      <formula>AND(IF(OR($Q33=1,$Q33=2),1,0),IF($X33&lt;=20,1,0))</formula>
    </cfRule>
    <cfRule type="expression" priority="778" dxfId="2">
      <formula>AND(IF($Q33=2,1,0),IF($X33&lt;30,1,0))</formula>
    </cfRule>
    <cfRule type="expression" priority="779" dxfId="1">
      <formula>AND(IF($Q33=3,1,0),IF($X33&lt;30,1,0))</formula>
    </cfRule>
    <cfRule type="expression" priority="780" dxfId="0">
      <formula>AND(IF($Q33=3,1,IF($Q33=4,1,0)),IF($F33&lt;=85,1,0))</formula>
    </cfRule>
  </conditionalFormatting>
  <conditionalFormatting sqref="AV34">
    <cfRule type="expression" priority="775" dxfId="17">
      <formula>AV34="X"</formula>
    </cfRule>
    <cfRule type="expression" priority="776" dxfId="16">
      <formula>AV34="후보"</formula>
    </cfRule>
  </conditionalFormatting>
  <conditionalFormatting sqref="AC34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4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4">
    <cfRule type="expression" priority="766" dxfId="3">
      <formula>AND(IF(OR($Q34=1,$Q34=2),1,0),IF($X34&lt;=20,1,0))</formula>
    </cfRule>
    <cfRule type="expression" priority="767" dxfId="2">
      <formula>AND(IF($Q34=2,1,0),IF($X34&lt;30,1,0))</formula>
    </cfRule>
    <cfRule type="expression" priority="768" dxfId="1">
      <formula>AND(IF($Q34=3,1,0),IF($X34&lt;30,1,0))</formula>
    </cfRule>
    <cfRule type="expression" priority="769" dxfId="0">
      <formula>AND(IF($Q34=3,1,IF($Q34=4,1,0)),IF($F34&lt;=85,1,0))</formula>
    </cfRule>
  </conditionalFormatting>
  <conditionalFormatting sqref="X34">
    <cfRule type="expression" priority="762" dxfId="3">
      <formula>AND(IF(OR($Q34=1,$Q34=2),1,0),IF($X34&lt;=20,1,0))</formula>
    </cfRule>
    <cfRule type="expression" priority="763" dxfId="2">
      <formula>AND(IF($Q34=2,1,0),IF($X34&lt;30,1,0))</formula>
    </cfRule>
    <cfRule type="expression" priority="764" dxfId="1">
      <formula>AND(IF($Q34=3,1,0),IF($X34&lt;30,1,0))</formula>
    </cfRule>
    <cfRule type="expression" priority="765" dxfId="0">
      <formula>AND(IF($Q34=3,1,IF($Q34=4,1,0)),IF($F34&lt;=85,1,0))</formula>
    </cfRule>
  </conditionalFormatting>
  <conditionalFormatting sqref="AI34">
    <cfRule type="expression" priority="758" dxfId="3">
      <formula>AND(IF(OR($Q34=1,$Q34=2),1,0),IF($X34&lt;=20,1,0))</formula>
    </cfRule>
    <cfRule type="expression" priority="759" dxfId="2">
      <formula>AND(IF($Q34=2,1,0),IF($X34&lt;30,1,0))</formula>
    </cfRule>
    <cfRule type="expression" priority="760" dxfId="1">
      <formula>AND(IF($Q34=3,1,0),IF($X34&lt;30,1,0))</formula>
    </cfRule>
    <cfRule type="expression" priority="761" dxfId="0">
      <formula>AND(IF($Q34=3,1,IF($Q34=4,1,0)),IF($F34&lt;=85,1,0))</formula>
    </cfRule>
  </conditionalFormatting>
  <conditionalFormatting sqref="AV35">
    <cfRule type="expression" priority="756" dxfId="17">
      <formula>AV35="X"</formula>
    </cfRule>
    <cfRule type="expression" priority="757" dxfId="16">
      <formula>AV35="후보"</formula>
    </cfRule>
  </conditionalFormatting>
  <conditionalFormatting sqref="AC3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5">
    <cfRule type="expression" priority="747" dxfId="3">
      <formula>AND(IF(OR($Q35=1,$Q35=2),1,0),IF($X35&lt;=20,1,0))</formula>
    </cfRule>
    <cfRule type="expression" priority="748" dxfId="2">
      <formula>AND(IF($Q35=2,1,0),IF($X35&lt;30,1,0))</formula>
    </cfRule>
    <cfRule type="expression" priority="749" dxfId="1">
      <formula>AND(IF($Q35=3,1,0),IF($X35&lt;30,1,0))</formula>
    </cfRule>
    <cfRule type="expression" priority="750" dxfId="0">
      <formula>AND(IF($Q35=3,1,IF($Q35=4,1,0)),IF($F35&lt;=85,1,0))</formula>
    </cfRule>
  </conditionalFormatting>
  <conditionalFormatting sqref="X35">
    <cfRule type="expression" priority="743" dxfId="3">
      <formula>AND(IF(OR($Q35=1,$Q35=2),1,0),IF($X35&lt;=20,1,0))</formula>
    </cfRule>
    <cfRule type="expression" priority="744" dxfId="2">
      <formula>AND(IF($Q35=2,1,0),IF($X35&lt;30,1,0))</formula>
    </cfRule>
    <cfRule type="expression" priority="745" dxfId="1">
      <formula>AND(IF($Q35=3,1,0),IF($X35&lt;30,1,0))</formula>
    </cfRule>
    <cfRule type="expression" priority="746" dxfId="0">
      <formula>AND(IF($Q35=3,1,IF($Q35=4,1,0)),IF($F35&lt;=85,1,0))</formula>
    </cfRule>
  </conditionalFormatting>
  <conditionalFormatting sqref="AI35">
    <cfRule type="expression" priority="739" dxfId="3">
      <formula>AND(IF(OR($Q35=1,$Q35=2),1,0),IF($X35&lt;=20,1,0))</formula>
    </cfRule>
    <cfRule type="expression" priority="740" dxfId="2">
      <formula>AND(IF($Q35=2,1,0),IF($X35&lt;30,1,0))</formula>
    </cfRule>
    <cfRule type="expression" priority="741" dxfId="1">
      <formula>AND(IF($Q35=3,1,0),IF($X35&lt;30,1,0))</formula>
    </cfRule>
    <cfRule type="expression" priority="742" dxfId="0">
      <formula>AND(IF($Q35=3,1,IF($Q35=4,1,0)),IF($F35&lt;=85,1,0))</formula>
    </cfRule>
  </conditionalFormatting>
  <conditionalFormatting sqref="AV36">
    <cfRule type="expression" priority="737" dxfId="17">
      <formula>AV36="X"</formula>
    </cfRule>
    <cfRule type="expression" priority="738" dxfId="16">
      <formula>AV36="후보"</formula>
    </cfRule>
  </conditionalFormatting>
  <conditionalFormatting sqref="AC3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3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36">
    <cfRule type="expression" priority="728" dxfId="3">
      <formula>AND(IF(OR($Q36=1,$Q36=2),1,0),IF($X36&lt;=20,1,0))</formula>
    </cfRule>
    <cfRule type="expression" priority="729" dxfId="2">
      <formula>AND(IF($Q36=2,1,0),IF($X36&lt;30,1,0))</formula>
    </cfRule>
    <cfRule type="expression" priority="730" dxfId="1">
      <formula>AND(IF($Q36=3,1,0),IF($X36&lt;30,1,0))</formula>
    </cfRule>
    <cfRule type="expression" priority="731" dxfId="0">
      <formula>AND(IF($Q36=3,1,IF($Q36=4,1,0)),IF($F36&lt;=85,1,0))</formula>
    </cfRule>
  </conditionalFormatting>
  <conditionalFormatting sqref="X36">
    <cfRule type="expression" priority="724" dxfId="3">
      <formula>AND(IF(OR($Q36=1,$Q36=2),1,0),IF($X36&lt;=20,1,0))</formula>
    </cfRule>
    <cfRule type="expression" priority="725" dxfId="2">
      <formula>AND(IF($Q36=2,1,0),IF($X36&lt;30,1,0))</formula>
    </cfRule>
    <cfRule type="expression" priority="726" dxfId="1">
      <formula>AND(IF($Q36=3,1,0),IF($X36&lt;30,1,0))</formula>
    </cfRule>
    <cfRule type="expression" priority="727" dxfId="0">
      <formula>AND(IF($Q36=3,1,IF($Q36=4,1,0)),IF($F36&lt;=85,1,0))</formula>
    </cfRule>
  </conditionalFormatting>
  <conditionalFormatting sqref="AI36">
    <cfRule type="expression" priority="720" dxfId="3">
      <formula>AND(IF(OR($Q36=1,$Q36=2),1,0),IF($X36&lt;=20,1,0))</formula>
    </cfRule>
    <cfRule type="expression" priority="721" dxfId="2">
      <formula>AND(IF($Q36=2,1,0),IF($X36&lt;30,1,0))</formula>
    </cfRule>
    <cfRule type="expression" priority="722" dxfId="1">
      <formula>AND(IF($Q36=3,1,0),IF($X36&lt;30,1,0))</formula>
    </cfRule>
    <cfRule type="expression" priority="723" dxfId="0">
      <formula>AND(IF($Q36=3,1,IF($Q36=4,1,0)),IF($F36&lt;=85,1,0))</formula>
    </cfRule>
  </conditionalFormatting>
  <conditionalFormatting sqref="AV37">
    <cfRule type="expression" priority="718" dxfId="17">
      <formula>AV37="X"</formula>
    </cfRule>
    <cfRule type="expression" priority="719" dxfId="16">
      <formula>AV37="후보"</formula>
    </cfRule>
  </conditionalFormatting>
  <conditionalFormatting sqref="AC3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3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37">
    <cfRule type="expression" priority="709" dxfId="3">
      <formula>AND(IF(OR($Q37=1,$Q37=2),1,0),IF($X37&lt;=20,1,0))</formula>
    </cfRule>
    <cfRule type="expression" priority="710" dxfId="2">
      <formula>AND(IF($Q37=2,1,0),IF($X37&lt;30,1,0))</formula>
    </cfRule>
    <cfRule type="expression" priority="711" dxfId="1">
      <formula>AND(IF($Q37=3,1,0),IF($X37&lt;30,1,0))</formula>
    </cfRule>
    <cfRule type="expression" priority="712" dxfId="0">
      <formula>AND(IF($Q37=3,1,IF($Q37=4,1,0)),IF($F37&lt;=85,1,0))</formula>
    </cfRule>
  </conditionalFormatting>
  <conditionalFormatting sqref="X37">
    <cfRule type="expression" priority="705" dxfId="3">
      <formula>AND(IF(OR($Q37=1,$Q37=2),1,0),IF($X37&lt;=20,1,0))</formula>
    </cfRule>
    <cfRule type="expression" priority="706" dxfId="2">
      <formula>AND(IF($Q37=2,1,0),IF($X37&lt;30,1,0))</formula>
    </cfRule>
    <cfRule type="expression" priority="707" dxfId="1">
      <formula>AND(IF($Q37=3,1,0),IF($X37&lt;30,1,0))</formula>
    </cfRule>
    <cfRule type="expression" priority="708" dxfId="0">
      <formula>AND(IF($Q37=3,1,IF($Q37=4,1,0)),IF($F37&lt;=85,1,0))</formula>
    </cfRule>
  </conditionalFormatting>
  <conditionalFormatting sqref="AI37">
    <cfRule type="expression" priority="701" dxfId="3">
      <formula>AND(IF(OR($Q37=1,$Q37=2),1,0),IF($X37&lt;=20,1,0))</formula>
    </cfRule>
    <cfRule type="expression" priority="702" dxfId="2">
      <formula>AND(IF($Q37=2,1,0),IF($X37&lt;30,1,0))</formula>
    </cfRule>
    <cfRule type="expression" priority="703" dxfId="1">
      <formula>AND(IF($Q37=3,1,0),IF($X37&lt;30,1,0))</formula>
    </cfRule>
    <cfRule type="expression" priority="704" dxfId="0">
      <formula>AND(IF($Q37=3,1,IF($Q37=4,1,0)),IF($F37&lt;=85,1,0))</formula>
    </cfRule>
  </conditionalFormatting>
  <conditionalFormatting sqref="AV38">
    <cfRule type="expression" priority="699" dxfId="17">
      <formula>AV38="X"</formula>
    </cfRule>
    <cfRule type="expression" priority="700" dxfId="16">
      <formula>AV38="후보"</formula>
    </cfRule>
  </conditionalFormatting>
  <conditionalFormatting sqref="AC3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17">
      <formula>AV39="X"</formula>
    </cfRule>
    <cfRule type="expression" priority="681" dxfId="16">
      <formula>AV39="후보"</formula>
    </cfRule>
  </conditionalFormatting>
  <conditionalFormatting sqref="AC3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17">
      <formula>AV40="X"</formula>
    </cfRule>
    <cfRule type="expression" priority="662" dxfId="16">
      <formula>AV40="후보"</formula>
    </cfRule>
  </conditionalFormatting>
  <conditionalFormatting sqref="AC4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17">
      <formula>AV41="X"</formula>
    </cfRule>
    <cfRule type="expression" priority="643" dxfId="16">
      <formula>AV41="후보"</formula>
    </cfRule>
  </conditionalFormatting>
  <conditionalFormatting sqref="AC4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17">
      <formula>AV42="X"</formula>
    </cfRule>
    <cfRule type="expression" priority="624" dxfId="16">
      <formula>AV42="후보"</formula>
    </cfRule>
  </conditionalFormatting>
  <conditionalFormatting sqref="AC42 N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43">
    <cfRule type="expression" priority="618" dxfId="17">
      <formula>AV43="X"</formula>
    </cfRule>
    <cfRule type="expression" priority="619" dxfId="16">
      <formula>AV43="후보"</formula>
    </cfRule>
  </conditionalFormatting>
  <conditionalFormatting sqref="AC4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4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43">
    <cfRule type="expression" priority="609" dxfId="3">
      <formula>AND(IF(OR($Q43=1,$Q43=2),1,0),IF($X43&lt;=20,1,0))</formula>
    </cfRule>
    <cfRule type="expression" priority="610" dxfId="2">
      <formula>AND(IF($Q43=2,1,0),IF($X43&lt;30,1,0))</formula>
    </cfRule>
    <cfRule type="expression" priority="611" dxfId="1">
      <formula>AND(IF($Q43=3,1,0),IF($X43&lt;30,1,0))</formula>
    </cfRule>
    <cfRule type="expression" priority="612" dxfId="0">
      <formula>AND(IF($Q43=3,1,IF($Q43=4,1,0)),IF($F43&lt;=85,1,0))</formula>
    </cfRule>
  </conditionalFormatting>
  <conditionalFormatting sqref="X43">
    <cfRule type="expression" priority="605" dxfId="3">
      <formula>AND(IF(OR($Q43=1,$Q43=2),1,0),IF($X43&lt;=20,1,0))</formula>
    </cfRule>
    <cfRule type="expression" priority="606" dxfId="2">
      <formula>AND(IF($Q43=2,1,0),IF($X43&lt;30,1,0))</formula>
    </cfRule>
    <cfRule type="expression" priority="607" dxfId="1">
      <formula>AND(IF($Q43=3,1,0),IF($X43&lt;30,1,0))</formula>
    </cfRule>
    <cfRule type="expression" priority="608" dxfId="0">
      <formula>AND(IF($Q43=3,1,IF($Q43=4,1,0)),IF($F43&lt;=85,1,0))</formula>
    </cfRule>
  </conditionalFormatting>
  <conditionalFormatting sqref="AI43">
    <cfRule type="expression" priority="601" dxfId="3">
      <formula>AND(IF(OR($Q43=1,$Q43=2),1,0),IF($X43&lt;=20,1,0))</formula>
    </cfRule>
    <cfRule type="expression" priority="602" dxfId="2">
      <formula>AND(IF($Q43=2,1,0),IF($X43&lt;30,1,0))</formula>
    </cfRule>
    <cfRule type="expression" priority="603" dxfId="1">
      <formula>AND(IF($Q43=3,1,0),IF($X43&lt;30,1,0))</formula>
    </cfRule>
    <cfRule type="expression" priority="604" dxfId="0">
      <formula>AND(IF($Q43=3,1,IF($Q43=4,1,0)),IF($F43&lt;=85,1,0))</formula>
    </cfRule>
  </conditionalFormatting>
  <conditionalFormatting sqref="AV44">
    <cfRule type="expression" priority="599" dxfId="17">
      <formula>AV44="X"</formula>
    </cfRule>
    <cfRule type="expression" priority="600" dxfId="16">
      <formula>AV44="후보"</formula>
    </cfRule>
  </conditionalFormatting>
  <conditionalFormatting sqref="AC4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4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44">
    <cfRule type="expression" priority="590" dxfId="3">
      <formula>AND(IF(OR($Q44=1,$Q44=2),1,0),IF($X44&lt;=20,1,0))</formula>
    </cfRule>
    <cfRule type="expression" priority="591" dxfId="2">
      <formula>AND(IF($Q44=2,1,0),IF($X44&lt;30,1,0))</formula>
    </cfRule>
    <cfRule type="expression" priority="592" dxfId="1">
      <formula>AND(IF($Q44=3,1,0),IF($X44&lt;30,1,0))</formula>
    </cfRule>
    <cfRule type="expression" priority="593" dxfId="0">
      <formula>AND(IF($Q44=3,1,IF($Q44=4,1,0)),IF($F44&lt;=85,1,0))</formula>
    </cfRule>
  </conditionalFormatting>
  <conditionalFormatting sqref="X44">
    <cfRule type="expression" priority="586" dxfId="3">
      <formula>AND(IF(OR($Q44=1,$Q44=2),1,0),IF($X44&lt;=20,1,0))</formula>
    </cfRule>
    <cfRule type="expression" priority="587" dxfId="2">
      <formula>AND(IF($Q44=2,1,0),IF($X44&lt;30,1,0))</formula>
    </cfRule>
    <cfRule type="expression" priority="588" dxfId="1">
      <formula>AND(IF($Q44=3,1,0),IF($X44&lt;30,1,0))</formula>
    </cfRule>
    <cfRule type="expression" priority="589" dxfId="0">
      <formula>AND(IF($Q44=3,1,IF($Q44=4,1,0)),IF($F44&lt;=85,1,0))</formula>
    </cfRule>
  </conditionalFormatting>
  <conditionalFormatting sqref="AI44">
    <cfRule type="expression" priority="582" dxfId="3">
      <formula>AND(IF(OR($Q44=1,$Q44=2),1,0),IF($X44&lt;=20,1,0))</formula>
    </cfRule>
    <cfRule type="expression" priority="583" dxfId="2">
      <formula>AND(IF($Q44=2,1,0),IF($X44&lt;30,1,0))</formula>
    </cfRule>
    <cfRule type="expression" priority="584" dxfId="1">
      <formula>AND(IF($Q44=3,1,0),IF($X44&lt;30,1,0))</formula>
    </cfRule>
    <cfRule type="expression" priority="585" dxfId="0">
      <formula>AND(IF($Q44=3,1,IF($Q44=4,1,0)),IF($F44&lt;=85,1,0))</formula>
    </cfRule>
  </conditionalFormatting>
  <conditionalFormatting sqref="AV45">
    <cfRule type="expression" priority="580" dxfId="17">
      <formula>AV45="X"</formula>
    </cfRule>
    <cfRule type="expression" priority="581" dxfId="16">
      <formula>AV45="후보"</formula>
    </cfRule>
  </conditionalFormatting>
  <conditionalFormatting sqref="AC45 N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46">
    <cfRule type="expression" priority="575" dxfId="17">
      <formula>AV46="X"</formula>
    </cfRule>
    <cfRule type="expression" priority="576" dxfId="16">
      <formula>AV46="후보"</formula>
    </cfRule>
  </conditionalFormatting>
  <conditionalFormatting sqref="AC4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6">
    <cfRule type="expression" priority="566" dxfId="3">
      <formula>AND(IF(OR($Q46=1,$Q46=2),1,0),IF($X46&lt;=20,1,0))</formula>
    </cfRule>
    <cfRule type="expression" priority="567" dxfId="2">
      <formula>AND(IF($Q46=2,1,0),IF($X46&lt;30,1,0))</formula>
    </cfRule>
    <cfRule type="expression" priority="568" dxfId="1">
      <formula>AND(IF($Q46=3,1,0),IF($X46&lt;30,1,0))</formula>
    </cfRule>
    <cfRule type="expression" priority="569" dxfId="0">
      <formula>AND(IF($Q46=3,1,IF($Q46=4,1,0)),IF($F46&lt;=85,1,0))</formula>
    </cfRule>
  </conditionalFormatting>
  <conditionalFormatting sqref="X46">
    <cfRule type="expression" priority="562" dxfId="3">
      <formula>AND(IF(OR($Q46=1,$Q46=2),1,0),IF($X46&lt;=20,1,0))</formula>
    </cfRule>
    <cfRule type="expression" priority="563" dxfId="2">
      <formula>AND(IF($Q46=2,1,0),IF($X46&lt;30,1,0))</formula>
    </cfRule>
    <cfRule type="expression" priority="564" dxfId="1">
      <formula>AND(IF($Q46=3,1,0),IF($X46&lt;30,1,0))</formula>
    </cfRule>
    <cfRule type="expression" priority="565" dxfId="0">
      <formula>AND(IF($Q46=3,1,IF($Q46=4,1,0)),IF($F46&lt;=85,1,0))</formula>
    </cfRule>
  </conditionalFormatting>
  <conditionalFormatting sqref="AI46">
    <cfRule type="expression" priority="558" dxfId="3">
      <formula>AND(IF(OR($Q46=1,$Q46=2),1,0),IF($X46&lt;=20,1,0))</formula>
    </cfRule>
    <cfRule type="expression" priority="559" dxfId="2">
      <formula>AND(IF($Q46=2,1,0),IF($X46&lt;30,1,0))</formula>
    </cfRule>
    <cfRule type="expression" priority="560" dxfId="1">
      <formula>AND(IF($Q46=3,1,0),IF($X46&lt;30,1,0))</formula>
    </cfRule>
    <cfRule type="expression" priority="561" dxfId="0">
      <formula>AND(IF($Q46=3,1,IF($Q46=4,1,0)),IF($F46&lt;=85,1,0))</formula>
    </cfRule>
  </conditionalFormatting>
  <conditionalFormatting sqref="AV47">
    <cfRule type="expression" priority="556" dxfId="17">
      <formula>AV47="X"</formula>
    </cfRule>
    <cfRule type="expression" priority="557" dxfId="16">
      <formula>AV47="후보"</formula>
    </cfRule>
  </conditionalFormatting>
  <conditionalFormatting sqref="AC4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4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47">
    <cfRule type="expression" priority="547" dxfId="3">
      <formula>AND(IF(OR($Q47=1,$Q47=2),1,0),IF($X47&lt;=20,1,0))</formula>
    </cfRule>
    <cfRule type="expression" priority="548" dxfId="2">
      <formula>AND(IF($Q47=2,1,0),IF($X47&lt;30,1,0))</formula>
    </cfRule>
    <cfRule type="expression" priority="549" dxfId="1">
      <formula>AND(IF($Q47=3,1,0),IF($X47&lt;30,1,0))</formula>
    </cfRule>
    <cfRule type="expression" priority="550" dxfId="0">
      <formula>AND(IF($Q47=3,1,IF($Q47=4,1,0)),IF($F47&lt;=85,1,0))</formula>
    </cfRule>
  </conditionalFormatting>
  <conditionalFormatting sqref="X47">
    <cfRule type="expression" priority="543" dxfId="3">
      <formula>AND(IF(OR($Q47=1,$Q47=2),1,0),IF($X47&lt;=20,1,0))</formula>
    </cfRule>
    <cfRule type="expression" priority="544" dxfId="2">
      <formula>AND(IF($Q47=2,1,0),IF($X47&lt;30,1,0))</formula>
    </cfRule>
    <cfRule type="expression" priority="545" dxfId="1">
      <formula>AND(IF($Q47=3,1,0),IF($X47&lt;30,1,0))</formula>
    </cfRule>
    <cfRule type="expression" priority="546" dxfId="0">
      <formula>AND(IF($Q47=3,1,IF($Q47=4,1,0)),IF($F47&lt;=85,1,0))</formula>
    </cfRule>
  </conditionalFormatting>
  <conditionalFormatting sqref="AI47">
    <cfRule type="expression" priority="539" dxfId="3">
      <formula>AND(IF(OR($Q47=1,$Q47=2),1,0),IF($X47&lt;=20,1,0))</formula>
    </cfRule>
    <cfRule type="expression" priority="540" dxfId="2">
      <formula>AND(IF($Q47=2,1,0),IF($X47&lt;30,1,0))</formula>
    </cfRule>
    <cfRule type="expression" priority="541" dxfId="1">
      <formula>AND(IF($Q47=3,1,0),IF($X47&lt;30,1,0))</formula>
    </cfRule>
    <cfRule type="expression" priority="542" dxfId="0">
      <formula>AND(IF($Q47=3,1,IF($Q47=4,1,0)),IF($F47&lt;=85,1,0))</formula>
    </cfRule>
  </conditionalFormatting>
  <conditionalFormatting sqref="AV48">
    <cfRule type="expression" priority="537" dxfId="17">
      <formula>AV48="X"</formula>
    </cfRule>
    <cfRule type="expression" priority="538" dxfId="16">
      <formula>AV48="후보"</formula>
    </cfRule>
  </conditionalFormatting>
  <conditionalFormatting sqref="AC4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8">
    <cfRule type="expression" priority="528" dxfId="3">
      <formula>AND(IF(OR($Q48=1,$Q48=2),1,0),IF($X48&lt;=20,1,0))</formula>
    </cfRule>
    <cfRule type="expression" priority="529" dxfId="2">
      <formula>AND(IF($Q48=2,1,0),IF($X48&lt;30,1,0))</formula>
    </cfRule>
    <cfRule type="expression" priority="530" dxfId="1">
      <formula>AND(IF($Q48=3,1,0),IF($X48&lt;30,1,0))</formula>
    </cfRule>
    <cfRule type="expression" priority="531" dxfId="0">
      <formula>AND(IF($Q48=3,1,IF($Q48=4,1,0)),IF($F48&lt;=85,1,0))</formula>
    </cfRule>
  </conditionalFormatting>
  <conditionalFormatting sqref="X48">
    <cfRule type="expression" priority="524" dxfId="3">
      <formula>AND(IF(OR($Q48=1,$Q48=2),1,0),IF($X48&lt;=20,1,0))</formula>
    </cfRule>
    <cfRule type="expression" priority="525" dxfId="2">
      <formula>AND(IF($Q48=2,1,0),IF($X48&lt;30,1,0))</formula>
    </cfRule>
    <cfRule type="expression" priority="526" dxfId="1">
      <formula>AND(IF($Q48=3,1,0),IF($X48&lt;30,1,0))</formula>
    </cfRule>
    <cfRule type="expression" priority="527" dxfId="0">
      <formula>AND(IF($Q48=3,1,IF($Q48=4,1,0)),IF($F48&lt;=85,1,0))</formula>
    </cfRule>
  </conditionalFormatting>
  <conditionalFormatting sqref="AI48">
    <cfRule type="expression" priority="520" dxfId="3">
      <formula>AND(IF(OR($Q48=1,$Q48=2),1,0),IF($X48&lt;=20,1,0))</formula>
    </cfRule>
    <cfRule type="expression" priority="521" dxfId="2">
      <formula>AND(IF($Q48=2,1,0),IF($X48&lt;30,1,0))</formula>
    </cfRule>
    <cfRule type="expression" priority="522" dxfId="1">
      <formula>AND(IF($Q48=3,1,0),IF($X48&lt;30,1,0))</formula>
    </cfRule>
    <cfRule type="expression" priority="523" dxfId="0">
      <formula>AND(IF($Q48=3,1,IF($Q48=4,1,0)),IF($F48&lt;=85,1,0))</formula>
    </cfRule>
  </conditionalFormatting>
  <conditionalFormatting sqref="AV49">
    <cfRule type="expression" priority="518" dxfId="17">
      <formula>AV49="X"</formula>
    </cfRule>
    <cfRule type="expression" priority="519" dxfId="16">
      <formula>AV49="후보"</formula>
    </cfRule>
  </conditionalFormatting>
  <conditionalFormatting sqref="AC4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9">
    <cfRule type="expression" priority="509" dxfId="3">
      <formula>AND(IF(OR($Q49=1,$Q49=2),1,0),IF($X49&lt;=20,1,0))</formula>
    </cfRule>
    <cfRule type="expression" priority="510" dxfId="2">
      <formula>AND(IF($Q49=2,1,0),IF($X49&lt;30,1,0))</formula>
    </cfRule>
    <cfRule type="expression" priority="511" dxfId="1">
      <formula>AND(IF($Q49=3,1,0),IF($X49&lt;30,1,0))</formula>
    </cfRule>
    <cfRule type="expression" priority="512" dxfId="0">
      <formula>AND(IF($Q49=3,1,IF($Q49=4,1,0)),IF($F49&lt;=85,1,0))</formula>
    </cfRule>
  </conditionalFormatting>
  <conditionalFormatting sqref="X49">
    <cfRule type="expression" priority="505" dxfId="3">
      <formula>AND(IF(OR($Q49=1,$Q49=2),1,0),IF($X49&lt;=20,1,0))</formula>
    </cfRule>
    <cfRule type="expression" priority="506" dxfId="2">
      <formula>AND(IF($Q49=2,1,0),IF($X49&lt;30,1,0))</formula>
    </cfRule>
    <cfRule type="expression" priority="507" dxfId="1">
      <formula>AND(IF($Q49=3,1,0),IF($X49&lt;30,1,0))</formula>
    </cfRule>
    <cfRule type="expression" priority="508" dxfId="0">
      <formula>AND(IF($Q49=3,1,IF($Q49=4,1,0)),IF($F49&lt;=85,1,0))</formula>
    </cfRule>
  </conditionalFormatting>
  <conditionalFormatting sqref="AI49">
    <cfRule type="expression" priority="501" dxfId="3">
      <formula>AND(IF(OR($Q49=1,$Q49=2),1,0),IF($X49&lt;=20,1,0))</formula>
    </cfRule>
    <cfRule type="expression" priority="502" dxfId="2">
      <formula>AND(IF($Q49=2,1,0),IF($X49&lt;30,1,0))</formula>
    </cfRule>
    <cfRule type="expression" priority="503" dxfId="1">
      <formula>AND(IF($Q49=3,1,0),IF($X49&lt;30,1,0))</formula>
    </cfRule>
    <cfRule type="expression" priority="504" dxfId="0">
      <formula>AND(IF($Q49=3,1,IF($Q49=4,1,0)),IF($F49&lt;=85,1,0))</formula>
    </cfRule>
  </conditionalFormatting>
  <conditionalFormatting sqref="AV50">
    <cfRule type="expression" priority="499" dxfId="17">
      <formula>AV50="X"</formula>
    </cfRule>
    <cfRule type="expression" priority="500" dxfId="16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7">
      <formula>AV51="X"</formula>
    </cfRule>
    <cfRule type="expression" priority="481" dxfId="16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7">
      <formula>AV52="X"</formula>
    </cfRule>
    <cfRule type="expression" priority="462" dxfId="16">
      <formula>AV52="후보"</formula>
    </cfRule>
  </conditionalFormatting>
  <conditionalFormatting sqref="AC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17">
      <formula>AV53="X"</formula>
    </cfRule>
    <cfRule type="expression" priority="443" dxfId="16">
      <formula>AV53="후보"</formula>
    </cfRule>
  </conditionalFormatting>
  <conditionalFormatting sqref="AC5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3">
    <cfRule type="expression" priority="433" dxfId="3">
      <formula>AND(IF(OR($Q53=1,$Q53=2),1,0),IF($X53&lt;=20,1,0))</formula>
    </cfRule>
    <cfRule type="expression" priority="434" dxfId="2">
      <formula>AND(IF($Q53=2,1,0),IF($X53&lt;30,1,0))</formula>
    </cfRule>
    <cfRule type="expression" priority="435" dxfId="1">
      <formula>AND(IF($Q53=3,1,0),IF($X53&lt;30,1,0))</formula>
    </cfRule>
    <cfRule type="expression" priority="436" dxfId="0">
      <formula>AND(IF($Q53=3,1,IF($Q53=4,1,0)),IF($F53&lt;=85,1,0))</formula>
    </cfRule>
  </conditionalFormatting>
  <conditionalFormatting sqref="X53">
    <cfRule type="expression" priority="429" dxfId="3">
      <formula>AND(IF(OR($Q53=1,$Q53=2),1,0),IF($X53&lt;=20,1,0))</formula>
    </cfRule>
    <cfRule type="expression" priority="430" dxfId="2">
      <formula>AND(IF($Q53=2,1,0),IF($X53&lt;30,1,0))</formula>
    </cfRule>
    <cfRule type="expression" priority="431" dxfId="1">
      <formula>AND(IF($Q53=3,1,0),IF($X53&lt;30,1,0))</formula>
    </cfRule>
    <cfRule type="expression" priority="432" dxfId="0">
      <formula>AND(IF($Q53=3,1,IF($Q53=4,1,0)),IF($F53&lt;=85,1,0))</formula>
    </cfRule>
  </conditionalFormatting>
  <conditionalFormatting sqref="AI53">
    <cfRule type="expression" priority="425" dxfId="3">
      <formula>AND(IF(OR($Q53=1,$Q53=2),1,0),IF($X53&lt;=20,1,0))</formula>
    </cfRule>
    <cfRule type="expression" priority="426" dxfId="2">
      <formula>AND(IF($Q53=2,1,0),IF($X53&lt;30,1,0))</formula>
    </cfRule>
    <cfRule type="expression" priority="427" dxfId="1">
      <formula>AND(IF($Q53=3,1,0),IF($X53&lt;30,1,0))</formula>
    </cfRule>
    <cfRule type="expression" priority="428" dxfId="0">
      <formula>AND(IF($Q53=3,1,IF($Q53=4,1,0)),IF($F53&lt;=85,1,0))</formula>
    </cfRule>
  </conditionalFormatting>
  <conditionalFormatting sqref="AV54">
    <cfRule type="expression" priority="423" dxfId="17">
      <formula>AV54="X"</formula>
    </cfRule>
    <cfRule type="expression" priority="424" dxfId="16">
      <formula>AV54="후보"</formula>
    </cfRule>
  </conditionalFormatting>
  <conditionalFormatting sqref="AC54 N5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55">
    <cfRule type="expression" priority="418" dxfId="17">
      <formula>AV55="X"</formula>
    </cfRule>
    <cfRule type="expression" priority="419" dxfId="16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7">
      <formula>AV56="X"</formula>
    </cfRule>
    <cfRule type="expression" priority="400" dxfId="16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7">
      <formula>AV57="X"</formula>
    </cfRule>
    <cfRule type="expression" priority="381" dxfId="16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7">
      <formula>AV58="X"</formula>
    </cfRule>
    <cfRule type="expression" priority="362" dxfId="16">
      <formula>AV58="후보"</formula>
    </cfRule>
  </conditionalFormatting>
  <conditionalFormatting sqref="AC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8">
    <cfRule type="expression" priority="352" dxfId="3">
      <formula>AND(IF(OR($Q58=1,$Q58=2),1,0),IF($X58&lt;=20,1,0))</formula>
    </cfRule>
    <cfRule type="expression" priority="353" dxfId="2">
      <formula>AND(IF($Q58=2,1,0),IF($X58&lt;30,1,0))</formula>
    </cfRule>
    <cfRule type="expression" priority="354" dxfId="1">
      <formula>AND(IF($Q58=3,1,0),IF($X58&lt;30,1,0))</formula>
    </cfRule>
    <cfRule type="expression" priority="355" dxfId="0">
      <formula>AND(IF($Q58=3,1,IF($Q58=4,1,0)),IF($F58&lt;=85,1,0))</formula>
    </cfRule>
  </conditionalFormatting>
  <conditionalFormatting sqref="X58">
    <cfRule type="expression" priority="348" dxfId="3">
      <formula>AND(IF(OR($Q58=1,$Q58=2),1,0),IF($X58&lt;=20,1,0))</formula>
    </cfRule>
    <cfRule type="expression" priority="349" dxfId="2">
      <formula>AND(IF($Q58=2,1,0),IF($X58&lt;30,1,0))</formula>
    </cfRule>
    <cfRule type="expression" priority="350" dxfId="1">
      <formula>AND(IF($Q58=3,1,0),IF($X58&lt;30,1,0))</formula>
    </cfRule>
    <cfRule type="expression" priority="351" dxfId="0">
      <formula>AND(IF($Q58=3,1,IF($Q58=4,1,0)),IF($F58&lt;=85,1,0))</formula>
    </cfRule>
  </conditionalFormatting>
  <conditionalFormatting sqref="AI58">
    <cfRule type="expression" priority="344" dxfId="3">
      <formula>AND(IF(OR($Q58=1,$Q58=2),1,0),IF($X58&lt;=20,1,0))</formula>
    </cfRule>
    <cfRule type="expression" priority="345" dxfId="2">
      <formula>AND(IF($Q58=2,1,0),IF($X58&lt;30,1,0))</formula>
    </cfRule>
    <cfRule type="expression" priority="346" dxfId="1">
      <formula>AND(IF($Q58=3,1,0),IF($X58&lt;30,1,0))</formula>
    </cfRule>
    <cfRule type="expression" priority="347" dxfId="0">
      <formula>AND(IF($Q58=3,1,IF($Q58=4,1,0)),IF($F58&lt;=85,1,0))</formula>
    </cfRule>
  </conditionalFormatting>
  <conditionalFormatting sqref="AV59">
    <cfRule type="expression" priority="342" dxfId="17">
      <formula>AV59="X"</formula>
    </cfRule>
    <cfRule type="expression" priority="343" dxfId="16">
      <formula>AV59="후보"</formula>
    </cfRule>
  </conditionalFormatting>
  <conditionalFormatting sqref="AC59 N5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0">
    <cfRule type="expression" priority="337" dxfId="17">
      <formula>AV60="X"</formula>
    </cfRule>
    <cfRule type="expression" priority="338" dxfId="16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7">
      <formula>AV61="X"</formula>
    </cfRule>
    <cfRule type="expression" priority="319" dxfId="16">
      <formula>AV61="후보"</formula>
    </cfRule>
  </conditionalFormatting>
  <conditionalFormatting sqref="AC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1">
    <cfRule type="expression" priority="309" dxfId="3">
      <formula>AND(IF(OR($Q61=1,$Q61=2),1,0),IF($X61&lt;=20,1,0))</formula>
    </cfRule>
    <cfRule type="expression" priority="310" dxfId="2">
      <formula>AND(IF($Q61=2,1,0),IF($X61&lt;30,1,0))</formula>
    </cfRule>
    <cfRule type="expression" priority="311" dxfId="1">
      <formula>AND(IF($Q61=3,1,0),IF($X61&lt;30,1,0))</formula>
    </cfRule>
    <cfRule type="expression" priority="312" dxfId="0">
      <formula>AND(IF($Q61=3,1,IF($Q61=4,1,0)),IF($F61&lt;=85,1,0))</formula>
    </cfRule>
  </conditionalFormatting>
  <conditionalFormatting sqref="X61">
    <cfRule type="expression" priority="305" dxfId="3">
      <formula>AND(IF(OR($Q61=1,$Q61=2),1,0),IF($X61&lt;=20,1,0))</formula>
    </cfRule>
    <cfRule type="expression" priority="306" dxfId="2">
      <formula>AND(IF($Q61=2,1,0),IF($X61&lt;30,1,0))</formula>
    </cfRule>
    <cfRule type="expression" priority="307" dxfId="1">
      <formula>AND(IF($Q61=3,1,0),IF($X61&lt;30,1,0))</formula>
    </cfRule>
    <cfRule type="expression" priority="308" dxfId="0">
      <formula>AND(IF($Q61=3,1,IF($Q61=4,1,0)),IF($F61&lt;=85,1,0))</formula>
    </cfRule>
  </conditionalFormatting>
  <conditionalFormatting sqref="AI61">
    <cfRule type="expression" priority="301" dxfId="3">
      <formula>AND(IF(OR($Q61=1,$Q61=2),1,0),IF($X61&lt;=20,1,0))</formula>
    </cfRule>
    <cfRule type="expression" priority="302" dxfId="2">
      <formula>AND(IF($Q61=2,1,0),IF($X61&lt;30,1,0))</formula>
    </cfRule>
    <cfRule type="expression" priority="303" dxfId="1">
      <formula>AND(IF($Q61=3,1,0),IF($X61&lt;30,1,0))</formula>
    </cfRule>
    <cfRule type="expression" priority="304" dxfId="0">
      <formula>AND(IF($Q61=3,1,IF($Q61=4,1,0)),IF($F61&lt;=85,1,0))</formula>
    </cfRule>
  </conditionalFormatting>
  <conditionalFormatting sqref="AV62">
    <cfRule type="expression" priority="299" dxfId="17">
      <formula>AV62="X"</formula>
    </cfRule>
    <cfRule type="expression" priority="300" dxfId="16">
      <formula>AV62="후보"</formula>
    </cfRule>
  </conditionalFormatting>
  <conditionalFormatting sqref="AC6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2">
    <cfRule type="expression" priority="290" dxfId="3">
      <formula>AND(IF(OR($Q62=1,$Q62=2),1,0),IF($X62&lt;=20,1,0))</formula>
    </cfRule>
    <cfRule type="expression" priority="291" dxfId="2">
      <formula>AND(IF($Q62=2,1,0),IF($X62&lt;30,1,0))</formula>
    </cfRule>
    <cfRule type="expression" priority="292" dxfId="1">
      <formula>AND(IF($Q62=3,1,0),IF($X62&lt;30,1,0))</formula>
    </cfRule>
    <cfRule type="expression" priority="293" dxfId="0">
      <formula>AND(IF($Q62=3,1,IF($Q62=4,1,0)),IF($F62&lt;=85,1,0))</formula>
    </cfRule>
  </conditionalFormatting>
  <conditionalFormatting sqref="X62">
    <cfRule type="expression" priority="286" dxfId="3">
      <formula>AND(IF(OR($Q62=1,$Q62=2),1,0),IF($X62&lt;=20,1,0))</formula>
    </cfRule>
    <cfRule type="expression" priority="287" dxfId="2">
      <formula>AND(IF($Q62=2,1,0),IF($X62&lt;30,1,0))</formula>
    </cfRule>
    <cfRule type="expression" priority="288" dxfId="1">
      <formula>AND(IF($Q62=3,1,0),IF($X62&lt;30,1,0))</formula>
    </cfRule>
    <cfRule type="expression" priority="289" dxfId="0">
      <formula>AND(IF($Q62=3,1,IF($Q62=4,1,0)),IF($F62&lt;=85,1,0))</formula>
    </cfRule>
  </conditionalFormatting>
  <conditionalFormatting sqref="AI62">
    <cfRule type="expression" priority="282" dxfId="3">
      <formula>AND(IF(OR($Q62=1,$Q62=2),1,0),IF($X62&lt;=20,1,0))</formula>
    </cfRule>
    <cfRule type="expression" priority="283" dxfId="2">
      <formula>AND(IF($Q62=2,1,0),IF($X62&lt;30,1,0))</formula>
    </cfRule>
    <cfRule type="expression" priority="284" dxfId="1">
      <formula>AND(IF($Q62=3,1,0),IF($X62&lt;30,1,0))</formula>
    </cfRule>
    <cfRule type="expression" priority="285" dxfId="0">
      <formula>AND(IF($Q62=3,1,IF($Q62=4,1,0)),IF($F62&lt;=85,1,0))</formula>
    </cfRule>
  </conditionalFormatting>
  <conditionalFormatting sqref="AV63">
    <cfRule type="expression" priority="280" dxfId="17">
      <formula>AV63="X"</formula>
    </cfRule>
    <cfRule type="expression" priority="281" dxfId="16">
      <formula>AV63="후보"</formula>
    </cfRule>
  </conditionalFormatting>
  <conditionalFormatting sqref="AC6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3">
    <cfRule type="expression" priority="271" dxfId="3">
      <formula>AND(IF(OR($Q63=1,$Q63=2),1,0),IF($X63&lt;=20,1,0))</formula>
    </cfRule>
    <cfRule type="expression" priority="272" dxfId="2">
      <formula>AND(IF($Q63=2,1,0),IF($X63&lt;30,1,0))</formula>
    </cfRule>
    <cfRule type="expression" priority="273" dxfId="1">
      <formula>AND(IF($Q63=3,1,0),IF($X63&lt;30,1,0))</formula>
    </cfRule>
    <cfRule type="expression" priority="274" dxfId="0">
      <formula>AND(IF($Q63=3,1,IF($Q63=4,1,0)),IF($F63&lt;=85,1,0))</formula>
    </cfRule>
  </conditionalFormatting>
  <conditionalFormatting sqref="X63">
    <cfRule type="expression" priority="267" dxfId="3">
      <formula>AND(IF(OR($Q63=1,$Q63=2),1,0),IF($X63&lt;=20,1,0))</formula>
    </cfRule>
    <cfRule type="expression" priority="268" dxfId="2">
      <formula>AND(IF($Q63=2,1,0),IF($X63&lt;30,1,0))</formula>
    </cfRule>
    <cfRule type="expression" priority="269" dxfId="1">
      <formula>AND(IF($Q63=3,1,0),IF($X63&lt;30,1,0))</formula>
    </cfRule>
    <cfRule type="expression" priority="270" dxfId="0">
      <formula>AND(IF($Q63=3,1,IF($Q63=4,1,0)),IF($F63&lt;=85,1,0))</formula>
    </cfRule>
  </conditionalFormatting>
  <conditionalFormatting sqref="AI63">
    <cfRule type="expression" priority="263" dxfId="3">
      <formula>AND(IF(OR($Q63=1,$Q63=2),1,0),IF($X63&lt;=20,1,0))</formula>
    </cfRule>
    <cfRule type="expression" priority="264" dxfId="2">
      <formula>AND(IF($Q63=2,1,0),IF($X63&lt;30,1,0))</formula>
    </cfRule>
    <cfRule type="expression" priority="265" dxfId="1">
      <formula>AND(IF($Q63=3,1,0),IF($X63&lt;30,1,0))</formula>
    </cfRule>
    <cfRule type="expression" priority="266" dxfId="0">
      <formula>AND(IF($Q63=3,1,IF($Q63=4,1,0)),IF($F63&lt;=85,1,0))</formula>
    </cfRule>
  </conditionalFormatting>
  <conditionalFormatting sqref="AV64">
    <cfRule type="expression" priority="261" dxfId="17">
      <formula>AV64="X"</formula>
    </cfRule>
    <cfRule type="expression" priority="262" dxfId="16">
      <formula>AV64="후보"</formula>
    </cfRule>
  </conditionalFormatting>
  <conditionalFormatting sqref="AC6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6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64">
    <cfRule type="expression" priority="252" dxfId="3">
      <formula>AND(IF(OR($Q64=1,$Q64=2),1,0),IF($X64&lt;=20,1,0))</formula>
    </cfRule>
    <cfRule type="expression" priority="253" dxfId="2">
      <formula>AND(IF($Q64=2,1,0),IF($X64&lt;30,1,0))</formula>
    </cfRule>
    <cfRule type="expression" priority="254" dxfId="1">
      <formula>AND(IF($Q64=3,1,0),IF($X64&lt;30,1,0))</formula>
    </cfRule>
    <cfRule type="expression" priority="255" dxfId="0">
      <formula>AND(IF($Q64=3,1,IF($Q64=4,1,0)),IF($F64&lt;=85,1,0))</formula>
    </cfRule>
  </conditionalFormatting>
  <conditionalFormatting sqref="X64">
    <cfRule type="expression" priority="248" dxfId="3">
      <formula>AND(IF(OR($Q64=1,$Q64=2),1,0),IF($X64&lt;=20,1,0))</formula>
    </cfRule>
    <cfRule type="expression" priority="249" dxfId="2">
      <formula>AND(IF($Q64=2,1,0),IF($X64&lt;30,1,0))</formula>
    </cfRule>
    <cfRule type="expression" priority="250" dxfId="1">
      <formula>AND(IF($Q64=3,1,0),IF($X64&lt;30,1,0))</formula>
    </cfRule>
    <cfRule type="expression" priority="251" dxfId="0">
      <formula>AND(IF($Q64=3,1,IF($Q64=4,1,0)),IF($F64&lt;=85,1,0))</formula>
    </cfRule>
  </conditionalFormatting>
  <conditionalFormatting sqref="AI64">
    <cfRule type="expression" priority="244" dxfId="3">
      <formula>AND(IF(OR($Q64=1,$Q64=2),1,0),IF($X64&lt;=20,1,0))</formula>
    </cfRule>
    <cfRule type="expression" priority="245" dxfId="2">
      <formula>AND(IF($Q64=2,1,0),IF($X64&lt;30,1,0))</formula>
    </cfRule>
    <cfRule type="expression" priority="246" dxfId="1">
      <formula>AND(IF($Q64=3,1,0),IF($X64&lt;30,1,0))</formula>
    </cfRule>
    <cfRule type="expression" priority="247" dxfId="0">
      <formula>AND(IF($Q64=3,1,IF($Q64=4,1,0)),IF($F64&lt;=85,1,0))</formula>
    </cfRule>
  </conditionalFormatting>
  <conditionalFormatting sqref="AV65">
    <cfRule type="expression" priority="242" dxfId="17">
      <formula>AV65="X"</formula>
    </cfRule>
    <cfRule type="expression" priority="243" dxfId="16">
      <formula>AV65="후보"</formula>
    </cfRule>
  </conditionalFormatting>
  <conditionalFormatting sqref="AC65 N6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66">
    <cfRule type="expression" priority="237" dxfId="17">
      <formula>AV66="X"</formula>
    </cfRule>
    <cfRule type="expression" priority="238" dxfId="16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7">
      <formula>AV67="X"</formula>
    </cfRule>
    <cfRule type="expression" priority="219" dxfId="16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7">
      <formula>AV68="X"</formula>
    </cfRule>
    <cfRule type="expression" priority="200" dxfId="16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7">
      <formula>AV69="X"</formula>
    </cfRule>
    <cfRule type="expression" priority="181" dxfId="16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7">
      <formula>AV70="X"</formula>
    </cfRule>
    <cfRule type="expression" priority="162" dxfId="16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7">
      <formula>AV71="X"</formula>
    </cfRule>
    <cfRule type="expression" priority="157" dxfId="16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7">
      <formula>AV72="X"</formula>
    </cfRule>
    <cfRule type="expression" priority="138" dxfId="16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7">
      <formula>AV73="X"</formula>
    </cfRule>
    <cfRule type="expression" priority="119" dxfId="16">
      <formula>AV73="후보"</formula>
    </cfRule>
  </conditionalFormatting>
  <conditionalFormatting sqref="AC73 N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4">
    <cfRule type="expression" priority="113" dxfId="17">
      <formula>AV74="X"</formula>
    </cfRule>
    <cfRule type="expression" priority="114" dxfId="16">
      <formula>AV74="후보"</formula>
    </cfRule>
  </conditionalFormatting>
  <conditionalFormatting sqref="AC7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4">
    <cfRule type="expression" priority="104" dxfId="3">
      <formula>AND(IF(OR($Q74=1,$Q74=2),1,0),IF($X74&lt;=20,1,0))</formula>
    </cfRule>
    <cfRule type="expression" priority="105" dxfId="2">
      <formula>AND(IF($Q74=2,1,0),IF($X74&lt;30,1,0))</formula>
    </cfRule>
    <cfRule type="expression" priority="106" dxfId="1">
      <formula>AND(IF($Q74=3,1,0),IF($X74&lt;30,1,0))</formula>
    </cfRule>
    <cfRule type="expression" priority="107" dxfId="0">
      <formula>AND(IF($Q74=3,1,IF($Q74=4,1,0)),IF($F74&lt;=85,1,0))</formula>
    </cfRule>
  </conditionalFormatting>
  <conditionalFormatting sqref="X74">
    <cfRule type="expression" priority="100" dxfId="3">
      <formula>AND(IF(OR($Q74=1,$Q74=2),1,0),IF($X74&lt;=20,1,0))</formula>
    </cfRule>
    <cfRule type="expression" priority="101" dxfId="2">
      <formula>AND(IF($Q74=2,1,0),IF($X74&lt;30,1,0))</formula>
    </cfRule>
    <cfRule type="expression" priority="102" dxfId="1">
      <formula>AND(IF($Q74=3,1,0),IF($X74&lt;30,1,0))</formula>
    </cfRule>
    <cfRule type="expression" priority="103" dxfId="0">
      <formula>AND(IF($Q74=3,1,IF($Q74=4,1,0)),IF($F74&lt;=85,1,0))</formula>
    </cfRule>
  </conditionalFormatting>
  <conditionalFormatting sqref="AI74">
    <cfRule type="expression" priority="96" dxfId="3">
      <formula>AND(IF(OR($Q74=1,$Q74=2),1,0),IF($X74&lt;=20,1,0))</formula>
    </cfRule>
    <cfRule type="expression" priority="97" dxfId="2">
      <formula>AND(IF($Q74=2,1,0),IF($X74&lt;30,1,0))</formula>
    </cfRule>
    <cfRule type="expression" priority="98" dxfId="1">
      <formula>AND(IF($Q74=3,1,0),IF($X74&lt;30,1,0))</formula>
    </cfRule>
    <cfRule type="expression" priority="99" dxfId="0">
      <formula>AND(IF($Q74=3,1,IF($Q74=4,1,0)),IF($F74&lt;=85,1,0))</formula>
    </cfRule>
  </conditionalFormatting>
  <conditionalFormatting sqref="AV75">
    <cfRule type="expression" priority="94" dxfId="17">
      <formula>AV75="X"</formula>
    </cfRule>
    <cfRule type="expression" priority="95" dxfId="16">
      <formula>AV75="후보"</formula>
    </cfRule>
  </conditionalFormatting>
  <conditionalFormatting sqref="AC7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5">
    <cfRule type="expression" priority="85" dxfId="3">
      <formula>AND(IF(OR($Q75=1,$Q75=2),1,0),IF($X75&lt;=20,1,0))</formula>
    </cfRule>
    <cfRule type="expression" priority="86" dxfId="2">
      <formula>AND(IF($Q75=2,1,0),IF($X75&lt;30,1,0))</formula>
    </cfRule>
    <cfRule type="expression" priority="87" dxfId="1">
      <formula>AND(IF($Q75=3,1,0),IF($X75&lt;30,1,0))</formula>
    </cfRule>
    <cfRule type="expression" priority="88" dxfId="0">
      <formula>AND(IF($Q75=3,1,IF($Q75=4,1,0)),IF($F75&lt;=85,1,0))</formula>
    </cfRule>
  </conditionalFormatting>
  <conditionalFormatting sqref="X75">
    <cfRule type="expression" priority="81" dxfId="3">
      <formula>AND(IF(OR($Q75=1,$Q75=2),1,0),IF($X75&lt;=20,1,0))</formula>
    </cfRule>
    <cfRule type="expression" priority="82" dxfId="2">
      <formula>AND(IF($Q75=2,1,0),IF($X75&lt;30,1,0))</formula>
    </cfRule>
    <cfRule type="expression" priority="83" dxfId="1">
      <formula>AND(IF($Q75=3,1,0),IF($X75&lt;30,1,0))</formula>
    </cfRule>
    <cfRule type="expression" priority="84" dxfId="0">
      <formula>AND(IF($Q75=3,1,IF($Q75=4,1,0)),IF($F75&lt;=85,1,0))</formula>
    </cfRule>
  </conditionalFormatting>
  <conditionalFormatting sqref="AI75">
    <cfRule type="expression" priority="77" dxfId="3">
      <formula>AND(IF(OR($Q75=1,$Q75=2),1,0),IF($X75&lt;=20,1,0))</formula>
    </cfRule>
    <cfRule type="expression" priority="78" dxfId="2">
      <formula>AND(IF($Q75=2,1,0),IF($X75&lt;30,1,0))</formula>
    </cfRule>
    <cfRule type="expression" priority="79" dxfId="1">
      <formula>AND(IF($Q75=3,1,0),IF($X75&lt;30,1,0))</formula>
    </cfRule>
    <cfRule type="expression" priority="80" dxfId="0">
      <formula>AND(IF($Q75=3,1,IF($Q75=4,1,0)),IF($F75&lt;=85,1,0))</formula>
    </cfRule>
  </conditionalFormatting>
  <conditionalFormatting sqref="AV76">
    <cfRule type="expression" priority="75" dxfId="17">
      <formula>AV76="X"</formula>
    </cfRule>
    <cfRule type="expression" priority="76" dxfId="16">
      <formula>AV76="후보"</formula>
    </cfRule>
  </conditionalFormatting>
  <conditionalFormatting sqref="AC7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6">
    <cfRule type="expression" priority="66" dxfId="3">
      <formula>AND(IF(OR($Q76=1,$Q76=2),1,0),IF($X76&lt;=20,1,0))</formula>
    </cfRule>
    <cfRule type="expression" priority="67" dxfId="2">
      <formula>AND(IF($Q76=2,1,0),IF($X76&lt;30,1,0))</formula>
    </cfRule>
    <cfRule type="expression" priority="68" dxfId="1">
      <formula>AND(IF($Q76=3,1,0),IF($X76&lt;30,1,0))</formula>
    </cfRule>
    <cfRule type="expression" priority="69" dxfId="0">
      <formula>AND(IF($Q76=3,1,IF($Q76=4,1,0)),IF($F76&lt;=85,1,0))</formula>
    </cfRule>
  </conditionalFormatting>
  <conditionalFormatting sqref="X76">
    <cfRule type="expression" priority="62" dxfId="3">
      <formula>AND(IF(OR($Q76=1,$Q76=2),1,0),IF($X76&lt;=20,1,0))</formula>
    </cfRule>
    <cfRule type="expression" priority="63" dxfId="2">
      <formula>AND(IF($Q76=2,1,0),IF($X76&lt;30,1,0))</formula>
    </cfRule>
    <cfRule type="expression" priority="64" dxfId="1">
      <formula>AND(IF($Q76=3,1,0),IF($X76&lt;30,1,0))</formula>
    </cfRule>
    <cfRule type="expression" priority="65" dxfId="0">
      <formula>AND(IF($Q76=3,1,IF($Q76=4,1,0)),IF($F76&lt;=85,1,0))</formula>
    </cfRule>
  </conditionalFormatting>
  <conditionalFormatting sqref="AI76">
    <cfRule type="expression" priority="58" dxfId="3">
      <formula>AND(IF(OR($Q76=1,$Q76=2),1,0),IF($X76&lt;=20,1,0))</formula>
    </cfRule>
    <cfRule type="expression" priority="59" dxfId="2">
      <formula>AND(IF($Q76=2,1,0),IF($X76&lt;30,1,0))</formula>
    </cfRule>
    <cfRule type="expression" priority="60" dxfId="1">
      <formula>AND(IF($Q76=3,1,0),IF($X76&lt;30,1,0))</formula>
    </cfRule>
    <cfRule type="expression" priority="61" dxfId="0">
      <formula>AND(IF($Q76=3,1,IF($Q76=4,1,0)),IF($F76&lt;=85,1,0))</formula>
    </cfRule>
  </conditionalFormatting>
  <conditionalFormatting sqref="AV77">
    <cfRule type="expression" priority="56" dxfId="17">
      <formula>AV77="X"</formula>
    </cfRule>
    <cfRule type="expression" priority="57" dxfId="16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7">
      <formula>AV78="X"</formula>
    </cfRule>
    <cfRule type="expression" priority="38" dxfId="16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7">
      <formula>AV79="X"</formula>
    </cfRule>
    <cfRule type="expression" priority="19" dxfId="16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창우동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은행</t>
        </is>
      </c>
      <c r="B6" s="16" t="inlineStr">
        <is>
          <t>'94.05.</t>
        </is>
      </c>
      <c r="C6" s="164" t="n">
        <v>1360</v>
      </c>
      <c r="D6" s="161" t="n">
        <v>124.5</v>
      </c>
      <c r="E6" s="163" t="n">
        <v>38</v>
      </c>
      <c r="F6" s="161" t="n">
        <v>102</v>
      </c>
      <c r="G6" s="27" t="n">
        <v>31</v>
      </c>
      <c r="H6" s="164" t="n">
        <v>400</v>
      </c>
      <c r="I6" s="165" t="n">
        <v>90000</v>
      </c>
      <c r="J6" s="165" t="inlineStr">
        <is>
          <t>중</t>
        </is>
      </c>
      <c r="K6" s="165" t="n">
        <v>58000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inlineStr">
        <is>
          <t>124A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은행</t>
        </is>
      </c>
      <c r="B7" s="16" t="inlineStr">
        <is>
          <t>'94.05.</t>
        </is>
      </c>
      <c r="C7" s="164" t="n">
        <v>1360</v>
      </c>
      <c r="D7" s="161" t="n">
        <v>124.5</v>
      </c>
      <c r="E7" s="163" t="n">
        <v>38</v>
      </c>
      <c r="F7" s="161" t="n">
        <v>102</v>
      </c>
      <c r="G7" s="27" t="n">
        <v>31</v>
      </c>
      <c r="H7" s="164" t="n">
        <v>400</v>
      </c>
      <c r="I7" s="165" t="n">
        <v>90000</v>
      </c>
      <c r="J7" s="165" t="inlineStr">
        <is>
          <t>중</t>
        </is>
      </c>
      <c r="K7" s="165" t="n">
        <v>58000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124B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은행</t>
        </is>
      </c>
      <c r="B8" s="16" t="inlineStr">
        <is>
          <t>'94.05.</t>
        </is>
      </c>
      <c r="C8" s="164" t="n">
        <v>1360</v>
      </c>
      <c r="D8" s="161" t="n">
        <v>159</v>
      </c>
      <c r="E8" s="163" t="n">
        <v>48</v>
      </c>
      <c r="F8" s="161" t="n">
        <v>135</v>
      </c>
      <c r="G8" s="27" t="n">
        <v>41</v>
      </c>
      <c r="H8" s="164" t="n">
        <v>280</v>
      </c>
      <c r="I8" s="165" t="n">
        <v>105000</v>
      </c>
      <c r="J8" s="165" t="inlineStr">
        <is>
          <t>12</t>
        </is>
      </c>
      <c r="K8" s="165" t="n">
        <v>70000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158A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은행</t>
        </is>
      </c>
      <c r="B9" s="16" t="inlineStr">
        <is>
          <t>'94.05.</t>
        </is>
      </c>
      <c r="C9" s="164" t="n">
        <v>1360</v>
      </c>
      <c r="D9" s="161" t="n">
        <v>158.9</v>
      </c>
      <c r="E9" s="163" t="n">
        <v>48</v>
      </c>
      <c r="F9" s="161" t="n">
        <v>135</v>
      </c>
      <c r="G9" s="27" t="n">
        <v>41</v>
      </c>
      <c r="H9" s="164" t="n">
        <v>280</v>
      </c>
      <c r="I9" s="165" t="n">
        <v>105000</v>
      </c>
      <c r="J9" s="165" t="inlineStr">
        <is>
          <t>고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158B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부영</t>
        </is>
      </c>
      <c r="B11" s="16" t="inlineStr">
        <is>
          <t>'94.12.</t>
        </is>
      </c>
      <c r="C11" s="164" t="n">
        <v>2055</v>
      </c>
      <c r="D11" s="161" t="n">
        <v>67.40000000000001</v>
      </c>
      <c r="E11" s="163" t="n">
        <v>20</v>
      </c>
      <c r="F11" s="161" t="n">
        <v>49.6</v>
      </c>
      <c r="G11" s="27" t="n">
        <v>15</v>
      </c>
      <c r="H11" s="164" t="n">
        <v>1140</v>
      </c>
      <c r="I11" s="165" t="n">
        <v>58000</v>
      </c>
      <c r="J11" s="165" t="inlineStr">
        <is>
          <t>14</t>
        </is>
      </c>
      <c r="K11" s="165" t="n">
        <v>32000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67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부영</t>
        </is>
      </c>
      <c r="B12" s="16" t="inlineStr">
        <is>
          <t>'94.12.</t>
        </is>
      </c>
      <c r="C12" s="164" t="n">
        <v>2055</v>
      </c>
      <c r="D12" s="161" t="n">
        <v>81.59999999999999</v>
      </c>
      <c r="E12" s="163" t="n">
        <v>25</v>
      </c>
      <c r="F12" s="161" t="n">
        <v>60</v>
      </c>
      <c r="G12" s="27" t="n">
        <v>18</v>
      </c>
      <c r="H12" s="164" t="n">
        <v>915</v>
      </c>
      <c r="I12" s="165" t="n">
        <v>68000</v>
      </c>
      <c r="J12" s="165" t="inlineStr">
        <is>
          <t>5</t>
        </is>
      </c>
      <c r="K12" s="165" t="n">
        <v>40000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복</t>
        </is>
      </c>
      <c r="T12" s="8" t="n">
        <v>81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꿈동산신안</t>
        </is>
      </c>
      <c r="B14" s="16" t="inlineStr">
        <is>
          <t>'94.12.</t>
        </is>
      </c>
      <c r="C14" s="164" t="n">
        <v>1704</v>
      </c>
      <c r="D14" s="161" t="n">
        <v>107.7</v>
      </c>
      <c r="E14" s="163" t="n">
        <v>33</v>
      </c>
      <c r="F14" s="161" t="n">
        <v>85</v>
      </c>
      <c r="G14" s="27" t="n">
        <v>26</v>
      </c>
      <c r="H14" s="164" t="n">
        <v>1206</v>
      </c>
      <c r="I14" s="165" t="n">
        <v>76000</v>
      </c>
      <c r="J14" s="165" t="inlineStr">
        <is>
          <t>고</t>
        </is>
      </c>
      <c r="K14" s="165" t="n">
        <v>48000</v>
      </c>
      <c r="L14" s="165" t="inlineStr">
        <is>
          <t>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107S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꿈동산신안</t>
        </is>
      </c>
      <c r="B15" s="16" t="inlineStr">
        <is>
          <t>'94.12.</t>
        </is>
      </c>
      <c r="C15" s="164" t="n">
        <v>1704</v>
      </c>
      <c r="D15" s="161" t="n">
        <v>107.7</v>
      </c>
      <c r="E15" s="163" t="n">
        <v>33</v>
      </c>
      <c r="F15" s="161" t="n">
        <v>84.90000000000001</v>
      </c>
      <c r="G15" s="27" t="n">
        <v>26</v>
      </c>
      <c r="H15" s="164" t="n">
        <v>498</v>
      </c>
      <c r="I15" s="165" t="n">
        <v>75000</v>
      </c>
      <c r="J15" s="165" t="inlineStr">
        <is>
          <t>17</t>
        </is>
      </c>
      <c r="K15" s="165" t="n">
        <v>53000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17">
      <formula>AV4="X"</formula>
    </cfRule>
    <cfRule type="expression" priority="164" dxfId="16">
      <formula>AV4="후보"</formula>
    </cfRule>
  </conditionalFormatting>
  <conditionalFormatting sqref="AC1:AC2 AC4:AC6 N4:N5">
    <cfRule type="cellIs" priority="160" operator="greaterThan" dxfId="13">
      <formula>0.9</formula>
    </cfRule>
    <cfRule type="cellIs" priority="161" operator="greaterThan" dxfId="12">
      <formula>0.85</formula>
    </cfRule>
  </conditionalFormatting>
  <conditionalFormatting sqref="N1:N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17">
      <formula>AV7="X"</formula>
    </cfRule>
    <cfRule type="expression" priority="143" dxfId="16">
      <formula>AV7="후보"</formula>
    </cfRule>
  </conditionalFormatting>
  <conditionalFormatting sqref="AC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17">
      <formula>AV8="X"</formula>
    </cfRule>
    <cfRule type="expression" priority="124" dxfId="16">
      <formula>AV8="후보"</formula>
    </cfRule>
  </conditionalFormatting>
  <conditionalFormatting sqref="AC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17">
      <formula>AV9="X"</formula>
    </cfRule>
    <cfRule type="expression" priority="105" dxfId="16">
      <formula>AV9="후보"</formula>
    </cfRule>
  </conditionalFormatting>
  <conditionalFormatting sqref="AC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9">
    <cfRule type="expression" priority="95" dxfId="3">
      <formula>AND(IF(OR($Q9=1,$Q9=2),1,0),IF($X9&lt;=20,1,0))</formula>
    </cfRule>
    <cfRule type="expression" priority="96" dxfId="2">
      <formula>AND(IF($Q9=2,1,0),IF($X9&lt;30,1,0))</formula>
    </cfRule>
    <cfRule type="expression" priority="97" dxfId="1">
      <formula>AND(IF($Q9=3,1,0),IF($X9&lt;30,1,0))</formula>
    </cfRule>
    <cfRule type="expression" priority="98" dxfId="0">
      <formula>AND(IF($Q9=3,1,IF($Q9=4,1,0)),IF($F9&lt;=85,1,0))</formula>
    </cfRule>
  </conditionalFormatting>
  <conditionalFormatting sqref="X9">
    <cfRule type="expression" priority="91" dxfId="3">
      <formula>AND(IF(OR($Q9=1,$Q9=2),1,0),IF($X9&lt;=20,1,0))</formula>
    </cfRule>
    <cfRule type="expression" priority="92" dxfId="2">
      <formula>AND(IF($Q9=2,1,0),IF($X9&lt;30,1,0))</formula>
    </cfRule>
    <cfRule type="expression" priority="93" dxfId="1">
      <formula>AND(IF($Q9=3,1,0),IF($X9&lt;30,1,0))</formula>
    </cfRule>
    <cfRule type="expression" priority="94" dxfId="0">
      <formula>AND(IF($Q9=3,1,IF($Q9=4,1,0)),IF($F9&lt;=85,1,0))</formula>
    </cfRule>
  </conditionalFormatting>
  <conditionalFormatting sqref="AI9">
    <cfRule type="expression" priority="87" dxfId="3">
      <formula>AND(IF(OR($Q9=1,$Q9=2),1,0),IF($X9&lt;=20,1,0))</formula>
    </cfRule>
    <cfRule type="expression" priority="88" dxfId="2">
      <formula>AND(IF($Q9=2,1,0),IF($X9&lt;30,1,0))</formula>
    </cfRule>
    <cfRule type="expression" priority="89" dxfId="1">
      <formula>AND(IF($Q9=3,1,0),IF($X9&lt;30,1,0))</formula>
    </cfRule>
    <cfRule type="expression" priority="90" dxfId="0">
      <formula>AND(IF($Q9=3,1,IF($Q9=4,1,0)),IF($F9&lt;=85,1,0))</formula>
    </cfRule>
  </conditionalFormatting>
  <conditionalFormatting sqref="AV10">
    <cfRule type="expression" priority="85" dxfId="17">
      <formula>AV10="X"</formula>
    </cfRule>
    <cfRule type="expression" priority="86" dxfId="16">
      <formula>AV10="후보"</formula>
    </cfRule>
  </conditionalFormatting>
  <conditionalFormatting sqref="AC10 N1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1">
    <cfRule type="expression" priority="80" dxfId="17">
      <formula>AV11="X"</formula>
    </cfRule>
    <cfRule type="expression" priority="81" dxfId="16">
      <formula>AV11="후보"</formula>
    </cfRule>
  </conditionalFormatting>
  <conditionalFormatting sqref="AC1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17">
      <formula>AV12="X"</formula>
    </cfRule>
    <cfRule type="expression" priority="62" dxfId="16">
      <formula>AV12="후보"</formula>
    </cfRule>
  </conditionalFormatting>
  <conditionalFormatting sqref="AC1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17">
      <formula>AV13="X"</formula>
    </cfRule>
    <cfRule type="expression" priority="43" dxfId="16">
      <formula>AV13="후보"</formula>
    </cfRule>
  </conditionalFormatting>
  <conditionalFormatting sqref="AC13 N1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4">
    <cfRule type="expression" priority="37" dxfId="17">
      <formula>AV14="X"</formula>
    </cfRule>
    <cfRule type="expression" priority="38" dxfId="16">
      <formula>AV14="후보"</formula>
    </cfRule>
  </conditionalFormatting>
  <conditionalFormatting sqref="AC1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17">
      <formula>AV15="X"</formula>
    </cfRule>
    <cfRule type="expression" priority="19" dxfId="16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5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6" sqref="A56:XFD5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미사강변센트럴풍경채</t>
        </is>
      </c>
      <c r="B6" s="16" t="inlineStr">
        <is>
          <t>'19.01.</t>
        </is>
      </c>
      <c r="C6" s="164" t="n">
        <v>726</v>
      </c>
      <c r="D6" s="161" t="n">
        <v>109.2</v>
      </c>
      <c r="E6" s="163" t="n">
        <v>33</v>
      </c>
      <c r="F6" s="161" t="n">
        <v>84.90000000000001</v>
      </c>
      <c r="G6" s="27" t="n">
        <v>26</v>
      </c>
      <c r="H6" s="164" t="n">
        <v>388</v>
      </c>
      <c r="I6" s="165" t="n">
        <v>105000</v>
      </c>
      <c r="J6" s="165" t="inlineStr">
        <is>
          <t>고</t>
        </is>
      </c>
      <c r="K6" s="165" t="n">
        <v>70000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미사강변센트럴풍경채</t>
        </is>
      </c>
      <c r="B7" s="16" t="inlineStr">
        <is>
          <t>'19.01.</t>
        </is>
      </c>
      <c r="C7" s="164" t="n">
        <v>726</v>
      </c>
      <c r="D7" s="161" t="n">
        <v>123.3</v>
      </c>
      <c r="E7" s="163" t="n">
        <v>37</v>
      </c>
      <c r="F7" s="161" t="n">
        <v>97.3</v>
      </c>
      <c r="G7" s="27" t="n">
        <v>29</v>
      </c>
      <c r="H7" s="164" t="n">
        <v>229</v>
      </c>
      <c r="I7" s="165" t="n">
        <v>130000</v>
      </c>
      <c r="J7" s="165" t="inlineStr">
        <is>
          <t>중</t>
        </is>
      </c>
      <c r="K7" s="165" t="n">
        <v>80000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123A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미사강변센트럴풍경채</t>
        </is>
      </c>
      <c r="B8" s="16" t="inlineStr">
        <is>
          <t>'19.01.</t>
        </is>
      </c>
      <c r="C8" s="164" t="n">
        <v>726</v>
      </c>
      <c r="D8" s="161" t="n">
        <v>124.3</v>
      </c>
      <c r="E8" s="163" t="n">
        <v>38</v>
      </c>
      <c r="F8" s="161" t="n">
        <v>97.7</v>
      </c>
      <c r="G8" s="27" t="n">
        <v>30</v>
      </c>
      <c r="H8" s="164" t="n">
        <v>109</v>
      </c>
      <c r="I8" s="165" t="n">
        <v>124000</v>
      </c>
      <c r="J8" s="165" t="inlineStr">
        <is>
          <t>중</t>
        </is>
      </c>
      <c r="K8" s="165" t="n">
        <v>80000</v>
      </c>
      <c r="L8" s="165" t="inlineStr">
        <is>
          <t>23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124B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미사강변동일하이빌</t>
        </is>
      </c>
      <c r="B10" s="16" t="inlineStr">
        <is>
          <t>'18.02.</t>
        </is>
      </c>
      <c r="C10" s="164" t="n">
        <v>655</v>
      </c>
      <c r="D10" s="161" t="n">
        <v>81.2</v>
      </c>
      <c r="E10" s="163" t="n">
        <v>25</v>
      </c>
      <c r="F10" s="161" t="n">
        <v>59.9</v>
      </c>
      <c r="G10" s="27" t="n">
        <v>18</v>
      </c>
      <c r="H10" s="164" t="n">
        <v>260</v>
      </c>
      <c r="I10" s="165" t="n">
        <v>87000</v>
      </c>
      <c r="J10" s="165" t="inlineStr">
        <is>
          <t>6</t>
        </is>
      </c>
      <c r="K10" s="165" t="n">
        <v>50000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미사강변동일하이빌</t>
        </is>
      </c>
      <c r="B11" s="16" t="inlineStr">
        <is>
          <t>'18.02.</t>
        </is>
      </c>
      <c r="C11" s="164" t="n">
        <v>655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20</v>
      </c>
      <c r="I11" s="165" t="n">
        <v>87000</v>
      </c>
      <c r="J11" s="165" t="inlineStr">
        <is>
          <t>6</t>
        </is>
      </c>
      <c r="K11" s="165" t="n">
        <v>50000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미사강변동일하이빌</t>
        </is>
      </c>
      <c r="B12" s="16" t="inlineStr">
        <is>
          <t>'18.02.</t>
        </is>
      </c>
      <c r="C12" s="164" t="n">
        <v>655</v>
      </c>
      <c r="D12" s="161" t="n">
        <v>101.6</v>
      </c>
      <c r="E12" s="163" t="n">
        <v>31</v>
      </c>
      <c r="F12" s="161" t="n">
        <v>74.90000000000001</v>
      </c>
      <c r="G12" s="27" t="n">
        <v>23</v>
      </c>
      <c r="H12" s="164" t="n">
        <v>72</v>
      </c>
      <c r="I12" s="165" t="n">
        <v>110000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101A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미사강변동일하이빌</t>
        </is>
      </c>
      <c r="B13" s="16" t="inlineStr">
        <is>
          <t>'18.02.</t>
        </is>
      </c>
      <c r="C13" s="164" t="n">
        <v>655</v>
      </c>
      <c r="D13" s="161" t="n">
        <v>101.7</v>
      </c>
      <c r="E13" s="163" t="n">
        <v>31</v>
      </c>
      <c r="F13" s="161" t="n">
        <v>75</v>
      </c>
      <c r="G13" s="27" t="n">
        <v>23</v>
      </c>
      <c r="H13" s="164" t="n">
        <v>54</v>
      </c>
      <c r="I13" s="165" t="n">
        <v>102000</v>
      </c>
      <c r="J13" s="165" t="inlineStr">
        <is>
          <t>22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미사강변동일하이빌</t>
        </is>
      </c>
      <c r="B14" s="16" t="inlineStr">
        <is>
          <t>'18.02.</t>
        </is>
      </c>
      <c r="C14" s="164" t="n">
        <v>655</v>
      </c>
      <c r="D14" s="161" t="n">
        <v>115.2</v>
      </c>
      <c r="E14" s="163" t="n">
        <v>35</v>
      </c>
      <c r="F14" s="161" t="n">
        <v>85</v>
      </c>
      <c r="G14" s="27" t="n">
        <v>26</v>
      </c>
      <c r="H14" s="164" t="n">
        <v>176</v>
      </c>
      <c r="I14" s="165" t="n">
        <v>98000</v>
      </c>
      <c r="J14" s="165" t="inlineStr">
        <is>
          <t>18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미사강변동일하이빌</t>
        </is>
      </c>
      <c r="B15" s="16" t="inlineStr">
        <is>
          <t>'18.02.</t>
        </is>
      </c>
      <c r="C15" s="164" t="n">
        <v>655</v>
      </c>
      <c r="D15" s="161" t="n">
        <v>115.2</v>
      </c>
      <c r="E15" s="163" t="n">
        <v>35</v>
      </c>
      <c r="F15" s="161" t="n">
        <v>84.90000000000001</v>
      </c>
      <c r="G15" s="27" t="n">
        <v>26</v>
      </c>
      <c r="H15" s="164" t="n">
        <v>73</v>
      </c>
      <c r="I15" s="165" t="n">
        <v>108000</v>
      </c>
      <c r="J15" s="165" t="inlineStr">
        <is>
          <t>중</t>
        </is>
      </c>
      <c r="K15" s="165" t="n">
        <v>67000</v>
      </c>
      <c r="L15" s="165" t="inlineStr">
        <is>
          <t>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미사강변동원로얄듀크</t>
        </is>
      </c>
      <c r="B17" s="16" t="inlineStr">
        <is>
          <t>'16.04.</t>
        </is>
      </c>
      <c r="C17" s="164" t="n">
        <v>808</v>
      </c>
      <c r="D17" s="161" t="n">
        <v>99.90000000000001</v>
      </c>
      <c r="E17" s="163" t="n">
        <v>30</v>
      </c>
      <c r="F17" s="161" t="n">
        <v>74.7</v>
      </c>
      <c r="G17" s="27" t="n">
        <v>23</v>
      </c>
      <c r="H17" s="164" t="n">
        <v>208</v>
      </c>
      <c r="I17" s="165" t="n">
        <v>97000</v>
      </c>
      <c r="J17" s="165" t="inlineStr">
        <is>
          <t>9</t>
        </is>
      </c>
      <c r="K17" s="165" t="n">
        <v>65000</v>
      </c>
      <c r="L17" s="165" t="inlineStr">
        <is>
          <t>16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미사강변동원로얄듀크</t>
        </is>
      </c>
      <c r="B18" s="16" t="inlineStr">
        <is>
          <t>'16.04.</t>
        </is>
      </c>
      <c r="C18" s="164" t="n">
        <v>808</v>
      </c>
      <c r="D18" s="161" t="n">
        <v>112.5</v>
      </c>
      <c r="E18" s="163" t="n">
        <v>34</v>
      </c>
      <c r="F18" s="161" t="n">
        <v>84.40000000000001</v>
      </c>
      <c r="G18" s="27" t="n">
        <v>26</v>
      </c>
      <c r="H18" s="164" t="n">
        <v>599</v>
      </c>
      <c r="I18" s="165" t="n">
        <v>100000</v>
      </c>
      <c r="J18" s="165" t="inlineStr">
        <is>
          <t>중</t>
        </is>
      </c>
      <c r="K18" s="165" t="n">
        <v>60000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112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미사강변동원로얄듀크</t>
        </is>
      </c>
      <c r="B19" s="16" t="inlineStr">
        <is>
          <t>'16.04.</t>
        </is>
      </c>
      <c r="C19" s="164" t="n">
        <v>808</v>
      </c>
      <c r="D19" s="161" t="n">
        <v>112.5</v>
      </c>
      <c r="E19" s="163" t="n">
        <v>34</v>
      </c>
      <c r="F19" s="161" t="n">
        <v>84.40000000000001</v>
      </c>
      <c r="G19" s="27" t="n">
        <v>26</v>
      </c>
      <c r="H19" s="164" t="n">
        <v>1</v>
      </c>
      <c r="I19" s="165" t="n">
        <v>100000</v>
      </c>
      <c r="J19" s="165" t="inlineStr">
        <is>
          <t>중</t>
        </is>
      </c>
      <c r="K19" s="165" t="n">
        <v>60000</v>
      </c>
      <c r="L19" s="165" t="inlineStr">
        <is>
          <t>고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신안인스빌</t>
        </is>
      </c>
      <c r="B21" s="16" t="inlineStr">
        <is>
          <t>'19.01.</t>
        </is>
      </c>
      <c r="C21" s="164" t="n">
        <v>734</v>
      </c>
      <c r="D21" s="161" t="n">
        <v>110.6</v>
      </c>
      <c r="E21" s="163" t="n">
        <v>33</v>
      </c>
      <c r="F21" s="161" t="n">
        <v>84.3</v>
      </c>
      <c r="G21" s="27" t="n">
        <v>26</v>
      </c>
      <c r="H21" s="164" t="n">
        <v>390</v>
      </c>
      <c r="I21" s="165" t="n">
        <v>109800</v>
      </c>
      <c r="J21" s="165" t="inlineStr">
        <is>
          <t>고</t>
        </is>
      </c>
      <c r="K21" s="165" t="n">
        <v>70000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신안인스빌</t>
        </is>
      </c>
      <c r="B22" s="16" t="inlineStr">
        <is>
          <t>'19.01.</t>
        </is>
      </c>
      <c r="C22" s="164" t="n">
        <v>734</v>
      </c>
      <c r="D22" s="161" t="n">
        <v>121.5</v>
      </c>
      <c r="E22" s="163" t="n">
        <v>37</v>
      </c>
      <c r="F22" s="161" t="n">
        <v>93</v>
      </c>
      <c r="G22" s="27" t="n">
        <v>28</v>
      </c>
      <c r="H22" s="164" t="n">
        <v>241</v>
      </c>
      <c r="I22" s="165" t="n">
        <v>117000</v>
      </c>
      <c r="J22" s="165" t="inlineStr">
        <is>
          <t>12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121A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신안인스빌</t>
        </is>
      </c>
      <c r="B23" s="16" t="inlineStr">
        <is>
          <t>'19.01.</t>
        </is>
      </c>
      <c r="C23" s="164" t="n">
        <v>734</v>
      </c>
      <c r="D23" s="161" t="n">
        <v>122.2</v>
      </c>
      <c r="E23" s="163" t="n">
        <v>37</v>
      </c>
      <c r="F23" s="161" t="n">
        <v>93</v>
      </c>
      <c r="G23" s="27" t="n">
        <v>28</v>
      </c>
      <c r="H23" s="164" t="n">
        <v>103</v>
      </c>
      <c r="I23" s="165" t="n">
        <v>120000</v>
      </c>
      <c r="J23" s="165" t="inlineStr">
        <is>
          <t>21</t>
        </is>
      </c>
      <c r="K23" s="165" t="n">
        <v>78000</v>
      </c>
      <c r="L23" s="165" t="inlineStr">
        <is>
          <t>20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122B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e편한세상미사</t>
        </is>
      </c>
      <c r="B25" s="16" t="inlineStr">
        <is>
          <t>'18.06.</t>
        </is>
      </c>
      <c r="C25" s="164" t="n">
        <v>652</v>
      </c>
      <c r="D25" s="161" t="n">
        <v>94.09999999999999</v>
      </c>
      <c r="E25" s="163" t="n">
        <v>28</v>
      </c>
      <c r="F25" s="161" t="n">
        <v>69.90000000000001</v>
      </c>
      <c r="G25" s="27" t="n">
        <v>21</v>
      </c>
      <c r="H25" s="164" t="n">
        <v>145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e편한세상미사</t>
        </is>
      </c>
      <c r="B26" s="16" t="inlineStr">
        <is>
          <t>'18.06.</t>
        </is>
      </c>
      <c r="C26" s="164" t="n">
        <v>652</v>
      </c>
      <c r="D26" s="161" t="n">
        <v>112.9</v>
      </c>
      <c r="E26" s="163" t="n">
        <v>34</v>
      </c>
      <c r="F26" s="161" t="n">
        <v>84.90000000000001</v>
      </c>
      <c r="G26" s="27" t="n">
        <v>26</v>
      </c>
      <c r="H26" s="164" t="n">
        <v>507</v>
      </c>
      <c r="I26" s="165" t="n">
        <v>106000</v>
      </c>
      <c r="J26" s="165" t="inlineStr">
        <is>
          <t>고</t>
        </is>
      </c>
      <c r="K26" s="165" t="n">
        <v>69000</v>
      </c>
      <c r="L26" s="165" t="inlineStr">
        <is>
          <t>18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미사강변더샵센트럴포레</t>
        </is>
      </c>
      <c r="B28" s="16" t="inlineStr">
        <is>
          <t>'17.10.</t>
        </is>
      </c>
      <c r="C28" s="164" t="n">
        <v>487</v>
      </c>
      <c r="D28" s="161" t="n">
        <v>96.09999999999999</v>
      </c>
      <c r="E28" s="163" t="n">
        <v>29</v>
      </c>
      <c r="F28" s="161" t="n">
        <v>73</v>
      </c>
      <c r="G28" s="27" t="n">
        <v>22</v>
      </c>
      <c r="H28" s="164" t="n">
        <v>48</v>
      </c>
      <c r="I28" s="165" t="n">
        <v>110000</v>
      </c>
      <c r="J28" s="165" t="inlineStr">
        <is>
          <t>18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96A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미사강변더샵센트럴포레</t>
        </is>
      </c>
      <c r="B29" s="16" t="inlineStr">
        <is>
          <t>'17.10.</t>
        </is>
      </c>
      <c r="C29" s="164" t="n">
        <v>487</v>
      </c>
      <c r="D29" s="161" t="n">
        <v>96.7</v>
      </c>
      <c r="E29" s="163" t="n">
        <v>29</v>
      </c>
      <c r="F29" s="161" t="n">
        <v>73.09999999999999</v>
      </c>
      <c r="G29" s="27" t="n">
        <v>22</v>
      </c>
      <c r="H29" s="164" t="n">
        <v>25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미사강변더샵센트럴포레</t>
        </is>
      </c>
      <c r="B30" s="16" t="inlineStr">
        <is>
          <t>'17.10.</t>
        </is>
      </c>
      <c r="C30" s="164" t="n">
        <v>487</v>
      </c>
      <c r="D30" s="161" t="n">
        <v>110.4</v>
      </c>
      <c r="E30" s="163" t="n">
        <v>33</v>
      </c>
      <c r="F30" s="161" t="n">
        <v>84</v>
      </c>
      <c r="G30" s="27" t="n">
        <v>25</v>
      </c>
      <c r="H30" s="164" t="n">
        <v>128</v>
      </c>
      <c r="I30" s="165" t="n">
        <v>120000</v>
      </c>
      <c r="J30" s="165" t="inlineStr">
        <is>
          <t>고</t>
        </is>
      </c>
      <c r="K30" s="165" t="n">
        <v>75000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미사강변더샵센트럴포레</t>
        </is>
      </c>
      <c r="B31" s="16" t="inlineStr">
        <is>
          <t>'17.10.</t>
        </is>
      </c>
      <c r="C31" s="164" t="n">
        <v>487</v>
      </c>
      <c r="D31" s="161" t="n">
        <v>110.5</v>
      </c>
      <c r="E31" s="163" t="n">
        <v>33</v>
      </c>
      <c r="F31" s="161" t="n">
        <v>84.09999999999999</v>
      </c>
      <c r="G31" s="27" t="n">
        <v>25</v>
      </c>
      <c r="H31" s="164" t="n">
        <v>58</v>
      </c>
      <c r="I31" s="165" t="n">
        <v>130000</v>
      </c>
      <c r="J31" s="165" t="inlineStr">
        <is>
          <t>23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미사강변더샵센트럴포레</t>
        </is>
      </c>
      <c r="B32" s="16" t="inlineStr">
        <is>
          <t>'17.10.</t>
        </is>
      </c>
      <c r="C32" s="164" t="n">
        <v>487</v>
      </c>
      <c r="D32" s="161" t="n">
        <v>122.4</v>
      </c>
      <c r="E32" s="163" t="n">
        <v>37</v>
      </c>
      <c r="F32" s="161" t="n">
        <v>93.09999999999999</v>
      </c>
      <c r="G32" s="27" t="n">
        <v>28</v>
      </c>
      <c r="H32" s="164" t="n">
        <v>58</v>
      </c>
      <c r="I32" s="165" t="n">
        <v>130000</v>
      </c>
      <c r="J32" s="165" t="inlineStr">
        <is>
          <t>21</t>
        </is>
      </c>
      <c r="K32" s="165" t="n">
        <v>80000</v>
      </c>
      <c r="L32" s="165" t="inlineStr">
        <is>
          <t>11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122B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미사강변더샵센트럴포레</t>
        </is>
      </c>
      <c r="B33" s="16" t="inlineStr">
        <is>
          <t>'17.10.</t>
        </is>
      </c>
      <c r="C33" s="164" t="n">
        <v>487</v>
      </c>
      <c r="D33" s="161" t="n">
        <v>122.5</v>
      </c>
      <c r="E33" s="163" t="n">
        <v>37</v>
      </c>
      <c r="F33" s="161" t="n">
        <v>93.40000000000001</v>
      </c>
      <c r="G33" s="27" t="n">
        <v>28</v>
      </c>
      <c r="H33" s="164" t="n">
        <v>58</v>
      </c>
      <c r="I33" s="165" t="n">
        <v>120000</v>
      </c>
      <c r="J33" s="165" t="inlineStr">
        <is>
          <t>24</t>
        </is>
      </c>
      <c r="K33" s="165" t="n">
        <v>78000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122C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미사강변더샵센트럴포레</t>
        </is>
      </c>
      <c r="B34" s="16" t="inlineStr">
        <is>
          <t>'17.10.</t>
        </is>
      </c>
      <c r="C34" s="164" t="n">
        <v>487</v>
      </c>
      <c r="D34" s="161" t="n">
        <v>122.3</v>
      </c>
      <c r="E34" s="163" t="n">
        <v>37</v>
      </c>
      <c r="F34" s="161" t="n">
        <v>93.2</v>
      </c>
      <c r="G34" s="27" t="n">
        <v>28</v>
      </c>
      <c r="H34" s="164" t="n">
        <v>56</v>
      </c>
      <c r="I34" s="165" t="n">
        <v>130000</v>
      </c>
      <c r="J34" s="165" t="inlineStr">
        <is>
          <t>12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122A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미사강변더샵센트럴포레</t>
        </is>
      </c>
      <c r="B35" s="16" t="inlineStr">
        <is>
          <t>'17.10.</t>
        </is>
      </c>
      <c r="C35" s="164" t="n">
        <v>487</v>
      </c>
      <c r="D35" s="161" t="n">
        <v>132.4</v>
      </c>
      <c r="E35" s="163" t="n">
        <v>40</v>
      </c>
      <c r="F35" s="161" t="n">
        <v>101.8</v>
      </c>
      <c r="G35" s="27" t="n">
        <v>31</v>
      </c>
      <c r="H35" s="164" t="n">
        <v>56</v>
      </c>
      <c r="I35" s="165" t="n">
        <v>145000</v>
      </c>
      <c r="J35" s="165" t="inlineStr">
        <is>
          <t>27</t>
        </is>
      </c>
      <c r="K35" s="165" t="n">
        <v>66000</v>
      </c>
      <c r="L35" s="165" t="inlineStr">
        <is>
          <t>19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132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하남힐즈파크푸르지오1단지</t>
        </is>
      </c>
      <c r="B37" s="16" t="inlineStr">
        <is>
          <t>'20.04.</t>
        </is>
      </c>
      <c r="C37" s="164" t="n">
        <v>404</v>
      </c>
      <c r="D37" s="161" t="n">
        <v>75.59999999999999</v>
      </c>
      <c r="E37" s="163" t="n">
        <v>23</v>
      </c>
      <c r="F37" s="161" t="n">
        <v>52.3</v>
      </c>
      <c r="G37" s="27" t="n">
        <v>16</v>
      </c>
      <c r="H37" s="164" t="n">
        <v>110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75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하남힐즈파크푸르지오1단지</t>
        </is>
      </c>
      <c r="B38" s="16" t="inlineStr">
        <is>
          <t>'20.04.</t>
        </is>
      </c>
      <c r="C38" s="164" t="n">
        <v>404</v>
      </c>
      <c r="D38" s="161" t="n">
        <v>80.8</v>
      </c>
      <c r="E38" s="163" t="n">
        <v>24</v>
      </c>
      <c r="F38" s="161" t="n">
        <v>59.8</v>
      </c>
      <c r="G38" s="27" t="n">
        <v>18</v>
      </c>
      <c r="H38" s="164" t="n">
        <v>183</v>
      </c>
      <c r="I38" s="165" t="n">
        <v>80000</v>
      </c>
      <c r="J38" s="165" t="inlineStr">
        <is>
          <t>고</t>
        </is>
      </c>
      <c r="K38" s="165" t="n">
        <v>58000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80A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하남힐즈파크푸르지오1단지</t>
        </is>
      </c>
      <c r="B39" s="16" t="inlineStr">
        <is>
          <t>'20.04.</t>
        </is>
      </c>
      <c r="C39" s="164" t="n">
        <v>404</v>
      </c>
      <c r="D39" s="161" t="n">
        <v>80.5</v>
      </c>
      <c r="E39" s="163" t="n">
        <v>24</v>
      </c>
      <c r="F39" s="161" t="n">
        <v>59.7</v>
      </c>
      <c r="G39" s="27" t="n">
        <v>18</v>
      </c>
      <c r="H39" s="164" t="n">
        <v>111</v>
      </c>
      <c r="I39" s="165" t="n">
        <v>76000</v>
      </c>
      <c r="J39" s="165" t="inlineStr">
        <is>
          <t>8</t>
        </is>
      </c>
      <c r="K39" s="165" t="n">
        <v>60000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80B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하남힐즈파크푸르지오3단지</t>
        </is>
      </c>
      <c r="B41" s="16" t="inlineStr">
        <is>
          <t>'18.09.</t>
        </is>
      </c>
      <c r="C41" s="164" t="n">
        <v>358</v>
      </c>
      <c r="D41" s="161" t="n">
        <v>128.5</v>
      </c>
      <c r="E41" s="163" t="n">
        <v>39</v>
      </c>
      <c r="F41" s="161" t="n">
        <v>99</v>
      </c>
      <c r="G41" s="27" t="n">
        <v>30</v>
      </c>
      <c r="H41" s="164" t="n">
        <v>294</v>
      </c>
      <c r="I41" s="165" t="n">
        <v>96000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128A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하남힐즈파크푸르지오3단지</t>
        </is>
      </c>
      <c r="B42" s="16" t="inlineStr">
        <is>
          <t>'18.09.</t>
        </is>
      </c>
      <c r="C42" s="164" t="n">
        <v>358</v>
      </c>
      <c r="D42" s="161" t="n">
        <v>129.3</v>
      </c>
      <c r="E42" s="163" t="n">
        <v>39</v>
      </c>
      <c r="F42" s="161" t="n">
        <v>98.59999999999999</v>
      </c>
      <c r="G42" s="27" t="n">
        <v>30</v>
      </c>
      <c r="H42" s="164" t="n">
        <v>61</v>
      </c>
      <c r="I42" s="165" t="n">
        <v>98000</v>
      </c>
      <c r="J42" s="165" t="inlineStr">
        <is>
          <t>고</t>
        </is>
      </c>
      <c r="K42" s="165" t="n">
        <v>63000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129B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하남힐즈파크푸르지오3단지</t>
        </is>
      </c>
      <c r="B43" s="16" t="inlineStr">
        <is>
          <t>'18.09.</t>
        </is>
      </c>
      <c r="C43" s="164" t="n">
        <v>358</v>
      </c>
      <c r="D43" s="161" t="n">
        <v>187.6</v>
      </c>
      <c r="E43" s="163" t="n">
        <v>57</v>
      </c>
      <c r="F43" s="161" t="n">
        <v>141.9</v>
      </c>
      <c r="G43" s="27" t="n">
        <v>43</v>
      </c>
      <c r="H43" s="164" t="n">
        <v>3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3</v>
      </c>
      <c r="S43" s="113" t="inlineStr">
        <is>
          <t>계</t>
        </is>
      </c>
      <c r="T43" s="8" t="n">
        <v>187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하남힐즈파크푸르지오2단지</t>
        </is>
      </c>
      <c r="B45" s="16" t="inlineStr">
        <is>
          <t>'18.09.</t>
        </is>
      </c>
      <c r="C45" s="164" t="n">
        <v>456</v>
      </c>
      <c r="D45" s="161" t="n">
        <v>80.7</v>
      </c>
      <c r="E45" s="163" t="n">
        <v>24</v>
      </c>
      <c r="F45" s="161" t="n">
        <v>59.7</v>
      </c>
      <c r="G45" s="27" t="n">
        <v>18</v>
      </c>
      <c r="H45" s="164" t="n">
        <v>133</v>
      </c>
      <c r="I45" s="165" t="n">
        <v>82000</v>
      </c>
      <c r="J45" s="165" t="inlineStr">
        <is>
          <t>고</t>
        </is>
      </c>
      <c r="K45" s="165" t="n">
        <v>57000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80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하남힐즈파크푸르지오2단지</t>
        </is>
      </c>
      <c r="B46" s="16" t="inlineStr">
        <is>
          <t>'18.09.</t>
        </is>
      </c>
      <c r="C46" s="164" t="n">
        <v>456</v>
      </c>
      <c r="D46" s="161" t="n">
        <v>112.4</v>
      </c>
      <c r="E46" s="163" t="n">
        <v>34</v>
      </c>
      <c r="F46" s="161" t="n">
        <v>84.8</v>
      </c>
      <c r="G46" s="27" t="n">
        <v>26</v>
      </c>
      <c r="H46" s="164" t="n">
        <v>215</v>
      </c>
      <c r="I46" s="165" t="n">
        <v>92000</v>
      </c>
      <c r="J46" s="165" t="inlineStr">
        <is>
          <t>중</t>
        </is>
      </c>
      <c r="K46" s="165" t="n">
        <v>70000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하남힐즈파크푸르지오2단지</t>
        </is>
      </c>
      <c r="B47" s="16" t="inlineStr">
        <is>
          <t>'18.09.</t>
        </is>
      </c>
      <c r="C47" s="164" t="n">
        <v>456</v>
      </c>
      <c r="D47" s="161" t="n">
        <v>113.6</v>
      </c>
      <c r="E47" s="163" t="n">
        <v>34</v>
      </c>
      <c r="F47" s="161" t="n">
        <v>84.09999999999999</v>
      </c>
      <c r="G47" s="27" t="n">
        <v>25</v>
      </c>
      <c r="H47" s="164" t="n">
        <v>108</v>
      </c>
      <c r="I47" s="165" t="n">
        <v>92000</v>
      </c>
      <c r="J47" s="165" t="inlineStr">
        <is>
          <t>19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미사강변센트럴자이</t>
        </is>
      </c>
      <c r="B49" s="16" t="inlineStr">
        <is>
          <t>'17.02.</t>
        </is>
      </c>
      <c r="C49" s="164" t="n">
        <v>1222</v>
      </c>
      <c r="D49" s="161" t="n">
        <v>117.9</v>
      </c>
      <c r="E49" s="163" t="n">
        <v>36</v>
      </c>
      <c r="F49" s="161" t="n">
        <v>91.40000000000001</v>
      </c>
      <c r="G49" s="27" t="n">
        <v>28</v>
      </c>
      <c r="H49" s="164" t="n">
        <v>273</v>
      </c>
      <c r="I49" s="165" t="n">
        <v>125000</v>
      </c>
      <c r="J49" s="165" t="inlineStr">
        <is>
          <t>고</t>
        </is>
      </c>
      <c r="K49" s="165" t="n">
        <v>80000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117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미사강변센트럴자이</t>
        </is>
      </c>
      <c r="B50" s="16" t="inlineStr">
        <is>
          <t>'17.02.</t>
        </is>
      </c>
      <c r="C50" s="164" t="n">
        <v>1222</v>
      </c>
      <c r="D50" s="161" t="n">
        <v>123.5</v>
      </c>
      <c r="E50" s="163" t="n">
        <v>37</v>
      </c>
      <c r="F50" s="161" t="n">
        <v>97</v>
      </c>
      <c r="G50" s="27" t="n">
        <v>29</v>
      </c>
      <c r="H50" s="164" t="n">
        <v>380</v>
      </c>
      <c r="I50" s="165" t="n">
        <v>132000</v>
      </c>
      <c r="J50" s="165" t="inlineStr">
        <is>
          <t>중</t>
        </is>
      </c>
      <c r="K50" s="165" t="n">
        <v>86000</v>
      </c>
      <c r="L50" s="165" t="inlineStr">
        <is>
          <t>13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123A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미사강변센트럴자이</t>
        </is>
      </c>
      <c r="B51" s="16" t="inlineStr">
        <is>
          <t>'17.02.</t>
        </is>
      </c>
      <c r="C51" s="164" t="n">
        <v>1222</v>
      </c>
      <c r="D51" s="161" t="n">
        <v>123.4</v>
      </c>
      <c r="E51" s="163" t="n">
        <v>37</v>
      </c>
      <c r="F51" s="161" t="n">
        <v>96.40000000000001</v>
      </c>
      <c r="G51" s="27" t="n">
        <v>29</v>
      </c>
      <c r="H51" s="164" t="n">
        <v>279</v>
      </c>
      <c r="I51" s="165" t="n">
        <v>135000</v>
      </c>
      <c r="J51" s="165" t="inlineStr">
        <is>
          <t>19</t>
        </is>
      </c>
      <c r="K51" s="165" t="n">
        <v>87000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123C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미사강변센트럴자이</t>
        </is>
      </c>
      <c r="B52" s="16" t="inlineStr">
        <is>
          <t>'17.02.</t>
        </is>
      </c>
      <c r="C52" s="164" t="n">
        <v>1222</v>
      </c>
      <c r="D52" s="161" t="n">
        <v>123.6</v>
      </c>
      <c r="E52" s="163" t="n">
        <v>37</v>
      </c>
      <c r="F52" s="161" t="n">
        <v>96.8</v>
      </c>
      <c r="G52" s="27" t="n">
        <v>29</v>
      </c>
      <c r="H52" s="164" t="n">
        <v>139</v>
      </c>
      <c r="I52" s="165" t="n">
        <v>145000</v>
      </c>
      <c r="J52" s="165" t="inlineStr">
        <is>
          <t>25</t>
        </is>
      </c>
      <c r="K52" s="165" t="n">
        <v>80000</v>
      </c>
      <c r="L52" s="165" t="inlineStr">
        <is>
          <t>중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123B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미사강변센트럴자이</t>
        </is>
      </c>
      <c r="B53" s="16" t="inlineStr">
        <is>
          <t>'17.02.</t>
        </is>
      </c>
      <c r="C53" s="164" t="n">
        <v>1222</v>
      </c>
      <c r="D53" s="161" t="n">
        <v>130.1</v>
      </c>
      <c r="E53" s="163" t="n">
        <v>39</v>
      </c>
      <c r="F53" s="161" t="n">
        <v>101.8</v>
      </c>
      <c r="G53" s="27" t="n">
        <v>31</v>
      </c>
      <c r="H53" s="164" t="n">
        <v>135</v>
      </c>
      <c r="I53" s="165" t="n">
        <v>153000</v>
      </c>
      <c r="J53" s="165" t="inlineStr">
        <is>
          <t>중</t>
        </is>
      </c>
      <c r="K53" s="165" t="n">
        <v>95000</v>
      </c>
      <c r="L53" s="165" t="inlineStr">
        <is>
          <t>고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5</v>
      </c>
      <c r="R53" s="113" t="n">
        <v>2</v>
      </c>
      <c r="S53" s="113" t="inlineStr">
        <is>
          <t>계</t>
        </is>
      </c>
      <c r="T53" s="8" t="n">
        <v>130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미사강변센트럴자이</t>
        </is>
      </c>
      <c r="B54" s="16" t="inlineStr">
        <is>
          <t>'17.02.</t>
        </is>
      </c>
      <c r="C54" s="164" t="n">
        <v>1222</v>
      </c>
      <c r="D54" s="161" t="n">
        <v>171.8</v>
      </c>
      <c r="E54" s="163" t="n">
        <v>52</v>
      </c>
      <c r="F54" s="161" t="n">
        <v>132.9</v>
      </c>
      <c r="G54" s="27" t="n">
        <v>40</v>
      </c>
      <c r="H54" s="164" t="n">
        <v>10</v>
      </c>
      <c r="I54" s="165" t="n">
        <v>260000</v>
      </c>
      <c r="J54" s="165" t="inlineStr">
        <is>
          <t>29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5</v>
      </c>
      <c r="R54" s="113" t="n">
        <v>3</v>
      </c>
      <c r="S54" s="113" t="inlineStr">
        <is>
          <t>계</t>
        </is>
      </c>
      <c r="T54" s="8" t="inlineStr">
        <is>
          <t>171A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미사강변센트럴자이</t>
        </is>
      </c>
      <c r="B55" s="16" t="inlineStr">
        <is>
          <t>'17.02.</t>
        </is>
      </c>
      <c r="C55" s="164" t="n">
        <v>1222</v>
      </c>
      <c r="D55" s="161" t="n">
        <v>171</v>
      </c>
      <c r="E55" s="163" t="n">
        <v>52</v>
      </c>
      <c r="F55" s="161" t="n">
        <v>132.3</v>
      </c>
      <c r="G55" s="27" t="n">
        <v>40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5</v>
      </c>
      <c r="R55" s="113" t="n">
        <v>3</v>
      </c>
      <c r="S55" s="113" t="inlineStr">
        <is>
          <t>계</t>
        </is>
      </c>
      <c r="T55" s="8" t="inlineStr">
        <is>
          <t>171C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미사강변센트럴자이</t>
        </is>
      </c>
      <c r="B56" s="16" t="inlineStr">
        <is>
          <t>'17.02.</t>
        </is>
      </c>
      <c r="C56" s="164" t="n">
        <v>1222</v>
      </c>
      <c r="D56" s="161" t="n">
        <v>171.8</v>
      </c>
      <c r="E56" s="163" t="n">
        <v>52</v>
      </c>
      <c r="F56" s="161" t="n">
        <v>132.8</v>
      </c>
      <c r="G56" s="27" t="n">
        <v>40</v>
      </c>
      <c r="H56" s="164" t="n">
        <v>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5</v>
      </c>
      <c r="R56" s="113" t="n">
        <v>3</v>
      </c>
      <c r="S56" s="113" t="inlineStr">
        <is>
          <t>계</t>
        </is>
      </c>
      <c r="T56" s="8" t="inlineStr">
        <is>
          <t>171B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</sheetData>
  <mergeCells count="1">
    <mergeCell ref="AJ1:AN1"/>
  </mergeCells>
  <conditionalFormatting sqref="AV4:AV6">
    <cfRule type="expression" priority="844" dxfId="17">
      <formula>AV4="X"</formula>
    </cfRule>
    <cfRule type="expression" priority="845" dxfId="16">
      <formula>AV4="후보"</formula>
    </cfRule>
  </conditionalFormatting>
  <conditionalFormatting sqref="AC1:AC2 AC4:AC6 N4:N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1:N2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">
    <cfRule type="expression" priority="833" dxfId="3">
      <formula>AND(IF(OR($Q6=1,$Q6=2),1,0),IF($X6&lt;=20,1,0))</formula>
    </cfRule>
    <cfRule type="expression" priority="834" dxfId="2">
      <formula>AND(IF($Q6=2,1,0),IF($X6&lt;30,1,0))</formula>
    </cfRule>
    <cfRule type="expression" priority="835" dxfId="1">
      <formula>AND(IF($Q6=3,1,0),IF($X6&lt;30,1,0))</formula>
    </cfRule>
    <cfRule type="expression" priority="836" dxfId="0">
      <formula>AND(IF($Q6=3,1,IF($Q6=4,1,0)),IF($F6&lt;=85,1,0))</formula>
    </cfRule>
  </conditionalFormatting>
  <conditionalFormatting sqref="X6">
    <cfRule type="expression" priority="829" dxfId="3">
      <formula>AND(IF(OR($Q6=1,$Q6=2),1,0),IF($X6&lt;=20,1,0))</formula>
    </cfRule>
    <cfRule type="expression" priority="830" dxfId="2">
      <formula>AND(IF($Q6=2,1,0),IF($X6&lt;30,1,0))</formula>
    </cfRule>
    <cfRule type="expression" priority="831" dxfId="1">
      <formula>AND(IF($Q6=3,1,0),IF($X6&lt;30,1,0))</formula>
    </cfRule>
    <cfRule type="expression" priority="832" dxfId="0">
      <formula>AND(IF($Q6=3,1,IF($Q6=4,1,0)),IF($F6&lt;=85,1,0))</formula>
    </cfRule>
  </conditionalFormatting>
  <conditionalFormatting sqref="AI6">
    <cfRule type="expression" priority="825" dxfId="3">
      <formula>AND(IF(OR($Q6=1,$Q6=2),1,0),IF($X6&lt;=20,1,0))</formula>
    </cfRule>
    <cfRule type="expression" priority="826" dxfId="2">
      <formula>AND(IF($Q6=2,1,0),IF($X6&lt;30,1,0))</formula>
    </cfRule>
    <cfRule type="expression" priority="827" dxfId="1">
      <formula>AND(IF($Q6=3,1,0),IF($X6&lt;30,1,0))</formula>
    </cfRule>
    <cfRule type="expression" priority="828" dxfId="0">
      <formula>AND(IF($Q6=3,1,IF($Q6=4,1,0)),IF($F6&lt;=85,1,0))</formula>
    </cfRule>
  </conditionalFormatting>
  <conditionalFormatting sqref="AV7">
    <cfRule type="expression" priority="823" dxfId="17">
      <formula>AV7="X"</formula>
    </cfRule>
    <cfRule type="expression" priority="824" dxfId="16">
      <formula>AV7="후보"</formula>
    </cfRule>
  </conditionalFormatting>
  <conditionalFormatting sqref="AC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7">
    <cfRule type="expression" priority="814" dxfId="3">
      <formula>AND(IF(OR($Q7=1,$Q7=2),1,0),IF($X7&lt;=20,1,0))</formula>
    </cfRule>
    <cfRule type="expression" priority="815" dxfId="2">
      <formula>AND(IF($Q7=2,1,0),IF($X7&lt;30,1,0))</formula>
    </cfRule>
    <cfRule type="expression" priority="816" dxfId="1">
      <formula>AND(IF($Q7=3,1,0),IF($X7&lt;30,1,0))</formula>
    </cfRule>
    <cfRule type="expression" priority="817" dxfId="0">
      <formula>AND(IF($Q7=3,1,IF($Q7=4,1,0)),IF($F7&lt;=85,1,0))</formula>
    </cfRule>
  </conditionalFormatting>
  <conditionalFormatting sqref="X7">
    <cfRule type="expression" priority="810" dxfId="3">
      <formula>AND(IF(OR($Q7=1,$Q7=2),1,0),IF($X7&lt;=20,1,0))</formula>
    </cfRule>
    <cfRule type="expression" priority="811" dxfId="2">
      <formula>AND(IF($Q7=2,1,0),IF($X7&lt;30,1,0))</formula>
    </cfRule>
    <cfRule type="expression" priority="812" dxfId="1">
      <formula>AND(IF($Q7=3,1,0),IF($X7&lt;30,1,0))</formula>
    </cfRule>
    <cfRule type="expression" priority="813" dxfId="0">
      <formula>AND(IF($Q7=3,1,IF($Q7=4,1,0)),IF($F7&lt;=85,1,0))</formula>
    </cfRule>
  </conditionalFormatting>
  <conditionalFormatting sqref="AI7">
    <cfRule type="expression" priority="806" dxfId="3">
      <formula>AND(IF(OR($Q7=1,$Q7=2),1,0),IF($X7&lt;=20,1,0))</formula>
    </cfRule>
    <cfRule type="expression" priority="807" dxfId="2">
      <formula>AND(IF($Q7=2,1,0),IF($X7&lt;30,1,0))</formula>
    </cfRule>
    <cfRule type="expression" priority="808" dxfId="1">
      <formula>AND(IF($Q7=3,1,0),IF($X7&lt;30,1,0))</formula>
    </cfRule>
    <cfRule type="expression" priority="809" dxfId="0">
      <formula>AND(IF($Q7=3,1,IF($Q7=4,1,0)),IF($F7&lt;=85,1,0))</formula>
    </cfRule>
  </conditionalFormatting>
  <conditionalFormatting sqref="AV8">
    <cfRule type="expression" priority="804" dxfId="17">
      <formula>AV8="X"</formula>
    </cfRule>
    <cfRule type="expression" priority="805" dxfId="16">
      <formula>AV8="후보"</formula>
    </cfRule>
  </conditionalFormatting>
  <conditionalFormatting sqref="AC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">
    <cfRule type="expression" priority="795" dxfId="3">
      <formula>AND(IF(OR($Q8=1,$Q8=2),1,0),IF($X8&lt;=20,1,0))</formula>
    </cfRule>
    <cfRule type="expression" priority="796" dxfId="2">
      <formula>AND(IF($Q8=2,1,0),IF($X8&lt;30,1,0))</formula>
    </cfRule>
    <cfRule type="expression" priority="797" dxfId="1">
      <formula>AND(IF($Q8=3,1,0),IF($X8&lt;30,1,0))</formula>
    </cfRule>
    <cfRule type="expression" priority="798" dxfId="0">
      <formula>AND(IF($Q8=3,1,IF($Q8=4,1,0)),IF($F8&lt;=85,1,0))</formula>
    </cfRule>
  </conditionalFormatting>
  <conditionalFormatting sqref="X8">
    <cfRule type="expression" priority="791" dxfId="3">
      <formula>AND(IF(OR($Q8=1,$Q8=2),1,0),IF($X8&lt;=20,1,0))</formula>
    </cfRule>
    <cfRule type="expression" priority="792" dxfId="2">
      <formula>AND(IF($Q8=2,1,0),IF($X8&lt;30,1,0))</formula>
    </cfRule>
    <cfRule type="expression" priority="793" dxfId="1">
      <formula>AND(IF($Q8=3,1,0),IF($X8&lt;30,1,0))</formula>
    </cfRule>
    <cfRule type="expression" priority="794" dxfId="0">
      <formula>AND(IF($Q8=3,1,IF($Q8=4,1,0)),IF($F8&lt;=85,1,0))</formula>
    </cfRule>
  </conditionalFormatting>
  <conditionalFormatting sqref="AI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AV9">
    <cfRule type="expression" priority="785" dxfId="17">
      <formula>AV9="X"</formula>
    </cfRule>
    <cfRule type="expression" priority="786" dxfId="16">
      <formula>AV9="후보"</formula>
    </cfRule>
  </conditionalFormatting>
  <conditionalFormatting sqref="AC9 N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10">
    <cfRule type="expression" priority="780" dxfId="17">
      <formula>AV10="X"</formula>
    </cfRule>
    <cfRule type="expression" priority="781" dxfId="16">
      <formula>AV10="후보"</formula>
    </cfRule>
  </conditionalFormatting>
  <conditionalFormatting sqref="AC1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0">
    <cfRule type="expression" priority="771" dxfId="3">
      <formula>AND(IF(OR($Q10=1,$Q10=2),1,0),IF($X10&lt;=20,1,0))</formula>
    </cfRule>
    <cfRule type="expression" priority="772" dxfId="2">
      <formula>AND(IF($Q10=2,1,0),IF($X10&lt;30,1,0))</formula>
    </cfRule>
    <cfRule type="expression" priority="773" dxfId="1">
      <formula>AND(IF($Q10=3,1,0),IF($X10&lt;30,1,0))</formula>
    </cfRule>
    <cfRule type="expression" priority="774" dxfId="0">
      <formula>AND(IF($Q10=3,1,IF($Q10=4,1,0)),IF($F10&lt;=85,1,0))</formula>
    </cfRule>
  </conditionalFormatting>
  <conditionalFormatting sqref="X10">
    <cfRule type="expression" priority="767" dxfId="3">
      <formula>AND(IF(OR($Q10=1,$Q10=2),1,0),IF($X10&lt;=20,1,0))</formula>
    </cfRule>
    <cfRule type="expression" priority="768" dxfId="2">
      <formula>AND(IF($Q10=2,1,0),IF($X10&lt;30,1,0))</formula>
    </cfRule>
    <cfRule type="expression" priority="769" dxfId="1">
      <formula>AND(IF($Q10=3,1,0),IF($X10&lt;30,1,0))</formula>
    </cfRule>
    <cfRule type="expression" priority="770" dxfId="0">
      <formula>AND(IF($Q10=3,1,IF($Q10=4,1,0)),IF($F10&lt;=85,1,0))</formula>
    </cfRule>
  </conditionalFormatting>
  <conditionalFormatting sqref="AI10">
    <cfRule type="expression" priority="763" dxfId="3">
      <formula>AND(IF(OR($Q10=1,$Q10=2),1,0),IF($X10&lt;=20,1,0))</formula>
    </cfRule>
    <cfRule type="expression" priority="764" dxfId="2">
      <formula>AND(IF($Q10=2,1,0),IF($X10&lt;30,1,0))</formula>
    </cfRule>
    <cfRule type="expression" priority="765" dxfId="1">
      <formula>AND(IF($Q10=3,1,0),IF($X10&lt;30,1,0))</formula>
    </cfRule>
    <cfRule type="expression" priority="766" dxfId="0">
      <formula>AND(IF($Q10=3,1,IF($Q10=4,1,0)),IF($F10&lt;=85,1,0))</formula>
    </cfRule>
  </conditionalFormatting>
  <conditionalFormatting sqref="AV11">
    <cfRule type="expression" priority="761" dxfId="17">
      <formula>AV11="X"</formula>
    </cfRule>
    <cfRule type="expression" priority="762" dxfId="16">
      <formula>AV11="후보"</formula>
    </cfRule>
  </conditionalFormatting>
  <conditionalFormatting sqref="AC1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1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1">
    <cfRule type="expression" priority="752" dxfId="3">
      <formula>AND(IF(OR($Q11=1,$Q11=2),1,0),IF($X11&lt;=20,1,0))</formula>
    </cfRule>
    <cfRule type="expression" priority="753" dxfId="2">
      <formula>AND(IF($Q11=2,1,0),IF($X11&lt;30,1,0))</formula>
    </cfRule>
    <cfRule type="expression" priority="754" dxfId="1">
      <formula>AND(IF($Q11=3,1,0),IF($X11&lt;30,1,0))</formula>
    </cfRule>
    <cfRule type="expression" priority="755" dxfId="0">
      <formula>AND(IF($Q11=3,1,IF($Q11=4,1,0)),IF($F11&lt;=85,1,0))</formula>
    </cfRule>
  </conditionalFormatting>
  <conditionalFormatting sqref="X11">
    <cfRule type="expression" priority="748" dxfId="3">
      <formula>AND(IF(OR($Q11=1,$Q11=2),1,0),IF($X11&lt;=20,1,0))</formula>
    </cfRule>
    <cfRule type="expression" priority="749" dxfId="2">
      <formula>AND(IF($Q11=2,1,0),IF($X11&lt;30,1,0))</formula>
    </cfRule>
    <cfRule type="expression" priority="750" dxfId="1">
      <formula>AND(IF($Q11=3,1,0),IF($X11&lt;30,1,0))</formula>
    </cfRule>
    <cfRule type="expression" priority="751" dxfId="0">
      <formula>AND(IF($Q11=3,1,IF($Q11=4,1,0)),IF($F11&lt;=85,1,0))</formula>
    </cfRule>
  </conditionalFormatting>
  <conditionalFormatting sqref="AI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AV12">
    <cfRule type="expression" priority="742" dxfId="17">
      <formula>AV12="X"</formula>
    </cfRule>
    <cfRule type="expression" priority="743" dxfId="16">
      <formula>AV12="후보"</formula>
    </cfRule>
  </conditionalFormatting>
  <conditionalFormatting sqref="AC1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2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2">
    <cfRule type="expression" priority="733" dxfId="3">
      <formula>AND(IF(OR($Q12=1,$Q12=2),1,0),IF($X12&lt;=20,1,0))</formula>
    </cfRule>
    <cfRule type="expression" priority="734" dxfId="2">
      <formula>AND(IF($Q12=2,1,0),IF($X12&lt;30,1,0))</formula>
    </cfRule>
    <cfRule type="expression" priority="735" dxfId="1">
      <formula>AND(IF($Q12=3,1,0),IF($X12&lt;30,1,0))</formula>
    </cfRule>
    <cfRule type="expression" priority="736" dxfId="0">
      <formula>AND(IF($Q12=3,1,IF($Q12=4,1,0)),IF($F12&lt;=85,1,0))</formula>
    </cfRule>
  </conditionalFormatting>
  <conditionalFormatting sqref="X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AI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V13">
    <cfRule type="expression" priority="723" dxfId="17">
      <formula>AV13="X"</formula>
    </cfRule>
    <cfRule type="expression" priority="724" dxfId="16">
      <formula>AV13="후보"</formula>
    </cfRule>
  </conditionalFormatting>
  <conditionalFormatting sqref="AC13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3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3">
    <cfRule type="expression" priority="714" dxfId="3">
      <formula>AND(IF(OR($Q13=1,$Q13=2),1,0),IF($X13&lt;=20,1,0))</formula>
    </cfRule>
    <cfRule type="expression" priority="715" dxfId="2">
      <formula>AND(IF($Q13=2,1,0),IF($X13&lt;30,1,0))</formula>
    </cfRule>
    <cfRule type="expression" priority="716" dxfId="1">
      <formula>AND(IF($Q13=3,1,0),IF($X13&lt;30,1,0))</formula>
    </cfRule>
    <cfRule type="expression" priority="717" dxfId="0">
      <formula>AND(IF($Q13=3,1,IF($Q13=4,1,0)),IF($F13&lt;=85,1,0))</formula>
    </cfRule>
  </conditionalFormatting>
  <conditionalFormatting sqref="X13">
    <cfRule type="expression" priority="710" dxfId="3">
      <formula>AND(IF(OR($Q13=1,$Q13=2),1,0),IF($X13&lt;=20,1,0))</formula>
    </cfRule>
    <cfRule type="expression" priority="711" dxfId="2">
      <formula>AND(IF($Q13=2,1,0),IF($X13&lt;30,1,0))</formula>
    </cfRule>
    <cfRule type="expression" priority="712" dxfId="1">
      <formula>AND(IF($Q13=3,1,0),IF($X13&lt;30,1,0))</formula>
    </cfRule>
    <cfRule type="expression" priority="713" dxfId="0">
      <formula>AND(IF($Q13=3,1,IF($Q13=4,1,0)),IF($F13&lt;=85,1,0))</formula>
    </cfRule>
  </conditionalFormatting>
  <conditionalFormatting sqref="AI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AV14">
    <cfRule type="expression" priority="704" dxfId="17">
      <formula>AV14="X"</formula>
    </cfRule>
    <cfRule type="expression" priority="705" dxfId="16">
      <formula>AV14="후보"</formula>
    </cfRule>
  </conditionalFormatting>
  <conditionalFormatting sqref="AC1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4">
    <cfRule type="expression" priority="695" dxfId="3">
      <formula>AND(IF(OR($Q14=1,$Q14=2),1,0),IF($X14&lt;=20,1,0))</formula>
    </cfRule>
    <cfRule type="expression" priority="696" dxfId="2">
      <formula>AND(IF($Q14=2,1,0),IF($X14&lt;30,1,0))</formula>
    </cfRule>
    <cfRule type="expression" priority="697" dxfId="1">
      <formula>AND(IF($Q14=3,1,0),IF($X14&lt;30,1,0))</formula>
    </cfRule>
    <cfRule type="expression" priority="698" dxfId="0">
      <formula>AND(IF($Q14=3,1,IF($Q14=4,1,0)),IF($F14&lt;=85,1,0))</formula>
    </cfRule>
  </conditionalFormatting>
  <conditionalFormatting sqref="X14">
    <cfRule type="expression" priority="691" dxfId="3">
      <formula>AND(IF(OR($Q14=1,$Q14=2),1,0),IF($X14&lt;=20,1,0))</formula>
    </cfRule>
    <cfRule type="expression" priority="692" dxfId="2">
      <formula>AND(IF($Q14=2,1,0),IF($X14&lt;30,1,0))</formula>
    </cfRule>
    <cfRule type="expression" priority="693" dxfId="1">
      <formula>AND(IF($Q14=3,1,0),IF($X14&lt;30,1,0))</formula>
    </cfRule>
    <cfRule type="expression" priority="694" dxfId="0">
      <formula>AND(IF($Q14=3,1,IF($Q14=4,1,0)),IF($F14&lt;=85,1,0))</formula>
    </cfRule>
  </conditionalFormatting>
  <conditionalFormatting sqref="AI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AV15">
    <cfRule type="expression" priority="685" dxfId="17">
      <formula>AV15="X"</formula>
    </cfRule>
    <cfRule type="expression" priority="686" dxfId="16">
      <formula>AV15="후보"</formula>
    </cfRule>
  </conditionalFormatting>
  <conditionalFormatting sqref="AC1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5">
    <cfRule type="expression" priority="676" dxfId="3">
      <formula>AND(IF(OR($Q15=1,$Q15=2),1,0),IF($X15&lt;=20,1,0))</formula>
    </cfRule>
    <cfRule type="expression" priority="677" dxfId="2">
      <formula>AND(IF($Q15=2,1,0),IF($X15&lt;30,1,0))</formula>
    </cfRule>
    <cfRule type="expression" priority="678" dxfId="1">
      <formula>AND(IF($Q15=3,1,0),IF($X15&lt;30,1,0))</formula>
    </cfRule>
    <cfRule type="expression" priority="679" dxfId="0">
      <formula>AND(IF($Q15=3,1,IF($Q15=4,1,0)),IF($F15&lt;=85,1,0))</formula>
    </cfRule>
  </conditionalFormatting>
  <conditionalFormatting sqref="X15">
    <cfRule type="expression" priority="672" dxfId="3">
      <formula>AND(IF(OR($Q15=1,$Q15=2),1,0),IF($X15&lt;=20,1,0))</formula>
    </cfRule>
    <cfRule type="expression" priority="673" dxfId="2">
      <formula>AND(IF($Q15=2,1,0),IF($X15&lt;30,1,0))</formula>
    </cfRule>
    <cfRule type="expression" priority="674" dxfId="1">
      <formula>AND(IF($Q15=3,1,0),IF($X15&lt;30,1,0))</formula>
    </cfRule>
    <cfRule type="expression" priority="675" dxfId="0">
      <formula>AND(IF($Q15=3,1,IF($Q15=4,1,0)),IF($F15&lt;=85,1,0))</formula>
    </cfRule>
  </conditionalFormatting>
  <conditionalFormatting sqref="AI15">
    <cfRule type="expression" priority="668" dxfId="3">
      <formula>AND(IF(OR($Q15=1,$Q15=2),1,0),IF($X15&lt;=20,1,0))</formula>
    </cfRule>
    <cfRule type="expression" priority="669" dxfId="2">
      <formula>AND(IF($Q15=2,1,0),IF($X15&lt;30,1,0))</formula>
    </cfRule>
    <cfRule type="expression" priority="670" dxfId="1">
      <formula>AND(IF($Q15=3,1,0),IF($X15&lt;30,1,0))</formula>
    </cfRule>
    <cfRule type="expression" priority="671" dxfId="0">
      <formula>AND(IF($Q15=3,1,IF($Q15=4,1,0)),IF($F15&lt;=85,1,0))</formula>
    </cfRule>
  </conditionalFormatting>
  <conditionalFormatting sqref="AV16">
    <cfRule type="expression" priority="666" dxfId="17">
      <formula>AV16="X"</formula>
    </cfRule>
    <cfRule type="expression" priority="667" dxfId="16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7">
      <formula>AV17="X"</formula>
    </cfRule>
    <cfRule type="expression" priority="662" dxfId="16">
      <formula>AV17="후보"</formula>
    </cfRule>
  </conditionalFormatting>
  <conditionalFormatting sqref="AC1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7">
    <cfRule type="expression" priority="652" dxfId="3">
      <formula>AND(IF(OR($Q17=1,$Q17=2),1,0),IF($X17&lt;=20,1,0))</formula>
    </cfRule>
    <cfRule type="expression" priority="653" dxfId="2">
      <formula>AND(IF($Q17=2,1,0),IF($X17&lt;30,1,0))</formula>
    </cfRule>
    <cfRule type="expression" priority="654" dxfId="1">
      <formula>AND(IF($Q17=3,1,0),IF($X17&lt;30,1,0))</formula>
    </cfRule>
    <cfRule type="expression" priority="655" dxfId="0">
      <formula>AND(IF($Q17=3,1,IF($Q17=4,1,0)),IF($F17&lt;=85,1,0))</formula>
    </cfRule>
  </conditionalFormatting>
  <conditionalFormatting sqref="X17">
    <cfRule type="expression" priority="648" dxfId="3">
      <formula>AND(IF(OR($Q17=1,$Q17=2),1,0),IF($X17&lt;=20,1,0))</formula>
    </cfRule>
    <cfRule type="expression" priority="649" dxfId="2">
      <formula>AND(IF($Q17=2,1,0),IF($X17&lt;30,1,0))</formula>
    </cfRule>
    <cfRule type="expression" priority="650" dxfId="1">
      <formula>AND(IF($Q17=3,1,0),IF($X17&lt;30,1,0))</formula>
    </cfRule>
    <cfRule type="expression" priority="651" dxfId="0">
      <formula>AND(IF($Q17=3,1,IF($Q17=4,1,0)),IF($F17&lt;=85,1,0))</formula>
    </cfRule>
  </conditionalFormatting>
  <conditionalFormatting sqref="AI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AV18">
    <cfRule type="expression" priority="642" dxfId="17">
      <formula>AV18="X"</formula>
    </cfRule>
    <cfRule type="expression" priority="643" dxfId="16">
      <formula>AV18="후보"</formula>
    </cfRule>
  </conditionalFormatting>
  <conditionalFormatting sqref="AC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8">
    <cfRule type="expression" priority="633" dxfId="3">
      <formula>AND(IF(OR($Q18=1,$Q18=2),1,0),IF($X18&lt;=20,1,0))</formula>
    </cfRule>
    <cfRule type="expression" priority="634" dxfId="2">
      <formula>AND(IF($Q18=2,1,0),IF($X18&lt;30,1,0))</formula>
    </cfRule>
    <cfRule type="expression" priority="635" dxfId="1">
      <formula>AND(IF($Q18=3,1,0),IF($X18&lt;30,1,0))</formula>
    </cfRule>
    <cfRule type="expression" priority="636" dxfId="0">
      <formula>AND(IF($Q18=3,1,IF($Q18=4,1,0)),IF($F18&lt;=85,1,0))</formula>
    </cfRule>
  </conditionalFormatting>
  <conditionalFormatting sqref="X18">
    <cfRule type="expression" priority="629" dxfId="3">
      <formula>AND(IF(OR($Q18=1,$Q18=2),1,0),IF($X18&lt;=20,1,0))</formula>
    </cfRule>
    <cfRule type="expression" priority="630" dxfId="2">
      <formula>AND(IF($Q18=2,1,0),IF($X18&lt;30,1,0))</formula>
    </cfRule>
    <cfRule type="expression" priority="631" dxfId="1">
      <formula>AND(IF($Q18=3,1,0),IF($X18&lt;30,1,0))</formula>
    </cfRule>
    <cfRule type="expression" priority="632" dxfId="0">
      <formula>AND(IF($Q18=3,1,IF($Q18=4,1,0)),IF($F18&lt;=85,1,0))</formula>
    </cfRule>
  </conditionalFormatting>
  <conditionalFormatting sqref="AI18">
    <cfRule type="expression" priority="625" dxfId="3">
      <formula>AND(IF(OR($Q18=1,$Q18=2),1,0),IF($X18&lt;=20,1,0))</formula>
    </cfRule>
    <cfRule type="expression" priority="626" dxfId="2">
      <formula>AND(IF($Q18=2,1,0),IF($X18&lt;30,1,0))</formula>
    </cfRule>
    <cfRule type="expression" priority="627" dxfId="1">
      <formula>AND(IF($Q18=3,1,0),IF($X18&lt;30,1,0))</formula>
    </cfRule>
    <cfRule type="expression" priority="628" dxfId="0">
      <formula>AND(IF($Q18=3,1,IF($Q18=4,1,0)),IF($F18&lt;=85,1,0))</formula>
    </cfRule>
  </conditionalFormatting>
  <conditionalFormatting sqref="AV19">
    <cfRule type="expression" priority="623" dxfId="17">
      <formula>AV19="X"</formula>
    </cfRule>
    <cfRule type="expression" priority="624" dxfId="16">
      <formula>AV19="후보"</formula>
    </cfRule>
  </conditionalFormatting>
  <conditionalFormatting sqref="AC1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9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9">
    <cfRule type="expression" priority="614" dxfId="3">
      <formula>AND(IF(OR($Q19=1,$Q19=2),1,0),IF($X19&lt;=20,1,0))</formula>
    </cfRule>
    <cfRule type="expression" priority="615" dxfId="2">
      <formula>AND(IF($Q19=2,1,0),IF($X19&lt;30,1,0))</formula>
    </cfRule>
    <cfRule type="expression" priority="616" dxfId="1">
      <formula>AND(IF($Q19=3,1,0),IF($X19&lt;30,1,0))</formula>
    </cfRule>
    <cfRule type="expression" priority="617" dxfId="0">
      <formula>AND(IF($Q19=3,1,IF($Q19=4,1,0)),IF($F19&lt;=85,1,0))</formula>
    </cfRule>
  </conditionalFormatting>
  <conditionalFormatting sqref="X19">
    <cfRule type="expression" priority="610" dxfId="3">
      <formula>AND(IF(OR($Q19=1,$Q19=2),1,0),IF($X19&lt;=20,1,0))</formula>
    </cfRule>
    <cfRule type="expression" priority="611" dxfId="2">
      <formula>AND(IF($Q19=2,1,0),IF($X19&lt;30,1,0))</formula>
    </cfRule>
    <cfRule type="expression" priority="612" dxfId="1">
      <formula>AND(IF($Q19=3,1,0),IF($X19&lt;30,1,0))</formula>
    </cfRule>
    <cfRule type="expression" priority="613" dxfId="0">
      <formula>AND(IF($Q19=3,1,IF($Q19=4,1,0)),IF($F19&lt;=85,1,0))</formula>
    </cfRule>
  </conditionalFormatting>
  <conditionalFormatting sqref="AI19">
    <cfRule type="expression" priority="606" dxfId="3">
      <formula>AND(IF(OR($Q19=1,$Q19=2),1,0),IF($X19&lt;=20,1,0))</formula>
    </cfRule>
    <cfRule type="expression" priority="607" dxfId="2">
      <formula>AND(IF($Q19=2,1,0),IF($X19&lt;30,1,0))</formula>
    </cfRule>
    <cfRule type="expression" priority="608" dxfId="1">
      <formula>AND(IF($Q19=3,1,0),IF($X19&lt;30,1,0))</formula>
    </cfRule>
    <cfRule type="expression" priority="609" dxfId="0">
      <formula>AND(IF($Q19=3,1,IF($Q19=4,1,0)),IF($F19&lt;=85,1,0))</formula>
    </cfRule>
  </conditionalFormatting>
  <conditionalFormatting sqref="AV20">
    <cfRule type="expression" priority="604" dxfId="17">
      <formula>AV20="X"</formula>
    </cfRule>
    <cfRule type="expression" priority="605" dxfId="16">
      <formula>AV20="후보"</formula>
    </cfRule>
  </conditionalFormatting>
  <conditionalFormatting sqref="AC20 N2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1">
    <cfRule type="expression" priority="599" dxfId="17">
      <formula>AV21="X"</formula>
    </cfRule>
    <cfRule type="expression" priority="600" dxfId="16">
      <formula>AV21="후보"</formula>
    </cfRule>
  </conditionalFormatting>
  <conditionalFormatting sqref="AC2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">
    <cfRule type="expression" priority="590" dxfId="3">
      <formula>AND(IF(OR($Q21=1,$Q21=2),1,0),IF($X21&lt;=20,1,0))</formula>
    </cfRule>
    <cfRule type="expression" priority="591" dxfId="2">
      <formula>AND(IF($Q21=2,1,0),IF($X21&lt;30,1,0))</formula>
    </cfRule>
    <cfRule type="expression" priority="592" dxfId="1">
      <formula>AND(IF($Q21=3,1,0),IF($X21&lt;30,1,0))</formula>
    </cfRule>
    <cfRule type="expression" priority="593" dxfId="0">
      <formula>AND(IF($Q21=3,1,IF($Q21=4,1,0)),IF($F21&lt;=85,1,0))</formula>
    </cfRule>
  </conditionalFormatting>
  <conditionalFormatting sqref="X21">
    <cfRule type="expression" priority="586" dxfId="3">
      <formula>AND(IF(OR($Q21=1,$Q21=2),1,0),IF($X21&lt;=20,1,0))</formula>
    </cfRule>
    <cfRule type="expression" priority="587" dxfId="2">
      <formula>AND(IF($Q21=2,1,0),IF($X21&lt;30,1,0))</formula>
    </cfRule>
    <cfRule type="expression" priority="588" dxfId="1">
      <formula>AND(IF($Q21=3,1,0),IF($X21&lt;30,1,0))</formula>
    </cfRule>
    <cfRule type="expression" priority="589" dxfId="0">
      <formula>AND(IF($Q21=3,1,IF($Q21=4,1,0)),IF($F21&lt;=85,1,0))</formula>
    </cfRule>
  </conditionalFormatting>
  <conditionalFormatting sqref="AI21">
    <cfRule type="expression" priority="582" dxfId="3">
      <formula>AND(IF(OR($Q21=1,$Q21=2),1,0),IF($X21&lt;=20,1,0))</formula>
    </cfRule>
    <cfRule type="expression" priority="583" dxfId="2">
      <formula>AND(IF($Q21=2,1,0),IF($X21&lt;30,1,0))</formula>
    </cfRule>
    <cfRule type="expression" priority="584" dxfId="1">
      <formula>AND(IF($Q21=3,1,0),IF($X21&lt;30,1,0))</formula>
    </cfRule>
    <cfRule type="expression" priority="585" dxfId="0">
      <formula>AND(IF($Q21=3,1,IF($Q21=4,1,0)),IF($F21&lt;=85,1,0))</formula>
    </cfRule>
  </conditionalFormatting>
  <conditionalFormatting sqref="AV22">
    <cfRule type="expression" priority="580" dxfId="17">
      <formula>AV22="X"</formula>
    </cfRule>
    <cfRule type="expression" priority="581" dxfId="16">
      <formula>AV22="후보"</formula>
    </cfRule>
  </conditionalFormatting>
  <conditionalFormatting sqref="AC2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2">
    <cfRule type="expression" priority="571" dxfId="3">
      <formula>AND(IF(OR($Q22=1,$Q22=2),1,0),IF($X22&lt;=20,1,0))</formula>
    </cfRule>
    <cfRule type="expression" priority="572" dxfId="2">
      <formula>AND(IF($Q22=2,1,0),IF($X22&lt;30,1,0))</formula>
    </cfRule>
    <cfRule type="expression" priority="573" dxfId="1">
      <formula>AND(IF($Q22=3,1,0),IF($X22&lt;30,1,0))</formula>
    </cfRule>
    <cfRule type="expression" priority="574" dxfId="0">
      <formula>AND(IF($Q22=3,1,IF($Q22=4,1,0)),IF($F22&lt;=85,1,0))</formula>
    </cfRule>
  </conditionalFormatting>
  <conditionalFormatting sqref="X22">
    <cfRule type="expression" priority="567" dxfId="3">
      <formula>AND(IF(OR($Q22=1,$Q22=2),1,0),IF($X22&lt;=20,1,0))</formula>
    </cfRule>
    <cfRule type="expression" priority="568" dxfId="2">
      <formula>AND(IF($Q22=2,1,0),IF($X22&lt;30,1,0))</formula>
    </cfRule>
    <cfRule type="expression" priority="569" dxfId="1">
      <formula>AND(IF($Q22=3,1,0),IF($X22&lt;30,1,0))</formula>
    </cfRule>
    <cfRule type="expression" priority="570" dxfId="0">
      <formula>AND(IF($Q22=3,1,IF($Q22=4,1,0)),IF($F22&lt;=85,1,0))</formula>
    </cfRule>
  </conditionalFormatting>
  <conditionalFormatting sqref="AI22">
    <cfRule type="expression" priority="563" dxfId="3">
      <formula>AND(IF(OR($Q22=1,$Q22=2),1,0),IF($X22&lt;=20,1,0))</formula>
    </cfRule>
    <cfRule type="expression" priority="564" dxfId="2">
      <formula>AND(IF($Q22=2,1,0),IF($X22&lt;30,1,0))</formula>
    </cfRule>
    <cfRule type="expression" priority="565" dxfId="1">
      <formula>AND(IF($Q22=3,1,0),IF($X22&lt;30,1,0))</formula>
    </cfRule>
    <cfRule type="expression" priority="566" dxfId="0">
      <formula>AND(IF($Q22=3,1,IF($Q22=4,1,0)),IF($F22&lt;=85,1,0))</formula>
    </cfRule>
  </conditionalFormatting>
  <conditionalFormatting sqref="AV23">
    <cfRule type="expression" priority="561" dxfId="17">
      <formula>AV23="X"</formula>
    </cfRule>
    <cfRule type="expression" priority="562" dxfId="16">
      <formula>AV23="후보"</formula>
    </cfRule>
  </conditionalFormatting>
  <conditionalFormatting sqref="AC2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3">
    <cfRule type="expression" priority="552" dxfId="3">
      <formula>AND(IF(OR($Q23=1,$Q23=2),1,0),IF($X23&lt;=20,1,0))</formula>
    </cfRule>
    <cfRule type="expression" priority="553" dxfId="2">
      <formula>AND(IF($Q23=2,1,0),IF($X23&lt;30,1,0))</formula>
    </cfRule>
    <cfRule type="expression" priority="554" dxfId="1">
      <formula>AND(IF($Q23=3,1,0),IF($X23&lt;30,1,0))</formula>
    </cfRule>
    <cfRule type="expression" priority="555" dxfId="0">
      <formula>AND(IF($Q23=3,1,IF($Q23=4,1,0)),IF($F23&lt;=85,1,0))</formula>
    </cfRule>
  </conditionalFormatting>
  <conditionalFormatting sqref="X23">
    <cfRule type="expression" priority="548" dxfId="3">
      <formula>AND(IF(OR($Q23=1,$Q23=2),1,0),IF($X23&lt;=20,1,0))</formula>
    </cfRule>
    <cfRule type="expression" priority="549" dxfId="2">
      <formula>AND(IF($Q23=2,1,0),IF($X23&lt;30,1,0))</formula>
    </cfRule>
    <cfRule type="expression" priority="550" dxfId="1">
      <formula>AND(IF($Q23=3,1,0),IF($X23&lt;30,1,0))</formula>
    </cfRule>
    <cfRule type="expression" priority="551" dxfId="0">
      <formula>AND(IF($Q23=3,1,IF($Q23=4,1,0)),IF($F23&lt;=85,1,0))</formula>
    </cfRule>
  </conditionalFormatting>
  <conditionalFormatting sqref="AI23">
    <cfRule type="expression" priority="544" dxfId="3">
      <formula>AND(IF(OR($Q23=1,$Q23=2),1,0),IF($X23&lt;=20,1,0))</formula>
    </cfRule>
    <cfRule type="expression" priority="545" dxfId="2">
      <formula>AND(IF($Q23=2,1,0),IF($X23&lt;30,1,0))</formula>
    </cfRule>
    <cfRule type="expression" priority="546" dxfId="1">
      <formula>AND(IF($Q23=3,1,0),IF($X23&lt;30,1,0))</formula>
    </cfRule>
    <cfRule type="expression" priority="547" dxfId="0">
      <formula>AND(IF($Q23=3,1,IF($Q23=4,1,0)),IF($F23&lt;=85,1,0))</formula>
    </cfRule>
  </conditionalFormatting>
  <conditionalFormatting sqref="AV24">
    <cfRule type="expression" priority="542" dxfId="17">
      <formula>AV24="X"</formula>
    </cfRule>
    <cfRule type="expression" priority="543" dxfId="16">
      <formula>AV24="후보"</formula>
    </cfRule>
  </conditionalFormatting>
  <conditionalFormatting sqref="AC24 N2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5">
    <cfRule type="expression" priority="537" dxfId="17">
      <formula>AV25="X"</formula>
    </cfRule>
    <cfRule type="expression" priority="538" dxfId="16">
      <formula>AV25="후보"</formula>
    </cfRule>
  </conditionalFormatting>
  <conditionalFormatting sqref="AC2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5">
    <cfRule type="expression" priority="528" dxfId="3">
      <formula>AND(IF(OR($Q25=1,$Q25=2),1,0),IF($X25&lt;=20,1,0))</formula>
    </cfRule>
    <cfRule type="expression" priority="529" dxfId="2">
      <formula>AND(IF($Q25=2,1,0),IF($X25&lt;30,1,0))</formula>
    </cfRule>
    <cfRule type="expression" priority="530" dxfId="1">
      <formula>AND(IF($Q25=3,1,0),IF($X25&lt;30,1,0))</formula>
    </cfRule>
    <cfRule type="expression" priority="531" dxfId="0">
      <formula>AND(IF($Q25=3,1,IF($Q25=4,1,0)),IF($F25&lt;=85,1,0))</formula>
    </cfRule>
  </conditionalFormatting>
  <conditionalFormatting sqref="X25">
    <cfRule type="expression" priority="524" dxfId="3">
      <formula>AND(IF(OR($Q25=1,$Q25=2),1,0),IF($X25&lt;=20,1,0))</formula>
    </cfRule>
    <cfRule type="expression" priority="525" dxfId="2">
      <formula>AND(IF($Q25=2,1,0),IF($X25&lt;30,1,0))</formula>
    </cfRule>
    <cfRule type="expression" priority="526" dxfId="1">
      <formula>AND(IF($Q25=3,1,0),IF($X25&lt;30,1,0))</formula>
    </cfRule>
    <cfRule type="expression" priority="527" dxfId="0">
      <formula>AND(IF($Q25=3,1,IF($Q25=4,1,0)),IF($F25&lt;=85,1,0))</formula>
    </cfRule>
  </conditionalFormatting>
  <conditionalFormatting sqref="AI25">
    <cfRule type="expression" priority="520" dxfId="3">
      <formula>AND(IF(OR($Q25=1,$Q25=2),1,0),IF($X25&lt;=20,1,0))</formula>
    </cfRule>
    <cfRule type="expression" priority="521" dxfId="2">
      <formula>AND(IF($Q25=2,1,0),IF($X25&lt;30,1,0))</formula>
    </cfRule>
    <cfRule type="expression" priority="522" dxfId="1">
      <formula>AND(IF($Q25=3,1,0),IF($X25&lt;30,1,0))</formula>
    </cfRule>
    <cfRule type="expression" priority="523" dxfId="0">
      <formula>AND(IF($Q25=3,1,IF($Q25=4,1,0)),IF($F25&lt;=85,1,0))</formula>
    </cfRule>
  </conditionalFormatting>
  <conditionalFormatting sqref="AV26">
    <cfRule type="expression" priority="518" dxfId="17">
      <formula>AV26="X"</formula>
    </cfRule>
    <cfRule type="expression" priority="519" dxfId="16">
      <formula>AV26="후보"</formula>
    </cfRule>
  </conditionalFormatting>
  <conditionalFormatting sqref="AC2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6">
    <cfRule type="expression" priority="509" dxfId="3">
      <formula>AND(IF(OR($Q26=1,$Q26=2),1,0),IF($X26&lt;=20,1,0))</formula>
    </cfRule>
    <cfRule type="expression" priority="510" dxfId="2">
      <formula>AND(IF($Q26=2,1,0),IF($X26&lt;30,1,0))</formula>
    </cfRule>
    <cfRule type="expression" priority="511" dxfId="1">
      <formula>AND(IF($Q26=3,1,0),IF($X26&lt;30,1,0))</formula>
    </cfRule>
    <cfRule type="expression" priority="512" dxfId="0">
      <formula>AND(IF($Q26=3,1,IF($Q26=4,1,0)),IF($F26&lt;=85,1,0))</formula>
    </cfRule>
  </conditionalFormatting>
  <conditionalFormatting sqref="X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AI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V27">
    <cfRule type="expression" priority="499" dxfId="17">
      <formula>AV27="X"</formula>
    </cfRule>
    <cfRule type="expression" priority="500" dxfId="16">
      <formula>AV27="후보"</formula>
    </cfRule>
  </conditionalFormatting>
  <conditionalFormatting sqref="AC27 N2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8">
    <cfRule type="expression" priority="494" dxfId="17">
      <formula>AV28="X"</formula>
    </cfRule>
    <cfRule type="expression" priority="495" dxfId="16">
      <formula>AV28="후보"</formula>
    </cfRule>
  </conditionalFormatting>
  <conditionalFormatting sqref="AC2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8">
    <cfRule type="expression" priority="485" dxfId="3">
      <formula>AND(IF(OR($Q28=1,$Q28=2),1,0),IF($X28&lt;=20,1,0))</formula>
    </cfRule>
    <cfRule type="expression" priority="486" dxfId="2">
      <formula>AND(IF($Q28=2,1,0),IF($X28&lt;30,1,0))</formula>
    </cfRule>
    <cfRule type="expression" priority="487" dxfId="1">
      <formula>AND(IF($Q28=3,1,0),IF($X28&lt;30,1,0))</formula>
    </cfRule>
    <cfRule type="expression" priority="488" dxfId="0">
      <formula>AND(IF($Q28=3,1,IF($Q28=4,1,0)),IF($F28&lt;=85,1,0))</formula>
    </cfRule>
  </conditionalFormatting>
  <conditionalFormatting sqref="X28">
    <cfRule type="expression" priority="481" dxfId="3">
      <formula>AND(IF(OR($Q28=1,$Q28=2),1,0),IF($X28&lt;=20,1,0))</formula>
    </cfRule>
    <cfRule type="expression" priority="482" dxfId="2">
      <formula>AND(IF($Q28=2,1,0),IF($X28&lt;30,1,0))</formula>
    </cfRule>
    <cfRule type="expression" priority="483" dxfId="1">
      <formula>AND(IF($Q28=3,1,0),IF($X28&lt;30,1,0))</formula>
    </cfRule>
    <cfRule type="expression" priority="484" dxfId="0">
      <formula>AND(IF($Q28=3,1,IF($Q28=4,1,0)),IF($F28&lt;=85,1,0))</formula>
    </cfRule>
  </conditionalFormatting>
  <conditionalFormatting sqref="AI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AV29">
    <cfRule type="expression" priority="475" dxfId="17">
      <formula>AV29="X"</formula>
    </cfRule>
    <cfRule type="expression" priority="476" dxfId="16">
      <formula>AV29="후보"</formula>
    </cfRule>
  </conditionalFormatting>
  <conditionalFormatting sqref="AC2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9">
    <cfRule type="expression" priority="466" dxfId="3">
      <formula>AND(IF(OR($Q29=1,$Q29=2),1,0),IF($X29&lt;=20,1,0))</formula>
    </cfRule>
    <cfRule type="expression" priority="467" dxfId="2">
      <formula>AND(IF($Q29=2,1,0),IF($X29&lt;30,1,0))</formula>
    </cfRule>
    <cfRule type="expression" priority="468" dxfId="1">
      <formula>AND(IF($Q29=3,1,0),IF($X29&lt;30,1,0))</formula>
    </cfRule>
    <cfRule type="expression" priority="469" dxfId="0">
      <formula>AND(IF($Q29=3,1,IF($Q29=4,1,0)),IF($F29&lt;=85,1,0))</formula>
    </cfRule>
  </conditionalFormatting>
  <conditionalFormatting sqref="X29">
    <cfRule type="expression" priority="462" dxfId="3">
      <formula>AND(IF(OR($Q29=1,$Q29=2),1,0),IF($X29&lt;=20,1,0))</formula>
    </cfRule>
    <cfRule type="expression" priority="463" dxfId="2">
      <formula>AND(IF($Q29=2,1,0),IF($X29&lt;30,1,0))</formula>
    </cfRule>
    <cfRule type="expression" priority="464" dxfId="1">
      <formula>AND(IF($Q29=3,1,0),IF($X29&lt;30,1,0))</formula>
    </cfRule>
    <cfRule type="expression" priority="465" dxfId="0">
      <formula>AND(IF($Q29=3,1,IF($Q29=4,1,0)),IF($F29&lt;=85,1,0))</formula>
    </cfRule>
  </conditionalFormatting>
  <conditionalFormatting sqref="AI29">
    <cfRule type="expression" priority="458" dxfId="3">
      <formula>AND(IF(OR($Q29=1,$Q29=2),1,0),IF($X29&lt;=20,1,0))</formula>
    </cfRule>
    <cfRule type="expression" priority="459" dxfId="2">
      <formula>AND(IF($Q29=2,1,0),IF($X29&lt;30,1,0))</formula>
    </cfRule>
    <cfRule type="expression" priority="460" dxfId="1">
      <formula>AND(IF($Q29=3,1,0),IF($X29&lt;30,1,0))</formula>
    </cfRule>
    <cfRule type="expression" priority="461" dxfId="0">
      <formula>AND(IF($Q29=3,1,IF($Q29=4,1,0)),IF($F29&lt;=85,1,0))</formula>
    </cfRule>
  </conditionalFormatting>
  <conditionalFormatting sqref="AV30">
    <cfRule type="expression" priority="456" dxfId="17">
      <formula>AV30="X"</formula>
    </cfRule>
    <cfRule type="expression" priority="457" dxfId="16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7">
      <formula>AV31="X"</formula>
    </cfRule>
    <cfRule type="expression" priority="438" dxfId="16">
      <formula>AV31="후보"</formula>
    </cfRule>
  </conditionalFormatting>
  <conditionalFormatting sqref="AC3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3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31">
    <cfRule type="expression" priority="428" dxfId="3">
      <formula>AND(IF(OR($Q31=1,$Q31=2),1,0),IF($X31&lt;=20,1,0))</formula>
    </cfRule>
    <cfRule type="expression" priority="429" dxfId="2">
      <formula>AND(IF($Q31=2,1,0),IF($X31&lt;30,1,0))</formula>
    </cfRule>
    <cfRule type="expression" priority="430" dxfId="1">
      <formula>AND(IF($Q31=3,1,0),IF($X31&lt;30,1,0))</formula>
    </cfRule>
    <cfRule type="expression" priority="431" dxfId="0">
      <formula>AND(IF($Q31=3,1,IF($Q31=4,1,0)),IF($F31&lt;=85,1,0))</formula>
    </cfRule>
  </conditionalFormatting>
  <conditionalFormatting sqref="X31">
    <cfRule type="expression" priority="424" dxfId="3">
      <formula>AND(IF(OR($Q31=1,$Q31=2),1,0),IF($X31&lt;=20,1,0))</formula>
    </cfRule>
    <cfRule type="expression" priority="425" dxfId="2">
      <formula>AND(IF($Q31=2,1,0),IF($X31&lt;30,1,0))</formula>
    </cfRule>
    <cfRule type="expression" priority="426" dxfId="1">
      <formula>AND(IF($Q31=3,1,0),IF($X31&lt;30,1,0))</formula>
    </cfRule>
    <cfRule type="expression" priority="427" dxfId="0">
      <formula>AND(IF($Q31=3,1,IF($Q31=4,1,0)),IF($F31&lt;=85,1,0))</formula>
    </cfRule>
  </conditionalFormatting>
  <conditionalFormatting sqref="AI31">
    <cfRule type="expression" priority="420" dxfId="3">
      <formula>AND(IF(OR($Q31=1,$Q31=2),1,0),IF($X31&lt;=20,1,0))</formula>
    </cfRule>
    <cfRule type="expression" priority="421" dxfId="2">
      <formula>AND(IF($Q31=2,1,0),IF($X31&lt;30,1,0))</formula>
    </cfRule>
    <cfRule type="expression" priority="422" dxfId="1">
      <formula>AND(IF($Q31=3,1,0),IF($X31&lt;30,1,0))</formula>
    </cfRule>
    <cfRule type="expression" priority="423" dxfId="0">
      <formula>AND(IF($Q31=3,1,IF($Q31=4,1,0)),IF($F31&lt;=85,1,0))</formula>
    </cfRule>
  </conditionalFormatting>
  <conditionalFormatting sqref="AV32">
    <cfRule type="expression" priority="418" dxfId="17">
      <formula>AV32="X"</formula>
    </cfRule>
    <cfRule type="expression" priority="419" dxfId="16">
      <formula>AV32="후보"</formula>
    </cfRule>
  </conditionalFormatting>
  <conditionalFormatting sqref="AC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3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32">
    <cfRule type="expression" priority="409" dxfId="3">
      <formula>AND(IF(OR($Q32=1,$Q32=2),1,0),IF($X32&lt;=20,1,0))</formula>
    </cfRule>
    <cfRule type="expression" priority="410" dxfId="2">
      <formula>AND(IF($Q32=2,1,0),IF($X32&lt;30,1,0))</formula>
    </cfRule>
    <cfRule type="expression" priority="411" dxfId="1">
      <formula>AND(IF($Q32=3,1,0),IF($X32&lt;30,1,0))</formula>
    </cfRule>
    <cfRule type="expression" priority="412" dxfId="0">
      <formula>AND(IF($Q32=3,1,IF($Q32=4,1,0)),IF($F32&lt;=85,1,0))</formula>
    </cfRule>
  </conditionalFormatting>
  <conditionalFormatting sqref="X32">
    <cfRule type="expression" priority="405" dxfId="3">
      <formula>AND(IF(OR($Q32=1,$Q32=2),1,0),IF($X32&lt;=20,1,0))</formula>
    </cfRule>
    <cfRule type="expression" priority="406" dxfId="2">
      <formula>AND(IF($Q32=2,1,0),IF($X32&lt;30,1,0))</formula>
    </cfRule>
    <cfRule type="expression" priority="407" dxfId="1">
      <formula>AND(IF($Q32=3,1,0),IF($X32&lt;30,1,0))</formula>
    </cfRule>
    <cfRule type="expression" priority="408" dxfId="0">
      <formula>AND(IF($Q32=3,1,IF($Q32=4,1,0)),IF($F32&lt;=85,1,0))</formula>
    </cfRule>
  </conditionalFormatting>
  <conditionalFormatting sqref="AI32">
    <cfRule type="expression" priority="401" dxfId="3">
      <formula>AND(IF(OR($Q32=1,$Q32=2),1,0),IF($X32&lt;=20,1,0))</formula>
    </cfRule>
    <cfRule type="expression" priority="402" dxfId="2">
      <formula>AND(IF($Q32=2,1,0),IF($X32&lt;30,1,0))</formula>
    </cfRule>
    <cfRule type="expression" priority="403" dxfId="1">
      <formula>AND(IF($Q32=3,1,0),IF($X32&lt;30,1,0))</formula>
    </cfRule>
    <cfRule type="expression" priority="404" dxfId="0">
      <formula>AND(IF($Q32=3,1,IF($Q32=4,1,0)),IF($F32&lt;=85,1,0))</formula>
    </cfRule>
  </conditionalFormatting>
  <conditionalFormatting sqref="AV33">
    <cfRule type="expression" priority="399" dxfId="17">
      <formula>AV33="X"</formula>
    </cfRule>
    <cfRule type="expression" priority="400" dxfId="16">
      <formula>AV33="후보"</formula>
    </cfRule>
  </conditionalFormatting>
  <conditionalFormatting sqref="AC3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3">
    <cfRule type="expression" priority="390" dxfId="3">
      <formula>AND(IF(OR($Q33=1,$Q33=2),1,0),IF($X33&lt;=20,1,0))</formula>
    </cfRule>
    <cfRule type="expression" priority="391" dxfId="2">
      <formula>AND(IF($Q33=2,1,0),IF($X33&lt;30,1,0))</formula>
    </cfRule>
    <cfRule type="expression" priority="392" dxfId="1">
      <formula>AND(IF($Q33=3,1,0),IF($X33&lt;30,1,0))</formula>
    </cfRule>
    <cfRule type="expression" priority="393" dxfId="0">
      <formula>AND(IF($Q33=3,1,IF($Q33=4,1,0)),IF($F33&lt;=85,1,0))</formula>
    </cfRule>
  </conditionalFormatting>
  <conditionalFormatting sqref="X33">
    <cfRule type="expression" priority="386" dxfId="3">
      <formula>AND(IF(OR($Q33=1,$Q33=2),1,0),IF($X33&lt;=20,1,0))</formula>
    </cfRule>
    <cfRule type="expression" priority="387" dxfId="2">
      <formula>AND(IF($Q33=2,1,0),IF($X33&lt;30,1,0))</formula>
    </cfRule>
    <cfRule type="expression" priority="388" dxfId="1">
      <formula>AND(IF($Q33=3,1,0),IF($X33&lt;30,1,0))</formula>
    </cfRule>
    <cfRule type="expression" priority="389" dxfId="0">
      <formula>AND(IF($Q33=3,1,IF($Q33=4,1,0)),IF($F33&lt;=85,1,0))</formula>
    </cfRule>
  </conditionalFormatting>
  <conditionalFormatting sqref="AI33">
    <cfRule type="expression" priority="382" dxfId="3">
      <formula>AND(IF(OR($Q33=1,$Q33=2),1,0),IF($X33&lt;=20,1,0))</formula>
    </cfRule>
    <cfRule type="expression" priority="383" dxfId="2">
      <formula>AND(IF($Q33=2,1,0),IF($X33&lt;30,1,0))</formula>
    </cfRule>
    <cfRule type="expression" priority="384" dxfId="1">
      <formula>AND(IF($Q33=3,1,0),IF($X33&lt;30,1,0))</formula>
    </cfRule>
    <cfRule type="expression" priority="385" dxfId="0">
      <formula>AND(IF($Q33=3,1,IF($Q33=4,1,0)),IF($F33&lt;=85,1,0))</formula>
    </cfRule>
  </conditionalFormatting>
  <conditionalFormatting sqref="AV34">
    <cfRule type="expression" priority="380" dxfId="17">
      <formula>AV34="X"</formula>
    </cfRule>
    <cfRule type="expression" priority="381" dxfId="16">
      <formula>AV34="후보"</formula>
    </cfRule>
  </conditionalFormatting>
  <conditionalFormatting sqref="AC3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4">
    <cfRule type="expression" priority="371" dxfId="3">
      <formula>AND(IF(OR($Q34=1,$Q34=2),1,0),IF($X34&lt;=20,1,0))</formula>
    </cfRule>
    <cfRule type="expression" priority="372" dxfId="2">
      <formula>AND(IF($Q34=2,1,0),IF($X34&lt;30,1,0))</formula>
    </cfRule>
    <cfRule type="expression" priority="373" dxfId="1">
      <formula>AND(IF($Q34=3,1,0),IF($X34&lt;30,1,0))</formula>
    </cfRule>
    <cfRule type="expression" priority="374" dxfId="0">
      <formula>AND(IF($Q34=3,1,IF($Q34=4,1,0)),IF($F34&lt;=85,1,0))</formula>
    </cfRule>
  </conditionalFormatting>
  <conditionalFormatting sqref="X34">
    <cfRule type="expression" priority="367" dxfId="3">
      <formula>AND(IF(OR($Q34=1,$Q34=2),1,0),IF($X34&lt;=20,1,0))</formula>
    </cfRule>
    <cfRule type="expression" priority="368" dxfId="2">
      <formula>AND(IF($Q34=2,1,0),IF($X34&lt;30,1,0))</formula>
    </cfRule>
    <cfRule type="expression" priority="369" dxfId="1">
      <formula>AND(IF($Q34=3,1,0),IF($X34&lt;30,1,0))</formula>
    </cfRule>
    <cfRule type="expression" priority="370" dxfId="0">
      <formula>AND(IF($Q34=3,1,IF($Q34=4,1,0)),IF($F34&lt;=85,1,0))</formula>
    </cfRule>
  </conditionalFormatting>
  <conditionalFormatting sqref="AI34">
    <cfRule type="expression" priority="363" dxfId="3">
      <formula>AND(IF(OR($Q34=1,$Q34=2),1,0),IF($X34&lt;=20,1,0))</formula>
    </cfRule>
    <cfRule type="expression" priority="364" dxfId="2">
      <formula>AND(IF($Q34=2,1,0),IF($X34&lt;30,1,0))</formula>
    </cfRule>
    <cfRule type="expression" priority="365" dxfId="1">
      <formula>AND(IF($Q34=3,1,0),IF($X34&lt;30,1,0))</formula>
    </cfRule>
    <cfRule type="expression" priority="366" dxfId="0">
      <formula>AND(IF($Q34=3,1,IF($Q34=4,1,0)),IF($F34&lt;=85,1,0))</formula>
    </cfRule>
  </conditionalFormatting>
  <conditionalFormatting sqref="AV35">
    <cfRule type="expression" priority="361" dxfId="17">
      <formula>AV35="X"</formula>
    </cfRule>
    <cfRule type="expression" priority="362" dxfId="16">
      <formula>AV35="후보"</formula>
    </cfRule>
  </conditionalFormatting>
  <conditionalFormatting sqref="AC3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5">
    <cfRule type="expression" priority="352" dxfId="3">
      <formula>AND(IF(OR($Q35=1,$Q35=2),1,0),IF($X35&lt;=20,1,0))</formula>
    </cfRule>
    <cfRule type="expression" priority="353" dxfId="2">
      <formula>AND(IF($Q35=2,1,0),IF($X35&lt;30,1,0))</formula>
    </cfRule>
    <cfRule type="expression" priority="354" dxfId="1">
      <formula>AND(IF($Q35=3,1,0),IF($X35&lt;30,1,0))</formula>
    </cfRule>
    <cfRule type="expression" priority="355" dxfId="0">
      <formula>AND(IF($Q35=3,1,IF($Q35=4,1,0)),IF($F35&lt;=85,1,0))</formula>
    </cfRule>
  </conditionalFormatting>
  <conditionalFormatting sqref="X35">
    <cfRule type="expression" priority="348" dxfId="3">
      <formula>AND(IF(OR($Q35=1,$Q35=2),1,0),IF($X35&lt;=20,1,0))</formula>
    </cfRule>
    <cfRule type="expression" priority="349" dxfId="2">
      <formula>AND(IF($Q35=2,1,0),IF($X35&lt;30,1,0))</formula>
    </cfRule>
    <cfRule type="expression" priority="350" dxfId="1">
      <formula>AND(IF($Q35=3,1,0),IF($X35&lt;30,1,0))</formula>
    </cfRule>
    <cfRule type="expression" priority="351" dxfId="0">
      <formula>AND(IF($Q35=3,1,IF($Q35=4,1,0)),IF($F35&lt;=85,1,0))</formula>
    </cfRule>
  </conditionalFormatting>
  <conditionalFormatting sqref="AI35">
    <cfRule type="expression" priority="344" dxfId="3">
      <formula>AND(IF(OR($Q35=1,$Q35=2),1,0),IF($X35&lt;=20,1,0))</formula>
    </cfRule>
    <cfRule type="expression" priority="345" dxfId="2">
      <formula>AND(IF($Q35=2,1,0),IF($X35&lt;30,1,0))</formula>
    </cfRule>
    <cfRule type="expression" priority="346" dxfId="1">
      <formula>AND(IF($Q35=3,1,0),IF($X35&lt;30,1,0))</formula>
    </cfRule>
    <cfRule type="expression" priority="347" dxfId="0">
      <formula>AND(IF($Q35=3,1,IF($Q35=4,1,0)),IF($F35&lt;=85,1,0))</formula>
    </cfRule>
  </conditionalFormatting>
  <conditionalFormatting sqref="AV36">
    <cfRule type="expression" priority="342" dxfId="17">
      <formula>AV36="X"</formula>
    </cfRule>
    <cfRule type="expression" priority="343" dxfId="16">
      <formula>AV36="후보"</formula>
    </cfRule>
  </conditionalFormatting>
  <conditionalFormatting sqref="AC36 N3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7">
    <cfRule type="expression" priority="337" dxfId="17">
      <formula>AV37="X"</formula>
    </cfRule>
    <cfRule type="expression" priority="338" dxfId="16">
      <formula>AV37="후보"</formula>
    </cfRule>
  </conditionalFormatting>
  <conditionalFormatting sqref="AC3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7">
    <cfRule type="expression" priority="328" dxfId="3">
      <formula>AND(IF(OR($Q37=1,$Q37=2),1,0),IF($X37&lt;=20,1,0))</formula>
    </cfRule>
    <cfRule type="expression" priority="329" dxfId="2">
      <formula>AND(IF($Q37=2,1,0),IF($X37&lt;30,1,0))</formula>
    </cfRule>
    <cfRule type="expression" priority="330" dxfId="1">
      <formula>AND(IF($Q37=3,1,0),IF($X37&lt;30,1,0))</formula>
    </cfRule>
    <cfRule type="expression" priority="331" dxfId="0">
      <formula>AND(IF($Q37=3,1,IF($Q37=4,1,0)),IF($F37&lt;=85,1,0))</formula>
    </cfRule>
  </conditionalFormatting>
  <conditionalFormatting sqref="X37">
    <cfRule type="expression" priority="324" dxfId="3">
      <formula>AND(IF(OR($Q37=1,$Q37=2),1,0),IF($X37&lt;=20,1,0))</formula>
    </cfRule>
    <cfRule type="expression" priority="325" dxfId="2">
      <formula>AND(IF($Q37=2,1,0),IF($X37&lt;30,1,0))</formula>
    </cfRule>
    <cfRule type="expression" priority="326" dxfId="1">
      <formula>AND(IF($Q37=3,1,0),IF($X37&lt;30,1,0))</formula>
    </cfRule>
    <cfRule type="expression" priority="327" dxfId="0">
      <formula>AND(IF($Q37=3,1,IF($Q37=4,1,0)),IF($F37&lt;=85,1,0))</formula>
    </cfRule>
  </conditionalFormatting>
  <conditionalFormatting sqref="AI37">
    <cfRule type="expression" priority="320" dxfId="3">
      <formula>AND(IF(OR($Q37=1,$Q37=2),1,0),IF($X37&lt;=20,1,0))</formula>
    </cfRule>
    <cfRule type="expression" priority="321" dxfId="2">
      <formula>AND(IF($Q37=2,1,0),IF($X37&lt;30,1,0))</formula>
    </cfRule>
    <cfRule type="expression" priority="322" dxfId="1">
      <formula>AND(IF($Q37=3,1,0),IF($X37&lt;30,1,0))</formula>
    </cfRule>
    <cfRule type="expression" priority="323" dxfId="0">
      <formula>AND(IF($Q37=3,1,IF($Q37=4,1,0)),IF($F37&lt;=85,1,0))</formula>
    </cfRule>
  </conditionalFormatting>
  <conditionalFormatting sqref="AV38">
    <cfRule type="expression" priority="318" dxfId="17">
      <formula>AV38="X"</formula>
    </cfRule>
    <cfRule type="expression" priority="319" dxfId="16">
      <formula>AV38="후보"</formula>
    </cfRule>
  </conditionalFormatting>
  <conditionalFormatting sqref="AC3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8">
    <cfRule type="expression" priority="309" dxfId="3">
      <formula>AND(IF(OR($Q38=1,$Q38=2),1,0),IF($X38&lt;=20,1,0))</formula>
    </cfRule>
    <cfRule type="expression" priority="310" dxfId="2">
      <formula>AND(IF($Q38=2,1,0),IF($X38&lt;30,1,0))</formula>
    </cfRule>
    <cfRule type="expression" priority="311" dxfId="1">
      <formula>AND(IF($Q38=3,1,0),IF($X38&lt;30,1,0))</formula>
    </cfRule>
    <cfRule type="expression" priority="312" dxfId="0">
      <formula>AND(IF($Q38=3,1,IF($Q38=4,1,0)),IF($F38&lt;=85,1,0))</formula>
    </cfRule>
  </conditionalFormatting>
  <conditionalFormatting sqref="X38">
    <cfRule type="expression" priority="305" dxfId="3">
      <formula>AND(IF(OR($Q38=1,$Q38=2),1,0),IF($X38&lt;=20,1,0))</formula>
    </cfRule>
    <cfRule type="expression" priority="306" dxfId="2">
      <formula>AND(IF($Q38=2,1,0),IF($X38&lt;30,1,0))</formula>
    </cfRule>
    <cfRule type="expression" priority="307" dxfId="1">
      <formula>AND(IF($Q38=3,1,0),IF($X38&lt;30,1,0))</formula>
    </cfRule>
    <cfRule type="expression" priority="308" dxfId="0">
      <formula>AND(IF($Q38=3,1,IF($Q38=4,1,0)),IF($F38&lt;=85,1,0))</formula>
    </cfRule>
  </conditionalFormatting>
  <conditionalFormatting sqref="AI38">
    <cfRule type="expression" priority="301" dxfId="3">
      <formula>AND(IF(OR($Q38=1,$Q38=2),1,0),IF($X38&lt;=20,1,0))</formula>
    </cfRule>
    <cfRule type="expression" priority="302" dxfId="2">
      <formula>AND(IF($Q38=2,1,0),IF($X38&lt;30,1,0))</formula>
    </cfRule>
    <cfRule type="expression" priority="303" dxfId="1">
      <formula>AND(IF($Q38=3,1,0),IF($X38&lt;30,1,0))</formula>
    </cfRule>
    <cfRule type="expression" priority="304" dxfId="0">
      <formula>AND(IF($Q38=3,1,IF($Q38=4,1,0)),IF($F38&lt;=85,1,0))</formula>
    </cfRule>
  </conditionalFormatting>
  <conditionalFormatting sqref="AV39">
    <cfRule type="expression" priority="299" dxfId="17">
      <formula>AV39="X"</formula>
    </cfRule>
    <cfRule type="expression" priority="300" dxfId="16">
      <formula>AV39="후보"</formula>
    </cfRule>
  </conditionalFormatting>
  <conditionalFormatting sqref="AC3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9">
    <cfRule type="expression" priority="290" dxfId="3">
      <formula>AND(IF(OR($Q39=1,$Q39=2),1,0),IF($X39&lt;=20,1,0))</formula>
    </cfRule>
    <cfRule type="expression" priority="291" dxfId="2">
      <formula>AND(IF($Q39=2,1,0),IF($X39&lt;30,1,0))</formula>
    </cfRule>
    <cfRule type="expression" priority="292" dxfId="1">
      <formula>AND(IF($Q39=3,1,0),IF($X39&lt;30,1,0))</formula>
    </cfRule>
    <cfRule type="expression" priority="293" dxfId="0">
      <formula>AND(IF($Q39=3,1,IF($Q39=4,1,0)),IF($F39&lt;=85,1,0))</formula>
    </cfRule>
  </conditionalFormatting>
  <conditionalFormatting sqref="X39">
    <cfRule type="expression" priority="286" dxfId="3">
      <formula>AND(IF(OR($Q39=1,$Q39=2),1,0),IF($X39&lt;=20,1,0))</formula>
    </cfRule>
    <cfRule type="expression" priority="287" dxfId="2">
      <formula>AND(IF($Q39=2,1,0),IF($X39&lt;30,1,0))</formula>
    </cfRule>
    <cfRule type="expression" priority="288" dxfId="1">
      <formula>AND(IF($Q39=3,1,0),IF($X39&lt;30,1,0))</formula>
    </cfRule>
    <cfRule type="expression" priority="289" dxfId="0">
      <formula>AND(IF($Q39=3,1,IF($Q39=4,1,0)),IF($F39&lt;=85,1,0))</formula>
    </cfRule>
  </conditionalFormatting>
  <conditionalFormatting sqref="AI39">
    <cfRule type="expression" priority="282" dxfId="3">
      <formula>AND(IF(OR($Q39=1,$Q39=2),1,0),IF($X39&lt;=20,1,0))</formula>
    </cfRule>
    <cfRule type="expression" priority="283" dxfId="2">
      <formula>AND(IF($Q39=2,1,0),IF($X39&lt;30,1,0))</formula>
    </cfRule>
    <cfRule type="expression" priority="284" dxfId="1">
      <formula>AND(IF($Q39=3,1,0),IF($X39&lt;30,1,0))</formula>
    </cfRule>
    <cfRule type="expression" priority="285" dxfId="0">
      <formula>AND(IF($Q39=3,1,IF($Q39=4,1,0)),IF($F39&lt;=85,1,0))</formula>
    </cfRule>
  </conditionalFormatting>
  <conditionalFormatting sqref="AV40">
    <cfRule type="expression" priority="280" dxfId="17">
      <formula>AV40="X"</formula>
    </cfRule>
    <cfRule type="expression" priority="281" dxfId="16">
      <formula>AV40="후보"</formula>
    </cfRule>
  </conditionalFormatting>
  <conditionalFormatting sqref="AC40 N4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41">
    <cfRule type="expression" priority="275" dxfId="17">
      <formula>AV41="X"</formula>
    </cfRule>
    <cfRule type="expression" priority="276" dxfId="16">
      <formula>AV41="후보"</formula>
    </cfRule>
  </conditionalFormatting>
  <conditionalFormatting sqref="AC4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4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41">
    <cfRule type="expression" priority="266" dxfId="3">
      <formula>AND(IF(OR($Q41=1,$Q41=2),1,0),IF($X41&lt;=20,1,0))</formula>
    </cfRule>
    <cfRule type="expression" priority="267" dxfId="2">
      <formula>AND(IF($Q41=2,1,0),IF($X41&lt;30,1,0))</formula>
    </cfRule>
    <cfRule type="expression" priority="268" dxfId="1">
      <formula>AND(IF($Q41=3,1,0),IF($X41&lt;30,1,0))</formula>
    </cfRule>
    <cfRule type="expression" priority="269" dxfId="0">
      <formula>AND(IF($Q41=3,1,IF($Q41=4,1,0)),IF($F41&lt;=85,1,0))</formula>
    </cfRule>
  </conditionalFormatting>
  <conditionalFormatting sqref="X41">
    <cfRule type="expression" priority="262" dxfId="3">
      <formula>AND(IF(OR($Q41=1,$Q41=2),1,0),IF($X41&lt;=20,1,0))</formula>
    </cfRule>
    <cfRule type="expression" priority="263" dxfId="2">
      <formula>AND(IF($Q41=2,1,0),IF($X41&lt;30,1,0))</formula>
    </cfRule>
    <cfRule type="expression" priority="264" dxfId="1">
      <formula>AND(IF($Q41=3,1,0),IF($X41&lt;30,1,0))</formula>
    </cfRule>
    <cfRule type="expression" priority="265" dxfId="0">
      <formula>AND(IF($Q41=3,1,IF($Q41=4,1,0)),IF($F41&lt;=85,1,0))</formula>
    </cfRule>
  </conditionalFormatting>
  <conditionalFormatting sqref="AI41">
    <cfRule type="expression" priority="258" dxfId="3">
      <formula>AND(IF(OR($Q41=1,$Q41=2),1,0),IF($X41&lt;=20,1,0))</formula>
    </cfRule>
    <cfRule type="expression" priority="259" dxfId="2">
      <formula>AND(IF($Q41=2,1,0),IF($X41&lt;30,1,0))</formula>
    </cfRule>
    <cfRule type="expression" priority="260" dxfId="1">
      <formula>AND(IF($Q41=3,1,0),IF($X41&lt;30,1,0))</formula>
    </cfRule>
    <cfRule type="expression" priority="261" dxfId="0">
      <formula>AND(IF($Q41=3,1,IF($Q41=4,1,0)),IF($F41&lt;=85,1,0))</formula>
    </cfRule>
  </conditionalFormatting>
  <conditionalFormatting sqref="AV42">
    <cfRule type="expression" priority="256" dxfId="17">
      <formula>AV42="X"</formula>
    </cfRule>
    <cfRule type="expression" priority="257" dxfId="16">
      <formula>AV42="후보"</formula>
    </cfRule>
  </conditionalFormatting>
  <conditionalFormatting sqref="AC4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4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42">
    <cfRule type="expression" priority="247" dxfId="3">
      <formula>AND(IF(OR($Q42=1,$Q42=2),1,0),IF($X42&lt;=20,1,0))</formula>
    </cfRule>
    <cfRule type="expression" priority="248" dxfId="2">
      <formula>AND(IF($Q42=2,1,0),IF($X42&lt;30,1,0))</formula>
    </cfRule>
    <cfRule type="expression" priority="249" dxfId="1">
      <formula>AND(IF($Q42=3,1,0),IF($X42&lt;30,1,0))</formula>
    </cfRule>
    <cfRule type="expression" priority="250" dxfId="0">
      <formula>AND(IF($Q42=3,1,IF($Q42=4,1,0)),IF($F42&lt;=85,1,0))</formula>
    </cfRule>
  </conditionalFormatting>
  <conditionalFormatting sqref="X42">
    <cfRule type="expression" priority="243" dxfId="3">
      <formula>AND(IF(OR($Q42=1,$Q42=2),1,0),IF($X42&lt;=20,1,0))</formula>
    </cfRule>
    <cfRule type="expression" priority="244" dxfId="2">
      <formula>AND(IF($Q42=2,1,0),IF($X42&lt;30,1,0))</formula>
    </cfRule>
    <cfRule type="expression" priority="245" dxfId="1">
      <formula>AND(IF($Q42=3,1,0),IF($X42&lt;30,1,0))</formula>
    </cfRule>
    <cfRule type="expression" priority="246" dxfId="0">
      <formula>AND(IF($Q42=3,1,IF($Q42=4,1,0)),IF($F42&lt;=85,1,0))</formula>
    </cfRule>
  </conditionalFormatting>
  <conditionalFormatting sqref="AI42">
    <cfRule type="expression" priority="239" dxfId="3">
      <formula>AND(IF(OR($Q42=1,$Q42=2),1,0),IF($X42&lt;=20,1,0))</formula>
    </cfRule>
    <cfRule type="expression" priority="240" dxfId="2">
      <formula>AND(IF($Q42=2,1,0),IF($X42&lt;30,1,0))</formula>
    </cfRule>
    <cfRule type="expression" priority="241" dxfId="1">
      <formula>AND(IF($Q42=3,1,0),IF($X42&lt;30,1,0))</formula>
    </cfRule>
    <cfRule type="expression" priority="242" dxfId="0">
      <formula>AND(IF($Q42=3,1,IF($Q42=4,1,0)),IF($F42&lt;=85,1,0))</formula>
    </cfRule>
  </conditionalFormatting>
  <conditionalFormatting sqref="AV43">
    <cfRule type="expression" priority="237" dxfId="17">
      <formula>AV43="X"</formula>
    </cfRule>
    <cfRule type="expression" priority="238" dxfId="16">
      <formula>AV43="후보"</formula>
    </cfRule>
  </conditionalFormatting>
  <conditionalFormatting sqref="AC4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3">
    <cfRule type="expression" priority="228" dxfId="3">
      <formula>AND(IF(OR($Q43=1,$Q43=2),1,0),IF($X43&lt;=20,1,0))</formula>
    </cfRule>
    <cfRule type="expression" priority="229" dxfId="2">
      <formula>AND(IF($Q43=2,1,0),IF($X43&lt;30,1,0))</formula>
    </cfRule>
    <cfRule type="expression" priority="230" dxfId="1">
      <formula>AND(IF($Q43=3,1,0),IF($X43&lt;30,1,0))</formula>
    </cfRule>
    <cfRule type="expression" priority="231" dxfId="0">
      <formula>AND(IF($Q43=3,1,IF($Q43=4,1,0)),IF($F43&lt;=85,1,0))</formula>
    </cfRule>
  </conditionalFormatting>
  <conditionalFormatting sqref="X43">
    <cfRule type="expression" priority="224" dxfId="3">
      <formula>AND(IF(OR($Q43=1,$Q43=2),1,0),IF($X43&lt;=20,1,0))</formula>
    </cfRule>
    <cfRule type="expression" priority="225" dxfId="2">
      <formula>AND(IF($Q43=2,1,0),IF($X43&lt;30,1,0))</formula>
    </cfRule>
    <cfRule type="expression" priority="226" dxfId="1">
      <formula>AND(IF($Q43=3,1,0),IF($X43&lt;30,1,0))</formula>
    </cfRule>
    <cfRule type="expression" priority="227" dxfId="0">
      <formula>AND(IF($Q43=3,1,IF($Q43=4,1,0)),IF($F43&lt;=85,1,0))</formula>
    </cfRule>
  </conditionalFormatting>
  <conditionalFormatting sqref="AI43">
    <cfRule type="expression" priority="220" dxfId="3">
      <formula>AND(IF(OR($Q43=1,$Q43=2),1,0),IF($X43&lt;=20,1,0))</formula>
    </cfRule>
    <cfRule type="expression" priority="221" dxfId="2">
      <formula>AND(IF($Q43=2,1,0),IF($X43&lt;30,1,0))</formula>
    </cfRule>
    <cfRule type="expression" priority="222" dxfId="1">
      <formula>AND(IF($Q43=3,1,0),IF($X43&lt;30,1,0))</formula>
    </cfRule>
    <cfRule type="expression" priority="223" dxfId="0">
      <formula>AND(IF($Q43=3,1,IF($Q43=4,1,0)),IF($F43&lt;=85,1,0))</formula>
    </cfRule>
  </conditionalFormatting>
  <conditionalFormatting sqref="AV44">
    <cfRule type="expression" priority="218" dxfId="17">
      <formula>AV44="X"</formula>
    </cfRule>
    <cfRule type="expression" priority="219" dxfId="16">
      <formula>AV44="후보"</formula>
    </cfRule>
  </conditionalFormatting>
  <conditionalFormatting sqref="AC44 N4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5">
    <cfRule type="expression" priority="213" dxfId="17">
      <formula>AV45="X"</formula>
    </cfRule>
    <cfRule type="expression" priority="214" dxfId="16">
      <formula>AV45="후보"</formula>
    </cfRule>
  </conditionalFormatting>
  <conditionalFormatting sqref="AC4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5">
    <cfRule type="expression" priority="204" dxfId="3">
      <formula>AND(IF(OR($Q45=1,$Q45=2),1,0),IF($X45&lt;=20,1,0))</formula>
    </cfRule>
    <cfRule type="expression" priority="205" dxfId="2">
      <formula>AND(IF($Q45=2,1,0),IF($X45&lt;30,1,0))</formula>
    </cfRule>
    <cfRule type="expression" priority="206" dxfId="1">
      <formula>AND(IF($Q45=3,1,0),IF($X45&lt;30,1,0))</formula>
    </cfRule>
    <cfRule type="expression" priority="207" dxfId="0">
      <formula>AND(IF($Q45=3,1,IF($Q45=4,1,0)),IF($F45&lt;=85,1,0))</formula>
    </cfRule>
  </conditionalFormatting>
  <conditionalFormatting sqref="X45">
    <cfRule type="expression" priority="200" dxfId="3">
      <formula>AND(IF(OR($Q45=1,$Q45=2),1,0),IF($X45&lt;=20,1,0))</formula>
    </cfRule>
    <cfRule type="expression" priority="201" dxfId="2">
      <formula>AND(IF($Q45=2,1,0),IF($X45&lt;30,1,0))</formula>
    </cfRule>
    <cfRule type="expression" priority="202" dxfId="1">
      <formula>AND(IF($Q45=3,1,0),IF($X45&lt;30,1,0))</formula>
    </cfRule>
    <cfRule type="expression" priority="203" dxfId="0">
      <formula>AND(IF($Q45=3,1,IF($Q45=4,1,0)),IF($F45&lt;=85,1,0))</formula>
    </cfRule>
  </conditionalFormatting>
  <conditionalFormatting sqref="AI45">
    <cfRule type="expression" priority="196" dxfId="3">
      <formula>AND(IF(OR($Q45=1,$Q45=2),1,0),IF($X45&lt;=20,1,0))</formula>
    </cfRule>
    <cfRule type="expression" priority="197" dxfId="2">
      <formula>AND(IF($Q45=2,1,0),IF($X45&lt;30,1,0))</formula>
    </cfRule>
    <cfRule type="expression" priority="198" dxfId="1">
      <formula>AND(IF($Q45=3,1,0),IF($X45&lt;30,1,0))</formula>
    </cfRule>
    <cfRule type="expression" priority="199" dxfId="0">
      <formula>AND(IF($Q45=3,1,IF($Q45=4,1,0)),IF($F45&lt;=85,1,0))</formula>
    </cfRule>
  </conditionalFormatting>
  <conditionalFormatting sqref="AV46">
    <cfRule type="expression" priority="194" dxfId="17">
      <formula>AV46="X"</formula>
    </cfRule>
    <cfRule type="expression" priority="195" dxfId="16">
      <formula>AV46="후보"</formula>
    </cfRule>
  </conditionalFormatting>
  <conditionalFormatting sqref="AC4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6">
    <cfRule type="expression" priority="185" dxfId="3">
      <formula>AND(IF(OR($Q46=1,$Q46=2),1,0),IF($X46&lt;=20,1,0))</formula>
    </cfRule>
    <cfRule type="expression" priority="186" dxfId="2">
      <formula>AND(IF($Q46=2,1,0),IF($X46&lt;30,1,0))</formula>
    </cfRule>
    <cfRule type="expression" priority="187" dxfId="1">
      <formula>AND(IF($Q46=3,1,0),IF($X46&lt;30,1,0))</formula>
    </cfRule>
    <cfRule type="expression" priority="188" dxfId="0">
      <formula>AND(IF($Q46=3,1,IF($Q46=4,1,0)),IF($F46&lt;=85,1,0))</formula>
    </cfRule>
  </conditionalFormatting>
  <conditionalFormatting sqref="X46">
    <cfRule type="expression" priority="181" dxfId="3">
      <formula>AND(IF(OR($Q46=1,$Q46=2),1,0),IF($X46&lt;=20,1,0))</formula>
    </cfRule>
    <cfRule type="expression" priority="182" dxfId="2">
      <formula>AND(IF($Q46=2,1,0),IF($X46&lt;30,1,0))</formula>
    </cfRule>
    <cfRule type="expression" priority="183" dxfId="1">
      <formula>AND(IF($Q46=3,1,0),IF($X46&lt;30,1,0))</formula>
    </cfRule>
    <cfRule type="expression" priority="184" dxfId="0">
      <formula>AND(IF($Q46=3,1,IF($Q46=4,1,0)),IF($F46&lt;=85,1,0))</formula>
    </cfRule>
  </conditionalFormatting>
  <conditionalFormatting sqref="AI46">
    <cfRule type="expression" priority="177" dxfId="3">
      <formula>AND(IF(OR($Q46=1,$Q46=2),1,0),IF($X46&lt;=20,1,0))</formula>
    </cfRule>
    <cfRule type="expression" priority="178" dxfId="2">
      <formula>AND(IF($Q46=2,1,0),IF($X46&lt;30,1,0))</formula>
    </cfRule>
    <cfRule type="expression" priority="179" dxfId="1">
      <formula>AND(IF($Q46=3,1,0),IF($X46&lt;30,1,0))</formula>
    </cfRule>
    <cfRule type="expression" priority="180" dxfId="0">
      <formula>AND(IF($Q46=3,1,IF($Q46=4,1,0)),IF($F46&lt;=85,1,0))</formula>
    </cfRule>
  </conditionalFormatting>
  <conditionalFormatting sqref="AV47">
    <cfRule type="expression" priority="175" dxfId="17">
      <formula>AV47="X"</formula>
    </cfRule>
    <cfRule type="expression" priority="176" dxfId="16">
      <formula>AV47="후보"</formula>
    </cfRule>
  </conditionalFormatting>
  <conditionalFormatting sqref="AC4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7">
    <cfRule type="expression" priority="166" dxfId="3">
      <formula>AND(IF(OR($Q47=1,$Q47=2),1,0),IF($X47&lt;=20,1,0))</formula>
    </cfRule>
    <cfRule type="expression" priority="167" dxfId="2">
      <formula>AND(IF($Q47=2,1,0),IF($X47&lt;30,1,0))</formula>
    </cfRule>
    <cfRule type="expression" priority="168" dxfId="1">
      <formula>AND(IF($Q47=3,1,0),IF($X47&lt;30,1,0))</formula>
    </cfRule>
    <cfRule type="expression" priority="169" dxfId="0">
      <formula>AND(IF($Q47=3,1,IF($Q47=4,1,0)),IF($F47&lt;=85,1,0))</formula>
    </cfRule>
  </conditionalFormatting>
  <conditionalFormatting sqref="X47">
    <cfRule type="expression" priority="162" dxfId="3">
      <formula>AND(IF(OR($Q47=1,$Q47=2),1,0),IF($X47&lt;=20,1,0))</formula>
    </cfRule>
    <cfRule type="expression" priority="163" dxfId="2">
      <formula>AND(IF($Q47=2,1,0),IF($X47&lt;30,1,0))</formula>
    </cfRule>
    <cfRule type="expression" priority="164" dxfId="1">
      <formula>AND(IF($Q47=3,1,0),IF($X47&lt;30,1,0))</formula>
    </cfRule>
    <cfRule type="expression" priority="165" dxfId="0">
      <formula>AND(IF($Q47=3,1,IF($Q47=4,1,0)),IF($F47&lt;=85,1,0))</formula>
    </cfRule>
  </conditionalFormatting>
  <conditionalFormatting sqref="AI47">
    <cfRule type="expression" priority="158" dxfId="3">
      <formula>AND(IF(OR($Q47=1,$Q47=2),1,0),IF($X47&lt;=20,1,0))</formula>
    </cfRule>
    <cfRule type="expression" priority="159" dxfId="2">
      <formula>AND(IF($Q47=2,1,0),IF($X47&lt;30,1,0))</formula>
    </cfRule>
    <cfRule type="expression" priority="160" dxfId="1">
      <formula>AND(IF($Q47=3,1,0),IF($X47&lt;30,1,0))</formula>
    </cfRule>
    <cfRule type="expression" priority="161" dxfId="0">
      <formula>AND(IF($Q47=3,1,IF($Q47=4,1,0)),IF($F47&lt;=85,1,0))</formula>
    </cfRule>
  </conditionalFormatting>
  <conditionalFormatting sqref="AV48">
    <cfRule type="expression" priority="156" dxfId="17">
      <formula>AV48="X"</formula>
    </cfRule>
    <cfRule type="expression" priority="157" dxfId="16">
      <formula>AV48="후보"</formula>
    </cfRule>
  </conditionalFormatting>
  <conditionalFormatting sqref="AC48 N4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9">
    <cfRule type="expression" priority="151" dxfId="17">
      <formula>AV49="X"</formula>
    </cfRule>
    <cfRule type="expression" priority="152" dxfId="16">
      <formula>AV49="후보"</formula>
    </cfRule>
  </conditionalFormatting>
  <conditionalFormatting sqref="AC4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9">
    <cfRule type="expression" priority="142" dxfId="3">
      <formula>AND(IF(OR($Q49=1,$Q49=2),1,0),IF($X49&lt;=20,1,0))</formula>
    </cfRule>
    <cfRule type="expression" priority="143" dxfId="2">
      <formula>AND(IF($Q49=2,1,0),IF($X49&lt;30,1,0))</formula>
    </cfRule>
    <cfRule type="expression" priority="144" dxfId="1">
      <formula>AND(IF($Q49=3,1,0),IF($X49&lt;30,1,0))</formula>
    </cfRule>
    <cfRule type="expression" priority="145" dxfId="0">
      <formula>AND(IF($Q49=3,1,IF($Q49=4,1,0)),IF($F49&lt;=85,1,0))</formula>
    </cfRule>
  </conditionalFormatting>
  <conditionalFormatting sqref="X49">
    <cfRule type="expression" priority="138" dxfId="3">
      <formula>AND(IF(OR($Q49=1,$Q49=2),1,0),IF($X49&lt;=20,1,0))</formula>
    </cfRule>
    <cfRule type="expression" priority="139" dxfId="2">
      <formula>AND(IF($Q49=2,1,0),IF($X49&lt;30,1,0))</formula>
    </cfRule>
    <cfRule type="expression" priority="140" dxfId="1">
      <formula>AND(IF($Q49=3,1,0),IF($X49&lt;30,1,0))</formula>
    </cfRule>
    <cfRule type="expression" priority="141" dxfId="0">
      <formula>AND(IF($Q49=3,1,IF($Q49=4,1,0)),IF($F49&lt;=85,1,0))</formula>
    </cfRule>
  </conditionalFormatting>
  <conditionalFormatting sqref="AI49">
    <cfRule type="expression" priority="134" dxfId="3">
      <formula>AND(IF(OR($Q49=1,$Q49=2),1,0),IF($X49&lt;=20,1,0))</formula>
    </cfRule>
    <cfRule type="expression" priority="135" dxfId="2">
      <formula>AND(IF($Q49=2,1,0),IF($X49&lt;30,1,0))</formula>
    </cfRule>
    <cfRule type="expression" priority="136" dxfId="1">
      <formula>AND(IF($Q49=3,1,0),IF($X49&lt;30,1,0))</formula>
    </cfRule>
    <cfRule type="expression" priority="137" dxfId="0">
      <formula>AND(IF($Q49=3,1,IF($Q49=4,1,0)),IF($F49&lt;=85,1,0))</formula>
    </cfRule>
  </conditionalFormatting>
  <conditionalFormatting sqref="AV50">
    <cfRule type="expression" priority="132" dxfId="17">
      <formula>AV50="X"</formula>
    </cfRule>
    <cfRule type="expression" priority="133" dxfId="16">
      <formula>AV50="후보"</formula>
    </cfRule>
  </conditionalFormatting>
  <conditionalFormatting sqref="AC5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5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50">
    <cfRule type="expression" priority="123" dxfId="3">
      <formula>AND(IF(OR($Q50=1,$Q50=2),1,0),IF($X50&lt;=20,1,0))</formula>
    </cfRule>
    <cfRule type="expression" priority="124" dxfId="2">
      <formula>AND(IF($Q50=2,1,0),IF($X50&lt;30,1,0))</formula>
    </cfRule>
    <cfRule type="expression" priority="125" dxfId="1">
      <formula>AND(IF($Q50=3,1,0),IF($X50&lt;30,1,0))</formula>
    </cfRule>
    <cfRule type="expression" priority="126" dxfId="0">
      <formula>AND(IF($Q50=3,1,IF($Q50=4,1,0)),IF($F50&lt;=85,1,0))</formula>
    </cfRule>
  </conditionalFormatting>
  <conditionalFormatting sqref="X50">
    <cfRule type="expression" priority="119" dxfId="3">
      <formula>AND(IF(OR($Q50=1,$Q50=2),1,0),IF($X50&lt;=20,1,0))</formula>
    </cfRule>
    <cfRule type="expression" priority="120" dxfId="2">
      <formula>AND(IF($Q50=2,1,0),IF($X50&lt;30,1,0))</formula>
    </cfRule>
    <cfRule type="expression" priority="121" dxfId="1">
      <formula>AND(IF($Q50=3,1,0),IF($X50&lt;30,1,0))</formula>
    </cfRule>
    <cfRule type="expression" priority="122" dxfId="0">
      <formula>AND(IF($Q50=3,1,IF($Q50=4,1,0)),IF($F50&lt;=85,1,0))</formula>
    </cfRule>
  </conditionalFormatting>
  <conditionalFormatting sqref="AI50">
    <cfRule type="expression" priority="115" dxfId="3">
      <formula>AND(IF(OR($Q50=1,$Q50=2),1,0),IF($X50&lt;=20,1,0))</formula>
    </cfRule>
    <cfRule type="expression" priority="116" dxfId="2">
      <formula>AND(IF($Q50=2,1,0),IF($X50&lt;30,1,0))</formula>
    </cfRule>
    <cfRule type="expression" priority="117" dxfId="1">
      <formula>AND(IF($Q50=3,1,0),IF($X50&lt;30,1,0))</formula>
    </cfRule>
    <cfRule type="expression" priority="118" dxfId="0">
      <formula>AND(IF($Q50=3,1,IF($Q50=4,1,0)),IF($F50&lt;=85,1,0))</formula>
    </cfRule>
  </conditionalFormatting>
  <conditionalFormatting sqref="AV51">
    <cfRule type="expression" priority="113" dxfId="17">
      <formula>AV51="X"</formula>
    </cfRule>
    <cfRule type="expression" priority="114" dxfId="16">
      <formula>AV51="후보"</formula>
    </cfRule>
  </conditionalFormatting>
  <conditionalFormatting sqref="AC5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1">
    <cfRule type="expression" priority="104" dxfId="3">
      <formula>AND(IF(OR($Q51=1,$Q51=2),1,0),IF($X51&lt;=20,1,0))</formula>
    </cfRule>
    <cfRule type="expression" priority="105" dxfId="2">
      <formula>AND(IF($Q51=2,1,0),IF($X51&lt;30,1,0))</formula>
    </cfRule>
    <cfRule type="expression" priority="106" dxfId="1">
      <formula>AND(IF($Q51=3,1,0),IF($X51&lt;30,1,0))</formula>
    </cfRule>
    <cfRule type="expression" priority="107" dxfId="0">
      <formula>AND(IF($Q51=3,1,IF($Q51=4,1,0)),IF($F51&lt;=85,1,0))</formula>
    </cfRule>
  </conditionalFormatting>
  <conditionalFormatting sqref="X51">
    <cfRule type="expression" priority="100" dxfId="3">
      <formula>AND(IF(OR($Q51=1,$Q51=2),1,0),IF($X51&lt;=20,1,0))</formula>
    </cfRule>
    <cfRule type="expression" priority="101" dxfId="2">
      <formula>AND(IF($Q51=2,1,0),IF($X51&lt;30,1,0))</formula>
    </cfRule>
    <cfRule type="expression" priority="102" dxfId="1">
      <formula>AND(IF($Q51=3,1,0),IF($X51&lt;30,1,0))</formula>
    </cfRule>
    <cfRule type="expression" priority="103" dxfId="0">
      <formula>AND(IF($Q51=3,1,IF($Q51=4,1,0)),IF($F51&lt;=85,1,0))</formula>
    </cfRule>
  </conditionalFormatting>
  <conditionalFormatting sqref="AI51">
    <cfRule type="expression" priority="96" dxfId="3">
      <formula>AND(IF(OR($Q51=1,$Q51=2),1,0),IF($X51&lt;=20,1,0))</formula>
    </cfRule>
    <cfRule type="expression" priority="97" dxfId="2">
      <formula>AND(IF($Q51=2,1,0),IF($X51&lt;30,1,0))</formula>
    </cfRule>
    <cfRule type="expression" priority="98" dxfId="1">
      <formula>AND(IF($Q51=3,1,0),IF($X51&lt;30,1,0))</formula>
    </cfRule>
    <cfRule type="expression" priority="99" dxfId="0">
      <formula>AND(IF($Q51=3,1,IF($Q51=4,1,0)),IF($F51&lt;=85,1,0))</formula>
    </cfRule>
  </conditionalFormatting>
  <conditionalFormatting sqref="AV52">
    <cfRule type="expression" priority="94" dxfId="17">
      <formula>AV52="X"</formula>
    </cfRule>
    <cfRule type="expression" priority="95" dxfId="16">
      <formula>AV52="후보"</formula>
    </cfRule>
  </conditionalFormatting>
  <conditionalFormatting sqref="AC5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2">
    <cfRule type="expression" priority="85" dxfId="3">
      <formula>AND(IF(OR($Q52=1,$Q52=2),1,0),IF($X52&lt;=20,1,0))</formula>
    </cfRule>
    <cfRule type="expression" priority="86" dxfId="2">
      <formula>AND(IF($Q52=2,1,0),IF($X52&lt;30,1,0))</formula>
    </cfRule>
    <cfRule type="expression" priority="87" dxfId="1">
      <formula>AND(IF($Q52=3,1,0),IF($X52&lt;30,1,0))</formula>
    </cfRule>
    <cfRule type="expression" priority="88" dxfId="0">
      <formula>AND(IF($Q52=3,1,IF($Q52=4,1,0)),IF($F52&lt;=85,1,0))</formula>
    </cfRule>
  </conditionalFormatting>
  <conditionalFormatting sqref="X52">
    <cfRule type="expression" priority="81" dxfId="3">
      <formula>AND(IF(OR($Q52=1,$Q52=2),1,0),IF($X52&lt;=20,1,0))</formula>
    </cfRule>
    <cfRule type="expression" priority="82" dxfId="2">
      <formula>AND(IF($Q52=2,1,0),IF($X52&lt;30,1,0))</formula>
    </cfRule>
    <cfRule type="expression" priority="83" dxfId="1">
      <formula>AND(IF($Q52=3,1,0),IF($X52&lt;30,1,0))</formula>
    </cfRule>
    <cfRule type="expression" priority="84" dxfId="0">
      <formula>AND(IF($Q52=3,1,IF($Q52=4,1,0)),IF($F52&lt;=85,1,0))</formula>
    </cfRule>
  </conditionalFormatting>
  <conditionalFormatting sqref="AI52">
    <cfRule type="expression" priority="77" dxfId="3">
      <formula>AND(IF(OR($Q52=1,$Q52=2),1,0),IF($X52&lt;=20,1,0))</formula>
    </cfRule>
    <cfRule type="expression" priority="78" dxfId="2">
      <formula>AND(IF($Q52=2,1,0),IF($X52&lt;30,1,0))</formula>
    </cfRule>
    <cfRule type="expression" priority="79" dxfId="1">
      <formula>AND(IF($Q52=3,1,0),IF($X52&lt;30,1,0))</formula>
    </cfRule>
    <cfRule type="expression" priority="80" dxfId="0">
      <formula>AND(IF($Q52=3,1,IF($Q52=4,1,0)),IF($F52&lt;=85,1,0))</formula>
    </cfRule>
  </conditionalFormatting>
  <conditionalFormatting sqref="AV53">
    <cfRule type="expression" priority="75" dxfId="17">
      <formula>AV53="X"</formula>
    </cfRule>
    <cfRule type="expression" priority="76" dxfId="16">
      <formula>AV53="후보"</formula>
    </cfRule>
  </conditionalFormatting>
  <conditionalFormatting sqref="AC5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3">
    <cfRule type="expression" priority="66" dxfId="3">
      <formula>AND(IF(OR($Q53=1,$Q53=2),1,0),IF($X53&lt;=20,1,0))</formula>
    </cfRule>
    <cfRule type="expression" priority="67" dxfId="2">
      <formula>AND(IF($Q53=2,1,0),IF($X53&lt;30,1,0))</formula>
    </cfRule>
    <cfRule type="expression" priority="68" dxfId="1">
      <formula>AND(IF($Q53=3,1,0),IF($X53&lt;30,1,0))</formula>
    </cfRule>
    <cfRule type="expression" priority="69" dxfId="0">
      <formula>AND(IF($Q53=3,1,IF($Q53=4,1,0)),IF($F53&lt;=85,1,0))</formula>
    </cfRule>
  </conditionalFormatting>
  <conditionalFormatting sqref="X53">
    <cfRule type="expression" priority="62" dxfId="3">
      <formula>AND(IF(OR($Q53=1,$Q53=2),1,0),IF($X53&lt;=20,1,0))</formula>
    </cfRule>
    <cfRule type="expression" priority="63" dxfId="2">
      <formula>AND(IF($Q53=2,1,0),IF($X53&lt;30,1,0))</formula>
    </cfRule>
    <cfRule type="expression" priority="64" dxfId="1">
      <formula>AND(IF($Q53=3,1,0),IF($X53&lt;30,1,0))</formula>
    </cfRule>
    <cfRule type="expression" priority="65" dxfId="0">
      <formula>AND(IF($Q53=3,1,IF($Q53=4,1,0)),IF($F53&lt;=85,1,0))</formula>
    </cfRule>
  </conditionalFormatting>
  <conditionalFormatting sqref="AI53">
    <cfRule type="expression" priority="58" dxfId="3">
      <formula>AND(IF(OR($Q53=1,$Q53=2),1,0),IF($X53&lt;=20,1,0))</formula>
    </cfRule>
    <cfRule type="expression" priority="59" dxfId="2">
      <formula>AND(IF($Q53=2,1,0),IF($X53&lt;30,1,0))</formula>
    </cfRule>
    <cfRule type="expression" priority="60" dxfId="1">
      <formula>AND(IF($Q53=3,1,0),IF($X53&lt;30,1,0))</formula>
    </cfRule>
    <cfRule type="expression" priority="61" dxfId="0">
      <formula>AND(IF($Q53=3,1,IF($Q53=4,1,0)),IF($F53&lt;=85,1,0))</formula>
    </cfRule>
  </conditionalFormatting>
  <conditionalFormatting sqref="AV54">
    <cfRule type="expression" priority="56" dxfId="17">
      <formula>AV54="X"</formula>
    </cfRule>
    <cfRule type="expression" priority="57" dxfId="16">
      <formula>AV54="후보"</formula>
    </cfRule>
  </conditionalFormatting>
  <conditionalFormatting sqref="AC5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4">
    <cfRule type="expression" priority="47" dxfId="3">
      <formula>AND(IF(OR($Q54=1,$Q54=2),1,0),IF($X54&lt;=20,1,0))</formula>
    </cfRule>
    <cfRule type="expression" priority="48" dxfId="2">
      <formula>AND(IF($Q54=2,1,0),IF($X54&lt;30,1,0))</formula>
    </cfRule>
    <cfRule type="expression" priority="49" dxfId="1">
      <formula>AND(IF($Q54=3,1,0),IF($X54&lt;30,1,0))</formula>
    </cfRule>
    <cfRule type="expression" priority="50" dxfId="0">
      <formula>AND(IF($Q54=3,1,IF($Q54=4,1,0)),IF($F54&lt;=85,1,0))</formula>
    </cfRule>
  </conditionalFormatting>
  <conditionalFormatting sqref="X54">
    <cfRule type="expression" priority="43" dxfId="3">
      <formula>AND(IF(OR($Q54=1,$Q54=2),1,0),IF($X54&lt;=20,1,0))</formula>
    </cfRule>
    <cfRule type="expression" priority="44" dxfId="2">
      <formula>AND(IF($Q54=2,1,0),IF($X54&lt;30,1,0))</formula>
    </cfRule>
    <cfRule type="expression" priority="45" dxfId="1">
      <formula>AND(IF($Q54=3,1,0),IF($X54&lt;30,1,0))</formula>
    </cfRule>
    <cfRule type="expression" priority="46" dxfId="0">
      <formula>AND(IF($Q54=3,1,IF($Q54=4,1,0)),IF($F54&lt;=85,1,0))</formula>
    </cfRule>
  </conditionalFormatting>
  <conditionalFormatting sqref="AI54">
    <cfRule type="expression" priority="39" dxfId="3">
      <formula>AND(IF(OR($Q54=1,$Q54=2),1,0),IF($X54&lt;=20,1,0))</formula>
    </cfRule>
    <cfRule type="expression" priority="40" dxfId="2">
      <formula>AND(IF($Q54=2,1,0),IF($X54&lt;30,1,0))</formula>
    </cfRule>
    <cfRule type="expression" priority="41" dxfId="1">
      <formula>AND(IF($Q54=3,1,0),IF($X54&lt;30,1,0))</formula>
    </cfRule>
    <cfRule type="expression" priority="42" dxfId="0">
      <formula>AND(IF($Q54=3,1,IF($Q54=4,1,0)),IF($F54&lt;=85,1,0))</formula>
    </cfRule>
  </conditionalFormatting>
  <conditionalFormatting sqref="AV55">
    <cfRule type="expression" priority="37" dxfId="17">
      <formula>AV55="X"</formula>
    </cfRule>
    <cfRule type="expression" priority="38" dxfId="16">
      <formula>AV55="후보"</formula>
    </cfRule>
  </conditionalFormatting>
  <conditionalFormatting sqref="AC5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5">
    <cfRule type="expression" priority="28" dxfId="3">
      <formula>AND(IF(OR($Q55=1,$Q55=2),1,0),IF($X55&lt;=20,1,0))</formula>
    </cfRule>
    <cfRule type="expression" priority="29" dxfId="2">
      <formula>AND(IF($Q55=2,1,0),IF($X55&lt;30,1,0))</formula>
    </cfRule>
    <cfRule type="expression" priority="30" dxfId="1">
      <formula>AND(IF($Q55=3,1,0),IF($X55&lt;30,1,0))</formula>
    </cfRule>
    <cfRule type="expression" priority="31" dxfId="0">
      <formula>AND(IF($Q55=3,1,IF($Q55=4,1,0)),IF($F55&lt;=85,1,0))</formula>
    </cfRule>
  </conditionalFormatting>
  <conditionalFormatting sqref="X55">
    <cfRule type="expression" priority="24" dxfId="3">
      <formula>AND(IF(OR($Q55=1,$Q55=2),1,0),IF($X55&lt;=20,1,0))</formula>
    </cfRule>
    <cfRule type="expression" priority="25" dxfId="2">
      <formula>AND(IF($Q55=2,1,0),IF($X55&lt;30,1,0))</formula>
    </cfRule>
    <cfRule type="expression" priority="26" dxfId="1">
      <formula>AND(IF($Q55=3,1,0),IF($X55&lt;30,1,0))</formula>
    </cfRule>
    <cfRule type="expression" priority="27" dxfId="0">
      <formula>AND(IF($Q55=3,1,IF($Q55=4,1,0)),IF($F55&lt;=85,1,0))</formula>
    </cfRule>
  </conditionalFormatting>
  <conditionalFormatting sqref="AI55">
    <cfRule type="expression" priority="20" dxfId="3">
      <formula>AND(IF(OR($Q55=1,$Q55=2),1,0),IF($X55&lt;=20,1,0))</formula>
    </cfRule>
    <cfRule type="expression" priority="21" dxfId="2">
      <formula>AND(IF($Q55=2,1,0),IF($X55&lt;30,1,0))</formula>
    </cfRule>
    <cfRule type="expression" priority="22" dxfId="1">
      <formula>AND(IF($Q55=3,1,0),IF($X55&lt;30,1,0))</formula>
    </cfRule>
    <cfRule type="expression" priority="23" dxfId="0">
      <formula>AND(IF($Q55=3,1,IF($Q55=4,1,0)),IF($F55&lt;=85,1,0))</formula>
    </cfRule>
  </conditionalFormatting>
  <conditionalFormatting sqref="AV56">
    <cfRule type="expression" priority="18" dxfId="17">
      <formula>AV56="X"</formula>
    </cfRule>
    <cfRule type="expression" priority="19" dxfId="16">
      <formula>AV56="후보"</formula>
    </cfRule>
  </conditionalFormatting>
  <conditionalFormatting sqref="AC5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6">
    <cfRule type="expression" priority="9" dxfId="3">
      <formula>AND(IF(OR($Q56=1,$Q56=2),1,0),IF($X56&lt;=20,1,0))</formula>
    </cfRule>
    <cfRule type="expression" priority="10" dxfId="2">
      <formula>AND(IF($Q56=2,1,0),IF($X56&lt;30,1,0))</formula>
    </cfRule>
    <cfRule type="expression" priority="11" dxfId="1">
      <formula>AND(IF($Q56=3,1,0),IF($X56&lt;30,1,0))</formula>
    </cfRule>
    <cfRule type="expression" priority="12" dxfId="0">
      <formula>AND(IF($Q56=3,1,IF($Q56=4,1,0)),IF($F56&lt;=85,1,0))</formula>
    </cfRule>
  </conditionalFormatting>
  <conditionalFormatting sqref="X56">
    <cfRule type="expression" priority="5" dxfId="3">
      <formula>AND(IF(OR($Q56=1,$Q56=2),1,0),IF($X56&lt;=20,1,0))</formula>
    </cfRule>
    <cfRule type="expression" priority="6" dxfId="2">
      <formula>AND(IF($Q56=2,1,0),IF($X56&lt;30,1,0))</formula>
    </cfRule>
    <cfRule type="expression" priority="7" dxfId="1">
      <formula>AND(IF($Q56=3,1,0),IF($X56&lt;30,1,0))</formula>
    </cfRule>
    <cfRule type="expression" priority="8" dxfId="0">
      <formula>AND(IF($Q56=3,1,IF($Q56=4,1,0)),IF($F56&lt;=85,1,0))</formula>
    </cfRule>
  </conditionalFormatting>
  <conditionalFormatting sqref="AI56">
    <cfRule type="expression" priority="1" dxfId="3">
      <formula>AND(IF(OR($Q56=1,$Q56=2),1,0),IF($X56&lt;=20,1,0))</formula>
    </cfRule>
    <cfRule type="expression" priority="2" dxfId="2">
      <formula>AND(IF($Q56=2,1,0),IF($X56&lt;30,1,0))</formula>
    </cfRule>
    <cfRule type="expression" priority="3" dxfId="1">
      <formula>AND(IF($Q56=3,1,0),IF($X56&lt;30,1,0))</formula>
    </cfRule>
    <cfRule type="expression" priority="4" dxfId="0">
      <formula>AND(IF($Q56=3,1,IF($Q56=4,1,0)),IF($F56&lt;=85,1,0))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학암동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위례포레자이</t>
        </is>
      </c>
      <c r="B6" s="16" t="inlineStr">
        <is>
          <t>'21.04.</t>
        </is>
      </c>
      <c r="C6" s="164" t="n">
        <v>558</v>
      </c>
      <c r="D6" s="161" t="n">
        <v>119.7</v>
      </c>
      <c r="E6" s="163" t="n">
        <v>36</v>
      </c>
      <c r="F6" s="161" t="n">
        <v>96</v>
      </c>
      <c r="G6" s="27" t="n">
        <v>29</v>
      </c>
      <c r="H6" s="164" t="n">
        <v>78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위례포레자이</t>
        </is>
      </c>
      <c r="B7" s="16" t="inlineStr">
        <is>
          <t>'21.04.</t>
        </is>
      </c>
      <c r="C7" s="164" t="n">
        <v>558</v>
      </c>
      <c r="D7" s="161" t="n">
        <v>120.3</v>
      </c>
      <c r="E7" s="163" t="n">
        <v>36</v>
      </c>
      <c r="F7" s="161" t="n">
        <v>95.90000000000001</v>
      </c>
      <c r="G7" s="27" t="n">
        <v>29</v>
      </c>
      <c r="H7" s="164" t="n">
        <v>43</v>
      </c>
      <c r="I7" s="165" t="n"/>
      <c r="J7" s="165" t="n"/>
      <c r="K7" s="165" t="n">
        <v>75000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120B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위례포레자이</t>
        </is>
      </c>
      <c r="B8" s="16" t="inlineStr">
        <is>
          <t>'21.04.</t>
        </is>
      </c>
      <c r="C8" s="164" t="n">
        <v>558</v>
      </c>
      <c r="D8" s="161" t="n">
        <v>126.9</v>
      </c>
      <c r="E8" s="163" t="n">
        <v>38</v>
      </c>
      <c r="F8" s="161" t="n">
        <v>101.8</v>
      </c>
      <c r="G8" s="27" t="n">
        <v>31</v>
      </c>
      <c r="H8" s="164" t="n">
        <v>239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126A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위례포레자이</t>
        </is>
      </c>
      <c r="B9" s="16" t="inlineStr">
        <is>
          <t>'21.04.</t>
        </is>
      </c>
      <c r="C9" s="164" t="n">
        <v>558</v>
      </c>
      <c r="D9" s="161" t="n">
        <v>126.3</v>
      </c>
      <c r="E9" s="163" t="n">
        <v>38</v>
      </c>
      <c r="F9" s="161" t="n">
        <v>101.5</v>
      </c>
      <c r="G9" s="27" t="n">
        <v>31</v>
      </c>
      <c r="H9" s="164" t="n">
        <v>163</v>
      </c>
      <c r="I9" s="165" t="n"/>
      <c r="J9" s="165" t="n"/>
      <c r="K9" s="165" t="n">
        <v>80000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126B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위례포레자이</t>
        </is>
      </c>
      <c r="B10" s="16" t="inlineStr">
        <is>
          <t>'21.04.</t>
        </is>
      </c>
      <c r="C10" s="164" t="n">
        <v>558</v>
      </c>
      <c r="D10" s="161" t="n">
        <v>136.8</v>
      </c>
      <c r="E10" s="163" t="n">
        <v>41</v>
      </c>
      <c r="F10" s="161" t="n">
        <v>108.8</v>
      </c>
      <c r="G10" s="27" t="n">
        <v>33</v>
      </c>
      <c r="H10" s="164" t="n">
        <v>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136T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위례포레자이</t>
        </is>
      </c>
      <c r="B11" s="16" t="inlineStr">
        <is>
          <t>'21.04.</t>
        </is>
      </c>
      <c r="C11" s="164" t="n">
        <v>558</v>
      </c>
      <c r="D11" s="161" t="n">
        <v>163.2</v>
      </c>
      <c r="E11" s="163" t="n">
        <v>49</v>
      </c>
      <c r="F11" s="161" t="n">
        <v>131.9</v>
      </c>
      <c r="G11" s="27" t="n">
        <v>40</v>
      </c>
      <c r="H11" s="164" t="n">
        <v>32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위례A3-3a블럭</t>
        </is>
      </c>
      <c r="B13" s="16" t="inlineStr">
        <is>
          <t>'23.06.</t>
        </is>
      </c>
      <c r="C13" s="164" t="n">
        <v>411</v>
      </c>
      <c r="D13" s="161" t="n">
        <v>71.8</v>
      </c>
      <c r="E13" s="163" t="n">
        <v>22</v>
      </c>
      <c r="F13" s="161" t="n">
        <v>52</v>
      </c>
      <c r="G13" s="27" t="n">
        <v>16</v>
      </c>
      <c r="H13" s="164" t="n">
        <v>107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2</v>
      </c>
      <c r="S13" s="113" t="inlineStr">
        <is>
          <t>계</t>
        </is>
      </c>
      <c r="T13" s="8" t="n">
        <v>71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위례A3-3a블럭</t>
        </is>
      </c>
      <c r="B14" s="16" t="inlineStr">
        <is>
          <t>'23.06.</t>
        </is>
      </c>
      <c r="C14" s="164" t="n">
        <v>411</v>
      </c>
      <c r="D14" s="161" t="n">
        <v>82.5</v>
      </c>
      <c r="E14" s="163" t="n">
        <v>25</v>
      </c>
      <c r="F14" s="161" t="n">
        <v>59.8</v>
      </c>
      <c r="G14" s="27" t="n">
        <v>18</v>
      </c>
      <c r="H14" s="164" t="n">
        <v>106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82A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위례A3-3a블럭</t>
        </is>
      </c>
      <c r="B15" s="16" t="inlineStr">
        <is>
          <t>'23.06.</t>
        </is>
      </c>
      <c r="C15" s="164" t="n">
        <v>411</v>
      </c>
      <c r="D15" s="161" t="n">
        <v>82.8</v>
      </c>
      <c r="E15" s="163" t="n">
        <v>25</v>
      </c>
      <c r="F15" s="161" t="n">
        <v>60</v>
      </c>
      <c r="G15" s="27" t="n">
        <v>18</v>
      </c>
      <c r="H15" s="164" t="n">
        <v>84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위례A3-3a블럭</t>
        </is>
      </c>
      <c r="B16" s="16" t="inlineStr">
        <is>
          <t>'23.06.</t>
        </is>
      </c>
      <c r="C16" s="164" t="n">
        <v>411</v>
      </c>
      <c r="D16" s="161" t="n">
        <v>82.7</v>
      </c>
      <c r="E16" s="163" t="n">
        <v>25</v>
      </c>
      <c r="F16" s="161" t="n">
        <v>59.9</v>
      </c>
      <c r="G16" s="27" t="n">
        <v>18</v>
      </c>
      <c r="H16" s="164" t="n">
        <v>37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위례A3-3a블럭</t>
        </is>
      </c>
      <c r="B17" s="16" t="inlineStr">
        <is>
          <t>'23.06.</t>
        </is>
      </c>
      <c r="C17" s="164" t="n">
        <v>411</v>
      </c>
      <c r="D17" s="161" t="n">
        <v>82.40000000000001</v>
      </c>
      <c r="E17" s="163" t="n">
        <v>25</v>
      </c>
      <c r="F17" s="161" t="n">
        <v>59.7</v>
      </c>
      <c r="G17" s="27" t="n">
        <v>18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위례그린파크푸르지오</t>
        </is>
      </c>
      <c r="B19" s="16" t="inlineStr">
        <is>
          <t>'16.01.</t>
        </is>
      </c>
      <c r="C19" s="164" t="n">
        <v>972</v>
      </c>
      <c r="D19" s="161" t="n">
        <v>131</v>
      </c>
      <c r="E19" s="163" t="n">
        <v>40</v>
      </c>
      <c r="F19" s="161" t="n">
        <v>101.1</v>
      </c>
      <c r="G19" s="27" t="n">
        <v>31</v>
      </c>
      <c r="H19" s="164" t="n">
        <v>495</v>
      </c>
      <c r="I19" s="165" t="n">
        <v>155000</v>
      </c>
      <c r="J19" s="165" t="inlineStr">
        <is>
          <t>고</t>
        </is>
      </c>
      <c r="K19" s="165" t="n">
        <v>75000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130A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위례그린파크푸르지오</t>
        </is>
      </c>
      <c r="B20" s="16" t="inlineStr">
        <is>
          <t>'16.01.</t>
        </is>
      </c>
      <c r="C20" s="164" t="n">
        <v>972</v>
      </c>
      <c r="D20" s="161" t="n">
        <v>130.9</v>
      </c>
      <c r="E20" s="163" t="n">
        <v>40</v>
      </c>
      <c r="F20" s="161" t="n">
        <v>101.9</v>
      </c>
      <c r="G20" s="27" t="n">
        <v>31</v>
      </c>
      <c r="H20" s="164" t="n">
        <v>238</v>
      </c>
      <c r="I20" s="165" t="n">
        <v>165000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130C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위례그린파크푸르지오</t>
        </is>
      </c>
      <c r="B21" s="16" t="inlineStr">
        <is>
          <t>'16.01.</t>
        </is>
      </c>
      <c r="C21" s="164" t="n">
        <v>972</v>
      </c>
      <c r="D21" s="161" t="n">
        <v>131.8</v>
      </c>
      <c r="E21" s="163" t="n">
        <v>40</v>
      </c>
      <c r="F21" s="161" t="n">
        <v>102</v>
      </c>
      <c r="G21" s="27" t="n">
        <v>31</v>
      </c>
      <c r="H21" s="164" t="n">
        <v>124</v>
      </c>
      <c r="I21" s="165" t="n">
        <v>160000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inlineStr">
        <is>
          <t>131B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위례그린파크푸르지오</t>
        </is>
      </c>
      <c r="B22" s="16" t="inlineStr">
        <is>
          <t>'16.01.</t>
        </is>
      </c>
      <c r="C22" s="164" t="n">
        <v>972</v>
      </c>
      <c r="D22" s="161" t="n">
        <v>131.7</v>
      </c>
      <c r="E22" s="163" t="n">
        <v>40</v>
      </c>
      <c r="F22" s="161" t="n">
        <v>101.9</v>
      </c>
      <c r="G22" s="27" t="n">
        <v>31</v>
      </c>
      <c r="H22" s="164" t="n">
        <v>106</v>
      </c>
      <c r="I22" s="165" t="n">
        <v>165000</v>
      </c>
      <c r="J22" s="165" t="inlineStr">
        <is>
          <t>18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131D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위례그린파크푸르지오</t>
        </is>
      </c>
      <c r="B23" s="16" t="inlineStr">
        <is>
          <t>'16.01.</t>
        </is>
      </c>
      <c r="C23" s="164" t="n">
        <v>972</v>
      </c>
      <c r="D23" s="161" t="n">
        <v>150.6</v>
      </c>
      <c r="E23" s="163" t="n">
        <v>46</v>
      </c>
      <c r="F23" s="161" t="n">
        <v>113.9</v>
      </c>
      <c r="G23" s="27" t="n">
        <v>34</v>
      </c>
      <c r="H23" s="164" t="n">
        <v>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inlineStr">
        <is>
          <t>150PA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위례그린파크푸르지오</t>
        </is>
      </c>
      <c r="B24" s="16" t="inlineStr">
        <is>
          <t>'16.01.</t>
        </is>
      </c>
      <c r="C24" s="164" t="n">
        <v>972</v>
      </c>
      <c r="D24" s="161" t="n">
        <v>151.1</v>
      </c>
      <c r="E24" s="163" t="n">
        <v>46</v>
      </c>
      <c r="F24" s="161" t="n">
        <v>114</v>
      </c>
      <c r="G24" s="27" t="n">
        <v>34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3</v>
      </c>
      <c r="S24" s="113" t="inlineStr">
        <is>
          <t>계</t>
        </is>
      </c>
      <c r="T24" s="8" t="inlineStr">
        <is>
          <t>151PB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위례신도시중흥S-클래스</t>
        </is>
      </c>
      <c r="B26" s="16" t="inlineStr">
        <is>
          <t>'22.10.</t>
        </is>
      </c>
      <c r="C26" s="164" t="n">
        <v>475</v>
      </c>
      <c r="D26" s="161" t="n">
        <v>126.4</v>
      </c>
      <c r="E26" s="163" t="n">
        <v>38</v>
      </c>
      <c r="F26" s="161" t="n">
        <v>101.9</v>
      </c>
      <c r="G26" s="27" t="n">
        <v>31</v>
      </c>
      <c r="H26" s="164" t="n">
        <v>248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126A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위례신도시중흥S-클래스</t>
        </is>
      </c>
      <c r="B27" s="16" t="inlineStr">
        <is>
          <t>'22.10.</t>
        </is>
      </c>
      <c r="C27" s="164" t="n">
        <v>475</v>
      </c>
      <c r="D27" s="161" t="n">
        <v>126.7</v>
      </c>
      <c r="E27" s="163" t="n">
        <v>38</v>
      </c>
      <c r="F27" s="161" t="n">
        <v>101.7</v>
      </c>
      <c r="G27" s="27" t="n">
        <v>31</v>
      </c>
      <c r="H27" s="164" t="n">
        <v>88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126B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위례신도시중흥S-클래스</t>
        </is>
      </c>
      <c r="B28" s="16" t="inlineStr">
        <is>
          <t>'22.10.</t>
        </is>
      </c>
      <c r="C28" s="164" t="n">
        <v>475</v>
      </c>
      <c r="D28" s="161" t="n">
        <v>127.4</v>
      </c>
      <c r="E28" s="163" t="n">
        <v>39</v>
      </c>
      <c r="F28" s="161" t="n">
        <v>101.8</v>
      </c>
      <c r="G28" s="27" t="n">
        <v>31</v>
      </c>
      <c r="H28" s="164" t="n">
        <v>45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127C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위례신도시중흥S-클래스</t>
        </is>
      </c>
      <c r="B29" s="16" t="inlineStr">
        <is>
          <t>'22.10.</t>
        </is>
      </c>
      <c r="C29" s="164" t="n">
        <v>475</v>
      </c>
      <c r="D29" s="161" t="n">
        <v>161.5</v>
      </c>
      <c r="E29" s="163" t="n">
        <v>49</v>
      </c>
      <c r="F29" s="161" t="n">
        <v>130.5</v>
      </c>
      <c r="G29" s="27" t="n">
        <v>39</v>
      </c>
      <c r="H29" s="164" t="n">
        <v>76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161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위례신도시중흥S-클래스</t>
        </is>
      </c>
      <c r="B30" s="16" t="inlineStr">
        <is>
          <t>'22.10.</t>
        </is>
      </c>
      <c r="C30" s="164" t="n">
        <v>475</v>
      </c>
      <c r="D30" s="161" t="n">
        <v>180.4</v>
      </c>
      <c r="E30" s="163" t="n">
        <v>55</v>
      </c>
      <c r="F30" s="161" t="n">
        <v>145.9</v>
      </c>
      <c r="G30" s="27" t="n">
        <v>44</v>
      </c>
      <c r="H30" s="164" t="n">
        <v>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180T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위례신도시중흥S-클래스</t>
        </is>
      </c>
      <c r="B31" s="16" t="inlineStr">
        <is>
          <t>'22.10.</t>
        </is>
      </c>
      <c r="C31" s="164" t="n">
        <v>475</v>
      </c>
      <c r="D31" s="161" t="n">
        <v>214.7</v>
      </c>
      <c r="E31" s="163" t="n">
        <v>65</v>
      </c>
      <c r="F31" s="161" t="n">
        <v>172.5</v>
      </c>
      <c r="G31" s="27" t="n">
        <v>52</v>
      </c>
      <c r="H31" s="164" t="n">
        <v>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3</v>
      </c>
      <c r="S31" s="113" t="inlineStr">
        <is>
          <t>계</t>
        </is>
      </c>
      <c r="T31" s="8" t="inlineStr">
        <is>
          <t>214P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위례신도시중흥S-클래스</t>
        </is>
      </c>
      <c r="B32" s="16" t="inlineStr">
        <is>
          <t>'22.10.</t>
        </is>
      </c>
      <c r="C32" s="164" t="n">
        <v>475</v>
      </c>
      <c r="D32" s="161" t="n">
        <v>293.1</v>
      </c>
      <c r="E32" s="163" t="n">
        <v>89</v>
      </c>
      <c r="F32" s="161" t="n">
        <v>237</v>
      </c>
      <c r="G32" s="27" t="n">
        <v>72</v>
      </c>
      <c r="H32" s="164" t="n">
        <v>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6</v>
      </c>
      <c r="R32" s="113" t="n">
        <v>4</v>
      </c>
      <c r="S32" s="113" t="inlineStr">
        <is>
          <t>계</t>
        </is>
      </c>
      <c r="T32" s="8" t="inlineStr">
        <is>
          <t>293T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플로리체위례</t>
        </is>
      </c>
      <c r="B34" s="16" t="inlineStr">
        <is>
          <t>'15.10.</t>
        </is>
      </c>
      <c r="C34" s="164" t="n">
        <v>970</v>
      </c>
      <c r="D34" s="161" t="n">
        <v>124.7</v>
      </c>
      <c r="E34" s="163" t="n">
        <v>38</v>
      </c>
      <c r="F34" s="161" t="n">
        <v>96</v>
      </c>
      <c r="G34" s="27" t="n">
        <v>29</v>
      </c>
      <c r="H34" s="164" t="n">
        <v>132</v>
      </c>
      <c r="I34" s="165" t="n">
        <v>170000</v>
      </c>
      <c r="J34" s="165" t="inlineStr">
        <is>
          <t>중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124A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플로리체위례</t>
        </is>
      </c>
      <c r="B35" s="16" t="inlineStr">
        <is>
          <t>'15.10.</t>
        </is>
      </c>
      <c r="C35" s="164" t="n">
        <v>970</v>
      </c>
      <c r="D35" s="161" t="n">
        <v>124.1</v>
      </c>
      <c r="E35" s="163" t="n">
        <v>38</v>
      </c>
      <c r="F35" s="161" t="n">
        <v>96</v>
      </c>
      <c r="G35" s="27" t="n">
        <v>29</v>
      </c>
      <c r="H35" s="164" t="n">
        <v>132</v>
      </c>
      <c r="I35" s="165" t="n">
        <v>165000</v>
      </c>
      <c r="J35" s="165" t="inlineStr">
        <is>
          <t>고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124D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플로리체위례</t>
        </is>
      </c>
      <c r="B36" s="16" t="inlineStr">
        <is>
          <t>'15.10.</t>
        </is>
      </c>
      <c r="C36" s="164" t="n">
        <v>970</v>
      </c>
      <c r="D36" s="161" t="n">
        <v>124.4</v>
      </c>
      <c r="E36" s="163" t="n">
        <v>38</v>
      </c>
      <c r="F36" s="161" t="n">
        <v>96</v>
      </c>
      <c r="G36" s="27" t="n">
        <v>29</v>
      </c>
      <c r="H36" s="164" t="n">
        <v>95</v>
      </c>
      <c r="I36" s="165" t="n">
        <v>160000</v>
      </c>
      <c r="J36" s="165" t="inlineStr">
        <is>
          <t>11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124C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플로리체위례</t>
        </is>
      </c>
      <c r="B37" s="16" t="inlineStr">
        <is>
          <t>'15.10.</t>
        </is>
      </c>
      <c r="C37" s="164" t="n">
        <v>970</v>
      </c>
      <c r="D37" s="161" t="n">
        <v>125.2</v>
      </c>
      <c r="E37" s="163" t="n">
        <v>38</v>
      </c>
      <c r="F37" s="161" t="n">
        <v>96</v>
      </c>
      <c r="G37" s="27" t="n">
        <v>29</v>
      </c>
      <c r="H37" s="164" t="n">
        <v>243</v>
      </c>
      <c r="I37" s="165" t="n">
        <v>165000</v>
      </c>
      <c r="J37" s="165" t="inlineStr">
        <is>
          <t>12</t>
        </is>
      </c>
      <c r="K37" s="165" t="n">
        <v>78000</v>
      </c>
      <c r="L37" s="165" t="inlineStr">
        <is>
          <t>중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125B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플로리체위례</t>
        </is>
      </c>
      <c r="B38" s="16" t="inlineStr">
        <is>
          <t>'15.10.</t>
        </is>
      </c>
      <c r="C38" s="164" t="n">
        <v>970</v>
      </c>
      <c r="D38" s="161" t="n">
        <v>132.2</v>
      </c>
      <c r="E38" s="163" t="n">
        <v>40</v>
      </c>
      <c r="F38" s="161" t="n">
        <v>102</v>
      </c>
      <c r="G38" s="27" t="n">
        <v>31</v>
      </c>
      <c r="H38" s="164" t="n">
        <v>368</v>
      </c>
      <c r="I38" s="165" t="n">
        <v>175000</v>
      </c>
      <c r="J38" s="165" t="inlineStr">
        <is>
          <t>고</t>
        </is>
      </c>
      <c r="K38" s="165" t="n">
        <v>85000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132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위례신도시엠코타운센트로엘</t>
        </is>
      </c>
      <c r="B40" s="16" t="inlineStr">
        <is>
          <t>'16.06.</t>
        </is>
      </c>
      <c r="C40" s="164" t="n">
        <v>673</v>
      </c>
      <c r="D40" s="161" t="n">
        <v>124.5</v>
      </c>
      <c r="E40" s="163" t="n">
        <v>38</v>
      </c>
      <c r="F40" s="161" t="n">
        <v>95.40000000000001</v>
      </c>
      <c r="G40" s="27" t="n">
        <v>29</v>
      </c>
      <c r="H40" s="164" t="n">
        <v>161</v>
      </c>
      <c r="I40" s="165" t="n">
        <v>168000</v>
      </c>
      <c r="J40" s="165" t="inlineStr">
        <is>
          <t>15</t>
        </is>
      </c>
      <c r="K40" s="165" t="n">
        <v>90000</v>
      </c>
      <c r="L40" s="165" t="inlineStr">
        <is>
          <t>고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124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위례신도시엠코타운센트로엘</t>
        </is>
      </c>
      <c r="B41" s="16" t="inlineStr">
        <is>
          <t>'16.06.</t>
        </is>
      </c>
      <c r="C41" s="164" t="n">
        <v>673</v>
      </c>
      <c r="D41" s="161" t="n">
        <v>128.5</v>
      </c>
      <c r="E41" s="163" t="n">
        <v>39</v>
      </c>
      <c r="F41" s="161" t="n">
        <v>98.8</v>
      </c>
      <c r="G41" s="27" t="n">
        <v>30</v>
      </c>
      <c r="H41" s="164" t="n">
        <v>265</v>
      </c>
      <c r="I41" s="165" t="n">
        <v>180000</v>
      </c>
      <c r="J41" s="165" t="inlineStr">
        <is>
          <t>중</t>
        </is>
      </c>
      <c r="K41" s="165" t="n">
        <v>100000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128B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위례신도시엠코타운센트로엘</t>
        </is>
      </c>
      <c r="B42" s="16" t="inlineStr">
        <is>
          <t>'16.06.</t>
        </is>
      </c>
      <c r="C42" s="164" t="n">
        <v>673</v>
      </c>
      <c r="D42" s="161" t="n">
        <v>128</v>
      </c>
      <c r="E42" s="163" t="n">
        <v>39</v>
      </c>
      <c r="F42" s="161" t="n">
        <v>98.8</v>
      </c>
      <c r="G42" s="27" t="n">
        <v>30</v>
      </c>
      <c r="H42" s="164" t="n">
        <v>247</v>
      </c>
      <c r="I42" s="165" t="n">
        <v>175000</v>
      </c>
      <c r="J42" s="165" t="inlineStr">
        <is>
          <t>중</t>
        </is>
      </c>
      <c r="K42" s="165" t="n">
        <v>88000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128A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LH위례포엘리움</t>
        </is>
      </c>
      <c r="B44" s="16" t="inlineStr">
        <is>
          <t>'21.09.</t>
        </is>
      </c>
      <c r="C44" s="164" t="n">
        <v>508</v>
      </c>
      <c r="D44" s="161" t="n">
        <v>68.59999999999999</v>
      </c>
      <c r="E44" s="163" t="n">
        <v>21</v>
      </c>
      <c r="F44" s="161" t="n">
        <v>46.9</v>
      </c>
      <c r="G44" s="27" t="n">
        <v>14</v>
      </c>
      <c r="H44" s="164" t="n">
        <v>115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68A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LH위례포엘리움</t>
        </is>
      </c>
      <c r="B45" s="16" t="inlineStr">
        <is>
          <t>'21.09.</t>
        </is>
      </c>
      <c r="C45" s="164" t="n">
        <v>508</v>
      </c>
      <c r="D45" s="161" t="n">
        <v>68.5</v>
      </c>
      <c r="E45" s="163" t="n">
        <v>21</v>
      </c>
      <c r="F45" s="161" t="n">
        <v>46.8</v>
      </c>
      <c r="G45" s="27" t="n">
        <v>14</v>
      </c>
      <c r="H45" s="164" t="n">
        <v>68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68B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LH위례포엘리움</t>
        </is>
      </c>
      <c r="B46" s="16" t="inlineStr">
        <is>
          <t>'21.09.</t>
        </is>
      </c>
      <c r="C46" s="164" t="n">
        <v>508</v>
      </c>
      <c r="D46" s="161" t="n">
        <v>68.40000000000001</v>
      </c>
      <c r="E46" s="163" t="n">
        <v>21</v>
      </c>
      <c r="F46" s="161" t="n">
        <v>46.8</v>
      </c>
      <c r="G46" s="27" t="n">
        <v>14</v>
      </c>
      <c r="H46" s="164" t="n">
        <v>14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inlineStr">
        <is>
          <t>68B-1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LH위례포엘리움</t>
        </is>
      </c>
      <c r="B47" s="16" t="inlineStr">
        <is>
          <t>'21.09.</t>
        </is>
      </c>
      <c r="C47" s="164" t="n">
        <v>508</v>
      </c>
      <c r="D47" s="161" t="n">
        <v>68.59999999999999</v>
      </c>
      <c r="E47" s="163" t="n">
        <v>21</v>
      </c>
      <c r="F47" s="161" t="n">
        <v>46.9</v>
      </c>
      <c r="G47" s="27" t="n">
        <v>14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68A-1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LH위례포엘리움</t>
        </is>
      </c>
      <c r="B48" s="16" t="inlineStr">
        <is>
          <t>'21.09.</t>
        </is>
      </c>
      <c r="C48" s="164" t="n">
        <v>508</v>
      </c>
      <c r="D48" s="161" t="n">
        <v>81.8</v>
      </c>
      <c r="E48" s="163" t="n">
        <v>25</v>
      </c>
      <c r="F48" s="161" t="n">
        <v>56</v>
      </c>
      <c r="G48" s="27" t="n">
        <v>17</v>
      </c>
      <c r="H48" s="164" t="n">
        <v>70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2</v>
      </c>
      <c r="S48" s="113" t="inlineStr">
        <is>
          <t>계</t>
        </is>
      </c>
      <c r="T48" s="8" t="inlineStr">
        <is>
          <t>81A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LH위례포엘리움</t>
        </is>
      </c>
      <c r="B49" s="16" t="inlineStr">
        <is>
          <t>'21.09.</t>
        </is>
      </c>
      <c r="C49" s="164" t="n">
        <v>508</v>
      </c>
      <c r="D49" s="161" t="n">
        <v>81.8</v>
      </c>
      <c r="E49" s="163" t="n">
        <v>25</v>
      </c>
      <c r="F49" s="161" t="n">
        <v>56</v>
      </c>
      <c r="G49" s="27" t="n">
        <v>17</v>
      </c>
      <c r="H49" s="164" t="n">
        <v>45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2</v>
      </c>
      <c r="S49" s="113" t="inlineStr">
        <is>
          <t>계</t>
        </is>
      </c>
      <c r="T49" s="8" t="inlineStr">
        <is>
          <t>81B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LH위례포엘리움</t>
        </is>
      </c>
      <c r="B50" s="16" t="inlineStr">
        <is>
          <t>'21.09.</t>
        </is>
      </c>
      <c r="C50" s="164" t="n">
        <v>508</v>
      </c>
      <c r="D50" s="161" t="n">
        <v>81.8</v>
      </c>
      <c r="E50" s="163" t="n">
        <v>25</v>
      </c>
      <c r="F50" s="161" t="n">
        <v>56</v>
      </c>
      <c r="G50" s="27" t="n">
        <v>17</v>
      </c>
      <c r="H50" s="164" t="n">
        <v>12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2</v>
      </c>
      <c r="S50" s="113" t="inlineStr">
        <is>
          <t>계</t>
        </is>
      </c>
      <c r="T50" s="8" t="inlineStr">
        <is>
          <t>81B-1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LH위례포엘리움</t>
        </is>
      </c>
      <c r="B51" s="16" t="inlineStr">
        <is>
          <t>'21.09.</t>
        </is>
      </c>
      <c r="C51" s="164" t="n">
        <v>508</v>
      </c>
      <c r="D51" s="161" t="n">
        <v>81.8</v>
      </c>
      <c r="E51" s="163" t="n">
        <v>25</v>
      </c>
      <c r="F51" s="161" t="n">
        <v>56</v>
      </c>
      <c r="G51" s="27" t="n">
        <v>17</v>
      </c>
      <c r="H51" s="164" t="n">
        <v>9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2</v>
      </c>
      <c r="R51" s="113" t="n">
        <v>2</v>
      </c>
      <c r="S51" s="113" t="inlineStr">
        <is>
          <t>계</t>
        </is>
      </c>
      <c r="T51" s="8" t="inlineStr">
        <is>
          <t>81A-1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위례신도시신안인스빌아스트로</t>
        </is>
      </c>
      <c r="B53" s="16" t="inlineStr">
        <is>
          <t>'17.02.</t>
        </is>
      </c>
      <c r="C53" s="164" t="n">
        <v>694</v>
      </c>
      <c r="D53" s="161" t="n">
        <v>123.8</v>
      </c>
      <c r="E53" s="163" t="n">
        <v>37</v>
      </c>
      <c r="F53" s="161" t="n">
        <v>97</v>
      </c>
      <c r="G53" s="27" t="n">
        <v>29</v>
      </c>
      <c r="H53" s="164" t="n">
        <v>273</v>
      </c>
      <c r="I53" s="165" t="n">
        <v>170000</v>
      </c>
      <c r="J53" s="165" t="inlineStr">
        <is>
          <t>중</t>
        </is>
      </c>
      <c r="K53" s="165" t="n">
        <v>83000</v>
      </c>
      <c r="L53" s="165" t="inlineStr">
        <is>
          <t>14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123A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위례신도시신안인스빌아스트로</t>
        </is>
      </c>
      <c r="B54" s="16" t="inlineStr">
        <is>
          <t>'17.02.</t>
        </is>
      </c>
      <c r="C54" s="164" t="n">
        <v>694</v>
      </c>
      <c r="D54" s="161" t="n">
        <v>124.7</v>
      </c>
      <c r="E54" s="163" t="n">
        <v>38</v>
      </c>
      <c r="F54" s="161" t="n">
        <v>96.90000000000001</v>
      </c>
      <c r="G54" s="27" t="n">
        <v>29</v>
      </c>
      <c r="H54" s="164" t="n">
        <v>197</v>
      </c>
      <c r="I54" s="165" t="n">
        <v>160000</v>
      </c>
      <c r="J54" s="165" t="inlineStr">
        <is>
          <t>중</t>
        </is>
      </c>
      <c r="K54" s="165" t="n">
        <v>85000</v>
      </c>
      <c r="L54" s="165" t="inlineStr">
        <is>
          <t>14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124B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위례신도시신안인스빌아스트로</t>
        </is>
      </c>
      <c r="B55" s="16" t="inlineStr">
        <is>
          <t>'17.02.</t>
        </is>
      </c>
      <c r="C55" s="164" t="n">
        <v>694</v>
      </c>
      <c r="D55" s="161" t="n">
        <v>131.3</v>
      </c>
      <c r="E55" s="163" t="n">
        <v>40</v>
      </c>
      <c r="F55" s="161" t="n">
        <v>101.2</v>
      </c>
      <c r="G55" s="27" t="n">
        <v>31</v>
      </c>
      <c r="H55" s="164" t="n">
        <v>149</v>
      </c>
      <c r="I55" s="165" t="n">
        <v>180000</v>
      </c>
      <c r="J55" s="165" t="inlineStr">
        <is>
          <t>고</t>
        </is>
      </c>
      <c r="K55" s="165" t="n">
        <v>100000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131A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위례신도시신안인스빌아스트로</t>
        </is>
      </c>
      <c r="B56" s="16" t="inlineStr">
        <is>
          <t>'17.02.</t>
        </is>
      </c>
      <c r="C56" s="164" t="n">
        <v>694</v>
      </c>
      <c r="D56" s="161" t="n">
        <v>131.2</v>
      </c>
      <c r="E56" s="163" t="n">
        <v>40</v>
      </c>
      <c r="F56" s="161" t="n">
        <v>101.7</v>
      </c>
      <c r="G56" s="27" t="n">
        <v>31</v>
      </c>
      <c r="H56" s="164" t="n">
        <v>75</v>
      </c>
      <c r="I56" s="165" t="n">
        <v>200000</v>
      </c>
      <c r="J56" s="165" t="inlineStr">
        <is>
          <t>5</t>
        </is>
      </c>
      <c r="K56" s="165" t="n">
        <v>100000</v>
      </c>
      <c r="L56" s="165" t="inlineStr">
        <is>
          <t>11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131B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힐스테이트센트럴위례</t>
        </is>
      </c>
      <c r="B58" s="16" t="inlineStr">
        <is>
          <t>'21.05.</t>
        </is>
      </c>
      <c r="C58" s="164" t="n">
        <v>1078</v>
      </c>
      <c r="D58" s="161" t="n">
        <v>116.2</v>
      </c>
      <c r="E58" s="163" t="n">
        <v>35</v>
      </c>
      <c r="F58" s="161" t="n">
        <v>92.40000000000001</v>
      </c>
      <c r="G58" s="27" t="n">
        <v>28</v>
      </c>
      <c r="H58" s="164" t="n">
        <v>167</v>
      </c>
      <c r="I58" s="165" t="n"/>
      <c r="J58" s="165" t="n"/>
      <c r="K58" s="165" t="n">
        <v>80000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116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힐스테이트센트럴위례</t>
        </is>
      </c>
      <c r="B59" s="16" t="inlineStr">
        <is>
          <t>'21.05.</t>
        </is>
      </c>
      <c r="C59" s="164" t="n">
        <v>1078</v>
      </c>
      <c r="D59" s="161" t="n">
        <v>126.3</v>
      </c>
      <c r="E59" s="163" t="n">
        <v>38</v>
      </c>
      <c r="F59" s="161" t="n">
        <v>98.7</v>
      </c>
      <c r="G59" s="27" t="n">
        <v>30</v>
      </c>
      <c r="H59" s="164" t="n">
        <v>192</v>
      </c>
      <c r="I59" s="165" t="n"/>
      <c r="J59" s="165" t="n"/>
      <c r="K59" s="165" t="n">
        <v>70000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126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힐스테이트센트럴위례</t>
        </is>
      </c>
      <c r="B60" s="16" t="inlineStr">
        <is>
          <t>'21.05.</t>
        </is>
      </c>
      <c r="C60" s="164" t="n">
        <v>1078</v>
      </c>
      <c r="D60" s="161" t="n">
        <v>130.1</v>
      </c>
      <c r="E60" s="163" t="n">
        <v>39</v>
      </c>
      <c r="F60" s="161" t="n">
        <v>102.6</v>
      </c>
      <c r="G60" s="27" t="n">
        <v>31</v>
      </c>
      <c r="H60" s="164" t="n">
        <v>719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130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위례신도시우미린2차</t>
        </is>
      </c>
      <c r="B62" s="16" t="inlineStr">
        <is>
          <t>'22.12.</t>
        </is>
      </c>
      <c r="C62" s="164" t="n">
        <v>420</v>
      </c>
      <c r="D62" s="161" t="n">
        <v>113.9</v>
      </c>
      <c r="E62" s="163" t="n">
        <v>34</v>
      </c>
      <c r="F62" s="161" t="n">
        <v>90.40000000000001</v>
      </c>
      <c r="G62" s="27" t="n">
        <v>27</v>
      </c>
      <c r="H62" s="164" t="n">
        <v>47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113A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위례신도시우미린2차</t>
        </is>
      </c>
      <c r="B63" s="16" t="inlineStr">
        <is>
          <t>'22.12.</t>
        </is>
      </c>
      <c r="C63" s="164" t="n">
        <v>420</v>
      </c>
      <c r="D63" s="161" t="n">
        <v>128.2</v>
      </c>
      <c r="E63" s="163" t="n">
        <v>39</v>
      </c>
      <c r="F63" s="161" t="n">
        <v>102.2</v>
      </c>
      <c r="G63" s="27" t="n">
        <v>31</v>
      </c>
      <c r="H63" s="164" t="n">
        <v>163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128A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위례신도시우미린2차</t>
        </is>
      </c>
      <c r="B64" s="16" t="inlineStr">
        <is>
          <t>'22.12.</t>
        </is>
      </c>
      <c r="C64" s="164" t="n">
        <v>420</v>
      </c>
      <c r="D64" s="161" t="n">
        <v>129.9</v>
      </c>
      <c r="E64" s="163" t="n">
        <v>39</v>
      </c>
      <c r="F64" s="161" t="n">
        <v>102.5</v>
      </c>
      <c r="G64" s="27" t="n">
        <v>31</v>
      </c>
      <c r="H64" s="164" t="n">
        <v>66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4</v>
      </c>
      <c r="R64" s="113" t="n">
        <v>2</v>
      </c>
      <c r="S64" s="113" t="inlineStr">
        <is>
          <t>계</t>
        </is>
      </c>
      <c r="T64" s="8" t="inlineStr">
        <is>
          <t>129B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위례신도시우미린2차</t>
        </is>
      </c>
      <c r="B65" s="16" t="inlineStr">
        <is>
          <t>'22.12.</t>
        </is>
      </c>
      <c r="C65" s="164" t="n">
        <v>420</v>
      </c>
      <c r="D65" s="161" t="n">
        <v>149.3</v>
      </c>
      <c r="E65" s="163" t="n">
        <v>45</v>
      </c>
      <c r="F65" s="161" t="n">
        <v>119.3</v>
      </c>
      <c r="G65" s="27" t="n">
        <v>36</v>
      </c>
      <c r="H65" s="164" t="n">
        <v>144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149A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위례신도시우미린1차</t>
        </is>
      </c>
      <c r="B67" s="16" t="inlineStr">
        <is>
          <t>'22.01.</t>
        </is>
      </c>
      <c r="C67" s="164" t="n">
        <v>875</v>
      </c>
      <c r="D67" s="161" t="n">
        <v>130.2</v>
      </c>
      <c r="E67" s="163" t="n">
        <v>39</v>
      </c>
      <c r="F67" s="161" t="n">
        <v>102.2</v>
      </c>
      <c r="G67" s="27" t="n">
        <v>31</v>
      </c>
      <c r="H67" s="164" t="n">
        <v>248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130A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위례신도시우미린1차</t>
        </is>
      </c>
      <c r="B68" s="16" t="inlineStr">
        <is>
          <t>'22.01.</t>
        </is>
      </c>
      <c r="C68" s="164" t="n">
        <v>875</v>
      </c>
      <c r="D68" s="161" t="n">
        <v>130</v>
      </c>
      <c r="E68" s="163" t="n">
        <v>39</v>
      </c>
      <c r="F68" s="161" t="n">
        <v>102.1</v>
      </c>
      <c r="G68" s="27" t="n">
        <v>31</v>
      </c>
      <c r="H68" s="164" t="n">
        <v>171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130A1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위례신도시우미린1차</t>
        </is>
      </c>
      <c r="B69" s="16" t="inlineStr">
        <is>
          <t>'22.01.</t>
        </is>
      </c>
      <c r="C69" s="164" t="n">
        <v>875</v>
      </c>
      <c r="D69" s="161" t="n">
        <v>130.4</v>
      </c>
      <c r="E69" s="163" t="n">
        <v>39</v>
      </c>
      <c r="F69" s="161" t="n">
        <v>102.4</v>
      </c>
      <c r="G69" s="27" t="n">
        <v>31</v>
      </c>
      <c r="H69" s="164" t="n">
        <v>10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130A2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위례신도시우미린1차</t>
        </is>
      </c>
      <c r="B70" s="16" t="inlineStr">
        <is>
          <t>'22.01.</t>
        </is>
      </c>
      <c r="C70" s="164" t="n">
        <v>875</v>
      </c>
      <c r="D70" s="161" t="n">
        <v>131.1</v>
      </c>
      <c r="E70" s="163" t="n">
        <v>40</v>
      </c>
      <c r="F70" s="161" t="n">
        <v>102.2</v>
      </c>
      <c r="G70" s="27" t="n">
        <v>31</v>
      </c>
      <c r="H70" s="164" t="n">
        <v>172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131C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위례신도시우미린1차</t>
        </is>
      </c>
      <c r="B71" s="16" t="inlineStr">
        <is>
          <t>'22.01.</t>
        </is>
      </c>
      <c r="C71" s="164" t="n">
        <v>875</v>
      </c>
      <c r="D71" s="161" t="n">
        <v>132</v>
      </c>
      <c r="E71" s="163" t="n">
        <v>40</v>
      </c>
      <c r="F71" s="161" t="n">
        <v>102.2</v>
      </c>
      <c r="G71" s="27" t="n">
        <v>31</v>
      </c>
      <c r="H71" s="164" t="n">
        <v>77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131B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위례신도시우미린1차</t>
        </is>
      </c>
      <c r="B72" s="16" t="inlineStr">
        <is>
          <t>'22.01.</t>
        </is>
      </c>
      <c r="C72" s="164" t="n">
        <v>875</v>
      </c>
      <c r="D72" s="161" t="n">
        <v>131.9</v>
      </c>
      <c r="E72" s="163" t="n">
        <v>40</v>
      </c>
      <c r="F72" s="161" t="n">
        <v>102.5</v>
      </c>
      <c r="G72" s="27" t="n">
        <v>31</v>
      </c>
      <c r="H72" s="164" t="n">
        <v>15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131D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위례신도시우미린1차</t>
        </is>
      </c>
      <c r="B73" s="16" t="inlineStr">
        <is>
          <t>'22.01.</t>
        </is>
      </c>
      <c r="C73" s="164" t="n">
        <v>875</v>
      </c>
      <c r="D73" s="161" t="n">
        <v>144</v>
      </c>
      <c r="E73" s="163" t="n">
        <v>44</v>
      </c>
      <c r="F73" s="161" t="n">
        <v>113.1</v>
      </c>
      <c r="G73" s="27" t="n">
        <v>34</v>
      </c>
      <c r="H73" s="164" t="n">
        <v>163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144A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위례신도시우미린1차</t>
        </is>
      </c>
      <c r="B74" s="16" t="inlineStr">
        <is>
          <t>'22.01.</t>
        </is>
      </c>
      <c r="C74" s="164" t="n">
        <v>875</v>
      </c>
      <c r="D74" s="161" t="n">
        <v>144.9</v>
      </c>
      <c r="E74" s="163" t="n">
        <v>44</v>
      </c>
      <c r="F74" s="161" t="n">
        <v>113.6</v>
      </c>
      <c r="G74" s="27" t="n">
        <v>34</v>
      </c>
      <c r="H74" s="164" t="n">
        <v>14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144A1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위례신도시우미린1차</t>
        </is>
      </c>
      <c r="B75" s="16" t="inlineStr">
        <is>
          <t>'22.01.</t>
        </is>
      </c>
      <c r="C75" s="164" t="n">
        <v>875</v>
      </c>
      <c r="D75" s="161" t="n">
        <v>144.9</v>
      </c>
      <c r="E75" s="163" t="n">
        <v>44</v>
      </c>
      <c r="F75" s="161" t="n">
        <v>114.9</v>
      </c>
      <c r="G75" s="27" t="n">
        <v>35</v>
      </c>
      <c r="H75" s="164" t="n">
        <v>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144T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위례롯데캐슬</t>
        </is>
      </c>
      <c r="B77" s="16" t="inlineStr">
        <is>
          <t>'16.01.</t>
        </is>
      </c>
      <c r="C77" s="164" t="n">
        <v>1673</v>
      </c>
      <c r="D77" s="161" t="n">
        <v>101.5</v>
      </c>
      <c r="E77" s="163" t="n">
        <v>31</v>
      </c>
      <c r="F77" s="161" t="n">
        <v>75.5</v>
      </c>
      <c r="G77" s="27" t="n">
        <v>23</v>
      </c>
      <c r="H77" s="164" t="n">
        <v>292</v>
      </c>
      <c r="I77" s="165" t="n">
        <v>122000</v>
      </c>
      <c r="J77" s="165" t="inlineStr">
        <is>
          <t>15</t>
        </is>
      </c>
      <c r="K77" s="165" t="n">
        <v>68000</v>
      </c>
      <c r="L77" s="165" t="inlineStr">
        <is>
          <t>중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101B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위례롯데캐슬</t>
        </is>
      </c>
      <c r="B78" s="16" t="inlineStr">
        <is>
          <t>'16.01.</t>
        </is>
      </c>
      <c r="C78" s="164" t="n">
        <v>1673</v>
      </c>
      <c r="D78" s="161" t="n">
        <v>101.5</v>
      </c>
      <c r="E78" s="163" t="n">
        <v>31</v>
      </c>
      <c r="F78" s="161" t="n">
        <v>75.5</v>
      </c>
      <c r="G78" s="27" t="n">
        <v>23</v>
      </c>
      <c r="H78" s="164" t="n">
        <v>92</v>
      </c>
      <c r="I78" s="165" t="n">
        <v>122000</v>
      </c>
      <c r="J78" s="165" t="inlineStr">
        <is>
          <t>15</t>
        </is>
      </c>
      <c r="K78" s="165" t="n">
        <v>68000</v>
      </c>
      <c r="L78" s="165" t="inlineStr">
        <is>
          <t>중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101A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위례롯데캐슬</t>
        </is>
      </c>
      <c r="B79" s="16" t="inlineStr">
        <is>
          <t>'16.01.</t>
        </is>
      </c>
      <c r="C79" s="164" t="n">
        <v>1673</v>
      </c>
      <c r="D79" s="161" t="n">
        <v>101.5</v>
      </c>
      <c r="E79" s="163" t="n">
        <v>31</v>
      </c>
      <c r="F79" s="161" t="n">
        <v>75.5</v>
      </c>
      <c r="G79" s="27" t="n">
        <v>23</v>
      </c>
      <c r="H79" s="164" t="n">
        <v>54</v>
      </c>
      <c r="I79" s="165" t="n">
        <v>122000</v>
      </c>
      <c r="J79" s="165" t="inlineStr">
        <is>
          <t>15</t>
        </is>
      </c>
      <c r="K79" s="165" t="n">
        <v>68000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101C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위례롯데캐슬</t>
        </is>
      </c>
      <c r="B80" s="16" t="inlineStr">
        <is>
          <t>'16.01.</t>
        </is>
      </c>
      <c r="C80" s="164" t="n">
        <v>1673</v>
      </c>
      <c r="D80" s="161" t="n">
        <v>114.2</v>
      </c>
      <c r="E80" s="163" t="n">
        <v>35</v>
      </c>
      <c r="F80" s="161" t="n">
        <v>85</v>
      </c>
      <c r="G80" s="27" t="n">
        <v>26</v>
      </c>
      <c r="H80" s="164" t="n">
        <v>699</v>
      </c>
      <c r="I80" s="165" t="n">
        <v>130000</v>
      </c>
      <c r="J80" s="165" t="inlineStr">
        <is>
          <t>6</t>
        </is>
      </c>
      <c r="K80" s="165" t="n">
        <v>60000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114A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위례롯데캐슬</t>
        </is>
      </c>
      <c r="B81" s="16" t="inlineStr">
        <is>
          <t>'16.01.</t>
        </is>
      </c>
      <c r="C81" s="164" t="n">
        <v>1673</v>
      </c>
      <c r="D81" s="161" t="n">
        <v>114.2</v>
      </c>
      <c r="E81" s="163" t="n">
        <v>35</v>
      </c>
      <c r="F81" s="161" t="n">
        <v>85</v>
      </c>
      <c r="G81" s="27" t="n">
        <v>26</v>
      </c>
      <c r="H81" s="164" t="n">
        <v>482</v>
      </c>
      <c r="I81" s="165" t="n">
        <v>130000</v>
      </c>
      <c r="J81" s="165" t="inlineStr">
        <is>
          <t>6</t>
        </is>
      </c>
      <c r="K81" s="165" t="n">
        <v>60000</v>
      </c>
      <c r="L81" s="165" t="inlineStr">
        <is>
          <t>중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114B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위례롯데캐슬</t>
        </is>
      </c>
      <c r="B82" s="16" t="inlineStr">
        <is>
          <t>'16.01.</t>
        </is>
      </c>
      <c r="C82" s="164" t="n">
        <v>1673</v>
      </c>
      <c r="D82" s="161" t="n">
        <v>114.2</v>
      </c>
      <c r="E82" s="163" t="n">
        <v>35</v>
      </c>
      <c r="F82" s="161" t="n">
        <v>85</v>
      </c>
      <c r="G82" s="27" t="n">
        <v>26</v>
      </c>
      <c r="H82" s="164" t="n">
        <v>54</v>
      </c>
      <c r="I82" s="165" t="n">
        <v>130000</v>
      </c>
      <c r="J82" s="165" t="inlineStr">
        <is>
          <t>6</t>
        </is>
      </c>
      <c r="K82" s="165" t="n">
        <v>60000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114C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17">
      <formula>AV4="X"</formula>
    </cfRule>
    <cfRule type="expression" priority="1311" dxfId="16">
      <formula>AV4="후보"</formula>
    </cfRule>
  </conditionalFormatting>
  <conditionalFormatting sqref="AC1:AC2 AC4:AC6 N4:N5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N1:N2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6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17">
      <formula>AV7="X"</formula>
    </cfRule>
    <cfRule type="expression" priority="1290" dxfId="16">
      <formula>AV7="후보"</formula>
    </cfRule>
  </conditionalFormatting>
  <conditionalFormatting sqref="AC7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7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17">
      <formula>AV8="X"</formula>
    </cfRule>
    <cfRule type="expression" priority="1271" dxfId="16">
      <formula>AV8="후보"</formula>
    </cfRule>
  </conditionalFormatting>
  <conditionalFormatting sqref="AC8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8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17">
      <formula>AV9="X"</formula>
    </cfRule>
    <cfRule type="expression" priority="1252" dxfId="16">
      <formula>AV9="후보"</formula>
    </cfRule>
  </conditionalFormatting>
  <conditionalFormatting sqref="AC9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9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17">
      <formula>AV10="X"</formula>
    </cfRule>
    <cfRule type="expression" priority="1233" dxfId="16">
      <formula>AV10="후보"</formula>
    </cfRule>
  </conditionalFormatting>
  <conditionalFormatting sqref="AC10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0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17">
      <formula>AV11="X"</formula>
    </cfRule>
    <cfRule type="expression" priority="1214" dxfId="16">
      <formula>AV11="후보"</formula>
    </cfRule>
  </conditionalFormatting>
  <conditionalFormatting sqref="AC11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1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17">
      <formula>AV12="X"</formula>
    </cfRule>
    <cfRule type="expression" priority="1195" dxfId="16">
      <formula>AV12="후보"</formula>
    </cfRule>
  </conditionalFormatting>
  <conditionalFormatting sqref="AC12 N12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AV13">
    <cfRule type="expression" priority="1189" dxfId="17">
      <formula>AV13="X"</formula>
    </cfRule>
    <cfRule type="expression" priority="1190" dxfId="16">
      <formula>AV13="후보"</formula>
    </cfRule>
  </conditionalFormatting>
  <conditionalFormatting sqref="AC13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13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17">
      <formula>AV14="X"</formula>
    </cfRule>
    <cfRule type="expression" priority="1171" dxfId="16">
      <formula>AV14="후보"</formula>
    </cfRule>
  </conditionalFormatting>
  <conditionalFormatting sqref="AC14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4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17">
      <formula>AV15="X"</formula>
    </cfRule>
    <cfRule type="expression" priority="1152" dxfId="16">
      <formula>AV15="후보"</formula>
    </cfRule>
  </conditionalFormatting>
  <conditionalFormatting sqref="AC15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5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17">
      <formula>AV16="X"</formula>
    </cfRule>
    <cfRule type="expression" priority="1133" dxfId="16">
      <formula>AV16="후보"</formula>
    </cfRule>
  </conditionalFormatting>
  <conditionalFormatting sqref="AC16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6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17">
      <formula>AV17="X"</formula>
    </cfRule>
    <cfRule type="expression" priority="1114" dxfId="16">
      <formula>AV17="후보"</formula>
    </cfRule>
  </conditionalFormatting>
  <conditionalFormatting sqref="AC17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7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17">
      <formula>AV18="X"</formula>
    </cfRule>
    <cfRule type="expression" priority="1095" dxfId="16">
      <formula>AV18="후보"</formula>
    </cfRule>
  </conditionalFormatting>
  <conditionalFormatting sqref="AC18 N18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9">
    <cfRule type="expression" priority="1089" dxfId="17">
      <formula>AV19="X"</formula>
    </cfRule>
    <cfRule type="expression" priority="1090" dxfId="16">
      <formula>AV19="후보"</formula>
    </cfRule>
  </conditionalFormatting>
  <conditionalFormatting sqref="AC19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9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9">
    <cfRule type="expression" priority="1080" dxfId="3">
      <formula>AND(IF(OR($Q19=1,$Q19=2),1,0),IF($X19&lt;=20,1,0))</formula>
    </cfRule>
    <cfRule type="expression" priority="1081" dxfId="2">
      <formula>AND(IF($Q19=2,1,0),IF($X19&lt;30,1,0))</formula>
    </cfRule>
    <cfRule type="expression" priority="1082" dxfId="1">
      <formula>AND(IF($Q19=3,1,0),IF($X19&lt;30,1,0))</formula>
    </cfRule>
    <cfRule type="expression" priority="1083" dxfId="0">
      <formula>AND(IF($Q19=3,1,IF($Q19=4,1,0)),IF($F19&lt;=85,1,0))</formula>
    </cfRule>
  </conditionalFormatting>
  <conditionalFormatting sqref="X19">
    <cfRule type="expression" priority="1076" dxfId="3">
      <formula>AND(IF(OR($Q19=1,$Q19=2),1,0),IF($X19&lt;=20,1,0))</formula>
    </cfRule>
    <cfRule type="expression" priority="1077" dxfId="2">
      <formula>AND(IF($Q19=2,1,0),IF($X19&lt;30,1,0))</formula>
    </cfRule>
    <cfRule type="expression" priority="1078" dxfId="1">
      <formula>AND(IF($Q19=3,1,0),IF($X19&lt;30,1,0))</formula>
    </cfRule>
    <cfRule type="expression" priority="1079" dxfId="0">
      <formula>AND(IF($Q19=3,1,IF($Q19=4,1,0)),IF($F19&lt;=85,1,0))</formula>
    </cfRule>
  </conditionalFormatting>
  <conditionalFormatting sqref="AI19">
    <cfRule type="expression" priority="1072" dxfId="3">
      <formula>AND(IF(OR($Q19=1,$Q19=2),1,0),IF($X19&lt;=20,1,0))</formula>
    </cfRule>
    <cfRule type="expression" priority="1073" dxfId="2">
      <formula>AND(IF($Q19=2,1,0),IF($X19&lt;30,1,0))</formula>
    </cfRule>
    <cfRule type="expression" priority="1074" dxfId="1">
      <formula>AND(IF($Q19=3,1,0),IF($X19&lt;30,1,0))</formula>
    </cfRule>
    <cfRule type="expression" priority="1075" dxfId="0">
      <formula>AND(IF($Q19=3,1,IF($Q19=4,1,0)),IF($F19&lt;=85,1,0))</formula>
    </cfRule>
  </conditionalFormatting>
  <conditionalFormatting sqref="AV20">
    <cfRule type="expression" priority="1070" dxfId="17">
      <formula>AV20="X"</formula>
    </cfRule>
    <cfRule type="expression" priority="1071" dxfId="16">
      <formula>AV20="후보"</formula>
    </cfRule>
  </conditionalFormatting>
  <conditionalFormatting sqref="AC20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0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0">
    <cfRule type="expression" priority="1061" dxfId="3">
      <formula>AND(IF(OR($Q20=1,$Q20=2),1,0),IF($X20&lt;=20,1,0))</formula>
    </cfRule>
    <cfRule type="expression" priority="1062" dxfId="2">
      <formula>AND(IF($Q20=2,1,0),IF($X20&lt;30,1,0))</formula>
    </cfRule>
    <cfRule type="expression" priority="1063" dxfId="1">
      <formula>AND(IF($Q20=3,1,0),IF($X20&lt;30,1,0))</formula>
    </cfRule>
    <cfRule type="expression" priority="1064" dxfId="0">
      <formula>AND(IF($Q20=3,1,IF($Q20=4,1,0)),IF($F20&lt;=85,1,0))</formula>
    </cfRule>
  </conditionalFormatting>
  <conditionalFormatting sqref="X20">
    <cfRule type="expression" priority="1057" dxfId="3">
      <formula>AND(IF(OR($Q20=1,$Q20=2),1,0),IF($X20&lt;=20,1,0))</formula>
    </cfRule>
    <cfRule type="expression" priority="1058" dxfId="2">
      <formula>AND(IF($Q20=2,1,0),IF($X20&lt;30,1,0))</formula>
    </cfRule>
    <cfRule type="expression" priority="1059" dxfId="1">
      <formula>AND(IF($Q20=3,1,0),IF($X20&lt;30,1,0))</formula>
    </cfRule>
    <cfRule type="expression" priority="1060" dxfId="0">
      <formula>AND(IF($Q20=3,1,IF($Q20=4,1,0)),IF($F20&lt;=85,1,0))</formula>
    </cfRule>
  </conditionalFormatting>
  <conditionalFormatting sqref="AI20">
    <cfRule type="expression" priority="1053" dxfId="3">
      <formula>AND(IF(OR($Q20=1,$Q20=2),1,0),IF($X20&lt;=20,1,0))</formula>
    </cfRule>
    <cfRule type="expression" priority="1054" dxfId="2">
      <formula>AND(IF($Q20=2,1,0),IF($X20&lt;30,1,0))</formula>
    </cfRule>
    <cfRule type="expression" priority="1055" dxfId="1">
      <formula>AND(IF($Q20=3,1,0),IF($X20&lt;30,1,0))</formula>
    </cfRule>
    <cfRule type="expression" priority="1056" dxfId="0">
      <formula>AND(IF($Q20=3,1,IF($Q20=4,1,0)),IF($F20&lt;=85,1,0))</formula>
    </cfRule>
  </conditionalFormatting>
  <conditionalFormatting sqref="AV21">
    <cfRule type="expression" priority="1051" dxfId="17">
      <formula>AV21="X"</formula>
    </cfRule>
    <cfRule type="expression" priority="1052" dxfId="16">
      <formula>AV21="후보"</formula>
    </cfRule>
  </conditionalFormatting>
  <conditionalFormatting sqref="AC21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21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21">
    <cfRule type="expression" priority="1042" dxfId="3">
      <formula>AND(IF(OR($Q21=1,$Q21=2),1,0),IF($X21&lt;=20,1,0))</formula>
    </cfRule>
    <cfRule type="expression" priority="1043" dxfId="2">
      <formula>AND(IF($Q21=2,1,0),IF($X21&lt;30,1,0))</formula>
    </cfRule>
    <cfRule type="expression" priority="1044" dxfId="1">
      <formula>AND(IF($Q21=3,1,0),IF($X21&lt;30,1,0))</formula>
    </cfRule>
    <cfRule type="expression" priority="1045" dxfId="0">
      <formula>AND(IF($Q21=3,1,IF($Q21=4,1,0)),IF($F21&lt;=85,1,0))</formula>
    </cfRule>
  </conditionalFormatting>
  <conditionalFormatting sqref="X21">
    <cfRule type="expression" priority="1038" dxfId="3">
      <formula>AND(IF(OR($Q21=1,$Q21=2),1,0),IF($X21&lt;=20,1,0))</formula>
    </cfRule>
    <cfRule type="expression" priority="1039" dxfId="2">
      <formula>AND(IF($Q21=2,1,0),IF($X21&lt;30,1,0))</formula>
    </cfRule>
    <cfRule type="expression" priority="1040" dxfId="1">
      <formula>AND(IF($Q21=3,1,0),IF($X21&lt;30,1,0))</formula>
    </cfRule>
    <cfRule type="expression" priority="1041" dxfId="0">
      <formula>AND(IF($Q21=3,1,IF($Q21=4,1,0)),IF($F21&lt;=85,1,0))</formula>
    </cfRule>
  </conditionalFormatting>
  <conditionalFormatting sqref="AI21">
    <cfRule type="expression" priority="1034" dxfId="3">
      <formula>AND(IF(OR($Q21=1,$Q21=2),1,0),IF($X21&lt;=20,1,0))</formula>
    </cfRule>
    <cfRule type="expression" priority="1035" dxfId="2">
      <formula>AND(IF($Q21=2,1,0),IF($X21&lt;30,1,0))</formula>
    </cfRule>
    <cfRule type="expression" priority="1036" dxfId="1">
      <formula>AND(IF($Q21=3,1,0),IF($X21&lt;30,1,0))</formula>
    </cfRule>
    <cfRule type="expression" priority="1037" dxfId="0">
      <formula>AND(IF($Q21=3,1,IF($Q21=4,1,0)),IF($F21&lt;=85,1,0))</formula>
    </cfRule>
  </conditionalFormatting>
  <conditionalFormatting sqref="AV22">
    <cfRule type="expression" priority="1032" dxfId="17">
      <formula>AV22="X"</formula>
    </cfRule>
    <cfRule type="expression" priority="1033" dxfId="16">
      <formula>AV22="후보"</formula>
    </cfRule>
  </conditionalFormatting>
  <conditionalFormatting sqref="AC22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22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17">
      <formula>AV23="X"</formula>
    </cfRule>
    <cfRule type="expression" priority="1014" dxfId="16">
      <formula>AV23="후보"</formula>
    </cfRule>
  </conditionalFormatting>
  <conditionalFormatting sqref="AC23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3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17">
      <formula>AV24="X"</formula>
    </cfRule>
    <cfRule type="expression" priority="995" dxfId="16">
      <formula>AV24="후보"</formula>
    </cfRule>
  </conditionalFormatting>
  <conditionalFormatting sqref="AC24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4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17">
      <formula>AV25="X"</formula>
    </cfRule>
    <cfRule type="expression" priority="976" dxfId="16">
      <formula>AV25="후보"</formula>
    </cfRule>
  </conditionalFormatting>
  <conditionalFormatting sqref="AC25 N25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26">
    <cfRule type="expression" priority="970" dxfId="17">
      <formula>AV26="X"</formula>
    </cfRule>
    <cfRule type="expression" priority="971" dxfId="16">
      <formula>AV26="후보"</formula>
    </cfRule>
  </conditionalFormatting>
  <conditionalFormatting sqref="AC2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26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26">
    <cfRule type="expression" priority="961" dxfId="3">
      <formula>AND(IF(OR($Q26=1,$Q26=2),1,0),IF($X26&lt;=20,1,0))</formula>
    </cfRule>
    <cfRule type="expression" priority="962" dxfId="2">
      <formula>AND(IF($Q26=2,1,0),IF($X26&lt;30,1,0))</formula>
    </cfRule>
    <cfRule type="expression" priority="963" dxfId="1">
      <formula>AND(IF($Q26=3,1,0),IF($X26&lt;30,1,0))</formula>
    </cfRule>
    <cfRule type="expression" priority="964" dxfId="0">
      <formula>AND(IF($Q26=3,1,IF($Q26=4,1,0)),IF($F26&lt;=85,1,0))</formula>
    </cfRule>
  </conditionalFormatting>
  <conditionalFormatting sqref="X26">
    <cfRule type="expression" priority="957" dxfId="3">
      <formula>AND(IF(OR($Q26=1,$Q26=2),1,0),IF($X26&lt;=20,1,0))</formula>
    </cfRule>
    <cfRule type="expression" priority="958" dxfId="2">
      <formula>AND(IF($Q26=2,1,0),IF($X26&lt;30,1,0))</formula>
    </cfRule>
    <cfRule type="expression" priority="959" dxfId="1">
      <formula>AND(IF($Q26=3,1,0),IF($X26&lt;30,1,0))</formula>
    </cfRule>
    <cfRule type="expression" priority="960" dxfId="0">
      <formula>AND(IF($Q26=3,1,IF($Q26=4,1,0)),IF($F26&lt;=85,1,0))</formula>
    </cfRule>
  </conditionalFormatting>
  <conditionalFormatting sqref="AI26">
    <cfRule type="expression" priority="953" dxfId="3">
      <formula>AND(IF(OR($Q26=1,$Q26=2),1,0),IF($X26&lt;=20,1,0))</formula>
    </cfRule>
    <cfRule type="expression" priority="954" dxfId="2">
      <formula>AND(IF($Q26=2,1,0),IF($X26&lt;30,1,0))</formula>
    </cfRule>
    <cfRule type="expression" priority="955" dxfId="1">
      <formula>AND(IF($Q26=3,1,0),IF($X26&lt;30,1,0))</formula>
    </cfRule>
    <cfRule type="expression" priority="956" dxfId="0">
      <formula>AND(IF($Q26=3,1,IF($Q26=4,1,0)),IF($F26&lt;=85,1,0))</formula>
    </cfRule>
  </conditionalFormatting>
  <conditionalFormatting sqref="AV27">
    <cfRule type="expression" priority="951" dxfId="17">
      <formula>AV27="X"</formula>
    </cfRule>
    <cfRule type="expression" priority="952" dxfId="16">
      <formula>AV27="후보"</formula>
    </cfRule>
  </conditionalFormatting>
  <conditionalFormatting sqref="AC27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27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27">
    <cfRule type="expression" priority="942" dxfId="3">
      <formula>AND(IF(OR($Q27=1,$Q27=2),1,0),IF($X27&lt;=20,1,0))</formula>
    </cfRule>
    <cfRule type="expression" priority="943" dxfId="2">
      <formula>AND(IF($Q27=2,1,0),IF($X27&lt;30,1,0))</formula>
    </cfRule>
    <cfRule type="expression" priority="944" dxfId="1">
      <formula>AND(IF($Q27=3,1,0),IF($X27&lt;30,1,0))</formula>
    </cfRule>
    <cfRule type="expression" priority="945" dxfId="0">
      <formula>AND(IF($Q27=3,1,IF($Q27=4,1,0)),IF($F27&lt;=85,1,0))</formula>
    </cfRule>
  </conditionalFormatting>
  <conditionalFormatting sqref="X27">
    <cfRule type="expression" priority="938" dxfId="3">
      <formula>AND(IF(OR($Q27=1,$Q27=2),1,0),IF($X27&lt;=20,1,0))</formula>
    </cfRule>
    <cfRule type="expression" priority="939" dxfId="2">
      <formula>AND(IF($Q27=2,1,0),IF($X27&lt;30,1,0))</formula>
    </cfRule>
    <cfRule type="expression" priority="940" dxfId="1">
      <formula>AND(IF($Q27=3,1,0),IF($X27&lt;30,1,0))</formula>
    </cfRule>
    <cfRule type="expression" priority="941" dxfId="0">
      <formula>AND(IF($Q27=3,1,IF($Q27=4,1,0)),IF($F27&lt;=85,1,0))</formula>
    </cfRule>
  </conditionalFormatting>
  <conditionalFormatting sqref="AI27">
    <cfRule type="expression" priority="934" dxfId="3">
      <formula>AND(IF(OR($Q27=1,$Q27=2),1,0),IF($X27&lt;=20,1,0))</formula>
    </cfRule>
    <cfRule type="expression" priority="935" dxfId="2">
      <formula>AND(IF($Q27=2,1,0),IF($X27&lt;30,1,0))</formula>
    </cfRule>
    <cfRule type="expression" priority="936" dxfId="1">
      <formula>AND(IF($Q27=3,1,0),IF($X27&lt;30,1,0))</formula>
    </cfRule>
    <cfRule type="expression" priority="937" dxfId="0">
      <formula>AND(IF($Q27=3,1,IF($Q27=4,1,0)),IF($F27&lt;=85,1,0))</formula>
    </cfRule>
  </conditionalFormatting>
  <conditionalFormatting sqref="AV28">
    <cfRule type="expression" priority="932" dxfId="17">
      <formula>AV28="X"</formula>
    </cfRule>
    <cfRule type="expression" priority="933" dxfId="16">
      <formula>AV28="후보"</formula>
    </cfRule>
  </conditionalFormatting>
  <conditionalFormatting sqref="AC28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8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17">
      <formula>AV29="X"</formula>
    </cfRule>
    <cfRule type="expression" priority="914" dxfId="16">
      <formula>AV29="후보"</formula>
    </cfRule>
  </conditionalFormatting>
  <conditionalFormatting sqref="AC29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9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17">
      <formula>AV30="X"</formula>
    </cfRule>
    <cfRule type="expression" priority="895" dxfId="16">
      <formula>AV30="후보"</formula>
    </cfRule>
  </conditionalFormatting>
  <conditionalFormatting sqref="AC30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0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17">
      <formula>AV31="X"</formula>
    </cfRule>
    <cfRule type="expression" priority="876" dxfId="16">
      <formula>AV31="후보"</formula>
    </cfRule>
  </conditionalFormatting>
  <conditionalFormatting sqref="AC31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31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17">
      <formula>AV32="X"</formula>
    </cfRule>
    <cfRule type="expression" priority="857" dxfId="16">
      <formula>AV32="후보"</formula>
    </cfRule>
  </conditionalFormatting>
  <conditionalFormatting sqref="AC32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32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17">
      <formula>AV33="X"</formula>
    </cfRule>
    <cfRule type="expression" priority="838" dxfId="16">
      <formula>AV33="후보"</formula>
    </cfRule>
  </conditionalFormatting>
  <conditionalFormatting sqref="AC33 N33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34">
    <cfRule type="expression" priority="832" dxfId="17">
      <formula>AV34="X"</formula>
    </cfRule>
    <cfRule type="expression" priority="833" dxfId="16">
      <formula>AV34="후보"</formula>
    </cfRule>
  </conditionalFormatting>
  <conditionalFormatting sqref="AC34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4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4">
    <cfRule type="expression" priority="823" dxfId="3">
      <formula>AND(IF(OR($Q34=1,$Q34=2),1,0),IF($X34&lt;=20,1,0))</formula>
    </cfRule>
    <cfRule type="expression" priority="824" dxfId="2">
      <formula>AND(IF($Q34=2,1,0),IF($X34&lt;30,1,0))</formula>
    </cfRule>
    <cfRule type="expression" priority="825" dxfId="1">
      <formula>AND(IF($Q34=3,1,0),IF($X34&lt;30,1,0))</formula>
    </cfRule>
    <cfRule type="expression" priority="826" dxfId="0">
      <formula>AND(IF($Q34=3,1,IF($Q34=4,1,0)),IF($F34&lt;=85,1,0))</formula>
    </cfRule>
  </conditionalFormatting>
  <conditionalFormatting sqref="X34">
    <cfRule type="expression" priority="819" dxfId="3">
      <formula>AND(IF(OR($Q34=1,$Q34=2),1,0),IF($X34&lt;=20,1,0))</formula>
    </cfRule>
    <cfRule type="expression" priority="820" dxfId="2">
      <formula>AND(IF($Q34=2,1,0),IF($X34&lt;30,1,0))</formula>
    </cfRule>
    <cfRule type="expression" priority="821" dxfId="1">
      <formula>AND(IF($Q34=3,1,0),IF($X34&lt;30,1,0))</formula>
    </cfRule>
    <cfRule type="expression" priority="822" dxfId="0">
      <formula>AND(IF($Q34=3,1,IF($Q34=4,1,0)),IF($F34&lt;=85,1,0))</formula>
    </cfRule>
  </conditionalFormatting>
  <conditionalFormatting sqref="AI34">
    <cfRule type="expression" priority="815" dxfId="3">
      <formula>AND(IF(OR($Q34=1,$Q34=2),1,0),IF($X34&lt;=20,1,0))</formula>
    </cfRule>
    <cfRule type="expression" priority="816" dxfId="2">
      <formula>AND(IF($Q34=2,1,0),IF($X34&lt;30,1,0))</formula>
    </cfRule>
    <cfRule type="expression" priority="817" dxfId="1">
      <formula>AND(IF($Q34=3,1,0),IF($X34&lt;30,1,0))</formula>
    </cfRule>
    <cfRule type="expression" priority="818" dxfId="0">
      <formula>AND(IF($Q34=3,1,IF($Q34=4,1,0)),IF($F34&lt;=85,1,0))</formula>
    </cfRule>
  </conditionalFormatting>
  <conditionalFormatting sqref="AV35">
    <cfRule type="expression" priority="813" dxfId="17">
      <formula>AV35="X"</formula>
    </cfRule>
    <cfRule type="expression" priority="814" dxfId="16">
      <formula>AV35="후보"</formula>
    </cfRule>
  </conditionalFormatting>
  <conditionalFormatting sqref="AC35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35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17">
      <formula>AV36="X"</formula>
    </cfRule>
    <cfRule type="expression" priority="795" dxfId="16">
      <formula>AV36="후보"</formula>
    </cfRule>
  </conditionalFormatting>
  <conditionalFormatting sqref="AC36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3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17">
      <formula>AV37="X"</formula>
    </cfRule>
    <cfRule type="expression" priority="776" dxfId="16">
      <formula>AV37="후보"</formula>
    </cfRule>
  </conditionalFormatting>
  <conditionalFormatting sqref="AC37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37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17">
      <formula>AV38="X"</formula>
    </cfRule>
    <cfRule type="expression" priority="757" dxfId="16">
      <formula>AV38="후보"</formula>
    </cfRule>
  </conditionalFormatting>
  <conditionalFormatting sqref="AC3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17">
      <formula>AV39="X"</formula>
    </cfRule>
    <cfRule type="expression" priority="738" dxfId="16">
      <formula>AV39="후보"</formula>
    </cfRule>
  </conditionalFormatting>
  <conditionalFormatting sqref="AC39 N39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40">
    <cfRule type="expression" priority="732" dxfId="17">
      <formula>AV40="X"</formula>
    </cfRule>
    <cfRule type="expression" priority="733" dxfId="16">
      <formula>AV40="후보"</formula>
    </cfRule>
  </conditionalFormatting>
  <conditionalFormatting sqref="AC40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40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40">
    <cfRule type="expression" priority="723" dxfId="3">
      <formula>AND(IF(OR($Q40=1,$Q40=2),1,0),IF($X40&lt;=20,1,0))</formula>
    </cfRule>
    <cfRule type="expression" priority="724" dxfId="2">
      <formula>AND(IF($Q40=2,1,0),IF($X40&lt;30,1,0))</formula>
    </cfRule>
    <cfRule type="expression" priority="725" dxfId="1">
      <formula>AND(IF($Q40=3,1,0),IF($X40&lt;30,1,0))</formula>
    </cfRule>
    <cfRule type="expression" priority="726" dxfId="0">
      <formula>AND(IF($Q40=3,1,IF($Q40=4,1,0)),IF($F40&lt;=85,1,0))</formula>
    </cfRule>
  </conditionalFormatting>
  <conditionalFormatting sqref="X40">
    <cfRule type="expression" priority="719" dxfId="3">
      <formula>AND(IF(OR($Q40=1,$Q40=2),1,0),IF($X40&lt;=20,1,0))</formula>
    </cfRule>
    <cfRule type="expression" priority="720" dxfId="2">
      <formula>AND(IF($Q40=2,1,0),IF($X40&lt;30,1,0))</formula>
    </cfRule>
    <cfRule type="expression" priority="721" dxfId="1">
      <formula>AND(IF($Q40=3,1,0),IF($X40&lt;30,1,0))</formula>
    </cfRule>
    <cfRule type="expression" priority="722" dxfId="0">
      <formula>AND(IF($Q40=3,1,IF($Q40=4,1,0)),IF($F40&lt;=85,1,0))</formula>
    </cfRule>
  </conditionalFormatting>
  <conditionalFormatting sqref="AI40">
    <cfRule type="expression" priority="715" dxfId="3">
      <formula>AND(IF(OR($Q40=1,$Q40=2),1,0),IF($X40&lt;=20,1,0))</formula>
    </cfRule>
    <cfRule type="expression" priority="716" dxfId="2">
      <formula>AND(IF($Q40=2,1,0),IF($X40&lt;30,1,0))</formula>
    </cfRule>
    <cfRule type="expression" priority="717" dxfId="1">
      <formula>AND(IF($Q40=3,1,0),IF($X40&lt;30,1,0))</formula>
    </cfRule>
    <cfRule type="expression" priority="718" dxfId="0">
      <formula>AND(IF($Q40=3,1,IF($Q40=4,1,0)),IF($F40&lt;=85,1,0))</formula>
    </cfRule>
  </conditionalFormatting>
  <conditionalFormatting sqref="AV41">
    <cfRule type="expression" priority="713" dxfId="17">
      <formula>AV41="X"</formula>
    </cfRule>
    <cfRule type="expression" priority="714" dxfId="16">
      <formula>AV41="후보"</formula>
    </cfRule>
  </conditionalFormatting>
  <conditionalFormatting sqref="AC41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41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41">
    <cfRule type="expression" priority="704" dxfId="3">
      <formula>AND(IF(OR($Q41=1,$Q41=2),1,0),IF($X41&lt;=20,1,0))</formula>
    </cfRule>
    <cfRule type="expression" priority="705" dxfId="2">
      <formula>AND(IF($Q41=2,1,0),IF($X41&lt;30,1,0))</formula>
    </cfRule>
    <cfRule type="expression" priority="706" dxfId="1">
      <formula>AND(IF($Q41=3,1,0),IF($X41&lt;30,1,0))</formula>
    </cfRule>
    <cfRule type="expression" priority="707" dxfId="0">
      <formula>AND(IF($Q41=3,1,IF($Q41=4,1,0)),IF($F41&lt;=85,1,0))</formula>
    </cfRule>
  </conditionalFormatting>
  <conditionalFormatting sqref="X41">
    <cfRule type="expression" priority="700" dxfId="3">
      <formula>AND(IF(OR($Q41=1,$Q41=2),1,0),IF($X41&lt;=20,1,0))</formula>
    </cfRule>
    <cfRule type="expression" priority="701" dxfId="2">
      <formula>AND(IF($Q41=2,1,0),IF($X41&lt;30,1,0))</formula>
    </cfRule>
    <cfRule type="expression" priority="702" dxfId="1">
      <formula>AND(IF($Q41=3,1,0),IF($X41&lt;30,1,0))</formula>
    </cfRule>
    <cfRule type="expression" priority="703" dxfId="0">
      <formula>AND(IF($Q41=3,1,IF($Q41=4,1,0)),IF($F41&lt;=85,1,0))</formula>
    </cfRule>
  </conditionalFormatting>
  <conditionalFormatting sqref="AI41">
    <cfRule type="expression" priority="696" dxfId="3">
      <formula>AND(IF(OR($Q41=1,$Q41=2),1,0),IF($X41&lt;=20,1,0))</formula>
    </cfRule>
    <cfRule type="expression" priority="697" dxfId="2">
      <formula>AND(IF($Q41=2,1,0),IF($X41&lt;30,1,0))</formula>
    </cfRule>
    <cfRule type="expression" priority="698" dxfId="1">
      <formula>AND(IF($Q41=3,1,0),IF($X41&lt;30,1,0))</formula>
    </cfRule>
    <cfRule type="expression" priority="699" dxfId="0">
      <formula>AND(IF($Q41=3,1,IF($Q41=4,1,0)),IF($F41&lt;=85,1,0))</formula>
    </cfRule>
  </conditionalFormatting>
  <conditionalFormatting sqref="AV42">
    <cfRule type="expression" priority="694" dxfId="17">
      <formula>AV42="X"</formula>
    </cfRule>
    <cfRule type="expression" priority="695" dxfId="16">
      <formula>AV42="후보"</formula>
    </cfRule>
  </conditionalFormatting>
  <conditionalFormatting sqref="AC42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42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42">
    <cfRule type="expression" priority="685" dxfId="3">
      <formula>AND(IF(OR($Q42=1,$Q42=2),1,0),IF($X42&lt;=20,1,0))</formula>
    </cfRule>
    <cfRule type="expression" priority="686" dxfId="2">
      <formula>AND(IF($Q42=2,1,0),IF($X42&lt;30,1,0))</formula>
    </cfRule>
    <cfRule type="expression" priority="687" dxfId="1">
      <formula>AND(IF($Q42=3,1,0),IF($X42&lt;30,1,0))</formula>
    </cfRule>
    <cfRule type="expression" priority="688" dxfId="0">
      <formula>AND(IF($Q42=3,1,IF($Q42=4,1,0)),IF($F42&lt;=85,1,0))</formula>
    </cfRule>
  </conditionalFormatting>
  <conditionalFormatting sqref="X42">
    <cfRule type="expression" priority="681" dxfId="3">
      <formula>AND(IF(OR($Q42=1,$Q42=2),1,0),IF($X42&lt;=20,1,0))</formula>
    </cfRule>
    <cfRule type="expression" priority="682" dxfId="2">
      <formula>AND(IF($Q42=2,1,0),IF($X42&lt;30,1,0))</formula>
    </cfRule>
    <cfRule type="expression" priority="683" dxfId="1">
      <formula>AND(IF($Q42=3,1,0),IF($X42&lt;30,1,0))</formula>
    </cfRule>
    <cfRule type="expression" priority="684" dxfId="0">
      <formula>AND(IF($Q42=3,1,IF($Q42=4,1,0)),IF($F42&lt;=85,1,0))</formula>
    </cfRule>
  </conditionalFormatting>
  <conditionalFormatting sqref="AI42">
    <cfRule type="expression" priority="677" dxfId="3">
      <formula>AND(IF(OR($Q42=1,$Q42=2),1,0),IF($X42&lt;=20,1,0))</formula>
    </cfRule>
    <cfRule type="expression" priority="678" dxfId="2">
      <formula>AND(IF($Q42=2,1,0),IF($X42&lt;30,1,0))</formula>
    </cfRule>
    <cfRule type="expression" priority="679" dxfId="1">
      <formula>AND(IF($Q42=3,1,0),IF($X42&lt;30,1,0))</formula>
    </cfRule>
    <cfRule type="expression" priority="680" dxfId="0">
      <formula>AND(IF($Q42=3,1,IF($Q42=4,1,0)),IF($F42&lt;=85,1,0))</formula>
    </cfRule>
  </conditionalFormatting>
  <conditionalFormatting sqref="AV43">
    <cfRule type="expression" priority="675" dxfId="17">
      <formula>AV43="X"</formula>
    </cfRule>
    <cfRule type="expression" priority="676" dxfId="16">
      <formula>AV43="후보"</formula>
    </cfRule>
  </conditionalFormatting>
  <conditionalFormatting sqref="AC43 N43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44">
    <cfRule type="expression" priority="670" dxfId="17">
      <formula>AV44="X"</formula>
    </cfRule>
    <cfRule type="expression" priority="671" dxfId="16">
      <formula>AV44="후보"</formula>
    </cfRule>
  </conditionalFormatting>
  <conditionalFormatting sqref="AC44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4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4">
    <cfRule type="expression" priority="661" dxfId="3">
      <formula>AND(IF(OR($Q44=1,$Q44=2),1,0),IF($X44&lt;=20,1,0))</formula>
    </cfRule>
    <cfRule type="expression" priority="662" dxfId="2">
      <formula>AND(IF($Q44=2,1,0),IF($X44&lt;30,1,0))</formula>
    </cfRule>
    <cfRule type="expression" priority="663" dxfId="1">
      <formula>AND(IF($Q44=3,1,0),IF($X44&lt;30,1,0))</formula>
    </cfRule>
    <cfRule type="expression" priority="664" dxfId="0">
      <formula>AND(IF($Q44=3,1,IF($Q44=4,1,0)),IF($F44&lt;=85,1,0))</formula>
    </cfRule>
  </conditionalFormatting>
  <conditionalFormatting sqref="X44">
    <cfRule type="expression" priority="657" dxfId="3">
      <formula>AND(IF(OR($Q44=1,$Q44=2),1,0),IF($X44&lt;=20,1,0))</formula>
    </cfRule>
    <cfRule type="expression" priority="658" dxfId="2">
      <formula>AND(IF($Q44=2,1,0),IF($X44&lt;30,1,0))</formula>
    </cfRule>
    <cfRule type="expression" priority="659" dxfId="1">
      <formula>AND(IF($Q44=3,1,0),IF($X44&lt;30,1,0))</formula>
    </cfRule>
    <cfRule type="expression" priority="660" dxfId="0">
      <formula>AND(IF($Q44=3,1,IF($Q44=4,1,0)),IF($F44&lt;=85,1,0))</formula>
    </cfRule>
  </conditionalFormatting>
  <conditionalFormatting sqref="AI44">
    <cfRule type="expression" priority="653" dxfId="3">
      <formula>AND(IF(OR($Q44=1,$Q44=2),1,0),IF($X44&lt;=20,1,0))</formula>
    </cfRule>
    <cfRule type="expression" priority="654" dxfId="2">
      <formula>AND(IF($Q44=2,1,0),IF($X44&lt;30,1,0))</formula>
    </cfRule>
    <cfRule type="expression" priority="655" dxfId="1">
      <formula>AND(IF($Q44=3,1,0),IF($X44&lt;30,1,0))</formula>
    </cfRule>
    <cfRule type="expression" priority="656" dxfId="0">
      <formula>AND(IF($Q44=3,1,IF($Q44=4,1,0)),IF($F44&lt;=85,1,0))</formula>
    </cfRule>
  </conditionalFormatting>
  <conditionalFormatting sqref="AV45">
    <cfRule type="expression" priority="651" dxfId="17">
      <formula>AV45="X"</formula>
    </cfRule>
    <cfRule type="expression" priority="652" dxfId="16">
      <formula>AV45="후보"</formula>
    </cfRule>
  </conditionalFormatting>
  <conditionalFormatting sqref="AC45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5">
    <cfRule type="expression" priority="642" dxfId="3">
      <formula>AND(IF(OR($Q45=1,$Q45=2),1,0),IF($X45&lt;=20,1,0))</formula>
    </cfRule>
    <cfRule type="expression" priority="643" dxfId="2">
      <formula>AND(IF($Q45=2,1,0),IF($X45&lt;30,1,0))</formula>
    </cfRule>
    <cfRule type="expression" priority="644" dxfId="1">
      <formula>AND(IF($Q45=3,1,0),IF($X45&lt;30,1,0))</formula>
    </cfRule>
    <cfRule type="expression" priority="645" dxfId="0">
      <formula>AND(IF($Q45=3,1,IF($Q45=4,1,0)),IF($F45&lt;=85,1,0))</formula>
    </cfRule>
  </conditionalFormatting>
  <conditionalFormatting sqref="X45">
    <cfRule type="expression" priority="638" dxfId="3">
      <formula>AND(IF(OR($Q45=1,$Q45=2),1,0),IF($X45&lt;=20,1,0))</formula>
    </cfRule>
    <cfRule type="expression" priority="639" dxfId="2">
      <formula>AND(IF($Q45=2,1,0),IF($X45&lt;30,1,0))</formula>
    </cfRule>
    <cfRule type="expression" priority="640" dxfId="1">
      <formula>AND(IF($Q45=3,1,0),IF($X45&lt;30,1,0))</formula>
    </cfRule>
    <cfRule type="expression" priority="641" dxfId="0">
      <formula>AND(IF($Q45=3,1,IF($Q45=4,1,0)),IF($F45&lt;=85,1,0))</formula>
    </cfRule>
  </conditionalFormatting>
  <conditionalFormatting sqref="AI45">
    <cfRule type="expression" priority="634" dxfId="3">
      <formula>AND(IF(OR($Q45=1,$Q45=2),1,0),IF($X45&lt;=20,1,0))</formula>
    </cfRule>
    <cfRule type="expression" priority="635" dxfId="2">
      <formula>AND(IF($Q45=2,1,0),IF($X45&lt;30,1,0))</formula>
    </cfRule>
    <cfRule type="expression" priority="636" dxfId="1">
      <formula>AND(IF($Q45=3,1,0),IF($X45&lt;30,1,0))</formula>
    </cfRule>
    <cfRule type="expression" priority="637" dxfId="0">
      <formula>AND(IF($Q45=3,1,IF($Q45=4,1,0)),IF($F45&lt;=85,1,0))</formula>
    </cfRule>
  </conditionalFormatting>
  <conditionalFormatting sqref="AV46">
    <cfRule type="expression" priority="632" dxfId="17">
      <formula>AV46="X"</formula>
    </cfRule>
    <cfRule type="expression" priority="633" dxfId="16">
      <formula>AV46="후보"</formula>
    </cfRule>
  </conditionalFormatting>
  <conditionalFormatting sqref="AC46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6">
    <cfRule type="expression" priority="623" dxfId="3">
      <formula>AND(IF(OR($Q46=1,$Q46=2),1,0),IF($X46&lt;=20,1,0))</formula>
    </cfRule>
    <cfRule type="expression" priority="624" dxfId="2">
      <formula>AND(IF($Q46=2,1,0),IF($X46&lt;30,1,0))</formula>
    </cfRule>
    <cfRule type="expression" priority="625" dxfId="1">
      <formula>AND(IF($Q46=3,1,0),IF($X46&lt;30,1,0))</formula>
    </cfRule>
    <cfRule type="expression" priority="626" dxfId="0">
      <formula>AND(IF($Q46=3,1,IF($Q46=4,1,0)),IF($F46&lt;=85,1,0))</formula>
    </cfRule>
  </conditionalFormatting>
  <conditionalFormatting sqref="X46">
    <cfRule type="expression" priority="619" dxfId="3">
      <formula>AND(IF(OR($Q46=1,$Q46=2),1,0),IF($X46&lt;=20,1,0))</formula>
    </cfRule>
    <cfRule type="expression" priority="620" dxfId="2">
      <formula>AND(IF($Q46=2,1,0),IF($X46&lt;30,1,0))</formula>
    </cfRule>
    <cfRule type="expression" priority="621" dxfId="1">
      <formula>AND(IF($Q46=3,1,0),IF($X46&lt;30,1,0))</formula>
    </cfRule>
    <cfRule type="expression" priority="622" dxfId="0">
      <formula>AND(IF($Q46=3,1,IF($Q46=4,1,0)),IF($F46&lt;=85,1,0))</formula>
    </cfRule>
  </conditionalFormatting>
  <conditionalFormatting sqref="AI46">
    <cfRule type="expression" priority="615" dxfId="3">
      <formula>AND(IF(OR($Q46=1,$Q46=2),1,0),IF($X46&lt;=20,1,0))</formula>
    </cfRule>
    <cfRule type="expression" priority="616" dxfId="2">
      <formula>AND(IF($Q46=2,1,0),IF($X46&lt;30,1,0))</formula>
    </cfRule>
    <cfRule type="expression" priority="617" dxfId="1">
      <formula>AND(IF($Q46=3,1,0),IF($X46&lt;30,1,0))</formula>
    </cfRule>
    <cfRule type="expression" priority="618" dxfId="0">
      <formula>AND(IF($Q46=3,1,IF($Q46=4,1,0)),IF($F46&lt;=85,1,0))</formula>
    </cfRule>
  </conditionalFormatting>
  <conditionalFormatting sqref="AV47">
    <cfRule type="expression" priority="613" dxfId="17">
      <formula>AV47="X"</formula>
    </cfRule>
    <cfRule type="expression" priority="614" dxfId="16">
      <formula>AV47="후보"</formula>
    </cfRule>
  </conditionalFormatting>
  <conditionalFormatting sqref="AC47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47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47">
    <cfRule type="expression" priority="604" dxfId="3">
      <formula>AND(IF(OR($Q47=1,$Q47=2),1,0),IF($X47&lt;=20,1,0))</formula>
    </cfRule>
    <cfRule type="expression" priority="605" dxfId="2">
      <formula>AND(IF($Q47=2,1,0),IF($X47&lt;30,1,0))</formula>
    </cfRule>
    <cfRule type="expression" priority="606" dxfId="1">
      <formula>AND(IF($Q47=3,1,0),IF($X47&lt;30,1,0))</formula>
    </cfRule>
    <cfRule type="expression" priority="607" dxfId="0">
      <formula>AND(IF($Q47=3,1,IF($Q47=4,1,0)),IF($F47&lt;=85,1,0))</formula>
    </cfRule>
  </conditionalFormatting>
  <conditionalFormatting sqref="X47">
    <cfRule type="expression" priority="600" dxfId="3">
      <formula>AND(IF(OR($Q47=1,$Q47=2),1,0),IF($X47&lt;=20,1,0))</formula>
    </cfRule>
    <cfRule type="expression" priority="601" dxfId="2">
      <formula>AND(IF($Q47=2,1,0),IF($X47&lt;30,1,0))</formula>
    </cfRule>
    <cfRule type="expression" priority="602" dxfId="1">
      <formula>AND(IF($Q47=3,1,0),IF($X47&lt;30,1,0))</formula>
    </cfRule>
    <cfRule type="expression" priority="603" dxfId="0">
      <formula>AND(IF($Q47=3,1,IF($Q47=4,1,0)),IF($F47&lt;=85,1,0))</formula>
    </cfRule>
  </conditionalFormatting>
  <conditionalFormatting sqref="AI47">
    <cfRule type="expression" priority="596" dxfId="3">
      <formula>AND(IF(OR($Q47=1,$Q47=2),1,0),IF($X47&lt;=20,1,0))</formula>
    </cfRule>
    <cfRule type="expression" priority="597" dxfId="2">
      <formula>AND(IF($Q47=2,1,0),IF($X47&lt;30,1,0))</formula>
    </cfRule>
    <cfRule type="expression" priority="598" dxfId="1">
      <formula>AND(IF($Q47=3,1,0),IF($X47&lt;30,1,0))</formula>
    </cfRule>
    <cfRule type="expression" priority="599" dxfId="0">
      <formula>AND(IF($Q47=3,1,IF($Q47=4,1,0)),IF($F47&lt;=85,1,0))</formula>
    </cfRule>
  </conditionalFormatting>
  <conditionalFormatting sqref="AV48">
    <cfRule type="expression" priority="594" dxfId="17">
      <formula>AV48="X"</formula>
    </cfRule>
    <cfRule type="expression" priority="595" dxfId="16">
      <formula>AV48="후보"</formula>
    </cfRule>
  </conditionalFormatting>
  <conditionalFormatting sqref="AC4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4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48">
    <cfRule type="expression" priority="585" dxfId="3">
      <formula>AND(IF(OR($Q48=1,$Q48=2),1,0),IF($X48&lt;=20,1,0))</formula>
    </cfRule>
    <cfRule type="expression" priority="586" dxfId="2">
      <formula>AND(IF($Q48=2,1,0),IF($X48&lt;30,1,0))</formula>
    </cfRule>
    <cfRule type="expression" priority="587" dxfId="1">
      <formula>AND(IF($Q48=3,1,0),IF($X48&lt;30,1,0))</formula>
    </cfRule>
    <cfRule type="expression" priority="588" dxfId="0">
      <formula>AND(IF($Q48=3,1,IF($Q48=4,1,0)),IF($F48&lt;=85,1,0))</formula>
    </cfRule>
  </conditionalFormatting>
  <conditionalFormatting sqref="X48">
    <cfRule type="expression" priority="581" dxfId="3">
      <formula>AND(IF(OR($Q48=1,$Q48=2),1,0),IF($X48&lt;=20,1,0))</formula>
    </cfRule>
    <cfRule type="expression" priority="582" dxfId="2">
      <formula>AND(IF($Q48=2,1,0),IF($X48&lt;30,1,0))</formula>
    </cfRule>
    <cfRule type="expression" priority="583" dxfId="1">
      <formula>AND(IF($Q48=3,1,0),IF($X48&lt;30,1,0))</formula>
    </cfRule>
    <cfRule type="expression" priority="584" dxfId="0">
      <formula>AND(IF($Q48=3,1,IF($Q48=4,1,0)),IF($F48&lt;=85,1,0))</formula>
    </cfRule>
  </conditionalFormatting>
  <conditionalFormatting sqref="AI48">
    <cfRule type="expression" priority="577" dxfId="3">
      <formula>AND(IF(OR($Q48=1,$Q48=2),1,0),IF($X48&lt;=20,1,0))</formula>
    </cfRule>
    <cfRule type="expression" priority="578" dxfId="2">
      <formula>AND(IF($Q48=2,1,0),IF($X48&lt;30,1,0))</formula>
    </cfRule>
    <cfRule type="expression" priority="579" dxfId="1">
      <formula>AND(IF($Q48=3,1,0),IF($X48&lt;30,1,0))</formula>
    </cfRule>
    <cfRule type="expression" priority="580" dxfId="0">
      <formula>AND(IF($Q48=3,1,IF($Q48=4,1,0)),IF($F48&lt;=85,1,0))</formula>
    </cfRule>
  </conditionalFormatting>
  <conditionalFormatting sqref="AV49">
    <cfRule type="expression" priority="575" dxfId="17">
      <formula>AV49="X"</formula>
    </cfRule>
    <cfRule type="expression" priority="576" dxfId="16">
      <formula>AV49="후보"</formula>
    </cfRule>
  </conditionalFormatting>
  <conditionalFormatting sqref="AC49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49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49">
    <cfRule type="expression" priority="566" dxfId="3">
      <formula>AND(IF(OR($Q49=1,$Q49=2),1,0),IF($X49&lt;=20,1,0))</formula>
    </cfRule>
    <cfRule type="expression" priority="567" dxfId="2">
      <formula>AND(IF($Q49=2,1,0),IF($X49&lt;30,1,0))</formula>
    </cfRule>
    <cfRule type="expression" priority="568" dxfId="1">
      <formula>AND(IF($Q49=3,1,0),IF($X49&lt;30,1,0))</formula>
    </cfRule>
    <cfRule type="expression" priority="569" dxfId="0">
      <formula>AND(IF($Q49=3,1,IF($Q49=4,1,0)),IF($F49&lt;=85,1,0))</formula>
    </cfRule>
  </conditionalFormatting>
  <conditionalFormatting sqref="X49">
    <cfRule type="expression" priority="562" dxfId="3">
      <formula>AND(IF(OR($Q49=1,$Q49=2),1,0),IF($X49&lt;=20,1,0))</formula>
    </cfRule>
    <cfRule type="expression" priority="563" dxfId="2">
      <formula>AND(IF($Q49=2,1,0),IF($X49&lt;30,1,0))</formula>
    </cfRule>
    <cfRule type="expression" priority="564" dxfId="1">
      <formula>AND(IF($Q49=3,1,0),IF($X49&lt;30,1,0))</formula>
    </cfRule>
    <cfRule type="expression" priority="565" dxfId="0">
      <formula>AND(IF($Q49=3,1,IF($Q49=4,1,0)),IF($F49&lt;=85,1,0))</formula>
    </cfRule>
  </conditionalFormatting>
  <conditionalFormatting sqref="AI49">
    <cfRule type="expression" priority="558" dxfId="3">
      <formula>AND(IF(OR($Q49=1,$Q49=2),1,0),IF($X49&lt;=20,1,0))</formula>
    </cfRule>
    <cfRule type="expression" priority="559" dxfId="2">
      <formula>AND(IF($Q49=2,1,0),IF($X49&lt;30,1,0))</formula>
    </cfRule>
    <cfRule type="expression" priority="560" dxfId="1">
      <formula>AND(IF($Q49=3,1,0),IF($X49&lt;30,1,0))</formula>
    </cfRule>
    <cfRule type="expression" priority="561" dxfId="0">
      <formula>AND(IF($Q49=3,1,IF($Q49=4,1,0)),IF($F49&lt;=85,1,0))</formula>
    </cfRule>
  </conditionalFormatting>
  <conditionalFormatting sqref="AV50">
    <cfRule type="expression" priority="556" dxfId="17">
      <formula>AV50="X"</formula>
    </cfRule>
    <cfRule type="expression" priority="557" dxfId="16">
      <formula>AV50="후보"</formula>
    </cfRule>
  </conditionalFormatting>
  <conditionalFormatting sqref="AC5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0">
    <cfRule type="expression" priority="547" dxfId="3">
      <formula>AND(IF(OR($Q50=1,$Q50=2),1,0),IF($X50&lt;=20,1,0))</formula>
    </cfRule>
    <cfRule type="expression" priority="548" dxfId="2">
      <formula>AND(IF($Q50=2,1,0),IF($X50&lt;30,1,0))</formula>
    </cfRule>
    <cfRule type="expression" priority="549" dxfId="1">
      <formula>AND(IF($Q50=3,1,0),IF($X50&lt;30,1,0))</formula>
    </cfRule>
    <cfRule type="expression" priority="550" dxfId="0">
      <formula>AND(IF($Q50=3,1,IF($Q50=4,1,0)),IF($F50&lt;=85,1,0))</formula>
    </cfRule>
  </conditionalFormatting>
  <conditionalFormatting sqref="X50">
    <cfRule type="expression" priority="543" dxfId="3">
      <formula>AND(IF(OR($Q50=1,$Q50=2),1,0),IF($X50&lt;=20,1,0))</formula>
    </cfRule>
    <cfRule type="expression" priority="544" dxfId="2">
      <formula>AND(IF($Q50=2,1,0),IF($X50&lt;30,1,0))</formula>
    </cfRule>
    <cfRule type="expression" priority="545" dxfId="1">
      <formula>AND(IF($Q50=3,1,0),IF($X50&lt;30,1,0))</formula>
    </cfRule>
    <cfRule type="expression" priority="546" dxfId="0">
      <formula>AND(IF($Q50=3,1,IF($Q50=4,1,0)),IF($F50&lt;=85,1,0))</formula>
    </cfRule>
  </conditionalFormatting>
  <conditionalFormatting sqref="AI50">
    <cfRule type="expression" priority="539" dxfId="3">
      <formula>AND(IF(OR($Q50=1,$Q50=2),1,0),IF($X50&lt;=20,1,0))</formula>
    </cfRule>
    <cfRule type="expression" priority="540" dxfId="2">
      <formula>AND(IF($Q50=2,1,0),IF($X50&lt;30,1,0))</formula>
    </cfRule>
    <cfRule type="expression" priority="541" dxfId="1">
      <formula>AND(IF($Q50=3,1,0),IF($X50&lt;30,1,0))</formula>
    </cfRule>
    <cfRule type="expression" priority="542" dxfId="0">
      <formula>AND(IF($Q50=3,1,IF($Q50=4,1,0)),IF($F50&lt;=85,1,0))</formula>
    </cfRule>
  </conditionalFormatting>
  <conditionalFormatting sqref="AV51">
    <cfRule type="expression" priority="537" dxfId="17">
      <formula>AV51="X"</formula>
    </cfRule>
    <cfRule type="expression" priority="538" dxfId="16">
      <formula>AV51="후보"</formula>
    </cfRule>
  </conditionalFormatting>
  <conditionalFormatting sqref="AC5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17">
      <formula>AV52="X"</formula>
    </cfRule>
    <cfRule type="expression" priority="519" dxfId="16">
      <formula>AV52="후보"</formula>
    </cfRule>
  </conditionalFormatting>
  <conditionalFormatting sqref="AC52 N5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53">
    <cfRule type="expression" priority="513" dxfId="17">
      <formula>AV53="X"</formula>
    </cfRule>
    <cfRule type="expression" priority="514" dxfId="16">
      <formula>AV53="후보"</formula>
    </cfRule>
  </conditionalFormatting>
  <conditionalFormatting sqref="AC53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53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53">
    <cfRule type="expression" priority="504" dxfId="3">
      <formula>AND(IF(OR($Q53=1,$Q53=2),1,0),IF($X53&lt;=20,1,0))</formula>
    </cfRule>
    <cfRule type="expression" priority="505" dxfId="2">
      <formula>AND(IF($Q53=2,1,0),IF($X53&lt;30,1,0))</formula>
    </cfRule>
    <cfRule type="expression" priority="506" dxfId="1">
      <formula>AND(IF($Q53=3,1,0),IF($X53&lt;30,1,0))</formula>
    </cfRule>
    <cfRule type="expression" priority="507" dxfId="0">
      <formula>AND(IF($Q53=3,1,IF($Q53=4,1,0)),IF($F53&lt;=85,1,0))</formula>
    </cfRule>
  </conditionalFormatting>
  <conditionalFormatting sqref="X53">
    <cfRule type="expression" priority="500" dxfId="3">
      <formula>AND(IF(OR($Q53=1,$Q53=2),1,0),IF($X53&lt;=20,1,0))</formula>
    </cfRule>
    <cfRule type="expression" priority="501" dxfId="2">
      <formula>AND(IF($Q53=2,1,0),IF($X53&lt;30,1,0))</formula>
    </cfRule>
    <cfRule type="expression" priority="502" dxfId="1">
      <formula>AND(IF($Q53=3,1,0),IF($X53&lt;30,1,0))</formula>
    </cfRule>
    <cfRule type="expression" priority="503" dxfId="0">
      <formula>AND(IF($Q53=3,1,IF($Q53=4,1,0)),IF($F53&lt;=85,1,0))</formula>
    </cfRule>
  </conditionalFormatting>
  <conditionalFormatting sqref="AI53">
    <cfRule type="expression" priority="496" dxfId="3">
      <formula>AND(IF(OR($Q53=1,$Q53=2),1,0),IF($X53&lt;=20,1,0))</formula>
    </cfRule>
    <cfRule type="expression" priority="497" dxfId="2">
      <formula>AND(IF($Q53=2,1,0),IF($X53&lt;30,1,0))</formula>
    </cfRule>
    <cfRule type="expression" priority="498" dxfId="1">
      <formula>AND(IF($Q53=3,1,0),IF($X53&lt;30,1,0))</formula>
    </cfRule>
    <cfRule type="expression" priority="499" dxfId="0">
      <formula>AND(IF($Q53=3,1,IF($Q53=4,1,0)),IF($F53&lt;=85,1,0))</formula>
    </cfRule>
  </conditionalFormatting>
  <conditionalFormatting sqref="AV54">
    <cfRule type="expression" priority="494" dxfId="17">
      <formula>AV54="X"</formula>
    </cfRule>
    <cfRule type="expression" priority="495" dxfId="16">
      <formula>AV54="후보"</formula>
    </cfRule>
  </conditionalFormatting>
  <conditionalFormatting sqref="AC54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4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4">
    <cfRule type="expression" priority="485" dxfId="3">
      <formula>AND(IF(OR($Q54=1,$Q54=2),1,0),IF($X54&lt;=20,1,0))</formula>
    </cfRule>
    <cfRule type="expression" priority="486" dxfId="2">
      <formula>AND(IF($Q54=2,1,0),IF($X54&lt;30,1,0))</formula>
    </cfRule>
    <cfRule type="expression" priority="487" dxfId="1">
      <formula>AND(IF($Q54=3,1,0),IF($X54&lt;30,1,0))</formula>
    </cfRule>
    <cfRule type="expression" priority="488" dxfId="0">
      <formula>AND(IF($Q54=3,1,IF($Q54=4,1,0)),IF($F54&lt;=85,1,0))</formula>
    </cfRule>
  </conditionalFormatting>
  <conditionalFormatting sqref="X54">
    <cfRule type="expression" priority="481" dxfId="3">
      <formula>AND(IF(OR($Q54=1,$Q54=2),1,0),IF($X54&lt;=20,1,0))</formula>
    </cfRule>
    <cfRule type="expression" priority="482" dxfId="2">
      <formula>AND(IF($Q54=2,1,0),IF($X54&lt;30,1,0))</formula>
    </cfRule>
    <cfRule type="expression" priority="483" dxfId="1">
      <formula>AND(IF($Q54=3,1,0),IF($X54&lt;30,1,0))</formula>
    </cfRule>
    <cfRule type="expression" priority="484" dxfId="0">
      <formula>AND(IF($Q54=3,1,IF($Q54=4,1,0)),IF($F54&lt;=85,1,0))</formula>
    </cfRule>
  </conditionalFormatting>
  <conditionalFormatting sqref="AI54">
    <cfRule type="expression" priority="477" dxfId="3">
      <formula>AND(IF(OR($Q54=1,$Q54=2),1,0),IF($X54&lt;=20,1,0))</formula>
    </cfRule>
    <cfRule type="expression" priority="478" dxfId="2">
      <formula>AND(IF($Q54=2,1,0),IF($X54&lt;30,1,0))</formula>
    </cfRule>
    <cfRule type="expression" priority="479" dxfId="1">
      <formula>AND(IF($Q54=3,1,0),IF($X54&lt;30,1,0))</formula>
    </cfRule>
    <cfRule type="expression" priority="480" dxfId="0">
      <formula>AND(IF($Q54=3,1,IF($Q54=4,1,0)),IF($F54&lt;=85,1,0))</formula>
    </cfRule>
  </conditionalFormatting>
  <conditionalFormatting sqref="AV55">
    <cfRule type="expression" priority="475" dxfId="17">
      <formula>AV55="X"</formula>
    </cfRule>
    <cfRule type="expression" priority="476" dxfId="16">
      <formula>AV55="후보"</formula>
    </cfRule>
  </conditionalFormatting>
  <conditionalFormatting sqref="AC5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5">
    <cfRule type="expression" priority="466" dxfId="3">
      <formula>AND(IF(OR($Q55=1,$Q55=2),1,0),IF($X55&lt;=20,1,0))</formula>
    </cfRule>
    <cfRule type="expression" priority="467" dxfId="2">
      <formula>AND(IF($Q55=2,1,0),IF($X55&lt;30,1,0))</formula>
    </cfRule>
    <cfRule type="expression" priority="468" dxfId="1">
      <formula>AND(IF($Q55=3,1,0),IF($X55&lt;30,1,0))</formula>
    </cfRule>
    <cfRule type="expression" priority="469" dxfId="0">
      <formula>AND(IF($Q55=3,1,IF($Q55=4,1,0)),IF($F55&lt;=85,1,0))</formula>
    </cfRule>
  </conditionalFormatting>
  <conditionalFormatting sqref="X55">
    <cfRule type="expression" priority="462" dxfId="3">
      <formula>AND(IF(OR($Q55=1,$Q55=2),1,0),IF($X55&lt;=20,1,0))</formula>
    </cfRule>
    <cfRule type="expression" priority="463" dxfId="2">
      <formula>AND(IF($Q55=2,1,0),IF($X55&lt;30,1,0))</formula>
    </cfRule>
    <cfRule type="expression" priority="464" dxfId="1">
      <formula>AND(IF($Q55=3,1,0),IF($X55&lt;30,1,0))</formula>
    </cfRule>
    <cfRule type="expression" priority="465" dxfId="0">
      <formula>AND(IF($Q55=3,1,IF($Q55=4,1,0)),IF($F55&lt;=85,1,0))</formula>
    </cfRule>
  </conditionalFormatting>
  <conditionalFormatting sqref="AI55">
    <cfRule type="expression" priority="458" dxfId="3">
      <formula>AND(IF(OR($Q55=1,$Q55=2),1,0),IF($X55&lt;=20,1,0))</formula>
    </cfRule>
    <cfRule type="expression" priority="459" dxfId="2">
      <formula>AND(IF($Q55=2,1,0),IF($X55&lt;30,1,0))</formula>
    </cfRule>
    <cfRule type="expression" priority="460" dxfId="1">
      <formula>AND(IF($Q55=3,1,0),IF($X55&lt;30,1,0))</formula>
    </cfRule>
    <cfRule type="expression" priority="461" dxfId="0">
      <formula>AND(IF($Q55=3,1,IF($Q55=4,1,0)),IF($F55&lt;=85,1,0))</formula>
    </cfRule>
  </conditionalFormatting>
  <conditionalFormatting sqref="AV56">
    <cfRule type="expression" priority="456" dxfId="17">
      <formula>AV56="X"</formula>
    </cfRule>
    <cfRule type="expression" priority="457" dxfId="16">
      <formula>AV56="후보"</formula>
    </cfRule>
  </conditionalFormatting>
  <conditionalFormatting sqref="AC5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6">
    <cfRule type="expression" priority="447" dxfId="3">
      <formula>AND(IF(OR($Q56=1,$Q56=2),1,0),IF($X56&lt;=20,1,0))</formula>
    </cfRule>
    <cfRule type="expression" priority="448" dxfId="2">
      <formula>AND(IF($Q56=2,1,0),IF($X56&lt;30,1,0))</formula>
    </cfRule>
    <cfRule type="expression" priority="449" dxfId="1">
      <formula>AND(IF($Q56=3,1,0),IF($X56&lt;30,1,0))</formula>
    </cfRule>
    <cfRule type="expression" priority="450" dxfId="0">
      <formula>AND(IF($Q56=3,1,IF($Q56=4,1,0)),IF($F56&lt;=85,1,0))</formula>
    </cfRule>
  </conditionalFormatting>
  <conditionalFormatting sqref="X56">
    <cfRule type="expression" priority="443" dxfId="3">
      <formula>AND(IF(OR($Q56=1,$Q56=2),1,0),IF($X56&lt;=20,1,0))</formula>
    </cfRule>
    <cfRule type="expression" priority="444" dxfId="2">
      <formula>AND(IF($Q56=2,1,0),IF($X56&lt;30,1,0))</formula>
    </cfRule>
    <cfRule type="expression" priority="445" dxfId="1">
      <formula>AND(IF($Q56=3,1,0),IF($X56&lt;30,1,0))</formula>
    </cfRule>
    <cfRule type="expression" priority="446" dxfId="0">
      <formula>AND(IF($Q56=3,1,IF($Q56=4,1,0)),IF($F56&lt;=85,1,0))</formula>
    </cfRule>
  </conditionalFormatting>
  <conditionalFormatting sqref="AI56">
    <cfRule type="expression" priority="439" dxfId="3">
      <formula>AND(IF(OR($Q56=1,$Q56=2),1,0),IF($X56&lt;=20,1,0))</formula>
    </cfRule>
    <cfRule type="expression" priority="440" dxfId="2">
      <formula>AND(IF($Q56=2,1,0),IF($X56&lt;30,1,0))</formula>
    </cfRule>
    <cfRule type="expression" priority="441" dxfId="1">
      <formula>AND(IF($Q56=3,1,0),IF($X56&lt;30,1,0))</formula>
    </cfRule>
    <cfRule type="expression" priority="442" dxfId="0">
      <formula>AND(IF($Q56=3,1,IF($Q56=4,1,0)),IF($F56&lt;=85,1,0))</formula>
    </cfRule>
  </conditionalFormatting>
  <conditionalFormatting sqref="AV57">
    <cfRule type="expression" priority="437" dxfId="17">
      <formula>AV57="X"</formula>
    </cfRule>
    <cfRule type="expression" priority="438" dxfId="16">
      <formula>AV57="후보"</formula>
    </cfRule>
  </conditionalFormatting>
  <conditionalFormatting sqref="AC57 N5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58">
    <cfRule type="expression" priority="432" dxfId="17">
      <formula>AV58="X"</formula>
    </cfRule>
    <cfRule type="expression" priority="433" dxfId="16">
      <formula>AV58="후보"</formula>
    </cfRule>
  </conditionalFormatting>
  <conditionalFormatting sqref="AC58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8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8">
    <cfRule type="expression" priority="423" dxfId="3">
      <formula>AND(IF(OR($Q58=1,$Q58=2),1,0),IF($X58&lt;=20,1,0))</formula>
    </cfRule>
    <cfRule type="expression" priority="424" dxfId="2">
      <formula>AND(IF($Q58=2,1,0),IF($X58&lt;30,1,0))</formula>
    </cfRule>
    <cfRule type="expression" priority="425" dxfId="1">
      <formula>AND(IF($Q58=3,1,0),IF($X58&lt;30,1,0))</formula>
    </cfRule>
    <cfRule type="expression" priority="426" dxfId="0">
      <formula>AND(IF($Q58=3,1,IF($Q58=4,1,0)),IF($F58&lt;=85,1,0))</formula>
    </cfRule>
  </conditionalFormatting>
  <conditionalFormatting sqref="X58">
    <cfRule type="expression" priority="419" dxfId="3">
      <formula>AND(IF(OR($Q58=1,$Q58=2),1,0),IF($X58&lt;=20,1,0))</formula>
    </cfRule>
    <cfRule type="expression" priority="420" dxfId="2">
      <formula>AND(IF($Q58=2,1,0),IF($X58&lt;30,1,0))</formula>
    </cfRule>
    <cfRule type="expression" priority="421" dxfId="1">
      <formula>AND(IF($Q58=3,1,0),IF($X58&lt;30,1,0))</formula>
    </cfRule>
    <cfRule type="expression" priority="422" dxfId="0">
      <formula>AND(IF($Q58=3,1,IF($Q58=4,1,0)),IF($F58&lt;=85,1,0))</formula>
    </cfRule>
  </conditionalFormatting>
  <conditionalFormatting sqref="AI58">
    <cfRule type="expression" priority="415" dxfId="3">
      <formula>AND(IF(OR($Q58=1,$Q58=2),1,0),IF($X58&lt;=20,1,0))</formula>
    </cfRule>
    <cfRule type="expression" priority="416" dxfId="2">
      <formula>AND(IF($Q58=2,1,0),IF($X58&lt;30,1,0))</formula>
    </cfRule>
    <cfRule type="expression" priority="417" dxfId="1">
      <formula>AND(IF($Q58=3,1,0),IF($X58&lt;30,1,0))</formula>
    </cfRule>
    <cfRule type="expression" priority="418" dxfId="0">
      <formula>AND(IF($Q58=3,1,IF($Q58=4,1,0)),IF($F58&lt;=85,1,0))</formula>
    </cfRule>
  </conditionalFormatting>
  <conditionalFormatting sqref="AV59">
    <cfRule type="expression" priority="413" dxfId="17">
      <formula>AV59="X"</formula>
    </cfRule>
    <cfRule type="expression" priority="414" dxfId="16">
      <formula>AV59="후보"</formula>
    </cfRule>
  </conditionalFormatting>
  <conditionalFormatting sqref="AC5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9">
    <cfRule type="expression" priority="404" dxfId="3">
      <formula>AND(IF(OR($Q59=1,$Q59=2),1,0),IF($X59&lt;=20,1,0))</formula>
    </cfRule>
    <cfRule type="expression" priority="405" dxfId="2">
      <formula>AND(IF($Q59=2,1,0),IF($X59&lt;30,1,0))</formula>
    </cfRule>
    <cfRule type="expression" priority="406" dxfId="1">
      <formula>AND(IF($Q59=3,1,0),IF($X59&lt;30,1,0))</formula>
    </cfRule>
    <cfRule type="expression" priority="407" dxfId="0">
      <formula>AND(IF($Q59=3,1,IF($Q59=4,1,0)),IF($F59&lt;=85,1,0))</formula>
    </cfRule>
  </conditionalFormatting>
  <conditionalFormatting sqref="X59">
    <cfRule type="expression" priority="400" dxfId="3">
      <formula>AND(IF(OR($Q59=1,$Q59=2),1,0),IF($X59&lt;=20,1,0))</formula>
    </cfRule>
    <cfRule type="expression" priority="401" dxfId="2">
      <formula>AND(IF($Q59=2,1,0),IF($X59&lt;30,1,0))</formula>
    </cfRule>
    <cfRule type="expression" priority="402" dxfId="1">
      <formula>AND(IF($Q59=3,1,0),IF($X59&lt;30,1,0))</formula>
    </cfRule>
    <cfRule type="expression" priority="403" dxfId="0">
      <formula>AND(IF($Q59=3,1,IF($Q59=4,1,0)),IF($F59&lt;=85,1,0))</formula>
    </cfRule>
  </conditionalFormatting>
  <conditionalFormatting sqref="AI59">
    <cfRule type="expression" priority="396" dxfId="3">
      <formula>AND(IF(OR($Q59=1,$Q59=2),1,0),IF($X59&lt;=20,1,0))</formula>
    </cfRule>
    <cfRule type="expression" priority="397" dxfId="2">
      <formula>AND(IF($Q59=2,1,0),IF($X59&lt;30,1,0))</formula>
    </cfRule>
    <cfRule type="expression" priority="398" dxfId="1">
      <formula>AND(IF($Q59=3,1,0),IF($X59&lt;30,1,0))</formula>
    </cfRule>
    <cfRule type="expression" priority="399" dxfId="0">
      <formula>AND(IF($Q59=3,1,IF($Q59=4,1,0)),IF($F59&lt;=85,1,0))</formula>
    </cfRule>
  </conditionalFormatting>
  <conditionalFormatting sqref="AV60">
    <cfRule type="expression" priority="394" dxfId="17">
      <formula>AV60="X"</formula>
    </cfRule>
    <cfRule type="expression" priority="395" dxfId="16">
      <formula>AV60="후보"</formula>
    </cfRule>
  </conditionalFormatting>
  <conditionalFormatting sqref="AC6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6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60">
    <cfRule type="expression" priority="385" dxfId="3">
      <formula>AND(IF(OR($Q60=1,$Q60=2),1,0),IF($X60&lt;=20,1,0))</formula>
    </cfRule>
    <cfRule type="expression" priority="386" dxfId="2">
      <formula>AND(IF($Q60=2,1,0),IF($X60&lt;30,1,0))</formula>
    </cfRule>
    <cfRule type="expression" priority="387" dxfId="1">
      <formula>AND(IF($Q60=3,1,0),IF($X60&lt;30,1,0))</formula>
    </cfRule>
    <cfRule type="expression" priority="388" dxfId="0">
      <formula>AND(IF($Q60=3,1,IF($Q60=4,1,0)),IF($F60&lt;=85,1,0))</formula>
    </cfRule>
  </conditionalFormatting>
  <conditionalFormatting sqref="X60">
    <cfRule type="expression" priority="381" dxfId="3">
      <formula>AND(IF(OR($Q60=1,$Q60=2),1,0),IF($X60&lt;=20,1,0))</formula>
    </cfRule>
    <cfRule type="expression" priority="382" dxfId="2">
      <formula>AND(IF($Q60=2,1,0),IF($X60&lt;30,1,0))</formula>
    </cfRule>
    <cfRule type="expression" priority="383" dxfId="1">
      <formula>AND(IF($Q60=3,1,0),IF($X60&lt;30,1,0))</formula>
    </cfRule>
    <cfRule type="expression" priority="384" dxfId="0">
      <formula>AND(IF($Q60=3,1,IF($Q60=4,1,0)),IF($F60&lt;=85,1,0))</formula>
    </cfRule>
  </conditionalFormatting>
  <conditionalFormatting sqref="AI60">
    <cfRule type="expression" priority="377" dxfId="3">
      <formula>AND(IF(OR($Q60=1,$Q60=2),1,0),IF($X60&lt;=20,1,0))</formula>
    </cfRule>
    <cfRule type="expression" priority="378" dxfId="2">
      <formula>AND(IF($Q60=2,1,0),IF($X60&lt;30,1,0))</formula>
    </cfRule>
    <cfRule type="expression" priority="379" dxfId="1">
      <formula>AND(IF($Q60=3,1,0),IF($X60&lt;30,1,0))</formula>
    </cfRule>
    <cfRule type="expression" priority="380" dxfId="0">
      <formula>AND(IF($Q60=3,1,IF($Q60=4,1,0)),IF($F60&lt;=85,1,0))</formula>
    </cfRule>
  </conditionalFormatting>
  <conditionalFormatting sqref="AV61">
    <cfRule type="expression" priority="375" dxfId="17">
      <formula>AV61="X"</formula>
    </cfRule>
    <cfRule type="expression" priority="376" dxfId="16">
      <formula>AV61="후보"</formula>
    </cfRule>
  </conditionalFormatting>
  <conditionalFormatting sqref="AC61 N6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62">
    <cfRule type="expression" priority="370" dxfId="17">
      <formula>AV62="X"</formula>
    </cfRule>
    <cfRule type="expression" priority="371" dxfId="16">
      <formula>AV62="후보"</formula>
    </cfRule>
  </conditionalFormatting>
  <conditionalFormatting sqref="AC6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6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62">
    <cfRule type="expression" priority="361" dxfId="3">
      <formula>AND(IF(OR($Q62=1,$Q62=2),1,0),IF($X62&lt;=20,1,0))</formula>
    </cfRule>
    <cfRule type="expression" priority="362" dxfId="2">
      <formula>AND(IF($Q62=2,1,0),IF($X62&lt;30,1,0))</formula>
    </cfRule>
    <cfRule type="expression" priority="363" dxfId="1">
      <formula>AND(IF($Q62=3,1,0),IF($X62&lt;30,1,0))</formula>
    </cfRule>
    <cfRule type="expression" priority="364" dxfId="0">
      <formula>AND(IF($Q62=3,1,IF($Q62=4,1,0)),IF($F62&lt;=85,1,0))</formula>
    </cfRule>
  </conditionalFormatting>
  <conditionalFormatting sqref="X62">
    <cfRule type="expression" priority="357" dxfId="3">
      <formula>AND(IF(OR($Q62=1,$Q62=2),1,0),IF($X62&lt;=20,1,0))</formula>
    </cfRule>
    <cfRule type="expression" priority="358" dxfId="2">
      <formula>AND(IF($Q62=2,1,0),IF($X62&lt;30,1,0))</formula>
    </cfRule>
    <cfRule type="expression" priority="359" dxfId="1">
      <formula>AND(IF($Q62=3,1,0),IF($X62&lt;30,1,0))</formula>
    </cfRule>
    <cfRule type="expression" priority="360" dxfId="0">
      <formula>AND(IF($Q62=3,1,IF($Q62=4,1,0)),IF($F62&lt;=85,1,0))</formula>
    </cfRule>
  </conditionalFormatting>
  <conditionalFormatting sqref="AI62">
    <cfRule type="expression" priority="353" dxfId="3">
      <formula>AND(IF(OR($Q62=1,$Q62=2),1,0),IF($X62&lt;=20,1,0))</formula>
    </cfRule>
    <cfRule type="expression" priority="354" dxfId="2">
      <formula>AND(IF($Q62=2,1,0),IF($X62&lt;30,1,0))</formula>
    </cfRule>
    <cfRule type="expression" priority="355" dxfId="1">
      <formula>AND(IF($Q62=3,1,0),IF($X62&lt;30,1,0))</formula>
    </cfRule>
    <cfRule type="expression" priority="356" dxfId="0">
      <formula>AND(IF($Q62=3,1,IF($Q62=4,1,0)),IF($F62&lt;=85,1,0))</formula>
    </cfRule>
  </conditionalFormatting>
  <conditionalFormatting sqref="AV63">
    <cfRule type="expression" priority="351" dxfId="17">
      <formula>AV63="X"</formula>
    </cfRule>
    <cfRule type="expression" priority="352" dxfId="16">
      <formula>AV63="후보"</formula>
    </cfRule>
  </conditionalFormatting>
  <conditionalFormatting sqref="AC6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6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63">
    <cfRule type="expression" priority="342" dxfId="3">
      <formula>AND(IF(OR($Q63=1,$Q63=2),1,0),IF($X63&lt;=20,1,0))</formula>
    </cfRule>
    <cfRule type="expression" priority="343" dxfId="2">
      <formula>AND(IF($Q63=2,1,0),IF($X63&lt;30,1,0))</formula>
    </cfRule>
    <cfRule type="expression" priority="344" dxfId="1">
      <formula>AND(IF($Q63=3,1,0),IF($X63&lt;30,1,0))</formula>
    </cfRule>
    <cfRule type="expression" priority="345" dxfId="0">
      <formula>AND(IF($Q63=3,1,IF($Q63=4,1,0)),IF($F63&lt;=85,1,0))</formula>
    </cfRule>
  </conditionalFormatting>
  <conditionalFormatting sqref="X63">
    <cfRule type="expression" priority="338" dxfId="3">
      <formula>AND(IF(OR($Q63=1,$Q63=2),1,0),IF($X63&lt;=20,1,0))</formula>
    </cfRule>
    <cfRule type="expression" priority="339" dxfId="2">
      <formula>AND(IF($Q63=2,1,0),IF($X63&lt;30,1,0))</formula>
    </cfRule>
    <cfRule type="expression" priority="340" dxfId="1">
      <formula>AND(IF($Q63=3,1,0),IF($X63&lt;30,1,0))</formula>
    </cfRule>
    <cfRule type="expression" priority="341" dxfId="0">
      <formula>AND(IF($Q63=3,1,IF($Q63=4,1,0)),IF($F63&lt;=85,1,0))</formula>
    </cfRule>
  </conditionalFormatting>
  <conditionalFormatting sqref="AI63">
    <cfRule type="expression" priority="334" dxfId="3">
      <formula>AND(IF(OR($Q63=1,$Q63=2),1,0),IF($X63&lt;=20,1,0))</formula>
    </cfRule>
    <cfRule type="expression" priority="335" dxfId="2">
      <formula>AND(IF($Q63=2,1,0),IF($X63&lt;30,1,0))</formula>
    </cfRule>
    <cfRule type="expression" priority="336" dxfId="1">
      <formula>AND(IF($Q63=3,1,0),IF($X63&lt;30,1,0))</formula>
    </cfRule>
    <cfRule type="expression" priority="337" dxfId="0">
      <formula>AND(IF($Q63=3,1,IF($Q63=4,1,0)),IF($F63&lt;=85,1,0))</formula>
    </cfRule>
  </conditionalFormatting>
  <conditionalFormatting sqref="AV64">
    <cfRule type="expression" priority="332" dxfId="17">
      <formula>AV64="X"</formula>
    </cfRule>
    <cfRule type="expression" priority="333" dxfId="16">
      <formula>AV64="후보"</formula>
    </cfRule>
  </conditionalFormatting>
  <conditionalFormatting sqref="AC6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4">
    <cfRule type="expression" priority="323" dxfId="3">
      <formula>AND(IF(OR($Q64=1,$Q64=2),1,0),IF($X64&lt;=20,1,0))</formula>
    </cfRule>
    <cfRule type="expression" priority="324" dxfId="2">
      <formula>AND(IF($Q64=2,1,0),IF($X64&lt;30,1,0))</formula>
    </cfRule>
    <cfRule type="expression" priority="325" dxfId="1">
      <formula>AND(IF($Q64=3,1,0),IF($X64&lt;30,1,0))</formula>
    </cfRule>
    <cfRule type="expression" priority="326" dxfId="0">
      <formula>AND(IF($Q64=3,1,IF($Q64=4,1,0)),IF($F64&lt;=85,1,0))</formula>
    </cfRule>
  </conditionalFormatting>
  <conditionalFormatting sqref="X64">
    <cfRule type="expression" priority="319" dxfId="3">
      <formula>AND(IF(OR($Q64=1,$Q64=2),1,0),IF($X64&lt;=20,1,0))</formula>
    </cfRule>
    <cfRule type="expression" priority="320" dxfId="2">
      <formula>AND(IF($Q64=2,1,0),IF($X64&lt;30,1,0))</formula>
    </cfRule>
    <cfRule type="expression" priority="321" dxfId="1">
      <formula>AND(IF($Q64=3,1,0),IF($X64&lt;30,1,0))</formula>
    </cfRule>
    <cfRule type="expression" priority="322" dxfId="0">
      <formula>AND(IF($Q64=3,1,IF($Q64=4,1,0)),IF($F64&lt;=85,1,0))</formula>
    </cfRule>
  </conditionalFormatting>
  <conditionalFormatting sqref="AI64">
    <cfRule type="expression" priority="315" dxfId="3">
      <formula>AND(IF(OR($Q64=1,$Q64=2),1,0),IF($X64&lt;=20,1,0))</formula>
    </cfRule>
    <cfRule type="expression" priority="316" dxfId="2">
      <formula>AND(IF($Q64=2,1,0),IF($X64&lt;30,1,0))</formula>
    </cfRule>
    <cfRule type="expression" priority="317" dxfId="1">
      <formula>AND(IF($Q64=3,1,0),IF($X64&lt;30,1,0))</formula>
    </cfRule>
    <cfRule type="expression" priority="318" dxfId="0">
      <formula>AND(IF($Q64=3,1,IF($Q64=4,1,0)),IF($F64&lt;=85,1,0))</formula>
    </cfRule>
  </conditionalFormatting>
  <conditionalFormatting sqref="AV65">
    <cfRule type="expression" priority="313" dxfId="17">
      <formula>AV65="X"</formula>
    </cfRule>
    <cfRule type="expression" priority="314" dxfId="16">
      <formula>AV65="후보"</formula>
    </cfRule>
  </conditionalFormatting>
  <conditionalFormatting sqref="AC6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5">
    <cfRule type="expression" priority="304" dxfId="3">
      <formula>AND(IF(OR($Q65=1,$Q65=2),1,0),IF($X65&lt;=20,1,0))</formula>
    </cfRule>
    <cfRule type="expression" priority="305" dxfId="2">
      <formula>AND(IF($Q65=2,1,0),IF($X65&lt;30,1,0))</formula>
    </cfRule>
    <cfRule type="expression" priority="306" dxfId="1">
      <formula>AND(IF($Q65=3,1,0),IF($X65&lt;30,1,0))</formula>
    </cfRule>
    <cfRule type="expression" priority="307" dxfId="0">
      <formula>AND(IF($Q65=3,1,IF($Q65=4,1,0)),IF($F65&lt;=85,1,0))</formula>
    </cfRule>
  </conditionalFormatting>
  <conditionalFormatting sqref="X65">
    <cfRule type="expression" priority="300" dxfId="3">
      <formula>AND(IF(OR($Q65=1,$Q65=2),1,0),IF($X65&lt;=20,1,0))</formula>
    </cfRule>
    <cfRule type="expression" priority="301" dxfId="2">
      <formula>AND(IF($Q65=2,1,0),IF($X65&lt;30,1,0))</formula>
    </cfRule>
    <cfRule type="expression" priority="302" dxfId="1">
      <formula>AND(IF($Q65=3,1,0),IF($X65&lt;30,1,0))</formula>
    </cfRule>
    <cfRule type="expression" priority="303" dxfId="0">
      <formula>AND(IF($Q65=3,1,IF($Q65=4,1,0)),IF($F65&lt;=85,1,0))</formula>
    </cfRule>
  </conditionalFormatting>
  <conditionalFormatting sqref="AI65">
    <cfRule type="expression" priority="296" dxfId="3">
      <formula>AND(IF(OR($Q65=1,$Q65=2),1,0),IF($X65&lt;=20,1,0))</formula>
    </cfRule>
    <cfRule type="expression" priority="297" dxfId="2">
      <formula>AND(IF($Q65=2,1,0),IF($X65&lt;30,1,0))</formula>
    </cfRule>
    <cfRule type="expression" priority="298" dxfId="1">
      <formula>AND(IF($Q65=3,1,0),IF($X65&lt;30,1,0))</formula>
    </cfRule>
    <cfRule type="expression" priority="299" dxfId="0">
      <formula>AND(IF($Q65=3,1,IF($Q65=4,1,0)),IF($F65&lt;=85,1,0))</formula>
    </cfRule>
  </conditionalFormatting>
  <conditionalFormatting sqref="AV66">
    <cfRule type="expression" priority="294" dxfId="17">
      <formula>AV66="X"</formula>
    </cfRule>
    <cfRule type="expression" priority="295" dxfId="16">
      <formula>AV66="후보"</formula>
    </cfRule>
  </conditionalFormatting>
  <conditionalFormatting sqref="AC66 N6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67">
    <cfRule type="expression" priority="289" dxfId="17">
      <formula>AV67="X"</formula>
    </cfRule>
    <cfRule type="expression" priority="290" dxfId="16">
      <formula>AV67="후보"</formula>
    </cfRule>
  </conditionalFormatting>
  <conditionalFormatting sqref="AC6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7">
    <cfRule type="expression" priority="280" dxfId="3">
      <formula>AND(IF(OR($Q67=1,$Q67=2),1,0),IF($X67&lt;=20,1,0))</formula>
    </cfRule>
    <cfRule type="expression" priority="281" dxfId="2">
      <formula>AND(IF($Q67=2,1,0),IF($X67&lt;30,1,0))</formula>
    </cfRule>
    <cfRule type="expression" priority="282" dxfId="1">
      <formula>AND(IF($Q67=3,1,0),IF($X67&lt;30,1,0))</formula>
    </cfRule>
    <cfRule type="expression" priority="283" dxfId="0">
      <formula>AND(IF($Q67=3,1,IF($Q67=4,1,0)),IF($F67&lt;=85,1,0))</formula>
    </cfRule>
  </conditionalFormatting>
  <conditionalFormatting sqref="X67">
    <cfRule type="expression" priority="276" dxfId="3">
      <formula>AND(IF(OR($Q67=1,$Q67=2),1,0),IF($X67&lt;=20,1,0))</formula>
    </cfRule>
    <cfRule type="expression" priority="277" dxfId="2">
      <formula>AND(IF($Q67=2,1,0),IF($X67&lt;30,1,0))</formula>
    </cfRule>
    <cfRule type="expression" priority="278" dxfId="1">
      <formula>AND(IF($Q67=3,1,0),IF($X67&lt;30,1,0))</formula>
    </cfRule>
    <cfRule type="expression" priority="279" dxfId="0">
      <formula>AND(IF($Q67=3,1,IF($Q67=4,1,0)),IF($F67&lt;=85,1,0))</formula>
    </cfRule>
  </conditionalFormatting>
  <conditionalFormatting sqref="AI67">
    <cfRule type="expression" priority="272" dxfId="3">
      <formula>AND(IF(OR($Q67=1,$Q67=2),1,0),IF($X67&lt;=20,1,0))</formula>
    </cfRule>
    <cfRule type="expression" priority="273" dxfId="2">
      <formula>AND(IF($Q67=2,1,0),IF($X67&lt;30,1,0))</formula>
    </cfRule>
    <cfRule type="expression" priority="274" dxfId="1">
      <formula>AND(IF($Q67=3,1,0),IF($X67&lt;30,1,0))</formula>
    </cfRule>
    <cfRule type="expression" priority="275" dxfId="0">
      <formula>AND(IF($Q67=3,1,IF($Q67=4,1,0)),IF($F67&lt;=85,1,0))</formula>
    </cfRule>
  </conditionalFormatting>
  <conditionalFormatting sqref="AV68">
    <cfRule type="expression" priority="270" dxfId="17">
      <formula>AV68="X"</formula>
    </cfRule>
    <cfRule type="expression" priority="271" dxfId="16">
      <formula>AV68="후보"</formula>
    </cfRule>
  </conditionalFormatting>
  <conditionalFormatting sqref="AC6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8">
    <cfRule type="expression" priority="261" dxfId="3">
      <formula>AND(IF(OR($Q68=1,$Q68=2),1,0),IF($X68&lt;=20,1,0))</formula>
    </cfRule>
    <cfRule type="expression" priority="262" dxfId="2">
      <formula>AND(IF($Q68=2,1,0),IF($X68&lt;30,1,0))</formula>
    </cfRule>
    <cfRule type="expression" priority="263" dxfId="1">
      <formula>AND(IF($Q68=3,1,0),IF($X68&lt;30,1,0))</formula>
    </cfRule>
    <cfRule type="expression" priority="264" dxfId="0">
      <formula>AND(IF($Q68=3,1,IF($Q68=4,1,0)),IF($F68&lt;=85,1,0))</formula>
    </cfRule>
  </conditionalFormatting>
  <conditionalFormatting sqref="X68">
    <cfRule type="expression" priority="257" dxfId="3">
      <formula>AND(IF(OR($Q68=1,$Q68=2),1,0),IF($X68&lt;=20,1,0))</formula>
    </cfRule>
    <cfRule type="expression" priority="258" dxfId="2">
      <formula>AND(IF($Q68=2,1,0),IF($X68&lt;30,1,0))</formula>
    </cfRule>
    <cfRule type="expression" priority="259" dxfId="1">
      <formula>AND(IF($Q68=3,1,0),IF($X68&lt;30,1,0))</formula>
    </cfRule>
    <cfRule type="expression" priority="260" dxfId="0">
      <formula>AND(IF($Q68=3,1,IF($Q68=4,1,0)),IF($F68&lt;=85,1,0))</formula>
    </cfRule>
  </conditionalFormatting>
  <conditionalFormatting sqref="AI68">
    <cfRule type="expression" priority="253" dxfId="3">
      <formula>AND(IF(OR($Q68=1,$Q68=2),1,0),IF($X68&lt;=20,1,0))</formula>
    </cfRule>
    <cfRule type="expression" priority="254" dxfId="2">
      <formula>AND(IF($Q68=2,1,0),IF($X68&lt;30,1,0))</formula>
    </cfRule>
    <cfRule type="expression" priority="255" dxfId="1">
      <formula>AND(IF($Q68=3,1,0),IF($X68&lt;30,1,0))</formula>
    </cfRule>
    <cfRule type="expression" priority="256" dxfId="0">
      <formula>AND(IF($Q68=3,1,IF($Q68=4,1,0)),IF($F68&lt;=85,1,0))</formula>
    </cfRule>
  </conditionalFormatting>
  <conditionalFormatting sqref="AV69">
    <cfRule type="expression" priority="251" dxfId="17">
      <formula>AV69="X"</formula>
    </cfRule>
    <cfRule type="expression" priority="252" dxfId="16">
      <formula>AV69="후보"</formula>
    </cfRule>
  </conditionalFormatting>
  <conditionalFormatting sqref="AC6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9">
    <cfRule type="expression" priority="242" dxfId="3">
      <formula>AND(IF(OR($Q69=1,$Q69=2),1,0),IF($X69&lt;=20,1,0))</formula>
    </cfRule>
    <cfRule type="expression" priority="243" dxfId="2">
      <formula>AND(IF($Q69=2,1,0),IF($X69&lt;30,1,0))</formula>
    </cfRule>
    <cfRule type="expression" priority="244" dxfId="1">
      <formula>AND(IF($Q69=3,1,0),IF($X69&lt;30,1,0))</formula>
    </cfRule>
    <cfRule type="expression" priority="245" dxfId="0">
      <formula>AND(IF($Q69=3,1,IF($Q69=4,1,0)),IF($F69&lt;=85,1,0))</formula>
    </cfRule>
  </conditionalFormatting>
  <conditionalFormatting sqref="X69">
    <cfRule type="expression" priority="238" dxfId="3">
      <formula>AND(IF(OR($Q69=1,$Q69=2),1,0),IF($X69&lt;=20,1,0))</formula>
    </cfRule>
    <cfRule type="expression" priority="239" dxfId="2">
      <formula>AND(IF($Q69=2,1,0),IF($X69&lt;30,1,0))</formula>
    </cfRule>
    <cfRule type="expression" priority="240" dxfId="1">
      <formula>AND(IF($Q69=3,1,0),IF($X69&lt;30,1,0))</formula>
    </cfRule>
    <cfRule type="expression" priority="241" dxfId="0">
      <formula>AND(IF($Q69=3,1,IF($Q69=4,1,0)),IF($F69&lt;=85,1,0))</formula>
    </cfRule>
  </conditionalFormatting>
  <conditionalFormatting sqref="AI69">
    <cfRule type="expression" priority="234" dxfId="3">
      <formula>AND(IF(OR($Q69=1,$Q69=2),1,0),IF($X69&lt;=20,1,0))</formula>
    </cfRule>
    <cfRule type="expression" priority="235" dxfId="2">
      <formula>AND(IF($Q69=2,1,0),IF($X69&lt;30,1,0))</formula>
    </cfRule>
    <cfRule type="expression" priority="236" dxfId="1">
      <formula>AND(IF($Q69=3,1,0),IF($X69&lt;30,1,0))</formula>
    </cfRule>
    <cfRule type="expression" priority="237" dxfId="0">
      <formula>AND(IF($Q69=3,1,IF($Q69=4,1,0)),IF($F69&lt;=85,1,0))</formula>
    </cfRule>
  </conditionalFormatting>
  <conditionalFormatting sqref="AV70">
    <cfRule type="expression" priority="232" dxfId="17">
      <formula>AV70="X"</formula>
    </cfRule>
    <cfRule type="expression" priority="233" dxfId="16">
      <formula>AV70="후보"</formula>
    </cfRule>
  </conditionalFormatting>
  <conditionalFormatting sqref="AC7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0">
    <cfRule type="expression" priority="223" dxfId="3">
      <formula>AND(IF(OR($Q70=1,$Q70=2),1,0),IF($X70&lt;=20,1,0))</formula>
    </cfRule>
    <cfRule type="expression" priority="224" dxfId="2">
      <formula>AND(IF($Q70=2,1,0),IF($X70&lt;30,1,0))</formula>
    </cfRule>
    <cfRule type="expression" priority="225" dxfId="1">
      <formula>AND(IF($Q70=3,1,0),IF($X70&lt;30,1,0))</formula>
    </cfRule>
    <cfRule type="expression" priority="226" dxfId="0">
      <formula>AND(IF($Q70=3,1,IF($Q70=4,1,0)),IF($F70&lt;=85,1,0))</formula>
    </cfRule>
  </conditionalFormatting>
  <conditionalFormatting sqref="X70">
    <cfRule type="expression" priority="219" dxfId="3">
      <formula>AND(IF(OR($Q70=1,$Q70=2),1,0),IF($X70&lt;=20,1,0))</formula>
    </cfRule>
    <cfRule type="expression" priority="220" dxfId="2">
      <formula>AND(IF($Q70=2,1,0),IF($X70&lt;30,1,0))</formula>
    </cfRule>
    <cfRule type="expression" priority="221" dxfId="1">
      <formula>AND(IF($Q70=3,1,0),IF($X70&lt;30,1,0))</formula>
    </cfRule>
    <cfRule type="expression" priority="222" dxfId="0">
      <formula>AND(IF($Q70=3,1,IF($Q70=4,1,0)),IF($F70&lt;=85,1,0))</formula>
    </cfRule>
  </conditionalFormatting>
  <conditionalFormatting sqref="AI70">
    <cfRule type="expression" priority="215" dxfId="3">
      <formula>AND(IF(OR($Q70=1,$Q70=2),1,0),IF($X70&lt;=20,1,0))</formula>
    </cfRule>
    <cfRule type="expression" priority="216" dxfId="2">
      <formula>AND(IF($Q70=2,1,0),IF($X70&lt;30,1,0))</formula>
    </cfRule>
    <cfRule type="expression" priority="217" dxfId="1">
      <formula>AND(IF($Q70=3,1,0),IF($X70&lt;30,1,0))</formula>
    </cfRule>
    <cfRule type="expression" priority="218" dxfId="0">
      <formula>AND(IF($Q70=3,1,IF($Q70=4,1,0)),IF($F70&lt;=85,1,0))</formula>
    </cfRule>
  </conditionalFormatting>
  <conditionalFormatting sqref="AV71">
    <cfRule type="expression" priority="213" dxfId="17">
      <formula>AV71="X"</formula>
    </cfRule>
    <cfRule type="expression" priority="214" dxfId="16">
      <formula>AV71="후보"</formula>
    </cfRule>
  </conditionalFormatting>
  <conditionalFormatting sqref="AC7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1">
    <cfRule type="expression" priority="204" dxfId="3">
      <formula>AND(IF(OR($Q71=1,$Q71=2),1,0),IF($X71&lt;=20,1,0))</formula>
    </cfRule>
    <cfRule type="expression" priority="205" dxfId="2">
      <formula>AND(IF($Q71=2,1,0),IF($X71&lt;30,1,0))</formula>
    </cfRule>
    <cfRule type="expression" priority="206" dxfId="1">
      <formula>AND(IF($Q71=3,1,0),IF($X71&lt;30,1,0))</formula>
    </cfRule>
    <cfRule type="expression" priority="207" dxfId="0">
      <formula>AND(IF($Q71=3,1,IF($Q71=4,1,0)),IF($F71&lt;=85,1,0))</formula>
    </cfRule>
  </conditionalFormatting>
  <conditionalFormatting sqref="X71">
    <cfRule type="expression" priority="200" dxfId="3">
      <formula>AND(IF(OR($Q71=1,$Q71=2),1,0),IF($X71&lt;=20,1,0))</formula>
    </cfRule>
    <cfRule type="expression" priority="201" dxfId="2">
      <formula>AND(IF($Q71=2,1,0),IF($X71&lt;30,1,0))</formula>
    </cfRule>
    <cfRule type="expression" priority="202" dxfId="1">
      <formula>AND(IF($Q71=3,1,0),IF($X71&lt;30,1,0))</formula>
    </cfRule>
    <cfRule type="expression" priority="203" dxfId="0">
      <formula>AND(IF($Q71=3,1,IF($Q71=4,1,0)),IF($F71&lt;=85,1,0))</formula>
    </cfRule>
  </conditionalFormatting>
  <conditionalFormatting sqref="AI71">
    <cfRule type="expression" priority="196" dxfId="3">
      <formula>AND(IF(OR($Q71=1,$Q71=2),1,0),IF($X71&lt;=20,1,0))</formula>
    </cfRule>
    <cfRule type="expression" priority="197" dxfId="2">
      <formula>AND(IF($Q71=2,1,0),IF($X71&lt;30,1,0))</formula>
    </cfRule>
    <cfRule type="expression" priority="198" dxfId="1">
      <formula>AND(IF($Q71=3,1,0),IF($X71&lt;30,1,0))</formula>
    </cfRule>
    <cfRule type="expression" priority="199" dxfId="0">
      <formula>AND(IF($Q71=3,1,IF($Q71=4,1,0)),IF($F71&lt;=85,1,0))</formula>
    </cfRule>
  </conditionalFormatting>
  <conditionalFormatting sqref="AV72">
    <cfRule type="expression" priority="194" dxfId="17">
      <formula>AV72="X"</formula>
    </cfRule>
    <cfRule type="expression" priority="195" dxfId="16">
      <formula>AV72="후보"</formula>
    </cfRule>
  </conditionalFormatting>
  <conditionalFormatting sqref="AC7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2">
    <cfRule type="expression" priority="185" dxfId="3">
      <formula>AND(IF(OR($Q72=1,$Q72=2),1,0),IF($X72&lt;=20,1,0))</formula>
    </cfRule>
    <cfRule type="expression" priority="186" dxfId="2">
      <formula>AND(IF($Q72=2,1,0),IF($X72&lt;30,1,0))</formula>
    </cfRule>
    <cfRule type="expression" priority="187" dxfId="1">
      <formula>AND(IF($Q72=3,1,0),IF($X72&lt;30,1,0))</formula>
    </cfRule>
    <cfRule type="expression" priority="188" dxfId="0">
      <formula>AND(IF($Q72=3,1,IF($Q72=4,1,0)),IF($F72&lt;=85,1,0))</formula>
    </cfRule>
  </conditionalFormatting>
  <conditionalFormatting sqref="X72">
    <cfRule type="expression" priority="181" dxfId="3">
      <formula>AND(IF(OR($Q72=1,$Q72=2),1,0),IF($X72&lt;=20,1,0))</formula>
    </cfRule>
    <cfRule type="expression" priority="182" dxfId="2">
      <formula>AND(IF($Q72=2,1,0),IF($X72&lt;30,1,0))</formula>
    </cfRule>
    <cfRule type="expression" priority="183" dxfId="1">
      <formula>AND(IF($Q72=3,1,0),IF($X72&lt;30,1,0))</formula>
    </cfRule>
    <cfRule type="expression" priority="184" dxfId="0">
      <formula>AND(IF($Q72=3,1,IF($Q72=4,1,0)),IF($F72&lt;=85,1,0))</formula>
    </cfRule>
  </conditionalFormatting>
  <conditionalFormatting sqref="AI72">
    <cfRule type="expression" priority="177" dxfId="3">
      <formula>AND(IF(OR($Q72=1,$Q72=2),1,0),IF($X72&lt;=20,1,0))</formula>
    </cfRule>
    <cfRule type="expression" priority="178" dxfId="2">
      <formula>AND(IF($Q72=2,1,0),IF($X72&lt;30,1,0))</formula>
    </cfRule>
    <cfRule type="expression" priority="179" dxfId="1">
      <formula>AND(IF($Q72=3,1,0),IF($X72&lt;30,1,0))</formula>
    </cfRule>
    <cfRule type="expression" priority="180" dxfId="0">
      <formula>AND(IF($Q72=3,1,IF($Q72=4,1,0)),IF($F72&lt;=85,1,0))</formula>
    </cfRule>
  </conditionalFormatting>
  <conditionalFormatting sqref="AV73">
    <cfRule type="expression" priority="175" dxfId="17">
      <formula>AV73="X"</formula>
    </cfRule>
    <cfRule type="expression" priority="176" dxfId="16">
      <formula>AV73="후보"</formula>
    </cfRule>
  </conditionalFormatting>
  <conditionalFormatting sqref="AC7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17">
      <formula>AV74="X"</formula>
    </cfRule>
    <cfRule type="expression" priority="157" dxfId="16">
      <formula>AV74="후보"</formula>
    </cfRule>
  </conditionalFormatting>
  <conditionalFormatting sqref="AC7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17">
      <formula>AV75="X"</formula>
    </cfRule>
    <cfRule type="expression" priority="138" dxfId="16">
      <formula>AV75="후보"</formula>
    </cfRule>
  </conditionalFormatting>
  <conditionalFormatting sqref="AC7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17">
      <formula>AV76="X"</formula>
    </cfRule>
    <cfRule type="expression" priority="119" dxfId="16">
      <formula>AV76="후보"</formula>
    </cfRule>
  </conditionalFormatting>
  <conditionalFormatting sqref="AC76 N7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77">
    <cfRule type="expression" priority="113" dxfId="17">
      <formula>AV77="X"</formula>
    </cfRule>
    <cfRule type="expression" priority="114" dxfId="16">
      <formula>AV77="후보"</formula>
    </cfRule>
  </conditionalFormatting>
  <conditionalFormatting sqref="AC7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7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77">
    <cfRule type="expression" priority="104" dxfId="3">
      <formula>AND(IF(OR($Q77=1,$Q77=2),1,0),IF($X77&lt;=20,1,0))</formula>
    </cfRule>
    <cfRule type="expression" priority="105" dxfId="2">
      <formula>AND(IF($Q77=2,1,0),IF($X77&lt;30,1,0))</formula>
    </cfRule>
    <cfRule type="expression" priority="106" dxfId="1">
      <formula>AND(IF($Q77=3,1,0),IF($X77&lt;30,1,0))</formula>
    </cfRule>
    <cfRule type="expression" priority="107" dxfId="0">
      <formula>AND(IF($Q77=3,1,IF($Q77=4,1,0)),IF($F77&lt;=85,1,0))</formula>
    </cfRule>
  </conditionalFormatting>
  <conditionalFormatting sqref="X77">
    <cfRule type="expression" priority="100" dxfId="3">
      <formula>AND(IF(OR($Q77=1,$Q77=2),1,0),IF($X77&lt;=20,1,0))</formula>
    </cfRule>
    <cfRule type="expression" priority="101" dxfId="2">
      <formula>AND(IF($Q77=2,1,0),IF($X77&lt;30,1,0))</formula>
    </cfRule>
    <cfRule type="expression" priority="102" dxfId="1">
      <formula>AND(IF($Q77=3,1,0),IF($X77&lt;30,1,0))</formula>
    </cfRule>
    <cfRule type="expression" priority="103" dxfId="0">
      <formula>AND(IF($Q77=3,1,IF($Q77=4,1,0)),IF($F77&lt;=85,1,0))</formula>
    </cfRule>
  </conditionalFormatting>
  <conditionalFormatting sqref="AI77">
    <cfRule type="expression" priority="96" dxfId="3">
      <formula>AND(IF(OR($Q77=1,$Q77=2),1,0),IF($X77&lt;=20,1,0))</formula>
    </cfRule>
    <cfRule type="expression" priority="97" dxfId="2">
      <formula>AND(IF($Q77=2,1,0),IF($X77&lt;30,1,0))</formula>
    </cfRule>
    <cfRule type="expression" priority="98" dxfId="1">
      <formula>AND(IF($Q77=3,1,0),IF($X77&lt;30,1,0))</formula>
    </cfRule>
    <cfRule type="expression" priority="99" dxfId="0">
      <formula>AND(IF($Q77=3,1,IF($Q77=4,1,0)),IF($F77&lt;=85,1,0))</formula>
    </cfRule>
  </conditionalFormatting>
  <conditionalFormatting sqref="AV78">
    <cfRule type="expression" priority="94" dxfId="17">
      <formula>AV78="X"</formula>
    </cfRule>
    <cfRule type="expression" priority="95" dxfId="16">
      <formula>AV78="후보"</formula>
    </cfRule>
  </conditionalFormatting>
  <conditionalFormatting sqref="AC7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8">
    <cfRule type="expression" priority="85" dxfId="3">
      <formula>AND(IF(OR($Q78=1,$Q78=2),1,0),IF($X78&lt;=20,1,0))</formula>
    </cfRule>
    <cfRule type="expression" priority="86" dxfId="2">
      <formula>AND(IF($Q78=2,1,0),IF($X78&lt;30,1,0))</formula>
    </cfRule>
    <cfRule type="expression" priority="87" dxfId="1">
      <formula>AND(IF($Q78=3,1,0),IF($X78&lt;30,1,0))</formula>
    </cfRule>
    <cfRule type="expression" priority="88" dxfId="0">
      <formula>AND(IF($Q78=3,1,IF($Q78=4,1,0)),IF($F78&lt;=85,1,0))</formula>
    </cfRule>
  </conditionalFormatting>
  <conditionalFormatting sqref="X78">
    <cfRule type="expression" priority="81" dxfId="3">
      <formula>AND(IF(OR($Q78=1,$Q78=2),1,0),IF($X78&lt;=20,1,0))</formula>
    </cfRule>
    <cfRule type="expression" priority="82" dxfId="2">
      <formula>AND(IF($Q78=2,1,0),IF($X78&lt;30,1,0))</formula>
    </cfRule>
    <cfRule type="expression" priority="83" dxfId="1">
      <formula>AND(IF($Q78=3,1,0),IF($X78&lt;30,1,0))</formula>
    </cfRule>
    <cfRule type="expression" priority="84" dxfId="0">
      <formula>AND(IF($Q78=3,1,IF($Q78=4,1,0)),IF($F78&lt;=85,1,0))</formula>
    </cfRule>
  </conditionalFormatting>
  <conditionalFormatting sqref="AI78">
    <cfRule type="expression" priority="77" dxfId="3">
      <formula>AND(IF(OR($Q78=1,$Q78=2),1,0),IF($X78&lt;=20,1,0))</formula>
    </cfRule>
    <cfRule type="expression" priority="78" dxfId="2">
      <formula>AND(IF($Q78=2,1,0),IF($X78&lt;30,1,0))</formula>
    </cfRule>
    <cfRule type="expression" priority="79" dxfId="1">
      <formula>AND(IF($Q78=3,1,0),IF($X78&lt;30,1,0))</formula>
    </cfRule>
    <cfRule type="expression" priority="80" dxfId="0">
      <formula>AND(IF($Q78=3,1,IF($Q78=4,1,0)),IF($F78&lt;=85,1,0))</formula>
    </cfRule>
  </conditionalFormatting>
  <conditionalFormatting sqref="AV79">
    <cfRule type="expression" priority="75" dxfId="17">
      <formula>AV79="X"</formula>
    </cfRule>
    <cfRule type="expression" priority="76" dxfId="16">
      <formula>AV79="후보"</formula>
    </cfRule>
  </conditionalFormatting>
  <conditionalFormatting sqref="AC7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17">
      <formula>AV80="X"</formula>
    </cfRule>
    <cfRule type="expression" priority="57" dxfId="16">
      <formula>AV80="후보"</formula>
    </cfRule>
  </conditionalFormatting>
  <conditionalFormatting sqref="AC8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17">
      <formula>AV81="X"</formula>
    </cfRule>
    <cfRule type="expression" priority="38" dxfId="16">
      <formula>AV81="후보"</formula>
    </cfRule>
  </conditionalFormatting>
  <conditionalFormatting sqref="AC8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17">
      <formula>AV82="X"</formula>
    </cfRule>
    <cfRule type="expression" priority="19" dxfId="16">
      <formula>AV82="후보"</formula>
    </cfRule>
  </conditionalFormatting>
  <conditionalFormatting sqref="AC8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2022-07-07T14:26:11Z</dcterms:modified>
  <cp:lastModifiedBy>MinsuKwon</cp:lastModifiedBy>
  <cp:lastPrinted>2018-04-28T10:52:41Z</cp:lastPrinted>
</cp:coreProperties>
</file>